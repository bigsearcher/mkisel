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EDE7A801-9504-440C-8919-D4DD94AC58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7&quot; Liner Tally NFQ17-01" sheetId="1" r:id="rId1"/>
    <sheet name="DECK TALLY" sheetId="3" r:id="rId2"/>
  </sheets>
  <definedNames>
    <definedName name="_xlnm.Print_Area" localSheetId="0">'7" Liner Tally NFQ17-01'!$A$1:$L$621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7" i="1" l="1"/>
  <c r="F588" i="1" l="1"/>
  <c r="D25" i="1"/>
  <c r="F102" i="1"/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F589" i="1"/>
  <c r="F22" i="1"/>
  <c r="F293" i="1"/>
  <c r="F292" i="1"/>
  <c r="F291" i="1"/>
  <c r="F269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45" i="1"/>
  <c r="F544" i="1"/>
  <c r="F543" i="1"/>
  <c r="F542" i="1"/>
  <c r="A286" i="1" l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K9" i="1"/>
  <c r="E596" i="1"/>
  <c r="H603" i="1"/>
  <c r="H604" i="1"/>
  <c r="H605" i="1"/>
  <c r="H606" i="1"/>
  <c r="H602" i="1"/>
  <c r="J613" i="1"/>
  <c r="F612" i="1"/>
  <c r="F155" i="1"/>
  <c r="F49" i="1"/>
  <c r="B5" i="3" l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F236" i="1"/>
  <c r="F208" i="1"/>
  <c r="G615" i="1" l="1"/>
  <c r="G614" i="1"/>
  <c r="I612" i="1"/>
  <c r="J612" i="1" s="1"/>
  <c r="F270" i="1" l="1"/>
  <c r="F279" i="1"/>
  <c r="F278" i="1"/>
  <c r="F277" i="1"/>
  <c r="F276" i="1"/>
  <c r="F275" i="1"/>
  <c r="F274" i="1"/>
  <c r="F273" i="1"/>
  <c r="F272" i="1"/>
  <c r="F271" i="1"/>
  <c r="F294" i="1"/>
  <c r="F290" i="1"/>
  <c r="F289" i="1"/>
  <c r="F288" i="1"/>
  <c r="F287" i="1"/>
  <c r="F286" i="1"/>
  <c r="F285" i="1"/>
  <c r="F284" i="1"/>
  <c r="F283" i="1"/>
  <c r="F282" i="1"/>
  <c r="F281" i="1"/>
  <c r="F280" i="1"/>
  <c r="C272" i="3" l="1"/>
  <c r="F381" i="1" l="1"/>
  <c r="E599" i="1"/>
  <c r="L9" i="3" l="1"/>
  <c r="D12" i="1"/>
  <c r="F24" i="1" l="1"/>
  <c r="F25" i="1"/>
  <c r="D26" i="1" l="1"/>
  <c r="D27" i="1" s="1"/>
  <c r="D28" i="1" s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8" i="1"/>
  <c r="F47" i="1"/>
  <c r="F46" i="1"/>
  <c r="F45" i="1"/>
  <c r="F44" i="1"/>
  <c r="F43" i="1"/>
  <c r="F42" i="1"/>
  <c r="F41" i="1"/>
  <c r="F40" i="1"/>
  <c r="F39" i="1"/>
  <c r="D29" i="1" l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50" i="1" l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F23" i="1"/>
  <c r="D82" i="1" l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l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90" i="1"/>
  <c r="F591" i="1"/>
  <c r="F592" i="1"/>
  <c r="F593" i="1"/>
  <c r="D118" i="1" l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D136" i="1" l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F103" i="1"/>
  <c r="F104" i="1"/>
  <c r="D156" i="1" l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F319" i="1"/>
  <c r="D209" i="1" l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71" i="1"/>
  <c r="F72" i="1"/>
  <c r="F73" i="1"/>
  <c r="F74" i="1"/>
  <c r="F75" i="1"/>
  <c r="F76" i="1"/>
  <c r="D234" i="1" l="1"/>
  <c r="D235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F312" i="1"/>
  <c r="F594" i="1" l="1"/>
  <c r="F598" i="1"/>
  <c r="F597" i="1"/>
  <c r="F596" i="1"/>
  <c r="F595" i="1"/>
  <c r="F316" i="1" l="1"/>
  <c r="F314" i="1" l="1"/>
  <c r="D278" i="1" l="1"/>
  <c r="D279" i="1" s="1"/>
  <c r="D280" i="1" s="1"/>
  <c r="D281" i="1" s="1"/>
  <c r="D282" i="1" s="1"/>
  <c r="D283" i="1" s="1"/>
  <c r="D284" i="1" s="1"/>
  <c r="D285" i="1" s="1"/>
  <c r="D286" i="1" s="1"/>
  <c r="F313" i="1"/>
  <c r="F17" i="1"/>
  <c r="D287" i="1" l="1"/>
  <c r="D288" i="1" s="1"/>
  <c r="F382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18" i="1"/>
  <c r="F317" i="1"/>
  <c r="F315" i="1"/>
  <c r="F70" i="1"/>
  <c r="F21" i="1"/>
  <c r="F20" i="1"/>
  <c r="F19" i="1"/>
  <c r="F18" i="1"/>
  <c r="F16" i="1"/>
  <c r="F15" i="1"/>
  <c r="G9" i="1"/>
  <c r="D297" i="1" l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290" i="1"/>
  <c r="D291" i="1" s="1"/>
  <c r="D292" i="1" s="1"/>
  <c r="D293" i="1" s="1"/>
  <c r="D294" i="1" s="1"/>
  <c r="D295" i="1" s="1"/>
  <c r="D296" i="1" s="1"/>
  <c r="H15" i="1"/>
  <c r="J15" i="1" s="1"/>
  <c r="I15" i="1"/>
  <c r="H16" i="1" l="1"/>
  <c r="H17" i="1" s="1"/>
  <c r="H18" i="1" l="1"/>
  <c r="I17" i="1"/>
  <c r="I16" i="1"/>
  <c r="J16" i="1"/>
  <c r="H19" i="1" l="1"/>
  <c r="I18" i="1"/>
  <c r="J17" i="1"/>
  <c r="H20" i="1" l="1"/>
  <c r="I19" i="1"/>
  <c r="J18" i="1"/>
  <c r="H21" i="1" l="1"/>
  <c r="I20" i="1"/>
  <c r="J19" i="1"/>
  <c r="H22" i="1" l="1"/>
  <c r="I21" i="1"/>
  <c r="J20" i="1"/>
  <c r="I22" i="1" l="1"/>
  <c r="H23" i="1"/>
  <c r="F615" i="1"/>
  <c r="I615" i="1" s="1"/>
  <c r="J615" i="1" s="1"/>
  <c r="J21" i="1"/>
  <c r="I23" i="1" l="1"/>
  <c r="H24" i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I619" i="1"/>
  <c r="K619" i="1" s="1"/>
  <c r="J22" i="1"/>
  <c r="I24" i="1" l="1"/>
  <c r="H276" i="1"/>
  <c r="H277" i="1" s="1"/>
  <c r="H278" i="1" s="1"/>
  <c r="H279" i="1" s="1"/>
  <c r="H280" i="1" s="1"/>
  <c r="H281" i="1" s="1"/>
  <c r="H282" i="1" s="1"/>
  <c r="H283" i="1" s="1"/>
  <c r="H284" i="1" s="1"/>
  <c r="H285" i="1" s="1"/>
  <c r="I25" i="1"/>
  <c r="J24" i="1"/>
  <c r="I285" i="1" l="1"/>
  <c r="H286" i="1"/>
  <c r="I26" i="1"/>
  <c r="J25" i="1"/>
  <c r="I286" i="1" l="1"/>
  <c r="H287" i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J26" i="1"/>
  <c r="I27" i="1" l="1"/>
  <c r="J27" i="1"/>
  <c r="I28" i="1" l="1"/>
  <c r="J23" i="1"/>
  <c r="I29" i="1" l="1"/>
  <c r="J28" i="1"/>
  <c r="I30" i="1" l="1"/>
  <c r="J29" i="1"/>
  <c r="I31" i="1" l="1"/>
  <c r="J30" i="1"/>
  <c r="I32" i="1" l="1"/>
  <c r="J31" i="1"/>
  <c r="I33" i="1" l="1"/>
  <c r="J32" i="1"/>
  <c r="I34" i="1" l="1"/>
  <c r="J33" i="1"/>
  <c r="I35" i="1" l="1"/>
  <c r="J34" i="1"/>
  <c r="I36" i="1" l="1"/>
  <c r="J35" i="1"/>
  <c r="I37" i="1" l="1"/>
  <c r="J36" i="1"/>
  <c r="I38" i="1" l="1"/>
  <c r="J37" i="1"/>
  <c r="I39" i="1" l="1"/>
  <c r="J38" i="1"/>
  <c r="I40" i="1" l="1"/>
  <c r="J39" i="1"/>
  <c r="I41" i="1" l="1"/>
  <c r="J40" i="1"/>
  <c r="I42" i="1" l="1"/>
  <c r="J41" i="1"/>
  <c r="I43" i="1" l="1"/>
  <c r="J42" i="1"/>
  <c r="I44" i="1" l="1"/>
  <c r="J43" i="1"/>
  <c r="I48" i="1" l="1"/>
  <c r="I45" i="1"/>
  <c r="J44" i="1"/>
  <c r="I46" i="1" l="1"/>
  <c r="J45" i="1"/>
  <c r="I47" i="1" l="1"/>
  <c r="J46" i="1"/>
  <c r="I49" i="1" l="1"/>
  <c r="J47" i="1"/>
  <c r="J50" i="1" l="1"/>
  <c r="J48" i="1"/>
  <c r="J51" i="1" l="1"/>
  <c r="I50" i="1"/>
  <c r="J52" i="1" l="1"/>
  <c r="I51" i="1"/>
  <c r="J53" i="1" l="1"/>
  <c r="I52" i="1"/>
  <c r="J54" i="1" l="1"/>
  <c r="I53" i="1"/>
  <c r="J55" i="1" l="1"/>
  <c r="I54" i="1"/>
  <c r="J56" i="1" l="1"/>
  <c r="I55" i="1"/>
  <c r="J57" i="1" l="1"/>
  <c r="I56" i="1"/>
  <c r="J58" i="1" l="1"/>
  <c r="I57" i="1"/>
  <c r="J59" i="1" l="1"/>
  <c r="I58" i="1"/>
  <c r="I59" i="1" l="1"/>
  <c r="I60" i="1" l="1"/>
  <c r="J60" i="1"/>
  <c r="I61" i="1" l="1"/>
  <c r="J61" i="1"/>
  <c r="I62" i="1" l="1"/>
  <c r="J62" i="1"/>
  <c r="I63" i="1" l="1"/>
  <c r="J63" i="1"/>
  <c r="I64" i="1" l="1"/>
  <c r="J64" i="1"/>
  <c r="I65" i="1" l="1"/>
  <c r="J65" i="1"/>
  <c r="I66" i="1" l="1"/>
  <c r="J66" i="1"/>
  <c r="I67" i="1" l="1"/>
  <c r="J67" i="1"/>
  <c r="I68" i="1" l="1"/>
  <c r="J68" i="1"/>
  <c r="I69" i="1" l="1"/>
  <c r="J69" i="1"/>
  <c r="I70" i="1" l="1"/>
  <c r="J70" i="1"/>
  <c r="I71" i="1" l="1"/>
  <c r="J71" i="1"/>
  <c r="I72" i="1" l="1"/>
  <c r="J72" i="1"/>
  <c r="I73" i="1" l="1"/>
  <c r="J73" i="1"/>
  <c r="J49" i="1"/>
  <c r="I74" i="1" l="1"/>
  <c r="J74" i="1"/>
  <c r="I75" i="1" l="1"/>
  <c r="J75" i="1"/>
  <c r="I76" i="1" l="1"/>
  <c r="J76" i="1"/>
  <c r="I77" i="1" l="1"/>
  <c r="J77" i="1"/>
  <c r="I78" i="1" l="1"/>
  <c r="J78" i="1"/>
  <c r="I79" i="1" l="1"/>
  <c r="J79" i="1"/>
  <c r="I80" i="1" l="1"/>
  <c r="J80" i="1"/>
  <c r="I81" i="1" l="1"/>
  <c r="J81" i="1"/>
  <c r="I82" i="1" l="1"/>
  <c r="J82" i="1"/>
  <c r="I83" i="1" l="1"/>
  <c r="J83" i="1"/>
  <c r="I84" i="1" l="1"/>
  <c r="J84" i="1"/>
  <c r="I85" i="1" l="1"/>
  <c r="J85" i="1"/>
  <c r="I86" i="1" l="1"/>
  <c r="J86" i="1"/>
  <c r="I87" i="1" l="1"/>
  <c r="J87" i="1"/>
  <c r="I88" i="1" l="1"/>
  <c r="J88" i="1"/>
  <c r="I89" i="1" l="1"/>
  <c r="J89" i="1"/>
  <c r="I90" i="1" l="1"/>
  <c r="J90" i="1"/>
  <c r="I91" i="1" l="1"/>
  <c r="J91" i="1"/>
  <c r="I92" i="1" l="1"/>
  <c r="J92" i="1"/>
  <c r="I93" i="1" l="1"/>
  <c r="J93" i="1"/>
  <c r="I94" i="1" l="1"/>
  <c r="J94" i="1"/>
  <c r="I95" i="1" l="1"/>
  <c r="J95" i="1"/>
  <c r="I96" i="1" l="1"/>
  <c r="J96" i="1"/>
  <c r="I97" i="1" l="1"/>
  <c r="J97" i="1"/>
  <c r="I101" i="1" l="1"/>
  <c r="I98" i="1"/>
  <c r="J98" i="1"/>
  <c r="I99" i="1" l="1"/>
  <c r="J99" i="1"/>
  <c r="I100" i="1" l="1"/>
  <c r="J100" i="1"/>
  <c r="I102" i="1" l="1"/>
  <c r="J102" i="1"/>
  <c r="J101" i="1" l="1"/>
  <c r="I103" i="1" l="1"/>
  <c r="J103" i="1"/>
  <c r="I104" i="1" l="1"/>
  <c r="J104" i="1"/>
  <c r="I105" i="1" l="1"/>
  <c r="J105" i="1"/>
  <c r="I106" i="1" l="1"/>
  <c r="J106" i="1"/>
  <c r="I107" i="1" l="1"/>
  <c r="J107" i="1"/>
  <c r="I108" i="1" l="1"/>
  <c r="J108" i="1"/>
  <c r="I109" i="1" l="1"/>
  <c r="J109" i="1"/>
  <c r="I110" i="1" l="1"/>
  <c r="J110" i="1"/>
  <c r="I111" i="1" l="1"/>
  <c r="J111" i="1"/>
  <c r="I112" i="1" l="1"/>
  <c r="J112" i="1"/>
  <c r="I113" i="1" l="1"/>
  <c r="J113" i="1"/>
  <c r="I114" i="1" l="1"/>
  <c r="J114" i="1"/>
  <c r="I115" i="1" l="1"/>
  <c r="J115" i="1"/>
  <c r="I116" i="1" l="1"/>
  <c r="J116" i="1"/>
  <c r="I117" i="1" l="1"/>
  <c r="J117" i="1"/>
  <c r="I118" i="1" l="1"/>
  <c r="J118" i="1"/>
  <c r="I119" i="1" l="1"/>
  <c r="J119" i="1"/>
  <c r="I120" i="1" l="1"/>
  <c r="J120" i="1"/>
  <c r="I121" i="1" l="1"/>
  <c r="J121" i="1"/>
  <c r="I122" i="1" l="1"/>
  <c r="J122" i="1"/>
  <c r="I123" i="1" l="1"/>
  <c r="J123" i="1"/>
  <c r="I124" i="1" l="1"/>
  <c r="J124" i="1"/>
  <c r="I125" i="1" l="1"/>
  <c r="J125" i="1"/>
  <c r="I126" i="1" l="1"/>
  <c r="J126" i="1"/>
  <c r="I127" i="1" l="1"/>
  <c r="J127" i="1"/>
  <c r="I128" i="1" l="1"/>
  <c r="J128" i="1"/>
  <c r="I129" i="1" l="1"/>
  <c r="J129" i="1"/>
  <c r="I130" i="1" l="1"/>
  <c r="J130" i="1"/>
  <c r="I131" i="1" l="1"/>
  <c r="J131" i="1"/>
  <c r="I132" i="1" l="1"/>
  <c r="J132" i="1"/>
  <c r="I133" i="1" l="1"/>
  <c r="J133" i="1"/>
  <c r="I134" i="1" l="1"/>
  <c r="J134" i="1"/>
  <c r="I135" i="1" l="1"/>
  <c r="J135" i="1"/>
  <c r="I136" i="1" l="1"/>
  <c r="J136" i="1"/>
  <c r="I137" i="1" l="1"/>
  <c r="J137" i="1"/>
  <c r="I138" i="1" l="1"/>
  <c r="J138" i="1"/>
  <c r="I139" i="1" l="1"/>
  <c r="J139" i="1"/>
  <c r="I140" i="1" l="1"/>
  <c r="J140" i="1"/>
  <c r="I141" i="1" l="1"/>
  <c r="J141" i="1"/>
  <c r="I142" i="1" l="1"/>
  <c r="J142" i="1"/>
  <c r="I143" i="1" l="1"/>
  <c r="J143" i="1"/>
  <c r="I144" i="1" l="1"/>
  <c r="J144" i="1"/>
  <c r="I145" i="1" l="1"/>
  <c r="J145" i="1"/>
  <c r="I146" i="1" l="1"/>
  <c r="J146" i="1"/>
  <c r="I147" i="1" l="1"/>
  <c r="J147" i="1"/>
  <c r="I148" i="1" l="1"/>
  <c r="J148" i="1"/>
  <c r="I149" i="1" l="1"/>
  <c r="J149" i="1"/>
  <c r="I154" i="1" l="1"/>
  <c r="I152" i="1"/>
  <c r="I150" i="1"/>
  <c r="J150" i="1"/>
  <c r="I153" i="1" l="1"/>
  <c r="I151" i="1"/>
  <c r="J151" i="1"/>
  <c r="J152" i="1" l="1"/>
  <c r="I155" i="1" l="1"/>
  <c r="J155" i="1"/>
  <c r="J153" i="1" l="1"/>
  <c r="J154" i="1" l="1"/>
  <c r="I156" i="1" l="1"/>
  <c r="J156" i="1"/>
  <c r="I157" i="1" l="1"/>
  <c r="J157" i="1"/>
  <c r="I158" i="1" l="1"/>
  <c r="J158" i="1"/>
  <c r="I159" i="1" l="1"/>
  <c r="J159" i="1"/>
  <c r="I160" i="1" l="1"/>
  <c r="J160" i="1"/>
  <c r="I161" i="1" l="1"/>
  <c r="J161" i="1"/>
  <c r="I162" i="1" l="1"/>
  <c r="J162" i="1"/>
  <c r="I163" i="1" l="1"/>
  <c r="J163" i="1"/>
  <c r="I164" i="1" l="1"/>
  <c r="J164" i="1"/>
  <c r="I165" i="1" l="1"/>
  <c r="J165" i="1"/>
  <c r="I166" i="1" l="1"/>
  <c r="J166" i="1"/>
  <c r="I167" i="1" l="1"/>
  <c r="J167" i="1"/>
  <c r="I168" i="1" l="1"/>
  <c r="J168" i="1"/>
  <c r="I169" i="1" l="1"/>
  <c r="J169" i="1"/>
  <c r="I170" i="1" l="1"/>
  <c r="J170" i="1"/>
  <c r="I171" i="1" l="1"/>
  <c r="J171" i="1"/>
  <c r="I172" i="1" l="1"/>
  <c r="J172" i="1"/>
  <c r="I173" i="1" l="1"/>
  <c r="J173" i="1"/>
  <c r="I174" i="1" l="1"/>
  <c r="J174" i="1"/>
  <c r="I175" i="1" l="1"/>
  <c r="J175" i="1"/>
  <c r="I176" i="1" l="1"/>
  <c r="J176" i="1"/>
  <c r="I177" i="1" l="1"/>
  <c r="J177" i="1"/>
  <c r="I178" i="1" l="1"/>
  <c r="J178" i="1"/>
  <c r="I179" i="1" l="1"/>
  <c r="J179" i="1"/>
  <c r="I180" i="1" l="1"/>
  <c r="J180" i="1"/>
  <c r="I181" i="1" l="1"/>
  <c r="J181" i="1"/>
  <c r="I182" i="1" l="1"/>
  <c r="J182" i="1"/>
  <c r="I183" i="1" l="1"/>
  <c r="J183" i="1"/>
  <c r="I184" i="1" l="1"/>
  <c r="J184" i="1"/>
  <c r="I185" i="1" l="1"/>
  <c r="J185" i="1"/>
  <c r="I186" i="1" l="1"/>
  <c r="J186" i="1"/>
  <c r="I187" i="1" l="1"/>
  <c r="J187" i="1"/>
  <c r="I188" i="1" l="1"/>
  <c r="J188" i="1"/>
  <c r="I189" i="1" l="1"/>
  <c r="J189" i="1"/>
  <c r="I190" i="1" l="1"/>
  <c r="J190" i="1"/>
  <c r="I191" i="1" l="1"/>
  <c r="J191" i="1"/>
  <c r="I192" i="1" l="1"/>
  <c r="J192" i="1"/>
  <c r="I193" i="1" l="1"/>
  <c r="J193" i="1"/>
  <c r="I194" i="1" l="1"/>
  <c r="J194" i="1"/>
  <c r="I195" i="1" l="1"/>
  <c r="J195" i="1"/>
  <c r="I196" i="1" l="1"/>
  <c r="J196" i="1"/>
  <c r="I197" i="1" l="1"/>
  <c r="J197" i="1"/>
  <c r="I198" i="1" l="1"/>
  <c r="J198" i="1"/>
  <c r="I199" i="1" l="1"/>
  <c r="J199" i="1"/>
  <c r="I200" i="1" l="1"/>
  <c r="J200" i="1"/>
  <c r="I201" i="1" l="1"/>
  <c r="J201" i="1"/>
  <c r="I202" i="1" l="1"/>
  <c r="J202" i="1"/>
  <c r="I207" i="1" l="1"/>
  <c r="I205" i="1"/>
  <c r="I203" i="1"/>
  <c r="J203" i="1"/>
  <c r="I206" i="1" l="1"/>
  <c r="I204" i="1"/>
  <c r="J204" i="1"/>
  <c r="I208" i="1" l="1"/>
  <c r="J205" i="1"/>
  <c r="J208" i="1" l="1"/>
  <c r="J206" i="1" l="1"/>
  <c r="J207" i="1" l="1"/>
  <c r="I209" i="1" l="1"/>
  <c r="J209" i="1"/>
  <c r="I210" i="1" l="1"/>
  <c r="J210" i="1"/>
  <c r="I211" i="1" l="1"/>
  <c r="J211" i="1"/>
  <c r="I212" i="1" l="1"/>
  <c r="J212" i="1"/>
  <c r="I213" i="1" l="1"/>
  <c r="J213" i="1"/>
  <c r="I214" i="1" l="1"/>
  <c r="J214" i="1"/>
  <c r="I215" i="1" l="1"/>
  <c r="J215" i="1"/>
  <c r="I216" i="1" l="1"/>
  <c r="J216" i="1"/>
  <c r="I217" i="1" l="1"/>
  <c r="J217" i="1"/>
  <c r="I218" i="1" l="1"/>
  <c r="J218" i="1"/>
  <c r="I219" i="1" l="1"/>
  <c r="J219" i="1"/>
  <c r="I220" i="1" l="1"/>
  <c r="J220" i="1"/>
  <c r="I221" i="1" l="1"/>
  <c r="J221" i="1"/>
  <c r="I222" i="1" l="1"/>
  <c r="J222" i="1"/>
  <c r="I223" i="1" l="1"/>
  <c r="J223" i="1"/>
  <c r="I224" i="1" l="1"/>
  <c r="J224" i="1"/>
  <c r="I225" i="1" l="1"/>
  <c r="J225" i="1"/>
  <c r="I226" i="1" l="1"/>
  <c r="J226" i="1"/>
  <c r="I234" i="1" l="1"/>
  <c r="I227" i="1"/>
  <c r="J227" i="1"/>
  <c r="I235" i="1" l="1"/>
  <c r="I228" i="1"/>
  <c r="J228" i="1"/>
  <c r="I229" i="1" l="1"/>
  <c r="J229" i="1"/>
  <c r="I230" i="1" l="1"/>
  <c r="J230" i="1"/>
  <c r="I231" i="1" l="1"/>
  <c r="J231" i="1"/>
  <c r="I232" i="1" l="1"/>
  <c r="J232" i="1"/>
  <c r="I233" i="1" l="1"/>
  <c r="J233" i="1"/>
  <c r="J234" i="1" l="1"/>
  <c r="I236" i="1" l="1"/>
  <c r="J236" i="1"/>
  <c r="J235" i="1" l="1"/>
  <c r="I237" i="1" l="1"/>
  <c r="J237" i="1"/>
  <c r="I238" i="1" l="1"/>
  <c r="J238" i="1"/>
  <c r="I239" i="1" l="1"/>
  <c r="J239" i="1"/>
  <c r="I240" i="1" l="1"/>
  <c r="J240" i="1"/>
  <c r="I241" i="1" l="1"/>
  <c r="J241" i="1"/>
  <c r="I242" i="1" l="1"/>
  <c r="J242" i="1"/>
  <c r="I243" i="1" l="1"/>
  <c r="J243" i="1"/>
  <c r="I244" i="1" l="1"/>
  <c r="J244" i="1"/>
  <c r="I245" i="1" l="1"/>
  <c r="J245" i="1"/>
  <c r="I246" i="1" l="1"/>
  <c r="J246" i="1"/>
  <c r="I247" i="1" l="1"/>
  <c r="J247" i="1"/>
  <c r="I248" i="1" l="1"/>
  <c r="J248" i="1"/>
  <c r="I249" i="1" l="1"/>
  <c r="J249" i="1"/>
  <c r="I250" i="1" l="1"/>
  <c r="J250" i="1"/>
  <c r="I251" i="1" l="1"/>
  <c r="J251" i="1"/>
  <c r="I252" i="1" l="1"/>
  <c r="J252" i="1"/>
  <c r="I253" i="1" l="1"/>
  <c r="J253" i="1"/>
  <c r="I254" i="1" l="1"/>
  <c r="J254" i="1"/>
  <c r="I255" i="1" l="1"/>
  <c r="J255" i="1"/>
  <c r="I256" i="1" l="1"/>
  <c r="J256" i="1"/>
  <c r="I257" i="1" l="1"/>
  <c r="J257" i="1"/>
  <c r="I258" i="1" l="1"/>
  <c r="J258" i="1"/>
  <c r="I259" i="1" l="1"/>
  <c r="J259" i="1"/>
  <c r="I260" i="1" l="1"/>
  <c r="J260" i="1"/>
  <c r="I261" i="1" l="1"/>
  <c r="J261" i="1"/>
  <c r="I262" i="1" l="1"/>
  <c r="J262" i="1"/>
  <c r="I263" i="1" l="1"/>
  <c r="J263" i="1"/>
  <c r="I264" i="1" l="1"/>
  <c r="J264" i="1"/>
  <c r="I265" i="1" l="1"/>
  <c r="J265" i="1"/>
  <c r="I266" i="1" l="1"/>
  <c r="J266" i="1"/>
  <c r="I267" i="1" l="1"/>
  <c r="J267" i="1"/>
  <c r="I268" i="1" l="1"/>
  <c r="J268" i="1"/>
  <c r="I269" i="1" l="1"/>
  <c r="J269" i="1"/>
  <c r="I270" i="1" l="1"/>
  <c r="J270" i="1"/>
  <c r="I271" i="1" l="1"/>
  <c r="J271" i="1"/>
  <c r="I272" i="1" l="1"/>
  <c r="J272" i="1"/>
  <c r="I273" i="1" l="1"/>
  <c r="J273" i="1"/>
  <c r="I274" i="1" l="1"/>
  <c r="J274" i="1"/>
  <c r="I275" i="1" l="1"/>
  <c r="J275" i="1"/>
  <c r="I276" i="1" l="1"/>
  <c r="J276" i="1"/>
  <c r="I277" i="1" l="1"/>
  <c r="J277" i="1"/>
  <c r="I278" i="1" l="1"/>
  <c r="J278" i="1"/>
  <c r="I279" i="1" l="1"/>
  <c r="J279" i="1"/>
  <c r="I280" i="1" l="1"/>
  <c r="J280" i="1"/>
  <c r="I281" i="1" l="1"/>
  <c r="J281" i="1"/>
  <c r="I284" i="1" l="1"/>
  <c r="I283" i="1"/>
  <c r="I282" i="1"/>
  <c r="J282" i="1"/>
  <c r="J283" i="1" l="1"/>
  <c r="J284" i="1" l="1"/>
  <c r="J285" i="1" l="1"/>
  <c r="J286" i="1" l="1"/>
  <c r="I287" i="1" l="1"/>
  <c r="J287" i="1"/>
  <c r="I288" i="1" l="1"/>
  <c r="J288" i="1"/>
  <c r="I289" i="1" l="1"/>
  <c r="J289" i="1"/>
  <c r="I290" i="1" l="1"/>
  <c r="J290" i="1"/>
  <c r="I291" i="1" l="1"/>
  <c r="J291" i="1"/>
  <c r="I292" i="1" l="1"/>
  <c r="J292" i="1"/>
  <c r="I293" i="1" l="1"/>
  <c r="J293" i="1"/>
  <c r="I294" i="1" l="1"/>
  <c r="J294" i="1"/>
  <c r="I295" i="1" l="1"/>
  <c r="J295" i="1"/>
  <c r="I296" i="1" l="1"/>
  <c r="J296" i="1"/>
  <c r="I297" i="1" l="1"/>
  <c r="J297" i="1"/>
  <c r="I298" i="1" l="1"/>
  <c r="J298" i="1"/>
  <c r="I299" i="1" l="1"/>
  <c r="J299" i="1"/>
  <c r="I300" i="1" l="1"/>
  <c r="J300" i="1"/>
  <c r="I301" i="1" l="1"/>
  <c r="J301" i="1"/>
  <c r="I302" i="1" l="1"/>
  <c r="J302" i="1"/>
  <c r="I303" i="1" l="1"/>
  <c r="J303" i="1"/>
  <c r="I304" i="1" l="1"/>
  <c r="J304" i="1"/>
  <c r="I305" i="1" l="1"/>
  <c r="J305" i="1"/>
  <c r="I306" i="1" l="1"/>
  <c r="J306" i="1"/>
  <c r="I307" i="1" l="1"/>
  <c r="J307" i="1"/>
  <c r="I308" i="1" l="1"/>
  <c r="J308" i="1"/>
  <c r="I309" i="1" l="1"/>
  <c r="J309" i="1"/>
  <c r="I310" i="1" l="1"/>
  <c r="J310" i="1"/>
  <c r="I311" i="1" l="1"/>
  <c r="J311" i="1"/>
  <c r="I312" i="1" l="1"/>
  <c r="F614" i="1"/>
  <c r="I614" i="1" s="1"/>
  <c r="J614" i="1" s="1"/>
  <c r="J312" i="1"/>
  <c r="I313" i="1" l="1"/>
  <c r="L321" i="1" s="1"/>
  <c r="J313" i="1"/>
  <c r="N321" i="1" l="1"/>
  <c r="M321" i="1"/>
  <c r="I314" i="1"/>
  <c r="J314" i="1"/>
  <c r="I315" i="1" l="1"/>
  <c r="L322" i="1" s="1"/>
  <c r="J315" i="1"/>
  <c r="N322" i="1" l="1"/>
  <c r="M322" i="1"/>
  <c r="I316" i="1"/>
  <c r="J316" i="1"/>
  <c r="I317" i="1" l="1"/>
  <c r="L315" i="1"/>
  <c r="J317" i="1"/>
  <c r="L316" i="1" l="1"/>
  <c r="L317" i="1"/>
  <c r="L325" i="1"/>
  <c r="K10" i="1"/>
  <c r="L324" i="1"/>
  <c r="I318" i="1"/>
  <c r="J318" i="1"/>
  <c r="I319" i="1" l="1"/>
  <c r="J319" i="1"/>
  <c r="N325" i="1"/>
  <c r="M325" i="1"/>
  <c r="N324" i="1"/>
  <c r="M324" i="1"/>
  <c r="I320" i="1" l="1"/>
  <c r="J320" i="1"/>
  <c r="I321" i="1" l="1"/>
  <c r="J321" i="1"/>
  <c r="I322" i="1" l="1"/>
  <c r="J322" i="1"/>
  <c r="I323" i="1" l="1"/>
  <c r="J323" i="1"/>
  <c r="I324" i="1" l="1"/>
  <c r="J324" i="1"/>
  <c r="I325" i="1" l="1"/>
  <c r="J325" i="1"/>
  <c r="I326" i="1" l="1"/>
  <c r="J326" i="1"/>
  <c r="I327" i="1" l="1"/>
  <c r="J327" i="1"/>
  <c r="I328" i="1" l="1"/>
  <c r="J328" i="1"/>
  <c r="I329" i="1" l="1"/>
  <c r="J329" i="1"/>
  <c r="I330" i="1" l="1"/>
  <c r="J330" i="1"/>
  <c r="I331" i="1" l="1"/>
  <c r="J331" i="1"/>
  <c r="I332" i="1" l="1"/>
  <c r="J332" i="1"/>
  <c r="I333" i="1" l="1"/>
  <c r="J333" i="1"/>
  <c r="I334" i="1" l="1"/>
  <c r="J334" i="1"/>
  <c r="I335" i="1" l="1"/>
  <c r="J335" i="1"/>
  <c r="I336" i="1" l="1"/>
  <c r="J336" i="1"/>
  <c r="I337" i="1" l="1"/>
  <c r="J337" i="1"/>
  <c r="I338" i="1" l="1"/>
  <c r="J338" i="1"/>
  <c r="I339" i="1" l="1"/>
  <c r="J339" i="1"/>
  <c r="I340" i="1" l="1"/>
  <c r="J340" i="1"/>
  <c r="I341" i="1" l="1"/>
  <c r="J341" i="1"/>
  <c r="I342" i="1" l="1"/>
  <c r="J342" i="1"/>
  <c r="I343" i="1" l="1"/>
  <c r="J343" i="1"/>
  <c r="I344" i="1" l="1"/>
  <c r="J344" i="1"/>
  <c r="I345" i="1" l="1"/>
  <c r="J345" i="1"/>
  <c r="I346" i="1" l="1"/>
  <c r="J346" i="1"/>
  <c r="I347" i="1" l="1"/>
  <c r="J347" i="1"/>
  <c r="I348" i="1" l="1"/>
  <c r="J348" i="1"/>
  <c r="I349" i="1" l="1"/>
  <c r="J349" i="1"/>
  <c r="I350" i="1" l="1"/>
  <c r="J350" i="1"/>
  <c r="I351" i="1" l="1"/>
  <c r="J351" i="1"/>
  <c r="I352" i="1" l="1"/>
  <c r="J352" i="1"/>
  <c r="I353" i="1" l="1"/>
  <c r="J353" i="1"/>
  <c r="I354" i="1" l="1"/>
  <c r="J354" i="1"/>
  <c r="I355" i="1" l="1"/>
  <c r="J355" i="1"/>
  <c r="I356" i="1" l="1"/>
  <c r="J356" i="1"/>
  <c r="I357" i="1" l="1"/>
  <c r="J357" i="1"/>
  <c r="I358" i="1" l="1"/>
  <c r="J358" i="1"/>
  <c r="I359" i="1" l="1"/>
  <c r="J359" i="1"/>
  <c r="I360" i="1" l="1"/>
  <c r="J360" i="1"/>
  <c r="I361" i="1" l="1"/>
  <c r="J361" i="1"/>
  <c r="I362" i="1" l="1"/>
  <c r="J362" i="1"/>
  <c r="I363" i="1" l="1"/>
  <c r="J363" i="1"/>
  <c r="I364" i="1" l="1"/>
  <c r="J364" i="1"/>
  <c r="I365" i="1" l="1"/>
  <c r="J365" i="1"/>
  <c r="I366" i="1" l="1"/>
  <c r="J366" i="1"/>
  <c r="I367" i="1" l="1"/>
  <c r="J367" i="1"/>
  <c r="I368" i="1" l="1"/>
  <c r="J368" i="1"/>
  <c r="I369" i="1" l="1"/>
  <c r="J369" i="1"/>
  <c r="I370" i="1" l="1"/>
  <c r="J370" i="1"/>
  <c r="I371" i="1" l="1"/>
  <c r="J371" i="1"/>
  <c r="I372" i="1" l="1"/>
  <c r="J372" i="1"/>
  <c r="I373" i="1" l="1"/>
  <c r="J373" i="1"/>
  <c r="I374" i="1" l="1"/>
  <c r="J374" i="1"/>
  <c r="I375" i="1" l="1"/>
  <c r="J375" i="1"/>
  <c r="I376" i="1" l="1"/>
  <c r="J376" i="1"/>
  <c r="I377" i="1" l="1"/>
  <c r="J377" i="1"/>
  <c r="I378" i="1" l="1"/>
  <c r="J378" i="1"/>
  <c r="I379" i="1" l="1"/>
  <c r="J379" i="1"/>
  <c r="I380" i="1" l="1"/>
  <c r="J380" i="1"/>
  <c r="I381" i="1" l="1"/>
  <c r="J381" i="1"/>
  <c r="I382" i="1" l="1"/>
  <c r="J382" i="1"/>
  <c r="I383" i="1" l="1"/>
  <c r="J383" i="1"/>
  <c r="I384" i="1" l="1"/>
  <c r="J384" i="1"/>
  <c r="I385" i="1" l="1"/>
  <c r="J385" i="1"/>
  <c r="I386" i="1" l="1"/>
  <c r="J386" i="1"/>
  <c r="I387" i="1" l="1"/>
  <c r="J387" i="1"/>
  <c r="I388" i="1" l="1"/>
  <c r="J388" i="1"/>
  <c r="I389" i="1" l="1"/>
  <c r="J389" i="1"/>
  <c r="I390" i="1" l="1"/>
  <c r="J390" i="1"/>
  <c r="I391" i="1" l="1"/>
  <c r="J391" i="1"/>
  <c r="I392" i="1" l="1"/>
  <c r="J392" i="1"/>
  <c r="I393" i="1" l="1"/>
  <c r="J393" i="1"/>
  <c r="I394" i="1" l="1"/>
  <c r="J394" i="1"/>
  <c r="I395" i="1" l="1"/>
  <c r="J395" i="1"/>
  <c r="I396" i="1" l="1"/>
  <c r="J396" i="1"/>
  <c r="I397" i="1" l="1"/>
  <c r="J397" i="1"/>
  <c r="I398" i="1" l="1"/>
  <c r="J398" i="1"/>
  <c r="I399" i="1" l="1"/>
  <c r="J399" i="1"/>
  <c r="I400" i="1" l="1"/>
  <c r="J400" i="1"/>
  <c r="I401" i="1" l="1"/>
  <c r="J401" i="1"/>
  <c r="I402" i="1" l="1"/>
  <c r="J402" i="1"/>
  <c r="I403" i="1" l="1"/>
  <c r="J403" i="1"/>
  <c r="I404" i="1" l="1"/>
  <c r="J404" i="1"/>
  <c r="I405" i="1" l="1"/>
  <c r="J405" i="1"/>
  <c r="I406" i="1" l="1"/>
  <c r="J406" i="1"/>
  <c r="I407" i="1" l="1"/>
  <c r="J407" i="1"/>
  <c r="I408" i="1" l="1"/>
  <c r="J408" i="1"/>
  <c r="I409" i="1" l="1"/>
  <c r="J409" i="1"/>
  <c r="I410" i="1" l="1"/>
  <c r="J410" i="1"/>
  <c r="I411" i="1" l="1"/>
  <c r="J411" i="1"/>
  <c r="I412" i="1" l="1"/>
  <c r="J412" i="1"/>
  <c r="I413" i="1" l="1"/>
  <c r="J413" i="1"/>
  <c r="I414" i="1" l="1"/>
  <c r="J414" i="1"/>
  <c r="I415" i="1" l="1"/>
  <c r="J415" i="1"/>
  <c r="I416" i="1" l="1"/>
  <c r="J416" i="1"/>
  <c r="I417" i="1" l="1"/>
  <c r="J417" i="1"/>
  <c r="I418" i="1" l="1"/>
  <c r="J418" i="1"/>
  <c r="I419" i="1" l="1"/>
  <c r="J419" i="1"/>
  <c r="I420" i="1" l="1"/>
  <c r="J420" i="1"/>
  <c r="I421" i="1" l="1"/>
  <c r="J421" i="1"/>
  <c r="I422" i="1" l="1"/>
  <c r="J422" i="1"/>
  <c r="I423" i="1" l="1"/>
  <c r="J423" i="1"/>
  <c r="I424" i="1" l="1"/>
  <c r="J424" i="1"/>
  <c r="I425" i="1" l="1"/>
  <c r="J425" i="1"/>
  <c r="I426" i="1" l="1"/>
  <c r="J426" i="1"/>
  <c r="I427" i="1" l="1"/>
  <c r="J427" i="1"/>
  <c r="I428" i="1" l="1"/>
  <c r="J428" i="1"/>
  <c r="I429" i="1" l="1"/>
  <c r="J429" i="1"/>
  <c r="I430" i="1" l="1"/>
  <c r="J430" i="1"/>
  <c r="I431" i="1" l="1"/>
  <c r="J431" i="1"/>
  <c r="I432" i="1" l="1"/>
  <c r="J432" i="1"/>
  <c r="I433" i="1" l="1"/>
  <c r="J433" i="1"/>
  <c r="I434" i="1" l="1"/>
  <c r="J434" i="1"/>
  <c r="I435" i="1" l="1"/>
  <c r="J435" i="1"/>
  <c r="I436" i="1" l="1"/>
  <c r="J436" i="1"/>
  <c r="I437" i="1" l="1"/>
  <c r="J437" i="1"/>
  <c r="I438" i="1" l="1"/>
  <c r="J438" i="1"/>
  <c r="I439" i="1" l="1"/>
  <c r="J439" i="1"/>
  <c r="I440" i="1" l="1"/>
  <c r="J440" i="1"/>
  <c r="I441" i="1" l="1"/>
  <c r="J441" i="1"/>
  <c r="I442" i="1" l="1"/>
  <c r="J442" i="1"/>
  <c r="I443" i="1" l="1"/>
  <c r="J443" i="1"/>
  <c r="I444" i="1" l="1"/>
  <c r="J444" i="1"/>
  <c r="I445" i="1" l="1"/>
  <c r="J445" i="1"/>
  <c r="I446" i="1" l="1"/>
  <c r="J446" i="1"/>
  <c r="I447" i="1" l="1"/>
  <c r="J447" i="1"/>
  <c r="I448" i="1" l="1"/>
  <c r="J448" i="1"/>
  <c r="I449" i="1" l="1"/>
  <c r="J449" i="1"/>
  <c r="I450" i="1" l="1"/>
  <c r="J450" i="1"/>
  <c r="I451" i="1" l="1"/>
  <c r="J451" i="1"/>
  <c r="I452" i="1" l="1"/>
  <c r="J452" i="1"/>
  <c r="I453" i="1" l="1"/>
  <c r="J453" i="1"/>
  <c r="I454" i="1" l="1"/>
  <c r="J454" i="1"/>
  <c r="I455" i="1" l="1"/>
  <c r="J455" i="1"/>
  <c r="I456" i="1" l="1"/>
  <c r="J456" i="1"/>
  <c r="I457" i="1" l="1"/>
  <c r="J457" i="1"/>
  <c r="I458" i="1" l="1"/>
  <c r="J458" i="1"/>
  <c r="I459" i="1" l="1"/>
  <c r="J459" i="1"/>
  <c r="I460" i="1" l="1"/>
  <c r="J460" i="1"/>
  <c r="I461" i="1" l="1"/>
  <c r="J461" i="1"/>
  <c r="I462" i="1" l="1"/>
  <c r="J462" i="1"/>
  <c r="I463" i="1" l="1"/>
  <c r="J463" i="1"/>
  <c r="I464" i="1" l="1"/>
  <c r="J464" i="1"/>
  <c r="I465" i="1" l="1"/>
  <c r="J465" i="1"/>
  <c r="I466" i="1" l="1"/>
  <c r="J466" i="1"/>
  <c r="I467" i="1" l="1"/>
  <c r="J467" i="1"/>
  <c r="I468" i="1" l="1"/>
  <c r="J468" i="1"/>
  <c r="I469" i="1" l="1"/>
  <c r="J469" i="1"/>
  <c r="I470" i="1" l="1"/>
  <c r="J470" i="1"/>
  <c r="I471" i="1" l="1"/>
  <c r="J471" i="1"/>
  <c r="I472" i="1" l="1"/>
  <c r="J472" i="1"/>
  <c r="I473" i="1" l="1"/>
  <c r="J473" i="1"/>
  <c r="I474" i="1" l="1"/>
  <c r="J474" i="1"/>
  <c r="I475" i="1" l="1"/>
  <c r="J475" i="1"/>
  <c r="I476" i="1" l="1"/>
  <c r="J476" i="1"/>
  <c r="I477" i="1" l="1"/>
  <c r="J477" i="1"/>
  <c r="I478" i="1" l="1"/>
  <c r="J478" i="1"/>
  <c r="I479" i="1" l="1"/>
  <c r="J479" i="1"/>
  <c r="I480" i="1" l="1"/>
  <c r="J480" i="1"/>
  <c r="I481" i="1" l="1"/>
  <c r="J481" i="1"/>
  <c r="I482" i="1" l="1"/>
  <c r="J482" i="1"/>
  <c r="I483" i="1" l="1"/>
  <c r="J483" i="1"/>
  <c r="I484" i="1" l="1"/>
  <c r="J484" i="1"/>
  <c r="I485" i="1" l="1"/>
  <c r="J485" i="1"/>
  <c r="I486" i="1" l="1"/>
  <c r="J486" i="1"/>
  <c r="I487" i="1" l="1"/>
  <c r="J487" i="1"/>
  <c r="I488" i="1" l="1"/>
  <c r="J488" i="1"/>
  <c r="I489" i="1" l="1"/>
  <c r="J489" i="1"/>
  <c r="I490" i="1" l="1"/>
  <c r="J490" i="1"/>
  <c r="I491" i="1" l="1"/>
  <c r="J491" i="1"/>
  <c r="I492" i="1" l="1"/>
  <c r="J492" i="1"/>
  <c r="I493" i="1" l="1"/>
  <c r="J493" i="1"/>
  <c r="I494" i="1" l="1"/>
  <c r="J494" i="1"/>
  <c r="I495" i="1" l="1"/>
  <c r="J495" i="1"/>
  <c r="I496" i="1" l="1"/>
  <c r="J496" i="1"/>
  <c r="I497" i="1" l="1"/>
  <c r="J497" i="1"/>
  <c r="I498" i="1" l="1"/>
  <c r="J498" i="1"/>
  <c r="I499" i="1" l="1"/>
  <c r="J499" i="1"/>
  <c r="I500" i="1" l="1"/>
  <c r="J500" i="1"/>
  <c r="I501" i="1" l="1"/>
  <c r="J501" i="1"/>
  <c r="I502" i="1" l="1"/>
  <c r="J502" i="1"/>
  <c r="I503" i="1" l="1"/>
  <c r="J503" i="1"/>
  <c r="I504" i="1" l="1"/>
  <c r="J504" i="1"/>
  <c r="I505" i="1" l="1"/>
  <c r="J505" i="1"/>
  <c r="I506" i="1" l="1"/>
  <c r="J506" i="1"/>
  <c r="I507" i="1" l="1"/>
  <c r="J507" i="1"/>
  <c r="I508" i="1" l="1"/>
  <c r="J508" i="1"/>
  <c r="I509" i="1" l="1"/>
  <c r="J509" i="1"/>
  <c r="I510" i="1" l="1"/>
  <c r="J510" i="1"/>
  <c r="I511" i="1" l="1"/>
  <c r="J511" i="1"/>
  <c r="I512" i="1" l="1"/>
  <c r="J512" i="1"/>
  <c r="I513" i="1" l="1"/>
  <c r="J513" i="1"/>
  <c r="I514" i="1" l="1"/>
  <c r="J514" i="1"/>
  <c r="I515" i="1" l="1"/>
  <c r="J515" i="1"/>
  <c r="I516" i="1" l="1"/>
  <c r="J516" i="1"/>
  <c r="I517" i="1" l="1"/>
  <c r="J517" i="1"/>
  <c r="I518" i="1" l="1"/>
  <c r="J518" i="1"/>
  <c r="I519" i="1" l="1"/>
  <c r="J519" i="1"/>
  <c r="I520" i="1" l="1"/>
  <c r="J520" i="1"/>
  <c r="I521" i="1" l="1"/>
  <c r="J521" i="1"/>
  <c r="I522" i="1" l="1"/>
  <c r="J522" i="1"/>
  <c r="I523" i="1" l="1"/>
  <c r="J523" i="1"/>
  <c r="I524" i="1" l="1"/>
  <c r="J524" i="1"/>
  <c r="I525" i="1" l="1"/>
  <c r="J525" i="1"/>
  <c r="I526" i="1" l="1"/>
  <c r="J526" i="1"/>
  <c r="I527" i="1" l="1"/>
  <c r="J527" i="1"/>
  <c r="I528" i="1" l="1"/>
  <c r="J528" i="1"/>
  <c r="I529" i="1" l="1"/>
  <c r="J529" i="1"/>
  <c r="I530" i="1" l="1"/>
  <c r="J530" i="1"/>
  <c r="I531" i="1" l="1"/>
  <c r="J531" i="1"/>
  <c r="I532" i="1" l="1"/>
  <c r="J532" i="1"/>
  <c r="I533" i="1" l="1"/>
  <c r="J533" i="1"/>
  <c r="I534" i="1" l="1"/>
  <c r="J534" i="1"/>
  <c r="I535" i="1" l="1"/>
  <c r="J535" i="1"/>
  <c r="I536" i="1" l="1"/>
  <c r="J536" i="1"/>
  <c r="I537" i="1" l="1"/>
  <c r="J537" i="1"/>
  <c r="I538" i="1" l="1"/>
  <c r="J538" i="1"/>
  <c r="I539" i="1" l="1"/>
  <c r="J539" i="1"/>
  <c r="I540" i="1" l="1"/>
  <c r="J540" i="1"/>
  <c r="I541" i="1" l="1"/>
  <c r="J541" i="1"/>
  <c r="I542" i="1" l="1"/>
  <c r="J542" i="1"/>
  <c r="I543" i="1" l="1"/>
  <c r="J543" i="1"/>
  <c r="I544" i="1" l="1"/>
  <c r="J544" i="1"/>
  <c r="I545" i="1" l="1"/>
  <c r="J545" i="1"/>
  <c r="I546" i="1" l="1"/>
  <c r="J546" i="1"/>
  <c r="I547" i="1" l="1"/>
  <c r="J547" i="1"/>
  <c r="I548" i="1" l="1"/>
  <c r="J548" i="1"/>
  <c r="I549" i="1" l="1"/>
  <c r="J549" i="1"/>
  <c r="I550" i="1" l="1"/>
  <c r="J550" i="1"/>
  <c r="I551" i="1" l="1"/>
  <c r="J551" i="1"/>
  <c r="I552" i="1" l="1"/>
  <c r="J552" i="1"/>
  <c r="I553" i="1" l="1"/>
  <c r="J553" i="1"/>
  <c r="I554" i="1" l="1"/>
  <c r="J554" i="1"/>
  <c r="I555" i="1" l="1"/>
  <c r="J555" i="1"/>
  <c r="I556" i="1" l="1"/>
  <c r="J556" i="1"/>
  <c r="I557" i="1" l="1"/>
  <c r="J557" i="1"/>
  <c r="I558" i="1" l="1"/>
  <c r="J558" i="1"/>
  <c r="I559" i="1" l="1"/>
  <c r="J559" i="1"/>
  <c r="I560" i="1" l="1"/>
  <c r="J560" i="1"/>
  <c r="I561" i="1" l="1"/>
  <c r="J561" i="1"/>
  <c r="I562" i="1" l="1"/>
  <c r="J562" i="1"/>
  <c r="I563" i="1" l="1"/>
  <c r="J563" i="1"/>
  <c r="I564" i="1" l="1"/>
  <c r="J564" i="1"/>
  <c r="I565" i="1" l="1"/>
  <c r="J565" i="1"/>
  <c r="I566" i="1" l="1"/>
  <c r="J566" i="1"/>
  <c r="I567" i="1" l="1"/>
  <c r="J567" i="1"/>
  <c r="I568" i="1" l="1"/>
  <c r="J568" i="1"/>
  <c r="I569" i="1" l="1"/>
  <c r="J569" i="1"/>
  <c r="I570" i="1" l="1"/>
  <c r="J570" i="1"/>
  <c r="I571" i="1" l="1"/>
  <c r="J571" i="1"/>
  <c r="I572" i="1" l="1"/>
  <c r="J572" i="1"/>
  <c r="I573" i="1" l="1"/>
  <c r="J573" i="1"/>
  <c r="I574" i="1" l="1"/>
  <c r="J574" i="1"/>
  <c r="I575" i="1" l="1"/>
  <c r="J575" i="1"/>
  <c r="I576" i="1" l="1"/>
  <c r="J576" i="1"/>
  <c r="I577" i="1" l="1"/>
  <c r="J577" i="1"/>
  <c r="I578" i="1" l="1"/>
  <c r="J578" i="1"/>
  <c r="I579" i="1" l="1"/>
  <c r="J579" i="1"/>
  <c r="I580" i="1" l="1"/>
  <c r="J580" i="1"/>
  <c r="I581" i="1" l="1"/>
  <c r="J581" i="1"/>
  <c r="I582" i="1" l="1"/>
  <c r="J582" i="1"/>
  <c r="I583" i="1" l="1"/>
  <c r="J583" i="1"/>
  <c r="I584" i="1" l="1"/>
  <c r="J584" i="1"/>
  <c r="I585" i="1" l="1"/>
  <c r="J585" i="1"/>
  <c r="I586" i="1" l="1"/>
  <c r="J586" i="1"/>
  <c r="I587" i="1" l="1"/>
  <c r="J587" i="1"/>
  <c r="I590" i="1" l="1"/>
  <c r="J590" i="1"/>
  <c r="I591" i="1" l="1"/>
  <c r="J591" i="1"/>
  <c r="I588" i="1" l="1"/>
  <c r="J588" i="1"/>
  <c r="I589" i="1" l="1"/>
  <c r="J589" i="1"/>
  <c r="I592" i="1" l="1"/>
  <c r="J592" i="1"/>
  <c r="I593" i="1" l="1"/>
  <c r="J593" i="1"/>
  <c r="I594" i="1" l="1"/>
  <c r="I595" i="1" l="1"/>
  <c r="I596" i="1" l="1"/>
  <c r="F611" i="1"/>
  <c r="I611" i="1" s="1"/>
  <c r="I617" i="1" l="1"/>
  <c r="K617" i="1" s="1"/>
  <c r="J611" i="1"/>
  <c r="K611" i="1" s="1"/>
  <c r="K612" i="1" s="1"/>
  <c r="K613" i="1" s="1"/>
  <c r="K614" i="1" s="1"/>
  <c r="K615" i="1" s="1"/>
  <c r="I618" i="1"/>
  <c r="I616" i="1"/>
  <c r="K616" i="1" s="1"/>
  <c r="I598" i="1"/>
  <c r="I597" i="1"/>
  <c r="I620" i="1" l="1"/>
  <c r="K620" i="1" s="1"/>
  <c r="K618" i="1"/>
  <c r="I621" i="1" l="1"/>
  <c r="K6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Das, Himangshu</author>
    <author>tc={170B39AF-937B-4DE7-989C-5B172AC3153C}</author>
  </authors>
  <commentList>
    <comment ref="K10" authorId="0" shapeId="0" xr:uid="{00000000-0006-0000-0000-000001000000}">
      <text>
        <r>
          <rPr>
            <sz val="9"/>
            <color indexed="81"/>
            <rFont val="Tahoma"/>
            <family val="2"/>
          </rPr>
          <t>Automaticall takes from Tally</t>
        </r>
      </text>
    </comment>
    <comment ref="K323" authorId="1" shapeId="0" xr:uid="{170B39AF-937B-4DE7-989C-5B172AC3153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QG-7IN-ZXP-04-NFE
QG-7IN-SA-11-NFE</t>
      </text>
    </comment>
  </commentList>
</comments>
</file>

<file path=xl/sharedStrings.xml><?xml version="1.0" encoding="utf-8"?>
<sst xmlns="http://schemas.openxmlformats.org/spreadsheetml/2006/main" count="1516" uniqueCount="316">
  <si>
    <t>Baker Hughes</t>
  </si>
  <si>
    <t>Tension:</t>
  </si>
  <si>
    <t>Well:</t>
  </si>
  <si>
    <t>Date:</t>
  </si>
  <si>
    <t>Burst:</t>
  </si>
  <si>
    <t>Rig:</t>
  </si>
  <si>
    <t>Collapse:</t>
  </si>
  <si>
    <t>Liner Run #:</t>
  </si>
  <si>
    <t>Casing Size:</t>
  </si>
  <si>
    <t>Block Weight:</t>
  </si>
  <si>
    <t>Weight:</t>
  </si>
  <si>
    <t>Mud Weight:</t>
  </si>
  <si>
    <t>Grade:</t>
  </si>
  <si>
    <t>BF:</t>
  </si>
  <si>
    <t>Rat Hole:</t>
  </si>
  <si>
    <t>Make Up Loss:</t>
  </si>
  <si>
    <t>Connection:</t>
  </si>
  <si>
    <t>CENTRALIZERS</t>
  </si>
  <si>
    <t>JOINT</t>
  </si>
  <si>
    <t>EFFECTIVE</t>
  </si>
  <si>
    <t>TOTAL</t>
  </si>
  <si>
    <t>DEPTH OF</t>
  </si>
  <si>
    <t xml:space="preserve">EST STRG </t>
  </si>
  <si>
    <t>COMMENTS</t>
  </si>
  <si>
    <t>No.</t>
  </si>
  <si>
    <t>Type</t>
  </si>
  <si>
    <t>NUM.</t>
  </si>
  <si>
    <t>LENGTH</t>
  </si>
  <si>
    <t>IN/OUT</t>
  </si>
  <si>
    <t>TOP OF JT</t>
  </si>
  <si>
    <t>WEIGHT</t>
  </si>
  <si>
    <t xml:space="preserve">        COMMENTS</t>
  </si>
  <si>
    <t>IN</t>
  </si>
  <si>
    <t>Shoe Joint</t>
  </si>
  <si>
    <t>Pup Joint</t>
  </si>
  <si>
    <t>Bow Spring</t>
  </si>
  <si>
    <t>OUT</t>
  </si>
  <si>
    <t>Mid Packer</t>
  </si>
  <si>
    <t>Mid Packer Slips</t>
  </si>
  <si>
    <t>Mid Hanger Slips</t>
  </si>
  <si>
    <t>Total Centralizers:</t>
  </si>
  <si>
    <t xml:space="preserve">Centralizers Type: </t>
  </si>
  <si>
    <t>-</t>
  </si>
  <si>
    <t xml:space="preserve">FC Pup Joint </t>
  </si>
  <si>
    <t>FC Pup Joint</t>
  </si>
  <si>
    <t>STD#1</t>
  </si>
  <si>
    <t>STD#2</t>
  </si>
  <si>
    <t>STD#3</t>
  </si>
  <si>
    <t>STD#4</t>
  </si>
  <si>
    <t>STD#5</t>
  </si>
  <si>
    <t>STD#6</t>
  </si>
  <si>
    <t>STD#7</t>
  </si>
  <si>
    <t>STD#8</t>
  </si>
  <si>
    <t>STD#9</t>
  </si>
  <si>
    <t>STD#10</t>
  </si>
  <si>
    <t>STD#11</t>
  </si>
  <si>
    <t>STD#12</t>
  </si>
  <si>
    <t>STD#13</t>
  </si>
  <si>
    <t>STD#14</t>
  </si>
  <si>
    <t>STD#15</t>
  </si>
  <si>
    <t>STD#16</t>
  </si>
  <si>
    <t>STD#17</t>
  </si>
  <si>
    <t>STD#18</t>
  </si>
  <si>
    <t>STD#19</t>
  </si>
  <si>
    <t>STD#20</t>
  </si>
  <si>
    <t>STD#21</t>
  </si>
  <si>
    <t>STD#22</t>
  </si>
  <si>
    <t>STD#23</t>
  </si>
  <si>
    <t>STD#24</t>
  </si>
  <si>
    <t>STD#25</t>
  </si>
  <si>
    <t>STD#26</t>
  </si>
  <si>
    <t>STD#27</t>
  </si>
  <si>
    <t>STD#28</t>
  </si>
  <si>
    <t>STD#29</t>
  </si>
  <si>
    <t>STD#30</t>
  </si>
  <si>
    <t>STD#31</t>
  </si>
  <si>
    <t>STD#32</t>
  </si>
  <si>
    <t>STD#33</t>
  </si>
  <si>
    <t>STD#34</t>
  </si>
  <si>
    <t>STD#35</t>
  </si>
  <si>
    <t>STD#36</t>
  </si>
  <si>
    <t>STD#37</t>
  </si>
  <si>
    <t>STD#38</t>
  </si>
  <si>
    <t>STD#39</t>
  </si>
  <si>
    <t>STD#40</t>
  </si>
  <si>
    <t>STD#41</t>
  </si>
  <si>
    <t>STD#42</t>
  </si>
  <si>
    <t>STD#43</t>
  </si>
  <si>
    <t>STD#44</t>
  </si>
  <si>
    <t>STD#45</t>
  </si>
  <si>
    <t>STD#46</t>
  </si>
  <si>
    <t xml:space="preserve">RT Stick Up </t>
  </si>
  <si>
    <t>STD#47</t>
  </si>
  <si>
    <t>BAKER</t>
  </si>
  <si>
    <t xml:space="preserve">Float Collar - DV </t>
  </si>
  <si>
    <t>LFC Landing Collar</t>
  </si>
  <si>
    <t>XT-57 Box</t>
  </si>
  <si>
    <t>9-5/8" CASING COLLARS @</t>
  </si>
  <si>
    <t>9-5/8" Shoe:</t>
  </si>
  <si>
    <t>Top of 7" Liner:</t>
  </si>
  <si>
    <t>STD#48</t>
  </si>
  <si>
    <t>STD#49</t>
  </si>
  <si>
    <t>STD#50</t>
  </si>
  <si>
    <t>STD#51</t>
  </si>
  <si>
    <t>STD#52</t>
  </si>
  <si>
    <t>STD#53</t>
  </si>
  <si>
    <t>STD#54</t>
  </si>
  <si>
    <t>STD#55</t>
  </si>
  <si>
    <t>STD#56</t>
  </si>
  <si>
    <t>STD#57</t>
  </si>
  <si>
    <t>STD#58</t>
  </si>
  <si>
    <t>STD#59</t>
  </si>
  <si>
    <t>STD#60</t>
  </si>
  <si>
    <t>STD#61</t>
  </si>
  <si>
    <t>STD#62</t>
  </si>
  <si>
    <t>STD#63</t>
  </si>
  <si>
    <t>STD#64</t>
  </si>
  <si>
    <t>STD#65</t>
  </si>
  <si>
    <t>STD#66</t>
  </si>
  <si>
    <t>STD#67</t>
  </si>
  <si>
    <t>STD#68</t>
  </si>
  <si>
    <t>Liner Lap:</t>
  </si>
  <si>
    <t>Top Of Liner:</t>
  </si>
  <si>
    <t>Red - X Bow Spring</t>
  </si>
  <si>
    <t>TORQUE:</t>
  </si>
  <si>
    <t>XT-57: 58,100 ft-lbs</t>
  </si>
  <si>
    <t>Liner Length:</t>
  </si>
  <si>
    <t>TOTAL CEMENT HEAD LENGTH:</t>
  </si>
  <si>
    <t>7 IN LINER TALLY</t>
  </si>
  <si>
    <t>STD#69</t>
  </si>
  <si>
    <t>STD#70</t>
  </si>
  <si>
    <t>STD#71</t>
  </si>
  <si>
    <t>STD#72</t>
  </si>
  <si>
    <t>STD#73</t>
  </si>
  <si>
    <t>STD#74</t>
  </si>
  <si>
    <t>STD#75</t>
  </si>
  <si>
    <t>STD#76</t>
  </si>
  <si>
    <t>STD#77</t>
  </si>
  <si>
    <t>STD#78</t>
  </si>
  <si>
    <t>STD#79</t>
  </si>
  <si>
    <t>STD#80</t>
  </si>
  <si>
    <t>7" 29# CASING JOINTS</t>
  </si>
  <si>
    <r>
      <t xml:space="preserve">UNIFLEX-Pro ZXP CS </t>
    </r>
    <r>
      <rPr>
        <b/>
        <sz val="8"/>
        <rFont val="Geneva"/>
      </rPr>
      <t>(MID-ELEMENT)</t>
    </r>
  </si>
  <si>
    <r>
      <t>UNIFLEX-Pro CS</t>
    </r>
    <r>
      <rPr>
        <b/>
        <sz val="8"/>
        <rFont val="Geneva"/>
      </rPr>
      <t xml:space="preserve"> LINER HANGER PBR</t>
    </r>
  </si>
  <si>
    <r>
      <t xml:space="preserve">UNIFLEX-Pro CS </t>
    </r>
    <r>
      <rPr>
        <b/>
        <sz val="8"/>
        <rFont val="Geneva"/>
      </rPr>
      <t>HANGER PUP JOINT</t>
    </r>
  </si>
  <si>
    <r>
      <t xml:space="preserve">UNIFLEX-Pro CS </t>
    </r>
    <r>
      <rPr>
        <b/>
        <sz val="8"/>
        <rFont val="Geneva"/>
      </rPr>
      <t>HANGER (BOTTOM)</t>
    </r>
  </si>
  <si>
    <r>
      <t xml:space="preserve">UNIFLEX-Pro CS </t>
    </r>
    <r>
      <rPr>
        <b/>
        <sz val="8"/>
        <rFont val="Geneva"/>
      </rPr>
      <t>HANGER (MID-SLIPS)</t>
    </r>
  </si>
  <si>
    <t>**2nd ball - 1.625” - Release RT</t>
  </si>
  <si>
    <t>**1st ball - 1.500” - Set liner hanger</t>
  </si>
  <si>
    <t>QG Representative:</t>
  </si>
  <si>
    <t>TSH Wedge 563 Dopeless</t>
  </si>
  <si>
    <t>7" 29# PUP JOINTS</t>
  </si>
  <si>
    <t xml:space="preserve">Float Shoe </t>
  </si>
  <si>
    <t>10-3/4" x 9-5/8" X-Over:</t>
  </si>
  <si>
    <t>Mid Packer Elements</t>
  </si>
  <si>
    <t xml:space="preserve">7" 29# PUP JOINT </t>
  </si>
  <si>
    <t xml:space="preserve">Mininum DRIFT OD &gt; 2.50" </t>
  </si>
  <si>
    <r>
      <t>X-OVER</t>
    </r>
    <r>
      <rPr>
        <b/>
        <sz val="8.5"/>
        <rFont val="Geneva"/>
      </rPr>
      <t xml:space="preserve"> </t>
    </r>
    <r>
      <rPr>
        <b/>
        <sz val="7.5"/>
        <rFont val="Geneva"/>
      </rPr>
      <t>(5.5" DELTA576 Box x XT-57 Pin)</t>
    </r>
  </si>
  <si>
    <t xml:space="preserve">5-1/2" DP PUP JOINT - 10 ft </t>
  </si>
  <si>
    <t>Halliburton Commander 1000 - 6-5/8" Reg</t>
  </si>
  <si>
    <t>+/- 8,000 lbs.</t>
  </si>
  <si>
    <t>Standard Drift:</t>
  </si>
  <si>
    <t>7" Shoe Depth:</t>
  </si>
  <si>
    <t>8.5" MD:</t>
  </si>
  <si>
    <t>29# PUP JOINT LENGTH</t>
  </si>
  <si>
    <t>04 ft</t>
  </si>
  <si>
    <t>06 ft</t>
  </si>
  <si>
    <t>08 ft</t>
  </si>
  <si>
    <t>10 ft</t>
  </si>
  <si>
    <t>20 ft</t>
  </si>
  <si>
    <t>Total Number</t>
  </si>
  <si>
    <t>7" 29# Casing</t>
  </si>
  <si>
    <t xml:space="preserve">PN: H100950451GRG1                                                                                </t>
  </si>
  <si>
    <t>PN: H101890295GRG1</t>
  </si>
  <si>
    <r>
      <t xml:space="preserve">5-1/2" DP - DELTA 576, </t>
    </r>
    <r>
      <rPr>
        <sz val="7"/>
        <rFont val="Geneva"/>
      </rPr>
      <t>HS-125</t>
    </r>
  </si>
  <si>
    <t>X-Over Sub, 6-5/8" Reg B x 5-1/2" DELTA 576 P</t>
  </si>
  <si>
    <t>X-Over Sub, 5-1/2" DELTA 576 B x 6-5/8" Reg P</t>
  </si>
  <si>
    <t>SAN28-110 Ksi</t>
  </si>
  <si>
    <t>Above Botton Coupling</t>
  </si>
  <si>
    <t>Below Top Coupling</t>
  </si>
  <si>
    <t>VOLUME</t>
  </si>
  <si>
    <t>ID (in)</t>
  </si>
  <si>
    <t>Length (ft)</t>
  </si>
  <si>
    <t>Capacity Factor</t>
  </si>
  <si>
    <t>VOLUME (bbls)</t>
  </si>
  <si>
    <t>STKS</t>
  </si>
  <si>
    <t>TOTAL DISPLACEMENT</t>
  </si>
  <si>
    <t>5-1/2" DP ID (In):</t>
  </si>
  <si>
    <t>5-1/2" HWDP ID (In)</t>
  </si>
  <si>
    <t>LINER R/T:</t>
  </si>
  <si>
    <t>7" 29# - LFC to LC VOLUME (Bbls):</t>
  </si>
  <si>
    <t>7" 29# - SHOE TRACK VOLUME (Bbls):</t>
  </si>
  <si>
    <t xml:space="preserve"> TOTAL VOLUME TO LATCH &amp; SHEAR THE LINER WIPER PLUG:</t>
  </si>
  <si>
    <t>TOTAL VOLUME TO BUMP THE PLUG:</t>
  </si>
  <si>
    <t>HALF SHOE TRACK VOLUME:</t>
  </si>
  <si>
    <t>COMPRESSIBILTY FACTOR:</t>
  </si>
  <si>
    <t>TOTAL DISPLACMENT TO BUMP + 1/2 SHOE TRACK + COMPRESSIBILTY FACTOR:</t>
  </si>
  <si>
    <t>Energy Enticer</t>
  </si>
  <si>
    <t>JT#17</t>
  </si>
  <si>
    <t>JT#18</t>
  </si>
  <si>
    <t>JT#20</t>
  </si>
  <si>
    <t>JT#21</t>
  </si>
  <si>
    <r>
      <t xml:space="preserve">5.5" HWDP Delta 576, </t>
    </r>
    <r>
      <rPr>
        <sz val="7"/>
        <rFont val="Geneva"/>
      </rPr>
      <t>XD 90</t>
    </r>
  </si>
  <si>
    <r>
      <t>5.5" HWDP Delta 576</t>
    </r>
    <r>
      <rPr>
        <sz val="7"/>
        <rFont val="Geneva"/>
      </rPr>
      <t>, XD 90</t>
    </r>
  </si>
  <si>
    <t>STD#81</t>
  </si>
  <si>
    <t>STD#82</t>
  </si>
  <si>
    <t>STD#83</t>
  </si>
  <si>
    <t>STD#84</t>
  </si>
  <si>
    <t>STD#85</t>
  </si>
  <si>
    <t>STD#86</t>
  </si>
  <si>
    <t>STD#87</t>
  </si>
  <si>
    <t>STD#88</t>
  </si>
  <si>
    <t>STD#89</t>
  </si>
  <si>
    <t>PJ-A</t>
  </si>
  <si>
    <t>PJ-B</t>
  </si>
  <si>
    <t>PJ-C</t>
  </si>
  <si>
    <t>PJ-D</t>
  </si>
  <si>
    <t>PJ-E</t>
  </si>
  <si>
    <t>PJ-F</t>
  </si>
  <si>
    <t>PJ-G</t>
  </si>
  <si>
    <t>PJ-H</t>
  </si>
  <si>
    <r>
      <t xml:space="preserve">UNIFLEX-Pro </t>
    </r>
    <r>
      <rPr>
        <b/>
        <sz val="8"/>
        <rFont val="Geneva"/>
      </rPr>
      <t>PACKER (PKR-SLIPS)</t>
    </r>
  </si>
  <si>
    <t xml:space="preserve">7" 29# UNIFLEX-PRO CS Hanger </t>
  </si>
  <si>
    <t>iN</t>
  </si>
  <si>
    <t>Nom. / Cal. ID:</t>
  </si>
  <si>
    <t>7" 29# ZXP Packer (Cont.)</t>
  </si>
  <si>
    <t>0.1188 bbls/stk</t>
  </si>
  <si>
    <t xml:space="preserve">PIP TAG </t>
  </si>
  <si>
    <t>DESIRED DEPTH (Ft)</t>
  </si>
  <si>
    <t>ACTUAL DEPTH (Ft)</t>
  </si>
  <si>
    <t>DIFFERENCE (+/-) Ft</t>
  </si>
  <si>
    <t>JOINT NUMBER (DECK NO)</t>
  </si>
  <si>
    <t>STOP COLLAR</t>
  </si>
  <si>
    <t>5 ft. from PIN</t>
  </si>
  <si>
    <t xml:space="preserve"> TOTAL STRING (LINER + DP) VOLUME:</t>
  </si>
  <si>
    <t>NFQ17-1</t>
  </si>
  <si>
    <t>DECK TALLY NFQ17-1</t>
  </si>
  <si>
    <t>QG-7IN-FS-103-NFE</t>
  </si>
  <si>
    <t>SN: 76187-76139-27</t>
  </si>
  <si>
    <t>QG-7IN-FC-103-NFE</t>
  </si>
  <si>
    <t xml:space="preserve"> SN: 76168-76124-12</t>
  </si>
  <si>
    <t>QG-7IN-LC-104-NFE</t>
  </si>
  <si>
    <t>SN: 15927199</t>
  </si>
  <si>
    <t>QG-7IN-CSLH-58-NFE</t>
  </si>
  <si>
    <t>SN: 108181829-01</t>
  </si>
  <si>
    <t xml:space="preserve">PN: H293690016GRG1 </t>
  </si>
  <si>
    <t>BH Representative:</t>
  </si>
  <si>
    <t>STD#90</t>
  </si>
  <si>
    <t>STD#91</t>
  </si>
  <si>
    <t>STD#92</t>
  </si>
  <si>
    <t>STD#93</t>
  </si>
  <si>
    <t>STD#94</t>
  </si>
  <si>
    <t>STD#95</t>
  </si>
  <si>
    <t>STD#96</t>
  </si>
  <si>
    <t>STD#97</t>
  </si>
  <si>
    <t>STD#98</t>
  </si>
  <si>
    <t>STD#99</t>
  </si>
  <si>
    <t>STD#100</t>
  </si>
  <si>
    <t>STD#101</t>
  </si>
  <si>
    <t>STD#102</t>
  </si>
  <si>
    <t>STD#103</t>
  </si>
  <si>
    <t>STD#104</t>
  </si>
  <si>
    <t>STD#105</t>
  </si>
  <si>
    <t>STD#106</t>
  </si>
  <si>
    <t>STD#107</t>
  </si>
  <si>
    <t>STD#108</t>
  </si>
  <si>
    <t>STD#109</t>
  </si>
  <si>
    <t>STD#110</t>
  </si>
  <si>
    <t>STD#111</t>
  </si>
  <si>
    <t>STD#112</t>
  </si>
  <si>
    <t>STD#113</t>
  </si>
  <si>
    <t>STD#114</t>
  </si>
  <si>
    <t>STD#115</t>
  </si>
  <si>
    <t>STD#116</t>
  </si>
  <si>
    <t>STD#117</t>
  </si>
  <si>
    <t>STD#118</t>
  </si>
  <si>
    <t>STD#119</t>
  </si>
  <si>
    <t>STD#120</t>
  </si>
  <si>
    <t>STD#121</t>
  </si>
  <si>
    <t>6.184 / 6.250 in</t>
  </si>
  <si>
    <t>DECK</t>
  </si>
  <si>
    <t>ENTER OH: 12,568.68 ft</t>
  </si>
  <si>
    <t>LFC Landing Collar (Ball Seat Sheared) PN: H274180336GRG1, SN: 108216707-03</t>
  </si>
  <si>
    <t>Used</t>
  </si>
  <si>
    <t>10-3/4" x 9-5/8" X-Over: 1,360.60 ft</t>
  </si>
  <si>
    <t>5-1/2" DP PUP JOINT - 15 ft</t>
  </si>
  <si>
    <t xml:space="preserve">TAKE PARAMETERS </t>
  </si>
  <si>
    <t xml:space="preserve">11,878.56', 11,832.25', 11,786.59' </t>
  </si>
  <si>
    <t>**LD Top Single on Stand#121 after Circulation</t>
  </si>
  <si>
    <t>1.844" LFC Lead Plug Shear: +/-1,431 psi</t>
  </si>
  <si>
    <t>2.280" LFC Follow Plug Shear:+/-1,206 psi</t>
  </si>
  <si>
    <t>HRD-E Tensile: 595,000 lbs</t>
  </si>
  <si>
    <t xml:space="preserve">INSTALL PIP TAG 26 ft FROM PIN END, DEPTH: 21,237 (PLAN DEPTH 21,235 ft) </t>
  </si>
  <si>
    <t>5-1/2" DP PUP JOINT - 5 ft</t>
  </si>
  <si>
    <t>10 ft from BOX</t>
  </si>
  <si>
    <t>**DAMAGED PIN SEAL AREA</t>
  </si>
  <si>
    <t>PIP TAG # 1 ON JT#260</t>
  </si>
  <si>
    <t xml:space="preserve">INSTALL PIP TAG 5 ft FROM PIN END, DEPTH: 20,378 (PLAN DEPTH 20,378 ft) </t>
  </si>
  <si>
    <t>PIP TAG # 2 ON JT#235</t>
  </si>
  <si>
    <t>INSTALL PIP TAG 5 ft FROM PIN END, DEPTH: 18,467 ft (PLAN DEPTH 18,478 ft)</t>
  </si>
  <si>
    <t>PIP TAG # 3 ON JT#183</t>
  </si>
  <si>
    <t>INSTALL PIP TAG 5 ft FROM PIN END, DEPTH: 16,568 ft (PLAN DEPTH 16,578 ft)</t>
  </si>
  <si>
    <t>PIP TAG # 4 ON JT#131</t>
  </si>
  <si>
    <t>PIP TAG # 5 ON JT#79</t>
  </si>
  <si>
    <t>INSTALL PIP TAG 5 ft FROM PIN END, DEPTH: 14,668 ft (PLAN DEPTH 14,678 ft)</t>
  </si>
  <si>
    <t>PIP TAG # 6 ON JT#53</t>
  </si>
  <si>
    <t>INSTALL PIP TAG 5 ft FROM PIN END, DEPTH: 13,726 ft (PLAN DEPTH 13,728 ft)</t>
  </si>
  <si>
    <t>**LAST JT RIH Deck No # 3</t>
  </si>
  <si>
    <t>Remaining: 11 Joints</t>
  </si>
  <si>
    <t>Install PIP Tag on the bottom stop collar of Top Centeralizer on Jt#260</t>
  </si>
  <si>
    <t>PIP TAG # 7 ON JT#6</t>
  </si>
  <si>
    <t xml:space="preserve">INSTALL PIP TAG 5 ft FROM PIN END, DEPTH: 12,005 ft </t>
  </si>
  <si>
    <t>11,970 to 12,020</t>
  </si>
  <si>
    <t>FINAL - AS RUN</t>
  </si>
  <si>
    <t>Ahmed Masood / Nurlan Yerezhepov</t>
  </si>
  <si>
    <t>Chad Coffman / Atilla Kaan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</si>
</sst>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0.000"/>
    <numFmt numFmtId="166" formatCode="0\ &quot;K&quot;"/>
    <numFmt numFmtId="167" formatCode="0.00\ &quot;ft&quot;"/>
    <numFmt numFmtId="168" formatCode="0.00\ &quot;ppf&quot;"/>
    <numFmt numFmtId="169" formatCode="0.00\ &quot;ppg&quot;"/>
    <numFmt numFmtId="170" formatCode="0.000\ &quot;in&quot;"/>
    <numFmt numFmtId="171" formatCode="0\ &quot;psi&quot;"/>
    <numFmt numFmtId="172" formatCode="0.0000"/>
    <numFmt numFmtId="173" formatCode="0.00\ &quot;bbls&quot;"/>
    <numFmt numFmtId="174" formatCode="0\ &quot;Strokes&quot;"/>
    <numFmt numFmtId="175" formatCode="&quot;£&quot;#,##0.00;[Red]\-&quot;£&quot;#,##0.00"/>
  </numFmts>
  <fonts count="59">
    <font>
      <sz val="11"/>
      <color theme="1"/>
      <name val="Calibri"/>
      <family val="2"/>
      <scheme val="minor"/>
    </font>
    <font>
      <b/>
      <sz val="9"/>
      <name val="Geneva"/>
    </font>
    <font>
      <b/>
      <sz val="12"/>
      <name val="Geneva"/>
    </font>
    <font>
      <b/>
      <sz val="14"/>
      <name val="Geneva"/>
    </font>
    <font>
      <b/>
      <sz val="12"/>
      <color indexed="10"/>
      <name val="Geneva"/>
    </font>
    <font>
      <sz val="9"/>
      <name val="Geneva"/>
    </font>
    <font>
      <b/>
      <shadow/>
      <sz val="14"/>
      <color indexed="12"/>
      <name val="Geneva"/>
    </font>
    <font>
      <b/>
      <sz val="9"/>
      <color theme="0"/>
      <name val="Geneva"/>
    </font>
    <font>
      <sz val="9"/>
      <color rgb="FFFF0000"/>
      <name val="Geneva"/>
    </font>
    <font>
      <sz val="10"/>
      <name val="Geneva"/>
    </font>
    <font>
      <b/>
      <sz val="8"/>
      <name val="Geneva"/>
    </font>
    <font>
      <sz val="9"/>
      <color theme="1"/>
      <name val="Geneva"/>
    </font>
    <font>
      <b/>
      <sz val="9"/>
      <color indexed="8"/>
      <name val="Geneva"/>
    </font>
    <font>
      <b/>
      <sz val="9"/>
      <color rgb="FFFF0000"/>
      <name val="Geneva"/>
    </font>
    <font>
      <sz val="10"/>
      <color rgb="FFFF0000"/>
      <name val="Geneva"/>
    </font>
    <font>
      <b/>
      <sz val="9"/>
      <color theme="1"/>
      <name val="Geneva"/>
    </font>
    <font>
      <b/>
      <sz val="9"/>
      <color indexed="10"/>
      <name val="Geneva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4"/>
      <name val="Tms Rmn"/>
      <family val="1"/>
    </font>
    <font>
      <sz val="12"/>
      <name val="Osaka"/>
      <family val="1"/>
    </font>
    <font>
      <u/>
      <sz val="7"/>
      <color indexed="12"/>
      <name val="Tms Rmn"/>
      <family val="1"/>
    </font>
    <font>
      <b/>
      <sz val="9"/>
      <name val="Arial"/>
      <family val="2"/>
    </font>
    <font>
      <sz val="8"/>
      <name val="Calibri"/>
      <family val="2"/>
      <scheme val="minor"/>
    </font>
    <font>
      <b/>
      <sz val="12"/>
      <color theme="0"/>
      <name val="Geneva"/>
    </font>
    <font>
      <b/>
      <sz val="10"/>
      <color theme="0"/>
      <name val="Geneva"/>
    </font>
    <font>
      <sz val="10"/>
      <color theme="0" tint="-0.34998626667073579"/>
      <name val="Geneva"/>
    </font>
    <font>
      <b/>
      <sz val="8.5"/>
      <color theme="1"/>
      <name val="Geneva"/>
    </font>
    <font>
      <b/>
      <sz val="8.5"/>
      <name val="Geneva"/>
    </font>
    <font>
      <b/>
      <sz val="10"/>
      <color rgb="FFC00000"/>
      <name val="Geneva"/>
    </font>
    <font>
      <sz val="10"/>
      <color theme="1"/>
      <name val="Geneva"/>
    </font>
    <font>
      <b/>
      <sz val="10"/>
      <color theme="1"/>
      <name val="Geneva"/>
    </font>
    <font>
      <sz val="11"/>
      <color theme="0" tint="-0.34998626667073579"/>
      <name val="Calibri"/>
      <family val="2"/>
      <scheme val="minor"/>
    </font>
    <font>
      <sz val="11"/>
      <color theme="1"/>
      <name val="Geneva"/>
    </font>
    <font>
      <b/>
      <sz val="7.5"/>
      <name val="Geneva"/>
    </font>
    <font>
      <b/>
      <sz val="10"/>
      <name val="Geneva"/>
    </font>
    <font>
      <sz val="10"/>
      <name val="Arial"/>
      <family val="2"/>
    </font>
    <font>
      <sz val="12"/>
      <name val="Osaka"/>
      <family val="3"/>
      <charset val="128"/>
    </font>
    <font>
      <b/>
      <sz val="8"/>
      <color indexed="10"/>
      <name val="Geneva"/>
    </font>
    <font>
      <b/>
      <sz val="11"/>
      <color theme="1"/>
      <name val="Geneva"/>
    </font>
    <font>
      <b/>
      <sz val="10"/>
      <color indexed="12"/>
      <name val="Geneva"/>
    </font>
    <font>
      <b/>
      <sz val="9.5"/>
      <name val="Geneva"/>
    </font>
    <font>
      <sz val="14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rgb="FF203864"/>
      <name val="Calibri"/>
      <family val="2"/>
      <scheme val="minor"/>
    </font>
    <font>
      <sz val="8"/>
      <color rgb="FFFF0000"/>
      <name val="Geneva"/>
    </font>
    <font>
      <sz val="8"/>
      <color rgb="FF7030A0"/>
      <name val="Geneva"/>
    </font>
    <font>
      <sz val="7"/>
      <name val="Geneva"/>
    </font>
    <font>
      <b/>
      <sz val="10"/>
      <color rgb="FF7030A0"/>
      <name val="Geneva"/>
    </font>
    <font>
      <i/>
      <sz val="10"/>
      <name val="Geneva"/>
    </font>
    <font>
      <b/>
      <i/>
      <sz val="10"/>
      <color indexed="8"/>
      <name val="Geneva"/>
    </font>
    <font>
      <b/>
      <i/>
      <sz val="10"/>
      <color rgb="FF0070C0"/>
      <name val="Geneva"/>
    </font>
    <font>
      <sz val="10"/>
      <name val="MS Sans Serif"/>
    </font>
    <font>
      <sz val="10"/>
      <color rgb="FF00B050"/>
      <name val="Geneva"/>
    </font>
    <font>
      <b/>
      <sz val="11"/>
      <name val="Geneva"/>
    </font>
    <font>
      <sz val="10"/>
      <color theme="1"/>
      <name val="Arial"/>
      <family val="2"/>
    </font>
    <font>
      <sz val="10"/>
      <color rgb="FF7030A0"/>
      <name val="Geneva"/>
    </font>
    <font>
      <b/>
      <sz val="11"/>
      <color theme="1"/>
      <name val="Arial"/>
      <family val="2"/>
    </font>
    <font>
      <sz val="8.5"/>
      <color theme="1"/>
      <name val="Geneva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486A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2ED7D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FF0000"/>
      </right>
      <top style="medium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indexed="64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medium">
        <color indexed="64"/>
      </right>
      <top style="medium">
        <color indexed="64"/>
      </top>
      <bottom style="thin">
        <color rgb="FFFF0000"/>
      </bottom>
      <diagonal/>
    </border>
    <border>
      <left style="thin">
        <color rgb="FFFF0000"/>
      </left>
      <right style="medium">
        <color indexed="64"/>
      </right>
      <top/>
      <bottom style="thin">
        <color rgb="FFFF0000"/>
      </bottom>
      <diagonal/>
    </border>
    <border>
      <left style="thin">
        <color rgb="FFFF0000"/>
      </left>
      <right style="medium">
        <color indexed="64"/>
      </right>
      <top style="thin">
        <color rgb="FFFF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FF0000"/>
      </top>
      <bottom style="thin">
        <color rgb="FFFF0000"/>
      </bottom>
      <diagonal/>
    </border>
    <border>
      <left/>
      <right style="medium">
        <color indexed="64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medium">
        <color indexed="64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FF0000"/>
      </right>
      <top/>
      <bottom style="thin">
        <color rgb="FFFF0000"/>
      </bottom>
      <diagonal/>
    </border>
    <border>
      <left/>
      <right style="medium">
        <color indexed="64"/>
      </right>
      <top/>
      <bottom style="thin">
        <color rgb="FFFF0000"/>
      </bottom>
      <diagonal/>
    </border>
    <border>
      <left style="medium">
        <color indexed="64"/>
      </left>
      <right/>
      <top/>
      <bottom style="thin">
        <color rgb="FFFF0000"/>
      </bottom>
      <diagonal/>
    </border>
    <border>
      <left style="thin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 style="medium">
        <color indexed="64"/>
      </right>
      <top style="thin">
        <color rgb="FFFF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FF0000"/>
      </left>
      <right/>
      <top style="medium">
        <color indexed="64"/>
      </top>
      <bottom style="thin">
        <color rgb="FFFF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 style="medium">
        <color indexed="64"/>
      </bottom>
      <diagonal/>
    </border>
    <border>
      <left style="thin">
        <color rgb="FFFF0000"/>
      </left>
      <right/>
      <top style="thin">
        <color rgb="FFFF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FF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FF0000"/>
      </bottom>
      <diagonal/>
    </border>
    <border>
      <left style="medium">
        <color indexed="64"/>
      </left>
      <right/>
      <top style="thin">
        <color rgb="FFFF0000"/>
      </top>
      <bottom/>
      <diagonal/>
    </border>
    <border>
      <left/>
      <right style="medium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rgb="FFFF0000"/>
      </top>
      <bottom style="medium">
        <color indexed="64"/>
      </bottom>
      <diagonal/>
    </border>
    <border>
      <left/>
      <right style="medium">
        <color indexed="64"/>
      </right>
      <top style="thin">
        <color rgb="FFFF0000"/>
      </top>
      <bottom style="medium">
        <color indexed="64"/>
      </bottom>
      <diagonal/>
    </border>
  </borders>
  <cellStyleXfs count="18">
    <xf numFmtId="0" fontId="0" fillId="0" borderId="0"/>
    <xf numFmtId="0" fontId="9" fillId="0" borderId="0"/>
    <xf numFmtId="0" fontId="19" fillId="0" borderId="0"/>
    <xf numFmtId="38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36" fillId="0" borderId="0"/>
    <xf numFmtId="0" fontId="37" fillId="0" borderId="0"/>
    <xf numFmtId="0" fontId="18" fillId="0" borderId="0"/>
    <xf numFmtId="164" fontId="18" fillId="0" borderId="0" applyFont="0" applyFill="0" applyBorder="0" applyAlignment="0" applyProtection="0"/>
    <xf numFmtId="0" fontId="42" fillId="0" borderId="0"/>
    <xf numFmtId="0" fontId="36" fillId="0" borderId="0"/>
    <xf numFmtId="16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18" fillId="0" borderId="0"/>
    <xf numFmtId="0" fontId="52" fillId="0" borderId="0"/>
    <xf numFmtId="175" fontId="52" fillId="0" borderId="0" applyFont="0" applyFill="0" applyBorder="0" applyAlignment="0" applyProtection="0"/>
    <xf numFmtId="0" fontId="36" fillId="0" borderId="0"/>
  </cellStyleXfs>
  <cellXfs count="545">
    <xf numFmtId="0" fontId="0" fillId="0" borderId="0" xfId="0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9" fillId="0" borderId="0" xfId="0" applyFont="1" applyAlignment="1">
      <alignment vertical="center"/>
    </xf>
    <xf numFmtId="1" fontId="5" fillId="0" borderId="6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2" fontId="11" fillId="0" borderId="6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right" vertical="center"/>
    </xf>
    <xf numFmtId="2" fontId="2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5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" fontId="5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2" fontId="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horizontal="left" vertical="center"/>
    </xf>
    <xf numFmtId="2" fontId="8" fillId="2" borderId="0" xfId="0" applyNumberFormat="1" applyFont="1" applyFill="1" applyAlignment="1">
      <alignment horizontal="left" vertical="center"/>
    </xf>
    <xf numFmtId="168" fontId="5" fillId="2" borderId="0" xfId="0" applyNumberFormat="1" applyFont="1" applyFill="1" applyAlignment="1">
      <alignment horizontal="left" vertical="center"/>
    </xf>
    <xf numFmtId="165" fontId="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right" vertical="center"/>
    </xf>
    <xf numFmtId="2" fontId="1" fillId="2" borderId="31" xfId="0" applyNumberFormat="1" applyFont="1" applyFill="1" applyBorder="1" applyAlignment="1">
      <alignment horizontal="right" vertical="center"/>
    </xf>
    <xf numFmtId="165" fontId="5" fillId="2" borderId="31" xfId="0" applyNumberFormat="1" applyFont="1" applyFill="1" applyBorder="1" applyAlignment="1">
      <alignment horizontal="center" vertical="center"/>
    </xf>
    <xf numFmtId="2" fontId="5" fillId="2" borderId="31" xfId="0" applyNumberFormat="1" applyFont="1" applyFill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166" fontId="11" fillId="2" borderId="0" xfId="0" applyNumberFormat="1" applyFont="1" applyFill="1" applyAlignment="1">
      <alignment horizontal="left" vertical="center"/>
    </xf>
    <xf numFmtId="2" fontId="1" fillId="5" borderId="17" xfId="0" applyNumberFormat="1" applyFont="1" applyFill="1" applyBorder="1" applyAlignment="1">
      <alignment horizontal="center" vertical="center"/>
    </xf>
    <xf numFmtId="2" fontId="1" fillId="5" borderId="2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5" fontId="4" fillId="2" borderId="2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vertical="center"/>
    </xf>
    <xf numFmtId="0" fontId="6" fillId="2" borderId="47" xfId="0" applyFont="1" applyFill="1" applyBorder="1" applyAlignment="1">
      <alignment horizontal="left" vertical="center"/>
    </xf>
    <xf numFmtId="0" fontId="1" fillId="2" borderId="48" xfId="0" applyFont="1" applyFill="1" applyBorder="1" applyAlignment="1">
      <alignment vertical="center"/>
    </xf>
    <xf numFmtId="0" fontId="5" fillId="2" borderId="40" xfId="0" applyFont="1" applyFill="1" applyBorder="1" applyAlignment="1">
      <alignment horizontal="center" vertical="center"/>
    </xf>
    <xf numFmtId="1" fontId="5" fillId="0" borderId="51" xfId="0" applyNumberFormat="1" applyFont="1" applyBorder="1" applyAlignment="1">
      <alignment horizontal="center" vertical="center"/>
    </xf>
    <xf numFmtId="2" fontId="5" fillId="2" borderId="36" xfId="0" applyNumberFormat="1" applyFont="1" applyFill="1" applyBorder="1" applyAlignment="1">
      <alignment horizontal="center" vertical="center"/>
    </xf>
    <xf numFmtId="2" fontId="5" fillId="2" borderId="34" xfId="0" applyNumberFormat="1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170" fontId="5" fillId="2" borderId="0" xfId="0" applyNumberFormat="1" applyFont="1" applyFill="1" applyAlignment="1">
      <alignment horizontal="left" vertical="center"/>
    </xf>
    <xf numFmtId="2" fontId="11" fillId="2" borderId="20" xfId="0" applyNumberFormat="1" applyFont="1" applyFill="1" applyBorder="1" applyAlignment="1">
      <alignment horizontal="center" vertical="center"/>
    </xf>
    <xf numFmtId="2" fontId="5" fillId="2" borderId="20" xfId="0" applyNumberFormat="1" applyFont="1" applyFill="1" applyBorder="1" applyAlignment="1">
      <alignment horizontal="center" vertical="center"/>
    </xf>
    <xf numFmtId="2" fontId="11" fillId="2" borderId="17" xfId="0" applyNumberFormat="1" applyFont="1" applyFill="1" applyBorder="1" applyAlignment="1">
      <alignment horizontal="center" vertical="center"/>
    </xf>
    <xf numFmtId="2" fontId="5" fillId="2" borderId="17" xfId="0" applyNumberFormat="1" applyFont="1" applyFill="1" applyBorder="1" applyAlignment="1">
      <alignment horizontal="center" vertical="center"/>
    </xf>
    <xf numFmtId="2" fontId="11" fillId="2" borderId="15" xfId="0" applyNumberFormat="1" applyFont="1" applyFill="1" applyBorder="1" applyAlignment="1">
      <alignment horizontal="center" vertical="center"/>
    </xf>
    <xf numFmtId="2" fontId="5" fillId="2" borderId="15" xfId="0" applyNumberFormat="1" applyFont="1" applyFill="1" applyBorder="1" applyAlignment="1">
      <alignment horizontal="center" vertical="center"/>
    </xf>
    <xf numFmtId="2" fontId="15" fillId="6" borderId="20" xfId="0" applyNumberFormat="1" applyFont="1" applyFill="1" applyBorder="1" applyAlignment="1">
      <alignment horizontal="center" vertical="center"/>
    </xf>
    <xf numFmtId="2" fontId="1" fillId="6" borderId="15" xfId="0" applyNumberFormat="1" applyFont="1" applyFill="1" applyBorder="1" applyAlignment="1">
      <alignment horizontal="center" vertical="center"/>
    </xf>
    <xf numFmtId="2" fontId="15" fillId="6" borderId="15" xfId="0" applyNumberFormat="1" applyFont="1" applyFill="1" applyBorder="1" applyAlignment="1">
      <alignment horizontal="center" vertical="center"/>
    </xf>
    <xf numFmtId="0" fontId="26" fillId="0" borderId="0" xfId="0" applyFont="1"/>
    <xf numFmtId="165" fontId="11" fillId="2" borderId="31" xfId="0" applyNumberFormat="1" applyFont="1" applyFill="1" applyBorder="1" applyAlignment="1">
      <alignment horizontal="left" vertical="center"/>
    </xf>
    <xf numFmtId="0" fontId="7" fillId="2" borderId="48" xfId="0" applyFont="1" applyFill="1" applyBorder="1" applyAlignment="1">
      <alignment vertical="center"/>
    </xf>
    <xf numFmtId="0" fontId="13" fillId="2" borderId="48" xfId="0" applyFont="1" applyFill="1" applyBorder="1" applyAlignment="1">
      <alignment vertical="center"/>
    </xf>
    <xf numFmtId="2" fontId="12" fillId="5" borderId="17" xfId="0" applyNumberFormat="1" applyFont="1" applyFill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1" fontId="5" fillId="2" borderId="31" xfId="0" applyNumberFormat="1" applyFont="1" applyFill="1" applyBorder="1" applyAlignment="1">
      <alignment horizontal="left" vertical="center"/>
    </xf>
    <xf numFmtId="166" fontId="1" fillId="5" borderId="27" xfId="0" applyNumberFormat="1" applyFont="1" applyFill="1" applyBorder="1" applyAlignment="1">
      <alignment horizontal="center" vertical="center"/>
    </xf>
    <xf numFmtId="166" fontId="1" fillId="5" borderId="37" xfId="0" applyNumberFormat="1" applyFont="1" applyFill="1" applyBorder="1" applyAlignment="1">
      <alignment horizontal="center" vertical="center"/>
    </xf>
    <xf numFmtId="166" fontId="5" fillId="0" borderId="72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right" vertical="center"/>
    </xf>
    <xf numFmtId="0" fontId="15" fillId="2" borderId="31" xfId="0" applyFont="1" applyFill="1" applyBorder="1" applyAlignment="1">
      <alignment horizontal="right" vertical="center"/>
    </xf>
    <xf numFmtId="166" fontId="5" fillId="0" borderId="71" xfId="0" applyNumberFormat="1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" fontId="5" fillId="0" borderId="73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7" fillId="0" borderId="48" xfId="0" applyFont="1" applyBorder="1" applyAlignment="1">
      <alignment vertical="center"/>
    </xf>
    <xf numFmtId="1" fontId="33" fillId="14" borderId="16" xfId="0" applyNumberFormat="1" applyFont="1" applyFill="1" applyBorder="1" applyAlignment="1">
      <alignment horizontal="center" vertical="center"/>
    </xf>
    <xf numFmtId="1" fontId="33" fillId="14" borderId="5" xfId="0" applyNumberFormat="1" applyFont="1" applyFill="1" applyBorder="1" applyAlignment="1">
      <alignment horizontal="center" vertical="center"/>
    </xf>
    <xf numFmtId="1" fontId="7" fillId="3" borderId="46" xfId="0" applyNumberFormat="1" applyFont="1" applyFill="1" applyBorder="1" applyAlignment="1">
      <alignment horizontal="center" vertical="center"/>
    </xf>
    <xf numFmtId="2" fontId="16" fillId="8" borderId="33" xfId="0" applyNumberFormat="1" applyFont="1" applyFill="1" applyBorder="1" applyAlignment="1">
      <alignment horizontal="center" vertical="center"/>
    </xf>
    <xf numFmtId="15" fontId="38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left" vertical="center"/>
    </xf>
    <xf numFmtId="2" fontId="40" fillId="2" borderId="0" xfId="0" applyNumberFormat="1" applyFont="1" applyFill="1" applyAlignment="1">
      <alignment horizontal="left" vertical="center"/>
    </xf>
    <xf numFmtId="0" fontId="5" fillId="2" borderId="11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2" fontId="15" fillId="6" borderId="17" xfId="0" applyNumberFormat="1" applyFont="1" applyFill="1" applyBorder="1" applyAlignment="1">
      <alignment horizontal="center" vertical="center"/>
    </xf>
    <xf numFmtId="167" fontId="9" fillId="0" borderId="0" xfId="8" applyNumberFormat="1" applyFont="1" applyAlignment="1">
      <alignment vertical="center"/>
    </xf>
    <xf numFmtId="2" fontId="5" fillId="0" borderId="30" xfId="0" applyNumberFormat="1" applyFont="1" applyBorder="1" applyAlignment="1">
      <alignment horizontal="center" vertical="center"/>
    </xf>
    <xf numFmtId="167" fontId="35" fillId="5" borderId="46" xfId="0" applyNumberFormat="1" applyFont="1" applyFill="1" applyBorder="1" applyAlignment="1">
      <alignment horizontal="center" vertical="center"/>
    </xf>
    <xf numFmtId="2" fontId="33" fillId="14" borderId="34" xfId="0" applyNumberFormat="1" applyFont="1" applyFill="1" applyBorder="1" applyAlignment="1">
      <alignment horizontal="center" vertical="center"/>
    </xf>
    <xf numFmtId="2" fontId="33" fillId="14" borderId="45" xfId="0" applyNumberFormat="1" applyFont="1" applyFill="1" applyBorder="1" applyAlignment="1">
      <alignment horizontal="center" vertical="center"/>
    </xf>
    <xf numFmtId="167" fontId="41" fillId="5" borderId="67" xfId="0" applyNumberFormat="1" applyFont="1" applyFill="1" applyBorder="1" applyAlignment="1">
      <alignment horizontal="center" vertical="center"/>
    </xf>
    <xf numFmtId="167" fontId="41" fillId="5" borderId="68" xfId="0" applyNumberFormat="1" applyFont="1" applyFill="1" applyBorder="1" applyAlignment="1">
      <alignment horizontal="center" vertical="center"/>
    </xf>
    <xf numFmtId="167" fontId="41" fillId="5" borderId="69" xfId="0" applyNumberFormat="1" applyFont="1" applyFill="1" applyBorder="1" applyAlignment="1">
      <alignment horizontal="center" vertical="center"/>
    </xf>
    <xf numFmtId="1" fontId="5" fillId="0" borderId="53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2" fontId="5" fillId="0" borderId="78" xfId="0" applyNumberFormat="1" applyFont="1" applyBorder="1" applyAlignment="1">
      <alignment horizontal="center" vertical="center"/>
    </xf>
    <xf numFmtId="2" fontId="1" fillId="21" borderId="46" xfId="0" applyNumberFormat="1" applyFont="1" applyFill="1" applyBorder="1" applyAlignment="1">
      <alignment horizontal="center" vertical="center"/>
    </xf>
    <xf numFmtId="2" fontId="25" fillId="3" borderId="46" xfId="0" applyNumberFormat="1" applyFont="1" applyFill="1" applyBorder="1" applyAlignment="1">
      <alignment horizontal="center" vertical="center"/>
    </xf>
    <xf numFmtId="166" fontId="5" fillId="2" borderId="28" xfId="0" applyNumberFormat="1" applyFont="1" applyFill="1" applyBorder="1" applyAlignment="1">
      <alignment horizontal="center" vertical="center"/>
    </xf>
    <xf numFmtId="166" fontId="5" fillId="2" borderId="27" xfId="0" applyNumberFormat="1" applyFont="1" applyFill="1" applyBorder="1" applyAlignment="1">
      <alignment horizontal="center" vertical="center"/>
    </xf>
    <xf numFmtId="0" fontId="0" fillId="0" borderId="49" xfId="0" applyBorder="1"/>
    <xf numFmtId="167" fontId="35" fillId="11" borderId="46" xfId="0" applyNumberFormat="1" applyFont="1" applyFill="1" applyBorder="1" applyAlignment="1">
      <alignment horizontal="center" vertical="center"/>
    </xf>
    <xf numFmtId="0" fontId="1" fillId="22" borderId="26" xfId="0" applyFont="1" applyFill="1" applyBorder="1" applyAlignment="1" applyProtection="1">
      <alignment horizontal="center" vertical="center"/>
      <protection locked="0"/>
    </xf>
    <xf numFmtId="2" fontId="12" fillId="22" borderId="17" xfId="0" applyNumberFormat="1" applyFont="1" applyFill="1" applyBorder="1" applyAlignment="1">
      <alignment horizontal="center" vertical="center"/>
    </xf>
    <xf numFmtId="2" fontId="1" fillId="22" borderId="17" xfId="0" applyNumberFormat="1" applyFont="1" applyFill="1" applyBorder="1" applyAlignment="1">
      <alignment horizontal="center" vertical="center"/>
    </xf>
    <xf numFmtId="2" fontId="15" fillId="22" borderId="17" xfId="0" applyNumberFormat="1" applyFont="1" applyFill="1" applyBorder="1" applyAlignment="1">
      <alignment horizontal="center" vertical="center"/>
    </xf>
    <xf numFmtId="166" fontId="1" fillId="22" borderId="58" xfId="0" applyNumberFormat="1" applyFont="1" applyFill="1" applyBorder="1" applyAlignment="1">
      <alignment horizontal="center" vertical="center"/>
    </xf>
    <xf numFmtId="0" fontId="1" fillId="22" borderId="23" xfId="0" applyFont="1" applyFill="1" applyBorder="1" applyAlignment="1" applyProtection="1">
      <alignment horizontal="center" vertical="center"/>
      <protection locked="0"/>
    </xf>
    <xf numFmtId="2" fontId="12" fillId="22" borderId="15" xfId="0" applyNumberFormat="1" applyFont="1" applyFill="1" applyBorder="1" applyAlignment="1">
      <alignment horizontal="center" vertical="center"/>
    </xf>
    <xf numFmtId="2" fontId="1" fillId="22" borderId="15" xfId="0" applyNumberFormat="1" applyFont="1" applyFill="1" applyBorder="1" applyAlignment="1">
      <alignment horizontal="center" vertical="center"/>
    </xf>
    <xf numFmtId="166" fontId="1" fillId="22" borderId="59" xfId="0" applyNumberFormat="1" applyFont="1" applyFill="1" applyBorder="1" applyAlignment="1">
      <alignment horizontal="center" vertical="center"/>
    </xf>
    <xf numFmtId="2" fontId="12" fillId="18" borderId="19" xfId="0" applyNumberFormat="1" applyFont="1" applyFill="1" applyBorder="1" applyAlignment="1">
      <alignment horizontal="center" vertical="center"/>
    </xf>
    <xf numFmtId="2" fontId="1" fillId="18" borderId="19" xfId="0" applyNumberFormat="1" applyFont="1" applyFill="1" applyBorder="1" applyAlignment="1">
      <alignment horizontal="center" vertical="center"/>
    </xf>
    <xf numFmtId="166" fontId="1" fillId="18" borderId="7" xfId="0" applyNumberFormat="1" applyFont="1" applyFill="1" applyBorder="1" applyAlignment="1">
      <alignment horizontal="center" vertical="center"/>
    </xf>
    <xf numFmtId="2" fontId="12" fillId="18" borderId="6" xfId="0" applyNumberFormat="1" applyFont="1" applyFill="1" applyBorder="1" applyAlignment="1">
      <alignment horizontal="center" vertical="center"/>
    </xf>
    <xf numFmtId="2" fontId="1" fillId="18" borderId="6" xfId="0" applyNumberFormat="1" applyFont="1" applyFill="1" applyBorder="1" applyAlignment="1">
      <alignment horizontal="center" vertical="center"/>
    </xf>
    <xf numFmtId="2" fontId="12" fillId="18" borderId="14" xfId="0" applyNumberFormat="1" applyFont="1" applyFill="1" applyBorder="1" applyAlignment="1">
      <alignment horizontal="center" vertical="center"/>
    </xf>
    <xf numFmtId="2" fontId="1" fillId="18" borderId="14" xfId="0" applyNumberFormat="1" applyFont="1" applyFill="1" applyBorder="1" applyAlignment="1">
      <alignment horizontal="center" vertical="center"/>
    </xf>
    <xf numFmtId="0" fontId="1" fillId="18" borderId="51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1" fillId="18" borderId="18" xfId="0" applyFont="1" applyFill="1" applyBorder="1" applyAlignment="1">
      <alignment horizontal="center" vertical="center"/>
    </xf>
    <xf numFmtId="166" fontId="1" fillId="18" borderId="80" xfId="0" applyNumberFormat="1" applyFont="1" applyFill="1" applyBorder="1" applyAlignment="1">
      <alignment horizontal="center" vertical="center"/>
    </xf>
    <xf numFmtId="1" fontId="1" fillId="14" borderId="11" xfId="0" applyNumberFormat="1" applyFont="1" applyFill="1" applyBorder="1" applyAlignment="1">
      <alignment horizontal="center" vertical="center"/>
    </xf>
    <xf numFmtId="2" fontId="12" fillId="14" borderId="12" xfId="0" applyNumberFormat="1" applyFont="1" applyFill="1" applyBorder="1" applyAlignment="1">
      <alignment horizontal="center" vertical="center"/>
    </xf>
    <xf numFmtId="2" fontId="1" fillId="14" borderId="12" xfId="0" applyNumberFormat="1" applyFont="1" applyFill="1" applyBorder="1" applyAlignment="1">
      <alignment horizontal="center" vertical="center"/>
    </xf>
    <xf numFmtId="2" fontId="1" fillId="14" borderId="14" xfId="0" applyNumberFormat="1" applyFont="1" applyFill="1" applyBorder="1" applyAlignment="1">
      <alignment horizontal="center" vertical="center"/>
    </xf>
    <xf numFmtId="166" fontId="1" fillId="14" borderId="34" xfId="0" applyNumberFormat="1" applyFont="1" applyFill="1" applyBorder="1" applyAlignment="1">
      <alignment horizontal="center" vertical="center"/>
    </xf>
    <xf numFmtId="1" fontId="1" fillId="14" borderId="8" xfId="0" applyNumberFormat="1" applyFont="1" applyFill="1" applyBorder="1" applyAlignment="1">
      <alignment horizontal="center" vertical="center"/>
    </xf>
    <xf numFmtId="2" fontId="12" fillId="14" borderId="6" xfId="0" applyNumberFormat="1" applyFont="1" applyFill="1" applyBorder="1" applyAlignment="1">
      <alignment horizontal="center" vertical="center"/>
    </xf>
    <xf numFmtId="2" fontId="1" fillId="14" borderId="6" xfId="0" applyNumberFormat="1" applyFont="1" applyFill="1" applyBorder="1" applyAlignment="1">
      <alignment horizontal="center" vertical="center"/>
    </xf>
    <xf numFmtId="2" fontId="1" fillId="14" borderId="73" xfId="0" applyNumberFormat="1" applyFont="1" applyFill="1" applyBorder="1" applyAlignment="1">
      <alignment horizontal="center" vertical="center"/>
    </xf>
    <xf numFmtId="2" fontId="1" fillId="14" borderId="8" xfId="0" applyNumberFormat="1" applyFont="1" applyFill="1" applyBorder="1" applyAlignment="1">
      <alignment horizontal="center" vertical="center"/>
    </xf>
    <xf numFmtId="166" fontId="1" fillId="14" borderId="35" xfId="0" applyNumberFormat="1" applyFont="1" applyFill="1" applyBorder="1" applyAlignment="1">
      <alignment horizontal="center" vertical="center"/>
    </xf>
    <xf numFmtId="1" fontId="1" fillId="14" borderId="13" xfId="0" applyNumberFormat="1" applyFont="1" applyFill="1" applyBorder="1" applyAlignment="1">
      <alignment horizontal="center" vertical="center"/>
    </xf>
    <xf numFmtId="2" fontId="12" fillId="14" borderId="14" xfId="0" applyNumberFormat="1" applyFont="1" applyFill="1" applyBorder="1" applyAlignment="1">
      <alignment horizontal="center" vertical="center"/>
    </xf>
    <xf numFmtId="166" fontId="1" fillId="14" borderId="54" xfId="0" applyNumberFormat="1" applyFont="1" applyFill="1" applyBorder="1" applyAlignment="1">
      <alignment horizontal="center" vertical="center"/>
    </xf>
    <xf numFmtId="167" fontId="25" fillId="24" borderId="46" xfId="0" applyNumberFormat="1" applyFont="1" applyFill="1" applyBorder="1" applyAlignment="1">
      <alignment horizontal="center" vertical="center"/>
    </xf>
    <xf numFmtId="167" fontId="25" fillId="23" borderId="46" xfId="0" applyNumberFormat="1" applyFont="1" applyFill="1" applyBorder="1" applyAlignment="1">
      <alignment horizontal="center" vertical="center"/>
    </xf>
    <xf numFmtId="167" fontId="25" fillId="7" borderId="46" xfId="0" applyNumberFormat="1" applyFont="1" applyFill="1" applyBorder="1" applyAlignment="1">
      <alignment horizontal="center" vertical="center"/>
    </xf>
    <xf numFmtId="0" fontId="28" fillId="18" borderId="40" xfId="0" applyFont="1" applyFill="1" applyBorder="1" applyAlignment="1">
      <alignment vertical="center"/>
    </xf>
    <xf numFmtId="0" fontId="28" fillId="18" borderId="41" xfId="0" applyFont="1" applyFill="1" applyBorder="1" applyAlignment="1">
      <alignment vertical="center"/>
    </xf>
    <xf numFmtId="15" fontId="5" fillId="2" borderId="0" xfId="0" applyNumberFormat="1" applyFont="1" applyFill="1" applyAlignment="1">
      <alignment horizontal="left" vertical="center"/>
    </xf>
    <xf numFmtId="0" fontId="44" fillId="0" borderId="0" xfId="0" applyFont="1" applyAlignment="1">
      <alignment horizontal="left" vertical="center" indent="2"/>
    </xf>
    <xf numFmtId="1" fontId="5" fillId="0" borderId="7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1" fontId="5" fillId="0" borderId="79" xfId="0" applyNumberFormat="1" applyFont="1" applyBorder="1" applyAlignment="1">
      <alignment horizontal="center" vertical="center"/>
    </xf>
    <xf numFmtId="1" fontId="33" fillId="14" borderId="37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1" fontId="43" fillId="3" borderId="50" xfId="0" applyNumberFormat="1" applyFont="1" applyFill="1" applyBorder="1" applyAlignment="1">
      <alignment horizontal="center"/>
    </xf>
    <xf numFmtId="0" fontId="49" fillId="0" borderId="0" xfId="0" applyFont="1" applyAlignment="1">
      <alignment vertical="center"/>
    </xf>
    <xf numFmtId="167" fontId="35" fillId="13" borderId="46" xfId="0" applyNumberFormat="1" applyFont="1" applyFill="1" applyBorder="1" applyAlignment="1">
      <alignment horizontal="center" vertical="center"/>
    </xf>
    <xf numFmtId="1" fontId="1" fillId="13" borderId="46" xfId="0" applyNumberFormat="1" applyFont="1" applyFill="1" applyBorder="1" applyAlignment="1">
      <alignment horizontal="center" vertical="center"/>
    </xf>
    <xf numFmtId="2" fontId="22" fillId="13" borderId="46" xfId="0" applyNumberFormat="1" applyFont="1" applyFill="1" applyBorder="1" applyAlignment="1">
      <alignment horizontal="center" vertical="center"/>
    </xf>
    <xf numFmtId="172" fontId="5" fillId="2" borderId="48" xfId="0" applyNumberFormat="1" applyFont="1" applyFill="1" applyBorder="1" applyAlignment="1">
      <alignment horizontal="center" vertical="center"/>
    </xf>
    <xf numFmtId="166" fontId="5" fillId="2" borderId="37" xfId="0" applyNumberFormat="1" applyFont="1" applyFill="1" applyBorder="1" applyAlignment="1">
      <alignment horizontal="center" vertical="center"/>
    </xf>
    <xf numFmtId="1" fontId="33" fillId="2" borderId="5" xfId="0" applyNumberFormat="1" applyFont="1" applyFill="1" applyBorder="1" applyAlignment="1">
      <alignment horizontal="center" vertical="center"/>
    </xf>
    <xf numFmtId="2" fontId="7" fillId="7" borderId="2" xfId="0" applyNumberFormat="1" applyFont="1" applyFill="1" applyBorder="1" applyAlignment="1">
      <alignment horizontal="center" vertical="center"/>
    </xf>
    <xf numFmtId="166" fontId="7" fillId="7" borderId="10" xfId="0" applyNumberFormat="1" applyFont="1" applyFill="1" applyBorder="1" applyAlignment="1">
      <alignment horizontal="center" vertical="center"/>
    </xf>
    <xf numFmtId="165" fontId="5" fillId="9" borderId="24" xfId="0" applyNumberFormat="1" applyFont="1" applyFill="1" applyBorder="1" applyAlignment="1">
      <alignment horizontal="center" vertical="center"/>
    </xf>
    <xf numFmtId="2" fontId="5" fillId="9" borderId="65" xfId="0" applyNumberFormat="1" applyFont="1" applyFill="1" applyBorder="1" applyAlignment="1">
      <alignment horizontal="center" vertical="center"/>
    </xf>
    <xf numFmtId="2" fontId="5" fillId="9" borderId="24" xfId="0" applyNumberFormat="1" applyFont="1" applyFill="1" applyBorder="1" applyAlignment="1">
      <alignment horizontal="center" vertical="center"/>
    </xf>
    <xf numFmtId="1" fontId="5" fillId="9" borderId="46" xfId="0" applyNumberFormat="1" applyFont="1" applyFill="1" applyBorder="1" applyAlignment="1">
      <alignment horizontal="center" vertical="center"/>
    </xf>
    <xf numFmtId="165" fontId="5" fillId="9" borderId="40" xfId="0" applyNumberFormat="1" applyFont="1" applyFill="1" applyBorder="1" applyAlignment="1">
      <alignment horizontal="center" vertical="center"/>
    </xf>
    <xf numFmtId="2" fontId="5" fillId="9" borderId="56" xfId="0" applyNumberFormat="1" applyFont="1" applyFill="1" applyBorder="1" applyAlignment="1">
      <alignment horizontal="center" vertical="center"/>
    </xf>
    <xf numFmtId="2" fontId="5" fillId="9" borderId="40" xfId="0" applyNumberFormat="1" applyFont="1" applyFill="1" applyBorder="1" applyAlignment="1">
      <alignment horizontal="center" vertical="center"/>
    </xf>
    <xf numFmtId="2" fontId="25" fillId="3" borderId="20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vertical="center"/>
    </xf>
    <xf numFmtId="2" fontId="33" fillId="2" borderId="5" xfId="0" applyNumberFormat="1" applyFont="1" applyFill="1" applyBorder="1" applyAlignment="1">
      <alignment horizontal="center" vertical="center"/>
    </xf>
    <xf numFmtId="2" fontId="39" fillId="10" borderId="46" xfId="0" applyNumberFormat="1" applyFont="1" applyFill="1" applyBorder="1" applyAlignment="1">
      <alignment horizontal="center" vertical="center"/>
    </xf>
    <xf numFmtId="0" fontId="0" fillId="0" borderId="50" xfId="0" applyBorder="1"/>
    <xf numFmtId="0" fontId="1" fillId="18" borderId="10" xfId="0" applyFont="1" applyFill="1" applyBorder="1" applyAlignment="1">
      <alignment horizontal="center" vertical="center"/>
    </xf>
    <xf numFmtId="2" fontId="5" fillId="19" borderId="90" xfId="0" applyNumberFormat="1" applyFont="1" applyFill="1" applyBorder="1" applyAlignment="1">
      <alignment horizontal="center" vertical="center"/>
    </xf>
    <xf numFmtId="2" fontId="5" fillId="19" borderId="77" xfId="0" applyNumberFormat="1" applyFont="1" applyFill="1" applyBorder="1" applyAlignment="1">
      <alignment horizontal="center" vertical="center"/>
    </xf>
    <xf numFmtId="2" fontId="11" fillId="19" borderId="77" xfId="0" applyNumberFormat="1" applyFont="1" applyFill="1" applyBorder="1" applyAlignment="1">
      <alignment horizontal="center" vertical="center"/>
    </xf>
    <xf numFmtId="166" fontId="5" fillId="19" borderId="76" xfId="0" applyNumberFormat="1" applyFont="1" applyFill="1" applyBorder="1" applyAlignment="1">
      <alignment horizontal="center" vertical="center"/>
    </xf>
    <xf numFmtId="2" fontId="5" fillId="26" borderId="20" xfId="0" applyNumberFormat="1" applyFont="1" applyFill="1" applyBorder="1" applyAlignment="1">
      <alignment horizontal="center" vertical="center"/>
    </xf>
    <xf numFmtId="2" fontId="11" fillId="26" borderId="20" xfId="0" applyNumberFormat="1" applyFont="1" applyFill="1" applyBorder="1" applyAlignment="1">
      <alignment horizontal="center" vertical="center"/>
    </xf>
    <xf numFmtId="2" fontId="5" fillId="26" borderId="17" xfId="0" applyNumberFormat="1" applyFont="1" applyFill="1" applyBorder="1" applyAlignment="1">
      <alignment horizontal="center" vertical="center"/>
    </xf>
    <xf numFmtId="2" fontId="11" fillId="26" borderId="17" xfId="0" applyNumberFormat="1" applyFont="1" applyFill="1" applyBorder="1" applyAlignment="1">
      <alignment horizontal="center" vertical="center"/>
    </xf>
    <xf numFmtId="166" fontId="5" fillId="26" borderId="27" xfId="0" applyNumberFormat="1" applyFont="1" applyFill="1" applyBorder="1" applyAlignment="1">
      <alignment horizontal="center" vertical="center"/>
    </xf>
    <xf numFmtId="166" fontId="5" fillId="26" borderId="37" xfId="0" applyNumberFormat="1" applyFont="1" applyFill="1" applyBorder="1" applyAlignment="1">
      <alignment horizontal="center" vertical="center"/>
    </xf>
    <xf numFmtId="2" fontId="5" fillId="27" borderId="17" xfId="0" applyNumberFormat="1" applyFont="1" applyFill="1" applyBorder="1" applyAlignment="1">
      <alignment horizontal="center" vertical="center"/>
    </xf>
    <xf numFmtId="2" fontId="11" fillId="27" borderId="17" xfId="0" applyNumberFormat="1" applyFont="1" applyFill="1" applyBorder="1" applyAlignment="1">
      <alignment horizontal="center" vertical="center"/>
    </xf>
    <xf numFmtId="166" fontId="5" fillId="27" borderId="27" xfId="0" applyNumberFormat="1" applyFont="1" applyFill="1" applyBorder="1" applyAlignment="1">
      <alignment horizontal="center" vertical="center"/>
    </xf>
    <xf numFmtId="2" fontId="5" fillId="27" borderId="21" xfId="0" applyNumberFormat="1" applyFont="1" applyFill="1" applyBorder="1" applyAlignment="1">
      <alignment horizontal="center" vertical="center"/>
    </xf>
    <xf numFmtId="2" fontId="11" fillId="27" borderId="21" xfId="0" applyNumberFormat="1" applyFont="1" applyFill="1" applyBorder="1" applyAlignment="1">
      <alignment horizontal="center" vertical="center"/>
    </xf>
    <xf numFmtId="166" fontId="5" fillId="27" borderId="74" xfId="0" applyNumberFormat="1" applyFont="1" applyFill="1" applyBorder="1" applyAlignment="1">
      <alignment horizontal="center" vertical="center"/>
    </xf>
    <xf numFmtId="0" fontId="0" fillId="0" borderId="10" xfId="0" applyBorder="1"/>
    <xf numFmtId="1" fontId="8" fillId="0" borderId="6" xfId="0" applyNumberFormat="1" applyFont="1" applyBorder="1" applyAlignment="1">
      <alignment horizontal="center" vertical="center"/>
    </xf>
    <xf numFmtId="2" fontId="5" fillId="26" borderId="15" xfId="0" applyNumberFormat="1" applyFont="1" applyFill="1" applyBorder="1" applyAlignment="1">
      <alignment horizontal="center" vertical="center"/>
    </xf>
    <xf numFmtId="2" fontId="11" fillId="26" borderId="15" xfId="0" applyNumberFormat="1" applyFont="1" applyFill="1" applyBorder="1" applyAlignment="1">
      <alignment horizontal="center" vertical="center"/>
    </xf>
    <xf numFmtId="166" fontId="5" fillId="26" borderId="28" xfId="0" applyNumberFormat="1" applyFont="1" applyFill="1" applyBorder="1" applyAlignment="1">
      <alignment horizontal="center" vertical="center"/>
    </xf>
    <xf numFmtId="2" fontId="5" fillId="26" borderId="91" xfId="0" applyNumberFormat="1" applyFont="1" applyFill="1" applyBorder="1" applyAlignment="1">
      <alignment horizontal="center" vertical="center"/>
    </xf>
    <xf numFmtId="2" fontId="11" fillId="26" borderId="91" xfId="0" applyNumberFormat="1" applyFont="1" applyFill="1" applyBorder="1" applyAlignment="1">
      <alignment horizontal="center" vertical="center"/>
    </xf>
    <xf numFmtId="166" fontId="5" fillId="26" borderId="96" xfId="0" applyNumberFormat="1" applyFont="1" applyFill="1" applyBorder="1" applyAlignment="1">
      <alignment horizontal="center" vertical="center"/>
    </xf>
    <xf numFmtId="2" fontId="1" fillId="5" borderId="15" xfId="0" applyNumberFormat="1" applyFont="1" applyFill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1" fontId="13" fillId="0" borderId="19" xfId="0" applyNumberFormat="1" applyFont="1" applyBorder="1" applyAlignment="1">
      <alignment horizontal="center" vertical="center"/>
    </xf>
    <xf numFmtId="2" fontId="13" fillId="27" borderId="21" xfId="0" applyNumberFormat="1" applyFont="1" applyFill="1" applyBorder="1" applyAlignment="1">
      <alignment horizontal="center" vertical="center"/>
    </xf>
    <xf numFmtId="0" fontId="31" fillId="28" borderId="10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" fontId="30" fillId="0" borderId="26" xfId="0" applyNumberFormat="1" applyFont="1" applyBorder="1" applyAlignment="1">
      <alignment horizontal="center" vertical="center" wrapText="1"/>
    </xf>
    <xf numFmtId="1" fontId="30" fillId="0" borderId="22" xfId="0" applyNumberFormat="1" applyFont="1" applyBorder="1" applyAlignment="1">
      <alignment horizontal="center" vertical="center" wrapText="1"/>
    </xf>
    <xf numFmtId="1" fontId="30" fillId="0" borderId="23" xfId="0" applyNumberFormat="1" applyFont="1" applyBorder="1" applyAlignment="1">
      <alignment horizontal="center" vertical="center" wrapText="1"/>
    </xf>
    <xf numFmtId="0" fontId="1" fillId="14" borderId="66" xfId="0" applyFont="1" applyFill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2" fontId="33" fillId="2" borderId="45" xfId="0" applyNumberFormat="1" applyFont="1" applyFill="1" applyBorder="1" applyAlignment="1">
      <alignment horizontal="center" vertical="center"/>
    </xf>
    <xf numFmtId="2" fontId="33" fillId="2" borderId="36" xfId="0" applyNumberFormat="1" applyFont="1" applyFill="1" applyBorder="1" applyAlignment="1">
      <alignment horizontal="center" vertical="center"/>
    </xf>
    <xf numFmtId="1" fontId="33" fillId="2" borderId="18" xfId="0" applyNumberFormat="1" applyFont="1" applyFill="1" applyBorder="1" applyAlignment="1">
      <alignment horizontal="center" vertical="center"/>
    </xf>
    <xf numFmtId="2" fontId="1" fillId="2" borderId="17" xfId="0" applyNumberFormat="1" applyFont="1" applyFill="1" applyBorder="1" applyAlignment="1">
      <alignment horizontal="center" vertical="center"/>
    </xf>
    <xf numFmtId="1" fontId="13" fillId="0" borderId="51" xfId="0" applyNumberFormat="1" applyFont="1" applyBorder="1" applyAlignment="1">
      <alignment horizontal="center" vertical="center"/>
    </xf>
    <xf numFmtId="167" fontId="31" fillId="4" borderId="50" xfId="0" applyNumberFormat="1" applyFont="1" applyFill="1" applyBorder="1" applyAlignment="1">
      <alignment horizontal="center" vertical="center"/>
    </xf>
    <xf numFmtId="2" fontId="16" fillId="8" borderId="40" xfId="0" applyNumberFormat="1" applyFont="1" applyFill="1" applyBorder="1" applyAlignment="1">
      <alignment horizontal="center" vertical="center"/>
    </xf>
    <xf numFmtId="2" fontId="16" fillId="8" borderId="31" xfId="0" applyNumberFormat="1" applyFont="1" applyFill="1" applyBorder="1" applyAlignment="1">
      <alignment horizontal="center" vertical="center"/>
    </xf>
    <xf numFmtId="2" fontId="5" fillId="6" borderId="20" xfId="0" applyNumberFormat="1" applyFont="1" applyFill="1" applyBorder="1" applyAlignment="1">
      <alignment horizontal="center" vertical="center"/>
    </xf>
    <xf numFmtId="2" fontId="1" fillId="6" borderId="26" xfId="0" applyNumberFormat="1" applyFont="1" applyFill="1" applyBorder="1" applyAlignment="1">
      <alignment horizontal="center" vertical="center"/>
    </xf>
    <xf numFmtId="2" fontId="5" fillId="6" borderId="17" xfId="0" applyNumberFormat="1" applyFont="1" applyFill="1" applyBorder="1" applyAlignment="1">
      <alignment horizontal="center" vertical="center"/>
    </xf>
    <xf numFmtId="2" fontId="5" fillId="6" borderId="27" xfId="0" applyNumberFormat="1" applyFont="1" applyFill="1" applyBorder="1" applyAlignment="1">
      <alignment horizontal="center" vertical="center"/>
    </xf>
    <xf numFmtId="2" fontId="1" fillId="6" borderId="22" xfId="0" applyNumberFormat="1" applyFont="1" applyFill="1" applyBorder="1" applyAlignment="1">
      <alignment horizontal="center" vertical="center"/>
    </xf>
    <xf numFmtId="2" fontId="5" fillId="6" borderId="37" xfId="0" applyNumberFormat="1" applyFont="1" applyFill="1" applyBorder="1" applyAlignment="1">
      <alignment horizontal="center" vertical="center"/>
    </xf>
    <xf numFmtId="2" fontId="1" fillId="6" borderId="23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/>
    </xf>
    <xf numFmtId="2" fontId="1" fillId="2" borderId="26" xfId="0" applyNumberFormat="1" applyFont="1" applyFill="1" applyBorder="1" applyAlignment="1">
      <alignment horizontal="center" vertical="center"/>
    </xf>
    <xf numFmtId="2" fontId="1" fillId="2" borderId="23" xfId="0" applyNumberFormat="1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166" fontId="5" fillId="27" borderId="58" xfId="0" applyNumberFormat="1" applyFont="1" applyFill="1" applyBorder="1" applyAlignment="1">
      <alignment horizontal="center" vertical="center"/>
    </xf>
    <xf numFmtId="166" fontId="5" fillId="27" borderId="101" xfId="0" applyNumberFormat="1" applyFont="1" applyFill="1" applyBorder="1" applyAlignment="1">
      <alignment horizontal="center" vertical="center"/>
    </xf>
    <xf numFmtId="2" fontId="11" fillId="27" borderId="91" xfId="0" applyNumberFormat="1" applyFont="1" applyFill="1" applyBorder="1" applyAlignment="1">
      <alignment horizontal="center" vertical="center"/>
    </xf>
    <xf numFmtId="2" fontId="5" fillId="27" borderId="91" xfId="0" applyNumberFormat="1" applyFont="1" applyFill="1" applyBorder="1" applyAlignment="1">
      <alignment horizontal="center" vertical="center"/>
    </xf>
    <xf numFmtId="166" fontId="5" fillId="27" borderId="96" xfId="0" applyNumberFormat="1" applyFont="1" applyFill="1" applyBorder="1" applyAlignment="1">
      <alignment horizontal="center" vertical="center"/>
    </xf>
    <xf numFmtId="2" fontId="5" fillId="2" borderId="26" xfId="0" applyNumberFormat="1" applyFont="1" applyFill="1" applyBorder="1" applyAlignment="1">
      <alignment horizontal="center" vertical="center"/>
    </xf>
    <xf numFmtId="2" fontId="5" fillId="2" borderId="23" xfId="0" applyNumberFormat="1" applyFont="1" applyFill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2" fontId="33" fillId="22" borderId="5" xfId="0" applyNumberFormat="1" applyFont="1" applyFill="1" applyBorder="1" applyAlignment="1">
      <alignment horizontal="center" vertical="center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1" fontId="35" fillId="13" borderId="24" xfId="0" applyNumberFormat="1" applyFont="1" applyFill="1" applyBorder="1" applyAlignment="1">
      <alignment horizontal="center" vertical="center"/>
    </xf>
    <xf numFmtId="1" fontId="35" fillId="21" borderId="46" xfId="0" applyNumberFormat="1" applyFont="1" applyFill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33" fillId="31" borderId="5" xfId="0" applyNumberFormat="1" applyFont="1" applyFill="1" applyBorder="1" applyAlignment="1">
      <alignment horizontal="center" vertical="center"/>
    </xf>
    <xf numFmtId="0" fontId="1" fillId="15" borderId="83" xfId="0" applyFont="1" applyFill="1" applyBorder="1" applyAlignment="1">
      <alignment horizontal="left" vertical="center"/>
    </xf>
    <xf numFmtId="0" fontId="1" fillId="15" borderId="84" xfId="0" applyFont="1" applyFill="1" applyBorder="1" applyAlignment="1">
      <alignment horizontal="left" vertical="center"/>
    </xf>
    <xf numFmtId="0" fontId="1" fillId="15" borderId="94" xfId="0" applyFont="1" applyFill="1" applyBorder="1" applyAlignment="1">
      <alignment horizontal="left" vertical="center"/>
    </xf>
    <xf numFmtId="2" fontId="12" fillId="14" borderId="64" xfId="0" applyNumberFormat="1" applyFont="1" applyFill="1" applyBorder="1" applyAlignment="1">
      <alignment horizontal="center" vertical="center"/>
    </xf>
    <xf numFmtId="2" fontId="1" fillId="14" borderId="64" xfId="0" applyNumberFormat="1" applyFont="1" applyFill="1" applyBorder="1" applyAlignment="1">
      <alignment horizontal="center" vertical="center"/>
    </xf>
    <xf numFmtId="2" fontId="12" fillId="5" borderId="26" xfId="0" applyNumberFormat="1" applyFont="1" applyFill="1" applyBorder="1" applyAlignment="1">
      <alignment horizontal="center" vertical="center"/>
    </xf>
    <xf numFmtId="2" fontId="12" fillId="5" borderId="22" xfId="0" applyNumberFormat="1" applyFont="1" applyFill="1" applyBorder="1" applyAlignment="1">
      <alignment horizontal="center" vertical="center"/>
    </xf>
    <xf numFmtId="2" fontId="12" fillId="5" borderId="23" xfId="0" applyNumberFormat="1" applyFont="1" applyFill="1" applyBorder="1" applyAlignment="1">
      <alignment horizontal="center" vertical="center"/>
    </xf>
    <xf numFmtId="2" fontId="25" fillId="3" borderId="15" xfId="0" applyNumberFormat="1" applyFont="1" applyFill="1" applyBorder="1" applyAlignment="1">
      <alignment horizontal="center" vertical="center"/>
    </xf>
    <xf numFmtId="166" fontId="1" fillId="5" borderId="28" xfId="0" applyNumberFormat="1" applyFont="1" applyFill="1" applyBorder="1" applyAlignment="1">
      <alignment horizontal="center" vertical="center"/>
    </xf>
    <xf numFmtId="2" fontId="5" fillId="5" borderId="17" xfId="0" applyNumberFormat="1" applyFont="1" applyFill="1" applyBorder="1" applyAlignment="1">
      <alignment horizontal="center" vertical="center"/>
    </xf>
    <xf numFmtId="2" fontId="5" fillId="5" borderId="20" xfId="0" applyNumberFormat="1" applyFont="1" applyFill="1" applyBorder="1" applyAlignment="1">
      <alignment horizontal="center" vertical="center"/>
    </xf>
    <xf numFmtId="1" fontId="13" fillId="0" borderId="53" xfId="0" applyNumberFormat="1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2" fontId="13" fillId="0" borderId="19" xfId="0" applyNumberFormat="1" applyFont="1" applyBorder="1" applyAlignment="1">
      <alignment horizontal="center" vertical="center"/>
    </xf>
    <xf numFmtId="166" fontId="13" fillId="0" borderId="7" xfId="0" applyNumberFormat="1" applyFont="1" applyBorder="1" applyAlignment="1">
      <alignment horizontal="center" vertical="center"/>
    </xf>
    <xf numFmtId="169" fontId="58" fillId="2" borderId="0" xfId="0" applyNumberFormat="1" applyFont="1" applyFill="1" applyAlignment="1">
      <alignment horizontal="left" vertical="center"/>
    </xf>
    <xf numFmtId="1" fontId="53" fillId="0" borderId="20" xfId="0" applyNumberFormat="1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2" fontId="1" fillId="26" borderId="61" xfId="0" applyNumberFormat="1" applyFont="1" applyFill="1" applyBorder="1" applyAlignment="1">
      <alignment horizontal="center" vertical="center"/>
    </xf>
    <xf numFmtId="2" fontId="1" fillId="26" borderId="97" xfId="0" applyNumberFormat="1" applyFont="1" applyFill="1" applyBorder="1" applyAlignment="1">
      <alignment horizontal="center" vertical="center"/>
    </xf>
    <xf numFmtId="2" fontId="1" fillId="26" borderId="56" xfId="0" applyNumberFormat="1" applyFont="1" applyFill="1" applyBorder="1" applyAlignment="1">
      <alignment horizontal="center" vertical="center"/>
    </xf>
    <xf numFmtId="0" fontId="54" fillId="21" borderId="24" xfId="0" applyFont="1" applyFill="1" applyBorder="1" applyAlignment="1">
      <alignment horizontal="center" vertical="center" wrapText="1"/>
    </xf>
    <xf numFmtId="0" fontId="54" fillId="21" borderId="42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7" fillId="30" borderId="3" xfId="0" applyFont="1" applyFill="1" applyBorder="1" applyAlignment="1">
      <alignment horizontal="center" vertical="center" wrapText="1"/>
    </xf>
    <xf numFmtId="0" fontId="7" fillId="30" borderId="40" xfId="0" applyFont="1" applyFill="1" applyBorder="1" applyAlignment="1">
      <alignment horizontal="center" vertical="center" wrapText="1"/>
    </xf>
    <xf numFmtId="0" fontId="7" fillId="30" borderId="41" xfId="0" applyFont="1" applyFill="1" applyBorder="1" applyAlignment="1">
      <alignment horizontal="center" vertical="center" wrapText="1"/>
    </xf>
    <xf numFmtId="1" fontId="7" fillId="21" borderId="24" xfId="0" applyNumberFormat="1" applyFont="1" applyFill="1" applyBorder="1" applyAlignment="1">
      <alignment horizontal="left" vertical="center"/>
    </xf>
    <xf numFmtId="1" fontId="7" fillId="21" borderId="33" xfId="0" applyNumberFormat="1" applyFont="1" applyFill="1" applyBorder="1" applyAlignment="1">
      <alignment horizontal="left" vertical="center"/>
    </xf>
    <xf numFmtId="1" fontId="7" fillId="21" borderId="42" xfId="0" applyNumberFormat="1" applyFont="1" applyFill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1" fontId="1" fillId="13" borderId="24" xfId="0" applyNumberFormat="1" applyFont="1" applyFill="1" applyBorder="1" applyAlignment="1">
      <alignment horizontal="center" vertical="center"/>
    </xf>
    <xf numFmtId="1" fontId="1" fillId="13" borderId="33" xfId="0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7" borderId="21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7" borderId="26" xfId="0" applyFont="1" applyFill="1" applyBorder="1" applyAlignment="1">
      <alignment horizontal="center" vertical="center"/>
    </xf>
    <xf numFmtId="0" fontId="1" fillId="27" borderId="63" xfId="0" applyFont="1" applyFill="1" applyBorder="1" applyAlignment="1">
      <alignment horizontal="center" vertical="center"/>
    </xf>
    <xf numFmtId="0" fontId="1" fillId="27" borderId="17" xfId="0" applyFont="1" applyFill="1" applyBorder="1" applyAlignment="1">
      <alignment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0" fillId="3" borderId="7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29" borderId="24" xfId="0" applyFill="1" applyBorder="1" applyAlignment="1">
      <alignment horizontal="center" vertical="center"/>
    </xf>
    <xf numFmtId="0" fontId="0" fillId="29" borderId="33" xfId="0" applyFill="1" applyBorder="1" applyAlignment="1">
      <alignment horizontal="center" vertical="center"/>
    </xf>
    <xf numFmtId="0" fontId="0" fillId="29" borderId="42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1" fillId="28" borderId="2" xfId="0" applyFont="1" applyFill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37" fontId="30" fillId="0" borderId="20" xfId="8" applyNumberFormat="1" applyFont="1" applyBorder="1" applyAlignment="1">
      <alignment horizontal="center" vertical="center" wrapText="1"/>
    </xf>
    <xf numFmtId="37" fontId="30" fillId="0" borderId="15" xfId="8" applyNumberFormat="1" applyFont="1" applyBorder="1" applyAlignment="1">
      <alignment horizontal="center" vertical="center" wrapText="1"/>
    </xf>
    <xf numFmtId="37" fontId="30" fillId="0" borderId="17" xfId="8" applyNumberFormat="1" applyFont="1" applyBorder="1" applyAlignment="1">
      <alignment horizontal="center" vertical="center" wrapText="1"/>
    </xf>
    <xf numFmtId="1" fontId="53" fillId="0" borderId="17" xfId="0" applyNumberFormat="1" applyFont="1" applyBorder="1" applyAlignment="1">
      <alignment horizontal="center" vertical="center" wrapText="1"/>
    </xf>
    <xf numFmtId="1" fontId="53" fillId="0" borderId="15" xfId="0" applyNumberFormat="1" applyFont="1" applyBorder="1" applyAlignment="1">
      <alignment horizontal="center" vertical="center" wrapText="1"/>
    </xf>
    <xf numFmtId="0" fontId="31" fillId="28" borderId="3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1" fontId="7" fillId="3" borderId="22" xfId="0" applyNumberFormat="1" applyFont="1" applyFill="1" applyBorder="1" applyAlignment="1">
      <alignment horizontal="left"/>
    </xf>
    <xf numFmtId="1" fontId="7" fillId="3" borderId="20" xfId="0" applyNumberFormat="1" applyFont="1" applyFill="1" applyBorder="1" applyAlignment="1">
      <alignment horizontal="left"/>
    </xf>
    <xf numFmtId="1" fontId="7" fillId="3" borderId="44" xfId="0" applyNumberFormat="1" applyFont="1" applyFill="1" applyBorder="1" applyAlignment="1">
      <alignment horizontal="left"/>
    </xf>
    <xf numFmtId="2" fontId="16" fillId="8" borderId="33" xfId="0" applyNumberFormat="1" applyFont="1" applyFill="1" applyBorder="1" applyAlignment="1">
      <alignment horizontal="center" vertical="center" wrapText="1"/>
    </xf>
    <xf numFmtId="2" fontId="16" fillId="8" borderId="42" xfId="0" applyNumberFormat="1" applyFont="1" applyFill="1" applyBorder="1" applyAlignment="1">
      <alignment horizontal="center" vertical="center" wrapText="1"/>
    </xf>
    <xf numFmtId="2" fontId="1" fillId="5" borderId="47" xfId="0" applyNumberFormat="1" applyFont="1" applyFill="1" applyBorder="1" applyAlignment="1">
      <alignment horizontal="center" vertical="center"/>
    </xf>
    <xf numFmtId="2" fontId="1" fillId="5" borderId="48" xfId="0" applyNumberFormat="1" applyFont="1" applyFill="1" applyBorder="1" applyAlignment="1">
      <alignment horizontal="center" vertical="center"/>
    </xf>
    <xf numFmtId="2" fontId="28" fillId="5" borderId="40" xfId="0" applyNumberFormat="1" applyFont="1" applyFill="1" applyBorder="1" applyAlignment="1">
      <alignment horizontal="center" vertical="center"/>
    </xf>
    <xf numFmtId="2" fontId="28" fillId="5" borderId="41" xfId="0" applyNumberFormat="1" applyFont="1" applyFill="1" applyBorder="1" applyAlignment="1">
      <alignment horizontal="center" vertical="center"/>
    </xf>
    <xf numFmtId="2" fontId="28" fillId="5" borderId="47" xfId="0" applyNumberFormat="1" applyFont="1" applyFill="1" applyBorder="1" applyAlignment="1">
      <alignment horizontal="center" vertical="center"/>
    </xf>
    <xf numFmtId="2" fontId="28" fillId="5" borderId="48" xfId="0" applyNumberFormat="1" applyFont="1" applyFill="1" applyBorder="1" applyAlignment="1">
      <alignment horizontal="center" vertical="center"/>
    </xf>
    <xf numFmtId="1" fontId="7" fillId="3" borderId="23" xfId="0" applyNumberFormat="1" applyFont="1" applyFill="1" applyBorder="1" applyAlignment="1">
      <alignment horizontal="left"/>
    </xf>
    <xf numFmtId="1" fontId="7" fillId="3" borderId="15" xfId="0" applyNumberFormat="1" applyFont="1" applyFill="1" applyBorder="1" applyAlignment="1">
      <alignment horizontal="left"/>
    </xf>
    <xf numFmtId="1" fontId="7" fillId="3" borderId="59" xfId="0" applyNumberFormat="1" applyFont="1" applyFill="1" applyBorder="1" applyAlignment="1">
      <alignment horizontal="left"/>
    </xf>
    <xf numFmtId="1" fontId="7" fillId="3" borderId="26" xfId="0" applyNumberFormat="1" applyFont="1" applyFill="1" applyBorder="1" applyAlignment="1">
      <alignment horizontal="left"/>
    </xf>
    <xf numFmtId="1" fontId="7" fillId="3" borderId="17" xfId="0" applyNumberFormat="1" applyFont="1" applyFill="1" applyBorder="1" applyAlignment="1">
      <alignment horizontal="left"/>
    </xf>
    <xf numFmtId="1" fontId="7" fillId="3" borderId="58" xfId="0" applyNumberFormat="1" applyFont="1" applyFill="1" applyBorder="1" applyAlignment="1">
      <alignment horizontal="left"/>
    </xf>
    <xf numFmtId="0" fontId="35" fillId="2" borderId="2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>
      <alignment horizontal="center" vertical="center" wrapText="1"/>
    </xf>
    <xf numFmtId="0" fontId="35" fillId="2" borderId="31" xfId="0" applyFont="1" applyFill="1" applyBorder="1" applyAlignment="1">
      <alignment horizontal="center" vertical="center" wrapText="1"/>
    </xf>
    <xf numFmtId="0" fontId="35" fillId="2" borderId="41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vertical="center"/>
    </xf>
    <xf numFmtId="0" fontId="8" fillId="0" borderId="79" xfId="0" applyFont="1" applyBorder="1" applyAlignment="1">
      <alignment horizontal="center" vertical="center"/>
    </xf>
    <xf numFmtId="166" fontId="48" fillId="6" borderId="10" xfId="0" quotePrefix="1" applyNumberFormat="1" applyFont="1" applyFill="1" applyBorder="1" applyAlignment="1">
      <alignment horizontal="center" vertical="center" textRotation="90"/>
    </xf>
    <xf numFmtId="166" fontId="48" fillId="6" borderId="49" xfId="0" quotePrefix="1" applyNumberFormat="1" applyFont="1" applyFill="1" applyBorder="1" applyAlignment="1">
      <alignment horizontal="center" vertical="center" textRotation="90"/>
    </xf>
    <xf numFmtId="166" fontId="48" fillId="6" borderId="50" xfId="0" quotePrefix="1" applyNumberFormat="1" applyFont="1" applyFill="1" applyBorder="1" applyAlignment="1">
      <alignment horizontal="center" vertical="center" textRotation="90"/>
    </xf>
    <xf numFmtId="0" fontId="1" fillId="11" borderId="40" xfId="0" applyFont="1" applyFill="1" applyBorder="1" applyAlignment="1">
      <alignment horizontal="right" vertical="center"/>
    </xf>
    <xf numFmtId="0" fontId="1" fillId="11" borderId="31" xfId="0" applyFont="1" applyFill="1" applyBorder="1" applyAlignment="1">
      <alignment horizontal="right" vertical="center"/>
    </xf>
    <xf numFmtId="0" fontId="1" fillId="2" borderId="59" xfId="0" applyFont="1" applyFill="1" applyBorder="1" applyAlignment="1">
      <alignment vertical="center"/>
    </xf>
    <xf numFmtId="0" fontId="35" fillId="7" borderId="40" xfId="0" applyFont="1" applyFill="1" applyBorder="1" applyAlignment="1">
      <alignment horizontal="center" vertical="center"/>
    </xf>
    <xf numFmtId="0" fontId="35" fillId="7" borderId="4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 textRotation="90" wrapText="1"/>
    </xf>
    <xf numFmtId="0" fontId="24" fillId="3" borderId="49" xfId="0" applyFont="1" applyFill="1" applyBorder="1" applyAlignment="1">
      <alignment horizontal="center" vertical="center" textRotation="90" wrapText="1"/>
    </xf>
    <xf numFmtId="0" fontId="24" fillId="3" borderId="50" xfId="0" applyFont="1" applyFill="1" applyBorder="1" applyAlignment="1">
      <alignment horizontal="center" vertical="center" textRotation="90" wrapText="1"/>
    </xf>
    <xf numFmtId="0" fontId="1" fillId="5" borderId="23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/>
    </xf>
    <xf numFmtId="0" fontId="1" fillId="5" borderId="59" xfId="0" applyFont="1" applyFill="1" applyBorder="1" applyAlignment="1">
      <alignment horizontal="left" vertical="center"/>
    </xf>
    <xf numFmtId="0" fontId="1" fillId="5" borderId="26" xfId="0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left" vertical="center"/>
    </xf>
    <xf numFmtId="0" fontId="1" fillId="5" borderId="58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left" vertical="center"/>
    </xf>
    <xf numFmtId="0" fontId="1" fillId="5" borderId="20" xfId="0" applyFont="1" applyFill="1" applyBorder="1" applyAlignment="1">
      <alignment horizontal="left" vertical="center"/>
    </xf>
    <xf numFmtId="0" fontId="1" fillId="5" borderId="44" xfId="0" applyFont="1" applyFill="1" applyBorder="1" applyAlignment="1">
      <alignment horizontal="left" vertical="center"/>
    </xf>
    <xf numFmtId="0" fontId="8" fillId="0" borderId="53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1" fillId="26" borderId="43" xfId="0" applyFont="1" applyFill="1" applyBorder="1" applyAlignment="1">
      <alignment horizontal="left" vertical="center"/>
    </xf>
    <xf numFmtId="0" fontId="5" fillId="26" borderId="20" xfId="0" applyFont="1" applyFill="1" applyBorder="1" applyAlignment="1">
      <alignment horizontal="left" vertical="center"/>
    </xf>
    <xf numFmtId="0" fontId="1" fillId="2" borderId="84" xfId="0" applyFont="1" applyFill="1" applyBorder="1" applyAlignment="1">
      <alignment horizontal="left" vertical="center"/>
    </xf>
    <xf numFmtId="0" fontId="5" fillId="2" borderId="84" xfId="0" applyFont="1" applyFill="1" applyBorder="1" applyAlignment="1">
      <alignment horizontal="left" vertical="center"/>
    </xf>
    <xf numFmtId="0" fontId="5" fillId="2" borderId="43" xfId="0" applyFont="1" applyFill="1" applyBorder="1" applyAlignment="1">
      <alignment horizontal="left" vertical="center"/>
    </xf>
    <xf numFmtId="0" fontId="1" fillId="2" borderId="93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1" fontId="1" fillId="13" borderId="42" xfId="0" applyNumberFormat="1" applyFont="1" applyFill="1" applyBorder="1" applyAlignment="1">
      <alignment horizontal="center" vertical="center"/>
    </xf>
    <xf numFmtId="0" fontId="1" fillId="14" borderId="65" xfId="0" applyFont="1" applyFill="1" applyBorder="1" applyAlignment="1">
      <alignment horizontal="center" vertical="center"/>
    </xf>
    <xf numFmtId="0" fontId="1" fillId="14" borderId="66" xfId="0" applyFont="1" applyFill="1" applyBorder="1" applyAlignment="1">
      <alignment horizontal="center" vertical="center"/>
    </xf>
    <xf numFmtId="0" fontId="1" fillId="26" borderId="95" xfId="0" applyFont="1" applyFill="1" applyBorder="1" applyAlignment="1">
      <alignment horizontal="left" vertical="center"/>
    </xf>
    <xf numFmtId="0" fontId="5" fillId="26" borderId="95" xfId="0" applyFont="1" applyFill="1" applyBorder="1" applyAlignment="1">
      <alignment horizontal="left" vertical="center"/>
    </xf>
    <xf numFmtId="0" fontId="5" fillId="26" borderId="92" xfId="0" applyFont="1" applyFill="1" applyBorder="1" applyAlignment="1">
      <alignment horizontal="left" vertical="center"/>
    </xf>
    <xf numFmtId="0" fontId="25" fillId="3" borderId="33" xfId="0" applyFont="1" applyFill="1" applyBorder="1" applyAlignment="1">
      <alignment horizontal="center" vertical="center"/>
    </xf>
    <xf numFmtId="0" fontId="25" fillId="3" borderId="42" xfId="0" applyFont="1" applyFill="1" applyBorder="1" applyAlignment="1">
      <alignment horizontal="center" vertical="center"/>
    </xf>
    <xf numFmtId="0" fontId="15" fillId="22" borderId="24" xfId="0" applyFont="1" applyFill="1" applyBorder="1" applyAlignment="1">
      <alignment horizontal="center" vertical="center"/>
    </xf>
    <xf numFmtId="0" fontId="15" fillId="22" borderId="42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1" fillId="26" borderId="94" xfId="0" applyFont="1" applyFill="1" applyBorder="1" applyAlignment="1">
      <alignment horizontal="left" vertical="center"/>
    </xf>
    <xf numFmtId="0" fontId="5" fillId="26" borderId="94" xfId="0" applyFont="1" applyFill="1" applyBorder="1" applyAlignment="1">
      <alignment horizontal="left" vertical="center"/>
    </xf>
    <xf numFmtId="0" fontId="5" fillId="26" borderId="93" xfId="0" applyFont="1" applyFill="1" applyBorder="1" applyAlignment="1">
      <alignment horizontal="left" vertical="center"/>
    </xf>
    <xf numFmtId="0" fontId="29" fillId="9" borderId="2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7" fillId="9" borderId="31" xfId="0" applyFont="1" applyFill="1" applyBorder="1" applyAlignment="1">
      <alignment horizontal="center" vertical="center"/>
    </xf>
    <xf numFmtId="0" fontId="27" fillId="9" borderId="41" xfId="0" applyFont="1" applyFill="1" applyBorder="1" applyAlignment="1">
      <alignment horizontal="center" vertical="center"/>
    </xf>
    <xf numFmtId="0" fontId="15" fillId="4" borderId="33" xfId="0" applyFont="1" applyFill="1" applyBorder="1" applyAlignment="1">
      <alignment horizontal="center" vertical="center"/>
    </xf>
    <xf numFmtId="0" fontId="15" fillId="4" borderId="42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2" fontId="35" fillId="12" borderId="24" xfId="0" applyNumberFormat="1" applyFont="1" applyFill="1" applyBorder="1" applyAlignment="1">
      <alignment horizontal="center" vertical="center"/>
    </xf>
    <xf numFmtId="0" fontId="35" fillId="12" borderId="42" xfId="0" applyFont="1" applyFill="1" applyBorder="1" applyAlignment="1">
      <alignment horizontal="center" vertical="center"/>
    </xf>
    <xf numFmtId="1" fontId="1" fillId="5" borderId="10" xfId="0" applyNumberFormat="1" applyFont="1" applyFill="1" applyBorder="1" applyAlignment="1">
      <alignment horizontal="center" vertical="center" wrapText="1"/>
    </xf>
    <xf numFmtId="1" fontId="1" fillId="5" borderId="49" xfId="0" applyNumberFormat="1" applyFont="1" applyFill="1" applyBorder="1" applyAlignment="1">
      <alignment horizontal="center" vertical="center" wrapText="1"/>
    </xf>
    <xf numFmtId="1" fontId="1" fillId="5" borderId="50" xfId="0" applyNumberFormat="1" applyFont="1" applyFill="1" applyBorder="1" applyAlignment="1">
      <alignment horizontal="center" vertical="center" wrapText="1"/>
    </xf>
    <xf numFmtId="1" fontId="1" fillId="14" borderId="12" xfId="0" applyNumberFormat="1" applyFont="1" applyFill="1" applyBorder="1" applyAlignment="1">
      <alignment horizontal="center" vertical="center"/>
    </xf>
    <xf numFmtId="0" fontId="28" fillId="14" borderId="30" xfId="0" applyFont="1" applyFill="1" applyBorder="1" applyAlignment="1">
      <alignment horizontal="center" vertical="center" wrapText="1"/>
    </xf>
    <xf numFmtId="0" fontId="28" fillId="14" borderId="35" xfId="0" applyFont="1" applyFill="1" applyBorder="1" applyAlignment="1">
      <alignment horizontal="center" vertical="center"/>
    </xf>
    <xf numFmtId="0" fontId="28" fillId="14" borderId="8" xfId="0" applyFont="1" applyFill="1" applyBorder="1" applyAlignment="1">
      <alignment horizontal="center" vertical="center"/>
    </xf>
    <xf numFmtId="0" fontId="28" fillId="14" borderId="45" xfId="0" applyFont="1" applyFill="1" applyBorder="1" applyAlignment="1">
      <alignment horizontal="center" vertical="center"/>
    </xf>
    <xf numFmtId="0" fontId="28" fillId="14" borderId="13" xfId="0" applyFont="1" applyFill="1" applyBorder="1" applyAlignment="1">
      <alignment horizontal="center" vertical="center"/>
    </xf>
    <xf numFmtId="0" fontId="28" fillId="14" borderId="36" xfId="0" applyFont="1" applyFill="1" applyBorder="1" applyAlignment="1">
      <alignment horizontal="center" vertical="center"/>
    </xf>
    <xf numFmtId="1" fontId="1" fillId="14" borderId="6" xfId="0" applyNumberFormat="1" applyFont="1" applyFill="1" applyBorder="1" applyAlignment="1">
      <alignment horizontal="center" vertical="center"/>
    </xf>
    <xf numFmtId="1" fontId="1" fillId="14" borderId="14" xfId="0" applyNumberFormat="1" applyFont="1" applyFill="1" applyBorder="1" applyAlignment="1">
      <alignment horizontal="center" vertical="center"/>
    </xf>
    <xf numFmtId="0" fontId="8" fillId="0" borderId="102" xfId="0" applyFont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" fillId="26" borderId="84" xfId="0" applyFont="1" applyFill="1" applyBorder="1" applyAlignment="1">
      <alignment horizontal="left" vertical="center"/>
    </xf>
    <xf numFmtId="0" fontId="5" fillId="26" borderId="84" xfId="0" applyFont="1" applyFill="1" applyBorder="1" applyAlignment="1">
      <alignment horizontal="left" vertical="center"/>
    </xf>
    <xf numFmtId="0" fontId="5" fillId="26" borderId="43" xfId="0" applyFont="1" applyFill="1" applyBorder="1" applyAlignment="1">
      <alignment horizontal="left" vertical="center"/>
    </xf>
    <xf numFmtId="0" fontId="1" fillId="26" borderId="83" xfId="0" applyFont="1" applyFill="1" applyBorder="1" applyAlignment="1">
      <alignment horizontal="left" vertical="center"/>
    </xf>
    <xf numFmtId="0" fontId="5" fillId="26" borderId="83" xfId="0" applyFont="1" applyFill="1" applyBorder="1" applyAlignment="1">
      <alignment horizontal="left" vertical="center"/>
    </xf>
    <xf numFmtId="0" fontId="5" fillId="26" borderId="62" xfId="0" applyFont="1" applyFill="1" applyBorder="1" applyAlignment="1">
      <alignment horizontal="left" vertical="center"/>
    </xf>
    <xf numFmtId="0" fontId="35" fillId="7" borderId="1" xfId="0" applyFont="1" applyFill="1" applyBorder="1" applyAlignment="1">
      <alignment horizontal="center" vertical="center"/>
    </xf>
    <xf numFmtId="0" fontId="35" fillId="7" borderId="3" xfId="0" applyFont="1" applyFill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5" fillId="2" borderId="55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31" xfId="0" applyFont="1" applyFill="1" applyBorder="1" applyAlignment="1">
      <alignment horizontal="center" vertical="center" wrapText="1"/>
    </xf>
    <xf numFmtId="0" fontId="1" fillId="16" borderId="41" xfId="0" applyFont="1" applyFill="1" applyBorder="1" applyAlignment="1">
      <alignment horizontal="center" vertical="center" wrapText="1"/>
    </xf>
    <xf numFmtId="1" fontId="7" fillId="3" borderId="10" xfId="0" applyNumberFormat="1" applyFont="1" applyFill="1" applyBorder="1" applyAlignment="1">
      <alignment horizontal="center" vertical="center" wrapText="1"/>
    </xf>
    <xf numFmtId="1" fontId="7" fillId="3" borderId="50" xfId="0" applyNumberFormat="1" applyFont="1" applyFill="1" applyBorder="1" applyAlignment="1">
      <alignment horizontal="center" vertical="center" wrapText="1"/>
    </xf>
    <xf numFmtId="1" fontId="1" fillId="18" borderId="19" xfId="0" applyNumberFormat="1" applyFont="1" applyFill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22" borderId="15" xfId="0" applyFont="1" applyFill="1" applyBorder="1" applyAlignment="1" applyProtection="1">
      <alignment horizontal="center" vertical="center"/>
      <protection locked="0"/>
    </xf>
    <xf numFmtId="1" fontId="1" fillId="18" borderId="6" xfId="0" applyNumberFormat="1" applyFont="1" applyFill="1" applyBorder="1" applyAlignment="1">
      <alignment horizontal="center" vertical="center"/>
    </xf>
    <xf numFmtId="1" fontId="1" fillId="18" borderId="14" xfId="0" applyNumberFormat="1" applyFont="1" applyFill="1" applyBorder="1" applyAlignment="1">
      <alignment horizontal="center" vertical="center"/>
    </xf>
    <xf numFmtId="1" fontId="1" fillId="22" borderId="17" xfId="0" applyNumberFormat="1" applyFont="1" applyFill="1" applyBorder="1" applyAlignment="1">
      <alignment horizontal="center" vertical="center"/>
    </xf>
    <xf numFmtId="0" fontId="28" fillId="22" borderId="1" xfId="0" applyFont="1" applyFill="1" applyBorder="1" applyAlignment="1">
      <alignment horizontal="center" vertical="center" wrapText="1"/>
    </xf>
    <xf numFmtId="0" fontId="28" fillId="22" borderId="3" xfId="0" applyFont="1" applyFill="1" applyBorder="1" applyAlignment="1">
      <alignment horizontal="center" vertical="center" wrapText="1"/>
    </xf>
    <xf numFmtId="0" fontId="28" fillId="22" borderId="47" xfId="0" applyFont="1" applyFill="1" applyBorder="1" applyAlignment="1">
      <alignment horizontal="center" vertical="center"/>
    </xf>
    <xf numFmtId="0" fontId="28" fillId="22" borderId="48" xfId="0" applyFont="1" applyFill="1" applyBorder="1" applyAlignment="1">
      <alignment horizontal="center" vertical="center"/>
    </xf>
    <xf numFmtId="1" fontId="7" fillId="17" borderId="10" xfId="0" applyNumberFormat="1" applyFont="1" applyFill="1" applyBorder="1" applyAlignment="1">
      <alignment horizontal="center" vertical="center" wrapText="1"/>
    </xf>
    <xf numFmtId="1" fontId="7" fillId="17" borderId="49" xfId="0" applyNumberFormat="1" applyFont="1" applyFill="1" applyBorder="1" applyAlignment="1">
      <alignment horizontal="center" vertical="center" wrapText="1"/>
    </xf>
    <xf numFmtId="1" fontId="7" fillId="17" borderId="50" xfId="0" applyNumberFormat="1" applyFont="1" applyFill="1" applyBorder="1" applyAlignment="1">
      <alignment horizontal="center"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28" fillId="18" borderId="47" xfId="0" applyFont="1" applyFill="1" applyBorder="1" applyAlignment="1">
      <alignment horizontal="center" vertical="center"/>
    </xf>
    <xf numFmtId="0" fontId="28" fillId="18" borderId="48" xfId="0" applyFont="1" applyFill="1" applyBorder="1" applyAlignment="1">
      <alignment horizontal="center" vertical="center"/>
    </xf>
    <xf numFmtId="0" fontId="35" fillId="7" borderId="24" xfId="0" applyFont="1" applyFill="1" applyBorder="1" applyAlignment="1">
      <alignment horizontal="center" vertical="center"/>
    </xf>
    <xf numFmtId="0" fontId="35" fillId="7" borderId="42" xfId="0" applyFont="1" applyFill="1" applyBorder="1" applyAlignment="1">
      <alignment horizontal="center" vertical="center"/>
    </xf>
    <xf numFmtId="1" fontId="51" fillId="25" borderId="40" xfId="0" applyNumberFormat="1" applyFont="1" applyFill="1" applyBorder="1" applyAlignment="1">
      <alignment horizontal="right" vertical="center"/>
    </xf>
    <xf numFmtId="1" fontId="51" fillId="25" borderId="31" xfId="0" applyNumberFormat="1" applyFont="1" applyFill="1" applyBorder="1" applyAlignment="1">
      <alignment horizontal="right" vertical="center"/>
    </xf>
    <xf numFmtId="1" fontId="51" fillId="25" borderId="41" xfId="0" applyNumberFormat="1" applyFont="1" applyFill="1" applyBorder="1" applyAlignment="1">
      <alignment horizontal="right" vertical="center"/>
    </xf>
    <xf numFmtId="174" fontId="35" fillId="26" borderId="24" xfId="0" applyNumberFormat="1" applyFont="1" applyFill="1" applyBorder="1" applyAlignment="1">
      <alignment horizontal="center" vertical="center"/>
    </xf>
    <xf numFmtId="174" fontId="35" fillId="26" borderId="42" xfId="0" applyNumberFormat="1" applyFont="1" applyFill="1" applyBorder="1" applyAlignment="1">
      <alignment horizontal="center" vertical="center"/>
    </xf>
    <xf numFmtId="1" fontId="1" fillId="26" borderId="56" xfId="0" applyNumberFormat="1" applyFont="1" applyFill="1" applyBorder="1" applyAlignment="1">
      <alignment horizontal="left" vertical="center"/>
    </xf>
    <xf numFmtId="1" fontId="1" fillId="26" borderId="64" xfId="0" applyNumberFormat="1" applyFont="1" applyFill="1" applyBorder="1" applyAlignment="1">
      <alignment horizontal="left" vertical="center"/>
    </xf>
    <xf numFmtId="1" fontId="1" fillId="26" borderId="87" xfId="0" applyNumberFormat="1" applyFont="1" applyFill="1" applyBorder="1" applyAlignment="1">
      <alignment horizontal="left" vertical="center"/>
    </xf>
    <xf numFmtId="172" fontId="11" fillId="9" borderId="24" xfId="0" applyNumberFormat="1" applyFont="1" applyFill="1" applyBorder="1" applyAlignment="1">
      <alignment horizontal="center" vertical="center"/>
    </xf>
    <xf numFmtId="172" fontId="11" fillId="9" borderId="42" xfId="0" applyNumberFormat="1" applyFont="1" applyFill="1" applyBorder="1" applyAlignment="1">
      <alignment horizontal="center" vertical="center"/>
    </xf>
    <xf numFmtId="1" fontId="5" fillId="9" borderId="88" xfId="0" applyNumberFormat="1" applyFont="1" applyFill="1" applyBorder="1" applyAlignment="1">
      <alignment horizontal="center" vertical="center" wrapText="1"/>
    </xf>
    <xf numFmtId="0" fontId="5" fillId="9" borderId="87" xfId="0" applyFont="1" applyFill="1" applyBorder="1" applyAlignment="1">
      <alignment horizontal="center" vertical="center" wrapText="1"/>
    </xf>
    <xf numFmtId="172" fontId="11" fillId="9" borderId="56" xfId="0" applyNumberFormat="1" applyFont="1" applyFill="1" applyBorder="1" applyAlignment="1">
      <alignment horizontal="center" vertical="center"/>
    </xf>
    <xf numFmtId="172" fontId="11" fillId="9" borderId="70" xfId="0" applyNumberFormat="1" applyFont="1" applyFill="1" applyBorder="1" applyAlignment="1">
      <alignment horizontal="center" vertical="center"/>
    </xf>
    <xf numFmtId="172" fontId="9" fillId="0" borderId="47" xfId="0" applyNumberFormat="1" applyFont="1" applyBorder="1" applyAlignment="1">
      <alignment horizontal="center" vertical="center"/>
    </xf>
    <xf numFmtId="172" fontId="9" fillId="0" borderId="0" xfId="0" applyNumberFormat="1" applyFont="1" applyAlignment="1">
      <alignment horizontal="center" vertical="center"/>
    </xf>
    <xf numFmtId="0" fontId="45" fillId="0" borderId="47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35" fillId="20" borderId="24" xfId="0" applyFont="1" applyFill="1" applyBorder="1" applyAlignment="1">
      <alignment horizontal="center" vertical="center"/>
    </xf>
    <xf numFmtId="0" fontId="35" fillId="20" borderId="42" xfId="0" applyFont="1" applyFill="1" applyBorder="1" applyAlignment="1">
      <alignment horizontal="center" vertical="center"/>
    </xf>
    <xf numFmtId="1" fontId="50" fillId="25" borderId="40" xfId="0" applyNumberFormat="1" applyFont="1" applyFill="1" applyBorder="1" applyAlignment="1">
      <alignment horizontal="right" vertical="center"/>
    </xf>
    <xf numFmtId="1" fontId="50" fillId="25" borderId="31" xfId="0" applyNumberFormat="1" applyFont="1" applyFill="1" applyBorder="1" applyAlignment="1">
      <alignment horizontal="right" vertical="center"/>
    </xf>
    <xf numFmtId="1" fontId="50" fillId="25" borderId="41" xfId="0" applyNumberFormat="1" applyFont="1" applyFill="1" applyBorder="1" applyAlignment="1">
      <alignment horizontal="right" vertical="center"/>
    </xf>
    <xf numFmtId="173" fontId="35" fillId="26" borderId="40" xfId="0" applyNumberFormat="1" applyFont="1" applyFill="1" applyBorder="1" applyAlignment="1">
      <alignment horizontal="center" vertical="center"/>
    </xf>
    <xf numFmtId="173" fontId="35" fillId="26" borderId="41" xfId="0" applyNumberFormat="1" applyFont="1" applyFill="1" applyBorder="1" applyAlignment="1">
      <alignment horizontal="center" vertical="center"/>
    </xf>
    <xf numFmtId="174" fontId="35" fillId="26" borderId="40" xfId="0" applyNumberFormat="1" applyFont="1" applyFill="1" applyBorder="1" applyAlignment="1">
      <alignment horizontal="center" vertical="center"/>
    </xf>
    <xf numFmtId="174" fontId="35" fillId="26" borderId="41" xfId="0" applyNumberFormat="1" applyFont="1" applyFill="1" applyBorder="1" applyAlignment="1">
      <alignment horizontal="center" vertical="center"/>
    </xf>
    <xf numFmtId="1" fontId="1" fillId="26" borderId="56" xfId="0" applyNumberFormat="1" applyFont="1" applyFill="1" applyBorder="1" applyAlignment="1">
      <alignment horizontal="left"/>
    </xf>
    <xf numFmtId="1" fontId="1" fillId="26" borderId="64" xfId="0" applyNumberFormat="1" applyFont="1" applyFill="1" applyBorder="1" applyAlignment="1">
      <alignment horizontal="left"/>
    </xf>
    <xf numFmtId="1" fontId="1" fillId="26" borderId="87" xfId="0" applyNumberFormat="1" applyFont="1" applyFill="1" applyBorder="1" applyAlignment="1">
      <alignment horizontal="left"/>
    </xf>
    <xf numFmtId="1" fontId="1" fillId="26" borderId="65" xfId="0" applyNumberFormat="1" applyFont="1" applyFill="1" applyBorder="1" applyAlignment="1">
      <alignment horizontal="left" vertical="center"/>
    </xf>
    <xf numFmtId="1" fontId="1" fillId="26" borderId="66" xfId="0" applyNumberFormat="1" applyFont="1" applyFill="1" applyBorder="1" applyAlignment="1">
      <alignment horizontal="left" vertical="center"/>
    </xf>
    <xf numFmtId="1" fontId="1" fillId="26" borderId="82" xfId="0" applyNumberFormat="1" applyFont="1" applyFill="1" applyBorder="1" applyAlignment="1">
      <alignment horizontal="left" vertical="center"/>
    </xf>
    <xf numFmtId="172" fontId="11" fillId="9" borderId="65" xfId="0" applyNumberFormat="1" applyFont="1" applyFill="1" applyBorder="1" applyAlignment="1">
      <alignment horizontal="center" vertical="center"/>
    </xf>
    <xf numFmtId="172" fontId="11" fillId="9" borderId="75" xfId="0" applyNumberFormat="1" applyFont="1" applyFill="1" applyBorder="1" applyAlignment="1">
      <alignment horizontal="center" vertical="center"/>
    </xf>
    <xf numFmtId="1" fontId="5" fillId="9" borderId="86" xfId="0" applyNumberFormat="1" applyFont="1" applyFill="1" applyBorder="1" applyAlignment="1">
      <alignment horizontal="center" vertical="center" wrapText="1"/>
    </xf>
    <xf numFmtId="0" fontId="5" fillId="9" borderId="82" xfId="0" applyFont="1" applyFill="1" applyBorder="1" applyAlignment="1">
      <alignment horizontal="center" vertical="center" wrapText="1"/>
    </xf>
    <xf numFmtId="1" fontId="7" fillId="7" borderId="61" xfId="0" applyNumberFormat="1" applyFont="1" applyFill="1" applyBorder="1" applyAlignment="1">
      <alignment horizontal="center"/>
    </xf>
    <xf numFmtId="1" fontId="7" fillId="7" borderId="77" xfId="0" applyNumberFormat="1" applyFont="1" applyFill="1" applyBorder="1" applyAlignment="1">
      <alignment horizontal="center"/>
    </xf>
    <xf numFmtId="1" fontId="7" fillId="7" borderId="76" xfId="0" applyNumberFormat="1" applyFont="1" applyFill="1" applyBorder="1" applyAlignment="1">
      <alignment horizontal="center"/>
    </xf>
    <xf numFmtId="2" fontId="7" fillId="7" borderId="1" xfId="0" applyNumberFormat="1" applyFont="1" applyFill="1" applyBorder="1" applyAlignment="1">
      <alignment horizontal="center" vertical="center"/>
    </xf>
    <xf numFmtId="2" fontId="7" fillId="7" borderId="3" xfId="0" applyNumberFormat="1" applyFont="1" applyFill="1" applyBorder="1" applyAlignment="1">
      <alignment horizontal="center" vertical="center"/>
    </xf>
    <xf numFmtId="0" fontId="7" fillId="7" borderId="85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1" fontId="50" fillId="25" borderId="24" xfId="0" applyNumberFormat="1" applyFont="1" applyFill="1" applyBorder="1" applyAlignment="1">
      <alignment horizontal="right" vertical="center"/>
    </xf>
    <xf numFmtId="1" fontId="50" fillId="25" borderId="33" xfId="0" applyNumberFormat="1" applyFont="1" applyFill="1" applyBorder="1" applyAlignment="1">
      <alignment horizontal="right" vertical="center"/>
    </xf>
    <xf numFmtId="1" fontId="50" fillId="25" borderId="42" xfId="0" applyNumberFormat="1" applyFont="1" applyFill="1" applyBorder="1" applyAlignment="1">
      <alignment horizontal="right" vertical="center"/>
    </xf>
    <xf numFmtId="173" fontId="35" fillId="26" borderId="24" xfId="0" applyNumberFormat="1" applyFont="1" applyFill="1" applyBorder="1" applyAlignment="1">
      <alignment horizontal="center" vertical="center"/>
    </xf>
    <xf numFmtId="173" fontId="35" fillId="26" borderId="42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2" fontId="1" fillId="2" borderId="61" xfId="0" applyNumberFormat="1" applyFont="1" applyFill="1" applyBorder="1" applyAlignment="1">
      <alignment horizontal="center" vertical="center"/>
    </xf>
    <xf numFmtId="2" fontId="1" fillId="2" borderId="97" xfId="0" applyNumberFormat="1" applyFont="1" applyFill="1" applyBorder="1" applyAlignment="1">
      <alignment horizontal="center" vertical="center"/>
    </xf>
    <xf numFmtId="2" fontId="1" fillId="2" borderId="56" xfId="0" applyNumberFormat="1" applyFont="1" applyFill="1" applyBorder="1" applyAlignment="1">
      <alignment horizontal="center" vertical="center"/>
    </xf>
    <xf numFmtId="0" fontId="5" fillId="2" borderId="98" xfId="0" applyFont="1" applyFill="1" applyBorder="1" applyAlignment="1">
      <alignment horizontal="center" vertical="center"/>
    </xf>
    <xf numFmtId="0" fontId="5" fillId="2" borderId="89" xfId="0" applyFont="1" applyFill="1" applyBorder="1" applyAlignment="1">
      <alignment horizontal="center" vertical="center"/>
    </xf>
    <xf numFmtId="0" fontId="56" fillId="0" borderId="24" xfId="0" applyFont="1" applyBorder="1" applyAlignment="1">
      <alignment horizontal="center" vertical="center"/>
    </xf>
    <xf numFmtId="0" fontId="56" fillId="0" borderId="42" xfId="0" applyFont="1" applyBorder="1" applyAlignment="1">
      <alignment horizontal="center" vertical="center"/>
    </xf>
    <xf numFmtId="0" fontId="39" fillId="5" borderId="24" xfId="0" applyFont="1" applyFill="1" applyBorder="1" applyAlignment="1">
      <alignment horizontal="center"/>
    </xf>
    <xf numFmtId="0" fontId="39" fillId="5" borderId="33" xfId="0" applyFont="1" applyFill="1" applyBorder="1" applyAlignment="1">
      <alignment horizontal="center"/>
    </xf>
    <xf numFmtId="0" fontId="39" fillId="5" borderId="42" xfId="0" applyFont="1" applyFill="1" applyBorder="1" applyAlignment="1">
      <alignment horizontal="center"/>
    </xf>
    <xf numFmtId="0" fontId="39" fillId="5" borderId="1" xfId="0" applyFont="1" applyFill="1" applyBorder="1" applyAlignment="1">
      <alignment horizontal="center"/>
    </xf>
    <xf numFmtId="0" fontId="39" fillId="5" borderId="2" xfId="0" applyFont="1" applyFill="1" applyBorder="1" applyAlignment="1">
      <alignment horizontal="center"/>
    </xf>
    <xf numFmtId="0" fontId="39" fillId="5" borderId="3" xfId="0" applyFont="1" applyFill="1" applyBorder="1" applyAlignment="1">
      <alignment horizontal="center"/>
    </xf>
    <xf numFmtId="0" fontId="57" fillId="5" borderId="1" xfId="0" applyFont="1" applyFill="1" applyBorder="1" applyAlignment="1">
      <alignment horizontal="center" vertical="center" wrapText="1"/>
    </xf>
    <xf numFmtId="0" fontId="57" fillId="5" borderId="2" xfId="0" applyFont="1" applyFill="1" applyBorder="1" applyAlignment="1">
      <alignment horizontal="center" vertical="center" wrapText="1"/>
    </xf>
    <xf numFmtId="0" fontId="57" fillId="5" borderId="47" xfId="0" applyFont="1" applyFill="1" applyBorder="1" applyAlignment="1">
      <alignment horizontal="center" vertical="center" wrapText="1"/>
    </xf>
    <xf numFmtId="0" fontId="57" fillId="5" borderId="0" xfId="0" applyFont="1" applyFill="1" applyAlignment="1">
      <alignment horizontal="center" vertical="center" wrapText="1"/>
    </xf>
    <xf numFmtId="0" fontId="57" fillId="5" borderId="10" xfId="0" applyFont="1" applyFill="1" applyBorder="1" applyAlignment="1">
      <alignment horizontal="center" vertical="center" wrapText="1"/>
    </xf>
    <xf numFmtId="0" fontId="57" fillId="5" borderId="49" xfId="0" applyFont="1" applyFill="1" applyBorder="1" applyAlignment="1">
      <alignment horizontal="center" vertical="center" wrapText="1"/>
    </xf>
    <xf numFmtId="0" fontId="43" fillId="3" borderId="56" xfId="0" applyFont="1" applyFill="1" applyBorder="1" applyAlignment="1">
      <alignment horizontal="center"/>
    </xf>
    <xf numFmtId="0" fontId="43" fillId="3" borderId="70" xfId="0" applyFont="1" applyFill="1" applyBorder="1" applyAlignment="1">
      <alignment horizontal="center"/>
    </xf>
    <xf numFmtId="1" fontId="33" fillId="14" borderId="22" xfId="0" applyNumberFormat="1" applyFont="1" applyFill="1" applyBorder="1" applyAlignment="1">
      <alignment horizontal="center" vertical="center"/>
    </xf>
    <xf numFmtId="1" fontId="33" fillId="14" borderId="20" xfId="0" applyNumberFormat="1" applyFont="1" applyFill="1" applyBorder="1" applyAlignment="1">
      <alignment horizontal="center" vertical="center"/>
    </xf>
  </cellXfs>
  <cellStyles count="18">
    <cellStyle name="(Built-in)" xfId="3" xr:uid="{00000000-0005-0000-0000-000000000000}"/>
    <cellStyle name="Comma 2" xfId="11" xr:uid="{7B483BF5-8DDE-4420-9DF3-EDD063392969}"/>
    <cellStyle name="Currency 2" xfId="16" xr:uid="{B4F4F06D-E537-44C2-A6CE-9E54DDFA7A72}"/>
    <cellStyle name="Hyperlink 2" xfId="4" xr:uid="{00000000-0005-0000-0000-000001000000}"/>
    <cellStyle name="Normal 2" xfId="2" xr:uid="{00000000-0005-0000-0000-000003000000}"/>
    <cellStyle name="Normal 2 2" xfId="7" xr:uid="{00000000-0005-0000-0000-000004000000}"/>
    <cellStyle name="Normal 2 2 2" xfId="17" xr:uid="{25CB6649-F8BE-4326-A463-878909E5BC20}"/>
    <cellStyle name="Normal 2 3" xfId="10" xr:uid="{0CC35A27-8CC9-4B8B-BB82-A4FB6DA068FF}"/>
    <cellStyle name="Normal 26" xfId="1" xr:uid="{00000000-0005-0000-0000-000005000000}"/>
    <cellStyle name="Normal 3" xfId="5" xr:uid="{00000000-0005-0000-0000-000006000000}"/>
    <cellStyle name="Normal 3 2" xfId="13" xr:uid="{1E703B36-AE0E-493A-A8B4-0883FE8E307D}"/>
    <cellStyle name="Normal 4" xfId="14" xr:uid="{271EA343-D1B9-4E10-AD03-17F3350EFA3D}"/>
    <cellStyle name="Normal 5" xfId="9" xr:uid="{ED2B5EAE-1666-4AE2-B697-6873A3A357B7}"/>
    <cellStyle name="Normal 6" xfId="15" xr:uid="{A7C09185-8150-4637-91B3-2770BED5B8F9}"/>
    <cellStyle name="Percent 2" xfId="12" xr:uid="{EAC410DF-B099-46CD-8EAE-2D510B0014EB}"/>
    <cellStyle name="Обычный" xfId="0" builtinId="0"/>
    <cellStyle name="Финансовый" xfId="8" builtinId="3"/>
    <cellStyle name="標準_DP&amp;DC Run hrs" xfId="6" xr:uid="{00000000-0005-0000-0000-000007000000}"/>
  </cellStyles>
  <dxfs count="0"/>
  <tableStyles count="0" defaultTableStyle="TableStyleMedium2" defaultPivotStyle="PivotStyleLight16"/>
  <colors>
    <mruColors>
      <color rgb="FFE486A1"/>
      <color rgb="FFE2ED7D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gif@01D4FBAA.B421C0B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34634</xdr:colOff>
      <xdr:row>0</xdr:row>
      <xdr:rowOff>22994</xdr:rowOff>
    </xdr:from>
    <xdr:to>
      <xdr:col>1</xdr:col>
      <xdr:colOff>444500</xdr:colOff>
      <xdr:row>4</xdr:row>
      <xdr:rowOff>177800</xdr:rowOff>
    </xdr:to>
    <xdr:pic>
      <xdr:nvPicPr>
        <xdr:cNvPr id="2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34" y="22994"/>
          <a:ext cx="1190916" cy="789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1143280</xdr:colOff>
      <xdr:row>0</xdr:row>
      <xdr:rowOff>28576</xdr:rowOff>
    </xdr:from>
    <xdr:to>
      <xdr:col>11</xdr:col>
      <xdr:colOff>1130300</xdr:colOff>
      <xdr:row>3</xdr:row>
      <xdr:rowOff>76200</xdr:rowOff>
    </xdr:to>
    <xdr:pic>
      <xdr:nvPicPr>
        <xdr:cNvPr id="5" name="Picture 1" descr="cid:image001.gif@01D4FBAA.B421C0B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9230" y="28576"/>
          <a:ext cx="1187170" cy="530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520700</xdr:colOff>
      <xdr:row>285</xdr:row>
      <xdr:rowOff>95250</xdr:rowOff>
    </xdr:from>
    <xdr:to>
      <xdr:col>10</xdr:col>
      <xdr:colOff>209550</xdr:colOff>
      <xdr:row>294</xdr:row>
      <xdr:rowOff>107950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A99982B-9055-42F7-B849-9B49379A9003}"/>
            </a:ext>
          </a:extLst>
        </xdr:cNvPr>
        <xdr:cNvCxnSpPr/>
      </xdr:nvCxnSpPr>
      <xdr:spPr>
        <a:xfrm>
          <a:off x="2641600" y="47663100"/>
          <a:ext cx="4533900" cy="495300"/>
        </a:xfrm>
        <a:prstGeom prst="straightConnector1">
          <a:avLst/>
        </a:prstGeom>
        <a:ln w="19050">
          <a:solidFill>
            <a:srgbClr val="FFFF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469900</xdr:colOff>
      <xdr:row>590</xdr:row>
      <xdr:rowOff>19050</xdr:rowOff>
    </xdr:from>
    <xdr:to>
      <xdr:col>10</xdr:col>
      <xdr:colOff>222250</xdr:colOff>
      <xdr:row>592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8A7D23C-34A8-4201-8E4A-0D571DDE5532}"/>
            </a:ext>
          </a:extLst>
        </xdr:cNvPr>
        <xdr:cNvCxnSpPr/>
      </xdr:nvCxnSpPr>
      <xdr:spPr>
        <a:xfrm flipV="1">
          <a:off x="4546600" y="96964500"/>
          <a:ext cx="2641600" cy="438150"/>
        </a:xfrm>
        <a:prstGeom prst="straightConnector1">
          <a:avLst/>
        </a:prstGeom>
        <a:ln w="19050">
          <a:solidFill>
            <a:srgbClr val="FFFF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283882</xdr:colOff>
      <xdr:row>259</xdr:row>
      <xdr:rowOff>14941</xdr:rowOff>
    </xdr:from>
    <xdr:to>
      <xdr:col>3</xdr:col>
      <xdr:colOff>291353</xdr:colOff>
      <xdr:row>270</xdr:row>
      <xdr:rowOff>186765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188882" y="48439294"/>
          <a:ext cx="7471" cy="2226236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44822</xdr:colOff>
      <xdr:row>263</xdr:row>
      <xdr:rowOff>52294</xdr:rowOff>
    </xdr:from>
    <xdr:ext cx="492313" cy="5042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49822" y="49223706"/>
          <a:ext cx="492313" cy="50429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100" b="1"/>
            <a:t>SPARE</a:t>
          </a:r>
        </a:p>
        <a:p>
          <a:pPr algn="ctr"/>
          <a:r>
            <a:rPr lang="en-US" sz="1100" b="1"/>
            <a:t>JOINTS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sood, Ahmed" id="{507F9535-7CC3-4301-A598-1FC5D9228F55}" userId="S::Ahmed.Masood@bakerhughes.com::773c33ff-6018-4c54-9079-eed0e7f8594d" providerId="AD"/>
</personList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23" dT="2023-06-27T05:35:42.54" personId="{507F9535-7CC3-4301-A598-1FC5D9228F55}" id="{170B39AF-937B-4DE7-989C-5B172AC3153C}">
    <text>QG-7IN-ZXP-04-NFE
QG-7IN-SA-11-NFE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652"/>
  <sheetViews>
    <sheetView zoomScale="110" zoomScaleNormal="110" zoomScaleSheetLayoutView="100" workbookViewId="0">
      <selection activeCell="A6" sqref="A6"/>
    </sheetView>
  </sheetViews>
  <sheetFormatPr defaultColWidth="11.42578125" defaultRowHeight="15"/>
  <cols>
    <col min="1" max="1" width="11.140625" style="16" customWidth="1"/>
    <col min="2" max="2" width="7.5703125" style="13" customWidth="1"/>
    <col min="3" max="3" width="11.5703125" style="11" customWidth="1"/>
    <col min="4" max="4" width="10.140625" style="11" bestFit="1" customWidth="1"/>
    <col min="5" max="5" width="8" style="14" customWidth="1"/>
    <col min="6" max="6" width="9.85546875" style="14" customWidth="1"/>
    <col min="7" max="7" width="8.140625" style="14" customWidth="1"/>
    <col min="8" max="8" width="10.5703125" style="14" customWidth="1"/>
    <col min="9" max="9" width="12.7109375" style="14" customWidth="1"/>
    <col min="10" max="10" width="10" style="15" customWidth="1"/>
    <col min="11" max="11" width="17.140625" style="10" customWidth="1"/>
    <col min="12" max="12" width="16.5703125" style="1" customWidth="1"/>
    <col min="13" max="13" width="8.140625" style="1" customWidth="1"/>
    <col min="14" max="251" width="11.42578125" style="1"/>
    <col min="252" max="252" width="0.7109375" style="1" customWidth="1"/>
    <col min="253" max="253" width="10.7109375" style="1" customWidth="1"/>
    <col min="254" max="254" width="5.140625" style="1" customWidth="1"/>
    <col min="255" max="255" width="10.140625" style="1" customWidth="1"/>
    <col min="256" max="256" width="7.7109375" style="1" customWidth="1"/>
    <col min="257" max="257" width="8" style="1" customWidth="1"/>
    <col min="258" max="258" width="9.85546875" style="1" customWidth="1"/>
    <col min="259" max="259" width="8.42578125" style="1" customWidth="1"/>
    <col min="260" max="260" width="10.5703125" style="1" customWidth="1"/>
    <col min="261" max="261" width="12.7109375" style="1" customWidth="1"/>
    <col min="262" max="262" width="10" style="1" customWidth="1"/>
    <col min="263" max="263" width="14" style="1" customWidth="1"/>
    <col min="264" max="264" width="11.5703125" style="1" customWidth="1"/>
    <col min="265" max="265" width="8.140625" style="1" customWidth="1"/>
    <col min="266" max="266" width="7.7109375" style="1" customWidth="1"/>
    <col min="267" max="507" width="11.42578125" style="1"/>
    <col min="508" max="508" width="0.7109375" style="1" customWidth="1"/>
    <col min="509" max="509" width="10.7109375" style="1" customWidth="1"/>
    <col min="510" max="510" width="5.140625" style="1" customWidth="1"/>
    <col min="511" max="511" width="10.140625" style="1" customWidth="1"/>
    <col min="512" max="512" width="7.7109375" style="1" customWidth="1"/>
    <col min="513" max="513" width="8" style="1" customWidth="1"/>
    <col min="514" max="514" width="9.85546875" style="1" customWidth="1"/>
    <col min="515" max="515" width="8.42578125" style="1" customWidth="1"/>
    <col min="516" max="516" width="10.5703125" style="1" customWidth="1"/>
    <col min="517" max="517" width="12.7109375" style="1" customWidth="1"/>
    <col min="518" max="518" width="10" style="1" customWidth="1"/>
    <col min="519" max="519" width="14" style="1" customWidth="1"/>
    <col min="520" max="520" width="11.5703125" style="1" customWidth="1"/>
    <col min="521" max="521" width="8.140625" style="1" customWidth="1"/>
    <col min="522" max="522" width="7.7109375" style="1" customWidth="1"/>
    <col min="523" max="763" width="11.42578125" style="1"/>
    <col min="764" max="764" width="0.7109375" style="1" customWidth="1"/>
    <col min="765" max="765" width="10.7109375" style="1" customWidth="1"/>
    <col min="766" max="766" width="5.140625" style="1" customWidth="1"/>
    <col min="767" max="767" width="10.140625" style="1" customWidth="1"/>
    <col min="768" max="768" width="7.7109375" style="1" customWidth="1"/>
    <col min="769" max="769" width="8" style="1" customWidth="1"/>
    <col min="770" max="770" width="9.85546875" style="1" customWidth="1"/>
    <col min="771" max="771" width="8.42578125" style="1" customWidth="1"/>
    <col min="772" max="772" width="10.5703125" style="1" customWidth="1"/>
    <col min="773" max="773" width="12.7109375" style="1" customWidth="1"/>
    <col min="774" max="774" width="10" style="1" customWidth="1"/>
    <col min="775" max="775" width="14" style="1" customWidth="1"/>
    <col min="776" max="776" width="11.5703125" style="1" customWidth="1"/>
    <col min="777" max="777" width="8.140625" style="1" customWidth="1"/>
    <col min="778" max="778" width="7.7109375" style="1" customWidth="1"/>
    <col min="779" max="1019" width="11.42578125" style="1"/>
    <col min="1020" max="1020" width="0.7109375" style="1" customWidth="1"/>
    <col min="1021" max="1021" width="10.7109375" style="1" customWidth="1"/>
    <col min="1022" max="1022" width="5.140625" style="1" customWidth="1"/>
    <col min="1023" max="1023" width="10.140625" style="1" customWidth="1"/>
    <col min="1024" max="1024" width="7.7109375" style="1" customWidth="1"/>
    <col min="1025" max="1025" width="8" style="1" customWidth="1"/>
    <col min="1026" max="1026" width="9.85546875" style="1" customWidth="1"/>
    <col min="1027" max="1027" width="8.42578125" style="1" customWidth="1"/>
    <col min="1028" max="1028" width="10.5703125" style="1" customWidth="1"/>
    <col min="1029" max="1029" width="12.7109375" style="1" customWidth="1"/>
    <col min="1030" max="1030" width="10" style="1" customWidth="1"/>
    <col min="1031" max="1031" width="14" style="1" customWidth="1"/>
    <col min="1032" max="1032" width="11.5703125" style="1" customWidth="1"/>
    <col min="1033" max="1033" width="8.140625" style="1" customWidth="1"/>
    <col min="1034" max="1034" width="7.7109375" style="1" customWidth="1"/>
    <col min="1035" max="1275" width="11.42578125" style="1"/>
    <col min="1276" max="1276" width="0.7109375" style="1" customWidth="1"/>
    <col min="1277" max="1277" width="10.7109375" style="1" customWidth="1"/>
    <col min="1278" max="1278" width="5.140625" style="1" customWidth="1"/>
    <col min="1279" max="1279" width="10.140625" style="1" customWidth="1"/>
    <col min="1280" max="1280" width="7.7109375" style="1" customWidth="1"/>
    <col min="1281" max="1281" width="8" style="1" customWidth="1"/>
    <col min="1282" max="1282" width="9.85546875" style="1" customWidth="1"/>
    <col min="1283" max="1283" width="8.42578125" style="1" customWidth="1"/>
    <col min="1284" max="1284" width="10.5703125" style="1" customWidth="1"/>
    <col min="1285" max="1285" width="12.7109375" style="1" customWidth="1"/>
    <col min="1286" max="1286" width="10" style="1" customWidth="1"/>
    <col min="1287" max="1287" width="14" style="1" customWidth="1"/>
    <col min="1288" max="1288" width="11.5703125" style="1" customWidth="1"/>
    <col min="1289" max="1289" width="8.140625" style="1" customWidth="1"/>
    <col min="1290" max="1290" width="7.7109375" style="1" customWidth="1"/>
    <col min="1291" max="1531" width="11.42578125" style="1"/>
    <col min="1532" max="1532" width="0.7109375" style="1" customWidth="1"/>
    <col min="1533" max="1533" width="10.7109375" style="1" customWidth="1"/>
    <col min="1534" max="1534" width="5.140625" style="1" customWidth="1"/>
    <col min="1535" max="1535" width="10.140625" style="1" customWidth="1"/>
    <col min="1536" max="1536" width="7.7109375" style="1" customWidth="1"/>
    <col min="1537" max="1537" width="8" style="1" customWidth="1"/>
    <col min="1538" max="1538" width="9.85546875" style="1" customWidth="1"/>
    <col min="1539" max="1539" width="8.42578125" style="1" customWidth="1"/>
    <col min="1540" max="1540" width="10.5703125" style="1" customWidth="1"/>
    <col min="1541" max="1541" width="12.7109375" style="1" customWidth="1"/>
    <col min="1542" max="1542" width="10" style="1" customWidth="1"/>
    <col min="1543" max="1543" width="14" style="1" customWidth="1"/>
    <col min="1544" max="1544" width="11.5703125" style="1" customWidth="1"/>
    <col min="1545" max="1545" width="8.140625" style="1" customWidth="1"/>
    <col min="1546" max="1546" width="7.7109375" style="1" customWidth="1"/>
    <col min="1547" max="1787" width="11.42578125" style="1"/>
    <col min="1788" max="1788" width="0.7109375" style="1" customWidth="1"/>
    <col min="1789" max="1789" width="10.7109375" style="1" customWidth="1"/>
    <col min="1790" max="1790" width="5.140625" style="1" customWidth="1"/>
    <col min="1791" max="1791" width="10.140625" style="1" customWidth="1"/>
    <col min="1792" max="1792" width="7.7109375" style="1" customWidth="1"/>
    <col min="1793" max="1793" width="8" style="1" customWidth="1"/>
    <col min="1794" max="1794" width="9.85546875" style="1" customWidth="1"/>
    <col min="1795" max="1795" width="8.42578125" style="1" customWidth="1"/>
    <col min="1796" max="1796" width="10.5703125" style="1" customWidth="1"/>
    <col min="1797" max="1797" width="12.7109375" style="1" customWidth="1"/>
    <col min="1798" max="1798" width="10" style="1" customWidth="1"/>
    <col min="1799" max="1799" width="14" style="1" customWidth="1"/>
    <col min="1800" max="1800" width="11.5703125" style="1" customWidth="1"/>
    <col min="1801" max="1801" width="8.140625" style="1" customWidth="1"/>
    <col min="1802" max="1802" width="7.7109375" style="1" customWidth="1"/>
    <col min="1803" max="2043" width="11.42578125" style="1"/>
    <col min="2044" max="2044" width="0.7109375" style="1" customWidth="1"/>
    <col min="2045" max="2045" width="10.7109375" style="1" customWidth="1"/>
    <col min="2046" max="2046" width="5.140625" style="1" customWidth="1"/>
    <col min="2047" max="2047" width="10.140625" style="1" customWidth="1"/>
    <col min="2048" max="2048" width="7.7109375" style="1" customWidth="1"/>
    <col min="2049" max="2049" width="8" style="1" customWidth="1"/>
    <col min="2050" max="2050" width="9.85546875" style="1" customWidth="1"/>
    <col min="2051" max="2051" width="8.42578125" style="1" customWidth="1"/>
    <col min="2052" max="2052" width="10.5703125" style="1" customWidth="1"/>
    <col min="2053" max="2053" width="12.7109375" style="1" customWidth="1"/>
    <col min="2054" max="2054" width="10" style="1" customWidth="1"/>
    <col min="2055" max="2055" width="14" style="1" customWidth="1"/>
    <col min="2056" max="2056" width="11.5703125" style="1" customWidth="1"/>
    <col min="2057" max="2057" width="8.140625" style="1" customWidth="1"/>
    <col min="2058" max="2058" width="7.7109375" style="1" customWidth="1"/>
    <col min="2059" max="2299" width="11.42578125" style="1"/>
    <col min="2300" max="2300" width="0.7109375" style="1" customWidth="1"/>
    <col min="2301" max="2301" width="10.7109375" style="1" customWidth="1"/>
    <col min="2302" max="2302" width="5.140625" style="1" customWidth="1"/>
    <col min="2303" max="2303" width="10.140625" style="1" customWidth="1"/>
    <col min="2304" max="2304" width="7.7109375" style="1" customWidth="1"/>
    <col min="2305" max="2305" width="8" style="1" customWidth="1"/>
    <col min="2306" max="2306" width="9.85546875" style="1" customWidth="1"/>
    <col min="2307" max="2307" width="8.42578125" style="1" customWidth="1"/>
    <col min="2308" max="2308" width="10.5703125" style="1" customWidth="1"/>
    <col min="2309" max="2309" width="12.7109375" style="1" customWidth="1"/>
    <col min="2310" max="2310" width="10" style="1" customWidth="1"/>
    <col min="2311" max="2311" width="14" style="1" customWidth="1"/>
    <col min="2312" max="2312" width="11.5703125" style="1" customWidth="1"/>
    <col min="2313" max="2313" width="8.140625" style="1" customWidth="1"/>
    <col min="2314" max="2314" width="7.7109375" style="1" customWidth="1"/>
    <col min="2315" max="2555" width="11.42578125" style="1"/>
    <col min="2556" max="2556" width="0.7109375" style="1" customWidth="1"/>
    <col min="2557" max="2557" width="10.7109375" style="1" customWidth="1"/>
    <col min="2558" max="2558" width="5.140625" style="1" customWidth="1"/>
    <col min="2559" max="2559" width="10.140625" style="1" customWidth="1"/>
    <col min="2560" max="2560" width="7.7109375" style="1" customWidth="1"/>
    <col min="2561" max="2561" width="8" style="1" customWidth="1"/>
    <col min="2562" max="2562" width="9.85546875" style="1" customWidth="1"/>
    <col min="2563" max="2563" width="8.42578125" style="1" customWidth="1"/>
    <col min="2564" max="2564" width="10.5703125" style="1" customWidth="1"/>
    <col min="2565" max="2565" width="12.7109375" style="1" customWidth="1"/>
    <col min="2566" max="2566" width="10" style="1" customWidth="1"/>
    <col min="2567" max="2567" width="14" style="1" customWidth="1"/>
    <col min="2568" max="2568" width="11.5703125" style="1" customWidth="1"/>
    <col min="2569" max="2569" width="8.140625" style="1" customWidth="1"/>
    <col min="2570" max="2570" width="7.7109375" style="1" customWidth="1"/>
    <col min="2571" max="2811" width="11.42578125" style="1"/>
    <col min="2812" max="2812" width="0.7109375" style="1" customWidth="1"/>
    <col min="2813" max="2813" width="10.7109375" style="1" customWidth="1"/>
    <col min="2814" max="2814" width="5.140625" style="1" customWidth="1"/>
    <col min="2815" max="2815" width="10.140625" style="1" customWidth="1"/>
    <col min="2816" max="2816" width="7.7109375" style="1" customWidth="1"/>
    <col min="2817" max="2817" width="8" style="1" customWidth="1"/>
    <col min="2818" max="2818" width="9.85546875" style="1" customWidth="1"/>
    <col min="2819" max="2819" width="8.42578125" style="1" customWidth="1"/>
    <col min="2820" max="2820" width="10.5703125" style="1" customWidth="1"/>
    <col min="2821" max="2821" width="12.7109375" style="1" customWidth="1"/>
    <col min="2822" max="2822" width="10" style="1" customWidth="1"/>
    <col min="2823" max="2823" width="14" style="1" customWidth="1"/>
    <col min="2824" max="2824" width="11.5703125" style="1" customWidth="1"/>
    <col min="2825" max="2825" width="8.140625" style="1" customWidth="1"/>
    <col min="2826" max="2826" width="7.7109375" style="1" customWidth="1"/>
    <col min="2827" max="3067" width="11.42578125" style="1"/>
    <col min="3068" max="3068" width="0.7109375" style="1" customWidth="1"/>
    <col min="3069" max="3069" width="10.7109375" style="1" customWidth="1"/>
    <col min="3070" max="3070" width="5.140625" style="1" customWidth="1"/>
    <col min="3071" max="3071" width="10.140625" style="1" customWidth="1"/>
    <col min="3072" max="3072" width="7.7109375" style="1" customWidth="1"/>
    <col min="3073" max="3073" width="8" style="1" customWidth="1"/>
    <col min="3074" max="3074" width="9.85546875" style="1" customWidth="1"/>
    <col min="3075" max="3075" width="8.42578125" style="1" customWidth="1"/>
    <col min="3076" max="3076" width="10.5703125" style="1" customWidth="1"/>
    <col min="3077" max="3077" width="12.7109375" style="1" customWidth="1"/>
    <col min="3078" max="3078" width="10" style="1" customWidth="1"/>
    <col min="3079" max="3079" width="14" style="1" customWidth="1"/>
    <col min="3080" max="3080" width="11.5703125" style="1" customWidth="1"/>
    <col min="3081" max="3081" width="8.140625" style="1" customWidth="1"/>
    <col min="3082" max="3082" width="7.7109375" style="1" customWidth="1"/>
    <col min="3083" max="3323" width="11.42578125" style="1"/>
    <col min="3324" max="3324" width="0.7109375" style="1" customWidth="1"/>
    <col min="3325" max="3325" width="10.7109375" style="1" customWidth="1"/>
    <col min="3326" max="3326" width="5.140625" style="1" customWidth="1"/>
    <col min="3327" max="3327" width="10.140625" style="1" customWidth="1"/>
    <col min="3328" max="3328" width="7.7109375" style="1" customWidth="1"/>
    <col min="3329" max="3329" width="8" style="1" customWidth="1"/>
    <col min="3330" max="3330" width="9.85546875" style="1" customWidth="1"/>
    <col min="3331" max="3331" width="8.42578125" style="1" customWidth="1"/>
    <col min="3332" max="3332" width="10.5703125" style="1" customWidth="1"/>
    <col min="3333" max="3333" width="12.7109375" style="1" customWidth="1"/>
    <col min="3334" max="3334" width="10" style="1" customWidth="1"/>
    <col min="3335" max="3335" width="14" style="1" customWidth="1"/>
    <col min="3336" max="3336" width="11.5703125" style="1" customWidth="1"/>
    <col min="3337" max="3337" width="8.140625" style="1" customWidth="1"/>
    <col min="3338" max="3338" width="7.7109375" style="1" customWidth="1"/>
    <col min="3339" max="3579" width="11.42578125" style="1"/>
    <col min="3580" max="3580" width="0.7109375" style="1" customWidth="1"/>
    <col min="3581" max="3581" width="10.7109375" style="1" customWidth="1"/>
    <col min="3582" max="3582" width="5.140625" style="1" customWidth="1"/>
    <col min="3583" max="3583" width="10.140625" style="1" customWidth="1"/>
    <col min="3584" max="3584" width="7.7109375" style="1" customWidth="1"/>
    <col min="3585" max="3585" width="8" style="1" customWidth="1"/>
    <col min="3586" max="3586" width="9.85546875" style="1" customWidth="1"/>
    <col min="3587" max="3587" width="8.42578125" style="1" customWidth="1"/>
    <col min="3588" max="3588" width="10.5703125" style="1" customWidth="1"/>
    <col min="3589" max="3589" width="12.7109375" style="1" customWidth="1"/>
    <col min="3590" max="3590" width="10" style="1" customWidth="1"/>
    <col min="3591" max="3591" width="14" style="1" customWidth="1"/>
    <col min="3592" max="3592" width="11.5703125" style="1" customWidth="1"/>
    <col min="3593" max="3593" width="8.140625" style="1" customWidth="1"/>
    <col min="3594" max="3594" width="7.7109375" style="1" customWidth="1"/>
    <col min="3595" max="3835" width="11.42578125" style="1"/>
    <col min="3836" max="3836" width="0.7109375" style="1" customWidth="1"/>
    <col min="3837" max="3837" width="10.7109375" style="1" customWidth="1"/>
    <col min="3838" max="3838" width="5.140625" style="1" customWidth="1"/>
    <col min="3839" max="3839" width="10.140625" style="1" customWidth="1"/>
    <col min="3840" max="3840" width="7.7109375" style="1" customWidth="1"/>
    <col min="3841" max="3841" width="8" style="1" customWidth="1"/>
    <col min="3842" max="3842" width="9.85546875" style="1" customWidth="1"/>
    <col min="3843" max="3843" width="8.42578125" style="1" customWidth="1"/>
    <col min="3844" max="3844" width="10.5703125" style="1" customWidth="1"/>
    <col min="3845" max="3845" width="12.7109375" style="1" customWidth="1"/>
    <col min="3846" max="3846" width="10" style="1" customWidth="1"/>
    <col min="3847" max="3847" width="14" style="1" customWidth="1"/>
    <col min="3848" max="3848" width="11.5703125" style="1" customWidth="1"/>
    <col min="3849" max="3849" width="8.140625" style="1" customWidth="1"/>
    <col min="3850" max="3850" width="7.7109375" style="1" customWidth="1"/>
    <col min="3851" max="4091" width="11.42578125" style="1"/>
    <col min="4092" max="4092" width="0.7109375" style="1" customWidth="1"/>
    <col min="4093" max="4093" width="10.7109375" style="1" customWidth="1"/>
    <col min="4094" max="4094" width="5.140625" style="1" customWidth="1"/>
    <col min="4095" max="4095" width="10.140625" style="1" customWidth="1"/>
    <col min="4096" max="4096" width="7.7109375" style="1" customWidth="1"/>
    <col min="4097" max="4097" width="8" style="1" customWidth="1"/>
    <col min="4098" max="4098" width="9.85546875" style="1" customWidth="1"/>
    <col min="4099" max="4099" width="8.42578125" style="1" customWidth="1"/>
    <col min="4100" max="4100" width="10.5703125" style="1" customWidth="1"/>
    <col min="4101" max="4101" width="12.7109375" style="1" customWidth="1"/>
    <col min="4102" max="4102" width="10" style="1" customWidth="1"/>
    <col min="4103" max="4103" width="14" style="1" customWidth="1"/>
    <col min="4104" max="4104" width="11.5703125" style="1" customWidth="1"/>
    <col min="4105" max="4105" width="8.140625" style="1" customWidth="1"/>
    <col min="4106" max="4106" width="7.7109375" style="1" customWidth="1"/>
    <col min="4107" max="4347" width="11.42578125" style="1"/>
    <col min="4348" max="4348" width="0.7109375" style="1" customWidth="1"/>
    <col min="4349" max="4349" width="10.7109375" style="1" customWidth="1"/>
    <col min="4350" max="4350" width="5.140625" style="1" customWidth="1"/>
    <col min="4351" max="4351" width="10.140625" style="1" customWidth="1"/>
    <col min="4352" max="4352" width="7.7109375" style="1" customWidth="1"/>
    <col min="4353" max="4353" width="8" style="1" customWidth="1"/>
    <col min="4354" max="4354" width="9.85546875" style="1" customWidth="1"/>
    <col min="4355" max="4355" width="8.42578125" style="1" customWidth="1"/>
    <col min="4356" max="4356" width="10.5703125" style="1" customWidth="1"/>
    <col min="4357" max="4357" width="12.7109375" style="1" customWidth="1"/>
    <col min="4358" max="4358" width="10" style="1" customWidth="1"/>
    <col min="4359" max="4359" width="14" style="1" customWidth="1"/>
    <col min="4360" max="4360" width="11.5703125" style="1" customWidth="1"/>
    <col min="4361" max="4361" width="8.140625" style="1" customWidth="1"/>
    <col min="4362" max="4362" width="7.7109375" style="1" customWidth="1"/>
    <col min="4363" max="4603" width="11.42578125" style="1"/>
    <col min="4604" max="4604" width="0.7109375" style="1" customWidth="1"/>
    <col min="4605" max="4605" width="10.7109375" style="1" customWidth="1"/>
    <col min="4606" max="4606" width="5.140625" style="1" customWidth="1"/>
    <col min="4607" max="4607" width="10.140625" style="1" customWidth="1"/>
    <col min="4608" max="4608" width="7.7109375" style="1" customWidth="1"/>
    <col min="4609" max="4609" width="8" style="1" customWidth="1"/>
    <col min="4610" max="4610" width="9.85546875" style="1" customWidth="1"/>
    <col min="4611" max="4611" width="8.42578125" style="1" customWidth="1"/>
    <col min="4612" max="4612" width="10.5703125" style="1" customWidth="1"/>
    <col min="4613" max="4613" width="12.7109375" style="1" customWidth="1"/>
    <col min="4614" max="4614" width="10" style="1" customWidth="1"/>
    <col min="4615" max="4615" width="14" style="1" customWidth="1"/>
    <col min="4616" max="4616" width="11.5703125" style="1" customWidth="1"/>
    <col min="4617" max="4617" width="8.140625" style="1" customWidth="1"/>
    <col min="4618" max="4618" width="7.7109375" style="1" customWidth="1"/>
    <col min="4619" max="4859" width="11.42578125" style="1"/>
    <col min="4860" max="4860" width="0.7109375" style="1" customWidth="1"/>
    <col min="4861" max="4861" width="10.7109375" style="1" customWidth="1"/>
    <col min="4862" max="4862" width="5.140625" style="1" customWidth="1"/>
    <col min="4863" max="4863" width="10.140625" style="1" customWidth="1"/>
    <col min="4864" max="4864" width="7.7109375" style="1" customWidth="1"/>
    <col min="4865" max="4865" width="8" style="1" customWidth="1"/>
    <col min="4866" max="4866" width="9.85546875" style="1" customWidth="1"/>
    <col min="4867" max="4867" width="8.42578125" style="1" customWidth="1"/>
    <col min="4868" max="4868" width="10.5703125" style="1" customWidth="1"/>
    <col min="4869" max="4869" width="12.7109375" style="1" customWidth="1"/>
    <col min="4870" max="4870" width="10" style="1" customWidth="1"/>
    <col min="4871" max="4871" width="14" style="1" customWidth="1"/>
    <col min="4872" max="4872" width="11.5703125" style="1" customWidth="1"/>
    <col min="4873" max="4873" width="8.140625" style="1" customWidth="1"/>
    <col min="4874" max="4874" width="7.7109375" style="1" customWidth="1"/>
    <col min="4875" max="5115" width="11.42578125" style="1"/>
    <col min="5116" max="5116" width="0.7109375" style="1" customWidth="1"/>
    <col min="5117" max="5117" width="10.7109375" style="1" customWidth="1"/>
    <col min="5118" max="5118" width="5.140625" style="1" customWidth="1"/>
    <col min="5119" max="5119" width="10.140625" style="1" customWidth="1"/>
    <col min="5120" max="5120" width="7.7109375" style="1" customWidth="1"/>
    <col min="5121" max="5121" width="8" style="1" customWidth="1"/>
    <col min="5122" max="5122" width="9.85546875" style="1" customWidth="1"/>
    <col min="5123" max="5123" width="8.42578125" style="1" customWidth="1"/>
    <col min="5124" max="5124" width="10.5703125" style="1" customWidth="1"/>
    <col min="5125" max="5125" width="12.7109375" style="1" customWidth="1"/>
    <col min="5126" max="5126" width="10" style="1" customWidth="1"/>
    <col min="5127" max="5127" width="14" style="1" customWidth="1"/>
    <col min="5128" max="5128" width="11.5703125" style="1" customWidth="1"/>
    <col min="5129" max="5129" width="8.140625" style="1" customWidth="1"/>
    <col min="5130" max="5130" width="7.7109375" style="1" customWidth="1"/>
    <col min="5131" max="5371" width="11.42578125" style="1"/>
    <col min="5372" max="5372" width="0.7109375" style="1" customWidth="1"/>
    <col min="5373" max="5373" width="10.7109375" style="1" customWidth="1"/>
    <col min="5374" max="5374" width="5.140625" style="1" customWidth="1"/>
    <col min="5375" max="5375" width="10.140625" style="1" customWidth="1"/>
    <col min="5376" max="5376" width="7.7109375" style="1" customWidth="1"/>
    <col min="5377" max="5377" width="8" style="1" customWidth="1"/>
    <col min="5378" max="5378" width="9.85546875" style="1" customWidth="1"/>
    <col min="5379" max="5379" width="8.42578125" style="1" customWidth="1"/>
    <col min="5380" max="5380" width="10.5703125" style="1" customWidth="1"/>
    <col min="5381" max="5381" width="12.7109375" style="1" customWidth="1"/>
    <col min="5382" max="5382" width="10" style="1" customWidth="1"/>
    <col min="5383" max="5383" width="14" style="1" customWidth="1"/>
    <col min="5384" max="5384" width="11.5703125" style="1" customWidth="1"/>
    <col min="5385" max="5385" width="8.140625" style="1" customWidth="1"/>
    <col min="5386" max="5386" width="7.7109375" style="1" customWidth="1"/>
    <col min="5387" max="5627" width="11.42578125" style="1"/>
    <col min="5628" max="5628" width="0.7109375" style="1" customWidth="1"/>
    <col min="5629" max="5629" width="10.7109375" style="1" customWidth="1"/>
    <col min="5630" max="5630" width="5.140625" style="1" customWidth="1"/>
    <col min="5631" max="5631" width="10.140625" style="1" customWidth="1"/>
    <col min="5632" max="5632" width="7.7109375" style="1" customWidth="1"/>
    <col min="5633" max="5633" width="8" style="1" customWidth="1"/>
    <col min="5634" max="5634" width="9.85546875" style="1" customWidth="1"/>
    <col min="5635" max="5635" width="8.42578125" style="1" customWidth="1"/>
    <col min="5636" max="5636" width="10.5703125" style="1" customWidth="1"/>
    <col min="5637" max="5637" width="12.7109375" style="1" customWidth="1"/>
    <col min="5638" max="5638" width="10" style="1" customWidth="1"/>
    <col min="5639" max="5639" width="14" style="1" customWidth="1"/>
    <col min="5640" max="5640" width="11.5703125" style="1" customWidth="1"/>
    <col min="5641" max="5641" width="8.140625" style="1" customWidth="1"/>
    <col min="5642" max="5642" width="7.7109375" style="1" customWidth="1"/>
    <col min="5643" max="5883" width="11.42578125" style="1"/>
    <col min="5884" max="5884" width="0.7109375" style="1" customWidth="1"/>
    <col min="5885" max="5885" width="10.7109375" style="1" customWidth="1"/>
    <col min="5886" max="5886" width="5.140625" style="1" customWidth="1"/>
    <col min="5887" max="5887" width="10.140625" style="1" customWidth="1"/>
    <col min="5888" max="5888" width="7.7109375" style="1" customWidth="1"/>
    <col min="5889" max="5889" width="8" style="1" customWidth="1"/>
    <col min="5890" max="5890" width="9.85546875" style="1" customWidth="1"/>
    <col min="5891" max="5891" width="8.42578125" style="1" customWidth="1"/>
    <col min="5892" max="5892" width="10.5703125" style="1" customWidth="1"/>
    <col min="5893" max="5893" width="12.7109375" style="1" customWidth="1"/>
    <col min="5894" max="5894" width="10" style="1" customWidth="1"/>
    <col min="5895" max="5895" width="14" style="1" customWidth="1"/>
    <col min="5896" max="5896" width="11.5703125" style="1" customWidth="1"/>
    <col min="5897" max="5897" width="8.140625" style="1" customWidth="1"/>
    <col min="5898" max="5898" width="7.7109375" style="1" customWidth="1"/>
    <col min="5899" max="6139" width="11.42578125" style="1"/>
    <col min="6140" max="6140" width="0.7109375" style="1" customWidth="1"/>
    <col min="6141" max="6141" width="10.7109375" style="1" customWidth="1"/>
    <col min="6142" max="6142" width="5.140625" style="1" customWidth="1"/>
    <col min="6143" max="6143" width="10.140625" style="1" customWidth="1"/>
    <col min="6144" max="6144" width="7.7109375" style="1" customWidth="1"/>
    <col min="6145" max="6145" width="8" style="1" customWidth="1"/>
    <col min="6146" max="6146" width="9.85546875" style="1" customWidth="1"/>
    <col min="6147" max="6147" width="8.42578125" style="1" customWidth="1"/>
    <col min="6148" max="6148" width="10.5703125" style="1" customWidth="1"/>
    <col min="6149" max="6149" width="12.7109375" style="1" customWidth="1"/>
    <col min="6150" max="6150" width="10" style="1" customWidth="1"/>
    <col min="6151" max="6151" width="14" style="1" customWidth="1"/>
    <col min="6152" max="6152" width="11.5703125" style="1" customWidth="1"/>
    <col min="6153" max="6153" width="8.140625" style="1" customWidth="1"/>
    <col min="6154" max="6154" width="7.7109375" style="1" customWidth="1"/>
    <col min="6155" max="6395" width="11.42578125" style="1"/>
    <col min="6396" max="6396" width="0.7109375" style="1" customWidth="1"/>
    <col min="6397" max="6397" width="10.7109375" style="1" customWidth="1"/>
    <col min="6398" max="6398" width="5.140625" style="1" customWidth="1"/>
    <col min="6399" max="6399" width="10.140625" style="1" customWidth="1"/>
    <col min="6400" max="6400" width="7.7109375" style="1" customWidth="1"/>
    <col min="6401" max="6401" width="8" style="1" customWidth="1"/>
    <col min="6402" max="6402" width="9.85546875" style="1" customWidth="1"/>
    <col min="6403" max="6403" width="8.42578125" style="1" customWidth="1"/>
    <col min="6404" max="6404" width="10.5703125" style="1" customWidth="1"/>
    <col min="6405" max="6405" width="12.7109375" style="1" customWidth="1"/>
    <col min="6406" max="6406" width="10" style="1" customWidth="1"/>
    <col min="6407" max="6407" width="14" style="1" customWidth="1"/>
    <col min="6408" max="6408" width="11.5703125" style="1" customWidth="1"/>
    <col min="6409" max="6409" width="8.140625" style="1" customWidth="1"/>
    <col min="6410" max="6410" width="7.7109375" style="1" customWidth="1"/>
    <col min="6411" max="6651" width="11.42578125" style="1"/>
    <col min="6652" max="6652" width="0.7109375" style="1" customWidth="1"/>
    <col min="6653" max="6653" width="10.7109375" style="1" customWidth="1"/>
    <col min="6654" max="6654" width="5.140625" style="1" customWidth="1"/>
    <col min="6655" max="6655" width="10.140625" style="1" customWidth="1"/>
    <col min="6656" max="6656" width="7.7109375" style="1" customWidth="1"/>
    <col min="6657" max="6657" width="8" style="1" customWidth="1"/>
    <col min="6658" max="6658" width="9.85546875" style="1" customWidth="1"/>
    <col min="6659" max="6659" width="8.42578125" style="1" customWidth="1"/>
    <col min="6660" max="6660" width="10.5703125" style="1" customWidth="1"/>
    <col min="6661" max="6661" width="12.7109375" style="1" customWidth="1"/>
    <col min="6662" max="6662" width="10" style="1" customWidth="1"/>
    <col min="6663" max="6663" width="14" style="1" customWidth="1"/>
    <col min="6664" max="6664" width="11.5703125" style="1" customWidth="1"/>
    <col min="6665" max="6665" width="8.140625" style="1" customWidth="1"/>
    <col min="6666" max="6666" width="7.7109375" style="1" customWidth="1"/>
    <col min="6667" max="6907" width="11.42578125" style="1"/>
    <col min="6908" max="6908" width="0.7109375" style="1" customWidth="1"/>
    <col min="6909" max="6909" width="10.7109375" style="1" customWidth="1"/>
    <col min="6910" max="6910" width="5.140625" style="1" customWidth="1"/>
    <col min="6911" max="6911" width="10.140625" style="1" customWidth="1"/>
    <col min="6912" max="6912" width="7.7109375" style="1" customWidth="1"/>
    <col min="6913" max="6913" width="8" style="1" customWidth="1"/>
    <col min="6914" max="6914" width="9.85546875" style="1" customWidth="1"/>
    <col min="6915" max="6915" width="8.42578125" style="1" customWidth="1"/>
    <col min="6916" max="6916" width="10.5703125" style="1" customWidth="1"/>
    <col min="6917" max="6917" width="12.7109375" style="1" customWidth="1"/>
    <col min="6918" max="6918" width="10" style="1" customWidth="1"/>
    <col min="6919" max="6919" width="14" style="1" customWidth="1"/>
    <col min="6920" max="6920" width="11.5703125" style="1" customWidth="1"/>
    <col min="6921" max="6921" width="8.140625" style="1" customWidth="1"/>
    <col min="6922" max="6922" width="7.7109375" style="1" customWidth="1"/>
    <col min="6923" max="7163" width="11.42578125" style="1"/>
    <col min="7164" max="7164" width="0.7109375" style="1" customWidth="1"/>
    <col min="7165" max="7165" width="10.7109375" style="1" customWidth="1"/>
    <col min="7166" max="7166" width="5.140625" style="1" customWidth="1"/>
    <col min="7167" max="7167" width="10.140625" style="1" customWidth="1"/>
    <col min="7168" max="7168" width="7.7109375" style="1" customWidth="1"/>
    <col min="7169" max="7169" width="8" style="1" customWidth="1"/>
    <col min="7170" max="7170" width="9.85546875" style="1" customWidth="1"/>
    <col min="7171" max="7171" width="8.42578125" style="1" customWidth="1"/>
    <col min="7172" max="7172" width="10.5703125" style="1" customWidth="1"/>
    <col min="7173" max="7173" width="12.7109375" style="1" customWidth="1"/>
    <col min="7174" max="7174" width="10" style="1" customWidth="1"/>
    <col min="7175" max="7175" width="14" style="1" customWidth="1"/>
    <col min="7176" max="7176" width="11.5703125" style="1" customWidth="1"/>
    <col min="7177" max="7177" width="8.140625" style="1" customWidth="1"/>
    <col min="7178" max="7178" width="7.7109375" style="1" customWidth="1"/>
    <col min="7179" max="7419" width="11.42578125" style="1"/>
    <col min="7420" max="7420" width="0.7109375" style="1" customWidth="1"/>
    <col min="7421" max="7421" width="10.7109375" style="1" customWidth="1"/>
    <col min="7422" max="7422" width="5.140625" style="1" customWidth="1"/>
    <col min="7423" max="7423" width="10.140625" style="1" customWidth="1"/>
    <col min="7424" max="7424" width="7.7109375" style="1" customWidth="1"/>
    <col min="7425" max="7425" width="8" style="1" customWidth="1"/>
    <col min="7426" max="7426" width="9.85546875" style="1" customWidth="1"/>
    <col min="7427" max="7427" width="8.42578125" style="1" customWidth="1"/>
    <col min="7428" max="7428" width="10.5703125" style="1" customWidth="1"/>
    <col min="7429" max="7429" width="12.7109375" style="1" customWidth="1"/>
    <col min="7430" max="7430" width="10" style="1" customWidth="1"/>
    <col min="7431" max="7431" width="14" style="1" customWidth="1"/>
    <col min="7432" max="7432" width="11.5703125" style="1" customWidth="1"/>
    <col min="7433" max="7433" width="8.140625" style="1" customWidth="1"/>
    <col min="7434" max="7434" width="7.7109375" style="1" customWidth="1"/>
    <col min="7435" max="7675" width="11.42578125" style="1"/>
    <col min="7676" max="7676" width="0.7109375" style="1" customWidth="1"/>
    <col min="7677" max="7677" width="10.7109375" style="1" customWidth="1"/>
    <col min="7678" max="7678" width="5.140625" style="1" customWidth="1"/>
    <col min="7679" max="7679" width="10.140625" style="1" customWidth="1"/>
    <col min="7680" max="7680" width="7.7109375" style="1" customWidth="1"/>
    <col min="7681" max="7681" width="8" style="1" customWidth="1"/>
    <col min="7682" max="7682" width="9.85546875" style="1" customWidth="1"/>
    <col min="7683" max="7683" width="8.42578125" style="1" customWidth="1"/>
    <col min="7684" max="7684" width="10.5703125" style="1" customWidth="1"/>
    <col min="7685" max="7685" width="12.7109375" style="1" customWidth="1"/>
    <col min="7686" max="7686" width="10" style="1" customWidth="1"/>
    <col min="7687" max="7687" width="14" style="1" customWidth="1"/>
    <col min="7688" max="7688" width="11.5703125" style="1" customWidth="1"/>
    <col min="7689" max="7689" width="8.140625" style="1" customWidth="1"/>
    <col min="7690" max="7690" width="7.7109375" style="1" customWidth="1"/>
    <col min="7691" max="7931" width="11.42578125" style="1"/>
    <col min="7932" max="7932" width="0.7109375" style="1" customWidth="1"/>
    <col min="7933" max="7933" width="10.7109375" style="1" customWidth="1"/>
    <col min="7934" max="7934" width="5.140625" style="1" customWidth="1"/>
    <col min="7935" max="7935" width="10.140625" style="1" customWidth="1"/>
    <col min="7936" max="7936" width="7.7109375" style="1" customWidth="1"/>
    <col min="7937" max="7937" width="8" style="1" customWidth="1"/>
    <col min="7938" max="7938" width="9.85546875" style="1" customWidth="1"/>
    <col min="7939" max="7939" width="8.42578125" style="1" customWidth="1"/>
    <col min="7940" max="7940" width="10.5703125" style="1" customWidth="1"/>
    <col min="7941" max="7941" width="12.7109375" style="1" customWidth="1"/>
    <col min="7942" max="7942" width="10" style="1" customWidth="1"/>
    <col min="7943" max="7943" width="14" style="1" customWidth="1"/>
    <col min="7944" max="7944" width="11.5703125" style="1" customWidth="1"/>
    <col min="7945" max="7945" width="8.140625" style="1" customWidth="1"/>
    <col min="7946" max="7946" width="7.7109375" style="1" customWidth="1"/>
    <col min="7947" max="8187" width="11.42578125" style="1"/>
    <col min="8188" max="8188" width="0.7109375" style="1" customWidth="1"/>
    <col min="8189" max="8189" width="10.7109375" style="1" customWidth="1"/>
    <col min="8190" max="8190" width="5.140625" style="1" customWidth="1"/>
    <col min="8191" max="8191" width="10.140625" style="1" customWidth="1"/>
    <col min="8192" max="8192" width="7.7109375" style="1" customWidth="1"/>
    <col min="8193" max="8193" width="8" style="1" customWidth="1"/>
    <col min="8194" max="8194" width="9.85546875" style="1" customWidth="1"/>
    <col min="8195" max="8195" width="8.42578125" style="1" customWidth="1"/>
    <col min="8196" max="8196" width="10.5703125" style="1" customWidth="1"/>
    <col min="8197" max="8197" width="12.7109375" style="1" customWidth="1"/>
    <col min="8198" max="8198" width="10" style="1" customWidth="1"/>
    <col min="8199" max="8199" width="14" style="1" customWidth="1"/>
    <col min="8200" max="8200" width="11.5703125" style="1" customWidth="1"/>
    <col min="8201" max="8201" width="8.140625" style="1" customWidth="1"/>
    <col min="8202" max="8202" width="7.7109375" style="1" customWidth="1"/>
    <col min="8203" max="8443" width="11.42578125" style="1"/>
    <col min="8444" max="8444" width="0.7109375" style="1" customWidth="1"/>
    <col min="8445" max="8445" width="10.7109375" style="1" customWidth="1"/>
    <col min="8446" max="8446" width="5.140625" style="1" customWidth="1"/>
    <col min="8447" max="8447" width="10.140625" style="1" customWidth="1"/>
    <col min="8448" max="8448" width="7.7109375" style="1" customWidth="1"/>
    <col min="8449" max="8449" width="8" style="1" customWidth="1"/>
    <col min="8450" max="8450" width="9.85546875" style="1" customWidth="1"/>
    <col min="8451" max="8451" width="8.42578125" style="1" customWidth="1"/>
    <col min="8452" max="8452" width="10.5703125" style="1" customWidth="1"/>
    <col min="8453" max="8453" width="12.7109375" style="1" customWidth="1"/>
    <col min="8454" max="8454" width="10" style="1" customWidth="1"/>
    <col min="8455" max="8455" width="14" style="1" customWidth="1"/>
    <col min="8456" max="8456" width="11.5703125" style="1" customWidth="1"/>
    <col min="8457" max="8457" width="8.140625" style="1" customWidth="1"/>
    <col min="8458" max="8458" width="7.7109375" style="1" customWidth="1"/>
    <col min="8459" max="8699" width="11.42578125" style="1"/>
    <col min="8700" max="8700" width="0.7109375" style="1" customWidth="1"/>
    <col min="8701" max="8701" width="10.7109375" style="1" customWidth="1"/>
    <col min="8702" max="8702" width="5.140625" style="1" customWidth="1"/>
    <col min="8703" max="8703" width="10.140625" style="1" customWidth="1"/>
    <col min="8704" max="8704" width="7.7109375" style="1" customWidth="1"/>
    <col min="8705" max="8705" width="8" style="1" customWidth="1"/>
    <col min="8706" max="8706" width="9.85546875" style="1" customWidth="1"/>
    <col min="8707" max="8707" width="8.42578125" style="1" customWidth="1"/>
    <col min="8708" max="8708" width="10.5703125" style="1" customWidth="1"/>
    <col min="8709" max="8709" width="12.7109375" style="1" customWidth="1"/>
    <col min="8710" max="8710" width="10" style="1" customWidth="1"/>
    <col min="8711" max="8711" width="14" style="1" customWidth="1"/>
    <col min="8712" max="8712" width="11.5703125" style="1" customWidth="1"/>
    <col min="8713" max="8713" width="8.140625" style="1" customWidth="1"/>
    <col min="8714" max="8714" width="7.7109375" style="1" customWidth="1"/>
    <col min="8715" max="8955" width="11.42578125" style="1"/>
    <col min="8956" max="8956" width="0.7109375" style="1" customWidth="1"/>
    <col min="8957" max="8957" width="10.7109375" style="1" customWidth="1"/>
    <col min="8958" max="8958" width="5.140625" style="1" customWidth="1"/>
    <col min="8959" max="8959" width="10.140625" style="1" customWidth="1"/>
    <col min="8960" max="8960" width="7.7109375" style="1" customWidth="1"/>
    <col min="8961" max="8961" width="8" style="1" customWidth="1"/>
    <col min="8962" max="8962" width="9.85546875" style="1" customWidth="1"/>
    <col min="8963" max="8963" width="8.42578125" style="1" customWidth="1"/>
    <col min="8964" max="8964" width="10.5703125" style="1" customWidth="1"/>
    <col min="8965" max="8965" width="12.7109375" style="1" customWidth="1"/>
    <col min="8966" max="8966" width="10" style="1" customWidth="1"/>
    <col min="8967" max="8967" width="14" style="1" customWidth="1"/>
    <col min="8968" max="8968" width="11.5703125" style="1" customWidth="1"/>
    <col min="8969" max="8969" width="8.140625" style="1" customWidth="1"/>
    <col min="8970" max="8970" width="7.7109375" style="1" customWidth="1"/>
    <col min="8971" max="9211" width="11.42578125" style="1"/>
    <col min="9212" max="9212" width="0.7109375" style="1" customWidth="1"/>
    <col min="9213" max="9213" width="10.7109375" style="1" customWidth="1"/>
    <col min="9214" max="9214" width="5.140625" style="1" customWidth="1"/>
    <col min="9215" max="9215" width="10.140625" style="1" customWidth="1"/>
    <col min="9216" max="9216" width="7.7109375" style="1" customWidth="1"/>
    <col min="9217" max="9217" width="8" style="1" customWidth="1"/>
    <col min="9218" max="9218" width="9.85546875" style="1" customWidth="1"/>
    <col min="9219" max="9219" width="8.42578125" style="1" customWidth="1"/>
    <col min="9220" max="9220" width="10.5703125" style="1" customWidth="1"/>
    <col min="9221" max="9221" width="12.7109375" style="1" customWidth="1"/>
    <col min="9222" max="9222" width="10" style="1" customWidth="1"/>
    <col min="9223" max="9223" width="14" style="1" customWidth="1"/>
    <col min="9224" max="9224" width="11.5703125" style="1" customWidth="1"/>
    <col min="9225" max="9225" width="8.140625" style="1" customWidth="1"/>
    <col min="9226" max="9226" width="7.7109375" style="1" customWidth="1"/>
    <col min="9227" max="9467" width="11.42578125" style="1"/>
    <col min="9468" max="9468" width="0.7109375" style="1" customWidth="1"/>
    <col min="9469" max="9469" width="10.7109375" style="1" customWidth="1"/>
    <col min="9470" max="9470" width="5.140625" style="1" customWidth="1"/>
    <col min="9471" max="9471" width="10.140625" style="1" customWidth="1"/>
    <col min="9472" max="9472" width="7.7109375" style="1" customWidth="1"/>
    <col min="9473" max="9473" width="8" style="1" customWidth="1"/>
    <col min="9474" max="9474" width="9.85546875" style="1" customWidth="1"/>
    <col min="9475" max="9475" width="8.42578125" style="1" customWidth="1"/>
    <col min="9476" max="9476" width="10.5703125" style="1" customWidth="1"/>
    <col min="9477" max="9477" width="12.7109375" style="1" customWidth="1"/>
    <col min="9478" max="9478" width="10" style="1" customWidth="1"/>
    <col min="9479" max="9479" width="14" style="1" customWidth="1"/>
    <col min="9480" max="9480" width="11.5703125" style="1" customWidth="1"/>
    <col min="9481" max="9481" width="8.140625" style="1" customWidth="1"/>
    <col min="9482" max="9482" width="7.7109375" style="1" customWidth="1"/>
    <col min="9483" max="9723" width="11.42578125" style="1"/>
    <col min="9724" max="9724" width="0.7109375" style="1" customWidth="1"/>
    <col min="9725" max="9725" width="10.7109375" style="1" customWidth="1"/>
    <col min="9726" max="9726" width="5.140625" style="1" customWidth="1"/>
    <col min="9727" max="9727" width="10.140625" style="1" customWidth="1"/>
    <col min="9728" max="9728" width="7.7109375" style="1" customWidth="1"/>
    <col min="9729" max="9729" width="8" style="1" customWidth="1"/>
    <col min="9730" max="9730" width="9.85546875" style="1" customWidth="1"/>
    <col min="9731" max="9731" width="8.42578125" style="1" customWidth="1"/>
    <col min="9732" max="9732" width="10.5703125" style="1" customWidth="1"/>
    <col min="9733" max="9733" width="12.7109375" style="1" customWidth="1"/>
    <col min="9734" max="9734" width="10" style="1" customWidth="1"/>
    <col min="9735" max="9735" width="14" style="1" customWidth="1"/>
    <col min="9736" max="9736" width="11.5703125" style="1" customWidth="1"/>
    <col min="9737" max="9737" width="8.140625" style="1" customWidth="1"/>
    <col min="9738" max="9738" width="7.7109375" style="1" customWidth="1"/>
    <col min="9739" max="9979" width="11.42578125" style="1"/>
    <col min="9980" max="9980" width="0.7109375" style="1" customWidth="1"/>
    <col min="9981" max="9981" width="10.7109375" style="1" customWidth="1"/>
    <col min="9982" max="9982" width="5.140625" style="1" customWidth="1"/>
    <col min="9983" max="9983" width="10.140625" style="1" customWidth="1"/>
    <col min="9984" max="9984" width="7.7109375" style="1" customWidth="1"/>
    <col min="9985" max="9985" width="8" style="1" customWidth="1"/>
    <col min="9986" max="9986" width="9.85546875" style="1" customWidth="1"/>
    <col min="9987" max="9987" width="8.42578125" style="1" customWidth="1"/>
    <col min="9988" max="9988" width="10.5703125" style="1" customWidth="1"/>
    <col min="9989" max="9989" width="12.7109375" style="1" customWidth="1"/>
    <col min="9990" max="9990" width="10" style="1" customWidth="1"/>
    <col min="9991" max="9991" width="14" style="1" customWidth="1"/>
    <col min="9992" max="9992" width="11.5703125" style="1" customWidth="1"/>
    <col min="9993" max="9993" width="8.140625" style="1" customWidth="1"/>
    <col min="9994" max="9994" width="7.7109375" style="1" customWidth="1"/>
    <col min="9995" max="10235" width="11.42578125" style="1"/>
    <col min="10236" max="10236" width="0.7109375" style="1" customWidth="1"/>
    <col min="10237" max="10237" width="10.7109375" style="1" customWidth="1"/>
    <col min="10238" max="10238" width="5.140625" style="1" customWidth="1"/>
    <col min="10239" max="10239" width="10.140625" style="1" customWidth="1"/>
    <col min="10240" max="10240" width="7.7109375" style="1" customWidth="1"/>
    <col min="10241" max="10241" width="8" style="1" customWidth="1"/>
    <col min="10242" max="10242" width="9.85546875" style="1" customWidth="1"/>
    <col min="10243" max="10243" width="8.42578125" style="1" customWidth="1"/>
    <col min="10244" max="10244" width="10.5703125" style="1" customWidth="1"/>
    <col min="10245" max="10245" width="12.7109375" style="1" customWidth="1"/>
    <col min="10246" max="10246" width="10" style="1" customWidth="1"/>
    <col min="10247" max="10247" width="14" style="1" customWidth="1"/>
    <col min="10248" max="10248" width="11.5703125" style="1" customWidth="1"/>
    <col min="10249" max="10249" width="8.140625" style="1" customWidth="1"/>
    <col min="10250" max="10250" width="7.7109375" style="1" customWidth="1"/>
    <col min="10251" max="10491" width="11.42578125" style="1"/>
    <col min="10492" max="10492" width="0.7109375" style="1" customWidth="1"/>
    <col min="10493" max="10493" width="10.7109375" style="1" customWidth="1"/>
    <col min="10494" max="10494" width="5.140625" style="1" customWidth="1"/>
    <col min="10495" max="10495" width="10.140625" style="1" customWidth="1"/>
    <col min="10496" max="10496" width="7.7109375" style="1" customWidth="1"/>
    <col min="10497" max="10497" width="8" style="1" customWidth="1"/>
    <col min="10498" max="10498" width="9.85546875" style="1" customWidth="1"/>
    <col min="10499" max="10499" width="8.42578125" style="1" customWidth="1"/>
    <col min="10500" max="10500" width="10.5703125" style="1" customWidth="1"/>
    <col min="10501" max="10501" width="12.7109375" style="1" customWidth="1"/>
    <col min="10502" max="10502" width="10" style="1" customWidth="1"/>
    <col min="10503" max="10503" width="14" style="1" customWidth="1"/>
    <col min="10504" max="10504" width="11.5703125" style="1" customWidth="1"/>
    <col min="10505" max="10505" width="8.140625" style="1" customWidth="1"/>
    <col min="10506" max="10506" width="7.7109375" style="1" customWidth="1"/>
    <col min="10507" max="10747" width="11.42578125" style="1"/>
    <col min="10748" max="10748" width="0.7109375" style="1" customWidth="1"/>
    <col min="10749" max="10749" width="10.7109375" style="1" customWidth="1"/>
    <col min="10750" max="10750" width="5.140625" style="1" customWidth="1"/>
    <col min="10751" max="10751" width="10.140625" style="1" customWidth="1"/>
    <col min="10752" max="10752" width="7.7109375" style="1" customWidth="1"/>
    <col min="10753" max="10753" width="8" style="1" customWidth="1"/>
    <col min="10754" max="10754" width="9.85546875" style="1" customWidth="1"/>
    <col min="10755" max="10755" width="8.42578125" style="1" customWidth="1"/>
    <col min="10756" max="10756" width="10.5703125" style="1" customWidth="1"/>
    <col min="10757" max="10757" width="12.7109375" style="1" customWidth="1"/>
    <col min="10758" max="10758" width="10" style="1" customWidth="1"/>
    <col min="10759" max="10759" width="14" style="1" customWidth="1"/>
    <col min="10760" max="10760" width="11.5703125" style="1" customWidth="1"/>
    <col min="10761" max="10761" width="8.140625" style="1" customWidth="1"/>
    <col min="10762" max="10762" width="7.7109375" style="1" customWidth="1"/>
    <col min="10763" max="11003" width="11.42578125" style="1"/>
    <col min="11004" max="11004" width="0.7109375" style="1" customWidth="1"/>
    <col min="11005" max="11005" width="10.7109375" style="1" customWidth="1"/>
    <col min="11006" max="11006" width="5.140625" style="1" customWidth="1"/>
    <col min="11007" max="11007" width="10.140625" style="1" customWidth="1"/>
    <col min="11008" max="11008" width="7.7109375" style="1" customWidth="1"/>
    <col min="11009" max="11009" width="8" style="1" customWidth="1"/>
    <col min="11010" max="11010" width="9.85546875" style="1" customWidth="1"/>
    <col min="11011" max="11011" width="8.42578125" style="1" customWidth="1"/>
    <col min="11012" max="11012" width="10.5703125" style="1" customWidth="1"/>
    <col min="11013" max="11013" width="12.7109375" style="1" customWidth="1"/>
    <col min="11014" max="11014" width="10" style="1" customWidth="1"/>
    <col min="11015" max="11015" width="14" style="1" customWidth="1"/>
    <col min="11016" max="11016" width="11.5703125" style="1" customWidth="1"/>
    <col min="11017" max="11017" width="8.140625" style="1" customWidth="1"/>
    <col min="11018" max="11018" width="7.7109375" style="1" customWidth="1"/>
    <col min="11019" max="11259" width="11.42578125" style="1"/>
    <col min="11260" max="11260" width="0.7109375" style="1" customWidth="1"/>
    <col min="11261" max="11261" width="10.7109375" style="1" customWidth="1"/>
    <col min="11262" max="11262" width="5.140625" style="1" customWidth="1"/>
    <col min="11263" max="11263" width="10.140625" style="1" customWidth="1"/>
    <col min="11264" max="11264" width="7.7109375" style="1" customWidth="1"/>
    <col min="11265" max="11265" width="8" style="1" customWidth="1"/>
    <col min="11266" max="11266" width="9.85546875" style="1" customWidth="1"/>
    <col min="11267" max="11267" width="8.42578125" style="1" customWidth="1"/>
    <col min="11268" max="11268" width="10.5703125" style="1" customWidth="1"/>
    <col min="11269" max="11269" width="12.7109375" style="1" customWidth="1"/>
    <col min="11270" max="11270" width="10" style="1" customWidth="1"/>
    <col min="11271" max="11271" width="14" style="1" customWidth="1"/>
    <col min="11272" max="11272" width="11.5703125" style="1" customWidth="1"/>
    <col min="11273" max="11273" width="8.140625" style="1" customWidth="1"/>
    <col min="11274" max="11274" width="7.7109375" style="1" customWidth="1"/>
    <col min="11275" max="11515" width="11.42578125" style="1"/>
    <col min="11516" max="11516" width="0.7109375" style="1" customWidth="1"/>
    <col min="11517" max="11517" width="10.7109375" style="1" customWidth="1"/>
    <col min="11518" max="11518" width="5.140625" style="1" customWidth="1"/>
    <col min="11519" max="11519" width="10.140625" style="1" customWidth="1"/>
    <col min="11520" max="11520" width="7.7109375" style="1" customWidth="1"/>
    <col min="11521" max="11521" width="8" style="1" customWidth="1"/>
    <col min="11522" max="11522" width="9.85546875" style="1" customWidth="1"/>
    <col min="11523" max="11523" width="8.42578125" style="1" customWidth="1"/>
    <col min="11524" max="11524" width="10.5703125" style="1" customWidth="1"/>
    <col min="11525" max="11525" width="12.7109375" style="1" customWidth="1"/>
    <col min="11526" max="11526" width="10" style="1" customWidth="1"/>
    <col min="11527" max="11527" width="14" style="1" customWidth="1"/>
    <col min="11528" max="11528" width="11.5703125" style="1" customWidth="1"/>
    <col min="11529" max="11529" width="8.140625" style="1" customWidth="1"/>
    <col min="11530" max="11530" width="7.7109375" style="1" customWidth="1"/>
    <col min="11531" max="11771" width="11.42578125" style="1"/>
    <col min="11772" max="11772" width="0.7109375" style="1" customWidth="1"/>
    <col min="11773" max="11773" width="10.7109375" style="1" customWidth="1"/>
    <col min="11774" max="11774" width="5.140625" style="1" customWidth="1"/>
    <col min="11775" max="11775" width="10.140625" style="1" customWidth="1"/>
    <col min="11776" max="11776" width="7.7109375" style="1" customWidth="1"/>
    <col min="11777" max="11777" width="8" style="1" customWidth="1"/>
    <col min="11778" max="11778" width="9.85546875" style="1" customWidth="1"/>
    <col min="11779" max="11779" width="8.42578125" style="1" customWidth="1"/>
    <col min="11780" max="11780" width="10.5703125" style="1" customWidth="1"/>
    <col min="11781" max="11781" width="12.7109375" style="1" customWidth="1"/>
    <col min="11782" max="11782" width="10" style="1" customWidth="1"/>
    <col min="11783" max="11783" width="14" style="1" customWidth="1"/>
    <col min="11784" max="11784" width="11.5703125" style="1" customWidth="1"/>
    <col min="11785" max="11785" width="8.140625" style="1" customWidth="1"/>
    <col min="11786" max="11786" width="7.7109375" style="1" customWidth="1"/>
    <col min="11787" max="12027" width="11.42578125" style="1"/>
    <col min="12028" max="12028" width="0.7109375" style="1" customWidth="1"/>
    <col min="12029" max="12029" width="10.7109375" style="1" customWidth="1"/>
    <col min="12030" max="12030" width="5.140625" style="1" customWidth="1"/>
    <col min="12031" max="12031" width="10.140625" style="1" customWidth="1"/>
    <col min="12032" max="12032" width="7.7109375" style="1" customWidth="1"/>
    <col min="12033" max="12033" width="8" style="1" customWidth="1"/>
    <col min="12034" max="12034" width="9.85546875" style="1" customWidth="1"/>
    <col min="12035" max="12035" width="8.42578125" style="1" customWidth="1"/>
    <col min="12036" max="12036" width="10.5703125" style="1" customWidth="1"/>
    <col min="12037" max="12037" width="12.7109375" style="1" customWidth="1"/>
    <col min="12038" max="12038" width="10" style="1" customWidth="1"/>
    <col min="12039" max="12039" width="14" style="1" customWidth="1"/>
    <col min="12040" max="12040" width="11.5703125" style="1" customWidth="1"/>
    <col min="12041" max="12041" width="8.140625" style="1" customWidth="1"/>
    <col min="12042" max="12042" width="7.7109375" style="1" customWidth="1"/>
    <col min="12043" max="12283" width="11.42578125" style="1"/>
    <col min="12284" max="12284" width="0.7109375" style="1" customWidth="1"/>
    <col min="12285" max="12285" width="10.7109375" style="1" customWidth="1"/>
    <col min="12286" max="12286" width="5.140625" style="1" customWidth="1"/>
    <col min="12287" max="12287" width="10.140625" style="1" customWidth="1"/>
    <col min="12288" max="12288" width="7.7109375" style="1" customWidth="1"/>
    <col min="12289" max="12289" width="8" style="1" customWidth="1"/>
    <col min="12290" max="12290" width="9.85546875" style="1" customWidth="1"/>
    <col min="12291" max="12291" width="8.42578125" style="1" customWidth="1"/>
    <col min="12292" max="12292" width="10.5703125" style="1" customWidth="1"/>
    <col min="12293" max="12293" width="12.7109375" style="1" customWidth="1"/>
    <col min="12294" max="12294" width="10" style="1" customWidth="1"/>
    <col min="12295" max="12295" width="14" style="1" customWidth="1"/>
    <col min="12296" max="12296" width="11.5703125" style="1" customWidth="1"/>
    <col min="12297" max="12297" width="8.140625" style="1" customWidth="1"/>
    <col min="12298" max="12298" width="7.7109375" style="1" customWidth="1"/>
    <col min="12299" max="12539" width="11.42578125" style="1"/>
    <col min="12540" max="12540" width="0.7109375" style="1" customWidth="1"/>
    <col min="12541" max="12541" width="10.7109375" style="1" customWidth="1"/>
    <col min="12542" max="12542" width="5.140625" style="1" customWidth="1"/>
    <col min="12543" max="12543" width="10.140625" style="1" customWidth="1"/>
    <col min="12544" max="12544" width="7.7109375" style="1" customWidth="1"/>
    <col min="12545" max="12545" width="8" style="1" customWidth="1"/>
    <col min="12546" max="12546" width="9.85546875" style="1" customWidth="1"/>
    <col min="12547" max="12547" width="8.42578125" style="1" customWidth="1"/>
    <col min="12548" max="12548" width="10.5703125" style="1" customWidth="1"/>
    <col min="12549" max="12549" width="12.7109375" style="1" customWidth="1"/>
    <col min="12550" max="12550" width="10" style="1" customWidth="1"/>
    <col min="12551" max="12551" width="14" style="1" customWidth="1"/>
    <col min="12552" max="12552" width="11.5703125" style="1" customWidth="1"/>
    <col min="12553" max="12553" width="8.140625" style="1" customWidth="1"/>
    <col min="12554" max="12554" width="7.7109375" style="1" customWidth="1"/>
    <col min="12555" max="12795" width="11.42578125" style="1"/>
    <col min="12796" max="12796" width="0.7109375" style="1" customWidth="1"/>
    <col min="12797" max="12797" width="10.7109375" style="1" customWidth="1"/>
    <col min="12798" max="12798" width="5.140625" style="1" customWidth="1"/>
    <col min="12799" max="12799" width="10.140625" style="1" customWidth="1"/>
    <col min="12800" max="12800" width="7.7109375" style="1" customWidth="1"/>
    <col min="12801" max="12801" width="8" style="1" customWidth="1"/>
    <col min="12802" max="12802" width="9.85546875" style="1" customWidth="1"/>
    <col min="12803" max="12803" width="8.42578125" style="1" customWidth="1"/>
    <col min="12804" max="12804" width="10.5703125" style="1" customWidth="1"/>
    <col min="12805" max="12805" width="12.7109375" style="1" customWidth="1"/>
    <col min="12806" max="12806" width="10" style="1" customWidth="1"/>
    <col min="12807" max="12807" width="14" style="1" customWidth="1"/>
    <col min="12808" max="12808" width="11.5703125" style="1" customWidth="1"/>
    <col min="12809" max="12809" width="8.140625" style="1" customWidth="1"/>
    <col min="12810" max="12810" width="7.7109375" style="1" customWidth="1"/>
    <col min="12811" max="13051" width="11.42578125" style="1"/>
    <col min="13052" max="13052" width="0.7109375" style="1" customWidth="1"/>
    <col min="13053" max="13053" width="10.7109375" style="1" customWidth="1"/>
    <col min="13054" max="13054" width="5.140625" style="1" customWidth="1"/>
    <col min="13055" max="13055" width="10.140625" style="1" customWidth="1"/>
    <col min="13056" max="13056" width="7.7109375" style="1" customWidth="1"/>
    <col min="13057" max="13057" width="8" style="1" customWidth="1"/>
    <col min="13058" max="13058" width="9.85546875" style="1" customWidth="1"/>
    <col min="13059" max="13059" width="8.42578125" style="1" customWidth="1"/>
    <col min="13060" max="13060" width="10.5703125" style="1" customWidth="1"/>
    <col min="13061" max="13061" width="12.7109375" style="1" customWidth="1"/>
    <col min="13062" max="13062" width="10" style="1" customWidth="1"/>
    <col min="13063" max="13063" width="14" style="1" customWidth="1"/>
    <col min="13064" max="13064" width="11.5703125" style="1" customWidth="1"/>
    <col min="13065" max="13065" width="8.140625" style="1" customWidth="1"/>
    <col min="13066" max="13066" width="7.7109375" style="1" customWidth="1"/>
    <col min="13067" max="13307" width="11.42578125" style="1"/>
    <col min="13308" max="13308" width="0.7109375" style="1" customWidth="1"/>
    <col min="13309" max="13309" width="10.7109375" style="1" customWidth="1"/>
    <col min="13310" max="13310" width="5.140625" style="1" customWidth="1"/>
    <col min="13311" max="13311" width="10.140625" style="1" customWidth="1"/>
    <col min="13312" max="13312" width="7.7109375" style="1" customWidth="1"/>
    <col min="13313" max="13313" width="8" style="1" customWidth="1"/>
    <col min="13314" max="13314" width="9.85546875" style="1" customWidth="1"/>
    <col min="13315" max="13315" width="8.42578125" style="1" customWidth="1"/>
    <col min="13316" max="13316" width="10.5703125" style="1" customWidth="1"/>
    <col min="13317" max="13317" width="12.7109375" style="1" customWidth="1"/>
    <col min="13318" max="13318" width="10" style="1" customWidth="1"/>
    <col min="13319" max="13319" width="14" style="1" customWidth="1"/>
    <col min="13320" max="13320" width="11.5703125" style="1" customWidth="1"/>
    <col min="13321" max="13321" width="8.140625" style="1" customWidth="1"/>
    <col min="13322" max="13322" width="7.7109375" style="1" customWidth="1"/>
    <col min="13323" max="13563" width="11.42578125" style="1"/>
    <col min="13564" max="13564" width="0.7109375" style="1" customWidth="1"/>
    <col min="13565" max="13565" width="10.7109375" style="1" customWidth="1"/>
    <col min="13566" max="13566" width="5.140625" style="1" customWidth="1"/>
    <col min="13567" max="13567" width="10.140625" style="1" customWidth="1"/>
    <col min="13568" max="13568" width="7.7109375" style="1" customWidth="1"/>
    <col min="13569" max="13569" width="8" style="1" customWidth="1"/>
    <col min="13570" max="13570" width="9.85546875" style="1" customWidth="1"/>
    <col min="13571" max="13571" width="8.42578125" style="1" customWidth="1"/>
    <col min="13572" max="13572" width="10.5703125" style="1" customWidth="1"/>
    <col min="13573" max="13573" width="12.7109375" style="1" customWidth="1"/>
    <col min="13574" max="13574" width="10" style="1" customWidth="1"/>
    <col min="13575" max="13575" width="14" style="1" customWidth="1"/>
    <col min="13576" max="13576" width="11.5703125" style="1" customWidth="1"/>
    <col min="13577" max="13577" width="8.140625" style="1" customWidth="1"/>
    <col min="13578" max="13578" width="7.7109375" style="1" customWidth="1"/>
    <col min="13579" max="13819" width="11.42578125" style="1"/>
    <col min="13820" max="13820" width="0.7109375" style="1" customWidth="1"/>
    <col min="13821" max="13821" width="10.7109375" style="1" customWidth="1"/>
    <col min="13822" max="13822" width="5.140625" style="1" customWidth="1"/>
    <col min="13823" max="13823" width="10.140625" style="1" customWidth="1"/>
    <col min="13824" max="13824" width="7.7109375" style="1" customWidth="1"/>
    <col min="13825" max="13825" width="8" style="1" customWidth="1"/>
    <col min="13826" max="13826" width="9.85546875" style="1" customWidth="1"/>
    <col min="13827" max="13827" width="8.42578125" style="1" customWidth="1"/>
    <col min="13828" max="13828" width="10.5703125" style="1" customWidth="1"/>
    <col min="13829" max="13829" width="12.7109375" style="1" customWidth="1"/>
    <col min="13830" max="13830" width="10" style="1" customWidth="1"/>
    <col min="13831" max="13831" width="14" style="1" customWidth="1"/>
    <col min="13832" max="13832" width="11.5703125" style="1" customWidth="1"/>
    <col min="13833" max="13833" width="8.140625" style="1" customWidth="1"/>
    <col min="13834" max="13834" width="7.7109375" style="1" customWidth="1"/>
    <col min="13835" max="14075" width="11.42578125" style="1"/>
    <col min="14076" max="14076" width="0.7109375" style="1" customWidth="1"/>
    <col min="14077" max="14077" width="10.7109375" style="1" customWidth="1"/>
    <col min="14078" max="14078" width="5.140625" style="1" customWidth="1"/>
    <col min="14079" max="14079" width="10.140625" style="1" customWidth="1"/>
    <col min="14080" max="14080" width="7.7109375" style="1" customWidth="1"/>
    <col min="14081" max="14081" width="8" style="1" customWidth="1"/>
    <col min="14082" max="14082" width="9.85546875" style="1" customWidth="1"/>
    <col min="14083" max="14083" width="8.42578125" style="1" customWidth="1"/>
    <col min="14084" max="14084" width="10.5703125" style="1" customWidth="1"/>
    <col min="14085" max="14085" width="12.7109375" style="1" customWidth="1"/>
    <col min="14086" max="14086" width="10" style="1" customWidth="1"/>
    <col min="14087" max="14087" width="14" style="1" customWidth="1"/>
    <col min="14088" max="14088" width="11.5703125" style="1" customWidth="1"/>
    <col min="14089" max="14089" width="8.140625" style="1" customWidth="1"/>
    <col min="14090" max="14090" width="7.7109375" style="1" customWidth="1"/>
    <col min="14091" max="14331" width="11.42578125" style="1"/>
    <col min="14332" max="14332" width="0.7109375" style="1" customWidth="1"/>
    <col min="14333" max="14333" width="10.7109375" style="1" customWidth="1"/>
    <col min="14334" max="14334" width="5.140625" style="1" customWidth="1"/>
    <col min="14335" max="14335" width="10.140625" style="1" customWidth="1"/>
    <col min="14336" max="14336" width="7.7109375" style="1" customWidth="1"/>
    <col min="14337" max="14337" width="8" style="1" customWidth="1"/>
    <col min="14338" max="14338" width="9.85546875" style="1" customWidth="1"/>
    <col min="14339" max="14339" width="8.42578125" style="1" customWidth="1"/>
    <col min="14340" max="14340" width="10.5703125" style="1" customWidth="1"/>
    <col min="14341" max="14341" width="12.7109375" style="1" customWidth="1"/>
    <col min="14342" max="14342" width="10" style="1" customWidth="1"/>
    <col min="14343" max="14343" width="14" style="1" customWidth="1"/>
    <col min="14344" max="14344" width="11.5703125" style="1" customWidth="1"/>
    <col min="14345" max="14345" width="8.140625" style="1" customWidth="1"/>
    <col min="14346" max="14346" width="7.7109375" style="1" customWidth="1"/>
    <col min="14347" max="14587" width="11.42578125" style="1"/>
    <col min="14588" max="14588" width="0.7109375" style="1" customWidth="1"/>
    <col min="14589" max="14589" width="10.7109375" style="1" customWidth="1"/>
    <col min="14590" max="14590" width="5.140625" style="1" customWidth="1"/>
    <col min="14591" max="14591" width="10.140625" style="1" customWidth="1"/>
    <col min="14592" max="14592" width="7.7109375" style="1" customWidth="1"/>
    <col min="14593" max="14593" width="8" style="1" customWidth="1"/>
    <col min="14594" max="14594" width="9.85546875" style="1" customWidth="1"/>
    <col min="14595" max="14595" width="8.42578125" style="1" customWidth="1"/>
    <col min="14596" max="14596" width="10.5703125" style="1" customWidth="1"/>
    <col min="14597" max="14597" width="12.7109375" style="1" customWidth="1"/>
    <col min="14598" max="14598" width="10" style="1" customWidth="1"/>
    <col min="14599" max="14599" width="14" style="1" customWidth="1"/>
    <col min="14600" max="14600" width="11.5703125" style="1" customWidth="1"/>
    <col min="14601" max="14601" width="8.140625" style="1" customWidth="1"/>
    <col min="14602" max="14602" width="7.7109375" style="1" customWidth="1"/>
    <col min="14603" max="14843" width="11.42578125" style="1"/>
    <col min="14844" max="14844" width="0.7109375" style="1" customWidth="1"/>
    <col min="14845" max="14845" width="10.7109375" style="1" customWidth="1"/>
    <col min="14846" max="14846" width="5.140625" style="1" customWidth="1"/>
    <col min="14847" max="14847" width="10.140625" style="1" customWidth="1"/>
    <col min="14848" max="14848" width="7.7109375" style="1" customWidth="1"/>
    <col min="14849" max="14849" width="8" style="1" customWidth="1"/>
    <col min="14850" max="14850" width="9.85546875" style="1" customWidth="1"/>
    <col min="14851" max="14851" width="8.42578125" style="1" customWidth="1"/>
    <col min="14852" max="14852" width="10.5703125" style="1" customWidth="1"/>
    <col min="14853" max="14853" width="12.7109375" style="1" customWidth="1"/>
    <col min="14854" max="14854" width="10" style="1" customWidth="1"/>
    <col min="14855" max="14855" width="14" style="1" customWidth="1"/>
    <col min="14856" max="14856" width="11.5703125" style="1" customWidth="1"/>
    <col min="14857" max="14857" width="8.140625" style="1" customWidth="1"/>
    <col min="14858" max="14858" width="7.7109375" style="1" customWidth="1"/>
    <col min="14859" max="15099" width="11.42578125" style="1"/>
    <col min="15100" max="15100" width="0.7109375" style="1" customWidth="1"/>
    <col min="15101" max="15101" width="10.7109375" style="1" customWidth="1"/>
    <col min="15102" max="15102" width="5.140625" style="1" customWidth="1"/>
    <col min="15103" max="15103" width="10.140625" style="1" customWidth="1"/>
    <col min="15104" max="15104" width="7.7109375" style="1" customWidth="1"/>
    <col min="15105" max="15105" width="8" style="1" customWidth="1"/>
    <col min="15106" max="15106" width="9.85546875" style="1" customWidth="1"/>
    <col min="15107" max="15107" width="8.42578125" style="1" customWidth="1"/>
    <col min="15108" max="15108" width="10.5703125" style="1" customWidth="1"/>
    <col min="15109" max="15109" width="12.7109375" style="1" customWidth="1"/>
    <col min="15110" max="15110" width="10" style="1" customWidth="1"/>
    <col min="15111" max="15111" width="14" style="1" customWidth="1"/>
    <col min="15112" max="15112" width="11.5703125" style="1" customWidth="1"/>
    <col min="15113" max="15113" width="8.140625" style="1" customWidth="1"/>
    <col min="15114" max="15114" width="7.7109375" style="1" customWidth="1"/>
    <col min="15115" max="15355" width="11.42578125" style="1"/>
    <col min="15356" max="15356" width="0.7109375" style="1" customWidth="1"/>
    <col min="15357" max="15357" width="10.7109375" style="1" customWidth="1"/>
    <col min="15358" max="15358" width="5.140625" style="1" customWidth="1"/>
    <col min="15359" max="15359" width="10.140625" style="1" customWidth="1"/>
    <col min="15360" max="15360" width="7.7109375" style="1" customWidth="1"/>
    <col min="15361" max="15361" width="8" style="1" customWidth="1"/>
    <col min="15362" max="15362" width="9.85546875" style="1" customWidth="1"/>
    <col min="15363" max="15363" width="8.42578125" style="1" customWidth="1"/>
    <col min="15364" max="15364" width="10.5703125" style="1" customWidth="1"/>
    <col min="15365" max="15365" width="12.7109375" style="1" customWidth="1"/>
    <col min="15366" max="15366" width="10" style="1" customWidth="1"/>
    <col min="15367" max="15367" width="14" style="1" customWidth="1"/>
    <col min="15368" max="15368" width="11.5703125" style="1" customWidth="1"/>
    <col min="15369" max="15369" width="8.140625" style="1" customWidth="1"/>
    <col min="15370" max="15370" width="7.7109375" style="1" customWidth="1"/>
    <col min="15371" max="15611" width="11.42578125" style="1"/>
    <col min="15612" max="15612" width="0.7109375" style="1" customWidth="1"/>
    <col min="15613" max="15613" width="10.7109375" style="1" customWidth="1"/>
    <col min="15614" max="15614" width="5.140625" style="1" customWidth="1"/>
    <col min="15615" max="15615" width="10.140625" style="1" customWidth="1"/>
    <col min="15616" max="15616" width="7.7109375" style="1" customWidth="1"/>
    <col min="15617" max="15617" width="8" style="1" customWidth="1"/>
    <col min="15618" max="15618" width="9.85546875" style="1" customWidth="1"/>
    <col min="15619" max="15619" width="8.42578125" style="1" customWidth="1"/>
    <col min="15620" max="15620" width="10.5703125" style="1" customWidth="1"/>
    <col min="15621" max="15621" width="12.7109375" style="1" customWidth="1"/>
    <col min="15622" max="15622" width="10" style="1" customWidth="1"/>
    <col min="15623" max="15623" width="14" style="1" customWidth="1"/>
    <col min="15624" max="15624" width="11.5703125" style="1" customWidth="1"/>
    <col min="15625" max="15625" width="8.140625" style="1" customWidth="1"/>
    <col min="15626" max="15626" width="7.7109375" style="1" customWidth="1"/>
    <col min="15627" max="15867" width="11.42578125" style="1"/>
    <col min="15868" max="15868" width="0.7109375" style="1" customWidth="1"/>
    <col min="15869" max="15869" width="10.7109375" style="1" customWidth="1"/>
    <col min="15870" max="15870" width="5.140625" style="1" customWidth="1"/>
    <col min="15871" max="15871" width="10.140625" style="1" customWidth="1"/>
    <col min="15872" max="15872" width="7.7109375" style="1" customWidth="1"/>
    <col min="15873" max="15873" width="8" style="1" customWidth="1"/>
    <col min="15874" max="15874" width="9.85546875" style="1" customWidth="1"/>
    <col min="15875" max="15875" width="8.42578125" style="1" customWidth="1"/>
    <col min="15876" max="15876" width="10.5703125" style="1" customWidth="1"/>
    <col min="15877" max="15877" width="12.7109375" style="1" customWidth="1"/>
    <col min="15878" max="15878" width="10" style="1" customWidth="1"/>
    <col min="15879" max="15879" width="14" style="1" customWidth="1"/>
    <col min="15880" max="15880" width="11.5703125" style="1" customWidth="1"/>
    <col min="15881" max="15881" width="8.140625" style="1" customWidth="1"/>
    <col min="15882" max="15882" width="7.7109375" style="1" customWidth="1"/>
    <col min="15883" max="16123" width="11.42578125" style="1"/>
    <col min="16124" max="16124" width="0.7109375" style="1" customWidth="1"/>
    <col min="16125" max="16125" width="10.7109375" style="1" customWidth="1"/>
    <col min="16126" max="16126" width="5.140625" style="1" customWidth="1"/>
    <col min="16127" max="16127" width="10.140625" style="1" customWidth="1"/>
    <col min="16128" max="16128" width="7.7109375" style="1" customWidth="1"/>
    <col min="16129" max="16129" width="8" style="1" customWidth="1"/>
    <col min="16130" max="16130" width="9.85546875" style="1" customWidth="1"/>
    <col min="16131" max="16131" width="8.42578125" style="1" customWidth="1"/>
    <col min="16132" max="16132" width="10.5703125" style="1" customWidth="1"/>
    <col min="16133" max="16133" width="12.7109375" style="1" customWidth="1"/>
    <col min="16134" max="16134" width="10" style="1" customWidth="1"/>
    <col min="16135" max="16135" width="14" style="1" customWidth="1"/>
    <col min="16136" max="16136" width="11.5703125" style="1" customWidth="1"/>
    <col min="16137" max="16137" width="8.140625" style="1" customWidth="1"/>
    <col min="16138" max="16138" width="7.7109375" style="1" customWidth="1"/>
    <col min="16139" max="16384" width="11.42578125" style="1"/>
  </cols>
  <sheetData>
    <row r="1" spans="1:12" s="2" customFormat="1" ht="18">
      <c r="A1" s="47"/>
      <c r="B1" s="48"/>
      <c r="C1" s="49"/>
      <c r="D1" s="50"/>
      <c r="E1" s="50"/>
      <c r="F1" s="50"/>
      <c r="G1" s="50"/>
      <c r="H1" s="51" t="s">
        <v>0</v>
      </c>
      <c r="I1" s="52"/>
      <c r="J1" s="53"/>
      <c r="K1" s="54" t="s">
        <v>313</v>
      </c>
      <c r="L1" s="55"/>
    </row>
    <row r="2" spans="1:12" ht="15.75">
      <c r="A2" s="56"/>
      <c r="B2" s="17"/>
      <c r="C2" s="18"/>
      <c r="D2" s="19"/>
      <c r="E2" s="20"/>
      <c r="F2" s="20"/>
      <c r="G2" s="20"/>
      <c r="H2" s="21" t="s">
        <v>128</v>
      </c>
      <c r="I2" s="22"/>
      <c r="J2" s="23"/>
      <c r="K2" s="100"/>
      <c r="L2" s="57"/>
    </row>
    <row r="3" spans="1:12" ht="4.5" customHeight="1">
      <c r="A3" s="56"/>
      <c r="B3" s="17"/>
      <c r="C3" s="18"/>
      <c r="D3" s="19"/>
      <c r="E3" s="20"/>
      <c r="F3" s="20"/>
      <c r="G3" s="20"/>
      <c r="H3" s="21"/>
      <c r="I3" s="22"/>
      <c r="J3" s="23"/>
      <c r="K3" s="24"/>
      <c r="L3" s="57"/>
    </row>
    <row r="4" spans="1:12" ht="12" customHeight="1">
      <c r="A4" s="58"/>
      <c r="B4" s="25"/>
      <c r="C4" s="18" t="s">
        <v>1</v>
      </c>
      <c r="D4" s="101">
        <v>929</v>
      </c>
      <c r="E4" s="20"/>
      <c r="F4" s="20" t="s">
        <v>2</v>
      </c>
      <c r="G4" s="102" t="s">
        <v>235</v>
      </c>
      <c r="H4" s="22"/>
      <c r="I4" s="22"/>
      <c r="J4" s="27" t="s">
        <v>3</v>
      </c>
      <c r="K4" s="162">
        <v>45113</v>
      </c>
      <c r="L4" s="57"/>
    </row>
    <row r="5" spans="1:12" ht="15.75" thickBot="1">
      <c r="A5" s="56"/>
      <c r="B5" s="17"/>
      <c r="C5" s="18" t="s">
        <v>4</v>
      </c>
      <c r="D5" s="86">
        <v>11540</v>
      </c>
      <c r="E5" s="20"/>
      <c r="F5" s="20" t="s">
        <v>5</v>
      </c>
      <c r="G5" s="26" t="s">
        <v>197</v>
      </c>
      <c r="H5" s="28"/>
      <c r="I5" s="17"/>
      <c r="J5" s="27" t="s">
        <v>149</v>
      </c>
      <c r="K5" s="29" t="s">
        <v>315</v>
      </c>
      <c r="L5" s="57"/>
    </row>
    <row r="6" spans="1:12" ht="15.75" thickBot="1">
      <c r="A6" s="56"/>
      <c r="B6" s="17"/>
      <c r="C6" s="18" t="s">
        <v>6</v>
      </c>
      <c r="D6" s="86">
        <v>8530</v>
      </c>
      <c r="E6" s="20"/>
      <c r="F6" s="20" t="s">
        <v>7</v>
      </c>
      <c r="G6" s="98">
        <v>1</v>
      </c>
      <c r="H6" s="28"/>
      <c r="I6" s="22"/>
      <c r="J6" s="27" t="s">
        <v>246</v>
      </c>
      <c r="K6" s="30" t="s">
        <v>314</v>
      </c>
      <c r="L6" s="57"/>
    </row>
    <row r="7" spans="1:12" ht="15.75" thickBot="1">
      <c r="A7" s="56"/>
      <c r="B7" s="17"/>
      <c r="C7" s="18" t="s">
        <v>8</v>
      </c>
      <c r="D7" s="65">
        <v>7</v>
      </c>
      <c r="E7" s="20"/>
      <c r="F7" s="20" t="s">
        <v>9</v>
      </c>
      <c r="G7" s="44">
        <v>127</v>
      </c>
      <c r="H7" s="31"/>
      <c r="I7" s="32"/>
      <c r="J7" s="87" t="s">
        <v>162</v>
      </c>
      <c r="K7" s="108">
        <v>21392</v>
      </c>
      <c r="L7" s="59"/>
    </row>
    <row r="8" spans="1:12" ht="15.75" thickBot="1">
      <c r="A8" s="56"/>
      <c r="B8" s="17"/>
      <c r="C8" s="18" t="s">
        <v>10</v>
      </c>
      <c r="D8" s="33">
        <v>29</v>
      </c>
      <c r="E8" s="20"/>
      <c r="F8" s="20" t="s">
        <v>11</v>
      </c>
      <c r="G8" s="286">
        <v>11.2</v>
      </c>
      <c r="H8" s="34"/>
      <c r="I8" s="22"/>
      <c r="J8" s="87" t="s">
        <v>163</v>
      </c>
      <c r="K8" s="122">
        <v>21399</v>
      </c>
      <c r="L8" s="77">
        <v>49.47</v>
      </c>
    </row>
    <row r="9" spans="1:12" ht="15.75" thickBot="1">
      <c r="A9" s="56"/>
      <c r="B9" s="17"/>
      <c r="C9" s="18" t="s">
        <v>12</v>
      </c>
      <c r="D9" s="19" t="s">
        <v>177</v>
      </c>
      <c r="E9" s="20"/>
      <c r="F9" s="20" t="s">
        <v>13</v>
      </c>
      <c r="G9" s="19">
        <f>(65.45-G8)/65.45</f>
        <v>0.82887700534759357</v>
      </c>
      <c r="H9" s="34"/>
      <c r="I9" s="22"/>
      <c r="J9" s="27" t="s">
        <v>14</v>
      </c>
      <c r="K9" s="158">
        <f>K8-K7</f>
        <v>7</v>
      </c>
      <c r="L9" s="77">
        <v>27.58</v>
      </c>
    </row>
    <row r="10" spans="1:12" ht="15.75" thickBot="1">
      <c r="A10" s="56"/>
      <c r="B10" s="17"/>
      <c r="C10" s="18" t="s">
        <v>15</v>
      </c>
      <c r="D10" s="65">
        <v>4.05</v>
      </c>
      <c r="E10" s="20"/>
      <c r="F10" s="20" t="s">
        <v>224</v>
      </c>
      <c r="G10" s="65" t="s">
        <v>279</v>
      </c>
      <c r="H10" s="34"/>
      <c r="I10" s="22"/>
      <c r="J10" s="87" t="s">
        <v>99</v>
      </c>
      <c r="K10" s="159">
        <f>I317</f>
        <v>11820.835000000006</v>
      </c>
      <c r="L10" s="95"/>
    </row>
    <row r="11" spans="1:12" ht="15.75" thickBot="1">
      <c r="A11" s="56"/>
      <c r="B11" s="35"/>
      <c r="C11" s="18" t="s">
        <v>161</v>
      </c>
      <c r="D11" s="65">
        <v>6.0590000000000002</v>
      </c>
      <c r="E11" s="20"/>
      <c r="F11" s="20" t="s">
        <v>16</v>
      </c>
      <c r="G11" s="19" t="s">
        <v>150</v>
      </c>
      <c r="H11" s="34"/>
      <c r="I11" s="22"/>
      <c r="J11" s="87" t="s">
        <v>98</v>
      </c>
      <c r="K11" s="177">
        <v>12568.68</v>
      </c>
      <c r="L11" s="78"/>
    </row>
    <row r="12" spans="1:12" ht="12.75" customHeight="1" thickBot="1">
      <c r="A12" s="60"/>
      <c r="B12" s="36"/>
      <c r="C12" s="37" t="s">
        <v>40</v>
      </c>
      <c r="D12" s="81">
        <f>SUM(B15:B311)</f>
        <v>523</v>
      </c>
      <c r="E12" s="38"/>
      <c r="F12" s="38" t="s">
        <v>41</v>
      </c>
      <c r="G12" s="76" t="s">
        <v>123</v>
      </c>
      <c r="H12" s="39"/>
      <c r="I12" s="40"/>
      <c r="J12" s="88" t="s">
        <v>153</v>
      </c>
      <c r="K12" s="157">
        <v>1360.6</v>
      </c>
      <c r="L12" s="180" t="s">
        <v>226</v>
      </c>
    </row>
    <row r="13" spans="1:12" ht="13.5" customHeight="1">
      <c r="A13" s="261" t="s">
        <v>18</v>
      </c>
      <c r="B13" s="449" t="s">
        <v>17</v>
      </c>
      <c r="C13" s="449"/>
      <c r="D13" s="234" t="s">
        <v>280</v>
      </c>
      <c r="E13" s="41" t="s">
        <v>18</v>
      </c>
      <c r="F13" s="41" t="s">
        <v>19</v>
      </c>
      <c r="G13" s="41" t="s">
        <v>18</v>
      </c>
      <c r="H13" s="41" t="s">
        <v>20</v>
      </c>
      <c r="I13" s="41" t="s">
        <v>21</v>
      </c>
      <c r="J13" s="64" t="s">
        <v>22</v>
      </c>
      <c r="K13" s="450" t="s">
        <v>23</v>
      </c>
      <c r="L13" s="451"/>
    </row>
    <row r="14" spans="1:12" ht="13.5" customHeight="1" thickBot="1">
      <c r="A14" s="262" t="s">
        <v>26</v>
      </c>
      <c r="B14" s="168" t="s">
        <v>24</v>
      </c>
      <c r="C14" s="169" t="s">
        <v>25</v>
      </c>
      <c r="D14" s="169" t="s">
        <v>26</v>
      </c>
      <c r="E14" s="170" t="s">
        <v>27</v>
      </c>
      <c r="F14" s="170" t="s">
        <v>27</v>
      </c>
      <c r="G14" s="170" t="s">
        <v>28</v>
      </c>
      <c r="H14" s="170" t="s">
        <v>27</v>
      </c>
      <c r="I14" s="170" t="s">
        <v>29</v>
      </c>
      <c r="J14" s="171" t="s">
        <v>30</v>
      </c>
      <c r="K14" s="452" t="s">
        <v>31</v>
      </c>
      <c r="L14" s="453"/>
    </row>
    <row r="15" spans="1:12" s="3" customFormat="1" ht="13.5" customHeight="1">
      <c r="A15" s="446" t="s">
        <v>237</v>
      </c>
      <c r="B15" s="123" t="s">
        <v>42</v>
      </c>
      <c r="C15" s="457" t="s">
        <v>152</v>
      </c>
      <c r="D15" s="457"/>
      <c r="E15" s="124">
        <v>3.39</v>
      </c>
      <c r="F15" s="125">
        <f>E15</f>
        <v>3.39</v>
      </c>
      <c r="G15" s="125" t="s">
        <v>32</v>
      </c>
      <c r="H15" s="125">
        <f>F15</f>
        <v>3.39</v>
      </c>
      <c r="I15" s="126">
        <f>K7-F15</f>
        <v>21388.61</v>
      </c>
      <c r="J15" s="127">
        <f>$G$7+(H15*$D$8*$G$9/1000)</f>
        <v>127.08148689839572</v>
      </c>
      <c r="K15" s="458" t="s">
        <v>172</v>
      </c>
      <c r="L15" s="459"/>
    </row>
    <row r="16" spans="1:12" s="3" customFormat="1" ht="13.5" customHeight="1" thickBot="1">
      <c r="A16" s="447"/>
      <c r="B16" s="128">
        <v>2</v>
      </c>
      <c r="C16" s="454" t="s">
        <v>33</v>
      </c>
      <c r="D16" s="454"/>
      <c r="E16" s="129">
        <v>36.479999999999997</v>
      </c>
      <c r="F16" s="130">
        <f>E16</f>
        <v>36.479999999999997</v>
      </c>
      <c r="G16" s="130" t="s">
        <v>32</v>
      </c>
      <c r="H16" s="130">
        <f t="shared" ref="H16:H79" si="0">IF(G16="IN",H15+F16,H15)</f>
        <v>39.869999999999997</v>
      </c>
      <c r="I16" s="130">
        <f t="shared" ref="I16:I159" si="1">IF(H16="","",$K$7-H16)</f>
        <v>21352.13</v>
      </c>
      <c r="J16" s="131">
        <f t="shared" ref="J16" si="2">$G$7+(H16*$D$8*$G$9/1000)</f>
        <v>127.95837245989304</v>
      </c>
      <c r="K16" s="460" t="s">
        <v>238</v>
      </c>
      <c r="L16" s="461"/>
    </row>
    <row r="17" spans="1:13" s="3" customFormat="1" ht="13.5" customHeight="1">
      <c r="A17" s="462" t="s">
        <v>239</v>
      </c>
      <c r="B17" s="139">
        <v>1</v>
      </c>
      <c r="C17" s="448" t="s">
        <v>43</v>
      </c>
      <c r="D17" s="448"/>
      <c r="E17" s="132">
        <v>18.079999999999998</v>
      </c>
      <c r="F17" s="133">
        <f>E17-($D$10/12)</f>
        <v>17.7425</v>
      </c>
      <c r="G17" s="133" t="s">
        <v>32</v>
      </c>
      <c r="H17" s="133">
        <f t="shared" si="0"/>
        <v>57.612499999999997</v>
      </c>
      <c r="I17" s="133">
        <f t="shared" si="1"/>
        <v>21334.387500000001</v>
      </c>
      <c r="J17" s="134">
        <f>$G$7+(H17*$D$8*$G$9/1000)</f>
        <v>128.38485661764705</v>
      </c>
      <c r="K17" s="465" t="s">
        <v>173</v>
      </c>
      <c r="L17" s="466"/>
    </row>
    <row r="18" spans="1:13" s="3" customFormat="1" ht="13.5" customHeight="1">
      <c r="A18" s="463"/>
      <c r="B18" s="140" t="s">
        <v>42</v>
      </c>
      <c r="C18" s="455" t="s">
        <v>94</v>
      </c>
      <c r="D18" s="455"/>
      <c r="E18" s="135">
        <v>2.91</v>
      </c>
      <c r="F18" s="136">
        <f>E18</f>
        <v>2.91</v>
      </c>
      <c r="G18" s="136" t="s">
        <v>32</v>
      </c>
      <c r="H18" s="136">
        <f t="shared" si="0"/>
        <v>60.522499999999994</v>
      </c>
      <c r="I18" s="136">
        <f t="shared" si="1"/>
        <v>21331.477500000001</v>
      </c>
      <c r="J18" s="134">
        <f t="shared" ref="J18:J129" si="3">$G$7+(H18*$D$8*$G$9/1000)</f>
        <v>128.45480554812835</v>
      </c>
      <c r="K18" s="467" t="s">
        <v>240</v>
      </c>
      <c r="L18" s="468"/>
    </row>
    <row r="19" spans="1:13" s="3" customFormat="1" ht="13.5" customHeight="1" thickBot="1">
      <c r="A19" s="464"/>
      <c r="B19" s="141">
        <v>1</v>
      </c>
      <c r="C19" s="456" t="s">
        <v>44</v>
      </c>
      <c r="D19" s="456"/>
      <c r="E19" s="137">
        <v>17.82</v>
      </c>
      <c r="F19" s="138">
        <f>E19</f>
        <v>17.82</v>
      </c>
      <c r="G19" s="138" t="s">
        <v>32</v>
      </c>
      <c r="H19" s="138">
        <f>IF(G19="IN",H18+F19,H18)</f>
        <v>78.342500000000001</v>
      </c>
      <c r="I19" s="138">
        <f t="shared" si="1"/>
        <v>21313.657500000001</v>
      </c>
      <c r="J19" s="142">
        <f t="shared" si="3"/>
        <v>128.88315260695188</v>
      </c>
      <c r="K19" s="160"/>
      <c r="L19" s="161"/>
    </row>
    <row r="20" spans="1:13" s="3" customFormat="1" ht="13.5" customHeight="1" thickBot="1">
      <c r="A20" s="412" t="s">
        <v>241</v>
      </c>
      <c r="B20" s="143">
        <v>1</v>
      </c>
      <c r="C20" s="415" t="s">
        <v>34</v>
      </c>
      <c r="D20" s="415"/>
      <c r="E20" s="144">
        <v>18</v>
      </c>
      <c r="F20" s="145">
        <f>E20-($D$10/12)</f>
        <v>17.662500000000001</v>
      </c>
      <c r="G20" s="145" t="s">
        <v>32</v>
      </c>
      <c r="H20" s="146">
        <f t="shared" si="0"/>
        <v>96.004999999999995</v>
      </c>
      <c r="I20" s="145">
        <f t="shared" si="1"/>
        <v>21295.994999999999</v>
      </c>
      <c r="J20" s="147">
        <f t="shared" si="3"/>
        <v>129.30771377005348</v>
      </c>
      <c r="K20" s="416" t="s">
        <v>282</v>
      </c>
      <c r="L20" s="417"/>
    </row>
    <row r="21" spans="1:13" s="3" customFormat="1" ht="13.5" customHeight="1" thickBot="1">
      <c r="A21" s="413"/>
      <c r="B21" s="148" t="s">
        <v>42</v>
      </c>
      <c r="C21" s="422" t="s">
        <v>95</v>
      </c>
      <c r="D21" s="422"/>
      <c r="E21" s="149">
        <v>5.18</v>
      </c>
      <c r="F21" s="150">
        <f>E21</f>
        <v>5.18</v>
      </c>
      <c r="G21" s="151" t="s">
        <v>32</v>
      </c>
      <c r="H21" s="118">
        <f t="shared" si="0"/>
        <v>101.185</v>
      </c>
      <c r="I21" s="152">
        <f t="shared" si="1"/>
        <v>21290.814999999999</v>
      </c>
      <c r="J21" s="153">
        <f t="shared" si="3"/>
        <v>129.4322276737968</v>
      </c>
      <c r="K21" s="418"/>
      <c r="L21" s="419"/>
    </row>
    <row r="22" spans="1:13" s="3" customFormat="1" ht="13.5" customHeight="1" thickBot="1">
      <c r="A22" s="414"/>
      <c r="B22" s="154">
        <v>1</v>
      </c>
      <c r="C22" s="423" t="s">
        <v>34</v>
      </c>
      <c r="D22" s="423"/>
      <c r="E22" s="155">
        <v>17.66</v>
      </c>
      <c r="F22" s="146">
        <f>E22</f>
        <v>17.66</v>
      </c>
      <c r="G22" s="146" t="s">
        <v>32</v>
      </c>
      <c r="H22" s="146">
        <f t="shared" si="0"/>
        <v>118.845</v>
      </c>
      <c r="I22" s="146">
        <f t="shared" si="1"/>
        <v>21273.154999999999</v>
      </c>
      <c r="J22" s="156">
        <f t="shared" si="3"/>
        <v>129.8567287433155</v>
      </c>
      <c r="K22" s="420"/>
      <c r="L22" s="421"/>
    </row>
    <row r="23" spans="1:13" s="3" customFormat="1" ht="13.5" customHeight="1" thickBot="1">
      <c r="A23" s="266" t="s">
        <v>213</v>
      </c>
      <c r="B23" s="178">
        <v>1</v>
      </c>
      <c r="C23" s="305" t="s">
        <v>155</v>
      </c>
      <c r="D23" s="306"/>
      <c r="E23" s="179">
        <v>10.09</v>
      </c>
      <c r="F23" s="107">
        <f t="shared" ref="F23" si="4">E23-($D$10/12)</f>
        <v>9.7524999999999995</v>
      </c>
      <c r="G23" s="5" t="s">
        <v>32</v>
      </c>
      <c r="H23" s="43">
        <f t="shared" si="0"/>
        <v>128.5975</v>
      </c>
      <c r="I23" s="116">
        <f>IF(H23="","",$K$7-H23)</f>
        <v>21263.4025</v>
      </c>
      <c r="J23" s="80">
        <f>$G$7+(H23*$D$8*$G$9/1000)</f>
        <v>130.09115381016042</v>
      </c>
      <c r="K23" s="289"/>
      <c r="L23" s="290"/>
    </row>
    <row r="24" spans="1:13" s="3" customFormat="1" ht="13.5" customHeight="1" thickBot="1">
      <c r="A24" s="61">
        <v>1</v>
      </c>
      <c r="B24" s="85">
        <v>2</v>
      </c>
      <c r="C24" s="4" t="s">
        <v>35</v>
      </c>
      <c r="D24" s="267">
        <v>260</v>
      </c>
      <c r="E24" s="43">
        <v>36.24</v>
      </c>
      <c r="F24" s="43">
        <f t="shared" ref="F24:F38" si="5">E24-($D$10/12)</f>
        <v>35.902500000000003</v>
      </c>
      <c r="G24" s="5" t="s">
        <v>32</v>
      </c>
      <c r="H24" s="43">
        <f t="shared" si="0"/>
        <v>164.5</v>
      </c>
      <c r="I24" s="117">
        <f t="shared" si="1"/>
        <v>21227.5</v>
      </c>
      <c r="J24" s="80">
        <f t="shared" si="3"/>
        <v>130.95415775401071</v>
      </c>
      <c r="K24" s="294" t="s">
        <v>296</v>
      </c>
      <c r="L24" s="295"/>
      <c r="M24" s="3" t="s">
        <v>309</v>
      </c>
    </row>
    <row r="25" spans="1:13" s="3" customFormat="1" ht="13.5" customHeight="1">
      <c r="A25" s="61">
        <v>2</v>
      </c>
      <c r="B25" s="4">
        <v>2</v>
      </c>
      <c r="C25" s="4" t="s">
        <v>35</v>
      </c>
      <c r="D25" s="42">
        <f t="shared" ref="D25:D74" si="6">D24-1</f>
        <v>259</v>
      </c>
      <c r="E25" s="43">
        <v>35.369999999999997</v>
      </c>
      <c r="F25" s="43">
        <f t="shared" si="5"/>
        <v>35.032499999999999</v>
      </c>
      <c r="G25" s="5" t="s">
        <v>32</v>
      </c>
      <c r="H25" s="43">
        <f t="shared" si="0"/>
        <v>199.5325</v>
      </c>
      <c r="I25" s="43">
        <f t="shared" si="1"/>
        <v>21192.467499999999</v>
      </c>
      <c r="J25" s="80">
        <f t="shared" si="3"/>
        <v>131.79624913101605</v>
      </c>
      <c r="K25" s="296" t="s">
        <v>292</v>
      </c>
      <c r="L25" s="297"/>
    </row>
    <row r="26" spans="1:13" s="3" customFormat="1" ht="13.5" customHeight="1" thickBot="1">
      <c r="A26" s="61">
        <v>3</v>
      </c>
      <c r="B26" s="4">
        <v>2</v>
      </c>
      <c r="C26" s="4" t="s">
        <v>35</v>
      </c>
      <c r="D26" s="42">
        <f t="shared" si="6"/>
        <v>258</v>
      </c>
      <c r="E26" s="43">
        <v>36.51</v>
      </c>
      <c r="F26" s="43">
        <f t="shared" si="5"/>
        <v>36.172499999999999</v>
      </c>
      <c r="G26" s="5" t="s">
        <v>32</v>
      </c>
      <c r="H26" s="43">
        <f t="shared" si="0"/>
        <v>235.70499999999998</v>
      </c>
      <c r="I26" s="43">
        <f t="shared" si="1"/>
        <v>21156.294999999998</v>
      </c>
      <c r="J26" s="80">
        <f t="shared" si="3"/>
        <v>132.66574318181819</v>
      </c>
      <c r="K26" s="298"/>
      <c r="L26" s="299"/>
    </row>
    <row r="27" spans="1:13" s="3" customFormat="1" ht="13.5" customHeight="1">
      <c r="A27" s="61">
        <v>4</v>
      </c>
      <c r="B27" s="42">
        <v>2</v>
      </c>
      <c r="C27" s="93" t="s">
        <v>35</v>
      </c>
      <c r="D27" s="42">
        <f t="shared" si="6"/>
        <v>257</v>
      </c>
      <c r="E27" s="43">
        <v>36.11</v>
      </c>
      <c r="F27" s="43">
        <f t="shared" si="5"/>
        <v>35.772500000000001</v>
      </c>
      <c r="G27" s="5" t="s">
        <v>32</v>
      </c>
      <c r="H27" s="43">
        <f t="shared" si="0"/>
        <v>271.47749999999996</v>
      </c>
      <c r="I27" s="43">
        <f t="shared" si="1"/>
        <v>21120.522499999999</v>
      </c>
      <c r="J27" s="84">
        <f t="shared" si="3"/>
        <v>133.5256222593583</v>
      </c>
      <c r="K27" s="289"/>
      <c r="L27" s="290"/>
    </row>
    <row r="28" spans="1:13" s="3" customFormat="1" ht="13.5" customHeight="1">
      <c r="A28" s="114">
        <v>5</v>
      </c>
      <c r="B28" s="42">
        <v>2</v>
      </c>
      <c r="C28" s="172" t="s">
        <v>35</v>
      </c>
      <c r="D28" s="42">
        <f t="shared" si="6"/>
        <v>256</v>
      </c>
      <c r="E28" s="43">
        <v>36.840000000000003</v>
      </c>
      <c r="F28" s="43">
        <f>E28-($D$10/12)</f>
        <v>36.502500000000005</v>
      </c>
      <c r="G28" s="5" t="s">
        <v>32</v>
      </c>
      <c r="H28" s="43">
        <f t="shared" si="0"/>
        <v>307.97999999999996</v>
      </c>
      <c r="I28" s="43">
        <f t="shared" si="1"/>
        <v>21084.02</v>
      </c>
      <c r="J28" s="80">
        <f>$G$7+(H28*$D$8*$G$9/1000)</f>
        <v>134.4030486631016</v>
      </c>
      <c r="K28" s="303"/>
      <c r="L28" s="304"/>
    </row>
    <row r="29" spans="1:13" s="3" customFormat="1" ht="13.5" customHeight="1">
      <c r="A29" s="114">
        <v>6</v>
      </c>
      <c r="B29" s="42">
        <v>2</v>
      </c>
      <c r="C29" s="115" t="s">
        <v>35</v>
      </c>
      <c r="D29" s="42">
        <f>D28-1</f>
        <v>255</v>
      </c>
      <c r="E29" s="43">
        <v>36.81</v>
      </c>
      <c r="F29" s="43">
        <f t="shared" si="5"/>
        <v>36.472500000000004</v>
      </c>
      <c r="G29" s="5" t="s">
        <v>32</v>
      </c>
      <c r="H29" s="43">
        <f t="shared" si="0"/>
        <v>344.45249999999999</v>
      </c>
      <c r="I29" s="43">
        <f t="shared" si="1"/>
        <v>21047.547500000001</v>
      </c>
      <c r="J29" s="80">
        <f t="shared" si="3"/>
        <v>135.27975394385027</v>
      </c>
      <c r="K29" s="289"/>
      <c r="L29" s="290"/>
    </row>
    <row r="30" spans="1:13" s="3" customFormat="1" ht="13.5" customHeight="1">
      <c r="A30" s="114">
        <v>7</v>
      </c>
      <c r="B30" s="42">
        <v>2</v>
      </c>
      <c r="C30" s="4" t="s">
        <v>35</v>
      </c>
      <c r="D30" s="42">
        <f t="shared" si="6"/>
        <v>254</v>
      </c>
      <c r="E30" s="43">
        <v>36.42</v>
      </c>
      <c r="F30" s="43">
        <f t="shared" si="5"/>
        <v>36.082500000000003</v>
      </c>
      <c r="G30" s="5" t="s">
        <v>32</v>
      </c>
      <c r="H30" s="43">
        <f t="shared" si="0"/>
        <v>380.53499999999997</v>
      </c>
      <c r="I30" s="43">
        <f t="shared" si="1"/>
        <v>21011.465</v>
      </c>
      <c r="J30" s="80">
        <f t="shared" si="3"/>
        <v>136.14708462566844</v>
      </c>
      <c r="K30" s="303"/>
      <c r="L30" s="304"/>
    </row>
    <row r="31" spans="1:13" s="3" customFormat="1" ht="13.5" customHeight="1">
      <c r="A31" s="114">
        <v>8</v>
      </c>
      <c r="B31" s="4">
        <v>2</v>
      </c>
      <c r="C31" s="4" t="s">
        <v>35</v>
      </c>
      <c r="D31" s="42">
        <f t="shared" si="6"/>
        <v>253</v>
      </c>
      <c r="E31" s="43">
        <v>36.369999999999997</v>
      </c>
      <c r="F31" s="43">
        <f t="shared" si="5"/>
        <v>36.032499999999999</v>
      </c>
      <c r="G31" s="5" t="s">
        <v>32</v>
      </c>
      <c r="H31" s="43">
        <f t="shared" si="0"/>
        <v>416.5675</v>
      </c>
      <c r="I31" s="43">
        <f t="shared" si="1"/>
        <v>20975.432499999999</v>
      </c>
      <c r="J31" s="80">
        <f t="shared" si="3"/>
        <v>137.01321343582887</v>
      </c>
      <c r="K31" s="289"/>
      <c r="L31" s="290"/>
    </row>
    <row r="32" spans="1:13" s="3" customFormat="1" ht="13.5" customHeight="1">
      <c r="A32" s="114">
        <v>8</v>
      </c>
      <c r="B32" s="4">
        <v>2</v>
      </c>
      <c r="C32" s="4" t="s">
        <v>35</v>
      </c>
      <c r="D32" s="42">
        <f t="shared" si="6"/>
        <v>252</v>
      </c>
      <c r="E32" s="43">
        <v>37.24</v>
      </c>
      <c r="F32" s="43">
        <f t="shared" si="5"/>
        <v>36.902500000000003</v>
      </c>
      <c r="G32" s="5" t="s">
        <v>32</v>
      </c>
      <c r="H32" s="43">
        <f t="shared" si="0"/>
        <v>453.47</v>
      </c>
      <c r="I32" s="43">
        <f t="shared" si="1"/>
        <v>20938.53</v>
      </c>
      <c r="J32" s="80">
        <f t="shared" si="3"/>
        <v>137.90025481283422</v>
      </c>
      <c r="K32" s="303"/>
      <c r="L32" s="304"/>
    </row>
    <row r="33" spans="1:12" s="3" customFormat="1" ht="13.5" customHeight="1">
      <c r="A33" s="282">
        <v>10</v>
      </c>
      <c r="B33" s="283">
        <v>0</v>
      </c>
      <c r="C33" s="283" t="s">
        <v>35</v>
      </c>
      <c r="D33" s="224">
        <f t="shared" si="6"/>
        <v>251</v>
      </c>
      <c r="E33" s="284">
        <v>36.03</v>
      </c>
      <c r="F33" s="284">
        <f t="shared" si="5"/>
        <v>35.692500000000003</v>
      </c>
      <c r="G33" s="223" t="s">
        <v>36</v>
      </c>
      <c r="H33" s="284">
        <f t="shared" si="0"/>
        <v>453.47</v>
      </c>
      <c r="I33" s="284">
        <f t="shared" si="1"/>
        <v>20938.53</v>
      </c>
      <c r="J33" s="285">
        <f t="shared" si="3"/>
        <v>137.90025481283422</v>
      </c>
      <c r="K33" s="303" t="s">
        <v>295</v>
      </c>
      <c r="L33" s="304"/>
    </row>
    <row r="34" spans="1:12" s="3" customFormat="1" ht="13.5" customHeight="1">
      <c r="A34" s="114">
        <v>11</v>
      </c>
      <c r="B34" s="4">
        <v>2</v>
      </c>
      <c r="C34" s="4" t="s">
        <v>35</v>
      </c>
      <c r="D34" s="42">
        <f t="shared" si="6"/>
        <v>250</v>
      </c>
      <c r="E34" s="43">
        <v>36.65</v>
      </c>
      <c r="F34" s="43">
        <f t="shared" si="5"/>
        <v>36.3125</v>
      </c>
      <c r="G34" s="5" t="s">
        <v>32</v>
      </c>
      <c r="H34" s="43">
        <f t="shared" si="0"/>
        <v>489.78250000000003</v>
      </c>
      <c r="I34" s="43">
        <f t="shared" si="1"/>
        <v>20902.217499999999</v>
      </c>
      <c r="J34" s="80">
        <f t="shared" si="3"/>
        <v>138.77311410427808</v>
      </c>
      <c r="K34" s="289"/>
      <c r="L34" s="290"/>
    </row>
    <row r="35" spans="1:12" s="3" customFormat="1" ht="13.5" customHeight="1">
      <c r="A35" s="114">
        <v>12</v>
      </c>
      <c r="B35" s="4">
        <v>2</v>
      </c>
      <c r="C35" s="4" t="s">
        <v>35</v>
      </c>
      <c r="D35" s="42">
        <f t="shared" si="6"/>
        <v>249</v>
      </c>
      <c r="E35" s="43">
        <v>36.72</v>
      </c>
      <c r="F35" s="43">
        <f t="shared" si="5"/>
        <v>36.3825</v>
      </c>
      <c r="G35" s="5" t="s">
        <v>32</v>
      </c>
      <c r="H35" s="43">
        <f t="shared" si="0"/>
        <v>526.16500000000008</v>
      </c>
      <c r="I35" s="43">
        <f t="shared" si="1"/>
        <v>20865.834999999999</v>
      </c>
      <c r="J35" s="80">
        <f t="shared" si="3"/>
        <v>139.64765601604279</v>
      </c>
      <c r="K35" s="289"/>
      <c r="L35" s="290"/>
    </row>
    <row r="36" spans="1:12" s="3" customFormat="1" ht="13.5" customHeight="1">
      <c r="A36" s="114">
        <v>13</v>
      </c>
      <c r="B36" s="4">
        <v>2</v>
      </c>
      <c r="C36" s="4" t="s">
        <v>35</v>
      </c>
      <c r="D36" s="42">
        <f t="shared" si="6"/>
        <v>248</v>
      </c>
      <c r="E36" s="43">
        <v>36.46</v>
      </c>
      <c r="F36" s="43">
        <f t="shared" si="5"/>
        <v>36.122500000000002</v>
      </c>
      <c r="G36" s="5" t="s">
        <v>32</v>
      </c>
      <c r="H36" s="43">
        <f t="shared" si="0"/>
        <v>562.28750000000014</v>
      </c>
      <c r="I36" s="43">
        <f t="shared" si="1"/>
        <v>20829.712500000001</v>
      </c>
      <c r="J36" s="80">
        <f t="shared" si="3"/>
        <v>140.51594819518718</v>
      </c>
      <c r="K36" s="289"/>
      <c r="L36" s="290"/>
    </row>
    <row r="37" spans="1:12" s="3" customFormat="1" ht="12.6" customHeight="1">
      <c r="A37" s="114">
        <v>14</v>
      </c>
      <c r="B37" s="4">
        <v>2</v>
      </c>
      <c r="C37" s="4" t="s">
        <v>35</v>
      </c>
      <c r="D37" s="42">
        <f t="shared" si="6"/>
        <v>247</v>
      </c>
      <c r="E37" s="43">
        <v>35.67</v>
      </c>
      <c r="F37" s="43">
        <f t="shared" si="5"/>
        <v>35.332500000000003</v>
      </c>
      <c r="G37" s="5" t="s">
        <v>32</v>
      </c>
      <c r="H37" s="43">
        <f t="shared" si="0"/>
        <v>597.62000000000012</v>
      </c>
      <c r="I37" s="43">
        <f t="shared" si="1"/>
        <v>20794.38</v>
      </c>
      <c r="J37" s="80">
        <f t="shared" si="3"/>
        <v>141.36525080213903</v>
      </c>
      <c r="K37" s="289"/>
      <c r="L37" s="290"/>
    </row>
    <row r="38" spans="1:12" s="3" customFormat="1" ht="13.5" customHeight="1">
      <c r="A38" s="114">
        <v>15</v>
      </c>
      <c r="B38" s="4">
        <v>2</v>
      </c>
      <c r="C38" s="4" t="s">
        <v>35</v>
      </c>
      <c r="D38" s="42">
        <f t="shared" si="6"/>
        <v>246</v>
      </c>
      <c r="E38" s="43">
        <v>37.340000000000003</v>
      </c>
      <c r="F38" s="43">
        <f t="shared" si="5"/>
        <v>37.002500000000005</v>
      </c>
      <c r="G38" s="5" t="s">
        <v>32</v>
      </c>
      <c r="H38" s="43">
        <f t="shared" si="0"/>
        <v>634.62250000000017</v>
      </c>
      <c r="I38" s="43">
        <f t="shared" si="1"/>
        <v>20757.377499999999</v>
      </c>
      <c r="J38" s="80">
        <f t="shared" si="3"/>
        <v>142.25469592245989</v>
      </c>
      <c r="K38" s="289"/>
      <c r="L38" s="290"/>
    </row>
    <row r="39" spans="1:12" s="3" customFormat="1" ht="13.5" customHeight="1">
      <c r="A39" s="114">
        <v>16</v>
      </c>
      <c r="B39" s="85">
        <v>2</v>
      </c>
      <c r="C39" s="4" t="s">
        <v>35</v>
      </c>
      <c r="D39" s="42">
        <f t="shared" si="6"/>
        <v>245</v>
      </c>
      <c r="E39" s="43">
        <v>37.49</v>
      </c>
      <c r="F39" s="43">
        <f t="shared" ref="F39:F69" si="7">E39-($D$10/12)</f>
        <v>37.152500000000003</v>
      </c>
      <c r="G39" s="5" t="s">
        <v>32</v>
      </c>
      <c r="H39" s="43">
        <f t="shared" si="0"/>
        <v>671.7750000000002</v>
      </c>
      <c r="I39" s="43">
        <f t="shared" ref="I39:I84" si="8">IF(H39="","",$K$7-H39)</f>
        <v>20720.224999999999</v>
      </c>
      <c r="J39" s="80">
        <f t="shared" ref="J39:J72" si="9">$G$7+(H39*$D$8*$G$9/1000)</f>
        <v>143.147746657754</v>
      </c>
      <c r="K39" s="289"/>
      <c r="L39" s="290"/>
    </row>
    <row r="40" spans="1:12" s="3" customFormat="1" ht="13.5" customHeight="1">
      <c r="A40" s="114">
        <v>17</v>
      </c>
      <c r="B40" s="4">
        <v>2</v>
      </c>
      <c r="C40" s="4" t="s">
        <v>35</v>
      </c>
      <c r="D40" s="42">
        <f t="shared" si="6"/>
        <v>244</v>
      </c>
      <c r="E40" s="43">
        <v>36.630000000000003</v>
      </c>
      <c r="F40" s="43">
        <f t="shared" si="7"/>
        <v>36.292500000000004</v>
      </c>
      <c r="G40" s="5" t="s">
        <v>32</v>
      </c>
      <c r="H40" s="43">
        <f t="shared" si="0"/>
        <v>708.06750000000022</v>
      </c>
      <c r="I40" s="43">
        <f t="shared" si="8"/>
        <v>20683.932499999999</v>
      </c>
      <c r="J40" s="80">
        <f t="shared" si="9"/>
        <v>144.02012520053478</v>
      </c>
      <c r="K40" s="289"/>
      <c r="L40" s="290"/>
    </row>
    <row r="41" spans="1:12" s="3" customFormat="1" ht="13.5" customHeight="1">
      <c r="A41" s="114">
        <v>18</v>
      </c>
      <c r="B41" s="4">
        <v>2</v>
      </c>
      <c r="C41" s="4" t="s">
        <v>35</v>
      </c>
      <c r="D41" s="42">
        <f t="shared" si="6"/>
        <v>243</v>
      </c>
      <c r="E41" s="43">
        <v>36.590000000000003</v>
      </c>
      <c r="F41" s="43">
        <f t="shared" si="7"/>
        <v>36.252500000000005</v>
      </c>
      <c r="G41" s="5" t="s">
        <v>32</v>
      </c>
      <c r="H41" s="43">
        <f t="shared" si="0"/>
        <v>744.32000000000028</v>
      </c>
      <c r="I41" s="43">
        <f t="shared" si="8"/>
        <v>20647.68</v>
      </c>
      <c r="J41" s="80">
        <f t="shared" si="9"/>
        <v>144.89154224598931</v>
      </c>
      <c r="K41" s="289"/>
      <c r="L41" s="290"/>
    </row>
    <row r="42" spans="1:12" s="3" customFormat="1" ht="13.5" customHeight="1">
      <c r="A42" s="114">
        <v>19</v>
      </c>
      <c r="B42" s="4">
        <v>2</v>
      </c>
      <c r="C42" s="4" t="s">
        <v>35</v>
      </c>
      <c r="D42" s="42">
        <f t="shared" si="6"/>
        <v>242</v>
      </c>
      <c r="E42" s="43">
        <v>37.24</v>
      </c>
      <c r="F42" s="43">
        <f t="shared" si="7"/>
        <v>36.902500000000003</v>
      </c>
      <c r="G42" s="5" t="s">
        <v>32</v>
      </c>
      <c r="H42" s="43">
        <f t="shared" si="0"/>
        <v>781.22250000000031</v>
      </c>
      <c r="I42" s="43">
        <f t="shared" si="8"/>
        <v>20610.7775</v>
      </c>
      <c r="J42" s="80">
        <f t="shared" si="9"/>
        <v>145.77858362299466</v>
      </c>
      <c r="K42" s="289"/>
      <c r="L42" s="290"/>
    </row>
    <row r="43" spans="1:12" s="3" customFormat="1" ht="13.5" customHeight="1">
      <c r="A43" s="114">
        <v>20</v>
      </c>
      <c r="B43" s="4">
        <v>2</v>
      </c>
      <c r="C43" s="4" t="s">
        <v>35</v>
      </c>
      <c r="D43" s="42">
        <f t="shared" si="6"/>
        <v>241</v>
      </c>
      <c r="E43" s="43">
        <v>37.11</v>
      </c>
      <c r="F43" s="43">
        <f t="shared" si="7"/>
        <v>36.772500000000001</v>
      </c>
      <c r="G43" s="5" t="s">
        <v>32</v>
      </c>
      <c r="H43" s="43">
        <f t="shared" si="0"/>
        <v>817.99500000000035</v>
      </c>
      <c r="I43" s="43">
        <f t="shared" si="8"/>
        <v>20574.005000000001</v>
      </c>
      <c r="J43" s="80">
        <f t="shared" si="9"/>
        <v>146.66250013368986</v>
      </c>
      <c r="K43" s="289"/>
      <c r="L43" s="290"/>
    </row>
    <row r="44" spans="1:12" s="3" customFormat="1" ht="13.5" customHeight="1">
      <c r="A44" s="114">
        <v>21</v>
      </c>
      <c r="B44" s="4">
        <v>2</v>
      </c>
      <c r="C44" s="4" t="s">
        <v>35</v>
      </c>
      <c r="D44" s="42">
        <f t="shared" si="6"/>
        <v>240</v>
      </c>
      <c r="E44" s="43">
        <v>36.770000000000003</v>
      </c>
      <c r="F44" s="43">
        <f t="shared" si="7"/>
        <v>36.432500000000005</v>
      </c>
      <c r="G44" s="5" t="s">
        <v>32</v>
      </c>
      <c r="H44" s="43">
        <f t="shared" si="0"/>
        <v>854.42750000000035</v>
      </c>
      <c r="I44" s="43">
        <f t="shared" si="8"/>
        <v>20537.572499999998</v>
      </c>
      <c r="J44" s="80">
        <f t="shared" si="9"/>
        <v>147.53824391711231</v>
      </c>
      <c r="K44" s="289"/>
      <c r="L44" s="290"/>
    </row>
    <row r="45" spans="1:12" s="3" customFormat="1" ht="13.5" customHeight="1">
      <c r="A45" s="114">
        <v>22</v>
      </c>
      <c r="B45" s="4">
        <v>2</v>
      </c>
      <c r="C45" s="4" t="s">
        <v>35</v>
      </c>
      <c r="D45" s="42">
        <f t="shared" si="6"/>
        <v>239</v>
      </c>
      <c r="E45" s="43">
        <v>36.65</v>
      </c>
      <c r="F45" s="43">
        <f t="shared" si="7"/>
        <v>36.3125</v>
      </c>
      <c r="G45" s="5" t="s">
        <v>32</v>
      </c>
      <c r="H45" s="43">
        <f t="shared" si="0"/>
        <v>890.74000000000035</v>
      </c>
      <c r="I45" s="43">
        <f t="shared" si="8"/>
        <v>20501.259999999998</v>
      </c>
      <c r="J45" s="80">
        <f t="shared" si="9"/>
        <v>148.41110320855614</v>
      </c>
      <c r="K45" s="289"/>
      <c r="L45" s="290"/>
    </row>
    <row r="46" spans="1:12" s="3" customFormat="1" ht="13.5" customHeight="1">
      <c r="A46" s="114">
        <v>23</v>
      </c>
      <c r="B46" s="4">
        <v>2</v>
      </c>
      <c r="C46" s="4" t="s">
        <v>35</v>
      </c>
      <c r="D46" s="42">
        <f t="shared" si="6"/>
        <v>238</v>
      </c>
      <c r="E46" s="43">
        <v>36.46</v>
      </c>
      <c r="F46" s="43">
        <f t="shared" si="7"/>
        <v>36.122500000000002</v>
      </c>
      <c r="G46" s="5" t="s">
        <v>32</v>
      </c>
      <c r="H46" s="43">
        <f t="shared" si="0"/>
        <v>926.86250000000041</v>
      </c>
      <c r="I46" s="43">
        <f t="shared" si="8"/>
        <v>20465.137500000001</v>
      </c>
      <c r="J46" s="80">
        <f t="shared" si="9"/>
        <v>149.27939538770053</v>
      </c>
      <c r="K46" s="289"/>
      <c r="L46" s="290"/>
    </row>
    <row r="47" spans="1:12" s="3" customFormat="1" ht="13.5" customHeight="1">
      <c r="A47" s="114">
        <v>24</v>
      </c>
      <c r="B47" s="4">
        <v>2</v>
      </c>
      <c r="C47" s="4" t="s">
        <v>35</v>
      </c>
      <c r="D47" s="42">
        <f t="shared" si="6"/>
        <v>237</v>
      </c>
      <c r="E47" s="43">
        <v>36.31</v>
      </c>
      <c r="F47" s="43">
        <f t="shared" si="7"/>
        <v>35.972500000000004</v>
      </c>
      <c r="G47" s="7" t="s">
        <v>32</v>
      </c>
      <c r="H47" s="43">
        <f t="shared" si="0"/>
        <v>962.83500000000038</v>
      </c>
      <c r="I47" s="43">
        <f t="shared" si="8"/>
        <v>20429.165000000001</v>
      </c>
      <c r="J47" s="80">
        <f t="shared" si="9"/>
        <v>150.14408195187167</v>
      </c>
      <c r="K47" s="289"/>
      <c r="L47" s="290"/>
    </row>
    <row r="48" spans="1:12" s="3" customFormat="1" ht="13.5" customHeight="1" thickBot="1">
      <c r="A48" s="114">
        <v>25</v>
      </c>
      <c r="B48" s="4">
        <v>2</v>
      </c>
      <c r="C48" s="4" t="s">
        <v>35</v>
      </c>
      <c r="D48" s="42">
        <f t="shared" si="6"/>
        <v>236</v>
      </c>
      <c r="E48" s="43">
        <v>37.229999999999997</v>
      </c>
      <c r="F48" s="43">
        <f t="shared" si="7"/>
        <v>36.892499999999998</v>
      </c>
      <c r="G48" s="7" t="s">
        <v>32</v>
      </c>
      <c r="H48" s="43">
        <f t="shared" si="0"/>
        <v>999.72750000000042</v>
      </c>
      <c r="I48" s="43">
        <f t="shared" si="8"/>
        <v>20392.272499999999</v>
      </c>
      <c r="J48" s="80">
        <f t="shared" si="9"/>
        <v>151.03088295454546</v>
      </c>
      <c r="K48" s="289"/>
      <c r="L48" s="290"/>
    </row>
    <row r="49" spans="1:12" s="3" customFormat="1" ht="13.5" customHeight="1" thickBot="1">
      <c r="A49" s="266" t="s">
        <v>214</v>
      </c>
      <c r="B49" s="178">
        <v>1</v>
      </c>
      <c r="C49" s="305" t="s">
        <v>155</v>
      </c>
      <c r="D49" s="306"/>
      <c r="E49" s="179">
        <v>10.09</v>
      </c>
      <c r="F49" s="107">
        <f>E49-($D$10/12)</f>
        <v>9.7524999999999995</v>
      </c>
      <c r="G49" s="5" t="s">
        <v>32</v>
      </c>
      <c r="H49" s="43">
        <f t="shared" si="0"/>
        <v>1009.4800000000005</v>
      </c>
      <c r="I49" s="43">
        <f>IF(H49="","",$K$7-H49)</f>
        <v>20382.52</v>
      </c>
      <c r="J49" s="80">
        <f>$G$7+(H49*$D$8*$G$9/1000)</f>
        <v>151.26530802139038</v>
      </c>
      <c r="K49" s="424"/>
      <c r="L49" s="425"/>
    </row>
    <row r="50" spans="1:12" s="3" customFormat="1" ht="13.5" customHeight="1" thickBot="1">
      <c r="A50" s="114">
        <v>26</v>
      </c>
      <c r="B50" s="4">
        <v>2</v>
      </c>
      <c r="C50" s="115" t="s">
        <v>35</v>
      </c>
      <c r="D50" s="267">
        <f>D48-1</f>
        <v>235</v>
      </c>
      <c r="E50" s="43">
        <v>36.840000000000003</v>
      </c>
      <c r="F50" s="43">
        <f t="shared" si="7"/>
        <v>36.502500000000005</v>
      </c>
      <c r="G50" s="7" t="s">
        <v>32</v>
      </c>
      <c r="H50" s="43">
        <f t="shared" si="0"/>
        <v>1045.9825000000005</v>
      </c>
      <c r="I50" s="117">
        <f t="shared" si="8"/>
        <v>20346.017499999998</v>
      </c>
      <c r="J50" s="80">
        <f t="shared" si="9"/>
        <v>152.14273442513371</v>
      </c>
      <c r="K50" s="294" t="s">
        <v>298</v>
      </c>
      <c r="L50" s="295"/>
    </row>
    <row r="51" spans="1:12" s="3" customFormat="1" ht="13.5" customHeight="1">
      <c r="A51" s="114">
        <v>27</v>
      </c>
      <c r="B51" s="4">
        <v>2</v>
      </c>
      <c r="C51" s="93" t="s">
        <v>35</v>
      </c>
      <c r="D51" s="42">
        <f t="shared" si="6"/>
        <v>234</v>
      </c>
      <c r="E51" s="43">
        <v>36.36</v>
      </c>
      <c r="F51" s="43">
        <f t="shared" si="7"/>
        <v>36.022500000000001</v>
      </c>
      <c r="G51" s="5" t="s">
        <v>32</v>
      </c>
      <c r="H51" s="43">
        <f t="shared" si="0"/>
        <v>1082.0050000000006</v>
      </c>
      <c r="I51" s="43">
        <f t="shared" si="8"/>
        <v>20309.994999999999</v>
      </c>
      <c r="J51" s="80">
        <f t="shared" si="9"/>
        <v>153.00862286096259</v>
      </c>
      <c r="K51" s="296" t="s">
        <v>297</v>
      </c>
      <c r="L51" s="297"/>
    </row>
    <row r="52" spans="1:12" s="3" customFormat="1" ht="13.5" customHeight="1" thickBot="1">
      <c r="A52" s="114">
        <v>28</v>
      </c>
      <c r="B52" s="4">
        <v>2</v>
      </c>
      <c r="C52" s="4" t="s">
        <v>35</v>
      </c>
      <c r="D52" s="42">
        <f>D51-1</f>
        <v>233</v>
      </c>
      <c r="E52" s="43">
        <v>35.97</v>
      </c>
      <c r="F52" s="43">
        <f t="shared" si="7"/>
        <v>35.6325</v>
      </c>
      <c r="G52" s="5" t="s">
        <v>32</v>
      </c>
      <c r="H52" s="43">
        <f t="shared" si="0"/>
        <v>1117.6375000000005</v>
      </c>
      <c r="I52" s="43">
        <f t="shared" si="8"/>
        <v>20274.362499999999</v>
      </c>
      <c r="J52" s="80">
        <f t="shared" si="9"/>
        <v>153.86513669786098</v>
      </c>
      <c r="K52" s="298"/>
      <c r="L52" s="299"/>
    </row>
    <row r="53" spans="1:12" s="3" customFormat="1" ht="12.6" customHeight="1">
      <c r="A53" s="114">
        <v>29</v>
      </c>
      <c r="B53" s="4">
        <v>2</v>
      </c>
      <c r="C53" s="4" t="s">
        <v>35</v>
      </c>
      <c r="D53" s="42">
        <f t="shared" si="6"/>
        <v>232</v>
      </c>
      <c r="E53" s="43">
        <v>36.19</v>
      </c>
      <c r="F53" s="43">
        <f t="shared" si="7"/>
        <v>35.852499999999999</v>
      </c>
      <c r="G53" s="5" t="s">
        <v>32</v>
      </c>
      <c r="H53" s="43">
        <f t="shared" si="0"/>
        <v>1153.4900000000005</v>
      </c>
      <c r="I53" s="43">
        <f t="shared" si="8"/>
        <v>20238.509999999998</v>
      </c>
      <c r="J53" s="80">
        <f t="shared" si="9"/>
        <v>154.72693877005349</v>
      </c>
      <c r="K53" s="289"/>
      <c r="L53" s="290"/>
    </row>
    <row r="54" spans="1:12" s="3" customFormat="1" ht="13.5" customHeight="1">
      <c r="A54" s="114">
        <v>30</v>
      </c>
      <c r="B54" s="4">
        <v>2</v>
      </c>
      <c r="C54" s="4" t="s">
        <v>35</v>
      </c>
      <c r="D54" s="42">
        <f t="shared" si="6"/>
        <v>231</v>
      </c>
      <c r="E54" s="43">
        <v>36.909999999999997</v>
      </c>
      <c r="F54" s="43">
        <f t="shared" si="7"/>
        <v>36.572499999999998</v>
      </c>
      <c r="G54" s="5" t="s">
        <v>32</v>
      </c>
      <c r="H54" s="43">
        <f t="shared" si="0"/>
        <v>1190.0625000000005</v>
      </c>
      <c r="I54" s="43">
        <f t="shared" si="8"/>
        <v>20201.9375</v>
      </c>
      <c r="J54" s="80">
        <f t="shared" si="9"/>
        <v>155.60604779411767</v>
      </c>
      <c r="K54" s="289"/>
      <c r="L54" s="290"/>
    </row>
    <row r="55" spans="1:12" s="3" customFormat="1" ht="13.5" customHeight="1">
      <c r="A55" s="114">
        <v>31</v>
      </c>
      <c r="B55" s="4">
        <v>2</v>
      </c>
      <c r="C55" s="4" t="s">
        <v>35</v>
      </c>
      <c r="D55" s="42">
        <f t="shared" si="6"/>
        <v>230</v>
      </c>
      <c r="E55" s="43">
        <v>37.03</v>
      </c>
      <c r="F55" s="43">
        <f t="shared" si="7"/>
        <v>36.692500000000003</v>
      </c>
      <c r="G55" s="5" t="s">
        <v>32</v>
      </c>
      <c r="H55" s="43">
        <f t="shared" si="0"/>
        <v>1226.7550000000006</v>
      </c>
      <c r="I55" s="43">
        <f t="shared" si="8"/>
        <v>20165.244999999999</v>
      </c>
      <c r="J55" s="80">
        <f t="shared" si="9"/>
        <v>156.48804131016044</v>
      </c>
      <c r="K55" s="289"/>
      <c r="L55" s="290"/>
    </row>
    <row r="56" spans="1:12" s="3" customFormat="1" ht="13.5" customHeight="1">
      <c r="A56" s="114">
        <v>32</v>
      </c>
      <c r="B56" s="4">
        <v>2</v>
      </c>
      <c r="C56" s="4" t="s">
        <v>35</v>
      </c>
      <c r="D56" s="42">
        <f t="shared" si="6"/>
        <v>229</v>
      </c>
      <c r="E56" s="43">
        <v>36.880000000000003</v>
      </c>
      <c r="F56" s="43">
        <f t="shared" si="7"/>
        <v>36.542500000000004</v>
      </c>
      <c r="G56" s="5" t="s">
        <v>32</v>
      </c>
      <c r="H56" s="43">
        <f t="shared" si="0"/>
        <v>1263.2975000000006</v>
      </c>
      <c r="I56" s="43">
        <f t="shared" si="8"/>
        <v>20128.702499999999</v>
      </c>
      <c r="J56" s="80">
        <f t="shared" si="9"/>
        <v>157.36642921122996</v>
      </c>
      <c r="K56" s="289"/>
      <c r="L56" s="290"/>
    </row>
    <row r="57" spans="1:12" s="3" customFormat="1" ht="13.5" customHeight="1">
      <c r="A57" s="114">
        <v>33</v>
      </c>
      <c r="B57" s="85">
        <v>2</v>
      </c>
      <c r="C57" s="4" t="s">
        <v>35</v>
      </c>
      <c r="D57" s="42">
        <f t="shared" si="6"/>
        <v>228</v>
      </c>
      <c r="E57" s="43">
        <v>36.46</v>
      </c>
      <c r="F57" s="43">
        <f t="shared" si="7"/>
        <v>36.122500000000002</v>
      </c>
      <c r="G57" s="5" t="s">
        <v>32</v>
      </c>
      <c r="H57" s="43">
        <f t="shared" si="0"/>
        <v>1299.4200000000005</v>
      </c>
      <c r="I57" s="43">
        <f t="shared" si="8"/>
        <v>20092.579999999998</v>
      </c>
      <c r="J57" s="80">
        <f t="shared" si="9"/>
        <v>158.23472139037435</v>
      </c>
      <c r="K57" s="289"/>
      <c r="L57" s="290"/>
    </row>
    <row r="58" spans="1:12" s="3" customFormat="1" ht="13.5" customHeight="1" thickBot="1">
      <c r="A58" s="114">
        <v>34</v>
      </c>
      <c r="B58" s="85">
        <v>2</v>
      </c>
      <c r="C58" s="93" t="s">
        <v>35</v>
      </c>
      <c r="D58" s="42">
        <f t="shared" si="6"/>
        <v>227</v>
      </c>
      <c r="E58" s="43">
        <v>36.82</v>
      </c>
      <c r="F58" s="43">
        <f t="shared" si="7"/>
        <v>36.482500000000002</v>
      </c>
      <c r="G58" s="5" t="s">
        <v>32</v>
      </c>
      <c r="H58" s="43">
        <f t="shared" si="0"/>
        <v>1335.9025000000006</v>
      </c>
      <c r="I58" s="43">
        <f t="shared" si="8"/>
        <v>20056.0975</v>
      </c>
      <c r="J58" s="80">
        <f t="shared" si="9"/>
        <v>159.11166704545457</v>
      </c>
      <c r="K58" s="289"/>
      <c r="L58" s="290"/>
    </row>
    <row r="59" spans="1:12" s="3" customFormat="1" ht="12.6" customHeight="1" thickBot="1">
      <c r="A59" s="114">
        <v>35</v>
      </c>
      <c r="B59" s="85">
        <v>2</v>
      </c>
      <c r="C59" s="4" t="s">
        <v>35</v>
      </c>
      <c r="D59" s="42">
        <f t="shared" si="6"/>
        <v>226</v>
      </c>
      <c r="E59" s="43">
        <v>37.26</v>
      </c>
      <c r="F59" s="43">
        <f t="shared" si="7"/>
        <v>36.922499999999999</v>
      </c>
      <c r="G59" s="5" t="s">
        <v>32</v>
      </c>
      <c r="H59" s="43">
        <f t="shared" si="0"/>
        <v>1372.8250000000005</v>
      </c>
      <c r="I59" s="43">
        <f t="shared" si="8"/>
        <v>20019.174999999999</v>
      </c>
      <c r="J59" s="80">
        <f t="shared" si="9"/>
        <v>159.99918917112302</v>
      </c>
      <c r="K59" s="469" t="s">
        <v>284</v>
      </c>
      <c r="L59" s="470"/>
    </row>
    <row r="60" spans="1:12" s="3" customFormat="1" ht="13.5" customHeight="1">
      <c r="A60" s="114">
        <v>36</v>
      </c>
      <c r="B60" s="85">
        <v>2</v>
      </c>
      <c r="C60" s="4" t="s">
        <v>35</v>
      </c>
      <c r="D60" s="42">
        <f t="shared" si="6"/>
        <v>225</v>
      </c>
      <c r="E60" s="43">
        <v>36.57</v>
      </c>
      <c r="F60" s="43">
        <f t="shared" si="7"/>
        <v>36.232500000000002</v>
      </c>
      <c r="G60" s="5" t="s">
        <v>32</v>
      </c>
      <c r="H60" s="43">
        <f t="shared" si="0"/>
        <v>1409.0575000000006</v>
      </c>
      <c r="I60" s="43">
        <f t="shared" si="8"/>
        <v>19982.942500000001</v>
      </c>
      <c r="J60" s="80">
        <f t="shared" si="9"/>
        <v>160.87012546791445</v>
      </c>
      <c r="K60" s="289"/>
      <c r="L60" s="290"/>
    </row>
    <row r="61" spans="1:12" s="3" customFormat="1" ht="13.5" customHeight="1">
      <c r="A61" s="114">
        <v>37</v>
      </c>
      <c r="B61" s="85">
        <v>2</v>
      </c>
      <c r="C61" s="4" t="s">
        <v>35</v>
      </c>
      <c r="D61" s="42">
        <f t="shared" si="6"/>
        <v>224</v>
      </c>
      <c r="E61" s="43">
        <v>36.619999999999997</v>
      </c>
      <c r="F61" s="43">
        <f t="shared" si="7"/>
        <v>36.282499999999999</v>
      </c>
      <c r="G61" s="5" t="s">
        <v>32</v>
      </c>
      <c r="H61" s="43">
        <f t="shared" si="0"/>
        <v>1445.3400000000006</v>
      </c>
      <c r="I61" s="43">
        <f t="shared" si="8"/>
        <v>19946.66</v>
      </c>
      <c r="J61" s="80">
        <f t="shared" si="9"/>
        <v>161.74226363636365</v>
      </c>
      <c r="K61" s="289"/>
      <c r="L61" s="290"/>
    </row>
    <row r="62" spans="1:12" s="3" customFormat="1" ht="13.5" customHeight="1">
      <c r="A62" s="114">
        <v>38</v>
      </c>
      <c r="B62" s="85">
        <v>2</v>
      </c>
      <c r="C62" s="4" t="s">
        <v>35</v>
      </c>
      <c r="D62" s="42">
        <f t="shared" si="6"/>
        <v>223</v>
      </c>
      <c r="E62" s="43">
        <v>36.85</v>
      </c>
      <c r="F62" s="43">
        <f t="shared" si="7"/>
        <v>36.512500000000003</v>
      </c>
      <c r="G62" s="5" t="s">
        <v>32</v>
      </c>
      <c r="H62" s="43">
        <f t="shared" si="0"/>
        <v>1481.8525000000006</v>
      </c>
      <c r="I62" s="43">
        <f t="shared" si="8"/>
        <v>19910.147499999999</v>
      </c>
      <c r="J62" s="80">
        <f t="shared" si="9"/>
        <v>162.6199304144385</v>
      </c>
      <c r="K62" s="289"/>
      <c r="L62" s="290"/>
    </row>
    <row r="63" spans="1:12" s="3" customFormat="1" ht="13.5" customHeight="1">
      <c r="A63" s="114">
        <v>39</v>
      </c>
      <c r="B63" s="85">
        <v>2</v>
      </c>
      <c r="C63" s="4" t="s">
        <v>35</v>
      </c>
      <c r="D63" s="42">
        <f t="shared" si="6"/>
        <v>222</v>
      </c>
      <c r="E63" s="43">
        <v>37.36</v>
      </c>
      <c r="F63" s="43">
        <f t="shared" si="7"/>
        <v>37.022500000000001</v>
      </c>
      <c r="G63" s="5" t="s">
        <v>32</v>
      </c>
      <c r="H63" s="43">
        <f t="shared" si="0"/>
        <v>1518.8750000000007</v>
      </c>
      <c r="I63" s="43">
        <f t="shared" si="8"/>
        <v>19873.125</v>
      </c>
      <c r="J63" s="80">
        <f t="shared" si="9"/>
        <v>163.50985628342249</v>
      </c>
      <c r="K63" s="289"/>
      <c r="L63" s="290"/>
    </row>
    <row r="64" spans="1:12" s="3" customFormat="1" ht="13.5" customHeight="1">
      <c r="A64" s="114">
        <v>40</v>
      </c>
      <c r="B64" s="85">
        <v>2</v>
      </c>
      <c r="C64" s="4" t="s">
        <v>35</v>
      </c>
      <c r="D64" s="42">
        <f t="shared" si="6"/>
        <v>221</v>
      </c>
      <c r="E64" s="43">
        <v>36.58</v>
      </c>
      <c r="F64" s="43">
        <f t="shared" si="7"/>
        <v>36.2425</v>
      </c>
      <c r="G64" s="5" t="s">
        <v>32</v>
      </c>
      <c r="H64" s="43">
        <f t="shared" si="0"/>
        <v>1555.1175000000007</v>
      </c>
      <c r="I64" s="43">
        <f t="shared" si="8"/>
        <v>19836.8825</v>
      </c>
      <c r="J64" s="80">
        <f t="shared" si="9"/>
        <v>164.38103295454547</v>
      </c>
      <c r="K64" s="289"/>
      <c r="L64" s="290"/>
    </row>
    <row r="65" spans="1:14" s="3" customFormat="1" ht="13.5" customHeight="1">
      <c r="A65" s="114">
        <v>41</v>
      </c>
      <c r="B65" s="85">
        <v>2</v>
      </c>
      <c r="C65" s="85" t="s">
        <v>35</v>
      </c>
      <c r="D65" s="42">
        <f t="shared" si="6"/>
        <v>220</v>
      </c>
      <c r="E65" s="43">
        <v>37.01</v>
      </c>
      <c r="F65" s="43">
        <f t="shared" si="7"/>
        <v>36.672499999999999</v>
      </c>
      <c r="G65" s="94" t="s">
        <v>32</v>
      </c>
      <c r="H65" s="43">
        <f t="shared" si="0"/>
        <v>1591.7900000000006</v>
      </c>
      <c r="I65" s="43">
        <f t="shared" si="8"/>
        <v>19800.21</v>
      </c>
      <c r="J65" s="84">
        <f t="shared" si="9"/>
        <v>165.26254572192516</v>
      </c>
      <c r="K65" s="289"/>
      <c r="L65" s="290"/>
      <c r="M65" s="174"/>
    </row>
    <row r="66" spans="1:14" s="3" customFormat="1" ht="13.5" customHeight="1">
      <c r="A66" s="114">
        <v>42</v>
      </c>
      <c r="B66" s="4">
        <v>2</v>
      </c>
      <c r="C66" s="85" t="s">
        <v>35</v>
      </c>
      <c r="D66" s="42">
        <f t="shared" si="6"/>
        <v>219</v>
      </c>
      <c r="E66" s="43">
        <v>37.15</v>
      </c>
      <c r="F66" s="43">
        <f t="shared" si="7"/>
        <v>36.8125</v>
      </c>
      <c r="G66" s="94" t="s">
        <v>32</v>
      </c>
      <c r="H66" s="43">
        <f t="shared" si="0"/>
        <v>1628.6025000000006</v>
      </c>
      <c r="I66" s="43">
        <f t="shared" si="8"/>
        <v>19763.397499999999</v>
      </c>
      <c r="J66" s="80">
        <f t="shared" si="9"/>
        <v>166.14742372994652</v>
      </c>
      <c r="K66" s="289"/>
      <c r="L66" s="290"/>
    </row>
    <row r="67" spans="1:14" s="3" customFormat="1" ht="13.5" customHeight="1">
      <c r="A67" s="114">
        <v>43</v>
      </c>
      <c r="B67" s="4">
        <v>2</v>
      </c>
      <c r="C67" s="85" t="s">
        <v>35</v>
      </c>
      <c r="D67" s="42">
        <f t="shared" si="6"/>
        <v>218</v>
      </c>
      <c r="E67" s="43">
        <v>36.99</v>
      </c>
      <c r="F67" s="43">
        <f t="shared" si="7"/>
        <v>36.652500000000003</v>
      </c>
      <c r="G67" s="94" t="s">
        <v>32</v>
      </c>
      <c r="H67" s="43">
        <f t="shared" si="0"/>
        <v>1665.2550000000006</v>
      </c>
      <c r="I67" s="43">
        <f t="shared" si="8"/>
        <v>19726.744999999999</v>
      </c>
      <c r="J67" s="80">
        <f t="shared" si="9"/>
        <v>167.02845574866313</v>
      </c>
      <c r="K67" s="289"/>
      <c r="L67" s="290"/>
    </row>
    <row r="68" spans="1:14" s="3" customFormat="1" ht="13.5" customHeight="1">
      <c r="A68" s="114">
        <v>44</v>
      </c>
      <c r="B68" s="4">
        <v>2</v>
      </c>
      <c r="C68" s="93" t="s">
        <v>35</v>
      </c>
      <c r="D68" s="42">
        <f t="shared" si="6"/>
        <v>217</v>
      </c>
      <c r="E68" s="43">
        <v>36.119999999999997</v>
      </c>
      <c r="F68" s="43">
        <f t="shared" si="7"/>
        <v>35.782499999999999</v>
      </c>
      <c r="G68" s="5" t="s">
        <v>32</v>
      </c>
      <c r="H68" s="43">
        <f t="shared" si="0"/>
        <v>1701.0375000000006</v>
      </c>
      <c r="I68" s="43">
        <f t="shared" si="8"/>
        <v>19690.962499999998</v>
      </c>
      <c r="J68" s="84">
        <f t="shared" si="9"/>
        <v>167.88857520053477</v>
      </c>
      <c r="K68" s="289"/>
      <c r="L68" s="290"/>
    </row>
    <row r="69" spans="1:14" s="3" customFormat="1" ht="13.5" customHeight="1">
      <c r="A69" s="114">
        <v>45</v>
      </c>
      <c r="B69" s="4">
        <v>2</v>
      </c>
      <c r="C69" s="115" t="s">
        <v>35</v>
      </c>
      <c r="D69" s="42">
        <f t="shared" si="6"/>
        <v>216</v>
      </c>
      <c r="E69" s="43">
        <v>36.25</v>
      </c>
      <c r="F69" s="43">
        <f t="shared" si="7"/>
        <v>35.912500000000001</v>
      </c>
      <c r="G69" s="5" t="s">
        <v>32</v>
      </c>
      <c r="H69" s="43">
        <f t="shared" si="0"/>
        <v>1736.9500000000005</v>
      </c>
      <c r="I69" s="43">
        <f t="shared" si="8"/>
        <v>19655.05</v>
      </c>
      <c r="J69" s="80">
        <f t="shared" si="9"/>
        <v>168.75181951871659</v>
      </c>
      <c r="K69" s="289"/>
      <c r="L69" s="290"/>
    </row>
    <row r="70" spans="1:14" s="3" customFormat="1" ht="13.5" customHeight="1">
      <c r="A70" s="114">
        <v>46</v>
      </c>
      <c r="B70" s="4">
        <v>2</v>
      </c>
      <c r="C70" s="4" t="s">
        <v>35</v>
      </c>
      <c r="D70" s="42">
        <f t="shared" si="6"/>
        <v>215</v>
      </c>
      <c r="E70" s="43">
        <v>36.65</v>
      </c>
      <c r="F70" s="43">
        <f t="shared" ref="F70:F134" si="10">E70-($D$10/12)</f>
        <v>36.3125</v>
      </c>
      <c r="G70" s="43" t="s">
        <v>32</v>
      </c>
      <c r="H70" s="43">
        <f t="shared" si="0"/>
        <v>1773.2625000000005</v>
      </c>
      <c r="I70" s="43">
        <f t="shared" si="8"/>
        <v>19618.737499999999</v>
      </c>
      <c r="J70" s="80">
        <f t="shared" si="9"/>
        <v>169.62467881016045</v>
      </c>
      <c r="K70" s="289"/>
      <c r="L70" s="290"/>
    </row>
    <row r="71" spans="1:14" s="3" customFormat="1" ht="13.5" customHeight="1">
      <c r="A71" s="114">
        <v>47</v>
      </c>
      <c r="B71" s="4">
        <v>2</v>
      </c>
      <c r="C71" s="4" t="s">
        <v>35</v>
      </c>
      <c r="D71" s="42">
        <f t="shared" si="6"/>
        <v>214</v>
      </c>
      <c r="E71" s="43">
        <v>36.46</v>
      </c>
      <c r="F71" s="43">
        <f t="shared" si="10"/>
        <v>36.122500000000002</v>
      </c>
      <c r="G71" s="5" t="s">
        <v>32</v>
      </c>
      <c r="H71" s="43">
        <f t="shared" si="0"/>
        <v>1809.3850000000004</v>
      </c>
      <c r="I71" s="43">
        <f t="shared" si="8"/>
        <v>19582.614999999998</v>
      </c>
      <c r="J71" s="80">
        <f t="shared" si="9"/>
        <v>170.49297098930484</v>
      </c>
      <c r="K71" s="289"/>
      <c r="L71" s="290"/>
    </row>
    <row r="72" spans="1:14" s="3" customFormat="1" ht="13.5" customHeight="1">
      <c r="A72" s="114">
        <v>48</v>
      </c>
      <c r="B72" s="4">
        <v>2</v>
      </c>
      <c r="C72" s="93" t="s">
        <v>35</v>
      </c>
      <c r="D72" s="42">
        <f t="shared" si="6"/>
        <v>213</v>
      </c>
      <c r="E72" s="43">
        <v>36.93</v>
      </c>
      <c r="F72" s="43">
        <f t="shared" si="10"/>
        <v>36.592500000000001</v>
      </c>
      <c r="G72" s="5" t="s">
        <v>32</v>
      </c>
      <c r="H72" s="43">
        <f t="shared" si="0"/>
        <v>1845.9775000000004</v>
      </c>
      <c r="I72" s="43">
        <f t="shared" si="8"/>
        <v>19546.022499999999</v>
      </c>
      <c r="J72" s="80">
        <f t="shared" si="9"/>
        <v>171.37256076203209</v>
      </c>
      <c r="K72" s="289"/>
      <c r="L72" s="290"/>
    </row>
    <row r="73" spans="1:14" s="3" customFormat="1" ht="13.5" customHeight="1">
      <c r="A73" s="114">
        <v>49</v>
      </c>
      <c r="B73" s="4">
        <v>2</v>
      </c>
      <c r="C73" s="4" t="s">
        <v>35</v>
      </c>
      <c r="D73" s="42">
        <f t="shared" si="6"/>
        <v>212</v>
      </c>
      <c r="E73" s="43">
        <v>36.5</v>
      </c>
      <c r="F73" s="43">
        <f t="shared" si="10"/>
        <v>36.162500000000001</v>
      </c>
      <c r="G73" s="5" t="s">
        <v>32</v>
      </c>
      <c r="H73" s="43">
        <f t="shared" si="0"/>
        <v>1882.1400000000003</v>
      </c>
      <c r="I73" s="43">
        <f t="shared" si="8"/>
        <v>19509.86</v>
      </c>
      <c r="J73" s="80">
        <f t="shared" si="3"/>
        <v>172.24181443850267</v>
      </c>
      <c r="K73" s="289"/>
      <c r="L73" s="290"/>
    </row>
    <row r="74" spans="1:14" s="3" customFormat="1" ht="13.5" customHeight="1">
      <c r="A74" s="114">
        <v>50</v>
      </c>
      <c r="B74" s="4">
        <v>2</v>
      </c>
      <c r="C74" s="4" t="s">
        <v>35</v>
      </c>
      <c r="D74" s="42">
        <f t="shared" si="6"/>
        <v>211</v>
      </c>
      <c r="E74" s="43">
        <v>37.54</v>
      </c>
      <c r="F74" s="43">
        <f t="shared" si="10"/>
        <v>37.202500000000001</v>
      </c>
      <c r="G74" s="5" t="s">
        <v>32</v>
      </c>
      <c r="H74" s="43">
        <f t="shared" si="0"/>
        <v>1919.3425000000004</v>
      </c>
      <c r="I74" s="43">
        <f t="shared" si="8"/>
        <v>19472.657500000001</v>
      </c>
      <c r="J74" s="80">
        <f t="shared" si="3"/>
        <v>173.13606704545455</v>
      </c>
      <c r="K74" s="289"/>
      <c r="L74" s="290"/>
    </row>
    <row r="75" spans="1:14" s="6" customFormat="1" ht="13.5" customHeight="1">
      <c r="A75" s="114">
        <v>51</v>
      </c>
      <c r="B75" s="4">
        <v>2</v>
      </c>
      <c r="C75" s="4" t="s">
        <v>35</v>
      </c>
      <c r="D75" s="42">
        <f t="shared" ref="D75:D138" si="11">D74-1</f>
        <v>210</v>
      </c>
      <c r="E75" s="43">
        <v>36.69</v>
      </c>
      <c r="F75" s="43">
        <f t="shared" si="10"/>
        <v>36.352499999999999</v>
      </c>
      <c r="G75" s="5" t="s">
        <v>32</v>
      </c>
      <c r="H75" s="43">
        <f t="shared" si="0"/>
        <v>1955.6950000000004</v>
      </c>
      <c r="I75" s="43">
        <f t="shared" si="8"/>
        <v>19436.305</v>
      </c>
      <c r="J75" s="80">
        <f t="shared" si="3"/>
        <v>174.0098878342246</v>
      </c>
      <c r="K75" s="289"/>
      <c r="L75" s="290"/>
      <c r="M75" s="3"/>
      <c r="N75" s="3"/>
    </row>
    <row r="76" spans="1:14" s="3" customFormat="1" ht="13.5" customHeight="1">
      <c r="A76" s="114">
        <v>52</v>
      </c>
      <c r="B76" s="4">
        <v>2</v>
      </c>
      <c r="C76" s="4" t="s">
        <v>35</v>
      </c>
      <c r="D76" s="42">
        <f t="shared" si="11"/>
        <v>209</v>
      </c>
      <c r="E76" s="43">
        <v>36.47</v>
      </c>
      <c r="F76" s="43">
        <f t="shared" si="10"/>
        <v>36.1325</v>
      </c>
      <c r="G76" s="5" t="s">
        <v>32</v>
      </c>
      <c r="H76" s="43">
        <f t="shared" si="0"/>
        <v>1991.8275000000003</v>
      </c>
      <c r="I76" s="43">
        <f t="shared" si="8"/>
        <v>19400.172500000001</v>
      </c>
      <c r="J76" s="80">
        <f t="shared" si="3"/>
        <v>174.87842038770054</v>
      </c>
      <c r="K76" s="289"/>
      <c r="L76" s="290"/>
    </row>
    <row r="77" spans="1:14" s="3" customFormat="1" ht="13.5" customHeight="1">
      <c r="A77" s="114">
        <v>53</v>
      </c>
      <c r="B77" s="4">
        <v>2</v>
      </c>
      <c r="C77" s="4" t="s">
        <v>35</v>
      </c>
      <c r="D77" s="42">
        <f t="shared" si="11"/>
        <v>208</v>
      </c>
      <c r="E77" s="43">
        <v>36.49</v>
      </c>
      <c r="F77" s="43">
        <f t="shared" si="10"/>
        <v>36.152500000000003</v>
      </c>
      <c r="G77" s="5" t="s">
        <v>32</v>
      </c>
      <c r="H77" s="43">
        <f t="shared" si="0"/>
        <v>2027.9800000000002</v>
      </c>
      <c r="I77" s="43">
        <f t="shared" si="8"/>
        <v>19364.02</v>
      </c>
      <c r="J77" s="80">
        <f t="shared" si="3"/>
        <v>175.74743368983957</v>
      </c>
      <c r="K77" s="289"/>
      <c r="L77" s="290"/>
    </row>
    <row r="78" spans="1:14" s="3" customFormat="1" ht="13.5" customHeight="1">
      <c r="A78" s="114">
        <v>54</v>
      </c>
      <c r="B78" s="4">
        <v>2</v>
      </c>
      <c r="C78" s="4" t="s">
        <v>35</v>
      </c>
      <c r="D78" s="42">
        <f t="shared" si="11"/>
        <v>207</v>
      </c>
      <c r="E78" s="43">
        <v>36.67</v>
      </c>
      <c r="F78" s="43">
        <f t="shared" si="10"/>
        <v>36.332500000000003</v>
      </c>
      <c r="G78" s="5" t="s">
        <v>32</v>
      </c>
      <c r="H78" s="43">
        <f t="shared" si="0"/>
        <v>2064.3125000000005</v>
      </c>
      <c r="I78" s="43">
        <f t="shared" si="8"/>
        <v>19327.6875</v>
      </c>
      <c r="J78" s="80">
        <f t="shared" si="3"/>
        <v>176.62077372994654</v>
      </c>
      <c r="K78" s="289"/>
      <c r="L78" s="290"/>
    </row>
    <row r="79" spans="1:14" s="3" customFormat="1" ht="13.5" customHeight="1">
      <c r="A79" s="114">
        <v>55</v>
      </c>
      <c r="B79" s="4">
        <v>2</v>
      </c>
      <c r="C79" s="164" t="s">
        <v>35</v>
      </c>
      <c r="D79" s="42">
        <f t="shared" si="11"/>
        <v>206</v>
      </c>
      <c r="E79" s="43">
        <v>36.69</v>
      </c>
      <c r="F79" s="43">
        <f t="shared" si="10"/>
        <v>36.352499999999999</v>
      </c>
      <c r="G79" s="5" t="s">
        <v>32</v>
      </c>
      <c r="H79" s="43">
        <f t="shared" si="0"/>
        <v>2100.6650000000004</v>
      </c>
      <c r="I79" s="43">
        <f t="shared" si="8"/>
        <v>19291.334999999999</v>
      </c>
      <c r="J79" s="84">
        <f t="shared" si="3"/>
        <v>177.49459451871658</v>
      </c>
      <c r="K79" s="289"/>
      <c r="L79" s="290"/>
    </row>
    <row r="80" spans="1:14" s="3" customFormat="1" ht="13.5" customHeight="1">
      <c r="A80" s="114">
        <f>A79+1</f>
        <v>56</v>
      </c>
      <c r="B80" s="4">
        <v>2</v>
      </c>
      <c r="C80" s="115" t="s">
        <v>35</v>
      </c>
      <c r="D80" s="42">
        <f t="shared" si="11"/>
        <v>205</v>
      </c>
      <c r="E80" s="43">
        <v>36.56</v>
      </c>
      <c r="F80" s="43">
        <f t="shared" si="10"/>
        <v>36.222500000000004</v>
      </c>
      <c r="G80" s="7" t="s">
        <v>32</v>
      </c>
      <c r="H80" s="43">
        <f t="shared" ref="H80:H143" si="12">IF(G80="IN",H79+F80,H79)</f>
        <v>2136.8875000000003</v>
      </c>
      <c r="I80" s="43">
        <f t="shared" si="8"/>
        <v>19255.112499999999</v>
      </c>
      <c r="J80" s="84">
        <f t="shared" si="3"/>
        <v>178.36529044117648</v>
      </c>
      <c r="K80" s="289"/>
      <c r="L80" s="290"/>
      <c r="M80" s="174"/>
    </row>
    <row r="81" spans="1:12" s="3" customFormat="1" ht="13.5" customHeight="1">
      <c r="A81" s="61">
        <f>A80+1</f>
        <v>57</v>
      </c>
      <c r="B81" s="4">
        <v>2</v>
      </c>
      <c r="C81" s="4" t="s">
        <v>35</v>
      </c>
      <c r="D81" s="42">
        <f t="shared" si="11"/>
        <v>204</v>
      </c>
      <c r="E81" s="43">
        <v>36.549999999999997</v>
      </c>
      <c r="F81" s="43">
        <f t="shared" si="10"/>
        <v>36.212499999999999</v>
      </c>
      <c r="G81" s="5" t="s">
        <v>32</v>
      </c>
      <c r="H81" s="43">
        <f t="shared" si="12"/>
        <v>2173.1000000000004</v>
      </c>
      <c r="I81" s="43">
        <f t="shared" si="8"/>
        <v>19218.900000000001</v>
      </c>
      <c r="J81" s="80">
        <f t="shared" si="3"/>
        <v>179.23574598930483</v>
      </c>
      <c r="K81" s="289"/>
      <c r="L81" s="290"/>
    </row>
    <row r="82" spans="1:12" s="3" customFormat="1" ht="13.5" customHeight="1">
      <c r="A82" s="61">
        <f t="shared" ref="A82:A132" si="13">A81+1</f>
        <v>58</v>
      </c>
      <c r="B82" s="4">
        <v>2</v>
      </c>
      <c r="C82" s="4" t="s">
        <v>35</v>
      </c>
      <c r="D82" s="42">
        <f t="shared" si="11"/>
        <v>203</v>
      </c>
      <c r="E82" s="43">
        <v>36.44</v>
      </c>
      <c r="F82" s="43">
        <f t="shared" si="10"/>
        <v>36.102499999999999</v>
      </c>
      <c r="G82" s="5" t="s">
        <v>32</v>
      </c>
      <c r="H82" s="43">
        <f t="shared" si="12"/>
        <v>2209.2025000000003</v>
      </c>
      <c r="I82" s="43">
        <f t="shared" si="8"/>
        <v>19182.797500000001</v>
      </c>
      <c r="J82" s="80">
        <f t="shared" si="3"/>
        <v>180.10355741978611</v>
      </c>
      <c r="K82" s="289"/>
      <c r="L82" s="290"/>
    </row>
    <row r="83" spans="1:12" s="3" customFormat="1" ht="13.5" customHeight="1">
      <c r="A83" s="61">
        <f t="shared" si="13"/>
        <v>59</v>
      </c>
      <c r="B83" s="4">
        <v>2</v>
      </c>
      <c r="C83" s="4" t="s">
        <v>35</v>
      </c>
      <c r="D83" s="42">
        <f t="shared" si="11"/>
        <v>202</v>
      </c>
      <c r="E83" s="43">
        <v>36.549999999999997</v>
      </c>
      <c r="F83" s="43">
        <f t="shared" si="10"/>
        <v>36.212499999999999</v>
      </c>
      <c r="G83" s="5" t="s">
        <v>32</v>
      </c>
      <c r="H83" s="43">
        <f t="shared" si="12"/>
        <v>2245.4150000000004</v>
      </c>
      <c r="I83" s="43">
        <f t="shared" si="8"/>
        <v>19146.584999999999</v>
      </c>
      <c r="J83" s="80">
        <f t="shared" si="3"/>
        <v>180.97401296791446</v>
      </c>
      <c r="K83" s="289"/>
      <c r="L83" s="290"/>
    </row>
    <row r="84" spans="1:12" s="3" customFormat="1" ht="13.5" customHeight="1">
      <c r="A84" s="61">
        <f t="shared" si="13"/>
        <v>60</v>
      </c>
      <c r="B84" s="4">
        <v>2</v>
      </c>
      <c r="C84" s="4" t="s">
        <v>35</v>
      </c>
      <c r="D84" s="42">
        <f t="shared" si="11"/>
        <v>201</v>
      </c>
      <c r="E84" s="43">
        <v>36.409999999999997</v>
      </c>
      <c r="F84" s="43">
        <f t="shared" si="10"/>
        <v>36.072499999999998</v>
      </c>
      <c r="G84" s="5" t="s">
        <v>32</v>
      </c>
      <c r="H84" s="43">
        <f t="shared" si="12"/>
        <v>2281.4875000000006</v>
      </c>
      <c r="I84" s="43">
        <f t="shared" si="8"/>
        <v>19110.512500000001</v>
      </c>
      <c r="J84" s="80">
        <f t="shared" si="3"/>
        <v>181.84110327540108</v>
      </c>
      <c r="K84" s="289"/>
      <c r="L84" s="290"/>
    </row>
    <row r="85" spans="1:12" s="3" customFormat="1" ht="13.5" customHeight="1">
      <c r="A85" s="61">
        <f t="shared" si="13"/>
        <v>61</v>
      </c>
      <c r="B85" s="4">
        <v>2</v>
      </c>
      <c r="C85" s="4" t="s">
        <v>35</v>
      </c>
      <c r="D85" s="42">
        <f t="shared" si="11"/>
        <v>200</v>
      </c>
      <c r="E85" s="43">
        <v>36.72</v>
      </c>
      <c r="F85" s="43">
        <f t="shared" si="10"/>
        <v>36.3825</v>
      </c>
      <c r="G85" s="5" t="s">
        <v>32</v>
      </c>
      <c r="H85" s="43">
        <f t="shared" si="12"/>
        <v>2317.8700000000008</v>
      </c>
      <c r="I85" s="43">
        <f t="shared" si="1"/>
        <v>19074.129999999997</v>
      </c>
      <c r="J85" s="80">
        <f t="shared" si="3"/>
        <v>182.71564518716579</v>
      </c>
      <c r="K85" s="289"/>
      <c r="L85" s="290"/>
    </row>
    <row r="86" spans="1:12" s="3" customFormat="1" ht="13.5" customHeight="1">
      <c r="A86" s="61">
        <f t="shared" si="13"/>
        <v>62</v>
      </c>
      <c r="B86" s="4">
        <v>2</v>
      </c>
      <c r="C86" s="4" t="s">
        <v>35</v>
      </c>
      <c r="D86" s="42">
        <f t="shared" si="11"/>
        <v>199</v>
      </c>
      <c r="E86" s="43">
        <v>36.869999999999997</v>
      </c>
      <c r="F86" s="43">
        <f t="shared" si="10"/>
        <v>36.532499999999999</v>
      </c>
      <c r="G86" s="5" t="s">
        <v>32</v>
      </c>
      <c r="H86" s="43">
        <f t="shared" si="12"/>
        <v>2354.4025000000006</v>
      </c>
      <c r="I86" s="43">
        <f t="shared" si="1"/>
        <v>19037.5975</v>
      </c>
      <c r="J86" s="80">
        <f t="shared" si="3"/>
        <v>183.59379271390375</v>
      </c>
      <c r="K86" s="289"/>
      <c r="L86" s="290"/>
    </row>
    <row r="87" spans="1:12" s="3" customFormat="1" ht="13.5" customHeight="1">
      <c r="A87" s="61">
        <f t="shared" si="13"/>
        <v>63</v>
      </c>
      <c r="B87" s="4">
        <v>2</v>
      </c>
      <c r="C87" s="4" t="s">
        <v>35</v>
      </c>
      <c r="D87" s="42">
        <f t="shared" si="11"/>
        <v>198</v>
      </c>
      <c r="E87" s="43">
        <v>36.74</v>
      </c>
      <c r="F87" s="43">
        <f t="shared" si="10"/>
        <v>36.402500000000003</v>
      </c>
      <c r="G87" s="7" t="s">
        <v>32</v>
      </c>
      <c r="H87" s="43">
        <f t="shared" si="12"/>
        <v>2390.8050000000007</v>
      </c>
      <c r="I87" s="43">
        <f t="shared" si="1"/>
        <v>19001.195</v>
      </c>
      <c r="J87" s="80">
        <f t="shared" si="3"/>
        <v>184.46881537433157</v>
      </c>
      <c r="K87" s="289"/>
      <c r="L87" s="290"/>
    </row>
    <row r="88" spans="1:12" s="3" customFormat="1" ht="13.5" customHeight="1">
      <c r="A88" s="61">
        <f t="shared" si="13"/>
        <v>64</v>
      </c>
      <c r="B88" s="4">
        <v>2</v>
      </c>
      <c r="C88" s="4" t="s">
        <v>35</v>
      </c>
      <c r="D88" s="42">
        <f t="shared" si="11"/>
        <v>197</v>
      </c>
      <c r="E88" s="43">
        <v>36.119999999999997</v>
      </c>
      <c r="F88" s="43">
        <f t="shared" si="10"/>
        <v>35.782499999999999</v>
      </c>
      <c r="G88" s="5" t="s">
        <v>32</v>
      </c>
      <c r="H88" s="43">
        <f t="shared" si="12"/>
        <v>2426.5875000000005</v>
      </c>
      <c r="I88" s="43">
        <f t="shared" si="1"/>
        <v>18965.412499999999</v>
      </c>
      <c r="J88" s="80">
        <f t="shared" si="3"/>
        <v>185.32893482620324</v>
      </c>
      <c r="K88" s="289"/>
      <c r="L88" s="290"/>
    </row>
    <row r="89" spans="1:12" s="3" customFormat="1" ht="13.5" customHeight="1">
      <c r="A89" s="61">
        <f t="shared" si="13"/>
        <v>65</v>
      </c>
      <c r="B89" s="4">
        <v>2</v>
      </c>
      <c r="C89" s="4" t="s">
        <v>35</v>
      </c>
      <c r="D89" s="42">
        <f t="shared" si="11"/>
        <v>196</v>
      </c>
      <c r="E89" s="43">
        <v>36.58</v>
      </c>
      <c r="F89" s="43">
        <f t="shared" si="10"/>
        <v>36.2425</v>
      </c>
      <c r="G89" s="5" t="s">
        <v>32</v>
      </c>
      <c r="H89" s="43">
        <f t="shared" si="12"/>
        <v>2462.8300000000004</v>
      </c>
      <c r="I89" s="43">
        <f t="shared" si="1"/>
        <v>18929.169999999998</v>
      </c>
      <c r="J89" s="80">
        <f t="shared" si="3"/>
        <v>186.20011149732619</v>
      </c>
      <c r="K89" s="289"/>
      <c r="L89" s="290"/>
    </row>
    <row r="90" spans="1:12" s="3" customFormat="1" ht="13.5" customHeight="1">
      <c r="A90" s="61">
        <f t="shared" si="13"/>
        <v>66</v>
      </c>
      <c r="B90" s="4">
        <v>2</v>
      </c>
      <c r="C90" s="115" t="s">
        <v>35</v>
      </c>
      <c r="D90" s="42">
        <f t="shared" si="11"/>
        <v>195</v>
      </c>
      <c r="E90" s="43">
        <v>36.380000000000003</v>
      </c>
      <c r="F90" s="43">
        <f t="shared" si="10"/>
        <v>36.042500000000004</v>
      </c>
      <c r="G90" s="5" t="s">
        <v>32</v>
      </c>
      <c r="H90" s="43">
        <f t="shared" si="12"/>
        <v>2498.8725000000004</v>
      </c>
      <c r="I90" s="43">
        <f t="shared" si="1"/>
        <v>18893.127499999999</v>
      </c>
      <c r="J90" s="80">
        <f t="shared" si="3"/>
        <v>187.06648068181818</v>
      </c>
      <c r="K90" s="289"/>
      <c r="L90" s="290"/>
    </row>
    <row r="91" spans="1:12" s="3" customFormat="1" ht="13.5" customHeight="1">
      <c r="A91" s="61">
        <f t="shared" si="13"/>
        <v>67</v>
      </c>
      <c r="B91" s="4">
        <v>2</v>
      </c>
      <c r="C91" s="93" t="s">
        <v>35</v>
      </c>
      <c r="D91" s="42">
        <f t="shared" si="11"/>
        <v>194</v>
      </c>
      <c r="E91" s="43">
        <v>36.43</v>
      </c>
      <c r="F91" s="43">
        <f t="shared" si="10"/>
        <v>36.092500000000001</v>
      </c>
      <c r="G91" s="5" t="s">
        <v>32</v>
      </c>
      <c r="H91" s="43">
        <f t="shared" si="12"/>
        <v>2534.9650000000006</v>
      </c>
      <c r="I91" s="43">
        <f t="shared" si="1"/>
        <v>18857.035</v>
      </c>
      <c r="J91" s="84">
        <f t="shared" si="3"/>
        <v>187.93405173796793</v>
      </c>
      <c r="K91" s="289"/>
      <c r="L91" s="290"/>
    </row>
    <row r="92" spans="1:12" s="3" customFormat="1" ht="13.5" customHeight="1">
      <c r="A92" s="61">
        <f t="shared" si="13"/>
        <v>68</v>
      </c>
      <c r="B92" s="4">
        <v>2</v>
      </c>
      <c r="C92" s="4" t="s">
        <v>35</v>
      </c>
      <c r="D92" s="42">
        <f t="shared" si="11"/>
        <v>193</v>
      </c>
      <c r="E92" s="43">
        <v>36.82</v>
      </c>
      <c r="F92" s="43">
        <f t="shared" si="10"/>
        <v>36.482500000000002</v>
      </c>
      <c r="G92" s="5" t="s">
        <v>32</v>
      </c>
      <c r="H92" s="43">
        <f t="shared" si="12"/>
        <v>2571.4475000000007</v>
      </c>
      <c r="I92" s="43">
        <f t="shared" si="1"/>
        <v>18820.552499999998</v>
      </c>
      <c r="J92" s="80">
        <f t="shared" si="3"/>
        <v>188.81099739304813</v>
      </c>
      <c r="K92" s="289"/>
      <c r="L92" s="290"/>
    </row>
    <row r="93" spans="1:12" s="3" customFormat="1" ht="13.5" customHeight="1">
      <c r="A93" s="61">
        <f t="shared" si="13"/>
        <v>69</v>
      </c>
      <c r="B93" s="4">
        <v>2</v>
      </c>
      <c r="C93" s="4" t="s">
        <v>35</v>
      </c>
      <c r="D93" s="42">
        <f t="shared" si="11"/>
        <v>192</v>
      </c>
      <c r="E93" s="43">
        <v>35.96</v>
      </c>
      <c r="F93" s="43">
        <f t="shared" si="10"/>
        <v>35.622500000000002</v>
      </c>
      <c r="G93" s="5" t="s">
        <v>32</v>
      </c>
      <c r="H93" s="43">
        <f t="shared" si="12"/>
        <v>2607.0700000000006</v>
      </c>
      <c r="I93" s="43">
        <f t="shared" si="1"/>
        <v>18784.93</v>
      </c>
      <c r="J93" s="80">
        <f t="shared" si="3"/>
        <v>189.66727085561499</v>
      </c>
      <c r="K93" s="289"/>
      <c r="L93" s="290"/>
    </row>
    <row r="94" spans="1:12" s="3" customFormat="1" ht="13.5" customHeight="1">
      <c r="A94" s="61">
        <f t="shared" si="13"/>
        <v>70</v>
      </c>
      <c r="B94" s="4">
        <v>2</v>
      </c>
      <c r="C94" s="4" t="s">
        <v>35</v>
      </c>
      <c r="D94" s="42">
        <f t="shared" si="11"/>
        <v>191</v>
      </c>
      <c r="E94" s="43">
        <v>36.92</v>
      </c>
      <c r="F94" s="43">
        <f t="shared" si="10"/>
        <v>36.582500000000003</v>
      </c>
      <c r="G94" s="7" t="s">
        <v>32</v>
      </c>
      <c r="H94" s="43">
        <f t="shared" si="12"/>
        <v>2643.6525000000006</v>
      </c>
      <c r="I94" s="43">
        <f t="shared" si="1"/>
        <v>18748.3475</v>
      </c>
      <c r="J94" s="80">
        <f t="shared" si="3"/>
        <v>190.54662025401069</v>
      </c>
      <c r="K94" s="289"/>
      <c r="L94" s="290"/>
    </row>
    <row r="95" spans="1:12" s="3" customFormat="1" ht="13.5" customHeight="1">
      <c r="A95" s="61">
        <f t="shared" si="13"/>
        <v>71</v>
      </c>
      <c r="B95" s="4">
        <v>2</v>
      </c>
      <c r="C95" s="4" t="s">
        <v>35</v>
      </c>
      <c r="D95" s="42">
        <f t="shared" si="11"/>
        <v>190</v>
      </c>
      <c r="E95" s="43">
        <v>37.21</v>
      </c>
      <c r="F95" s="43">
        <f t="shared" si="10"/>
        <v>36.872500000000002</v>
      </c>
      <c r="G95" s="5" t="s">
        <v>32</v>
      </c>
      <c r="H95" s="43">
        <f t="shared" si="12"/>
        <v>2680.5250000000005</v>
      </c>
      <c r="I95" s="43">
        <f t="shared" si="1"/>
        <v>18711.474999999999</v>
      </c>
      <c r="J95" s="80">
        <f t="shared" si="3"/>
        <v>191.4329405080214</v>
      </c>
      <c r="K95" s="289"/>
      <c r="L95" s="290"/>
    </row>
    <row r="96" spans="1:12" s="3" customFormat="1" ht="13.5" customHeight="1">
      <c r="A96" s="61">
        <f t="shared" si="13"/>
        <v>72</v>
      </c>
      <c r="B96" s="4">
        <v>2</v>
      </c>
      <c r="C96" s="4" t="s">
        <v>35</v>
      </c>
      <c r="D96" s="42">
        <f t="shared" si="11"/>
        <v>189</v>
      </c>
      <c r="E96" s="43">
        <v>36.69</v>
      </c>
      <c r="F96" s="43">
        <f t="shared" si="10"/>
        <v>36.352499999999999</v>
      </c>
      <c r="G96" s="5" t="s">
        <v>32</v>
      </c>
      <c r="H96" s="43">
        <f t="shared" si="12"/>
        <v>2716.8775000000005</v>
      </c>
      <c r="I96" s="43">
        <f t="shared" si="1"/>
        <v>18675.122499999998</v>
      </c>
      <c r="J96" s="80">
        <f t="shared" si="3"/>
        <v>192.30676129679145</v>
      </c>
      <c r="K96" s="289"/>
      <c r="L96" s="290"/>
    </row>
    <row r="97" spans="1:13" s="3" customFormat="1" ht="13.5" customHeight="1">
      <c r="A97" s="61">
        <f t="shared" si="13"/>
        <v>73</v>
      </c>
      <c r="B97" s="4">
        <v>2</v>
      </c>
      <c r="C97" s="4" t="s">
        <v>35</v>
      </c>
      <c r="D97" s="42">
        <f t="shared" si="11"/>
        <v>188</v>
      </c>
      <c r="E97" s="43">
        <v>37.25</v>
      </c>
      <c r="F97" s="43">
        <f t="shared" si="10"/>
        <v>36.912500000000001</v>
      </c>
      <c r="G97" s="5" t="s">
        <v>32</v>
      </c>
      <c r="H97" s="43">
        <f t="shared" si="12"/>
        <v>2753.7900000000004</v>
      </c>
      <c r="I97" s="43">
        <f t="shared" si="1"/>
        <v>18638.21</v>
      </c>
      <c r="J97" s="80">
        <f t="shared" si="3"/>
        <v>193.19404304812835</v>
      </c>
      <c r="K97" s="289"/>
      <c r="L97" s="290"/>
    </row>
    <row r="98" spans="1:13" s="3" customFormat="1" ht="13.5" customHeight="1">
      <c r="A98" s="61">
        <f t="shared" si="13"/>
        <v>74</v>
      </c>
      <c r="B98" s="4">
        <v>2</v>
      </c>
      <c r="C98" s="4" t="s">
        <v>35</v>
      </c>
      <c r="D98" s="42">
        <f t="shared" si="11"/>
        <v>187</v>
      </c>
      <c r="E98" s="43">
        <v>36.86</v>
      </c>
      <c r="F98" s="43">
        <f t="shared" si="10"/>
        <v>36.522500000000001</v>
      </c>
      <c r="G98" s="5" t="s">
        <v>32</v>
      </c>
      <c r="H98" s="43">
        <f t="shared" si="12"/>
        <v>2790.3125000000005</v>
      </c>
      <c r="I98" s="43">
        <f t="shared" si="1"/>
        <v>18601.6875</v>
      </c>
      <c r="J98" s="80">
        <f t="shared" si="3"/>
        <v>194.07195020053479</v>
      </c>
      <c r="K98" s="289"/>
      <c r="L98" s="290"/>
    </row>
    <row r="99" spans="1:13" s="3" customFormat="1" ht="13.5" customHeight="1">
      <c r="A99" s="61">
        <f t="shared" si="13"/>
        <v>75</v>
      </c>
      <c r="B99" s="4">
        <v>2</v>
      </c>
      <c r="C99" s="4" t="s">
        <v>35</v>
      </c>
      <c r="D99" s="42">
        <f t="shared" si="11"/>
        <v>186</v>
      </c>
      <c r="E99" s="43">
        <v>37.07</v>
      </c>
      <c r="F99" s="43">
        <f t="shared" si="10"/>
        <v>36.732500000000002</v>
      </c>
      <c r="G99" s="5" t="s">
        <v>32</v>
      </c>
      <c r="H99" s="43">
        <f t="shared" si="12"/>
        <v>2827.0450000000005</v>
      </c>
      <c r="I99" s="43">
        <f t="shared" si="1"/>
        <v>18564.954999999998</v>
      </c>
      <c r="J99" s="80">
        <f t="shared" si="3"/>
        <v>194.95490521390377</v>
      </c>
      <c r="K99" s="289"/>
      <c r="L99" s="290"/>
    </row>
    <row r="100" spans="1:13" s="3" customFormat="1" ht="13.5" customHeight="1">
      <c r="A100" s="61">
        <f>A99+1</f>
        <v>76</v>
      </c>
      <c r="B100" s="4">
        <v>2</v>
      </c>
      <c r="C100" s="4" t="s">
        <v>35</v>
      </c>
      <c r="D100" s="42">
        <f>D99-1</f>
        <v>185</v>
      </c>
      <c r="E100" s="43">
        <v>36.950000000000003</v>
      </c>
      <c r="F100" s="43">
        <f t="shared" si="10"/>
        <v>36.612500000000004</v>
      </c>
      <c r="G100" s="5" t="s">
        <v>32</v>
      </c>
      <c r="H100" s="43">
        <f t="shared" si="12"/>
        <v>2863.6575000000007</v>
      </c>
      <c r="I100" s="43">
        <f t="shared" si="1"/>
        <v>18528.342499999999</v>
      </c>
      <c r="J100" s="80">
        <f t="shared" si="3"/>
        <v>195.83497573529414</v>
      </c>
      <c r="K100" s="289"/>
      <c r="L100" s="290"/>
    </row>
    <row r="101" spans="1:13" s="3" customFormat="1" ht="13.5" customHeight="1" thickBot="1">
      <c r="A101" s="61">
        <f>A100+1</f>
        <v>77</v>
      </c>
      <c r="B101" s="4">
        <v>2</v>
      </c>
      <c r="C101" s="93" t="s">
        <v>35</v>
      </c>
      <c r="D101" s="42">
        <f>D100-1</f>
        <v>184</v>
      </c>
      <c r="E101" s="43">
        <v>36.770000000000003</v>
      </c>
      <c r="F101" s="43">
        <f t="shared" si="10"/>
        <v>36.432500000000005</v>
      </c>
      <c r="G101" s="5" t="s">
        <v>32</v>
      </c>
      <c r="H101" s="43">
        <f t="shared" si="12"/>
        <v>2900.0900000000006</v>
      </c>
      <c r="I101" s="43">
        <f t="shared" si="1"/>
        <v>18491.91</v>
      </c>
      <c r="J101" s="84">
        <f t="shared" si="3"/>
        <v>196.71071951871659</v>
      </c>
      <c r="K101" s="289"/>
      <c r="L101" s="290"/>
    </row>
    <row r="102" spans="1:13" s="3" customFormat="1" ht="13.5" customHeight="1" thickBot="1">
      <c r="A102" s="266" t="s">
        <v>216</v>
      </c>
      <c r="B102" s="178">
        <v>1</v>
      </c>
      <c r="C102" s="305" t="s">
        <v>155</v>
      </c>
      <c r="D102" s="306"/>
      <c r="E102" s="179">
        <v>20.25</v>
      </c>
      <c r="F102" s="107">
        <f>E102-($D$10/12)</f>
        <v>19.912500000000001</v>
      </c>
      <c r="G102" s="5" t="s">
        <v>32</v>
      </c>
      <c r="H102" s="43">
        <f t="shared" si="12"/>
        <v>2920.0025000000005</v>
      </c>
      <c r="I102" s="116">
        <f>IF(H102="","",$K$7-H102)</f>
        <v>18471.997499999998</v>
      </c>
      <c r="J102" s="80">
        <f>$G$7+(H102*$D$8*$G$9/1000)</f>
        <v>197.18936490641713</v>
      </c>
      <c r="K102" s="289"/>
      <c r="L102" s="290"/>
    </row>
    <row r="103" spans="1:13" s="3" customFormat="1" ht="13.5" customHeight="1" thickBot="1">
      <c r="A103" s="61">
        <f>A101+1</f>
        <v>78</v>
      </c>
      <c r="B103" s="85">
        <v>2</v>
      </c>
      <c r="C103" s="85" t="s">
        <v>35</v>
      </c>
      <c r="D103" s="267">
        <f>D101-1</f>
        <v>183</v>
      </c>
      <c r="E103" s="43">
        <v>37.14</v>
      </c>
      <c r="F103" s="43">
        <f t="shared" si="10"/>
        <v>36.802500000000002</v>
      </c>
      <c r="G103" s="5" t="s">
        <v>32</v>
      </c>
      <c r="H103" s="43">
        <f t="shared" si="12"/>
        <v>2956.8050000000003</v>
      </c>
      <c r="I103" s="117">
        <f t="shared" si="1"/>
        <v>18435.195</v>
      </c>
      <c r="J103" s="89">
        <f t="shared" si="3"/>
        <v>198.07400254010696</v>
      </c>
      <c r="K103" s="294" t="s">
        <v>300</v>
      </c>
      <c r="L103" s="295"/>
    </row>
    <row r="104" spans="1:13" s="3" customFormat="1" ht="12.95" customHeight="1">
      <c r="A104" s="61">
        <f t="shared" si="13"/>
        <v>79</v>
      </c>
      <c r="B104" s="85">
        <v>2</v>
      </c>
      <c r="C104" s="85" t="s">
        <v>35</v>
      </c>
      <c r="D104" s="42">
        <f t="shared" si="11"/>
        <v>182</v>
      </c>
      <c r="E104" s="43">
        <v>36.630000000000003</v>
      </c>
      <c r="F104" s="43">
        <f t="shared" si="10"/>
        <v>36.292500000000004</v>
      </c>
      <c r="G104" s="5" t="s">
        <v>32</v>
      </c>
      <c r="H104" s="43">
        <f t="shared" si="12"/>
        <v>2993.0975000000003</v>
      </c>
      <c r="I104" s="43">
        <f t="shared" si="1"/>
        <v>18398.9025</v>
      </c>
      <c r="J104" s="80">
        <f t="shared" si="3"/>
        <v>198.94638108288771</v>
      </c>
      <c r="K104" s="296" t="s">
        <v>299</v>
      </c>
      <c r="L104" s="297"/>
    </row>
    <row r="105" spans="1:13" s="6" customFormat="1" ht="15" customHeight="1" thickBot="1">
      <c r="A105" s="61">
        <f t="shared" si="13"/>
        <v>80</v>
      </c>
      <c r="B105" s="85">
        <v>2</v>
      </c>
      <c r="C105" s="4" t="s">
        <v>35</v>
      </c>
      <c r="D105" s="42">
        <f t="shared" si="11"/>
        <v>181</v>
      </c>
      <c r="E105" s="43">
        <v>37</v>
      </c>
      <c r="F105" s="43">
        <f t="shared" si="10"/>
        <v>36.662500000000001</v>
      </c>
      <c r="G105" s="5" t="s">
        <v>32</v>
      </c>
      <c r="H105" s="43">
        <f t="shared" si="12"/>
        <v>3029.76</v>
      </c>
      <c r="I105" s="43">
        <f t="shared" si="1"/>
        <v>18362.239999999998</v>
      </c>
      <c r="J105" s="80">
        <f t="shared" si="3"/>
        <v>199.82765347593585</v>
      </c>
      <c r="K105" s="298"/>
      <c r="L105" s="299"/>
      <c r="M105" s="3"/>
    </row>
    <row r="106" spans="1:13" s="3" customFormat="1" ht="13.5" customHeight="1">
      <c r="A106" s="61">
        <f t="shared" si="13"/>
        <v>81</v>
      </c>
      <c r="B106" s="85">
        <v>2</v>
      </c>
      <c r="C106" s="4" t="s">
        <v>35</v>
      </c>
      <c r="D106" s="42">
        <f t="shared" si="11"/>
        <v>180</v>
      </c>
      <c r="E106" s="43">
        <v>36.79</v>
      </c>
      <c r="F106" s="43">
        <f t="shared" si="10"/>
        <v>36.452500000000001</v>
      </c>
      <c r="G106" s="5" t="s">
        <v>32</v>
      </c>
      <c r="H106" s="43">
        <f t="shared" si="12"/>
        <v>3066.2125000000001</v>
      </c>
      <c r="I106" s="43">
        <f t="shared" si="1"/>
        <v>18325.787499999999</v>
      </c>
      <c r="J106" s="80">
        <f t="shared" si="3"/>
        <v>200.70387800802138</v>
      </c>
      <c r="K106" s="289"/>
      <c r="L106" s="290"/>
    </row>
    <row r="107" spans="1:13" s="3" customFormat="1" ht="13.5" customHeight="1">
      <c r="A107" s="61">
        <f t="shared" si="13"/>
        <v>82</v>
      </c>
      <c r="B107" s="85">
        <v>2</v>
      </c>
      <c r="C107" s="115" t="s">
        <v>35</v>
      </c>
      <c r="D107" s="42">
        <f t="shared" si="11"/>
        <v>179</v>
      </c>
      <c r="E107" s="43">
        <v>36.72</v>
      </c>
      <c r="F107" s="43">
        <f t="shared" si="10"/>
        <v>36.3825</v>
      </c>
      <c r="G107" s="5" t="s">
        <v>32</v>
      </c>
      <c r="H107" s="43">
        <f t="shared" si="12"/>
        <v>3102.5950000000003</v>
      </c>
      <c r="I107" s="43">
        <f t="shared" si="1"/>
        <v>18289.404999999999</v>
      </c>
      <c r="J107" s="80">
        <f t="shared" si="3"/>
        <v>201.57841991978609</v>
      </c>
      <c r="K107" s="289"/>
      <c r="L107" s="290"/>
    </row>
    <row r="108" spans="1:13" s="3" customFormat="1" ht="13.5" customHeight="1">
      <c r="A108" s="61">
        <f t="shared" si="13"/>
        <v>83</v>
      </c>
      <c r="B108" s="85">
        <v>2</v>
      </c>
      <c r="C108" s="93" t="s">
        <v>35</v>
      </c>
      <c r="D108" s="42">
        <f t="shared" si="11"/>
        <v>178</v>
      </c>
      <c r="E108" s="43">
        <v>36.86</v>
      </c>
      <c r="F108" s="43">
        <f t="shared" si="10"/>
        <v>36.522500000000001</v>
      </c>
      <c r="G108" s="5" t="s">
        <v>32</v>
      </c>
      <c r="H108" s="43">
        <f t="shared" si="12"/>
        <v>3139.1175000000003</v>
      </c>
      <c r="I108" s="43">
        <f t="shared" si="1"/>
        <v>18252.8825</v>
      </c>
      <c r="J108" s="84">
        <f t="shared" si="3"/>
        <v>202.45632707219249</v>
      </c>
      <c r="K108" s="289"/>
      <c r="L108" s="290"/>
    </row>
    <row r="109" spans="1:13" s="3" customFormat="1" ht="13.5" customHeight="1">
      <c r="A109" s="61">
        <f t="shared" si="13"/>
        <v>84</v>
      </c>
      <c r="B109" s="85">
        <v>2</v>
      </c>
      <c r="C109" s="115" t="s">
        <v>35</v>
      </c>
      <c r="D109" s="42">
        <f t="shared" si="11"/>
        <v>177</v>
      </c>
      <c r="E109" s="43">
        <v>37.42</v>
      </c>
      <c r="F109" s="43">
        <f t="shared" si="10"/>
        <v>37.082500000000003</v>
      </c>
      <c r="G109" s="5" t="s">
        <v>32</v>
      </c>
      <c r="H109" s="43">
        <f t="shared" si="12"/>
        <v>3176.2000000000003</v>
      </c>
      <c r="I109" s="43">
        <f t="shared" si="1"/>
        <v>18215.8</v>
      </c>
      <c r="J109" s="80">
        <f t="shared" si="3"/>
        <v>203.34769518716578</v>
      </c>
      <c r="K109" s="289"/>
      <c r="L109" s="290"/>
    </row>
    <row r="110" spans="1:13" s="3" customFormat="1" ht="13.5" customHeight="1">
      <c r="A110" s="61">
        <f t="shared" si="13"/>
        <v>85</v>
      </c>
      <c r="B110" s="85">
        <v>2</v>
      </c>
      <c r="C110" s="4" t="s">
        <v>35</v>
      </c>
      <c r="D110" s="42">
        <f t="shared" si="11"/>
        <v>176</v>
      </c>
      <c r="E110" s="43">
        <v>37.340000000000003</v>
      </c>
      <c r="F110" s="43">
        <f t="shared" si="10"/>
        <v>37.002500000000005</v>
      </c>
      <c r="G110" s="5" t="s">
        <v>32</v>
      </c>
      <c r="H110" s="43">
        <f t="shared" si="12"/>
        <v>3213.2025000000003</v>
      </c>
      <c r="I110" s="43">
        <f t="shared" si="1"/>
        <v>18178.797500000001</v>
      </c>
      <c r="J110" s="80">
        <f t="shared" si="3"/>
        <v>204.23714030748664</v>
      </c>
      <c r="K110" s="289"/>
      <c r="L110" s="290"/>
    </row>
    <row r="111" spans="1:13" s="3" customFormat="1" ht="13.5" customHeight="1">
      <c r="A111" s="61">
        <f t="shared" si="13"/>
        <v>86</v>
      </c>
      <c r="B111" s="85">
        <v>2</v>
      </c>
      <c r="C111" s="4" t="s">
        <v>35</v>
      </c>
      <c r="D111" s="42">
        <f t="shared" si="11"/>
        <v>175</v>
      </c>
      <c r="E111" s="43">
        <v>36.799999999999997</v>
      </c>
      <c r="F111" s="43">
        <f t="shared" si="10"/>
        <v>36.462499999999999</v>
      </c>
      <c r="G111" s="5" t="s">
        <v>32</v>
      </c>
      <c r="H111" s="43">
        <f t="shared" si="12"/>
        <v>3249.6650000000004</v>
      </c>
      <c r="I111" s="43">
        <f t="shared" si="1"/>
        <v>18142.334999999999</v>
      </c>
      <c r="J111" s="80">
        <f t="shared" si="3"/>
        <v>205.11360521390378</v>
      </c>
      <c r="K111" s="289"/>
      <c r="L111" s="290"/>
    </row>
    <row r="112" spans="1:13" s="3" customFormat="1" ht="13.5" customHeight="1">
      <c r="A112" s="61">
        <f t="shared" si="13"/>
        <v>87</v>
      </c>
      <c r="B112" s="85">
        <v>2</v>
      </c>
      <c r="C112" s="4" t="s">
        <v>35</v>
      </c>
      <c r="D112" s="42">
        <f t="shared" si="11"/>
        <v>174</v>
      </c>
      <c r="E112" s="43">
        <v>36.75</v>
      </c>
      <c r="F112" s="43">
        <f t="shared" si="10"/>
        <v>36.412500000000001</v>
      </c>
      <c r="G112" s="5" t="s">
        <v>32</v>
      </c>
      <c r="H112" s="43">
        <f t="shared" si="12"/>
        <v>3286.0775000000003</v>
      </c>
      <c r="I112" s="43">
        <f t="shared" si="1"/>
        <v>18105.922500000001</v>
      </c>
      <c r="J112" s="80">
        <f t="shared" si="3"/>
        <v>205.9888682486631</v>
      </c>
      <c r="K112" s="289"/>
      <c r="L112" s="290"/>
    </row>
    <row r="113" spans="1:13" s="3" customFormat="1" ht="13.5" customHeight="1">
      <c r="A113" s="61">
        <f t="shared" si="13"/>
        <v>88</v>
      </c>
      <c r="B113" s="85">
        <v>2</v>
      </c>
      <c r="C113" s="115" t="s">
        <v>35</v>
      </c>
      <c r="D113" s="42">
        <f t="shared" si="11"/>
        <v>173</v>
      </c>
      <c r="E113" s="43">
        <v>35.76</v>
      </c>
      <c r="F113" s="43">
        <f t="shared" si="10"/>
        <v>35.422499999999999</v>
      </c>
      <c r="G113" s="5" t="s">
        <v>32</v>
      </c>
      <c r="H113" s="43">
        <f t="shared" si="12"/>
        <v>3321.5000000000005</v>
      </c>
      <c r="I113" s="43">
        <f t="shared" si="1"/>
        <v>18070.5</v>
      </c>
      <c r="J113" s="80">
        <f t="shared" si="3"/>
        <v>206.84033422459896</v>
      </c>
      <c r="K113" s="289"/>
      <c r="L113" s="290"/>
    </row>
    <row r="114" spans="1:13" s="3" customFormat="1" ht="13.5" customHeight="1">
      <c r="A114" s="61">
        <f t="shared" si="13"/>
        <v>89</v>
      </c>
      <c r="B114" s="85">
        <v>2</v>
      </c>
      <c r="C114" s="93" t="s">
        <v>35</v>
      </c>
      <c r="D114" s="42">
        <f t="shared" si="11"/>
        <v>172</v>
      </c>
      <c r="E114" s="43">
        <v>36.44</v>
      </c>
      <c r="F114" s="43">
        <f t="shared" si="10"/>
        <v>36.102499999999999</v>
      </c>
      <c r="G114" s="5" t="s">
        <v>32</v>
      </c>
      <c r="H114" s="43">
        <f t="shared" si="12"/>
        <v>3357.6025000000004</v>
      </c>
      <c r="I114" s="43">
        <f t="shared" si="1"/>
        <v>18034.397499999999</v>
      </c>
      <c r="J114" s="84">
        <f t="shared" si="3"/>
        <v>207.70814565508022</v>
      </c>
      <c r="K114" s="289"/>
      <c r="L114" s="290"/>
    </row>
    <row r="115" spans="1:13" s="3" customFormat="1" ht="13.5" customHeight="1">
      <c r="A115" s="61">
        <f t="shared" si="13"/>
        <v>90</v>
      </c>
      <c r="B115" s="85">
        <v>2</v>
      </c>
      <c r="C115" s="115" t="s">
        <v>35</v>
      </c>
      <c r="D115" s="42">
        <f t="shared" si="11"/>
        <v>171</v>
      </c>
      <c r="E115" s="43">
        <v>36.64</v>
      </c>
      <c r="F115" s="43">
        <f t="shared" si="10"/>
        <v>36.302500000000002</v>
      </c>
      <c r="G115" s="5" t="s">
        <v>32</v>
      </c>
      <c r="H115" s="43">
        <f t="shared" si="12"/>
        <v>3393.9050000000002</v>
      </c>
      <c r="I115" s="43">
        <f t="shared" si="1"/>
        <v>17998.095000000001</v>
      </c>
      <c r="J115" s="80">
        <f t="shared" si="3"/>
        <v>208.58076457219252</v>
      </c>
      <c r="K115" s="289"/>
      <c r="L115" s="290"/>
    </row>
    <row r="116" spans="1:13" s="3" customFormat="1" ht="13.5" customHeight="1">
      <c r="A116" s="61">
        <f t="shared" si="13"/>
        <v>91</v>
      </c>
      <c r="B116" s="85">
        <v>2</v>
      </c>
      <c r="C116" s="93" t="s">
        <v>35</v>
      </c>
      <c r="D116" s="42">
        <f t="shared" si="11"/>
        <v>170</v>
      </c>
      <c r="E116" s="43">
        <v>36.36</v>
      </c>
      <c r="F116" s="43">
        <f t="shared" si="10"/>
        <v>36.022500000000001</v>
      </c>
      <c r="G116" s="5" t="s">
        <v>32</v>
      </c>
      <c r="H116" s="43">
        <f t="shared" si="12"/>
        <v>3429.9275000000002</v>
      </c>
      <c r="I116" s="43">
        <f t="shared" si="1"/>
        <v>17962.072499999998</v>
      </c>
      <c r="J116" s="84">
        <f t="shared" si="3"/>
        <v>209.4466530080214</v>
      </c>
      <c r="K116" s="289"/>
      <c r="L116" s="290"/>
    </row>
    <row r="117" spans="1:13" s="3" customFormat="1" ht="13.5" customHeight="1">
      <c r="A117" s="61">
        <f t="shared" si="13"/>
        <v>92</v>
      </c>
      <c r="B117" s="85">
        <v>2</v>
      </c>
      <c r="C117" s="4" t="s">
        <v>35</v>
      </c>
      <c r="D117" s="42">
        <f t="shared" si="11"/>
        <v>169</v>
      </c>
      <c r="E117" s="43">
        <v>37.14</v>
      </c>
      <c r="F117" s="43">
        <f t="shared" si="10"/>
        <v>36.802500000000002</v>
      </c>
      <c r="G117" s="5" t="s">
        <v>32</v>
      </c>
      <c r="H117" s="43">
        <f t="shared" si="12"/>
        <v>3466.73</v>
      </c>
      <c r="I117" s="43">
        <f t="shared" si="1"/>
        <v>17925.27</v>
      </c>
      <c r="J117" s="80">
        <f t="shared" si="3"/>
        <v>210.33129064171123</v>
      </c>
      <c r="K117" s="289"/>
      <c r="L117" s="290"/>
    </row>
    <row r="118" spans="1:13" s="3" customFormat="1" ht="13.5" customHeight="1">
      <c r="A118" s="61">
        <f t="shared" si="13"/>
        <v>93</v>
      </c>
      <c r="B118" s="85">
        <v>2</v>
      </c>
      <c r="C118" s="4" t="s">
        <v>35</v>
      </c>
      <c r="D118" s="42">
        <f t="shared" si="11"/>
        <v>168</v>
      </c>
      <c r="E118" s="43">
        <v>36.94</v>
      </c>
      <c r="F118" s="43">
        <f t="shared" si="10"/>
        <v>36.602499999999999</v>
      </c>
      <c r="G118" s="5" t="s">
        <v>32</v>
      </c>
      <c r="H118" s="43">
        <f t="shared" si="12"/>
        <v>3503.3325</v>
      </c>
      <c r="I118" s="43">
        <f t="shared" si="1"/>
        <v>17888.6675</v>
      </c>
      <c r="J118" s="80">
        <f t="shared" si="3"/>
        <v>211.21112078877007</v>
      </c>
      <c r="K118" s="289"/>
      <c r="L118" s="290"/>
    </row>
    <row r="119" spans="1:13" s="3" customFormat="1" ht="13.5" customHeight="1">
      <c r="A119" s="61">
        <f t="shared" si="13"/>
        <v>94</v>
      </c>
      <c r="B119" s="4">
        <v>2</v>
      </c>
      <c r="C119" s="4" t="s">
        <v>35</v>
      </c>
      <c r="D119" s="42">
        <f t="shared" si="11"/>
        <v>167</v>
      </c>
      <c r="E119" s="43">
        <v>36.299999999999997</v>
      </c>
      <c r="F119" s="43">
        <f t="shared" si="10"/>
        <v>35.962499999999999</v>
      </c>
      <c r="G119" s="5" t="s">
        <v>32</v>
      </c>
      <c r="H119" s="43">
        <f t="shared" si="12"/>
        <v>3539.2950000000001</v>
      </c>
      <c r="I119" s="43">
        <f t="shared" si="1"/>
        <v>17852.705000000002</v>
      </c>
      <c r="J119" s="80">
        <f t="shared" si="3"/>
        <v>212.07556697860963</v>
      </c>
      <c r="K119" s="289"/>
      <c r="L119" s="290"/>
    </row>
    <row r="120" spans="1:13" s="3" customFormat="1" ht="13.5" customHeight="1">
      <c r="A120" s="61">
        <f t="shared" si="13"/>
        <v>95</v>
      </c>
      <c r="B120" s="4">
        <v>2</v>
      </c>
      <c r="C120" s="115" t="s">
        <v>35</v>
      </c>
      <c r="D120" s="42">
        <f t="shared" si="11"/>
        <v>166</v>
      </c>
      <c r="E120" s="43">
        <v>36.18</v>
      </c>
      <c r="F120" s="43">
        <f t="shared" si="10"/>
        <v>35.842500000000001</v>
      </c>
      <c r="G120" s="5" t="s">
        <v>32</v>
      </c>
      <c r="H120" s="43">
        <f t="shared" si="12"/>
        <v>3575.1375000000003</v>
      </c>
      <c r="I120" s="43">
        <f t="shared" si="1"/>
        <v>17816.862499999999</v>
      </c>
      <c r="J120" s="80">
        <f t="shared" si="3"/>
        <v>212.93712867647059</v>
      </c>
      <c r="K120" s="289"/>
      <c r="L120" s="290"/>
    </row>
    <row r="121" spans="1:13" s="3" customFormat="1" ht="13.5" customHeight="1">
      <c r="A121" s="61">
        <f t="shared" si="13"/>
        <v>96</v>
      </c>
      <c r="B121" s="4">
        <v>2</v>
      </c>
      <c r="C121" s="93" t="s">
        <v>35</v>
      </c>
      <c r="D121" s="42">
        <f t="shared" si="11"/>
        <v>165</v>
      </c>
      <c r="E121" s="43">
        <v>36.85</v>
      </c>
      <c r="F121" s="43">
        <f t="shared" si="10"/>
        <v>36.512500000000003</v>
      </c>
      <c r="G121" s="5" t="s">
        <v>32</v>
      </c>
      <c r="H121" s="43">
        <f t="shared" si="12"/>
        <v>3611.65</v>
      </c>
      <c r="I121" s="43">
        <f t="shared" si="1"/>
        <v>17780.349999999999</v>
      </c>
      <c r="J121" s="84">
        <f t="shared" si="3"/>
        <v>213.81479545454545</v>
      </c>
      <c r="K121" s="289"/>
      <c r="L121" s="290"/>
      <c r="M121" s="174"/>
    </row>
    <row r="122" spans="1:13" s="3" customFormat="1" ht="13.5" customHeight="1">
      <c r="A122" s="61">
        <f t="shared" si="13"/>
        <v>97</v>
      </c>
      <c r="B122" s="4">
        <v>2</v>
      </c>
      <c r="C122" s="4" t="s">
        <v>35</v>
      </c>
      <c r="D122" s="42">
        <f t="shared" si="11"/>
        <v>164</v>
      </c>
      <c r="E122" s="43">
        <v>36.880000000000003</v>
      </c>
      <c r="F122" s="43">
        <f t="shared" si="10"/>
        <v>36.542500000000004</v>
      </c>
      <c r="G122" s="5" t="s">
        <v>32</v>
      </c>
      <c r="H122" s="43">
        <f t="shared" si="12"/>
        <v>3648.1925000000001</v>
      </c>
      <c r="I122" s="43">
        <f t="shared" si="1"/>
        <v>17743.807499999999</v>
      </c>
      <c r="J122" s="80">
        <f t="shared" si="3"/>
        <v>214.69318335561496</v>
      </c>
      <c r="K122" s="289"/>
      <c r="L122" s="290"/>
    </row>
    <row r="123" spans="1:13" s="3" customFormat="1" ht="13.5" customHeight="1">
      <c r="A123" s="61">
        <f t="shared" si="13"/>
        <v>98</v>
      </c>
      <c r="B123" s="4">
        <v>2</v>
      </c>
      <c r="C123" s="4" t="s">
        <v>35</v>
      </c>
      <c r="D123" s="42">
        <f t="shared" si="11"/>
        <v>163</v>
      </c>
      <c r="E123" s="43">
        <v>36.49</v>
      </c>
      <c r="F123" s="43">
        <f t="shared" si="10"/>
        <v>36.152500000000003</v>
      </c>
      <c r="G123" s="5" t="s">
        <v>32</v>
      </c>
      <c r="H123" s="43">
        <f t="shared" si="12"/>
        <v>3684.3450000000003</v>
      </c>
      <c r="I123" s="43">
        <f t="shared" si="1"/>
        <v>17707.654999999999</v>
      </c>
      <c r="J123" s="80">
        <f t="shared" si="3"/>
        <v>215.56219665775401</v>
      </c>
      <c r="K123" s="289"/>
      <c r="L123" s="290"/>
      <c r="M123" s="176"/>
    </row>
    <row r="124" spans="1:13" s="3" customFormat="1" ht="12.6" customHeight="1">
      <c r="A124" s="61">
        <f t="shared" si="13"/>
        <v>99</v>
      </c>
      <c r="B124" s="4">
        <v>2</v>
      </c>
      <c r="C124" s="4" t="s">
        <v>35</v>
      </c>
      <c r="D124" s="42">
        <f t="shared" si="11"/>
        <v>162</v>
      </c>
      <c r="E124" s="43">
        <v>36.69</v>
      </c>
      <c r="F124" s="43">
        <f t="shared" si="10"/>
        <v>36.352499999999999</v>
      </c>
      <c r="G124" s="5" t="s">
        <v>32</v>
      </c>
      <c r="H124" s="43">
        <f t="shared" si="12"/>
        <v>3720.6975000000002</v>
      </c>
      <c r="I124" s="43">
        <f t="shared" si="1"/>
        <v>17671.302499999998</v>
      </c>
      <c r="J124" s="80">
        <f t="shared" si="3"/>
        <v>216.43601744652409</v>
      </c>
      <c r="K124" s="289"/>
      <c r="L124" s="290"/>
    </row>
    <row r="125" spans="1:13" s="3" customFormat="1" ht="13.5" customHeight="1">
      <c r="A125" s="61">
        <f t="shared" si="13"/>
        <v>100</v>
      </c>
      <c r="B125" s="4">
        <v>2</v>
      </c>
      <c r="C125" s="4" t="s">
        <v>35</v>
      </c>
      <c r="D125" s="42">
        <f t="shared" si="11"/>
        <v>161</v>
      </c>
      <c r="E125" s="43">
        <v>36.549999999999997</v>
      </c>
      <c r="F125" s="43">
        <f t="shared" si="10"/>
        <v>36.212499999999999</v>
      </c>
      <c r="G125" s="5" t="s">
        <v>32</v>
      </c>
      <c r="H125" s="43">
        <f t="shared" si="12"/>
        <v>3756.9100000000003</v>
      </c>
      <c r="I125" s="43">
        <f t="shared" si="1"/>
        <v>17635.09</v>
      </c>
      <c r="J125" s="80">
        <f t="shared" si="3"/>
        <v>217.30647299465241</v>
      </c>
      <c r="K125" s="289"/>
      <c r="L125" s="290"/>
    </row>
    <row r="126" spans="1:13" s="3" customFormat="1" ht="13.5" customHeight="1">
      <c r="A126" s="61">
        <f t="shared" si="13"/>
        <v>101</v>
      </c>
      <c r="B126" s="4">
        <v>2</v>
      </c>
      <c r="C126" s="4" t="s">
        <v>35</v>
      </c>
      <c r="D126" s="42">
        <f t="shared" si="11"/>
        <v>160</v>
      </c>
      <c r="E126" s="43">
        <v>36.520000000000003</v>
      </c>
      <c r="F126" s="43">
        <f t="shared" si="10"/>
        <v>36.182500000000005</v>
      </c>
      <c r="G126" s="5" t="s">
        <v>32</v>
      </c>
      <c r="H126" s="43">
        <f t="shared" si="12"/>
        <v>3793.0925000000002</v>
      </c>
      <c r="I126" s="43">
        <f t="shared" si="1"/>
        <v>17598.907500000001</v>
      </c>
      <c r="J126" s="80">
        <f t="shared" si="3"/>
        <v>218.17620741978612</v>
      </c>
      <c r="K126" s="289"/>
      <c r="L126" s="290"/>
    </row>
    <row r="127" spans="1:13" s="3" customFormat="1" ht="13.5" customHeight="1">
      <c r="A127" s="61">
        <f t="shared" si="13"/>
        <v>102</v>
      </c>
      <c r="B127" s="4">
        <v>2</v>
      </c>
      <c r="C127" s="4" t="s">
        <v>35</v>
      </c>
      <c r="D127" s="42">
        <f t="shared" si="11"/>
        <v>159</v>
      </c>
      <c r="E127" s="43">
        <v>36.04</v>
      </c>
      <c r="F127" s="43">
        <f t="shared" si="10"/>
        <v>35.702500000000001</v>
      </c>
      <c r="G127" s="5" t="s">
        <v>32</v>
      </c>
      <c r="H127" s="43">
        <f t="shared" si="12"/>
        <v>3828.7950000000001</v>
      </c>
      <c r="I127" s="43">
        <f t="shared" si="1"/>
        <v>17563.205000000002</v>
      </c>
      <c r="J127" s="80">
        <f t="shared" si="3"/>
        <v>219.03440387700533</v>
      </c>
      <c r="K127" s="289"/>
      <c r="L127" s="290"/>
    </row>
    <row r="128" spans="1:13" s="3" customFormat="1" ht="13.5" customHeight="1">
      <c r="A128" s="61">
        <f t="shared" si="13"/>
        <v>103</v>
      </c>
      <c r="B128" s="85">
        <v>2</v>
      </c>
      <c r="C128" s="4" t="s">
        <v>35</v>
      </c>
      <c r="D128" s="42">
        <f t="shared" si="11"/>
        <v>158</v>
      </c>
      <c r="E128" s="43">
        <v>36.590000000000003</v>
      </c>
      <c r="F128" s="43">
        <f t="shared" si="10"/>
        <v>36.252500000000005</v>
      </c>
      <c r="G128" s="5" t="s">
        <v>32</v>
      </c>
      <c r="H128" s="43">
        <f t="shared" si="12"/>
        <v>3865.0475000000001</v>
      </c>
      <c r="I128" s="43">
        <f t="shared" si="1"/>
        <v>17526.952499999999</v>
      </c>
      <c r="J128" s="80">
        <f t="shared" si="3"/>
        <v>219.9058209224599</v>
      </c>
      <c r="K128" s="289"/>
      <c r="L128" s="290"/>
    </row>
    <row r="129" spans="1:12" s="3" customFormat="1" ht="13.5" customHeight="1">
      <c r="A129" s="61">
        <f t="shared" si="13"/>
        <v>104</v>
      </c>
      <c r="B129" s="85">
        <v>2</v>
      </c>
      <c r="C129" s="93" t="s">
        <v>35</v>
      </c>
      <c r="D129" s="42">
        <f t="shared" si="11"/>
        <v>157</v>
      </c>
      <c r="E129" s="43">
        <v>36.43</v>
      </c>
      <c r="F129" s="43">
        <f t="shared" si="10"/>
        <v>36.092500000000001</v>
      </c>
      <c r="G129" s="5" t="s">
        <v>32</v>
      </c>
      <c r="H129" s="43">
        <f t="shared" si="12"/>
        <v>3901.1400000000003</v>
      </c>
      <c r="I129" s="43">
        <f t="shared" si="1"/>
        <v>17490.86</v>
      </c>
      <c r="J129" s="84">
        <f t="shared" si="3"/>
        <v>220.77339197860965</v>
      </c>
      <c r="K129" s="289"/>
      <c r="L129" s="290"/>
    </row>
    <row r="130" spans="1:12" s="3" customFormat="1" ht="12.6" customHeight="1">
      <c r="A130" s="61">
        <f t="shared" si="13"/>
        <v>105</v>
      </c>
      <c r="B130" s="85">
        <v>2</v>
      </c>
      <c r="C130" s="4" t="s">
        <v>35</v>
      </c>
      <c r="D130" s="42">
        <f t="shared" si="11"/>
        <v>156</v>
      </c>
      <c r="E130" s="43">
        <v>36.31</v>
      </c>
      <c r="F130" s="43">
        <f t="shared" si="10"/>
        <v>35.972500000000004</v>
      </c>
      <c r="G130" s="5" t="s">
        <v>32</v>
      </c>
      <c r="H130" s="43">
        <f t="shared" si="12"/>
        <v>3937.1125000000002</v>
      </c>
      <c r="I130" s="43">
        <f t="shared" si="1"/>
        <v>17454.887500000001</v>
      </c>
      <c r="J130" s="80">
        <f t="shared" ref="J130:J194" si="14">$G$7+(H130*$D$8*$G$9/1000)</f>
        <v>221.63807854278076</v>
      </c>
      <c r="K130" s="289"/>
      <c r="L130" s="290"/>
    </row>
    <row r="131" spans="1:12" s="3" customFormat="1" ht="13.5" customHeight="1">
      <c r="A131" s="61">
        <f t="shared" si="13"/>
        <v>106</v>
      </c>
      <c r="B131" s="85">
        <v>2</v>
      </c>
      <c r="C131" s="4" t="s">
        <v>35</v>
      </c>
      <c r="D131" s="42">
        <f t="shared" si="11"/>
        <v>155</v>
      </c>
      <c r="E131" s="43">
        <v>36.1</v>
      </c>
      <c r="F131" s="43">
        <f t="shared" si="10"/>
        <v>35.762500000000003</v>
      </c>
      <c r="G131" s="5" t="s">
        <v>32</v>
      </c>
      <c r="H131" s="43">
        <f t="shared" si="12"/>
        <v>3972.875</v>
      </c>
      <c r="I131" s="43">
        <f t="shared" si="1"/>
        <v>17419.125</v>
      </c>
      <c r="J131" s="80">
        <f t="shared" si="14"/>
        <v>222.49771724598929</v>
      </c>
      <c r="K131" s="289"/>
      <c r="L131" s="290"/>
    </row>
    <row r="132" spans="1:12" s="3" customFormat="1" ht="13.5" customHeight="1">
      <c r="A132" s="61">
        <f t="shared" si="13"/>
        <v>107</v>
      </c>
      <c r="B132" s="85">
        <v>2</v>
      </c>
      <c r="C132" s="4" t="s">
        <v>35</v>
      </c>
      <c r="D132" s="42">
        <f t="shared" si="11"/>
        <v>154</v>
      </c>
      <c r="E132" s="43">
        <v>36.07</v>
      </c>
      <c r="F132" s="43">
        <f t="shared" si="10"/>
        <v>35.732500000000002</v>
      </c>
      <c r="G132" s="5" t="s">
        <v>32</v>
      </c>
      <c r="H132" s="43">
        <f t="shared" si="12"/>
        <v>4008.6075000000001</v>
      </c>
      <c r="I132" s="43">
        <f t="shared" si="1"/>
        <v>17383.392500000002</v>
      </c>
      <c r="J132" s="80">
        <f t="shared" si="14"/>
        <v>223.35663482620322</v>
      </c>
      <c r="K132" s="289"/>
      <c r="L132" s="290"/>
    </row>
    <row r="133" spans="1:12" s="3" customFormat="1" ht="13.5" customHeight="1">
      <c r="A133" s="61">
        <f>A132+1</f>
        <v>108</v>
      </c>
      <c r="B133" s="85">
        <v>2</v>
      </c>
      <c r="C133" s="4" t="s">
        <v>35</v>
      </c>
      <c r="D133" s="42">
        <f t="shared" si="11"/>
        <v>153</v>
      </c>
      <c r="E133" s="43">
        <v>36.700000000000003</v>
      </c>
      <c r="F133" s="43">
        <f t="shared" si="10"/>
        <v>36.362500000000004</v>
      </c>
      <c r="G133" s="5" t="s">
        <v>32</v>
      </c>
      <c r="H133" s="43">
        <f t="shared" si="12"/>
        <v>4044.9700000000003</v>
      </c>
      <c r="I133" s="43">
        <f t="shared" si="1"/>
        <v>17347.03</v>
      </c>
      <c r="J133" s="80">
        <f t="shared" si="14"/>
        <v>224.23069598930482</v>
      </c>
      <c r="K133" s="289"/>
      <c r="L133" s="290"/>
    </row>
    <row r="134" spans="1:12" s="3" customFormat="1" ht="13.5" customHeight="1">
      <c r="A134" s="61">
        <f>A133+1</f>
        <v>109</v>
      </c>
      <c r="B134" s="85">
        <v>2</v>
      </c>
      <c r="C134" s="4" t="s">
        <v>35</v>
      </c>
      <c r="D134" s="42">
        <f t="shared" si="11"/>
        <v>152</v>
      </c>
      <c r="E134" s="43">
        <v>37.479999999999997</v>
      </c>
      <c r="F134" s="43">
        <f t="shared" si="10"/>
        <v>37.142499999999998</v>
      </c>
      <c r="G134" s="5" t="s">
        <v>32</v>
      </c>
      <c r="H134" s="43">
        <f t="shared" si="12"/>
        <v>4082.1125000000002</v>
      </c>
      <c r="I134" s="43">
        <f t="shared" si="1"/>
        <v>17309.887500000001</v>
      </c>
      <c r="J134" s="80">
        <f t="shared" si="14"/>
        <v>225.12350635026741</v>
      </c>
      <c r="K134" s="289"/>
      <c r="L134" s="290"/>
    </row>
    <row r="135" spans="1:12" s="3" customFormat="1" ht="13.5" customHeight="1">
      <c r="A135" s="61">
        <f t="shared" ref="A135:A185" si="15">A134+1</f>
        <v>110</v>
      </c>
      <c r="B135" s="85">
        <v>2</v>
      </c>
      <c r="C135" s="172" t="s">
        <v>35</v>
      </c>
      <c r="D135" s="42">
        <f t="shared" si="11"/>
        <v>151</v>
      </c>
      <c r="E135" s="43">
        <v>37</v>
      </c>
      <c r="F135" s="43">
        <f t="shared" ref="F135:F199" si="16">E135-($D$10/12)</f>
        <v>36.662500000000001</v>
      </c>
      <c r="G135" s="5" t="s">
        <v>32</v>
      </c>
      <c r="H135" s="43">
        <f t="shared" si="12"/>
        <v>4118.7750000000005</v>
      </c>
      <c r="I135" s="43">
        <f t="shared" si="1"/>
        <v>17273.224999999999</v>
      </c>
      <c r="J135" s="84">
        <f t="shared" si="14"/>
        <v>226.00477874331551</v>
      </c>
      <c r="K135" s="289"/>
      <c r="L135" s="290"/>
    </row>
    <row r="136" spans="1:12" s="3" customFormat="1" ht="13.5" customHeight="1">
      <c r="A136" s="61">
        <f t="shared" si="15"/>
        <v>111</v>
      </c>
      <c r="B136" s="85">
        <v>2</v>
      </c>
      <c r="C136" s="165" t="s">
        <v>35</v>
      </c>
      <c r="D136" s="42">
        <f t="shared" si="11"/>
        <v>150</v>
      </c>
      <c r="E136" s="43">
        <v>36.82</v>
      </c>
      <c r="F136" s="43">
        <f t="shared" si="16"/>
        <v>36.482500000000002</v>
      </c>
      <c r="G136" s="94" t="s">
        <v>32</v>
      </c>
      <c r="H136" s="43">
        <f t="shared" si="12"/>
        <v>4155.2575000000006</v>
      </c>
      <c r="I136" s="43">
        <f t="shared" si="1"/>
        <v>17236.7425</v>
      </c>
      <c r="J136" s="84">
        <f t="shared" si="14"/>
        <v>226.88172439839573</v>
      </c>
      <c r="K136" s="289"/>
      <c r="L136" s="290"/>
    </row>
    <row r="137" spans="1:12" s="3" customFormat="1" ht="13.5" customHeight="1">
      <c r="A137" s="61">
        <f t="shared" si="15"/>
        <v>112</v>
      </c>
      <c r="B137" s="85">
        <v>2</v>
      </c>
      <c r="C137" s="85" t="s">
        <v>35</v>
      </c>
      <c r="D137" s="42">
        <f t="shared" si="11"/>
        <v>149</v>
      </c>
      <c r="E137" s="43">
        <v>36.950000000000003</v>
      </c>
      <c r="F137" s="43">
        <f t="shared" si="16"/>
        <v>36.612500000000004</v>
      </c>
      <c r="G137" s="94" t="s">
        <v>32</v>
      </c>
      <c r="H137" s="43">
        <f t="shared" si="12"/>
        <v>4191.8700000000008</v>
      </c>
      <c r="I137" s="43">
        <f t="shared" si="1"/>
        <v>17200.129999999997</v>
      </c>
      <c r="J137" s="80">
        <f t="shared" si="14"/>
        <v>227.7617949197861</v>
      </c>
      <c r="K137" s="289"/>
      <c r="L137" s="290"/>
    </row>
    <row r="138" spans="1:12" s="3" customFormat="1" ht="13.5" customHeight="1">
      <c r="A138" s="61">
        <f t="shared" si="15"/>
        <v>113</v>
      </c>
      <c r="B138" s="4">
        <v>2</v>
      </c>
      <c r="C138" s="85" t="s">
        <v>35</v>
      </c>
      <c r="D138" s="42">
        <f t="shared" si="11"/>
        <v>148</v>
      </c>
      <c r="E138" s="43">
        <v>36.72</v>
      </c>
      <c r="F138" s="43">
        <f t="shared" si="16"/>
        <v>36.3825</v>
      </c>
      <c r="G138" s="94" t="s">
        <v>32</v>
      </c>
      <c r="H138" s="43">
        <f t="shared" si="12"/>
        <v>4228.2525000000005</v>
      </c>
      <c r="I138" s="43">
        <f t="shared" si="1"/>
        <v>17163.747499999998</v>
      </c>
      <c r="J138" s="80">
        <f t="shared" si="14"/>
        <v>228.63633683155081</v>
      </c>
      <c r="K138" s="289"/>
      <c r="L138" s="290"/>
    </row>
    <row r="139" spans="1:12" s="3" customFormat="1" ht="13.5" customHeight="1">
      <c r="A139" s="61">
        <f t="shared" si="15"/>
        <v>114</v>
      </c>
      <c r="B139" s="4">
        <v>2</v>
      </c>
      <c r="C139" s="4" t="s">
        <v>35</v>
      </c>
      <c r="D139" s="42">
        <f t="shared" ref="D139:D154" si="17">D138-1</f>
        <v>147</v>
      </c>
      <c r="E139" s="43">
        <v>37.01</v>
      </c>
      <c r="F139" s="43">
        <f t="shared" si="16"/>
        <v>36.672499999999999</v>
      </c>
      <c r="G139" s="5" t="s">
        <v>32</v>
      </c>
      <c r="H139" s="43">
        <f t="shared" si="12"/>
        <v>4264.9250000000002</v>
      </c>
      <c r="I139" s="43">
        <f t="shared" si="1"/>
        <v>17127.075000000001</v>
      </c>
      <c r="J139" s="80">
        <f t="shared" si="14"/>
        <v>229.5178495989305</v>
      </c>
      <c r="K139" s="289"/>
      <c r="L139" s="290"/>
    </row>
    <row r="140" spans="1:12" s="3" customFormat="1" ht="13.5" customHeight="1">
      <c r="A140" s="61">
        <f t="shared" si="15"/>
        <v>115</v>
      </c>
      <c r="B140" s="4">
        <v>2</v>
      </c>
      <c r="C140" s="4" t="s">
        <v>35</v>
      </c>
      <c r="D140" s="42">
        <f t="shared" si="17"/>
        <v>146</v>
      </c>
      <c r="E140" s="43">
        <v>36.51</v>
      </c>
      <c r="F140" s="43">
        <f t="shared" si="16"/>
        <v>36.172499999999999</v>
      </c>
      <c r="G140" s="5" t="s">
        <v>32</v>
      </c>
      <c r="H140" s="43">
        <f t="shared" si="12"/>
        <v>4301.0974999999999</v>
      </c>
      <c r="I140" s="43">
        <f t="shared" si="1"/>
        <v>17090.9025</v>
      </c>
      <c r="J140" s="80">
        <f t="shared" si="14"/>
        <v>230.3873436497326</v>
      </c>
      <c r="K140" s="289"/>
      <c r="L140" s="290"/>
    </row>
    <row r="141" spans="1:12" s="3" customFormat="1" ht="13.5" customHeight="1">
      <c r="A141" s="61">
        <f t="shared" si="15"/>
        <v>116</v>
      </c>
      <c r="B141" s="4">
        <v>2</v>
      </c>
      <c r="C141" s="4" t="s">
        <v>35</v>
      </c>
      <c r="D141" s="42">
        <f t="shared" si="17"/>
        <v>145</v>
      </c>
      <c r="E141" s="43">
        <v>36.68</v>
      </c>
      <c r="F141" s="43">
        <f t="shared" si="16"/>
        <v>36.342500000000001</v>
      </c>
      <c r="G141" s="5" t="s">
        <v>32</v>
      </c>
      <c r="H141" s="43">
        <f t="shared" si="12"/>
        <v>4337.4399999999996</v>
      </c>
      <c r="I141" s="43">
        <f t="shared" si="1"/>
        <v>17054.560000000001</v>
      </c>
      <c r="J141" s="80">
        <f t="shared" si="14"/>
        <v>231.26092406417112</v>
      </c>
      <c r="K141" s="289"/>
      <c r="L141" s="290"/>
    </row>
    <row r="142" spans="1:12" s="3" customFormat="1" ht="13.5" customHeight="1">
      <c r="A142" s="61">
        <f t="shared" si="15"/>
        <v>117</v>
      </c>
      <c r="B142" s="4">
        <v>2</v>
      </c>
      <c r="C142" s="4" t="s">
        <v>35</v>
      </c>
      <c r="D142" s="42">
        <f t="shared" si="17"/>
        <v>144</v>
      </c>
      <c r="E142" s="43">
        <v>35.200000000000003</v>
      </c>
      <c r="F142" s="43">
        <f t="shared" si="16"/>
        <v>34.862500000000004</v>
      </c>
      <c r="G142" s="5" t="s">
        <v>32</v>
      </c>
      <c r="H142" s="43">
        <f t="shared" si="12"/>
        <v>4372.3024999999998</v>
      </c>
      <c r="I142" s="43">
        <f t="shared" si="1"/>
        <v>17019.697500000002</v>
      </c>
      <c r="J142" s="80">
        <f t="shared" si="14"/>
        <v>232.09892907754011</v>
      </c>
      <c r="K142" s="289"/>
      <c r="L142" s="290"/>
    </row>
    <row r="143" spans="1:12" s="3" customFormat="1" ht="13.5" customHeight="1">
      <c r="A143" s="61">
        <f t="shared" si="15"/>
        <v>118</v>
      </c>
      <c r="B143" s="4">
        <v>2</v>
      </c>
      <c r="C143" s="4" t="s">
        <v>35</v>
      </c>
      <c r="D143" s="42">
        <f t="shared" si="17"/>
        <v>143</v>
      </c>
      <c r="E143" s="43">
        <v>36.93</v>
      </c>
      <c r="F143" s="43">
        <f t="shared" si="16"/>
        <v>36.592500000000001</v>
      </c>
      <c r="G143" s="5" t="s">
        <v>32</v>
      </c>
      <c r="H143" s="43">
        <f t="shared" si="12"/>
        <v>4408.8949999999995</v>
      </c>
      <c r="I143" s="43">
        <f t="shared" si="1"/>
        <v>16983.105</v>
      </c>
      <c r="J143" s="80">
        <f t="shared" si="14"/>
        <v>232.97851885026736</v>
      </c>
      <c r="K143" s="289"/>
      <c r="L143" s="290"/>
    </row>
    <row r="144" spans="1:12" s="3" customFormat="1" ht="13.5" customHeight="1">
      <c r="A144" s="61">
        <f t="shared" si="15"/>
        <v>119</v>
      </c>
      <c r="B144" s="4">
        <v>2</v>
      </c>
      <c r="C144" s="4" t="s">
        <v>35</v>
      </c>
      <c r="D144" s="42">
        <f t="shared" si="17"/>
        <v>142</v>
      </c>
      <c r="E144" s="43">
        <v>36.61</v>
      </c>
      <c r="F144" s="43">
        <f t="shared" si="16"/>
        <v>36.272500000000001</v>
      </c>
      <c r="G144" s="5" t="s">
        <v>32</v>
      </c>
      <c r="H144" s="43">
        <f t="shared" ref="H144:H207" si="18">IF(G144="IN",H143+F144,H143)</f>
        <v>4445.1674999999996</v>
      </c>
      <c r="I144" s="43">
        <f t="shared" si="1"/>
        <v>16946.8325</v>
      </c>
      <c r="J144" s="80">
        <f t="shared" si="14"/>
        <v>233.85041664438501</v>
      </c>
      <c r="K144" s="289"/>
      <c r="L144" s="290"/>
    </row>
    <row r="145" spans="1:12" s="3" customFormat="1" ht="12.75">
      <c r="A145" s="61">
        <f t="shared" si="15"/>
        <v>120</v>
      </c>
      <c r="B145" s="4">
        <v>2</v>
      </c>
      <c r="C145" s="4" t="s">
        <v>35</v>
      </c>
      <c r="D145" s="42">
        <f t="shared" si="17"/>
        <v>141</v>
      </c>
      <c r="E145" s="43">
        <v>36.85</v>
      </c>
      <c r="F145" s="43">
        <f t="shared" si="16"/>
        <v>36.512500000000003</v>
      </c>
      <c r="G145" s="5" t="s">
        <v>32</v>
      </c>
      <c r="H145" s="43">
        <f t="shared" si="18"/>
        <v>4481.6799999999994</v>
      </c>
      <c r="I145" s="43">
        <f t="shared" si="1"/>
        <v>16910.32</v>
      </c>
      <c r="J145" s="80">
        <f t="shared" si="14"/>
        <v>234.72808342245986</v>
      </c>
      <c r="K145" s="289"/>
      <c r="L145" s="290"/>
    </row>
    <row r="146" spans="1:12" s="3" customFormat="1" ht="12.75">
      <c r="A146" s="61">
        <f t="shared" si="15"/>
        <v>121</v>
      </c>
      <c r="B146" s="4">
        <v>2</v>
      </c>
      <c r="C146" s="4" t="s">
        <v>35</v>
      </c>
      <c r="D146" s="42">
        <f t="shared" si="17"/>
        <v>140</v>
      </c>
      <c r="E146" s="43">
        <v>36.67</v>
      </c>
      <c r="F146" s="43">
        <f t="shared" si="16"/>
        <v>36.332500000000003</v>
      </c>
      <c r="G146" s="5" t="s">
        <v>32</v>
      </c>
      <c r="H146" s="43">
        <f t="shared" si="18"/>
        <v>4518.0124999999998</v>
      </c>
      <c r="I146" s="43">
        <f t="shared" si="1"/>
        <v>16873.987499999999</v>
      </c>
      <c r="J146" s="80">
        <f t="shared" si="14"/>
        <v>235.60142346256683</v>
      </c>
      <c r="K146" s="289"/>
      <c r="L146" s="290"/>
    </row>
    <row r="147" spans="1:12" s="3" customFormat="1" ht="12.6" customHeight="1">
      <c r="A147" s="61">
        <f t="shared" si="15"/>
        <v>122</v>
      </c>
      <c r="B147" s="4">
        <v>2</v>
      </c>
      <c r="C147" s="115" t="s">
        <v>35</v>
      </c>
      <c r="D147" s="42">
        <f t="shared" si="17"/>
        <v>139</v>
      </c>
      <c r="E147" s="43">
        <v>36.76</v>
      </c>
      <c r="F147" s="43">
        <f t="shared" si="16"/>
        <v>36.422499999999999</v>
      </c>
      <c r="G147" s="5" t="s">
        <v>32</v>
      </c>
      <c r="H147" s="43">
        <f t="shared" si="18"/>
        <v>4554.4349999999995</v>
      </c>
      <c r="I147" s="43">
        <f t="shared" si="1"/>
        <v>16837.565000000002</v>
      </c>
      <c r="J147" s="80">
        <f t="shared" si="14"/>
        <v>236.47692687165775</v>
      </c>
      <c r="K147" s="289"/>
      <c r="L147" s="290"/>
    </row>
    <row r="148" spans="1:12" s="3" customFormat="1" ht="12.95" customHeight="1">
      <c r="A148" s="61">
        <f t="shared" si="15"/>
        <v>123</v>
      </c>
      <c r="B148" s="4">
        <v>2</v>
      </c>
      <c r="C148" s="93" t="s">
        <v>35</v>
      </c>
      <c r="D148" s="42">
        <f t="shared" si="17"/>
        <v>138</v>
      </c>
      <c r="E148" s="43">
        <v>36.85</v>
      </c>
      <c r="F148" s="43">
        <f t="shared" si="16"/>
        <v>36.512500000000003</v>
      </c>
      <c r="G148" s="5" t="s">
        <v>32</v>
      </c>
      <c r="H148" s="43">
        <f t="shared" si="18"/>
        <v>4590.9474999999993</v>
      </c>
      <c r="I148" s="43">
        <f t="shared" si="1"/>
        <v>16801.052500000002</v>
      </c>
      <c r="J148" s="80">
        <f t="shared" si="14"/>
        <v>237.35459364973261</v>
      </c>
      <c r="K148" s="289"/>
      <c r="L148" s="290"/>
    </row>
    <row r="149" spans="1:12" s="3" customFormat="1" ht="12.75">
      <c r="A149" s="61">
        <f t="shared" si="15"/>
        <v>124</v>
      </c>
      <c r="B149" s="4">
        <v>2</v>
      </c>
      <c r="C149" s="4" t="s">
        <v>35</v>
      </c>
      <c r="D149" s="42">
        <f t="shared" si="17"/>
        <v>137</v>
      </c>
      <c r="E149" s="43">
        <v>36.76</v>
      </c>
      <c r="F149" s="43">
        <f t="shared" si="16"/>
        <v>36.422499999999999</v>
      </c>
      <c r="G149" s="5" t="s">
        <v>32</v>
      </c>
      <c r="H149" s="43">
        <f t="shared" si="18"/>
        <v>4627.369999999999</v>
      </c>
      <c r="I149" s="43">
        <f t="shared" si="1"/>
        <v>16764.63</v>
      </c>
      <c r="J149" s="80">
        <f t="shared" si="14"/>
        <v>238.2300970588235</v>
      </c>
      <c r="K149" s="289"/>
      <c r="L149" s="290"/>
    </row>
    <row r="150" spans="1:12" s="3" customFormat="1" ht="12.75">
      <c r="A150" s="61">
        <f t="shared" si="15"/>
        <v>125</v>
      </c>
      <c r="B150" s="4">
        <v>2</v>
      </c>
      <c r="C150" s="4" t="s">
        <v>35</v>
      </c>
      <c r="D150" s="42">
        <f t="shared" si="17"/>
        <v>136</v>
      </c>
      <c r="E150" s="43">
        <v>36.33</v>
      </c>
      <c r="F150" s="43">
        <f t="shared" si="16"/>
        <v>35.9925</v>
      </c>
      <c r="G150" s="5" t="s">
        <v>32</v>
      </c>
      <c r="H150" s="43">
        <f t="shared" si="18"/>
        <v>4663.3624999999993</v>
      </c>
      <c r="I150" s="43">
        <f t="shared" si="1"/>
        <v>16728.637500000001</v>
      </c>
      <c r="J150" s="80">
        <f t="shared" si="14"/>
        <v>239.09526437165775</v>
      </c>
      <c r="K150" s="289"/>
      <c r="L150" s="290"/>
    </row>
    <row r="151" spans="1:12" s="3" customFormat="1" ht="12.75">
      <c r="A151" s="61">
        <f t="shared" si="15"/>
        <v>126</v>
      </c>
      <c r="B151" s="4">
        <v>2</v>
      </c>
      <c r="C151" s="93" t="s">
        <v>35</v>
      </c>
      <c r="D151" s="42">
        <f t="shared" si="17"/>
        <v>135</v>
      </c>
      <c r="E151" s="43">
        <v>36.85</v>
      </c>
      <c r="F151" s="43">
        <f t="shared" si="16"/>
        <v>36.512500000000003</v>
      </c>
      <c r="G151" s="5" t="s">
        <v>32</v>
      </c>
      <c r="H151" s="43">
        <f t="shared" si="18"/>
        <v>4699.8749999999991</v>
      </c>
      <c r="I151" s="43">
        <f t="shared" si="1"/>
        <v>16692.125</v>
      </c>
      <c r="J151" s="80">
        <f t="shared" si="14"/>
        <v>239.9729311497326</v>
      </c>
      <c r="K151" s="289"/>
      <c r="L151" s="290"/>
    </row>
    <row r="152" spans="1:12" s="3" customFormat="1" ht="12.75">
      <c r="A152" s="61">
        <f t="shared" si="15"/>
        <v>127</v>
      </c>
      <c r="B152" s="4">
        <v>2</v>
      </c>
      <c r="C152" s="115" t="s">
        <v>35</v>
      </c>
      <c r="D152" s="42">
        <f t="shared" si="17"/>
        <v>134</v>
      </c>
      <c r="E152" s="43">
        <v>36.67</v>
      </c>
      <c r="F152" s="43">
        <f t="shared" si="16"/>
        <v>36.332500000000003</v>
      </c>
      <c r="G152" s="5" t="s">
        <v>32</v>
      </c>
      <c r="H152" s="43">
        <f t="shared" si="18"/>
        <v>4736.2074999999995</v>
      </c>
      <c r="I152" s="43">
        <f t="shared" si="1"/>
        <v>16655.7925</v>
      </c>
      <c r="J152" s="80">
        <f t="shared" si="14"/>
        <v>240.84627118983957</v>
      </c>
      <c r="K152" s="289"/>
      <c r="L152" s="290"/>
    </row>
    <row r="153" spans="1:12" s="3" customFormat="1" ht="14.45" customHeight="1">
      <c r="A153" s="61">
        <f>A152+1</f>
        <v>128</v>
      </c>
      <c r="B153" s="4">
        <v>2</v>
      </c>
      <c r="C153" s="4" t="s">
        <v>35</v>
      </c>
      <c r="D153" s="42">
        <f t="shared" si="17"/>
        <v>133</v>
      </c>
      <c r="E153" s="43">
        <v>36.72</v>
      </c>
      <c r="F153" s="43">
        <f t="shared" si="16"/>
        <v>36.3825</v>
      </c>
      <c r="G153" s="5" t="s">
        <v>32</v>
      </c>
      <c r="H153" s="43">
        <f t="shared" si="18"/>
        <v>4772.5899999999992</v>
      </c>
      <c r="I153" s="43">
        <f t="shared" si="1"/>
        <v>16619.41</v>
      </c>
      <c r="J153" s="80">
        <f t="shared" si="14"/>
        <v>241.72081310160428</v>
      </c>
      <c r="K153" s="289"/>
      <c r="L153" s="290"/>
    </row>
    <row r="154" spans="1:12" s="3" customFormat="1" ht="12.95" customHeight="1" thickBot="1">
      <c r="A154" s="61">
        <f>A153+1</f>
        <v>129</v>
      </c>
      <c r="B154" s="4">
        <v>2</v>
      </c>
      <c r="C154" s="4" t="s">
        <v>35</v>
      </c>
      <c r="D154" s="42">
        <f t="shared" si="17"/>
        <v>132</v>
      </c>
      <c r="E154" s="43">
        <v>36.69</v>
      </c>
      <c r="F154" s="43">
        <f t="shared" si="16"/>
        <v>36.352499999999999</v>
      </c>
      <c r="G154" s="5" t="s">
        <v>32</v>
      </c>
      <c r="H154" s="43">
        <f t="shared" si="18"/>
        <v>4808.9424999999992</v>
      </c>
      <c r="I154" s="43">
        <f t="shared" si="1"/>
        <v>16583.057500000003</v>
      </c>
      <c r="J154" s="80">
        <f t="shared" si="14"/>
        <v>242.59463389037433</v>
      </c>
      <c r="K154" s="289"/>
      <c r="L154" s="290"/>
    </row>
    <row r="155" spans="1:12" s="3" customFormat="1" ht="13.5" customHeight="1" thickBot="1">
      <c r="A155" s="266" t="s">
        <v>215</v>
      </c>
      <c r="B155" s="178">
        <v>1</v>
      </c>
      <c r="C155" s="305" t="s">
        <v>155</v>
      </c>
      <c r="D155" s="306"/>
      <c r="E155" s="179">
        <v>10.09</v>
      </c>
      <c r="F155" s="107">
        <f>E155-($D$10/12)</f>
        <v>9.7524999999999995</v>
      </c>
      <c r="G155" s="5" t="s">
        <v>32</v>
      </c>
      <c r="H155" s="43">
        <f t="shared" si="18"/>
        <v>4818.6949999999988</v>
      </c>
      <c r="I155" s="43">
        <f>IF(H155="","",$K$7-H155)</f>
        <v>16573.305</v>
      </c>
      <c r="J155" s="80">
        <f>$G$7+(H155*$D$8*$G$9/1000)</f>
        <v>242.82905895721922</v>
      </c>
      <c r="K155" s="289"/>
      <c r="L155" s="290"/>
    </row>
    <row r="156" spans="1:12" s="3" customFormat="1" ht="12.95" customHeight="1" thickBot="1">
      <c r="A156" s="61">
        <f>A154+1</f>
        <v>130</v>
      </c>
      <c r="B156" s="4">
        <v>2</v>
      </c>
      <c r="C156" s="4" t="s">
        <v>35</v>
      </c>
      <c r="D156" s="267">
        <f>D154-1</f>
        <v>131</v>
      </c>
      <c r="E156" s="43">
        <v>36.799999999999997</v>
      </c>
      <c r="F156" s="43">
        <f t="shared" si="16"/>
        <v>36.462499999999999</v>
      </c>
      <c r="G156" s="5" t="s">
        <v>32</v>
      </c>
      <c r="H156" s="43">
        <f t="shared" si="18"/>
        <v>4855.1574999999984</v>
      </c>
      <c r="I156" s="117">
        <f t="shared" si="1"/>
        <v>16536.842500000002</v>
      </c>
      <c r="J156" s="80">
        <f t="shared" si="14"/>
        <v>243.7055238636363</v>
      </c>
      <c r="K156" s="294" t="s">
        <v>302</v>
      </c>
      <c r="L156" s="295"/>
    </row>
    <row r="157" spans="1:12" s="3" customFormat="1" ht="13.5" customHeight="1">
      <c r="A157" s="61">
        <f t="shared" si="15"/>
        <v>131</v>
      </c>
      <c r="B157" s="4">
        <v>2</v>
      </c>
      <c r="C157" s="4" t="s">
        <v>35</v>
      </c>
      <c r="D157" s="42">
        <f t="shared" ref="D157:D194" si="19">D156-1</f>
        <v>130</v>
      </c>
      <c r="E157" s="43">
        <v>34.97</v>
      </c>
      <c r="F157" s="43">
        <f t="shared" si="16"/>
        <v>34.6325</v>
      </c>
      <c r="G157" s="5" t="s">
        <v>32</v>
      </c>
      <c r="H157" s="43">
        <f t="shared" si="18"/>
        <v>4889.7899999999981</v>
      </c>
      <c r="I157" s="43">
        <f t="shared" si="1"/>
        <v>16502.210000000003</v>
      </c>
      <c r="J157" s="80">
        <f t="shared" si="14"/>
        <v>244.53800026737963</v>
      </c>
      <c r="K157" s="296" t="s">
        <v>301</v>
      </c>
      <c r="L157" s="297"/>
    </row>
    <row r="158" spans="1:12" s="3" customFormat="1" ht="12.95" customHeight="1" thickBot="1">
      <c r="A158" s="61">
        <f t="shared" si="15"/>
        <v>132</v>
      </c>
      <c r="B158" s="4">
        <v>2</v>
      </c>
      <c r="C158" s="93" t="s">
        <v>35</v>
      </c>
      <c r="D158" s="42">
        <f t="shared" si="19"/>
        <v>129</v>
      </c>
      <c r="E158" s="43">
        <v>36.909999999999997</v>
      </c>
      <c r="F158" s="43">
        <f t="shared" si="16"/>
        <v>36.572499999999998</v>
      </c>
      <c r="G158" s="5" t="s">
        <v>32</v>
      </c>
      <c r="H158" s="43">
        <f t="shared" si="18"/>
        <v>4926.3624999999984</v>
      </c>
      <c r="I158" s="43">
        <f t="shared" si="1"/>
        <v>16465.637500000001</v>
      </c>
      <c r="J158" s="80">
        <f t="shared" si="14"/>
        <v>245.41710929144381</v>
      </c>
      <c r="K158" s="298"/>
      <c r="L158" s="299"/>
    </row>
    <row r="159" spans="1:12" s="3" customFormat="1" ht="12.95" customHeight="1">
      <c r="A159" s="61">
        <f t="shared" si="15"/>
        <v>133</v>
      </c>
      <c r="B159" s="4">
        <v>2</v>
      </c>
      <c r="C159" s="4" t="s">
        <v>35</v>
      </c>
      <c r="D159" s="42">
        <f t="shared" si="19"/>
        <v>128</v>
      </c>
      <c r="E159" s="43">
        <v>37.1</v>
      </c>
      <c r="F159" s="43">
        <f t="shared" si="16"/>
        <v>36.762500000000003</v>
      </c>
      <c r="G159" s="5" t="s">
        <v>32</v>
      </c>
      <c r="H159" s="43">
        <f t="shared" si="18"/>
        <v>4963.1249999999982</v>
      </c>
      <c r="I159" s="43">
        <f t="shared" si="1"/>
        <v>16428.875</v>
      </c>
      <c r="J159" s="80">
        <f t="shared" si="14"/>
        <v>246.30078542780745</v>
      </c>
      <c r="K159" s="289"/>
      <c r="L159" s="290"/>
    </row>
    <row r="160" spans="1:12" s="3" customFormat="1" ht="12.75">
      <c r="A160" s="61">
        <f t="shared" si="15"/>
        <v>134</v>
      </c>
      <c r="B160" s="4">
        <v>2</v>
      </c>
      <c r="C160" s="4" t="s">
        <v>35</v>
      </c>
      <c r="D160" s="42">
        <f t="shared" si="19"/>
        <v>127</v>
      </c>
      <c r="E160" s="43">
        <v>36.69</v>
      </c>
      <c r="F160" s="43">
        <f t="shared" si="16"/>
        <v>36.352499999999999</v>
      </c>
      <c r="G160" s="5" t="s">
        <v>32</v>
      </c>
      <c r="H160" s="43">
        <f t="shared" si="18"/>
        <v>4999.4774999999981</v>
      </c>
      <c r="I160" s="43">
        <f t="shared" ref="I160:I171" si="20">IF(H160="","",$K$7-H160)</f>
        <v>16392.522500000003</v>
      </c>
      <c r="J160" s="80">
        <f t="shared" si="14"/>
        <v>247.1746062165775</v>
      </c>
      <c r="K160" s="289"/>
      <c r="L160" s="290"/>
    </row>
    <row r="161" spans="1:13" s="3" customFormat="1" ht="12.75">
      <c r="A161" s="61">
        <f t="shared" si="15"/>
        <v>135</v>
      </c>
      <c r="B161" s="4">
        <v>2</v>
      </c>
      <c r="C161" s="4" t="s">
        <v>35</v>
      </c>
      <c r="D161" s="42">
        <f t="shared" si="19"/>
        <v>126</v>
      </c>
      <c r="E161" s="43">
        <v>36.42</v>
      </c>
      <c r="F161" s="43">
        <f t="shared" si="16"/>
        <v>36.082500000000003</v>
      </c>
      <c r="G161" s="5" t="s">
        <v>32</v>
      </c>
      <c r="H161" s="43">
        <f t="shared" si="18"/>
        <v>5035.5599999999986</v>
      </c>
      <c r="I161" s="43">
        <f t="shared" si="20"/>
        <v>16356.440000000002</v>
      </c>
      <c r="J161" s="80">
        <f t="shared" si="14"/>
        <v>248.04193689839568</v>
      </c>
      <c r="K161" s="289"/>
      <c r="L161" s="290"/>
    </row>
    <row r="162" spans="1:13" s="3" customFormat="1" ht="14.45" customHeight="1">
      <c r="A162" s="61">
        <f t="shared" si="15"/>
        <v>136</v>
      </c>
      <c r="B162" s="4">
        <v>2</v>
      </c>
      <c r="C162" s="93" t="s">
        <v>35</v>
      </c>
      <c r="D162" s="42">
        <f t="shared" si="19"/>
        <v>125</v>
      </c>
      <c r="E162" s="43">
        <v>36.729999999999997</v>
      </c>
      <c r="F162" s="43">
        <f t="shared" si="16"/>
        <v>36.392499999999998</v>
      </c>
      <c r="G162" s="5" t="s">
        <v>32</v>
      </c>
      <c r="H162" s="43">
        <f t="shared" si="18"/>
        <v>5071.9524999999985</v>
      </c>
      <c r="I162" s="43">
        <f t="shared" si="20"/>
        <v>16320.047500000001</v>
      </c>
      <c r="J162" s="84">
        <f t="shared" si="14"/>
        <v>248.91671918449194</v>
      </c>
      <c r="K162" s="289"/>
      <c r="L162" s="290"/>
    </row>
    <row r="163" spans="1:13" s="3" customFormat="1" ht="12.95" customHeight="1">
      <c r="A163" s="61">
        <f t="shared" si="15"/>
        <v>137</v>
      </c>
      <c r="B163" s="4">
        <v>2</v>
      </c>
      <c r="C163" s="115" t="s">
        <v>35</v>
      </c>
      <c r="D163" s="42">
        <f t="shared" si="19"/>
        <v>124</v>
      </c>
      <c r="E163" s="43">
        <v>36.619999999999997</v>
      </c>
      <c r="F163" s="43">
        <f t="shared" si="16"/>
        <v>36.282499999999999</v>
      </c>
      <c r="G163" s="5" t="s">
        <v>32</v>
      </c>
      <c r="H163" s="43">
        <f t="shared" si="18"/>
        <v>5108.2349999999988</v>
      </c>
      <c r="I163" s="43">
        <f t="shared" si="20"/>
        <v>16283.765000000001</v>
      </c>
      <c r="J163" s="80">
        <f t="shared" si="14"/>
        <v>249.78885735294114</v>
      </c>
      <c r="K163" s="289"/>
      <c r="L163" s="290"/>
    </row>
    <row r="164" spans="1:13" s="3" customFormat="1" ht="12.75">
      <c r="A164" s="61">
        <f t="shared" si="15"/>
        <v>138</v>
      </c>
      <c r="B164" s="4">
        <v>2</v>
      </c>
      <c r="C164" s="4" t="s">
        <v>35</v>
      </c>
      <c r="D164" s="42">
        <f t="shared" si="19"/>
        <v>123</v>
      </c>
      <c r="E164" s="43">
        <v>36.33</v>
      </c>
      <c r="F164" s="43">
        <f t="shared" si="16"/>
        <v>35.9925</v>
      </c>
      <c r="G164" s="5" t="s">
        <v>32</v>
      </c>
      <c r="H164" s="43">
        <f t="shared" si="18"/>
        <v>5144.2274999999991</v>
      </c>
      <c r="I164" s="43">
        <f t="shared" si="20"/>
        <v>16247.772500000001</v>
      </c>
      <c r="J164" s="80">
        <f t="shared" si="14"/>
        <v>250.65402466577538</v>
      </c>
      <c r="K164" s="289"/>
      <c r="L164" s="290"/>
    </row>
    <row r="165" spans="1:13" s="3" customFormat="1" ht="12.95" customHeight="1">
      <c r="A165" s="61">
        <f t="shared" si="15"/>
        <v>139</v>
      </c>
      <c r="B165" s="4">
        <v>2</v>
      </c>
      <c r="C165" s="4" t="s">
        <v>35</v>
      </c>
      <c r="D165" s="42">
        <f t="shared" si="19"/>
        <v>122</v>
      </c>
      <c r="E165" s="43">
        <v>36.68</v>
      </c>
      <c r="F165" s="43">
        <f t="shared" si="16"/>
        <v>36.342500000000001</v>
      </c>
      <c r="G165" s="5" t="s">
        <v>32</v>
      </c>
      <c r="H165" s="43">
        <f t="shared" si="18"/>
        <v>5180.5699999999988</v>
      </c>
      <c r="I165" s="43">
        <f t="shared" si="20"/>
        <v>16211.43</v>
      </c>
      <c r="J165" s="80">
        <f t="shared" si="14"/>
        <v>251.52760508021387</v>
      </c>
      <c r="K165" s="289"/>
      <c r="L165" s="290"/>
    </row>
    <row r="166" spans="1:13" s="3" customFormat="1" ht="12.95" customHeight="1">
      <c r="A166" s="61">
        <f t="shared" si="15"/>
        <v>140</v>
      </c>
      <c r="B166" s="4">
        <v>2</v>
      </c>
      <c r="C166" s="4" t="s">
        <v>35</v>
      </c>
      <c r="D166" s="42">
        <f t="shared" si="19"/>
        <v>121</v>
      </c>
      <c r="E166" s="43">
        <v>36.81</v>
      </c>
      <c r="F166" s="43">
        <f t="shared" si="16"/>
        <v>36.472500000000004</v>
      </c>
      <c r="G166" s="5" t="s">
        <v>32</v>
      </c>
      <c r="H166" s="43">
        <f t="shared" si="18"/>
        <v>5217.0424999999987</v>
      </c>
      <c r="I166" s="43">
        <f t="shared" si="20"/>
        <v>16174.9575</v>
      </c>
      <c r="J166" s="84">
        <f t="shared" si="14"/>
        <v>252.40431036096254</v>
      </c>
      <c r="K166" s="289"/>
      <c r="L166" s="290"/>
    </row>
    <row r="167" spans="1:13" s="3" customFormat="1" ht="12.75">
      <c r="A167" s="61">
        <f t="shared" si="15"/>
        <v>141</v>
      </c>
      <c r="B167" s="4">
        <v>2</v>
      </c>
      <c r="C167" s="4" t="s">
        <v>35</v>
      </c>
      <c r="D167" s="42">
        <f t="shared" si="19"/>
        <v>120</v>
      </c>
      <c r="E167" s="43">
        <v>34.75</v>
      </c>
      <c r="F167" s="43">
        <f t="shared" si="16"/>
        <v>34.412500000000001</v>
      </c>
      <c r="G167" s="5" t="s">
        <v>32</v>
      </c>
      <c r="H167" s="43">
        <f t="shared" si="18"/>
        <v>5251.454999999999</v>
      </c>
      <c r="I167" s="43">
        <f t="shared" si="20"/>
        <v>16140.545000000002</v>
      </c>
      <c r="J167" s="80">
        <f t="shared" si="14"/>
        <v>253.23149852941174</v>
      </c>
      <c r="K167" s="289"/>
      <c r="L167" s="290"/>
    </row>
    <row r="168" spans="1:13" s="3" customFormat="1" ht="12.75">
      <c r="A168" s="61">
        <f t="shared" si="15"/>
        <v>142</v>
      </c>
      <c r="B168" s="4">
        <v>2</v>
      </c>
      <c r="C168" s="4" t="s">
        <v>35</v>
      </c>
      <c r="D168" s="42">
        <f t="shared" si="19"/>
        <v>119</v>
      </c>
      <c r="E168" s="43">
        <v>37.270000000000003</v>
      </c>
      <c r="F168" s="43">
        <f t="shared" si="16"/>
        <v>36.932500000000005</v>
      </c>
      <c r="G168" s="5" t="s">
        <v>32</v>
      </c>
      <c r="H168" s="43">
        <f t="shared" si="18"/>
        <v>5288.3874999999989</v>
      </c>
      <c r="I168" s="43">
        <f t="shared" si="20"/>
        <v>16103.612500000001</v>
      </c>
      <c r="J168" s="80">
        <f t="shared" si="14"/>
        <v>254.11926102941175</v>
      </c>
      <c r="K168" s="289"/>
      <c r="L168" s="290"/>
    </row>
    <row r="169" spans="1:13" s="3" customFormat="1" ht="15" customHeight="1">
      <c r="A169" s="61">
        <f t="shared" si="15"/>
        <v>143</v>
      </c>
      <c r="B169" s="4">
        <v>2</v>
      </c>
      <c r="C169" s="93" t="s">
        <v>35</v>
      </c>
      <c r="D169" s="42">
        <f t="shared" si="19"/>
        <v>118</v>
      </c>
      <c r="E169" s="43">
        <v>35.270000000000003</v>
      </c>
      <c r="F169" s="43">
        <f t="shared" si="16"/>
        <v>34.932500000000005</v>
      </c>
      <c r="G169" s="5" t="s">
        <v>32</v>
      </c>
      <c r="H169" s="43">
        <f t="shared" si="18"/>
        <v>5323.3199999999988</v>
      </c>
      <c r="I169" s="43">
        <f t="shared" si="20"/>
        <v>16068.68</v>
      </c>
      <c r="J169" s="84">
        <f t="shared" si="14"/>
        <v>254.95894866310158</v>
      </c>
      <c r="K169" s="289"/>
      <c r="L169" s="290"/>
      <c r="M169" s="163"/>
    </row>
    <row r="170" spans="1:13" s="3" customFormat="1" ht="12.75">
      <c r="A170" s="61">
        <f t="shared" si="15"/>
        <v>144</v>
      </c>
      <c r="B170" s="4">
        <v>2</v>
      </c>
      <c r="C170" s="115" t="s">
        <v>35</v>
      </c>
      <c r="D170" s="42">
        <f t="shared" si="19"/>
        <v>117</v>
      </c>
      <c r="E170" s="43">
        <v>36.380000000000003</v>
      </c>
      <c r="F170" s="43">
        <f t="shared" si="16"/>
        <v>36.042500000000004</v>
      </c>
      <c r="G170" s="5" t="s">
        <v>32</v>
      </c>
      <c r="H170" s="43">
        <f t="shared" si="18"/>
        <v>5359.3624999999984</v>
      </c>
      <c r="I170" s="43">
        <f t="shared" si="20"/>
        <v>16032.637500000001</v>
      </c>
      <c r="J170" s="80">
        <f t="shared" si="14"/>
        <v>255.82531784759354</v>
      </c>
      <c r="K170" s="289"/>
      <c r="L170" s="290"/>
    </row>
    <row r="171" spans="1:13" s="3" customFormat="1" ht="12.75">
      <c r="A171" s="61">
        <f t="shared" si="15"/>
        <v>145</v>
      </c>
      <c r="B171" s="4">
        <v>2</v>
      </c>
      <c r="C171" s="4" t="s">
        <v>35</v>
      </c>
      <c r="D171" s="42">
        <f t="shared" si="19"/>
        <v>116</v>
      </c>
      <c r="E171" s="43">
        <v>36.729999999999997</v>
      </c>
      <c r="F171" s="43">
        <f t="shared" si="16"/>
        <v>36.392499999999998</v>
      </c>
      <c r="G171" s="5" t="s">
        <v>32</v>
      </c>
      <c r="H171" s="43">
        <f t="shared" si="18"/>
        <v>5395.7549999999983</v>
      </c>
      <c r="I171" s="43">
        <f t="shared" si="20"/>
        <v>15996.245000000003</v>
      </c>
      <c r="J171" s="80">
        <f t="shared" si="14"/>
        <v>256.70010013368983</v>
      </c>
      <c r="K171" s="289"/>
      <c r="L171" s="290"/>
    </row>
    <row r="172" spans="1:13" s="3" customFormat="1" ht="12.75">
      <c r="A172" s="61">
        <f t="shared" si="15"/>
        <v>146</v>
      </c>
      <c r="B172" s="4">
        <v>2</v>
      </c>
      <c r="C172" s="4" t="s">
        <v>35</v>
      </c>
      <c r="D172" s="42">
        <f t="shared" si="19"/>
        <v>115</v>
      </c>
      <c r="E172" s="43">
        <v>36.64</v>
      </c>
      <c r="F172" s="43">
        <f t="shared" si="16"/>
        <v>36.302500000000002</v>
      </c>
      <c r="G172" s="5" t="s">
        <v>32</v>
      </c>
      <c r="H172" s="43">
        <f t="shared" si="18"/>
        <v>5432.0574999999981</v>
      </c>
      <c r="I172" s="43">
        <f t="shared" ref="I172:I228" si="21">IF(H172="","",$K$7-H172)</f>
        <v>15959.942500000001</v>
      </c>
      <c r="J172" s="80">
        <f t="shared" si="14"/>
        <v>257.57271905080211</v>
      </c>
      <c r="K172" s="289"/>
      <c r="L172" s="290"/>
      <c r="M172" s="176"/>
    </row>
    <row r="173" spans="1:13" s="3" customFormat="1" ht="12.75">
      <c r="A173" s="61">
        <f t="shared" si="15"/>
        <v>147</v>
      </c>
      <c r="B173" s="4">
        <v>2</v>
      </c>
      <c r="C173" s="4" t="s">
        <v>35</v>
      </c>
      <c r="D173" s="42">
        <f t="shared" si="19"/>
        <v>114</v>
      </c>
      <c r="E173" s="43">
        <v>36.58</v>
      </c>
      <c r="F173" s="43">
        <f t="shared" si="16"/>
        <v>36.2425</v>
      </c>
      <c r="G173" s="5" t="s">
        <v>32</v>
      </c>
      <c r="H173" s="43">
        <f t="shared" si="18"/>
        <v>5468.2999999999984</v>
      </c>
      <c r="I173" s="43">
        <f t="shared" si="21"/>
        <v>15923.7</v>
      </c>
      <c r="J173" s="80">
        <f t="shared" si="14"/>
        <v>258.44389572192512</v>
      </c>
      <c r="K173" s="289"/>
      <c r="L173" s="290"/>
    </row>
    <row r="174" spans="1:13" s="3" customFormat="1" ht="12.75">
      <c r="A174" s="61">
        <f t="shared" si="15"/>
        <v>148</v>
      </c>
      <c r="B174" s="4">
        <v>2</v>
      </c>
      <c r="C174" s="4" t="s">
        <v>35</v>
      </c>
      <c r="D174" s="42">
        <f t="shared" si="19"/>
        <v>113</v>
      </c>
      <c r="E174" s="43">
        <v>36.35</v>
      </c>
      <c r="F174" s="43">
        <f t="shared" si="16"/>
        <v>36.012500000000003</v>
      </c>
      <c r="G174" s="5" t="s">
        <v>32</v>
      </c>
      <c r="H174" s="43">
        <f t="shared" si="18"/>
        <v>5504.3124999999982</v>
      </c>
      <c r="I174" s="43">
        <f t="shared" si="21"/>
        <v>15887.687500000002</v>
      </c>
      <c r="J174" s="80">
        <f t="shared" si="14"/>
        <v>259.30954378342244</v>
      </c>
      <c r="K174" s="289"/>
      <c r="L174" s="290"/>
    </row>
    <row r="175" spans="1:13" s="3" customFormat="1" ht="12.75">
      <c r="A175" s="61">
        <f t="shared" si="15"/>
        <v>149</v>
      </c>
      <c r="B175" s="4">
        <v>2</v>
      </c>
      <c r="C175" s="4" t="s">
        <v>35</v>
      </c>
      <c r="D175" s="42">
        <f t="shared" si="19"/>
        <v>112</v>
      </c>
      <c r="E175" s="43">
        <v>36.6</v>
      </c>
      <c r="F175" s="43">
        <f t="shared" si="16"/>
        <v>36.262500000000003</v>
      </c>
      <c r="G175" s="5" t="s">
        <v>32</v>
      </c>
      <c r="H175" s="43">
        <f t="shared" si="18"/>
        <v>5540.574999999998</v>
      </c>
      <c r="I175" s="43">
        <f t="shared" si="21"/>
        <v>15851.425000000003</v>
      </c>
      <c r="J175" s="80">
        <f t="shared" si="14"/>
        <v>260.1812012032085</v>
      </c>
      <c r="K175" s="289"/>
      <c r="L175" s="290"/>
    </row>
    <row r="176" spans="1:13" s="3" customFormat="1" ht="12.75">
      <c r="A176" s="61">
        <f t="shared" si="15"/>
        <v>150</v>
      </c>
      <c r="B176" s="4">
        <v>2</v>
      </c>
      <c r="C176" s="4" t="s">
        <v>35</v>
      </c>
      <c r="D176" s="42">
        <f t="shared" si="19"/>
        <v>111</v>
      </c>
      <c r="E176" s="43">
        <v>36.270000000000003</v>
      </c>
      <c r="F176" s="43">
        <f t="shared" si="16"/>
        <v>35.932500000000005</v>
      </c>
      <c r="G176" s="5" t="s">
        <v>32</v>
      </c>
      <c r="H176" s="43">
        <f t="shared" si="18"/>
        <v>5576.5074999999979</v>
      </c>
      <c r="I176" s="43">
        <f t="shared" si="21"/>
        <v>15815.492500000002</v>
      </c>
      <c r="J176" s="80">
        <f t="shared" si="14"/>
        <v>261.04492627005345</v>
      </c>
      <c r="K176" s="289"/>
      <c r="L176" s="290"/>
    </row>
    <row r="177" spans="1:12" s="3" customFormat="1" ht="12.75">
      <c r="A177" s="61">
        <f t="shared" si="15"/>
        <v>151</v>
      </c>
      <c r="B177" s="4">
        <v>2</v>
      </c>
      <c r="C177" s="4" t="s">
        <v>35</v>
      </c>
      <c r="D177" s="42">
        <f t="shared" si="19"/>
        <v>110</v>
      </c>
      <c r="E177" s="43">
        <v>36.93</v>
      </c>
      <c r="F177" s="43">
        <f t="shared" si="16"/>
        <v>36.592500000000001</v>
      </c>
      <c r="G177" s="5" t="s">
        <v>32</v>
      </c>
      <c r="H177" s="43">
        <f t="shared" si="18"/>
        <v>5613.0999999999976</v>
      </c>
      <c r="I177" s="43">
        <f t="shared" si="21"/>
        <v>15778.900000000001</v>
      </c>
      <c r="J177" s="80">
        <f t="shared" si="14"/>
        <v>261.92451604278068</v>
      </c>
      <c r="K177" s="289"/>
      <c r="L177" s="290"/>
    </row>
    <row r="178" spans="1:12" s="3" customFormat="1" ht="12.75">
      <c r="A178" s="61">
        <f t="shared" si="15"/>
        <v>152</v>
      </c>
      <c r="B178" s="4">
        <v>2</v>
      </c>
      <c r="C178" s="4" t="s">
        <v>35</v>
      </c>
      <c r="D178" s="42">
        <f t="shared" si="19"/>
        <v>109</v>
      </c>
      <c r="E178" s="43">
        <v>36.89</v>
      </c>
      <c r="F178" s="43">
        <f t="shared" si="16"/>
        <v>36.552500000000002</v>
      </c>
      <c r="G178" s="5" t="s">
        <v>32</v>
      </c>
      <c r="H178" s="43">
        <f t="shared" si="18"/>
        <v>5649.6524999999974</v>
      </c>
      <c r="I178" s="43">
        <f t="shared" si="21"/>
        <v>15742.347500000003</v>
      </c>
      <c r="J178" s="80">
        <f t="shared" si="14"/>
        <v>262.80314431818175</v>
      </c>
      <c r="K178" s="289"/>
      <c r="L178" s="290"/>
    </row>
    <row r="179" spans="1:12" s="3" customFormat="1" ht="12.75">
      <c r="A179" s="61">
        <f t="shared" si="15"/>
        <v>153</v>
      </c>
      <c r="B179" s="4">
        <v>2</v>
      </c>
      <c r="C179" s="4" t="s">
        <v>35</v>
      </c>
      <c r="D179" s="42">
        <f t="shared" si="19"/>
        <v>108</v>
      </c>
      <c r="E179" s="43">
        <v>36.94</v>
      </c>
      <c r="F179" s="43">
        <f t="shared" si="16"/>
        <v>36.602499999999999</v>
      </c>
      <c r="G179" s="5" t="s">
        <v>32</v>
      </c>
      <c r="H179" s="43">
        <f t="shared" si="18"/>
        <v>5686.2549999999974</v>
      </c>
      <c r="I179" s="43">
        <f t="shared" si="21"/>
        <v>15705.745000000003</v>
      </c>
      <c r="J179" s="80">
        <f t="shared" si="14"/>
        <v>263.68297446524059</v>
      </c>
      <c r="K179" s="289"/>
      <c r="L179" s="290"/>
    </row>
    <row r="180" spans="1:12" s="3" customFormat="1" ht="12.75">
      <c r="A180" s="61">
        <f t="shared" si="15"/>
        <v>154</v>
      </c>
      <c r="B180" s="4">
        <v>2</v>
      </c>
      <c r="C180" s="4" t="s">
        <v>35</v>
      </c>
      <c r="D180" s="42">
        <f t="shared" si="19"/>
        <v>107</v>
      </c>
      <c r="E180" s="43">
        <v>37.17</v>
      </c>
      <c r="F180" s="43">
        <f t="shared" si="16"/>
        <v>36.832500000000003</v>
      </c>
      <c r="G180" s="5" t="s">
        <v>32</v>
      </c>
      <c r="H180" s="43">
        <f t="shared" si="18"/>
        <v>5723.0874999999978</v>
      </c>
      <c r="I180" s="43">
        <f t="shared" si="21"/>
        <v>15668.912500000002</v>
      </c>
      <c r="J180" s="80">
        <f t="shared" si="14"/>
        <v>264.56833322192506</v>
      </c>
      <c r="K180" s="289"/>
      <c r="L180" s="290"/>
    </row>
    <row r="181" spans="1:12" s="3" customFormat="1" ht="12.75">
      <c r="A181" s="61">
        <f t="shared" si="15"/>
        <v>155</v>
      </c>
      <c r="B181" s="4">
        <v>2</v>
      </c>
      <c r="C181" s="4" t="s">
        <v>35</v>
      </c>
      <c r="D181" s="42">
        <f t="shared" si="19"/>
        <v>106</v>
      </c>
      <c r="E181" s="43">
        <v>36.799999999999997</v>
      </c>
      <c r="F181" s="43">
        <f t="shared" si="16"/>
        <v>36.462499999999999</v>
      </c>
      <c r="G181" s="5" t="s">
        <v>32</v>
      </c>
      <c r="H181" s="43">
        <f t="shared" si="18"/>
        <v>5759.5499999999975</v>
      </c>
      <c r="I181" s="43">
        <f t="shared" si="21"/>
        <v>15632.450000000003</v>
      </c>
      <c r="J181" s="80">
        <f t="shared" si="14"/>
        <v>265.4447981283422</v>
      </c>
      <c r="K181" s="289"/>
      <c r="L181" s="290"/>
    </row>
    <row r="182" spans="1:12" s="3" customFormat="1" ht="12.75">
      <c r="A182" s="61">
        <f t="shared" si="15"/>
        <v>156</v>
      </c>
      <c r="B182" s="4">
        <v>2</v>
      </c>
      <c r="C182" s="4" t="s">
        <v>35</v>
      </c>
      <c r="D182" s="42">
        <f t="shared" si="19"/>
        <v>105</v>
      </c>
      <c r="E182" s="43">
        <v>36.72</v>
      </c>
      <c r="F182" s="43">
        <f t="shared" si="16"/>
        <v>36.3825</v>
      </c>
      <c r="G182" s="5" t="s">
        <v>32</v>
      </c>
      <c r="H182" s="43">
        <f t="shared" si="18"/>
        <v>5795.9324999999972</v>
      </c>
      <c r="I182" s="43">
        <f t="shared" si="21"/>
        <v>15596.067500000003</v>
      </c>
      <c r="J182" s="80">
        <f t="shared" si="14"/>
        <v>266.31934004010691</v>
      </c>
      <c r="K182" s="289"/>
      <c r="L182" s="290"/>
    </row>
    <row r="183" spans="1:12" s="3" customFormat="1" ht="12.75">
      <c r="A183" s="61">
        <f t="shared" si="15"/>
        <v>157</v>
      </c>
      <c r="B183" s="4">
        <v>2</v>
      </c>
      <c r="C183" s="4" t="s">
        <v>35</v>
      </c>
      <c r="D183" s="42">
        <f t="shared" si="19"/>
        <v>104</v>
      </c>
      <c r="E183" s="43">
        <v>36.340000000000003</v>
      </c>
      <c r="F183" s="43">
        <f t="shared" si="16"/>
        <v>36.002500000000005</v>
      </c>
      <c r="G183" s="5" t="s">
        <v>32</v>
      </c>
      <c r="H183" s="43">
        <f t="shared" si="18"/>
        <v>5831.9349999999968</v>
      </c>
      <c r="I183" s="43">
        <f t="shared" si="21"/>
        <v>15560.065000000002</v>
      </c>
      <c r="J183" s="80">
        <f t="shared" si="14"/>
        <v>267.18474772727268</v>
      </c>
      <c r="K183" s="289"/>
      <c r="L183" s="290"/>
    </row>
    <row r="184" spans="1:12" s="3" customFormat="1" ht="12.75">
      <c r="A184" s="61">
        <f t="shared" si="15"/>
        <v>158</v>
      </c>
      <c r="B184" s="4">
        <v>2</v>
      </c>
      <c r="C184" s="4" t="s">
        <v>35</v>
      </c>
      <c r="D184" s="42">
        <f t="shared" si="19"/>
        <v>103</v>
      </c>
      <c r="E184" s="43">
        <v>36.47</v>
      </c>
      <c r="F184" s="43">
        <f t="shared" si="16"/>
        <v>36.1325</v>
      </c>
      <c r="G184" s="5" t="s">
        <v>32</v>
      </c>
      <c r="H184" s="43">
        <f t="shared" si="18"/>
        <v>5868.0674999999965</v>
      </c>
      <c r="I184" s="43">
        <f t="shared" si="21"/>
        <v>15523.932500000003</v>
      </c>
      <c r="J184" s="80">
        <f t="shared" si="14"/>
        <v>268.0532802807486</v>
      </c>
      <c r="K184" s="289"/>
      <c r="L184" s="290"/>
    </row>
    <row r="185" spans="1:12" s="3" customFormat="1" ht="12.75">
      <c r="A185" s="61">
        <f t="shared" si="15"/>
        <v>159</v>
      </c>
      <c r="B185" s="4">
        <v>2</v>
      </c>
      <c r="C185" s="4" t="s">
        <v>35</v>
      </c>
      <c r="D185" s="42">
        <f t="shared" si="19"/>
        <v>102</v>
      </c>
      <c r="E185" s="43">
        <v>36.43</v>
      </c>
      <c r="F185" s="43">
        <f t="shared" si="16"/>
        <v>36.092500000000001</v>
      </c>
      <c r="G185" s="5" t="s">
        <v>32</v>
      </c>
      <c r="H185" s="43">
        <f t="shared" si="18"/>
        <v>5904.1599999999962</v>
      </c>
      <c r="I185" s="43">
        <f t="shared" si="21"/>
        <v>15487.840000000004</v>
      </c>
      <c r="J185" s="80">
        <f t="shared" si="14"/>
        <v>268.92085133689829</v>
      </c>
      <c r="K185" s="289"/>
      <c r="L185" s="290"/>
    </row>
    <row r="186" spans="1:12" s="3" customFormat="1" ht="14.45" customHeight="1">
      <c r="A186" s="61">
        <f>A185+1</f>
        <v>160</v>
      </c>
      <c r="B186" s="4">
        <v>2</v>
      </c>
      <c r="C186" s="4" t="s">
        <v>35</v>
      </c>
      <c r="D186" s="42">
        <f t="shared" si="19"/>
        <v>101</v>
      </c>
      <c r="E186" s="43">
        <v>37.18</v>
      </c>
      <c r="F186" s="43">
        <f t="shared" si="16"/>
        <v>36.842500000000001</v>
      </c>
      <c r="G186" s="5" t="s">
        <v>32</v>
      </c>
      <c r="H186" s="43">
        <f t="shared" si="18"/>
        <v>5941.002499999996</v>
      </c>
      <c r="I186" s="43">
        <f t="shared" si="21"/>
        <v>15450.997500000005</v>
      </c>
      <c r="J186" s="80">
        <f t="shared" si="14"/>
        <v>269.80645046791437</v>
      </c>
      <c r="K186" s="289"/>
      <c r="L186" s="290"/>
    </row>
    <row r="187" spans="1:12" s="3" customFormat="1" ht="12.6" customHeight="1">
      <c r="A187" s="61">
        <f>A186+1</f>
        <v>161</v>
      </c>
      <c r="B187" s="4">
        <v>2</v>
      </c>
      <c r="C187" s="4" t="s">
        <v>35</v>
      </c>
      <c r="D187" s="42">
        <f t="shared" si="19"/>
        <v>100</v>
      </c>
      <c r="E187" s="43">
        <v>36.39</v>
      </c>
      <c r="F187" s="43">
        <f t="shared" si="16"/>
        <v>36.052500000000002</v>
      </c>
      <c r="G187" s="5" t="s">
        <v>32</v>
      </c>
      <c r="H187" s="43">
        <f t="shared" si="18"/>
        <v>5977.0549999999957</v>
      </c>
      <c r="I187" s="43">
        <f t="shared" si="21"/>
        <v>15414.945000000003</v>
      </c>
      <c r="J187" s="80">
        <f t="shared" si="14"/>
        <v>270.67306002673786</v>
      </c>
      <c r="K187" s="289"/>
      <c r="L187" s="290"/>
    </row>
    <row r="188" spans="1:12" s="3" customFormat="1" ht="12.75">
      <c r="A188" s="61">
        <f t="shared" ref="A188:A242" si="22">A187+1</f>
        <v>162</v>
      </c>
      <c r="B188" s="4">
        <v>2</v>
      </c>
      <c r="C188" s="115" t="s">
        <v>35</v>
      </c>
      <c r="D188" s="42">
        <f t="shared" si="19"/>
        <v>99</v>
      </c>
      <c r="E188" s="43">
        <v>36.4</v>
      </c>
      <c r="F188" s="43">
        <f t="shared" si="16"/>
        <v>36.0625</v>
      </c>
      <c r="G188" s="5" t="s">
        <v>32</v>
      </c>
      <c r="H188" s="43">
        <f t="shared" si="18"/>
        <v>6013.1174999999957</v>
      </c>
      <c r="I188" s="43">
        <f t="shared" si="21"/>
        <v>15378.882500000003</v>
      </c>
      <c r="J188" s="80">
        <f t="shared" si="14"/>
        <v>271.53990995989295</v>
      </c>
      <c r="K188" s="289"/>
      <c r="L188" s="290"/>
    </row>
    <row r="189" spans="1:12" s="3" customFormat="1" ht="12.75">
      <c r="A189" s="61">
        <f t="shared" si="22"/>
        <v>163</v>
      </c>
      <c r="B189" s="4">
        <v>2</v>
      </c>
      <c r="C189" s="93" t="s">
        <v>35</v>
      </c>
      <c r="D189" s="42">
        <f t="shared" si="19"/>
        <v>98</v>
      </c>
      <c r="E189" s="43">
        <v>36.28</v>
      </c>
      <c r="F189" s="43">
        <f t="shared" si="16"/>
        <v>35.942500000000003</v>
      </c>
      <c r="G189" s="5" t="s">
        <v>32</v>
      </c>
      <c r="H189" s="43">
        <f t="shared" si="18"/>
        <v>6049.0599999999959</v>
      </c>
      <c r="I189" s="43">
        <f t="shared" si="21"/>
        <v>15342.940000000004</v>
      </c>
      <c r="J189" s="84">
        <f t="shared" si="14"/>
        <v>272.4038754010694</v>
      </c>
      <c r="K189" s="289"/>
      <c r="L189" s="290"/>
    </row>
    <row r="190" spans="1:12" s="3" customFormat="1" ht="12.75">
      <c r="A190" s="61">
        <f t="shared" si="22"/>
        <v>164</v>
      </c>
      <c r="B190" s="4">
        <v>2</v>
      </c>
      <c r="C190" s="4" t="s">
        <v>35</v>
      </c>
      <c r="D190" s="42">
        <f t="shared" si="19"/>
        <v>97</v>
      </c>
      <c r="E190" s="43">
        <v>36.520000000000003</v>
      </c>
      <c r="F190" s="43">
        <f t="shared" si="16"/>
        <v>36.182500000000005</v>
      </c>
      <c r="G190" s="5" t="s">
        <v>32</v>
      </c>
      <c r="H190" s="43">
        <f t="shared" si="18"/>
        <v>6085.2424999999957</v>
      </c>
      <c r="I190" s="43">
        <f t="shared" si="21"/>
        <v>15306.757500000003</v>
      </c>
      <c r="J190" s="80">
        <f t="shared" si="14"/>
        <v>273.27360982620314</v>
      </c>
      <c r="K190" s="289"/>
      <c r="L190" s="290"/>
    </row>
    <row r="191" spans="1:12" s="3" customFormat="1" ht="12.75">
      <c r="A191" s="61">
        <f t="shared" si="22"/>
        <v>165</v>
      </c>
      <c r="B191" s="4">
        <v>2</v>
      </c>
      <c r="C191" s="4" t="s">
        <v>35</v>
      </c>
      <c r="D191" s="42">
        <f t="shared" si="19"/>
        <v>96</v>
      </c>
      <c r="E191" s="43">
        <v>36.549999999999997</v>
      </c>
      <c r="F191" s="43">
        <f t="shared" si="16"/>
        <v>36.212499999999999</v>
      </c>
      <c r="G191" s="5" t="s">
        <v>32</v>
      </c>
      <c r="H191" s="43">
        <f t="shared" si="18"/>
        <v>6121.4549999999954</v>
      </c>
      <c r="I191" s="43">
        <f t="shared" si="21"/>
        <v>15270.545000000006</v>
      </c>
      <c r="J191" s="80">
        <f t="shared" si="14"/>
        <v>274.14406537433143</v>
      </c>
      <c r="K191" s="289"/>
      <c r="L191" s="290"/>
    </row>
    <row r="192" spans="1:12" s="3" customFormat="1" ht="12.75">
      <c r="A192" s="61">
        <f t="shared" si="22"/>
        <v>166</v>
      </c>
      <c r="B192" s="4">
        <v>2</v>
      </c>
      <c r="C192" s="115" t="s">
        <v>35</v>
      </c>
      <c r="D192" s="42">
        <f t="shared" si="19"/>
        <v>95</v>
      </c>
      <c r="E192" s="43">
        <v>36.799999999999997</v>
      </c>
      <c r="F192" s="43">
        <f t="shared" si="16"/>
        <v>36.462499999999999</v>
      </c>
      <c r="G192" s="5" t="s">
        <v>32</v>
      </c>
      <c r="H192" s="43">
        <f t="shared" si="18"/>
        <v>6157.917499999995</v>
      </c>
      <c r="I192" s="43">
        <f t="shared" si="21"/>
        <v>15234.082500000004</v>
      </c>
      <c r="J192" s="80">
        <f t="shared" si="14"/>
        <v>275.02053028074852</v>
      </c>
      <c r="K192" s="377"/>
      <c r="L192" s="378"/>
    </row>
    <row r="193" spans="1:12" s="3" customFormat="1" ht="12.75">
      <c r="A193" s="61">
        <f t="shared" si="22"/>
        <v>167</v>
      </c>
      <c r="B193" s="4">
        <v>2</v>
      </c>
      <c r="C193" s="93" t="s">
        <v>35</v>
      </c>
      <c r="D193" s="42">
        <f t="shared" si="19"/>
        <v>94</v>
      </c>
      <c r="E193" s="43">
        <v>36.43</v>
      </c>
      <c r="F193" s="43">
        <f t="shared" si="16"/>
        <v>36.092500000000001</v>
      </c>
      <c r="G193" s="5" t="s">
        <v>32</v>
      </c>
      <c r="H193" s="43">
        <f t="shared" si="18"/>
        <v>6194.0099999999948</v>
      </c>
      <c r="I193" s="43">
        <f t="shared" si="21"/>
        <v>15197.990000000005</v>
      </c>
      <c r="J193" s="84">
        <f t="shared" si="14"/>
        <v>275.88810133689827</v>
      </c>
      <c r="K193" s="377"/>
      <c r="L193" s="378"/>
    </row>
    <row r="194" spans="1:12" s="3" customFormat="1" ht="12.75">
      <c r="A194" s="61">
        <f t="shared" si="22"/>
        <v>168</v>
      </c>
      <c r="B194" s="4">
        <v>2</v>
      </c>
      <c r="C194" s="4" t="s">
        <v>35</v>
      </c>
      <c r="D194" s="42">
        <f t="shared" si="19"/>
        <v>93</v>
      </c>
      <c r="E194" s="43">
        <v>35.75</v>
      </c>
      <c r="F194" s="43">
        <f t="shared" si="16"/>
        <v>35.412500000000001</v>
      </c>
      <c r="G194" s="5" t="s">
        <v>32</v>
      </c>
      <c r="H194" s="43">
        <f t="shared" si="18"/>
        <v>6229.4224999999951</v>
      </c>
      <c r="I194" s="43">
        <f t="shared" si="21"/>
        <v>15162.577500000005</v>
      </c>
      <c r="J194" s="80">
        <f t="shared" si="14"/>
        <v>276.73932693850259</v>
      </c>
      <c r="K194" s="377"/>
      <c r="L194" s="378"/>
    </row>
    <row r="195" spans="1:12" s="3" customFormat="1" ht="12.75">
      <c r="A195" s="61">
        <f t="shared" si="22"/>
        <v>169</v>
      </c>
      <c r="B195" s="4">
        <v>2</v>
      </c>
      <c r="C195" s="4" t="s">
        <v>35</v>
      </c>
      <c r="D195" s="4">
        <f t="shared" ref="D195:D234" si="23">D194-1</f>
        <v>92</v>
      </c>
      <c r="E195" s="43">
        <v>36.19</v>
      </c>
      <c r="F195" s="43">
        <f t="shared" si="16"/>
        <v>35.852499999999999</v>
      </c>
      <c r="G195" s="5" t="s">
        <v>32</v>
      </c>
      <c r="H195" s="43">
        <f t="shared" si="18"/>
        <v>6265.2749999999951</v>
      </c>
      <c r="I195" s="43">
        <f t="shared" si="21"/>
        <v>15126.725000000006</v>
      </c>
      <c r="J195" s="80">
        <f t="shared" ref="J195:J382" si="24">$G$7+(H195*$D$8*$G$9/1000)</f>
        <v>277.6011290106951</v>
      </c>
      <c r="K195" s="377"/>
      <c r="L195" s="378"/>
    </row>
    <row r="196" spans="1:12" s="3" customFormat="1" ht="12.75">
      <c r="A196" s="61">
        <f t="shared" si="22"/>
        <v>170</v>
      </c>
      <c r="B196" s="4">
        <v>2</v>
      </c>
      <c r="C196" s="4" t="s">
        <v>35</v>
      </c>
      <c r="D196" s="4">
        <f t="shared" si="23"/>
        <v>91</v>
      </c>
      <c r="E196" s="43">
        <v>36.6</v>
      </c>
      <c r="F196" s="43">
        <f t="shared" si="16"/>
        <v>36.262500000000003</v>
      </c>
      <c r="G196" s="5" t="s">
        <v>32</v>
      </c>
      <c r="H196" s="43">
        <f t="shared" si="18"/>
        <v>6301.5374999999949</v>
      </c>
      <c r="I196" s="43">
        <f t="shared" si="21"/>
        <v>15090.462500000005</v>
      </c>
      <c r="J196" s="80">
        <f t="shared" si="24"/>
        <v>278.47278643048116</v>
      </c>
      <c r="K196" s="377"/>
      <c r="L196" s="378"/>
    </row>
    <row r="197" spans="1:12" s="3" customFormat="1" ht="12.75">
      <c r="A197" s="61">
        <f t="shared" si="22"/>
        <v>171</v>
      </c>
      <c r="B197" s="4">
        <v>2</v>
      </c>
      <c r="C197" s="4" t="s">
        <v>35</v>
      </c>
      <c r="D197" s="4">
        <f t="shared" si="23"/>
        <v>90</v>
      </c>
      <c r="E197" s="43">
        <v>36.700000000000003</v>
      </c>
      <c r="F197" s="43">
        <f t="shared" si="16"/>
        <v>36.362500000000004</v>
      </c>
      <c r="G197" s="5" t="s">
        <v>32</v>
      </c>
      <c r="H197" s="43">
        <f t="shared" si="18"/>
        <v>6337.8999999999951</v>
      </c>
      <c r="I197" s="43">
        <f t="shared" si="21"/>
        <v>15054.100000000006</v>
      </c>
      <c r="J197" s="80">
        <f t="shared" si="24"/>
        <v>279.34684759358277</v>
      </c>
      <c r="K197" s="377"/>
      <c r="L197" s="378"/>
    </row>
    <row r="198" spans="1:12" s="3" customFormat="1" ht="12.75">
      <c r="A198" s="61">
        <f t="shared" si="22"/>
        <v>172</v>
      </c>
      <c r="B198" s="4">
        <v>2</v>
      </c>
      <c r="C198" s="4" t="s">
        <v>35</v>
      </c>
      <c r="D198" s="4">
        <f t="shared" si="23"/>
        <v>89</v>
      </c>
      <c r="E198" s="43">
        <v>36.950000000000003</v>
      </c>
      <c r="F198" s="43">
        <f t="shared" si="16"/>
        <v>36.612500000000004</v>
      </c>
      <c r="G198" s="5" t="s">
        <v>32</v>
      </c>
      <c r="H198" s="43">
        <f t="shared" si="18"/>
        <v>6374.5124999999953</v>
      </c>
      <c r="I198" s="43">
        <f t="shared" si="21"/>
        <v>15017.487500000005</v>
      </c>
      <c r="J198" s="80">
        <f t="shared" si="24"/>
        <v>280.22691811497316</v>
      </c>
      <c r="K198" s="289"/>
      <c r="L198" s="290"/>
    </row>
    <row r="199" spans="1:12" s="3" customFormat="1" ht="12.75">
      <c r="A199" s="61">
        <f t="shared" si="22"/>
        <v>173</v>
      </c>
      <c r="B199" s="4">
        <v>2</v>
      </c>
      <c r="C199" s="4" t="s">
        <v>35</v>
      </c>
      <c r="D199" s="4">
        <f t="shared" si="23"/>
        <v>88</v>
      </c>
      <c r="E199" s="43">
        <v>36.82</v>
      </c>
      <c r="F199" s="43">
        <f t="shared" si="16"/>
        <v>36.482500000000002</v>
      </c>
      <c r="G199" s="5" t="s">
        <v>32</v>
      </c>
      <c r="H199" s="43">
        <f t="shared" si="18"/>
        <v>6410.9949999999953</v>
      </c>
      <c r="I199" s="43">
        <f t="shared" si="21"/>
        <v>14981.005000000005</v>
      </c>
      <c r="J199" s="80">
        <f t="shared" si="24"/>
        <v>281.10386377005341</v>
      </c>
      <c r="K199" s="289"/>
      <c r="L199" s="290"/>
    </row>
    <row r="200" spans="1:12" s="3" customFormat="1" ht="12.75">
      <c r="A200" s="61">
        <f t="shared" si="22"/>
        <v>174</v>
      </c>
      <c r="B200" s="4">
        <v>2</v>
      </c>
      <c r="C200" s="4" t="s">
        <v>35</v>
      </c>
      <c r="D200" s="4">
        <f t="shared" si="23"/>
        <v>87</v>
      </c>
      <c r="E200" s="43">
        <v>36.22</v>
      </c>
      <c r="F200" s="43">
        <f t="shared" ref="F200:F311" si="25">E200-($D$10/12)</f>
        <v>35.8825</v>
      </c>
      <c r="G200" s="5" t="s">
        <v>32</v>
      </c>
      <c r="H200" s="43">
        <f t="shared" si="18"/>
        <v>6446.8774999999951</v>
      </c>
      <c r="I200" s="43">
        <f t="shared" si="21"/>
        <v>14945.122500000005</v>
      </c>
      <c r="J200" s="80">
        <f t="shared" si="24"/>
        <v>281.96638696524053</v>
      </c>
      <c r="K200" s="289"/>
      <c r="L200" s="290"/>
    </row>
    <row r="201" spans="1:12" s="3" customFormat="1" ht="12.75">
      <c r="A201" s="61">
        <f t="shared" si="22"/>
        <v>175</v>
      </c>
      <c r="B201" s="4">
        <v>2</v>
      </c>
      <c r="C201" s="4" t="s">
        <v>35</v>
      </c>
      <c r="D201" s="4">
        <f t="shared" si="23"/>
        <v>86</v>
      </c>
      <c r="E201" s="43">
        <v>36.03</v>
      </c>
      <c r="F201" s="43">
        <f t="shared" si="25"/>
        <v>35.692500000000003</v>
      </c>
      <c r="G201" s="5" t="s">
        <v>32</v>
      </c>
      <c r="H201" s="43">
        <f t="shared" si="18"/>
        <v>6482.5699999999952</v>
      </c>
      <c r="I201" s="43">
        <f t="shared" si="21"/>
        <v>14909.430000000004</v>
      </c>
      <c r="J201" s="80">
        <f t="shared" si="24"/>
        <v>282.82434304812818</v>
      </c>
      <c r="K201" s="289"/>
      <c r="L201" s="290"/>
    </row>
    <row r="202" spans="1:12" s="3" customFormat="1" ht="12.75">
      <c r="A202" s="61">
        <f t="shared" si="22"/>
        <v>176</v>
      </c>
      <c r="B202" s="4">
        <v>2</v>
      </c>
      <c r="C202" s="4" t="s">
        <v>35</v>
      </c>
      <c r="D202" s="4">
        <f t="shared" si="23"/>
        <v>85</v>
      </c>
      <c r="E202" s="43">
        <v>36.04</v>
      </c>
      <c r="F202" s="43">
        <f t="shared" si="25"/>
        <v>35.702500000000001</v>
      </c>
      <c r="G202" s="5" t="s">
        <v>32</v>
      </c>
      <c r="H202" s="43">
        <f t="shared" si="18"/>
        <v>6518.2724999999955</v>
      </c>
      <c r="I202" s="43">
        <f t="shared" si="21"/>
        <v>14873.727500000005</v>
      </c>
      <c r="J202" s="80">
        <f t="shared" si="24"/>
        <v>283.68253950534751</v>
      </c>
      <c r="K202" s="289"/>
      <c r="L202" s="290"/>
    </row>
    <row r="203" spans="1:12" s="3" customFormat="1" ht="12.75">
      <c r="A203" s="61">
        <f t="shared" si="22"/>
        <v>177</v>
      </c>
      <c r="B203" s="4">
        <v>2</v>
      </c>
      <c r="C203" s="4" t="s">
        <v>35</v>
      </c>
      <c r="D203" s="4">
        <f t="shared" si="23"/>
        <v>84</v>
      </c>
      <c r="E203" s="43">
        <v>36.58</v>
      </c>
      <c r="F203" s="43">
        <f t="shared" si="25"/>
        <v>36.2425</v>
      </c>
      <c r="G203" s="5" t="s">
        <v>32</v>
      </c>
      <c r="H203" s="43">
        <f t="shared" si="18"/>
        <v>6554.5149999999958</v>
      </c>
      <c r="I203" s="43">
        <f t="shared" si="21"/>
        <v>14837.485000000004</v>
      </c>
      <c r="J203" s="80">
        <f t="shared" si="24"/>
        <v>284.55371617647052</v>
      </c>
      <c r="K203" s="289"/>
      <c r="L203" s="290"/>
    </row>
    <row r="204" spans="1:12" s="3" customFormat="1" ht="12.75">
      <c r="A204" s="61">
        <f t="shared" si="22"/>
        <v>178</v>
      </c>
      <c r="B204" s="4">
        <v>2</v>
      </c>
      <c r="C204" s="4" t="s">
        <v>35</v>
      </c>
      <c r="D204" s="4">
        <f t="shared" si="23"/>
        <v>83</v>
      </c>
      <c r="E204" s="43">
        <v>36.729999999999997</v>
      </c>
      <c r="F204" s="43">
        <f t="shared" si="25"/>
        <v>36.392499999999998</v>
      </c>
      <c r="G204" s="5" t="s">
        <v>32</v>
      </c>
      <c r="H204" s="43">
        <f t="shared" si="18"/>
        <v>6590.9074999999957</v>
      </c>
      <c r="I204" s="43">
        <f t="shared" si="21"/>
        <v>14801.092500000004</v>
      </c>
      <c r="J204" s="80">
        <f t="shared" si="24"/>
        <v>285.42849846256672</v>
      </c>
      <c r="K204" s="289"/>
      <c r="L204" s="290"/>
    </row>
    <row r="205" spans="1:12" s="3" customFormat="1" ht="12.75">
      <c r="A205" s="61">
        <f t="shared" si="22"/>
        <v>179</v>
      </c>
      <c r="B205" s="4">
        <v>2</v>
      </c>
      <c r="C205" s="4" t="s">
        <v>35</v>
      </c>
      <c r="D205" s="4">
        <f t="shared" si="23"/>
        <v>82</v>
      </c>
      <c r="E205" s="43">
        <v>36.51</v>
      </c>
      <c r="F205" s="43">
        <f t="shared" si="25"/>
        <v>36.172499999999999</v>
      </c>
      <c r="G205" s="5" t="s">
        <v>32</v>
      </c>
      <c r="H205" s="43">
        <f t="shared" si="18"/>
        <v>6627.0799999999954</v>
      </c>
      <c r="I205" s="43">
        <f t="shared" si="21"/>
        <v>14764.920000000006</v>
      </c>
      <c r="J205" s="80">
        <f t="shared" si="24"/>
        <v>286.29799251336885</v>
      </c>
      <c r="K205" s="289"/>
      <c r="L205" s="290"/>
    </row>
    <row r="206" spans="1:12" s="3" customFormat="1" ht="14.45" customHeight="1">
      <c r="A206" s="61">
        <f>A205+1</f>
        <v>180</v>
      </c>
      <c r="B206" s="42">
        <v>2</v>
      </c>
      <c r="C206" s="164" t="s">
        <v>35</v>
      </c>
      <c r="D206" s="4">
        <f t="shared" si="23"/>
        <v>81</v>
      </c>
      <c r="E206" s="43">
        <v>36.29</v>
      </c>
      <c r="F206" s="43">
        <f t="shared" si="25"/>
        <v>35.952500000000001</v>
      </c>
      <c r="G206" s="5" t="s">
        <v>32</v>
      </c>
      <c r="H206" s="43">
        <f t="shared" si="18"/>
        <v>6663.0324999999957</v>
      </c>
      <c r="I206" s="43">
        <f t="shared" si="21"/>
        <v>14728.967500000004</v>
      </c>
      <c r="J206" s="84">
        <f t="shared" si="24"/>
        <v>287.16219832887691</v>
      </c>
      <c r="K206" s="289"/>
      <c r="L206" s="290"/>
    </row>
    <row r="207" spans="1:12" s="3" customFormat="1" ht="12.6" customHeight="1" thickBot="1">
      <c r="A207" s="61">
        <f>A206+1</f>
        <v>181</v>
      </c>
      <c r="B207" s="4">
        <v>2</v>
      </c>
      <c r="C207" s="4" t="s">
        <v>35</v>
      </c>
      <c r="D207" s="4">
        <f t="shared" si="23"/>
        <v>80</v>
      </c>
      <c r="E207" s="43">
        <v>36.74</v>
      </c>
      <c r="F207" s="43">
        <f t="shared" si="25"/>
        <v>36.402500000000003</v>
      </c>
      <c r="G207" s="5" t="s">
        <v>32</v>
      </c>
      <c r="H207" s="43">
        <f t="shared" si="18"/>
        <v>6699.4349999999959</v>
      </c>
      <c r="I207" s="43">
        <f t="shared" si="21"/>
        <v>14692.565000000004</v>
      </c>
      <c r="J207" s="80">
        <f t="shared" si="24"/>
        <v>288.03722098930473</v>
      </c>
      <c r="K207" s="289"/>
      <c r="L207" s="290"/>
    </row>
    <row r="208" spans="1:12" s="3" customFormat="1" ht="13.5" customHeight="1" thickBot="1">
      <c r="A208" s="266" t="s">
        <v>217</v>
      </c>
      <c r="B208" s="178">
        <v>1</v>
      </c>
      <c r="C208" s="305" t="s">
        <v>155</v>
      </c>
      <c r="D208" s="306"/>
      <c r="E208" s="179">
        <v>20.25</v>
      </c>
      <c r="F208" s="107">
        <f>E208-($D$10/12)</f>
        <v>19.912500000000001</v>
      </c>
      <c r="G208" s="5" t="s">
        <v>32</v>
      </c>
      <c r="H208" s="43">
        <f t="shared" ref="H208:H271" si="26">IF(G208="IN",H207+F208,H207)</f>
        <v>6719.3474999999962</v>
      </c>
      <c r="I208" s="43">
        <f>IF(H208="","",$K$7-H208)</f>
        <v>14672.652500000004</v>
      </c>
      <c r="J208" s="80">
        <f>$G$7+(H208*$D$8*$G$9/1000)</f>
        <v>288.5158663770053</v>
      </c>
      <c r="K208" s="289"/>
      <c r="L208" s="290"/>
    </row>
    <row r="209" spans="1:12" s="3" customFormat="1" ht="12.95" customHeight="1" thickBot="1">
      <c r="A209" s="61">
        <f>A207+1</f>
        <v>182</v>
      </c>
      <c r="B209" s="4">
        <v>2</v>
      </c>
      <c r="C209" s="4" t="s">
        <v>35</v>
      </c>
      <c r="D209" s="267">
        <f>D207-1</f>
        <v>79</v>
      </c>
      <c r="E209" s="43">
        <v>36.6</v>
      </c>
      <c r="F209" s="43">
        <f t="shared" si="25"/>
        <v>36.262500000000003</v>
      </c>
      <c r="G209" s="5" t="s">
        <v>32</v>
      </c>
      <c r="H209" s="43">
        <f t="shared" si="26"/>
        <v>6755.609999999996</v>
      </c>
      <c r="I209" s="117">
        <f t="shared" si="21"/>
        <v>14636.390000000003</v>
      </c>
      <c r="J209" s="80">
        <f t="shared" si="24"/>
        <v>289.38752379679136</v>
      </c>
      <c r="K209" s="294" t="s">
        <v>303</v>
      </c>
      <c r="L209" s="295"/>
    </row>
    <row r="210" spans="1:12" s="3" customFormat="1" ht="12.75">
      <c r="A210" s="61">
        <f t="shared" si="22"/>
        <v>183</v>
      </c>
      <c r="B210" s="4">
        <v>2</v>
      </c>
      <c r="C210" s="4" t="s">
        <v>35</v>
      </c>
      <c r="D210" s="4">
        <f t="shared" si="23"/>
        <v>78</v>
      </c>
      <c r="E210" s="43">
        <v>36.130000000000003</v>
      </c>
      <c r="F210" s="43">
        <f t="shared" si="25"/>
        <v>35.792500000000004</v>
      </c>
      <c r="G210" s="5" t="s">
        <v>32</v>
      </c>
      <c r="H210" s="43">
        <f t="shared" si="26"/>
        <v>6791.4024999999956</v>
      </c>
      <c r="I210" s="43">
        <f t="shared" si="21"/>
        <v>14600.597500000003</v>
      </c>
      <c r="J210" s="80">
        <f t="shared" si="24"/>
        <v>290.24788362299455</v>
      </c>
      <c r="K210" s="296" t="s">
        <v>304</v>
      </c>
      <c r="L210" s="297"/>
    </row>
    <row r="211" spans="1:12" s="3" customFormat="1" ht="12.95" customHeight="1" thickBot="1">
      <c r="A211" s="61">
        <f t="shared" si="22"/>
        <v>184</v>
      </c>
      <c r="B211" s="4">
        <v>2</v>
      </c>
      <c r="C211" s="4" t="s">
        <v>35</v>
      </c>
      <c r="D211" s="4">
        <f t="shared" si="23"/>
        <v>77</v>
      </c>
      <c r="E211" s="43">
        <v>36.229999999999997</v>
      </c>
      <c r="F211" s="43">
        <f t="shared" si="25"/>
        <v>35.892499999999998</v>
      </c>
      <c r="G211" s="5" t="s">
        <v>32</v>
      </c>
      <c r="H211" s="43">
        <f t="shared" si="26"/>
        <v>6827.2949999999955</v>
      </c>
      <c r="I211" s="43">
        <f t="shared" si="21"/>
        <v>14564.705000000005</v>
      </c>
      <c r="J211" s="80">
        <f t="shared" si="24"/>
        <v>291.11064719251328</v>
      </c>
      <c r="K211" s="298"/>
      <c r="L211" s="299"/>
    </row>
    <row r="212" spans="1:12" s="3" customFormat="1" ht="12.75">
      <c r="A212" s="61">
        <f t="shared" si="22"/>
        <v>185</v>
      </c>
      <c r="B212" s="4">
        <v>2</v>
      </c>
      <c r="C212" s="4" t="s">
        <v>35</v>
      </c>
      <c r="D212" s="4">
        <f t="shared" si="23"/>
        <v>76</v>
      </c>
      <c r="E212" s="43">
        <v>36.81</v>
      </c>
      <c r="F212" s="43">
        <f t="shared" si="25"/>
        <v>36.472500000000004</v>
      </c>
      <c r="G212" s="5" t="s">
        <v>32</v>
      </c>
      <c r="H212" s="43">
        <f t="shared" si="26"/>
        <v>6863.7674999999954</v>
      </c>
      <c r="I212" s="43">
        <f t="shared" si="21"/>
        <v>14528.232500000006</v>
      </c>
      <c r="J212" s="84">
        <f t="shared" si="24"/>
        <v>291.98735247326192</v>
      </c>
      <c r="K212" s="289"/>
      <c r="L212" s="290"/>
    </row>
    <row r="213" spans="1:12" s="3" customFormat="1" ht="12.75">
      <c r="A213" s="61">
        <f t="shared" si="22"/>
        <v>186</v>
      </c>
      <c r="B213" s="4">
        <v>2</v>
      </c>
      <c r="C213" s="4" t="s">
        <v>35</v>
      </c>
      <c r="D213" s="4">
        <f t="shared" si="23"/>
        <v>75</v>
      </c>
      <c r="E213" s="43">
        <v>36.01</v>
      </c>
      <c r="F213" s="43">
        <f t="shared" si="25"/>
        <v>35.672499999999999</v>
      </c>
      <c r="G213" s="5" t="s">
        <v>32</v>
      </c>
      <c r="H213" s="43">
        <f t="shared" si="26"/>
        <v>6899.4399999999951</v>
      </c>
      <c r="I213" s="43">
        <f t="shared" si="21"/>
        <v>14492.560000000005</v>
      </c>
      <c r="J213" s="84">
        <f t="shared" si="24"/>
        <v>292.84482780748652</v>
      </c>
      <c r="K213" s="289"/>
      <c r="L213" s="290"/>
    </row>
    <row r="214" spans="1:12" s="3" customFormat="1" ht="12.75">
      <c r="A214" s="61">
        <f t="shared" si="22"/>
        <v>187</v>
      </c>
      <c r="B214" s="4">
        <v>2</v>
      </c>
      <c r="C214" s="4" t="s">
        <v>35</v>
      </c>
      <c r="D214" s="4">
        <f t="shared" si="23"/>
        <v>74</v>
      </c>
      <c r="E214" s="43">
        <v>36.24</v>
      </c>
      <c r="F214" s="43">
        <f t="shared" si="25"/>
        <v>35.902500000000003</v>
      </c>
      <c r="G214" s="5" t="s">
        <v>32</v>
      </c>
      <c r="H214" s="43">
        <f t="shared" si="26"/>
        <v>6935.3424999999952</v>
      </c>
      <c r="I214" s="43">
        <f t="shared" si="21"/>
        <v>14456.657500000005</v>
      </c>
      <c r="J214" s="80">
        <f t="shared" si="24"/>
        <v>293.70783175133681</v>
      </c>
      <c r="K214" s="289"/>
      <c r="L214" s="290"/>
    </row>
    <row r="215" spans="1:12" s="3" customFormat="1" ht="12.75">
      <c r="A215" s="61">
        <f t="shared" si="22"/>
        <v>188</v>
      </c>
      <c r="B215" s="4">
        <v>2</v>
      </c>
      <c r="C215" s="4" t="s">
        <v>35</v>
      </c>
      <c r="D215" s="4">
        <f t="shared" si="23"/>
        <v>73</v>
      </c>
      <c r="E215" s="43">
        <v>36.03</v>
      </c>
      <c r="F215" s="43">
        <f t="shared" si="25"/>
        <v>35.692500000000003</v>
      </c>
      <c r="G215" s="5" t="s">
        <v>32</v>
      </c>
      <c r="H215" s="43">
        <f t="shared" si="26"/>
        <v>6971.0349999999953</v>
      </c>
      <c r="I215" s="43">
        <f t="shared" si="21"/>
        <v>14420.965000000004</v>
      </c>
      <c r="J215" s="80">
        <f t="shared" si="24"/>
        <v>294.56578783422447</v>
      </c>
      <c r="K215" s="289"/>
      <c r="L215" s="290"/>
    </row>
    <row r="216" spans="1:12" s="3" customFormat="1" ht="12.75">
      <c r="A216" s="61">
        <f t="shared" si="22"/>
        <v>189</v>
      </c>
      <c r="B216" s="4">
        <v>2</v>
      </c>
      <c r="C216" s="4" t="s">
        <v>35</v>
      </c>
      <c r="D216" s="4">
        <f t="shared" si="23"/>
        <v>72</v>
      </c>
      <c r="E216" s="43">
        <v>36.79</v>
      </c>
      <c r="F216" s="43">
        <f t="shared" si="25"/>
        <v>36.452500000000001</v>
      </c>
      <c r="G216" s="5" t="s">
        <v>32</v>
      </c>
      <c r="H216" s="43">
        <f t="shared" si="26"/>
        <v>7007.4874999999956</v>
      </c>
      <c r="I216" s="43">
        <f t="shared" si="21"/>
        <v>14384.512500000004</v>
      </c>
      <c r="J216" s="80">
        <f t="shared" si="24"/>
        <v>295.44201236631005</v>
      </c>
      <c r="K216" s="289"/>
      <c r="L216" s="290"/>
    </row>
    <row r="217" spans="1:12" s="3" customFormat="1" ht="12.75">
      <c r="A217" s="61">
        <f t="shared" si="22"/>
        <v>190</v>
      </c>
      <c r="B217" s="4">
        <v>2</v>
      </c>
      <c r="C217" s="4" t="s">
        <v>35</v>
      </c>
      <c r="D217" s="4">
        <f t="shared" si="23"/>
        <v>71</v>
      </c>
      <c r="E217" s="43">
        <v>36.67</v>
      </c>
      <c r="F217" s="43">
        <f t="shared" si="25"/>
        <v>36.332500000000003</v>
      </c>
      <c r="G217" s="5" t="s">
        <v>32</v>
      </c>
      <c r="H217" s="43">
        <f t="shared" si="26"/>
        <v>7043.8199999999961</v>
      </c>
      <c r="I217" s="43">
        <f t="shared" si="21"/>
        <v>14348.180000000004</v>
      </c>
      <c r="J217" s="80">
        <f t="shared" si="24"/>
        <v>296.31535240641699</v>
      </c>
      <c r="K217" s="289"/>
      <c r="L217" s="290"/>
    </row>
    <row r="218" spans="1:12" s="3" customFormat="1" ht="12.75">
      <c r="A218" s="61">
        <f t="shared" si="22"/>
        <v>191</v>
      </c>
      <c r="B218" s="4">
        <v>2</v>
      </c>
      <c r="C218" s="115" t="s">
        <v>35</v>
      </c>
      <c r="D218" s="4">
        <f t="shared" si="23"/>
        <v>70</v>
      </c>
      <c r="E218" s="43">
        <v>36.409999999999997</v>
      </c>
      <c r="F218" s="43">
        <f t="shared" si="25"/>
        <v>36.072499999999998</v>
      </c>
      <c r="G218" s="5" t="s">
        <v>32</v>
      </c>
      <c r="H218" s="43">
        <f t="shared" si="26"/>
        <v>7079.8924999999963</v>
      </c>
      <c r="I218" s="43">
        <f t="shared" si="21"/>
        <v>14312.107500000004</v>
      </c>
      <c r="J218" s="80">
        <f t="shared" si="24"/>
        <v>297.18244271390364</v>
      </c>
      <c r="K218" s="289"/>
      <c r="L218" s="290"/>
    </row>
    <row r="219" spans="1:12" s="3" customFormat="1" ht="12.75">
      <c r="A219" s="61">
        <f t="shared" si="22"/>
        <v>192</v>
      </c>
      <c r="B219" s="4">
        <v>2</v>
      </c>
      <c r="C219" s="93" t="s">
        <v>35</v>
      </c>
      <c r="D219" s="4">
        <f t="shared" si="23"/>
        <v>69</v>
      </c>
      <c r="E219" s="43">
        <v>36.71</v>
      </c>
      <c r="F219" s="43">
        <f t="shared" si="25"/>
        <v>36.372500000000002</v>
      </c>
      <c r="G219" s="5" t="s">
        <v>32</v>
      </c>
      <c r="H219" s="43">
        <f t="shared" si="26"/>
        <v>7116.2649999999967</v>
      </c>
      <c r="I219" s="43">
        <f t="shared" si="21"/>
        <v>14275.735000000004</v>
      </c>
      <c r="J219" s="80">
        <f t="shared" si="24"/>
        <v>298.0567442513368</v>
      </c>
      <c r="K219" s="289"/>
      <c r="L219" s="290"/>
    </row>
    <row r="220" spans="1:12" s="3" customFormat="1" ht="12.75">
      <c r="A220" s="61">
        <f t="shared" si="22"/>
        <v>193</v>
      </c>
      <c r="B220" s="4">
        <v>2</v>
      </c>
      <c r="C220" s="115" t="s">
        <v>35</v>
      </c>
      <c r="D220" s="4">
        <f t="shared" si="23"/>
        <v>68</v>
      </c>
      <c r="E220" s="43">
        <v>36.51</v>
      </c>
      <c r="F220" s="43">
        <f t="shared" si="25"/>
        <v>36.172499999999999</v>
      </c>
      <c r="G220" s="5" t="s">
        <v>32</v>
      </c>
      <c r="H220" s="43">
        <f t="shared" si="26"/>
        <v>7152.4374999999964</v>
      </c>
      <c r="I220" s="43">
        <f t="shared" si="21"/>
        <v>14239.562500000004</v>
      </c>
      <c r="J220" s="80">
        <f t="shared" si="24"/>
        <v>298.92623830213893</v>
      </c>
      <c r="K220" s="289"/>
      <c r="L220" s="290"/>
    </row>
    <row r="221" spans="1:12" s="3" customFormat="1" ht="12.75">
      <c r="A221" s="61">
        <f t="shared" si="22"/>
        <v>194</v>
      </c>
      <c r="B221" s="4">
        <v>2</v>
      </c>
      <c r="C221" s="4" t="s">
        <v>35</v>
      </c>
      <c r="D221" s="4">
        <f t="shared" si="23"/>
        <v>67</v>
      </c>
      <c r="E221" s="43">
        <v>36.53</v>
      </c>
      <c r="F221" s="43">
        <f t="shared" si="25"/>
        <v>36.192500000000003</v>
      </c>
      <c r="G221" s="5" t="s">
        <v>32</v>
      </c>
      <c r="H221" s="43">
        <f t="shared" si="26"/>
        <v>7188.6299999999965</v>
      </c>
      <c r="I221" s="43">
        <f t="shared" si="21"/>
        <v>14203.370000000003</v>
      </c>
      <c r="J221" s="80">
        <f t="shared" si="24"/>
        <v>299.79621310160417</v>
      </c>
      <c r="K221" s="289"/>
      <c r="L221" s="290"/>
    </row>
    <row r="222" spans="1:12" s="3" customFormat="1" ht="12.75">
      <c r="A222" s="61">
        <f t="shared" si="22"/>
        <v>195</v>
      </c>
      <c r="B222" s="4">
        <v>2</v>
      </c>
      <c r="C222" s="172" t="s">
        <v>35</v>
      </c>
      <c r="D222" s="4">
        <f t="shared" si="23"/>
        <v>66</v>
      </c>
      <c r="E222" s="43">
        <v>36.75</v>
      </c>
      <c r="F222" s="43">
        <f t="shared" si="25"/>
        <v>36.412500000000001</v>
      </c>
      <c r="G222" s="5" t="s">
        <v>32</v>
      </c>
      <c r="H222" s="43">
        <f t="shared" si="26"/>
        <v>7225.0424999999968</v>
      </c>
      <c r="I222" s="43">
        <f t="shared" si="21"/>
        <v>14166.957500000004</v>
      </c>
      <c r="J222" s="80">
        <f t="shared" si="24"/>
        <v>300.67147613636354</v>
      </c>
      <c r="K222" s="289"/>
      <c r="L222" s="290"/>
    </row>
    <row r="223" spans="1:12" s="3" customFormat="1" ht="12.75">
      <c r="A223" s="61">
        <f t="shared" si="22"/>
        <v>196</v>
      </c>
      <c r="B223" s="4">
        <v>2</v>
      </c>
      <c r="C223" s="42" t="s">
        <v>35</v>
      </c>
      <c r="D223" s="4">
        <f t="shared" si="23"/>
        <v>65</v>
      </c>
      <c r="E223" s="43">
        <v>35.18</v>
      </c>
      <c r="F223" s="43">
        <f t="shared" si="25"/>
        <v>34.842500000000001</v>
      </c>
      <c r="G223" s="5" t="s">
        <v>32</v>
      </c>
      <c r="H223" s="43">
        <f t="shared" si="26"/>
        <v>7259.8849999999966</v>
      </c>
      <c r="I223" s="43">
        <f t="shared" si="21"/>
        <v>14132.115000000003</v>
      </c>
      <c r="J223" s="80">
        <f t="shared" si="24"/>
        <v>301.50900040106944</v>
      </c>
      <c r="K223" s="289"/>
      <c r="L223" s="290"/>
    </row>
    <row r="224" spans="1:12" s="3" customFormat="1" ht="12.75">
      <c r="A224" s="61">
        <f t="shared" si="22"/>
        <v>197</v>
      </c>
      <c r="B224" s="4">
        <v>2</v>
      </c>
      <c r="C224" s="4" t="s">
        <v>35</v>
      </c>
      <c r="D224" s="4">
        <f t="shared" si="23"/>
        <v>64</v>
      </c>
      <c r="E224" s="43">
        <v>37.090000000000003</v>
      </c>
      <c r="F224" s="43">
        <f t="shared" si="25"/>
        <v>36.752500000000005</v>
      </c>
      <c r="G224" s="5" t="s">
        <v>32</v>
      </c>
      <c r="H224" s="43">
        <f t="shared" si="26"/>
        <v>7296.6374999999962</v>
      </c>
      <c r="I224" s="43">
        <f t="shared" si="21"/>
        <v>14095.362500000003</v>
      </c>
      <c r="J224" s="80">
        <f t="shared" si="24"/>
        <v>302.39243616310148</v>
      </c>
      <c r="K224" s="289"/>
      <c r="L224" s="290"/>
    </row>
    <row r="225" spans="1:12" s="3" customFormat="1" ht="12.75">
      <c r="A225" s="61">
        <f t="shared" si="22"/>
        <v>198</v>
      </c>
      <c r="B225" s="4">
        <v>2</v>
      </c>
      <c r="C225" s="4" t="s">
        <v>35</v>
      </c>
      <c r="D225" s="4">
        <f t="shared" si="23"/>
        <v>63</v>
      </c>
      <c r="E225" s="43">
        <v>36.86</v>
      </c>
      <c r="F225" s="43">
        <f t="shared" si="25"/>
        <v>36.522500000000001</v>
      </c>
      <c r="G225" s="5" t="s">
        <v>32</v>
      </c>
      <c r="H225" s="43">
        <f t="shared" si="26"/>
        <v>7333.1599999999962</v>
      </c>
      <c r="I225" s="43">
        <f t="shared" si="21"/>
        <v>14058.840000000004</v>
      </c>
      <c r="J225" s="80">
        <f t="shared" si="24"/>
        <v>303.27034331550794</v>
      </c>
      <c r="K225" s="289"/>
      <c r="L225" s="290"/>
    </row>
    <row r="226" spans="1:12" s="3" customFormat="1" ht="12.75">
      <c r="A226" s="61">
        <f t="shared" si="22"/>
        <v>199</v>
      </c>
      <c r="B226" s="4">
        <v>2</v>
      </c>
      <c r="C226" s="4" t="s">
        <v>35</v>
      </c>
      <c r="D226" s="4">
        <f t="shared" si="23"/>
        <v>62</v>
      </c>
      <c r="E226" s="43">
        <v>36.64</v>
      </c>
      <c r="F226" s="43">
        <f t="shared" si="25"/>
        <v>36.302500000000002</v>
      </c>
      <c r="G226" s="5" t="s">
        <v>32</v>
      </c>
      <c r="H226" s="43">
        <f t="shared" si="26"/>
        <v>7369.462499999996</v>
      </c>
      <c r="I226" s="43">
        <f t="shared" si="21"/>
        <v>14022.537500000004</v>
      </c>
      <c r="J226" s="80">
        <f t="shared" si="24"/>
        <v>304.14296223262022</v>
      </c>
      <c r="K226" s="289"/>
      <c r="L226" s="290"/>
    </row>
    <row r="227" spans="1:12" s="3" customFormat="1" ht="12.75">
      <c r="A227" s="61">
        <f t="shared" si="22"/>
        <v>200</v>
      </c>
      <c r="B227" s="4">
        <v>2</v>
      </c>
      <c r="C227" s="4" t="s">
        <v>35</v>
      </c>
      <c r="D227" s="4">
        <f t="shared" si="23"/>
        <v>61</v>
      </c>
      <c r="E227" s="43">
        <v>36.19</v>
      </c>
      <c r="F227" s="43">
        <f t="shared" si="25"/>
        <v>35.852499999999999</v>
      </c>
      <c r="G227" s="5" t="s">
        <v>32</v>
      </c>
      <c r="H227" s="43">
        <f t="shared" si="26"/>
        <v>7405.314999999996</v>
      </c>
      <c r="I227" s="43">
        <f t="shared" si="21"/>
        <v>13986.685000000005</v>
      </c>
      <c r="J227" s="80">
        <f t="shared" si="24"/>
        <v>305.00476430481274</v>
      </c>
      <c r="K227" s="289"/>
      <c r="L227" s="290"/>
    </row>
    <row r="228" spans="1:12" s="3" customFormat="1" ht="12.75">
      <c r="A228" s="61">
        <f t="shared" si="22"/>
        <v>201</v>
      </c>
      <c r="B228" s="4">
        <v>2</v>
      </c>
      <c r="C228" s="4" t="s">
        <v>35</v>
      </c>
      <c r="D228" s="4">
        <f t="shared" si="23"/>
        <v>60</v>
      </c>
      <c r="E228" s="43">
        <v>37.39</v>
      </c>
      <c r="F228" s="43">
        <f t="shared" si="25"/>
        <v>37.052500000000002</v>
      </c>
      <c r="G228" s="5" t="s">
        <v>32</v>
      </c>
      <c r="H228" s="43">
        <f t="shared" si="26"/>
        <v>7442.3674999999957</v>
      </c>
      <c r="I228" s="43">
        <f t="shared" si="21"/>
        <v>13949.632500000003</v>
      </c>
      <c r="J228" s="80">
        <f t="shared" si="24"/>
        <v>305.89541129679134</v>
      </c>
      <c r="K228" s="289"/>
      <c r="L228" s="290"/>
    </row>
    <row r="229" spans="1:12" s="3" customFormat="1" ht="12.75">
      <c r="A229" s="61">
        <f t="shared" si="22"/>
        <v>202</v>
      </c>
      <c r="B229" s="4">
        <v>2</v>
      </c>
      <c r="C229" s="4" t="s">
        <v>35</v>
      </c>
      <c r="D229" s="4">
        <f t="shared" si="23"/>
        <v>59</v>
      </c>
      <c r="E229" s="43">
        <v>36.950000000000003</v>
      </c>
      <c r="F229" s="43">
        <f t="shared" si="25"/>
        <v>36.612500000000004</v>
      </c>
      <c r="G229" s="5" t="s">
        <v>32</v>
      </c>
      <c r="H229" s="43">
        <f t="shared" si="26"/>
        <v>7478.9799999999959</v>
      </c>
      <c r="I229" s="43">
        <f t="shared" ref="I229:I311" si="27">IF(H229="","",$K$7-H229)</f>
        <v>13913.020000000004</v>
      </c>
      <c r="J229" s="80">
        <f t="shared" si="24"/>
        <v>306.77548181818167</v>
      </c>
      <c r="K229" s="289"/>
      <c r="L229" s="290"/>
    </row>
    <row r="230" spans="1:12" s="3" customFormat="1" ht="12.75">
      <c r="A230" s="61">
        <f t="shared" si="22"/>
        <v>203</v>
      </c>
      <c r="B230" s="4">
        <v>2</v>
      </c>
      <c r="C230" s="4" t="s">
        <v>35</v>
      </c>
      <c r="D230" s="4">
        <f t="shared" si="23"/>
        <v>58</v>
      </c>
      <c r="E230" s="43">
        <v>36.520000000000003</v>
      </c>
      <c r="F230" s="43">
        <f t="shared" si="25"/>
        <v>36.182500000000005</v>
      </c>
      <c r="G230" s="5" t="s">
        <v>32</v>
      </c>
      <c r="H230" s="43">
        <f t="shared" si="26"/>
        <v>7515.1624999999958</v>
      </c>
      <c r="I230" s="43">
        <f t="shared" si="27"/>
        <v>13876.837500000005</v>
      </c>
      <c r="J230" s="80">
        <f t="shared" si="24"/>
        <v>307.64521624331542</v>
      </c>
      <c r="K230" s="289"/>
      <c r="L230" s="290"/>
    </row>
    <row r="231" spans="1:12" s="3" customFormat="1" ht="12.75">
      <c r="A231" s="61">
        <f t="shared" si="22"/>
        <v>204</v>
      </c>
      <c r="B231" s="4">
        <v>2</v>
      </c>
      <c r="C231" s="93" t="s">
        <v>35</v>
      </c>
      <c r="D231" s="4">
        <f t="shared" si="23"/>
        <v>57</v>
      </c>
      <c r="E231" s="43">
        <v>36.19</v>
      </c>
      <c r="F231" s="43">
        <f t="shared" si="25"/>
        <v>35.852499999999999</v>
      </c>
      <c r="G231" s="5" t="s">
        <v>32</v>
      </c>
      <c r="H231" s="43">
        <f t="shared" si="26"/>
        <v>7551.0149999999958</v>
      </c>
      <c r="I231" s="43">
        <f t="shared" si="27"/>
        <v>13840.985000000004</v>
      </c>
      <c r="J231" s="84">
        <f t="shared" si="24"/>
        <v>308.50701831550793</v>
      </c>
      <c r="K231" s="289"/>
      <c r="L231" s="290"/>
    </row>
    <row r="232" spans="1:12" s="3" customFormat="1" ht="12.75">
      <c r="A232" s="61">
        <f t="shared" si="22"/>
        <v>205</v>
      </c>
      <c r="B232" s="85">
        <v>2</v>
      </c>
      <c r="C232" s="115" t="s">
        <v>35</v>
      </c>
      <c r="D232" s="4">
        <f t="shared" si="23"/>
        <v>56</v>
      </c>
      <c r="E232" s="43">
        <v>37.880000000000003</v>
      </c>
      <c r="F232" s="43">
        <f t="shared" si="25"/>
        <v>37.542500000000004</v>
      </c>
      <c r="G232" s="5" t="s">
        <v>32</v>
      </c>
      <c r="H232" s="43">
        <f t="shared" si="26"/>
        <v>7588.5574999999953</v>
      </c>
      <c r="I232" s="43">
        <f t="shared" si="27"/>
        <v>13803.442500000005</v>
      </c>
      <c r="J232" s="80">
        <f t="shared" si="24"/>
        <v>309.40944364973251</v>
      </c>
      <c r="K232" s="289"/>
      <c r="L232" s="290"/>
    </row>
    <row r="233" spans="1:12" s="3" customFormat="1" ht="13.5" thickBot="1">
      <c r="A233" s="114">
        <f t="shared" si="22"/>
        <v>206</v>
      </c>
      <c r="B233" s="85">
        <v>2</v>
      </c>
      <c r="C233" s="115" t="s">
        <v>35</v>
      </c>
      <c r="D233" s="4">
        <f t="shared" si="23"/>
        <v>55</v>
      </c>
      <c r="E233" s="43">
        <v>36.75</v>
      </c>
      <c r="F233" s="43">
        <f t="shared" si="25"/>
        <v>36.412500000000001</v>
      </c>
      <c r="G233" s="5" t="s">
        <v>32</v>
      </c>
      <c r="H233" s="43">
        <f t="shared" si="26"/>
        <v>7624.9699999999957</v>
      </c>
      <c r="I233" s="43">
        <f t="shared" si="27"/>
        <v>13767.030000000004</v>
      </c>
      <c r="J233" s="80">
        <f t="shared" si="24"/>
        <v>310.28470668449188</v>
      </c>
      <c r="K233" s="289"/>
      <c r="L233" s="290"/>
    </row>
    <row r="234" spans="1:12" s="3" customFormat="1" ht="14.45" customHeight="1" thickBot="1">
      <c r="A234" s="114">
        <f>A233+1</f>
        <v>207</v>
      </c>
      <c r="B234" s="267">
        <v>1</v>
      </c>
      <c r="C234" s="115" t="s">
        <v>35</v>
      </c>
      <c r="D234" s="4">
        <f t="shared" si="23"/>
        <v>54</v>
      </c>
      <c r="E234" s="43">
        <v>36.5</v>
      </c>
      <c r="F234" s="43">
        <f t="shared" si="25"/>
        <v>36.162500000000001</v>
      </c>
      <c r="G234" s="5" t="s">
        <v>32</v>
      </c>
      <c r="H234" s="43">
        <f t="shared" si="26"/>
        <v>7661.1324999999961</v>
      </c>
      <c r="I234" s="43">
        <f t="shared" si="27"/>
        <v>13730.867500000004</v>
      </c>
      <c r="J234" s="80">
        <f t="shared" si="24"/>
        <v>311.15396036096246</v>
      </c>
      <c r="K234" s="289"/>
      <c r="L234" s="290"/>
    </row>
    <row r="235" spans="1:12" s="3" customFormat="1" ht="15.75" thickBot="1">
      <c r="A235" s="61">
        <f>A234+1</f>
        <v>208</v>
      </c>
      <c r="B235" s="4">
        <v>2</v>
      </c>
      <c r="C235" s="4" t="s">
        <v>35</v>
      </c>
      <c r="D235" s="267">
        <f>D234-1</f>
        <v>53</v>
      </c>
      <c r="E235" s="43">
        <v>34.64</v>
      </c>
      <c r="F235" s="43">
        <f t="shared" si="25"/>
        <v>34.302500000000002</v>
      </c>
      <c r="G235" s="5" t="s">
        <v>32</v>
      </c>
      <c r="H235" s="43">
        <f t="shared" si="26"/>
        <v>7695.4349999999959</v>
      </c>
      <c r="I235" s="117">
        <f t="shared" si="27"/>
        <v>13696.565000000004</v>
      </c>
      <c r="J235" s="80">
        <f t="shared" si="24"/>
        <v>311.97850441176456</v>
      </c>
      <c r="K235" s="294" t="s">
        <v>305</v>
      </c>
      <c r="L235" s="295"/>
    </row>
    <row r="236" spans="1:12" s="3" customFormat="1" ht="12.95" customHeight="1" thickBot="1">
      <c r="A236" s="266" t="s">
        <v>218</v>
      </c>
      <c r="B236" s="178">
        <v>0</v>
      </c>
      <c r="C236" s="305" t="s">
        <v>155</v>
      </c>
      <c r="D236" s="386"/>
      <c r="E236" s="179">
        <v>20.25</v>
      </c>
      <c r="F236" s="107">
        <f>E236-($D$10/12)</f>
        <v>19.912500000000001</v>
      </c>
      <c r="G236" s="5" t="s">
        <v>32</v>
      </c>
      <c r="H236" s="43">
        <f t="shared" si="26"/>
        <v>7715.3474999999962</v>
      </c>
      <c r="I236" s="43">
        <f>IF(H236="","",$K$7-H236)</f>
        <v>13676.652500000004</v>
      </c>
      <c r="J236" s="80">
        <f>$G$7+(H236*$D$8*$G$9/1000)</f>
        <v>312.45714979946513</v>
      </c>
      <c r="K236" s="296" t="s">
        <v>306</v>
      </c>
      <c r="L236" s="297"/>
    </row>
    <row r="237" spans="1:12" s="3" customFormat="1" ht="13.5" thickBot="1">
      <c r="A237" s="61">
        <f>A235+1</f>
        <v>209</v>
      </c>
      <c r="B237" s="4">
        <v>2</v>
      </c>
      <c r="C237" s="4" t="s">
        <v>35</v>
      </c>
      <c r="D237" s="42">
        <f>D235-1</f>
        <v>52</v>
      </c>
      <c r="E237" s="43">
        <v>36.69</v>
      </c>
      <c r="F237" s="43">
        <f t="shared" si="25"/>
        <v>36.352499999999999</v>
      </c>
      <c r="G237" s="5" t="s">
        <v>32</v>
      </c>
      <c r="H237" s="43">
        <f t="shared" si="26"/>
        <v>7751.6999999999962</v>
      </c>
      <c r="I237" s="43">
        <f t="shared" si="27"/>
        <v>13640.300000000003</v>
      </c>
      <c r="J237" s="80">
        <f t="shared" si="24"/>
        <v>313.33097058823523</v>
      </c>
      <c r="K237" s="298"/>
      <c r="L237" s="299"/>
    </row>
    <row r="238" spans="1:12" s="3" customFormat="1" ht="12.75">
      <c r="A238" s="61">
        <f t="shared" si="22"/>
        <v>210</v>
      </c>
      <c r="B238" s="4">
        <v>2</v>
      </c>
      <c r="C238" s="4" t="s">
        <v>35</v>
      </c>
      <c r="D238" s="42">
        <f t="shared" ref="D238:D277" si="28">D237-1</f>
        <v>51</v>
      </c>
      <c r="E238" s="43">
        <v>36.659999999999997</v>
      </c>
      <c r="F238" s="43">
        <f t="shared" si="25"/>
        <v>36.322499999999998</v>
      </c>
      <c r="G238" s="5" t="s">
        <v>32</v>
      </c>
      <c r="H238" s="43">
        <f t="shared" si="26"/>
        <v>7788.0224999999964</v>
      </c>
      <c r="I238" s="43">
        <f t="shared" si="27"/>
        <v>13603.977500000005</v>
      </c>
      <c r="J238" s="80">
        <f t="shared" si="24"/>
        <v>314.20407025401062</v>
      </c>
      <c r="K238" s="289"/>
      <c r="L238" s="290"/>
    </row>
    <row r="239" spans="1:12" s="3" customFormat="1" ht="12.75">
      <c r="A239" s="61">
        <f t="shared" si="22"/>
        <v>211</v>
      </c>
      <c r="B239" s="4">
        <v>2</v>
      </c>
      <c r="C239" s="4" t="s">
        <v>35</v>
      </c>
      <c r="D239" s="42">
        <f t="shared" si="28"/>
        <v>50</v>
      </c>
      <c r="E239" s="43">
        <v>36.1</v>
      </c>
      <c r="F239" s="43">
        <f t="shared" si="25"/>
        <v>35.762500000000003</v>
      </c>
      <c r="G239" s="5" t="s">
        <v>32</v>
      </c>
      <c r="H239" s="43">
        <f t="shared" si="26"/>
        <v>7823.7849999999962</v>
      </c>
      <c r="I239" s="43">
        <f t="shared" si="27"/>
        <v>13568.215000000004</v>
      </c>
      <c r="J239" s="80">
        <f t="shared" si="24"/>
        <v>315.06370895721921</v>
      </c>
      <c r="K239" s="289"/>
      <c r="L239" s="290"/>
    </row>
    <row r="240" spans="1:12" s="3" customFormat="1" ht="12.75">
      <c r="A240" s="61">
        <f t="shared" si="22"/>
        <v>212</v>
      </c>
      <c r="B240" s="4">
        <v>2</v>
      </c>
      <c r="C240" s="4" t="s">
        <v>35</v>
      </c>
      <c r="D240" s="42">
        <f t="shared" si="28"/>
        <v>49</v>
      </c>
      <c r="E240" s="43">
        <v>37.14</v>
      </c>
      <c r="F240" s="43">
        <f t="shared" si="25"/>
        <v>36.802500000000002</v>
      </c>
      <c r="G240" s="5" t="s">
        <v>32</v>
      </c>
      <c r="H240" s="43">
        <f t="shared" si="26"/>
        <v>7860.587499999996</v>
      </c>
      <c r="I240" s="43">
        <f t="shared" si="27"/>
        <v>13531.412500000004</v>
      </c>
      <c r="J240" s="80">
        <f t="shared" si="24"/>
        <v>315.94834659090901</v>
      </c>
      <c r="K240" s="520"/>
      <c r="L240" s="521"/>
    </row>
    <row r="241" spans="1:12" s="3" customFormat="1" ht="12.75">
      <c r="A241" s="61">
        <f t="shared" si="22"/>
        <v>213</v>
      </c>
      <c r="B241" s="4">
        <v>2</v>
      </c>
      <c r="C241" s="4" t="s">
        <v>35</v>
      </c>
      <c r="D241" s="42">
        <f t="shared" si="28"/>
        <v>48</v>
      </c>
      <c r="E241" s="43">
        <v>37.159999999999997</v>
      </c>
      <c r="F241" s="43">
        <f t="shared" si="25"/>
        <v>36.822499999999998</v>
      </c>
      <c r="G241" s="5" t="s">
        <v>32</v>
      </c>
      <c r="H241" s="43">
        <f t="shared" si="26"/>
        <v>7897.4099999999962</v>
      </c>
      <c r="I241" s="43">
        <f t="shared" si="27"/>
        <v>13494.590000000004</v>
      </c>
      <c r="J241" s="80">
        <f t="shared" si="24"/>
        <v>316.83346497326193</v>
      </c>
      <c r="K241" s="289"/>
      <c r="L241" s="290"/>
    </row>
    <row r="242" spans="1:12" s="3" customFormat="1" ht="14.45" customHeight="1">
      <c r="A242" s="61">
        <f t="shared" si="22"/>
        <v>214</v>
      </c>
      <c r="B242" s="4">
        <v>2</v>
      </c>
      <c r="C242" s="4" t="s">
        <v>35</v>
      </c>
      <c r="D242" s="42">
        <f t="shared" si="28"/>
        <v>47</v>
      </c>
      <c r="E242" s="43">
        <v>36.32</v>
      </c>
      <c r="F242" s="43">
        <f t="shared" si="25"/>
        <v>35.982500000000002</v>
      </c>
      <c r="G242" s="5" t="s">
        <v>32</v>
      </c>
      <c r="H242" s="43">
        <f t="shared" si="26"/>
        <v>7933.3924999999963</v>
      </c>
      <c r="I242" s="43">
        <f t="shared" si="27"/>
        <v>13458.607500000004</v>
      </c>
      <c r="J242" s="80">
        <f t="shared" si="24"/>
        <v>317.69839191176459</v>
      </c>
      <c r="K242" s="289"/>
      <c r="L242" s="290"/>
    </row>
    <row r="243" spans="1:12" s="3" customFormat="1" ht="12.75">
      <c r="A243" s="61">
        <f>A242+1</f>
        <v>215</v>
      </c>
      <c r="B243" s="4">
        <v>2</v>
      </c>
      <c r="C243" s="4" t="s">
        <v>35</v>
      </c>
      <c r="D243" s="42">
        <f>D242-1</f>
        <v>46</v>
      </c>
      <c r="E243" s="43">
        <v>36.799999999999997</v>
      </c>
      <c r="F243" s="43">
        <f t="shared" si="25"/>
        <v>36.462499999999999</v>
      </c>
      <c r="G243" s="5" t="s">
        <v>32</v>
      </c>
      <c r="H243" s="43">
        <f t="shared" si="26"/>
        <v>7969.8549999999959</v>
      </c>
      <c r="I243" s="43">
        <f t="shared" si="27"/>
        <v>13422.145000000004</v>
      </c>
      <c r="J243" s="80">
        <f t="shared" si="24"/>
        <v>318.57485681818173</v>
      </c>
      <c r="K243" s="289"/>
      <c r="L243" s="290"/>
    </row>
    <row r="244" spans="1:12" s="3" customFormat="1" ht="12.75">
      <c r="A244" s="61">
        <f>A243+1</f>
        <v>216</v>
      </c>
      <c r="B244" s="4">
        <v>2</v>
      </c>
      <c r="C244" s="4" t="s">
        <v>35</v>
      </c>
      <c r="D244" s="42">
        <f t="shared" si="28"/>
        <v>45</v>
      </c>
      <c r="E244" s="43">
        <v>36.93</v>
      </c>
      <c r="F244" s="43">
        <f t="shared" si="25"/>
        <v>36.592500000000001</v>
      </c>
      <c r="G244" s="5" t="s">
        <v>32</v>
      </c>
      <c r="H244" s="43">
        <f t="shared" si="26"/>
        <v>8006.4474999999957</v>
      </c>
      <c r="I244" s="43">
        <f t="shared" si="27"/>
        <v>13385.552500000005</v>
      </c>
      <c r="J244" s="80">
        <f t="shared" si="24"/>
        <v>319.45444659090901</v>
      </c>
      <c r="K244" s="289"/>
      <c r="L244" s="290"/>
    </row>
    <row r="245" spans="1:12" s="3" customFormat="1" ht="12.75">
      <c r="A245" s="61">
        <f t="shared" ref="A245:A296" si="29">A244+1</f>
        <v>217</v>
      </c>
      <c r="B245" s="4">
        <v>2</v>
      </c>
      <c r="C245" s="4" t="s">
        <v>35</v>
      </c>
      <c r="D245" s="42">
        <f t="shared" si="28"/>
        <v>44</v>
      </c>
      <c r="E245" s="43">
        <v>35.71</v>
      </c>
      <c r="F245" s="43">
        <f t="shared" si="25"/>
        <v>35.372500000000002</v>
      </c>
      <c r="G245" s="5" t="s">
        <v>32</v>
      </c>
      <c r="H245" s="43">
        <f t="shared" si="26"/>
        <v>8041.8199999999961</v>
      </c>
      <c r="I245" s="43">
        <f t="shared" si="27"/>
        <v>13350.180000000004</v>
      </c>
      <c r="J245" s="80">
        <f t="shared" si="24"/>
        <v>320.30471069518705</v>
      </c>
      <c r="K245" s="289"/>
      <c r="L245" s="290"/>
    </row>
    <row r="246" spans="1:12" s="3" customFormat="1" ht="12.75">
      <c r="A246" s="61">
        <f t="shared" si="29"/>
        <v>218</v>
      </c>
      <c r="B246" s="4">
        <v>2</v>
      </c>
      <c r="C246" s="4" t="s">
        <v>35</v>
      </c>
      <c r="D246" s="42">
        <f t="shared" si="28"/>
        <v>43</v>
      </c>
      <c r="E246" s="43">
        <v>37.299999999999997</v>
      </c>
      <c r="F246" s="43">
        <f t="shared" si="25"/>
        <v>36.962499999999999</v>
      </c>
      <c r="G246" s="5" t="s">
        <v>32</v>
      </c>
      <c r="H246" s="43">
        <f t="shared" si="26"/>
        <v>8078.7824999999957</v>
      </c>
      <c r="I246" s="43">
        <f t="shared" si="27"/>
        <v>13313.217500000004</v>
      </c>
      <c r="J246" s="80">
        <f t="shared" si="24"/>
        <v>321.19319431818172</v>
      </c>
      <c r="K246" s="289"/>
      <c r="L246" s="290"/>
    </row>
    <row r="247" spans="1:12" s="3" customFormat="1" ht="12.75">
      <c r="A247" s="61">
        <f t="shared" si="29"/>
        <v>219</v>
      </c>
      <c r="B247" s="4">
        <v>2</v>
      </c>
      <c r="C247" s="4" t="s">
        <v>35</v>
      </c>
      <c r="D247" s="42">
        <f t="shared" si="28"/>
        <v>42</v>
      </c>
      <c r="E247" s="43">
        <v>36.42</v>
      </c>
      <c r="F247" s="43">
        <f t="shared" si="25"/>
        <v>36.082500000000003</v>
      </c>
      <c r="G247" s="5" t="s">
        <v>32</v>
      </c>
      <c r="H247" s="43">
        <f t="shared" si="26"/>
        <v>8114.8649999999961</v>
      </c>
      <c r="I247" s="43">
        <f t="shared" si="27"/>
        <v>13277.135000000004</v>
      </c>
      <c r="J247" s="80">
        <f t="shared" si="24"/>
        <v>322.06052499999987</v>
      </c>
      <c r="K247" s="289"/>
      <c r="L247" s="290"/>
    </row>
    <row r="248" spans="1:12" s="3" customFormat="1" ht="12.75">
      <c r="A248" s="61">
        <f t="shared" si="29"/>
        <v>220</v>
      </c>
      <c r="B248" s="4">
        <v>2</v>
      </c>
      <c r="C248" s="4" t="s">
        <v>35</v>
      </c>
      <c r="D248" s="42">
        <f t="shared" si="28"/>
        <v>41</v>
      </c>
      <c r="E248" s="43">
        <v>35.57</v>
      </c>
      <c r="F248" s="43">
        <f t="shared" si="25"/>
        <v>35.232500000000002</v>
      </c>
      <c r="G248" s="5" t="s">
        <v>32</v>
      </c>
      <c r="H248" s="43">
        <f t="shared" si="26"/>
        <v>8150.0974999999962</v>
      </c>
      <c r="I248" s="43">
        <f t="shared" si="27"/>
        <v>13241.902500000004</v>
      </c>
      <c r="J248" s="80">
        <f t="shared" si="24"/>
        <v>322.90742386363627</v>
      </c>
      <c r="K248" s="289"/>
      <c r="L248" s="290"/>
    </row>
    <row r="249" spans="1:12" s="3" customFormat="1" ht="12.75">
      <c r="A249" s="61">
        <f t="shared" si="29"/>
        <v>221</v>
      </c>
      <c r="B249" s="4">
        <v>2</v>
      </c>
      <c r="C249" s="115" t="s">
        <v>35</v>
      </c>
      <c r="D249" s="42">
        <f t="shared" si="28"/>
        <v>40</v>
      </c>
      <c r="E249" s="43">
        <v>36.619999999999997</v>
      </c>
      <c r="F249" s="43">
        <f t="shared" si="25"/>
        <v>36.282499999999999</v>
      </c>
      <c r="G249" s="5" t="s">
        <v>32</v>
      </c>
      <c r="H249" s="43">
        <f t="shared" si="26"/>
        <v>8186.3799999999965</v>
      </c>
      <c r="I249" s="43">
        <f t="shared" si="27"/>
        <v>13205.620000000003</v>
      </c>
      <c r="J249" s="80">
        <f t="shared" si="24"/>
        <v>323.77956203208544</v>
      </c>
      <c r="K249" s="289"/>
      <c r="L249" s="290"/>
    </row>
    <row r="250" spans="1:12" s="3" customFormat="1" ht="12.75">
      <c r="A250" s="61">
        <f t="shared" si="29"/>
        <v>222</v>
      </c>
      <c r="B250" s="42">
        <v>2</v>
      </c>
      <c r="C250" s="93" t="s">
        <v>35</v>
      </c>
      <c r="D250" s="42">
        <f t="shared" si="28"/>
        <v>39</v>
      </c>
      <c r="E250" s="43">
        <v>37.08</v>
      </c>
      <c r="F250" s="43">
        <f t="shared" si="25"/>
        <v>36.7425</v>
      </c>
      <c r="G250" s="5" t="s">
        <v>32</v>
      </c>
      <c r="H250" s="43">
        <f t="shared" si="26"/>
        <v>8223.1224999999959</v>
      </c>
      <c r="I250" s="43">
        <f t="shared" si="27"/>
        <v>13168.877500000004</v>
      </c>
      <c r="J250" s="84">
        <f t="shared" si="24"/>
        <v>324.66275741978598</v>
      </c>
      <c r="K250" s="289"/>
      <c r="L250" s="290"/>
    </row>
    <row r="251" spans="1:12" s="3" customFormat="1" ht="12.75">
      <c r="A251" s="61">
        <f t="shared" si="29"/>
        <v>223</v>
      </c>
      <c r="B251" s="4">
        <v>2</v>
      </c>
      <c r="C251" s="4" t="s">
        <v>35</v>
      </c>
      <c r="D251" s="42">
        <f>D250-1</f>
        <v>38</v>
      </c>
      <c r="E251" s="43">
        <v>36.700000000000003</v>
      </c>
      <c r="F251" s="43">
        <f t="shared" si="25"/>
        <v>36.362500000000004</v>
      </c>
      <c r="G251" s="5" t="s">
        <v>32</v>
      </c>
      <c r="H251" s="43">
        <f t="shared" si="26"/>
        <v>8259.4849999999951</v>
      </c>
      <c r="I251" s="43">
        <f t="shared" si="27"/>
        <v>13132.515000000005</v>
      </c>
      <c r="J251" s="80">
        <f t="shared" si="24"/>
        <v>325.53681858288758</v>
      </c>
      <c r="K251" s="289"/>
      <c r="L251" s="290"/>
    </row>
    <row r="252" spans="1:12" s="3" customFormat="1" ht="12.75">
      <c r="A252" s="61">
        <f t="shared" si="29"/>
        <v>224</v>
      </c>
      <c r="B252" s="4">
        <v>2</v>
      </c>
      <c r="C252" s="4" t="s">
        <v>35</v>
      </c>
      <c r="D252" s="42">
        <f t="shared" si="28"/>
        <v>37</v>
      </c>
      <c r="E252" s="43">
        <v>36.18</v>
      </c>
      <c r="F252" s="43">
        <f t="shared" si="25"/>
        <v>35.842500000000001</v>
      </c>
      <c r="G252" s="5" t="s">
        <v>32</v>
      </c>
      <c r="H252" s="43">
        <f t="shared" si="26"/>
        <v>8295.3274999999958</v>
      </c>
      <c r="I252" s="43">
        <f t="shared" si="27"/>
        <v>13096.672500000004</v>
      </c>
      <c r="J252" s="80">
        <f t="shared" si="24"/>
        <v>326.3983802807486</v>
      </c>
      <c r="K252" s="289"/>
      <c r="L252" s="290"/>
    </row>
    <row r="253" spans="1:12" s="3" customFormat="1" ht="12.75">
      <c r="A253" s="61">
        <f t="shared" si="29"/>
        <v>225</v>
      </c>
      <c r="B253" s="4">
        <v>2</v>
      </c>
      <c r="C253" s="4" t="s">
        <v>35</v>
      </c>
      <c r="D253" s="42">
        <f t="shared" si="28"/>
        <v>36</v>
      </c>
      <c r="E253" s="43">
        <v>36.700000000000003</v>
      </c>
      <c r="F253" s="43">
        <f t="shared" si="25"/>
        <v>36.362500000000004</v>
      </c>
      <c r="G253" s="5" t="s">
        <v>32</v>
      </c>
      <c r="H253" s="43">
        <f t="shared" si="26"/>
        <v>8331.6899999999951</v>
      </c>
      <c r="I253" s="43">
        <f t="shared" si="27"/>
        <v>13060.310000000005</v>
      </c>
      <c r="J253" s="80">
        <f t="shared" si="24"/>
        <v>327.27244144385014</v>
      </c>
      <c r="K253" s="289"/>
      <c r="L253" s="290"/>
    </row>
    <row r="254" spans="1:12" s="3" customFormat="1" ht="12.75">
      <c r="A254" s="61">
        <f t="shared" si="29"/>
        <v>226</v>
      </c>
      <c r="B254" s="4">
        <v>2</v>
      </c>
      <c r="C254" s="4" t="s">
        <v>35</v>
      </c>
      <c r="D254" s="42">
        <f t="shared" si="28"/>
        <v>35</v>
      </c>
      <c r="E254" s="43">
        <v>36.53</v>
      </c>
      <c r="F254" s="43">
        <f t="shared" si="25"/>
        <v>36.192500000000003</v>
      </c>
      <c r="G254" s="5" t="s">
        <v>32</v>
      </c>
      <c r="H254" s="43">
        <f t="shared" si="26"/>
        <v>8367.8824999999943</v>
      </c>
      <c r="I254" s="43">
        <f t="shared" si="27"/>
        <v>13024.117500000006</v>
      </c>
      <c r="J254" s="80">
        <f t="shared" si="24"/>
        <v>328.14241624331532</v>
      </c>
      <c r="K254" s="289"/>
      <c r="L254" s="290"/>
    </row>
    <row r="255" spans="1:12" s="3" customFormat="1" ht="12.75">
      <c r="A255" s="61">
        <f t="shared" si="29"/>
        <v>227</v>
      </c>
      <c r="B255" s="4">
        <v>2</v>
      </c>
      <c r="C255" s="4" t="s">
        <v>35</v>
      </c>
      <c r="D255" s="42">
        <f t="shared" si="28"/>
        <v>34</v>
      </c>
      <c r="E255" s="43">
        <v>36.69</v>
      </c>
      <c r="F255" s="43">
        <f t="shared" si="25"/>
        <v>36.352499999999999</v>
      </c>
      <c r="G255" s="5" t="s">
        <v>32</v>
      </c>
      <c r="H255" s="43">
        <f t="shared" si="26"/>
        <v>8404.2349999999951</v>
      </c>
      <c r="I255" s="43">
        <f t="shared" si="27"/>
        <v>12987.765000000005</v>
      </c>
      <c r="J255" s="80">
        <f t="shared" si="24"/>
        <v>329.01623703208543</v>
      </c>
      <c r="K255" s="289"/>
      <c r="L255" s="290"/>
    </row>
    <row r="256" spans="1:12" s="3" customFormat="1" ht="12.75">
      <c r="A256" s="61">
        <f t="shared" si="29"/>
        <v>228</v>
      </c>
      <c r="B256" s="4">
        <v>2</v>
      </c>
      <c r="C256" s="4" t="s">
        <v>35</v>
      </c>
      <c r="D256" s="42">
        <f t="shared" si="28"/>
        <v>33</v>
      </c>
      <c r="E256" s="43">
        <v>37.33</v>
      </c>
      <c r="F256" s="43">
        <f t="shared" si="25"/>
        <v>36.9925</v>
      </c>
      <c r="G256" s="5" t="s">
        <v>32</v>
      </c>
      <c r="H256" s="43">
        <f t="shared" si="26"/>
        <v>8441.2274999999954</v>
      </c>
      <c r="I256" s="43">
        <f t="shared" si="27"/>
        <v>12950.772500000005</v>
      </c>
      <c r="J256" s="80">
        <f t="shared" si="24"/>
        <v>329.90544177807476</v>
      </c>
      <c r="K256" s="289"/>
      <c r="L256" s="290"/>
    </row>
    <row r="257" spans="1:12" s="3" customFormat="1" ht="12.75">
      <c r="A257" s="61">
        <f t="shared" si="29"/>
        <v>229</v>
      </c>
      <c r="B257" s="4">
        <v>2</v>
      </c>
      <c r="C257" s="4" t="s">
        <v>35</v>
      </c>
      <c r="D257" s="42">
        <f t="shared" si="28"/>
        <v>32</v>
      </c>
      <c r="E257" s="43">
        <v>36.69</v>
      </c>
      <c r="F257" s="43">
        <f t="shared" si="25"/>
        <v>36.352499999999999</v>
      </c>
      <c r="G257" s="5" t="s">
        <v>32</v>
      </c>
      <c r="H257" s="43">
        <f t="shared" si="26"/>
        <v>8477.5799999999963</v>
      </c>
      <c r="I257" s="43">
        <f t="shared" si="27"/>
        <v>12914.420000000004</v>
      </c>
      <c r="J257" s="80">
        <f t="shared" si="24"/>
        <v>330.77926256684481</v>
      </c>
      <c r="K257" s="289"/>
      <c r="L257" s="290"/>
    </row>
    <row r="258" spans="1:12" s="3" customFormat="1" ht="12.75">
      <c r="A258" s="61">
        <f t="shared" si="29"/>
        <v>230</v>
      </c>
      <c r="B258" s="4">
        <v>2</v>
      </c>
      <c r="C258" s="4" t="s">
        <v>35</v>
      </c>
      <c r="D258" s="42">
        <f t="shared" si="28"/>
        <v>31</v>
      </c>
      <c r="E258" s="43">
        <v>36.299999999999997</v>
      </c>
      <c r="F258" s="43">
        <f t="shared" si="25"/>
        <v>35.962499999999999</v>
      </c>
      <c r="G258" s="5" t="s">
        <v>32</v>
      </c>
      <c r="H258" s="43">
        <f t="shared" si="26"/>
        <v>8513.5424999999959</v>
      </c>
      <c r="I258" s="43">
        <f t="shared" si="27"/>
        <v>12878.457500000004</v>
      </c>
      <c r="J258" s="80">
        <f t="shared" si="24"/>
        <v>331.64370875668442</v>
      </c>
      <c r="K258" s="289"/>
      <c r="L258" s="290"/>
    </row>
    <row r="259" spans="1:12" s="3" customFormat="1" ht="12.75">
      <c r="A259" s="61">
        <f t="shared" si="29"/>
        <v>231</v>
      </c>
      <c r="B259" s="4">
        <v>2</v>
      </c>
      <c r="C259" s="4" t="s">
        <v>35</v>
      </c>
      <c r="D259" s="42">
        <f t="shared" si="28"/>
        <v>30</v>
      </c>
      <c r="E259" s="43">
        <v>35.85</v>
      </c>
      <c r="F259" s="43">
        <f t="shared" si="25"/>
        <v>35.512500000000003</v>
      </c>
      <c r="G259" s="5" t="s">
        <v>32</v>
      </c>
      <c r="H259" s="43">
        <f t="shared" si="26"/>
        <v>8549.0549999999967</v>
      </c>
      <c r="I259" s="43">
        <f t="shared" si="27"/>
        <v>12842.945000000003</v>
      </c>
      <c r="J259" s="80">
        <f t="shared" si="24"/>
        <v>332.49733810160421</v>
      </c>
      <c r="K259" s="289"/>
      <c r="L259" s="290"/>
    </row>
    <row r="260" spans="1:12" s="3" customFormat="1" ht="12.75">
      <c r="A260" s="61">
        <f t="shared" si="29"/>
        <v>232</v>
      </c>
      <c r="B260" s="4">
        <v>2</v>
      </c>
      <c r="C260" s="4" t="s">
        <v>35</v>
      </c>
      <c r="D260" s="42">
        <f t="shared" si="28"/>
        <v>29</v>
      </c>
      <c r="E260" s="43">
        <v>36.56</v>
      </c>
      <c r="F260" s="43">
        <f t="shared" si="25"/>
        <v>36.222500000000004</v>
      </c>
      <c r="G260" s="5" t="s">
        <v>32</v>
      </c>
      <c r="H260" s="43">
        <f t="shared" si="26"/>
        <v>8585.2774999999965</v>
      </c>
      <c r="I260" s="43">
        <f t="shared" si="27"/>
        <v>12806.722500000003</v>
      </c>
      <c r="J260" s="80">
        <f t="shared" si="24"/>
        <v>333.36803402406406</v>
      </c>
      <c r="K260" s="289"/>
      <c r="L260" s="290"/>
    </row>
    <row r="261" spans="1:12" s="3" customFormat="1" ht="12.75">
      <c r="A261" s="61">
        <f t="shared" si="29"/>
        <v>233</v>
      </c>
      <c r="B261" s="4">
        <v>2</v>
      </c>
      <c r="C261" s="4" t="s">
        <v>35</v>
      </c>
      <c r="D261" s="42">
        <f t="shared" si="28"/>
        <v>28</v>
      </c>
      <c r="E261" s="43">
        <v>35.43</v>
      </c>
      <c r="F261" s="43">
        <f t="shared" si="25"/>
        <v>35.092500000000001</v>
      </c>
      <c r="G261" s="5" t="s">
        <v>32</v>
      </c>
      <c r="H261" s="43">
        <f t="shared" si="26"/>
        <v>8620.3699999999972</v>
      </c>
      <c r="I261" s="43">
        <f t="shared" si="27"/>
        <v>12771.630000000003</v>
      </c>
      <c r="J261" s="80">
        <f t="shared" si="24"/>
        <v>334.21156764705876</v>
      </c>
      <c r="K261" s="289"/>
      <c r="L261" s="290"/>
    </row>
    <row r="262" spans="1:12" s="3" customFormat="1" ht="12.75">
      <c r="A262" s="61">
        <f t="shared" si="29"/>
        <v>234</v>
      </c>
      <c r="B262" s="4">
        <v>2</v>
      </c>
      <c r="C262" s="4" t="s">
        <v>35</v>
      </c>
      <c r="D262" s="42">
        <f t="shared" si="28"/>
        <v>27</v>
      </c>
      <c r="E262" s="43">
        <v>36.79</v>
      </c>
      <c r="F262" s="43">
        <f t="shared" si="25"/>
        <v>36.452500000000001</v>
      </c>
      <c r="G262" s="5" t="s">
        <v>32</v>
      </c>
      <c r="H262" s="43">
        <f t="shared" si="26"/>
        <v>8656.8224999999966</v>
      </c>
      <c r="I262" s="43">
        <f t="shared" si="27"/>
        <v>12735.177500000003</v>
      </c>
      <c r="J262" s="80">
        <f t="shared" si="24"/>
        <v>335.08779217914429</v>
      </c>
      <c r="K262" s="289"/>
      <c r="L262" s="290"/>
    </row>
    <row r="263" spans="1:12" s="3" customFormat="1" ht="12.75">
      <c r="A263" s="61">
        <f t="shared" si="29"/>
        <v>235</v>
      </c>
      <c r="B263" s="4">
        <v>2</v>
      </c>
      <c r="C263" s="4" t="s">
        <v>35</v>
      </c>
      <c r="D263" s="42">
        <f t="shared" si="28"/>
        <v>26</v>
      </c>
      <c r="E263" s="43">
        <v>36.35</v>
      </c>
      <c r="F263" s="43">
        <f t="shared" si="25"/>
        <v>36.012500000000003</v>
      </c>
      <c r="G263" s="5" t="s">
        <v>32</v>
      </c>
      <c r="H263" s="43">
        <f t="shared" si="26"/>
        <v>8692.8349999999973</v>
      </c>
      <c r="I263" s="43">
        <f t="shared" si="27"/>
        <v>12699.165000000003</v>
      </c>
      <c r="J263" s="80">
        <f t="shared" si="24"/>
        <v>335.95344024064161</v>
      </c>
      <c r="K263" s="289"/>
      <c r="L263" s="290"/>
    </row>
    <row r="264" spans="1:12" s="3" customFormat="1" ht="12.75">
      <c r="A264" s="61">
        <f t="shared" si="29"/>
        <v>236</v>
      </c>
      <c r="B264" s="4">
        <v>2</v>
      </c>
      <c r="C264" s="4" t="s">
        <v>35</v>
      </c>
      <c r="D264" s="42">
        <f t="shared" si="28"/>
        <v>25</v>
      </c>
      <c r="E264" s="43">
        <v>36.450000000000003</v>
      </c>
      <c r="F264" s="43">
        <f t="shared" si="25"/>
        <v>36.112500000000004</v>
      </c>
      <c r="G264" s="5" t="s">
        <v>32</v>
      </c>
      <c r="H264" s="43">
        <f t="shared" si="26"/>
        <v>8728.9474999999966</v>
      </c>
      <c r="I264" s="43">
        <f t="shared" si="27"/>
        <v>12663.052500000003</v>
      </c>
      <c r="J264" s="80">
        <f t="shared" si="24"/>
        <v>336.82149204545442</v>
      </c>
      <c r="K264" s="289"/>
      <c r="L264" s="290"/>
    </row>
    <row r="265" spans="1:12" s="3" customFormat="1" ht="12.75">
      <c r="A265" s="61">
        <f t="shared" si="29"/>
        <v>237</v>
      </c>
      <c r="B265" s="4">
        <v>2</v>
      </c>
      <c r="C265" s="4" t="s">
        <v>35</v>
      </c>
      <c r="D265" s="42">
        <f t="shared" si="28"/>
        <v>24</v>
      </c>
      <c r="E265" s="43">
        <v>36.96</v>
      </c>
      <c r="F265" s="43">
        <f t="shared" si="25"/>
        <v>36.622500000000002</v>
      </c>
      <c r="G265" s="5" t="s">
        <v>32</v>
      </c>
      <c r="H265" s="43">
        <f t="shared" si="26"/>
        <v>8765.5699999999961</v>
      </c>
      <c r="I265" s="43">
        <f t="shared" si="27"/>
        <v>12626.430000000004</v>
      </c>
      <c r="J265" s="80">
        <f t="shared" si="24"/>
        <v>337.70180294117637</v>
      </c>
      <c r="K265" s="289"/>
      <c r="L265" s="290"/>
    </row>
    <row r="266" spans="1:12" s="3" customFormat="1" ht="12.75">
      <c r="A266" s="61">
        <f t="shared" si="29"/>
        <v>238</v>
      </c>
      <c r="B266" s="4">
        <v>2</v>
      </c>
      <c r="C266" s="4" t="s">
        <v>35</v>
      </c>
      <c r="D266" s="42">
        <f t="shared" si="28"/>
        <v>23</v>
      </c>
      <c r="E266" s="43">
        <v>35.97</v>
      </c>
      <c r="F266" s="43">
        <f t="shared" si="25"/>
        <v>35.6325</v>
      </c>
      <c r="G266" s="5" t="s">
        <v>32</v>
      </c>
      <c r="H266" s="43">
        <f t="shared" si="26"/>
        <v>8801.2024999999958</v>
      </c>
      <c r="I266" s="43">
        <f t="shared" si="27"/>
        <v>12590.797500000004</v>
      </c>
      <c r="J266" s="80">
        <f t="shared" si="24"/>
        <v>338.55831677807475</v>
      </c>
      <c r="K266" s="289"/>
      <c r="L266" s="290"/>
    </row>
    <row r="267" spans="1:12" s="3" customFormat="1" ht="12.75">
      <c r="A267" s="61">
        <f t="shared" si="29"/>
        <v>239</v>
      </c>
      <c r="B267" s="4">
        <v>2</v>
      </c>
      <c r="C267" s="4" t="s">
        <v>35</v>
      </c>
      <c r="D267" s="42">
        <f t="shared" si="28"/>
        <v>22</v>
      </c>
      <c r="E267" s="43">
        <v>36.57</v>
      </c>
      <c r="F267" s="43">
        <f t="shared" si="25"/>
        <v>36.232500000000002</v>
      </c>
      <c r="G267" s="5" t="s">
        <v>32</v>
      </c>
      <c r="H267" s="43">
        <f t="shared" si="26"/>
        <v>8837.4349999999959</v>
      </c>
      <c r="I267" s="43">
        <f t="shared" si="27"/>
        <v>12554.565000000004</v>
      </c>
      <c r="J267" s="80">
        <f t="shared" si="24"/>
        <v>339.42925307486621</v>
      </c>
      <c r="K267" s="289"/>
      <c r="L267" s="290"/>
    </row>
    <row r="268" spans="1:12" s="3" customFormat="1" ht="12.75">
      <c r="A268" s="61">
        <f t="shared" si="29"/>
        <v>240</v>
      </c>
      <c r="B268" s="4">
        <v>2</v>
      </c>
      <c r="C268" s="4" t="s">
        <v>35</v>
      </c>
      <c r="D268" s="42">
        <f t="shared" si="28"/>
        <v>21</v>
      </c>
      <c r="E268" s="43">
        <v>36.6</v>
      </c>
      <c r="F268" s="43">
        <f t="shared" si="25"/>
        <v>36.262500000000003</v>
      </c>
      <c r="G268" s="5" t="s">
        <v>32</v>
      </c>
      <c r="H268" s="43">
        <f t="shared" si="26"/>
        <v>8873.6974999999966</v>
      </c>
      <c r="I268" s="43">
        <f t="shared" si="27"/>
        <v>12518.302500000003</v>
      </c>
      <c r="J268" s="80">
        <f t="shared" si="24"/>
        <v>340.30091049465233</v>
      </c>
      <c r="K268" s="289"/>
      <c r="L268" s="290"/>
    </row>
    <row r="269" spans="1:12" s="3" customFormat="1" ht="12.75">
      <c r="A269" s="61">
        <f t="shared" si="29"/>
        <v>241</v>
      </c>
      <c r="B269" s="4">
        <v>2</v>
      </c>
      <c r="C269" s="4" t="s">
        <v>35</v>
      </c>
      <c r="D269" s="42">
        <f t="shared" si="28"/>
        <v>20</v>
      </c>
      <c r="E269" s="43">
        <v>35.880000000000003</v>
      </c>
      <c r="F269" s="43">
        <f t="shared" ref="F269:F270" si="30">E269-($D$10/12)</f>
        <v>35.542500000000004</v>
      </c>
      <c r="G269" s="5" t="s">
        <v>32</v>
      </c>
      <c r="H269" s="43">
        <f t="shared" si="26"/>
        <v>8909.2399999999961</v>
      </c>
      <c r="I269" s="43">
        <f t="shared" ref="I269:I275" si="31">IF(H269="","",$K$7-H269)</f>
        <v>12482.760000000004</v>
      </c>
      <c r="J269" s="80">
        <f t="shared" ref="J269:J270" si="32">$G$7+(H269*$D$8*$G$9/1000)</f>
        <v>341.15526096256673</v>
      </c>
      <c r="K269" s="289"/>
      <c r="L269" s="290"/>
    </row>
    <row r="270" spans="1:12" s="3" customFormat="1" ht="12.75">
      <c r="A270" s="61">
        <f t="shared" si="29"/>
        <v>242</v>
      </c>
      <c r="B270" s="4">
        <v>2</v>
      </c>
      <c r="C270" s="4" t="s">
        <v>35</v>
      </c>
      <c r="D270" s="42">
        <f t="shared" si="28"/>
        <v>19</v>
      </c>
      <c r="E270" s="43">
        <v>36.729999999999997</v>
      </c>
      <c r="F270" s="43">
        <f t="shared" si="30"/>
        <v>36.392499999999998</v>
      </c>
      <c r="G270" s="5" t="s">
        <v>32</v>
      </c>
      <c r="H270" s="43">
        <f t="shared" si="26"/>
        <v>8945.6324999999961</v>
      </c>
      <c r="I270" s="43">
        <f t="shared" si="31"/>
        <v>12446.367500000004</v>
      </c>
      <c r="J270" s="80">
        <f t="shared" si="32"/>
        <v>342.03004324866299</v>
      </c>
      <c r="K270" s="289"/>
      <c r="L270" s="290"/>
    </row>
    <row r="271" spans="1:12" s="3" customFormat="1" ht="12.75">
      <c r="A271" s="61">
        <f t="shared" si="29"/>
        <v>243</v>
      </c>
      <c r="B271" s="4">
        <v>2</v>
      </c>
      <c r="C271" s="115" t="s">
        <v>35</v>
      </c>
      <c r="D271" s="42">
        <f t="shared" si="28"/>
        <v>18</v>
      </c>
      <c r="E271" s="43">
        <v>37.21</v>
      </c>
      <c r="F271" s="43">
        <f t="shared" si="25"/>
        <v>36.872500000000002</v>
      </c>
      <c r="G271" s="5" t="s">
        <v>223</v>
      </c>
      <c r="H271" s="43">
        <f t="shared" si="26"/>
        <v>8982.5049999999956</v>
      </c>
      <c r="I271" s="43">
        <f t="shared" si="31"/>
        <v>12409.495000000004</v>
      </c>
      <c r="J271" s="80">
        <f t="shared" si="24"/>
        <v>342.91636350267368</v>
      </c>
      <c r="K271" s="289"/>
      <c r="L271" s="290"/>
    </row>
    <row r="272" spans="1:12" s="3" customFormat="1" ht="12.75">
      <c r="A272" s="61">
        <f t="shared" si="29"/>
        <v>244</v>
      </c>
      <c r="B272" s="4">
        <v>2</v>
      </c>
      <c r="C272" s="93" t="s">
        <v>35</v>
      </c>
      <c r="D272" s="42">
        <f t="shared" si="28"/>
        <v>17</v>
      </c>
      <c r="E272" s="43">
        <v>36.36</v>
      </c>
      <c r="F272" s="43">
        <f t="shared" si="25"/>
        <v>36.022500000000001</v>
      </c>
      <c r="G272" s="5" t="s">
        <v>32</v>
      </c>
      <c r="H272" s="43">
        <f t="shared" ref="H272:H295" si="33">IF(G272="IN",H271+F272,H271)</f>
        <v>9018.5274999999947</v>
      </c>
      <c r="I272" s="43">
        <f t="shared" si="31"/>
        <v>12373.472500000005</v>
      </c>
      <c r="J272" s="84">
        <f t="shared" si="24"/>
        <v>343.78225193850255</v>
      </c>
      <c r="K272" s="289"/>
      <c r="L272" s="290"/>
    </row>
    <row r="273" spans="1:12" s="3" customFormat="1" ht="14.45" customHeight="1">
      <c r="A273" s="61">
        <f t="shared" si="29"/>
        <v>245</v>
      </c>
      <c r="B273" s="4">
        <v>2</v>
      </c>
      <c r="C273" s="4" t="s">
        <v>35</v>
      </c>
      <c r="D273" s="42">
        <f t="shared" si="28"/>
        <v>16</v>
      </c>
      <c r="E273" s="43">
        <v>37</v>
      </c>
      <c r="F273" s="43">
        <f t="shared" si="25"/>
        <v>36.662500000000001</v>
      </c>
      <c r="G273" s="5" t="s">
        <v>32</v>
      </c>
      <c r="H273" s="43">
        <f t="shared" si="33"/>
        <v>9055.1899999999951</v>
      </c>
      <c r="I273" s="43">
        <f t="shared" si="31"/>
        <v>12336.810000000005</v>
      </c>
      <c r="J273" s="80">
        <f t="shared" si="24"/>
        <v>344.66352433155066</v>
      </c>
      <c r="K273" s="289"/>
      <c r="L273" s="290"/>
    </row>
    <row r="274" spans="1:12" s="3" customFormat="1" ht="14.1" customHeight="1">
      <c r="A274" s="61">
        <f t="shared" si="29"/>
        <v>246</v>
      </c>
      <c r="B274" s="4">
        <v>2</v>
      </c>
      <c r="C274" s="4" t="s">
        <v>35</v>
      </c>
      <c r="D274" s="42">
        <f t="shared" si="28"/>
        <v>15</v>
      </c>
      <c r="E274" s="43">
        <v>36.51</v>
      </c>
      <c r="F274" s="43">
        <f t="shared" si="25"/>
        <v>36.172499999999999</v>
      </c>
      <c r="G274" s="5" t="s">
        <v>32</v>
      </c>
      <c r="H274" s="43">
        <f t="shared" si="33"/>
        <v>9091.3624999999956</v>
      </c>
      <c r="I274" s="43">
        <f t="shared" si="31"/>
        <v>12300.637500000004</v>
      </c>
      <c r="J274" s="80">
        <f t="shared" si="24"/>
        <v>345.53301838235285</v>
      </c>
      <c r="K274" s="289"/>
      <c r="L274" s="290"/>
    </row>
    <row r="275" spans="1:12" s="3" customFormat="1" ht="12.75">
      <c r="A275" s="61">
        <f t="shared" si="29"/>
        <v>247</v>
      </c>
      <c r="B275" s="4">
        <v>2</v>
      </c>
      <c r="C275" s="4" t="s">
        <v>35</v>
      </c>
      <c r="D275" s="42">
        <f t="shared" si="28"/>
        <v>14</v>
      </c>
      <c r="E275" s="43">
        <v>37.090000000000003</v>
      </c>
      <c r="F275" s="43">
        <f t="shared" si="25"/>
        <v>36.752500000000005</v>
      </c>
      <c r="G275" s="5" t="s">
        <v>32</v>
      </c>
      <c r="H275" s="43">
        <f t="shared" si="33"/>
        <v>9128.1149999999961</v>
      </c>
      <c r="I275" s="43">
        <f t="shared" si="31"/>
        <v>12263.885000000004</v>
      </c>
      <c r="J275" s="80">
        <f t="shared" si="24"/>
        <v>346.41645414438494</v>
      </c>
      <c r="K275" s="289"/>
      <c r="L275" s="290"/>
    </row>
    <row r="276" spans="1:12" s="3" customFormat="1" ht="12.75">
      <c r="A276" s="61">
        <f t="shared" si="29"/>
        <v>248</v>
      </c>
      <c r="B276" s="4">
        <v>2</v>
      </c>
      <c r="C276" s="4" t="s">
        <v>35</v>
      </c>
      <c r="D276" s="42">
        <f t="shared" si="28"/>
        <v>13</v>
      </c>
      <c r="E276" s="43">
        <v>37.18</v>
      </c>
      <c r="F276" s="43">
        <f t="shared" si="25"/>
        <v>36.842500000000001</v>
      </c>
      <c r="G276" s="5" t="s">
        <v>32</v>
      </c>
      <c r="H276" s="43">
        <f t="shared" si="33"/>
        <v>9164.9574999999968</v>
      </c>
      <c r="I276" s="43">
        <f t="shared" si="27"/>
        <v>12227.042500000003</v>
      </c>
      <c r="J276" s="80">
        <f t="shared" si="24"/>
        <v>347.30205327540097</v>
      </c>
      <c r="K276" s="377"/>
      <c r="L276" s="378"/>
    </row>
    <row r="277" spans="1:12" s="3" customFormat="1" ht="12.75">
      <c r="A277" s="61">
        <f t="shared" si="29"/>
        <v>249</v>
      </c>
      <c r="B277" s="4">
        <v>2</v>
      </c>
      <c r="C277" s="115" t="s">
        <v>35</v>
      </c>
      <c r="D277" s="42">
        <f t="shared" si="28"/>
        <v>12</v>
      </c>
      <c r="E277" s="43">
        <v>36.869999999999997</v>
      </c>
      <c r="F277" s="43">
        <f t="shared" si="25"/>
        <v>36.532499999999999</v>
      </c>
      <c r="G277" s="5" t="s">
        <v>32</v>
      </c>
      <c r="H277" s="43">
        <f t="shared" si="33"/>
        <v>9201.4899999999961</v>
      </c>
      <c r="I277" s="43">
        <f t="shared" si="27"/>
        <v>12190.510000000004</v>
      </c>
      <c r="J277" s="80">
        <f t="shared" si="24"/>
        <v>348.18020080213898</v>
      </c>
      <c r="K277" s="289"/>
      <c r="L277" s="290"/>
    </row>
    <row r="278" spans="1:12" s="3" customFormat="1" ht="14.45" customHeight="1">
      <c r="A278" s="61">
        <f t="shared" si="29"/>
        <v>250</v>
      </c>
      <c r="B278" s="4">
        <v>2</v>
      </c>
      <c r="C278" s="93" t="s">
        <v>35</v>
      </c>
      <c r="D278" s="42">
        <f t="shared" ref="D278:D282" si="34">D277-1</f>
        <v>11</v>
      </c>
      <c r="E278" s="43">
        <v>36.71</v>
      </c>
      <c r="F278" s="43">
        <f t="shared" si="25"/>
        <v>36.372500000000002</v>
      </c>
      <c r="G278" s="5" t="s">
        <v>32</v>
      </c>
      <c r="H278" s="43">
        <f t="shared" si="33"/>
        <v>9237.8624999999956</v>
      </c>
      <c r="I278" s="43">
        <f t="shared" si="27"/>
        <v>12154.137500000004</v>
      </c>
      <c r="J278" s="84">
        <f t="shared" si="24"/>
        <v>349.05450233957208</v>
      </c>
      <c r="K278" s="289"/>
      <c r="L278" s="290"/>
    </row>
    <row r="279" spans="1:12" s="3" customFormat="1" ht="12.75">
      <c r="A279" s="61">
        <f t="shared" si="29"/>
        <v>251</v>
      </c>
      <c r="B279" s="4">
        <v>2</v>
      </c>
      <c r="C279" s="4" t="s">
        <v>35</v>
      </c>
      <c r="D279" s="42">
        <f t="shared" si="34"/>
        <v>10</v>
      </c>
      <c r="E279" s="43">
        <v>36.51</v>
      </c>
      <c r="F279" s="43">
        <f t="shared" si="25"/>
        <v>36.172499999999999</v>
      </c>
      <c r="G279" s="5" t="s">
        <v>32</v>
      </c>
      <c r="H279" s="43">
        <f t="shared" si="33"/>
        <v>9274.0349999999962</v>
      </c>
      <c r="I279" s="43">
        <f t="shared" si="27"/>
        <v>12117.965000000004</v>
      </c>
      <c r="J279" s="80">
        <f t="shared" si="24"/>
        <v>349.92399639037421</v>
      </c>
      <c r="K279" s="289"/>
      <c r="L279" s="290"/>
    </row>
    <row r="280" spans="1:12" s="3" customFormat="1" ht="12.75">
      <c r="A280" s="61">
        <f t="shared" si="29"/>
        <v>252</v>
      </c>
      <c r="B280" s="4">
        <v>2</v>
      </c>
      <c r="C280" s="4" t="s">
        <v>35</v>
      </c>
      <c r="D280" s="42">
        <f t="shared" si="34"/>
        <v>9</v>
      </c>
      <c r="E280" s="43">
        <v>36.74</v>
      </c>
      <c r="F280" s="43">
        <f t="shared" ref="F280:F294" si="35">E280-($D$10/12)</f>
        <v>36.402500000000003</v>
      </c>
      <c r="G280" s="5" t="s">
        <v>32</v>
      </c>
      <c r="H280" s="43">
        <f t="shared" si="33"/>
        <v>9310.4374999999964</v>
      </c>
      <c r="I280" s="43">
        <f t="shared" si="27"/>
        <v>12081.562500000004</v>
      </c>
      <c r="J280" s="80">
        <f t="shared" ref="J280:J294" si="36">$G$7+(H280*$D$8*$G$9/1000)</f>
        <v>350.79901905080203</v>
      </c>
      <c r="K280" s="289"/>
      <c r="L280" s="290"/>
    </row>
    <row r="281" spans="1:12" s="3" customFormat="1" ht="13.5" thickBot="1">
      <c r="A281" s="61">
        <f t="shared" si="29"/>
        <v>253</v>
      </c>
      <c r="B281" s="4">
        <v>2</v>
      </c>
      <c r="C281" s="4" t="s">
        <v>35</v>
      </c>
      <c r="D281" s="42">
        <f t="shared" si="34"/>
        <v>8</v>
      </c>
      <c r="E281" s="43">
        <v>35.32</v>
      </c>
      <c r="F281" s="43">
        <f t="shared" si="35"/>
        <v>34.982500000000002</v>
      </c>
      <c r="G281" s="5" t="s">
        <v>32</v>
      </c>
      <c r="H281" s="43">
        <f t="shared" si="33"/>
        <v>9345.4199999999964</v>
      </c>
      <c r="I281" s="43">
        <f t="shared" si="27"/>
        <v>12046.580000000004</v>
      </c>
      <c r="J281" s="80">
        <f t="shared" si="36"/>
        <v>351.63990855614963</v>
      </c>
      <c r="K281" s="289"/>
      <c r="L281" s="290"/>
    </row>
    <row r="282" spans="1:12" s="3" customFormat="1" ht="13.5" thickBot="1">
      <c r="A282" s="61">
        <f t="shared" si="29"/>
        <v>254</v>
      </c>
      <c r="B282" s="267">
        <v>1</v>
      </c>
      <c r="C282" s="4" t="s">
        <v>35</v>
      </c>
      <c r="D282" s="42">
        <f t="shared" si="34"/>
        <v>7</v>
      </c>
      <c r="E282" s="43">
        <v>36.31</v>
      </c>
      <c r="F282" s="43">
        <f t="shared" si="35"/>
        <v>35.972500000000004</v>
      </c>
      <c r="G282" s="5" t="s">
        <v>32</v>
      </c>
      <c r="H282" s="43">
        <f t="shared" si="33"/>
        <v>9381.3924999999963</v>
      </c>
      <c r="I282" s="43">
        <f t="shared" si="27"/>
        <v>12010.607500000004</v>
      </c>
      <c r="J282" s="80">
        <f t="shared" si="36"/>
        <v>352.5045951203208</v>
      </c>
      <c r="K282" s="289"/>
      <c r="L282" s="290"/>
    </row>
    <row r="283" spans="1:12" s="3" customFormat="1" ht="15.75" thickBot="1">
      <c r="A283" s="61">
        <f t="shared" si="29"/>
        <v>255</v>
      </c>
      <c r="B283" s="4">
        <v>2</v>
      </c>
      <c r="C283" s="4" t="s">
        <v>35</v>
      </c>
      <c r="D283" s="267">
        <f t="shared" ref="D283:D296" si="37">D282-1</f>
        <v>6</v>
      </c>
      <c r="E283" s="43">
        <v>36.72</v>
      </c>
      <c r="F283" s="43">
        <f t="shared" si="35"/>
        <v>36.3825</v>
      </c>
      <c r="G283" s="5" t="s">
        <v>32</v>
      </c>
      <c r="H283" s="43">
        <f t="shared" si="33"/>
        <v>9417.774999999996</v>
      </c>
      <c r="I283" s="117">
        <f t="shared" si="27"/>
        <v>11974.225000000004</v>
      </c>
      <c r="J283" s="80">
        <f t="shared" si="36"/>
        <v>353.37913703208545</v>
      </c>
      <c r="K283" s="294" t="s">
        <v>310</v>
      </c>
      <c r="L283" s="295"/>
    </row>
    <row r="284" spans="1:12" s="3" customFormat="1" ht="14.45" customHeight="1">
      <c r="A284" s="61">
        <f t="shared" si="29"/>
        <v>256</v>
      </c>
      <c r="B284" s="4">
        <v>2</v>
      </c>
      <c r="C284" s="4" t="s">
        <v>35</v>
      </c>
      <c r="D284" s="42">
        <f t="shared" si="37"/>
        <v>5</v>
      </c>
      <c r="E284" s="43">
        <v>36.54</v>
      </c>
      <c r="F284" s="43">
        <f t="shared" si="35"/>
        <v>36.202500000000001</v>
      </c>
      <c r="G284" s="5" t="s">
        <v>32</v>
      </c>
      <c r="H284" s="43">
        <f t="shared" si="33"/>
        <v>9453.9774999999954</v>
      </c>
      <c r="I284" s="43">
        <f t="shared" si="27"/>
        <v>11938.022500000005</v>
      </c>
      <c r="J284" s="84">
        <f t="shared" si="36"/>
        <v>354.24935220588225</v>
      </c>
      <c r="K284" s="296" t="s">
        <v>311</v>
      </c>
      <c r="L284" s="297"/>
    </row>
    <row r="285" spans="1:12" s="3" customFormat="1" ht="12.6" customHeight="1" thickBot="1">
      <c r="A285" s="61">
        <f t="shared" si="29"/>
        <v>257</v>
      </c>
      <c r="B285" s="4">
        <v>2</v>
      </c>
      <c r="C285" s="4" t="s">
        <v>35</v>
      </c>
      <c r="D285" s="42">
        <f t="shared" si="37"/>
        <v>4</v>
      </c>
      <c r="E285" s="43">
        <v>37.29</v>
      </c>
      <c r="F285" s="43">
        <f t="shared" si="35"/>
        <v>36.952500000000001</v>
      </c>
      <c r="G285" s="5" t="s">
        <v>32</v>
      </c>
      <c r="H285" s="43">
        <f t="shared" si="33"/>
        <v>9490.9299999999948</v>
      </c>
      <c r="I285" s="43">
        <f t="shared" si="27"/>
        <v>11901.070000000005</v>
      </c>
      <c r="J285" s="84">
        <f t="shared" si="36"/>
        <v>355.13759545454536</v>
      </c>
      <c r="K285" s="298"/>
      <c r="L285" s="299"/>
    </row>
    <row r="286" spans="1:12" s="3" customFormat="1" ht="12.75">
      <c r="A286" s="61">
        <f t="shared" si="29"/>
        <v>258</v>
      </c>
      <c r="B286" s="4">
        <v>2</v>
      </c>
      <c r="C286" s="4" t="s">
        <v>35</v>
      </c>
      <c r="D286" s="42">
        <f t="shared" si="37"/>
        <v>3</v>
      </c>
      <c r="E286" s="43">
        <v>36.369999999999997</v>
      </c>
      <c r="F286" s="43">
        <f t="shared" si="35"/>
        <v>36.032499999999999</v>
      </c>
      <c r="G286" s="5" t="s">
        <v>32</v>
      </c>
      <c r="H286" s="43">
        <f t="shared" si="33"/>
        <v>9526.9624999999942</v>
      </c>
      <c r="I286" s="43">
        <f t="shared" si="27"/>
        <v>11865.037500000006</v>
      </c>
      <c r="J286" s="80">
        <f t="shared" si="36"/>
        <v>356.00372426470574</v>
      </c>
      <c r="K286" s="289"/>
      <c r="L286" s="290"/>
    </row>
    <row r="287" spans="1:12" s="3" customFormat="1" ht="12.75">
      <c r="A287" s="239">
        <f t="shared" si="29"/>
        <v>259</v>
      </c>
      <c r="B287" s="215">
        <v>0</v>
      </c>
      <c r="C287" s="215" t="s">
        <v>35</v>
      </c>
      <c r="D287" s="224">
        <f t="shared" si="37"/>
        <v>2</v>
      </c>
      <c r="E287" s="268">
        <v>37.01</v>
      </c>
      <c r="F287" s="43">
        <f t="shared" si="35"/>
        <v>36.672499999999999</v>
      </c>
      <c r="G287" s="223" t="s">
        <v>36</v>
      </c>
      <c r="H287" s="43">
        <f t="shared" si="33"/>
        <v>9526.9624999999942</v>
      </c>
      <c r="I287" s="43">
        <f t="shared" ref="I287:I294" si="38">IF(H287="","",$K$7-H287)</f>
        <v>11865.037500000006</v>
      </c>
      <c r="J287" s="80">
        <f t="shared" si="36"/>
        <v>356.00372426470574</v>
      </c>
      <c r="K287" s="289"/>
      <c r="L287" s="290"/>
    </row>
    <row r="288" spans="1:12" s="3" customFormat="1" ht="13.5" thickBot="1">
      <c r="A288" s="239">
        <f t="shared" si="29"/>
        <v>260</v>
      </c>
      <c r="B288" s="215">
        <v>0</v>
      </c>
      <c r="C288" s="215" t="s">
        <v>35</v>
      </c>
      <c r="D288" s="224">
        <f t="shared" si="37"/>
        <v>1</v>
      </c>
      <c r="E288" s="268">
        <v>35.86</v>
      </c>
      <c r="F288" s="43">
        <f t="shared" si="35"/>
        <v>35.522500000000001</v>
      </c>
      <c r="G288" s="223" t="s">
        <v>36</v>
      </c>
      <c r="H288" s="43">
        <f t="shared" si="33"/>
        <v>9526.9624999999942</v>
      </c>
      <c r="I288" s="43">
        <f t="shared" si="38"/>
        <v>11865.037500000006</v>
      </c>
      <c r="J288" s="80">
        <f t="shared" si="36"/>
        <v>356.00372426470574</v>
      </c>
      <c r="K288" s="289"/>
      <c r="L288" s="290"/>
    </row>
    <row r="289" spans="1:12" s="3" customFormat="1" ht="12.75" hidden="1">
      <c r="A289" s="239">
        <f t="shared" si="29"/>
        <v>261</v>
      </c>
      <c r="B289" s="215">
        <v>0</v>
      </c>
      <c r="C289" s="215" t="s">
        <v>35</v>
      </c>
      <c r="D289" s="224">
        <v>268</v>
      </c>
      <c r="E289" s="268">
        <v>36.159999999999997</v>
      </c>
      <c r="F289" s="43">
        <f t="shared" si="35"/>
        <v>35.822499999999998</v>
      </c>
      <c r="G289" s="223" t="s">
        <v>36</v>
      </c>
      <c r="H289" s="43">
        <f t="shared" si="33"/>
        <v>9526.9624999999942</v>
      </c>
      <c r="I289" s="43">
        <f t="shared" si="38"/>
        <v>11865.037500000006</v>
      </c>
      <c r="J289" s="80">
        <f t="shared" si="36"/>
        <v>356.00372426470574</v>
      </c>
      <c r="K289" s="289"/>
      <c r="L289" s="290"/>
    </row>
    <row r="290" spans="1:12" s="3" customFormat="1" ht="12.75" hidden="1">
      <c r="A290" s="239">
        <f t="shared" si="29"/>
        <v>262</v>
      </c>
      <c r="B290" s="215">
        <v>0</v>
      </c>
      <c r="C290" s="215" t="s">
        <v>35</v>
      </c>
      <c r="D290" s="224">
        <f t="shared" si="37"/>
        <v>267</v>
      </c>
      <c r="E290" s="268">
        <v>35.83</v>
      </c>
      <c r="F290" s="43">
        <f t="shared" si="35"/>
        <v>35.4925</v>
      </c>
      <c r="G290" s="223" t="s">
        <v>36</v>
      </c>
      <c r="H290" s="43">
        <f t="shared" si="33"/>
        <v>9526.9624999999942</v>
      </c>
      <c r="I290" s="43">
        <f t="shared" si="38"/>
        <v>11865.037500000006</v>
      </c>
      <c r="J290" s="80">
        <f t="shared" si="36"/>
        <v>356.00372426470574</v>
      </c>
      <c r="K290" s="289"/>
      <c r="L290" s="290"/>
    </row>
    <row r="291" spans="1:12" s="3" customFormat="1" ht="12.75" hidden="1">
      <c r="A291" s="239">
        <f t="shared" si="29"/>
        <v>263</v>
      </c>
      <c r="B291" s="215">
        <v>0</v>
      </c>
      <c r="C291" s="215" t="s">
        <v>35</v>
      </c>
      <c r="D291" s="224">
        <f t="shared" si="37"/>
        <v>266</v>
      </c>
      <c r="E291" s="268">
        <v>36.799999999999997</v>
      </c>
      <c r="F291" s="43">
        <f t="shared" ref="F291:F293" si="39">E291-($D$10/12)</f>
        <v>36.462499999999999</v>
      </c>
      <c r="G291" s="223" t="s">
        <v>36</v>
      </c>
      <c r="H291" s="43">
        <f t="shared" si="33"/>
        <v>9526.9624999999942</v>
      </c>
      <c r="I291" s="43">
        <f t="shared" ref="I291:I293" si="40">IF(H291="","",$K$7-H291)</f>
        <v>11865.037500000006</v>
      </c>
      <c r="J291" s="80">
        <f t="shared" ref="J291:J293" si="41">$G$7+(H291*$D$8*$G$9/1000)</f>
        <v>356.00372426470574</v>
      </c>
      <c r="K291" s="289"/>
      <c r="L291" s="290"/>
    </row>
    <row r="292" spans="1:12" s="3" customFormat="1" ht="12.75" hidden="1">
      <c r="A292" s="239">
        <f t="shared" si="29"/>
        <v>264</v>
      </c>
      <c r="B292" s="215">
        <v>0</v>
      </c>
      <c r="C292" s="215" t="s">
        <v>35</v>
      </c>
      <c r="D292" s="224">
        <f t="shared" si="37"/>
        <v>265</v>
      </c>
      <c r="E292" s="268">
        <v>35.799999999999997</v>
      </c>
      <c r="F292" s="43">
        <f t="shared" si="39"/>
        <v>35.462499999999999</v>
      </c>
      <c r="G292" s="223" t="s">
        <v>36</v>
      </c>
      <c r="H292" s="43">
        <f t="shared" si="33"/>
        <v>9526.9624999999942</v>
      </c>
      <c r="I292" s="43">
        <f t="shared" si="40"/>
        <v>11865.037500000006</v>
      </c>
      <c r="J292" s="80">
        <f t="shared" si="41"/>
        <v>356.00372426470574</v>
      </c>
      <c r="K292" s="289"/>
      <c r="L292" s="290"/>
    </row>
    <row r="293" spans="1:12" s="3" customFormat="1" ht="12.75" hidden="1">
      <c r="A293" s="239">
        <f t="shared" si="29"/>
        <v>265</v>
      </c>
      <c r="B293" s="215">
        <v>0</v>
      </c>
      <c r="C293" s="215" t="s">
        <v>35</v>
      </c>
      <c r="D293" s="224">
        <f t="shared" si="37"/>
        <v>264</v>
      </c>
      <c r="E293" s="268">
        <v>37.31</v>
      </c>
      <c r="F293" s="43">
        <f t="shared" si="39"/>
        <v>36.972500000000004</v>
      </c>
      <c r="G293" s="223" t="s">
        <v>36</v>
      </c>
      <c r="H293" s="43">
        <f t="shared" si="33"/>
        <v>9526.9624999999942</v>
      </c>
      <c r="I293" s="43">
        <f t="shared" si="40"/>
        <v>11865.037500000006</v>
      </c>
      <c r="J293" s="80">
        <f t="shared" si="41"/>
        <v>356.00372426470574</v>
      </c>
      <c r="K293" s="289"/>
      <c r="L293" s="290"/>
    </row>
    <row r="294" spans="1:12" s="3" customFormat="1" ht="13.5" hidden="1" thickBot="1">
      <c r="A294" s="239">
        <f t="shared" si="29"/>
        <v>266</v>
      </c>
      <c r="B294" s="215">
        <v>0</v>
      </c>
      <c r="C294" s="215" t="s">
        <v>35</v>
      </c>
      <c r="D294" s="224">
        <f t="shared" si="37"/>
        <v>263</v>
      </c>
      <c r="E294" s="268">
        <v>36.67</v>
      </c>
      <c r="F294" s="43">
        <f t="shared" si="35"/>
        <v>36.332500000000003</v>
      </c>
      <c r="G294" s="223" t="s">
        <v>36</v>
      </c>
      <c r="H294" s="43">
        <f t="shared" si="33"/>
        <v>9526.9624999999942</v>
      </c>
      <c r="I294" s="43">
        <f t="shared" si="38"/>
        <v>11865.037500000006</v>
      </c>
      <c r="J294" s="80">
        <f t="shared" si="36"/>
        <v>356.00372426470574</v>
      </c>
      <c r="K294" s="289"/>
      <c r="L294" s="290"/>
    </row>
    <row r="295" spans="1:12" s="3" customFormat="1" ht="13.5" thickBot="1">
      <c r="A295" s="239">
        <f t="shared" si="29"/>
        <v>267</v>
      </c>
      <c r="B295" s="215">
        <v>0</v>
      </c>
      <c r="C295" s="215" t="s">
        <v>35</v>
      </c>
      <c r="D295" s="224">
        <f t="shared" si="37"/>
        <v>262</v>
      </c>
      <c r="E295" s="268">
        <v>37.19</v>
      </c>
      <c r="F295" s="43">
        <f t="shared" si="25"/>
        <v>36.852499999999999</v>
      </c>
      <c r="G295" s="223" t="s">
        <v>36</v>
      </c>
      <c r="H295" s="43">
        <f t="shared" si="33"/>
        <v>9526.9624999999942</v>
      </c>
      <c r="I295" s="43">
        <f t="shared" si="27"/>
        <v>11865.037500000006</v>
      </c>
      <c r="J295" s="80">
        <f t="shared" si="24"/>
        <v>356.00372426470574</v>
      </c>
      <c r="K295" s="410" t="s">
        <v>307</v>
      </c>
      <c r="L295" s="411"/>
    </row>
    <row r="296" spans="1:12" s="3" customFormat="1" ht="13.5" thickBot="1">
      <c r="A296" s="239">
        <f t="shared" si="29"/>
        <v>268</v>
      </c>
      <c r="B296" s="215">
        <v>0</v>
      </c>
      <c r="C296" s="215" t="s">
        <v>35</v>
      </c>
      <c r="D296" s="224">
        <f t="shared" si="37"/>
        <v>261</v>
      </c>
      <c r="E296" s="268">
        <v>36.880000000000003</v>
      </c>
      <c r="F296" s="43">
        <f t="shared" si="25"/>
        <v>36.542500000000004</v>
      </c>
      <c r="G296" s="223" t="s">
        <v>36</v>
      </c>
      <c r="H296" s="43">
        <f t="shared" ref="H296:H316" si="42">IF(G296="IN",H295+F296,H295)</f>
        <v>9526.9624999999942</v>
      </c>
      <c r="I296" s="43">
        <f t="shared" si="27"/>
        <v>11865.037500000006</v>
      </c>
      <c r="J296" s="80">
        <f t="shared" si="24"/>
        <v>356.00372426470574</v>
      </c>
      <c r="K296" s="527" t="s">
        <v>308</v>
      </c>
      <c r="L296" s="528"/>
    </row>
    <row r="297" spans="1:12" s="3" customFormat="1" ht="14.45" hidden="1" customHeight="1">
      <c r="A297" s="61" t="s">
        <v>171</v>
      </c>
      <c r="B297" s="42">
        <v>0</v>
      </c>
      <c r="C297" s="42" t="s">
        <v>35</v>
      </c>
      <c r="D297" s="42" t="e">
        <f>#REF!-1</f>
        <v>#REF!</v>
      </c>
      <c r="E297" s="43">
        <v>36.299999999999997</v>
      </c>
      <c r="F297" s="43">
        <f t="shared" si="25"/>
        <v>35.962499999999999</v>
      </c>
      <c r="G297" s="43" t="s">
        <v>36</v>
      </c>
      <c r="H297" s="43">
        <f t="shared" si="42"/>
        <v>9526.9624999999942</v>
      </c>
      <c r="I297" s="43">
        <f t="shared" ref="I297" si="43">IF(H297="","",$K$7-H297)</f>
        <v>11865.037500000006</v>
      </c>
      <c r="J297" s="80">
        <f t="shared" si="24"/>
        <v>356.00372426470574</v>
      </c>
      <c r="K297" s="377"/>
      <c r="L297" s="378"/>
    </row>
    <row r="298" spans="1:12" s="3" customFormat="1" ht="14.45" hidden="1" customHeight="1">
      <c r="A298" s="61" t="s">
        <v>171</v>
      </c>
      <c r="B298" s="42">
        <v>0</v>
      </c>
      <c r="C298" s="4" t="s">
        <v>35</v>
      </c>
      <c r="D298" s="42" t="e">
        <f t="shared" ref="D298:D311" si="44">D297-1</f>
        <v>#REF!</v>
      </c>
      <c r="E298" s="43">
        <v>36.83</v>
      </c>
      <c r="F298" s="43">
        <f t="shared" si="25"/>
        <v>36.4925</v>
      </c>
      <c r="G298" s="5" t="s">
        <v>36</v>
      </c>
      <c r="H298" s="43">
        <f t="shared" si="42"/>
        <v>9526.9624999999942</v>
      </c>
      <c r="I298" s="43">
        <f t="shared" si="27"/>
        <v>11865.037500000006</v>
      </c>
      <c r="J298" s="80">
        <f t="shared" si="24"/>
        <v>356.00372426470574</v>
      </c>
      <c r="K298" s="289"/>
      <c r="L298" s="290"/>
    </row>
    <row r="299" spans="1:12" s="3" customFormat="1" ht="13.5" hidden="1" thickBot="1">
      <c r="A299" s="61" t="s">
        <v>171</v>
      </c>
      <c r="B299" s="42">
        <v>0</v>
      </c>
      <c r="C299" s="4" t="s">
        <v>35</v>
      </c>
      <c r="D299" s="42" t="e">
        <f t="shared" si="44"/>
        <v>#REF!</v>
      </c>
      <c r="E299" s="43">
        <v>36.229999999999997</v>
      </c>
      <c r="F299" s="43">
        <f t="shared" si="25"/>
        <v>35.892499999999998</v>
      </c>
      <c r="G299" s="5" t="s">
        <v>36</v>
      </c>
      <c r="H299" s="43">
        <f t="shared" si="42"/>
        <v>9526.9624999999942</v>
      </c>
      <c r="I299" s="43">
        <f t="shared" si="27"/>
        <v>11865.037500000006</v>
      </c>
      <c r="J299" s="80">
        <f t="shared" si="24"/>
        <v>356.00372426470574</v>
      </c>
      <c r="K299" s="289"/>
      <c r="L299" s="290"/>
    </row>
    <row r="300" spans="1:12" s="3" customFormat="1" ht="13.5" hidden="1" thickBot="1">
      <c r="A300" s="61" t="s">
        <v>171</v>
      </c>
      <c r="B300" s="42">
        <v>0</v>
      </c>
      <c r="C300" s="4" t="s">
        <v>35</v>
      </c>
      <c r="D300" s="42" t="e">
        <f t="shared" si="44"/>
        <v>#REF!</v>
      </c>
      <c r="E300" s="43">
        <v>36.69</v>
      </c>
      <c r="F300" s="43">
        <f t="shared" si="25"/>
        <v>36.352499999999999</v>
      </c>
      <c r="G300" s="5" t="s">
        <v>36</v>
      </c>
      <c r="H300" s="43">
        <f t="shared" si="42"/>
        <v>9526.9624999999942</v>
      </c>
      <c r="I300" s="43">
        <f t="shared" si="27"/>
        <v>11865.037500000006</v>
      </c>
      <c r="J300" s="80">
        <f t="shared" si="24"/>
        <v>356.00372426470574</v>
      </c>
      <c r="K300" s="289"/>
      <c r="L300" s="290"/>
    </row>
    <row r="301" spans="1:12" s="3" customFormat="1" ht="13.5" hidden="1" thickBot="1">
      <c r="A301" s="61" t="s">
        <v>171</v>
      </c>
      <c r="B301" s="42">
        <v>0</v>
      </c>
      <c r="C301" s="4" t="s">
        <v>35</v>
      </c>
      <c r="D301" s="42" t="e">
        <f t="shared" si="44"/>
        <v>#REF!</v>
      </c>
      <c r="E301" s="43">
        <v>36.01</v>
      </c>
      <c r="F301" s="43">
        <f t="shared" si="25"/>
        <v>35.672499999999999</v>
      </c>
      <c r="G301" s="5" t="s">
        <v>36</v>
      </c>
      <c r="H301" s="43">
        <f t="shared" si="42"/>
        <v>9526.9624999999942</v>
      </c>
      <c r="I301" s="43">
        <f t="shared" si="27"/>
        <v>11865.037500000006</v>
      </c>
      <c r="J301" s="80">
        <f t="shared" si="24"/>
        <v>356.00372426470574</v>
      </c>
      <c r="K301" s="289"/>
      <c r="L301" s="290"/>
    </row>
    <row r="302" spans="1:12" s="3" customFormat="1" ht="13.5" hidden="1" thickBot="1">
      <c r="A302" s="61" t="s">
        <v>171</v>
      </c>
      <c r="B302" s="42">
        <v>0</v>
      </c>
      <c r="C302" s="4" t="s">
        <v>35</v>
      </c>
      <c r="D302" s="42" t="e">
        <f t="shared" si="44"/>
        <v>#REF!</v>
      </c>
      <c r="E302" s="43">
        <v>36.4</v>
      </c>
      <c r="F302" s="43">
        <f t="shared" si="25"/>
        <v>36.0625</v>
      </c>
      <c r="G302" s="5" t="s">
        <v>36</v>
      </c>
      <c r="H302" s="43">
        <f t="shared" si="42"/>
        <v>9526.9624999999942</v>
      </c>
      <c r="I302" s="43">
        <f t="shared" si="27"/>
        <v>11865.037500000006</v>
      </c>
      <c r="J302" s="80">
        <f t="shared" si="24"/>
        <v>356.00372426470574</v>
      </c>
      <c r="K302" s="289"/>
      <c r="L302" s="290"/>
    </row>
    <row r="303" spans="1:12" s="3" customFormat="1" ht="13.5" hidden="1" thickBot="1">
      <c r="A303" s="61" t="s">
        <v>171</v>
      </c>
      <c r="B303" s="42">
        <v>0</v>
      </c>
      <c r="C303" s="4" t="s">
        <v>35</v>
      </c>
      <c r="D303" s="42" t="e">
        <f t="shared" si="44"/>
        <v>#REF!</v>
      </c>
      <c r="E303" s="43">
        <v>36.479999999999997</v>
      </c>
      <c r="F303" s="43">
        <f t="shared" si="25"/>
        <v>36.142499999999998</v>
      </c>
      <c r="G303" s="5" t="s">
        <v>36</v>
      </c>
      <c r="H303" s="43">
        <f t="shared" si="42"/>
        <v>9526.9624999999942</v>
      </c>
      <c r="I303" s="43">
        <f t="shared" si="27"/>
        <v>11865.037500000006</v>
      </c>
      <c r="J303" s="80">
        <f t="shared" si="24"/>
        <v>356.00372426470574</v>
      </c>
      <c r="K303" s="289"/>
      <c r="L303" s="290"/>
    </row>
    <row r="304" spans="1:12" s="3" customFormat="1" ht="13.5" hidden="1" thickBot="1">
      <c r="A304" s="61" t="s">
        <v>171</v>
      </c>
      <c r="B304" s="42">
        <v>0</v>
      </c>
      <c r="C304" s="4" t="s">
        <v>35</v>
      </c>
      <c r="D304" s="42" t="e">
        <f t="shared" si="44"/>
        <v>#REF!</v>
      </c>
      <c r="E304" s="43">
        <v>36.229999999999997</v>
      </c>
      <c r="F304" s="43">
        <f t="shared" si="25"/>
        <v>35.892499999999998</v>
      </c>
      <c r="G304" s="5" t="s">
        <v>36</v>
      </c>
      <c r="H304" s="43">
        <f t="shared" si="42"/>
        <v>9526.9624999999942</v>
      </c>
      <c r="I304" s="43">
        <f t="shared" si="27"/>
        <v>11865.037500000006</v>
      </c>
      <c r="J304" s="80">
        <f t="shared" si="24"/>
        <v>356.00372426470574</v>
      </c>
      <c r="K304" s="289"/>
      <c r="L304" s="290"/>
    </row>
    <row r="305" spans="1:15" s="3" customFormat="1" ht="13.5" hidden="1" thickBot="1">
      <c r="A305" s="61" t="s">
        <v>171</v>
      </c>
      <c r="B305" s="42">
        <v>0</v>
      </c>
      <c r="C305" s="4" t="s">
        <v>35</v>
      </c>
      <c r="D305" s="42" t="e">
        <f t="shared" si="44"/>
        <v>#REF!</v>
      </c>
      <c r="E305" s="43">
        <v>36.49</v>
      </c>
      <c r="F305" s="43">
        <f t="shared" si="25"/>
        <v>36.152500000000003</v>
      </c>
      <c r="G305" s="5" t="s">
        <v>36</v>
      </c>
      <c r="H305" s="43">
        <f t="shared" si="42"/>
        <v>9526.9624999999942</v>
      </c>
      <c r="I305" s="43">
        <f t="shared" si="27"/>
        <v>11865.037500000006</v>
      </c>
      <c r="J305" s="80">
        <f t="shared" si="24"/>
        <v>356.00372426470574</v>
      </c>
      <c r="K305" s="289"/>
      <c r="L305" s="290"/>
      <c r="M305" s="485"/>
      <c r="N305" s="486"/>
    </row>
    <row r="306" spans="1:15" s="3" customFormat="1" ht="13.5" hidden="1" thickBot="1">
      <c r="A306" s="61" t="s">
        <v>171</v>
      </c>
      <c r="B306" s="42">
        <v>0</v>
      </c>
      <c r="C306" s="4" t="s">
        <v>35</v>
      </c>
      <c r="D306" s="42" t="e">
        <f t="shared" si="44"/>
        <v>#REF!</v>
      </c>
      <c r="E306" s="43">
        <v>37.049999999999997</v>
      </c>
      <c r="F306" s="43">
        <f t="shared" si="25"/>
        <v>36.712499999999999</v>
      </c>
      <c r="G306" s="5" t="s">
        <v>36</v>
      </c>
      <c r="H306" s="43">
        <f t="shared" si="42"/>
        <v>9526.9624999999942</v>
      </c>
      <c r="I306" s="43">
        <f t="shared" si="27"/>
        <v>11865.037500000006</v>
      </c>
      <c r="J306" s="80">
        <f t="shared" si="24"/>
        <v>356.00372426470574</v>
      </c>
      <c r="K306" s="289"/>
      <c r="L306" s="290"/>
    </row>
    <row r="307" spans="1:15" s="3" customFormat="1" ht="13.5" hidden="1" thickBot="1">
      <c r="A307" s="61" t="s">
        <v>171</v>
      </c>
      <c r="B307" s="42">
        <v>0</v>
      </c>
      <c r="C307" s="4" t="s">
        <v>35</v>
      </c>
      <c r="D307" s="42" t="e">
        <f t="shared" si="44"/>
        <v>#REF!</v>
      </c>
      <c r="E307" s="43">
        <v>36.24</v>
      </c>
      <c r="F307" s="43">
        <f t="shared" si="25"/>
        <v>35.902500000000003</v>
      </c>
      <c r="G307" s="5" t="s">
        <v>36</v>
      </c>
      <c r="H307" s="43">
        <f t="shared" si="42"/>
        <v>9526.9624999999942</v>
      </c>
      <c r="I307" s="43">
        <f t="shared" si="27"/>
        <v>11865.037500000006</v>
      </c>
      <c r="J307" s="80">
        <f t="shared" si="24"/>
        <v>356.00372426470574</v>
      </c>
      <c r="K307" s="289"/>
      <c r="L307" s="290"/>
    </row>
    <row r="308" spans="1:15" s="3" customFormat="1" ht="13.5" hidden="1" thickBot="1">
      <c r="A308" s="61" t="s">
        <v>171</v>
      </c>
      <c r="B308" s="42">
        <v>0</v>
      </c>
      <c r="C308" s="4" t="s">
        <v>35</v>
      </c>
      <c r="D308" s="42" t="e">
        <f t="shared" si="44"/>
        <v>#REF!</v>
      </c>
      <c r="E308" s="43">
        <v>35.06</v>
      </c>
      <c r="F308" s="43">
        <f t="shared" si="25"/>
        <v>34.722500000000004</v>
      </c>
      <c r="G308" s="5" t="s">
        <v>36</v>
      </c>
      <c r="H308" s="43">
        <f t="shared" si="42"/>
        <v>9526.9624999999942</v>
      </c>
      <c r="I308" s="43">
        <f t="shared" si="27"/>
        <v>11865.037500000006</v>
      </c>
      <c r="J308" s="80">
        <f t="shared" si="24"/>
        <v>356.00372426470574</v>
      </c>
      <c r="K308" s="289"/>
      <c r="L308" s="290"/>
      <c r="M308" s="10"/>
    </row>
    <row r="309" spans="1:15" s="3" customFormat="1" ht="12.6" hidden="1" customHeight="1">
      <c r="A309" s="61" t="s">
        <v>171</v>
      </c>
      <c r="B309" s="42">
        <v>0</v>
      </c>
      <c r="C309" s="4" t="s">
        <v>35</v>
      </c>
      <c r="D309" s="42" t="e">
        <f t="shared" si="44"/>
        <v>#REF!</v>
      </c>
      <c r="E309" s="43">
        <v>36.29</v>
      </c>
      <c r="F309" s="43">
        <f t="shared" si="25"/>
        <v>35.952500000000001</v>
      </c>
      <c r="G309" s="5" t="s">
        <v>36</v>
      </c>
      <c r="H309" s="43">
        <f t="shared" si="42"/>
        <v>9526.9624999999942</v>
      </c>
      <c r="I309" s="43">
        <f t="shared" si="27"/>
        <v>11865.037500000006</v>
      </c>
      <c r="J309" s="80">
        <f t="shared" si="24"/>
        <v>356.00372426470574</v>
      </c>
      <c r="K309" s="289"/>
      <c r="L309" s="290"/>
      <c r="M309" s="174"/>
    </row>
    <row r="310" spans="1:15" s="3" customFormat="1" ht="14.45" hidden="1" customHeight="1">
      <c r="A310" s="114" t="s">
        <v>171</v>
      </c>
      <c r="B310" s="42">
        <v>0</v>
      </c>
      <c r="C310" s="172" t="s">
        <v>35</v>
      </c>
      <c r="D310" s="42" t="e">
        <f t="shared" si="44"/>
        <v>#REF!</v>
      </c>
      <c r="E310" s="43">
        <v>36.99</v>
      </c>
      <c r="F310" s="43">
        <f t="shared" si="25"/>
        <v>36.652500000000003</v>
      </c>
      <c r="G310" s="5" t="s">
        <v>36</v>
      </c>
      <c r="H310" s="43">
        <f t="shared" si="42"/>
        <v>9526.9624999999942</v>
      </c>
      <c r="I310" s="43">
        <f t="shared" si="27"/>
        <v>11865.037500000006</v>
      </c>
      <c r="J310" s="80">
        <f t="shared" si="24"/>
        <v>356.00372426470574</v>
      </c>
      <c r="K310" s="289"/>
      <c r="L310" s="290"/>
    </row>
    <row r="311" spans="1:15" s="3" customFormat="1" ht="14.45" hidden="1" customHeight="1" thickBot="1">
      <c r="A311" s="61" t="s">
        <v>171</v>
      </c>
      <c r="B311" s="42">
        <v>0</v>
      </c>
      <c r="C311" s="4" t="s">
        <v>35</v>
      </c>
      <c r="D311" s="42" t="e">
        <f t="shared" si="44"/>
        <v>#REF!</v>
      </c>
      <c r="E311" s="116">
        <v>36.729999999999997</v>
      </c>
      <c r="F311" s="116">
        <f t="shared" si="25"/>
        <v>36.392499999999998</v>
      </c>
      <c r="G311" s="94" t="s">
        <v>36</v>
      </c>
      <c r="H311" s="116">
        <f t="shared" si="42"/>
        <v>9526.9624999999942</v>
      </c>
      <c r="I311" s="116">
        <f t="shared" si="27"/>
        <v>11865.037500000006</v>
      </c>
      <c r="J311" s="89">
        <f t="shared" si="24"/>
        <v>356.00372426470574</v>
      </c>
      <c r="K311" s="289"/>
      <c r="L311" s="290"/>
      <c r="M311" s="176"/>
    </row>
    <row r="312" spans="1:15" s="3" customFormat="1" ht="13.5" customHeight="1">
      <c r="A312" s="365" t="s">
        <v>243</v>
      </c>
      <c r="B312" s="371" t="s">
        <v>144</v>
      </c>
      <c r="C312" s="372"/>
      <c r="D312" s="373"/>
      <c r="E312" s="275">
        <v>6.24</v>
      </c>
      <c r="F312" s="79">
        <f t="shared" ref="F312" si="45">E312-($D$10/12)</f>
        <v>5.9024999999999999</v>
      </c>
      <c r="G312" s="45" t="s">
        <v>32</v>
      </c>
      <c r="H312" s="280">
        <f t="shared" si="42"/>
        <v>9532.8649999999943</v>
      </c>
      <c r="I312" s="45">
        <f t="shared" ref="I312:I317" si="46">IF(H312="","",$K$7-H312)</f>
        <v>11859.135000000006</v>
      </c>
      <c r="J312" s="82">
        <f t="shared" si="24"/>
        <v>356.14560521390365</v>
      </c>
      <c r="K312" s="442" t="s">
        <v>245</v>
      </c>
      <c r="L312" s="443"/>
      <c r="N312" s="193"/>
    </row>
    <row r="313" spans="1:15" s="3" customFormat="1" ht="13.5" customHeight="1" thickBot="1">
      <c r="A313" s="366"/>
      <c r="B313" s="374" t="s">
        <v>145</v>
      </c>
      <c r="C313" s="375"/>
      <c r="D313" s="376"/>
      <c r="E313" s="276">
        <v>8.8699999999999992</v>
      </c>
      <c r="F313" s="46">
        <f>E313</f>
        <v>8.8699999999999992</v>
      </c>
      <c r="G313" s="46" t="s">
        <v>32</v>
      </c>
      <c r="H313" s="281">
        <f t="shared" si="42"/>
        <v>9541.7349999999951</v>
      </c>
      <c r="I313" s="192">
        <f t="shared" si="46"/>
        <v>11850.265000000005</v>
      </c>
      <c r="J313" s="83">
        <f t="shared" si="24"/>
        <v>356.3588172459892</v>
      </c>
      <c r="K313" s="444" t="s">
        <v>244</v>
      </c>
      <c r="L313" s="445"/>
    </row>
    <row r="314" spans="1:15" s="3" customFormat="1" ht="13.5" customHeight="1" thickBot="1">
      <c r="A314" s="366"/>
      <c r="B314" s="374" t="s">
        <v>146</v>
      </c>
      <c r="C314" s="375"/>
      <c r="D314" s="376"/>
      <c r="E314" s="276">
        <v>1.72</v>
      </c>
      <c r="F314" s="46">
        <f>E314</f>
        <v>1.72</v>
      </c>
      <c r="G314" s="46" t="s">
        <v>32</v>
      </c>
      <c r="H314" s="281">
        <f t="shared" si="42"/>
        <v>9543.4549999999945</v>
      </c>
      <c r="I314" s="46">
        <f t="shared" si="46"/>
        <v>11848.545000000006</v>
      </c>
      <c r="J314" s="83">
        <f t="shared" si="24"/>
        <v>356.40016163101586</v>
      </c>
      <c r="K314" s="426"/>
      <c r="L314" s="427"/>
    </row>
    <row r="315" spans="1:15" s="3" customFormat="1" ht="13.5" customHeight="1">
      <c r="A315" s="366"/>
      <c r="B315" s="374" t="s">
        <v>221</v>
      </c>
      <c r="C315" s="375"/>
      <c r="D315" s="376"/>
      <c r="E315" s="276">
        <v>1.93</v>
      </c>
      <c r="F315" s="46">
        <f>E315</f>
        <v>1.93</v>
      </c>
      <c r="G315" s="46" t="s">
        <v>32</v>
      </c>
      <c r="H315" s="281">
        <f t="shared" si="42"/>
        <v>9545.3849999999948</v>
      </c>
      <c r="I315" s="192">
        <f t="shared" si="46"/>
        <v>11846.615000000005</v>
      </c>
      <c r="J315" s="83">
        <f t="shared" si="24"/>
        <v>356.44655387700527</v>
      </c>
      <c r="K315" s="270" t="s">
        <v>126</v>
      </c>
      <c r="L315" s="111">
        <f>H317</f>
        <v>9571.1649999999936</v>
      </c>
    </row>
    <row r="316" spans="1:15" s="3" customFormat="1" ht="13.5" customHeight="1">
      <c r="A316" s="366"/>
      <c r="B316" s="374" t="s">
        <v>142</v>
      </c>
      <c r="C316" s="375"/>
      <c r="D316" s="376"/>
      <c r="E316" s="276">
        <v>4.7300000000000004</v>
      </c>
      <c r="F316" s="46">
        <f>E316</f>
        <v>4.7300000000000004</v>
      </c>
      <c r="G316" s="46" t="s">
        <v>32</v>
      </c>
      <c r="H316" s="281">
        <f t="shared" si="42"/>
        <v>9550.1149999999943</v>
      </c>
      <c r="I316" s="46">
        <f t="shared" si="46"/>
        <v>11841.885000000006</v>
      </c>
      <c r="J316" s="83">
        <f t="shared" si="24"/>
        <v>356.56025093582878</v>
      </c>
      <c r="K316" s="271" t="s">
        <v>121</v>
      </c>
      <c r="L316" s="112">
        <f>K11-I317</f>
        <v>747.84499999999389</v>
      </c>
    </row>
    <row r="317" spans="1:15" s="3" customFormat="1" ht="13.5" customHeight="1" thickBot="1">
      <c r="A317" s="366"/>
      <c r="B317" s="368" t="s">
        <v>143</v>
      </c>
      <c r="C317" s="369"/>
      <c r="D317" s="370"/>
      <c r="E317" s="277">
        <v>21.05</v>
      </c>
      <c r="F317" s="222">
        <f>E317</f>
        <v>21.05</v>
      </c>
      <c r="G317" s="222" t="s">
        <v>32</v>
      </c>
      <c r="H317" s="222">
        <f t="shared" ref="H317:H382" si="47">IF(G317="IN",H316+F317,H316)</f>
        <v>9571.1649999999936</v>
      </c>
      <c r="I317" s="278">
        <f t="shared" si="46"/>
        <v>11820.835000000006</v>
      </c>
      <c r="J317" s="279">
        <f t="shared" si="24"/>
        <v>357.06623890374317</v>
      </c>
      <c r="K317" s="272" t="s">
        <v>122</v>
      </c>
      <c r="L317" s="113">
        <f>I317</f>
        <v>11820.835000000006</v>
      </c>
    </row>
    <row r="318" spans="1:15" s="3" customFormat="1" ht="13.5" customHeight="1" thickBot="1">
      <c r="A318" s="367"/>
      <c r="B318" s="387" t="s">
        <v>91</v>
      </c>
      <c r="C318" s="388"/>
      <c r="D318" s="233" t="s">
        <v>96</v>
      </c>
      <c r="E318" s="273">
        <v>8.14</v>
      </c>
      <c r="F318" s="274">
        <f t="shared" ref="F318:F495" si="48">E318</f>
        <v>8.14</v>
      </c>
      <c r="G318" s="274" t="s">
        <v>32</v>
      </c>
      <c r="H318" s="273">
        <f t="shared" si="47"/>
        <v>9579.304999999993</v>
      </c>
      <c r="I318" s="274">
        <f t="shared" ref="I318:I382" si="49">IF(H318="","",$K$7-H318)</f>
        <v>11812.695000000007</v>
      </c>
      <c r="J318" s="156">
        <f t="shared" si="24"/>
        <v>357.26190360962551</v>
      </c>
      <c r="K318" s="438"/>
      <c r="L318" s="439"/>
    </row>
    <row r="319" spans="1:15" s="3" customFormat="1" ht="13.5" customHeight="1" thickBot="1">
      <c r="A319" s="197" t="s">
        <v>93</v>
      </c>
      <c r="B319" s="407" t="s">
        <v>157</v>
      </c>
      <c r="C319" s="408"/>
      <c r="D319" s="409"/>
      <c r="E319" s="198">
        <v>3.01</v>
      </c>
      <c r="F319" s="199">
        <f t="shared" ref="F319:F326" si="50">E319</f>
        <v>3.01</v>
      </c>
      <c r="G319" s="200" t="s">
        <v>32</v>
      </c>
      <c r="H319" s="199">
        <f t="shared" si="47"/>
        <v>9582.3149999999932</v>
      </c>
      <c r="I319" s="199">
        <f t="shared" si="49"/>
        <v>11809.685000000007</v>
      </c>
      <c r="J319" s="201">
        <f t="shared" si="24"/>
        <v>357.33425628342229</v>
      </c>
      <c r="K319" s="489" t="s">
        <v>242</v>
      </c>
      <c r="L319" s="490"/>
      <c r="M319" s="487" t="s">
        <v>178</v>
      </c>
      <c r="N319" s="488" t="s">
        <v>179</v>
      </c>
    </row>
    <row r="320" spans="1:15" ht="13.5" customHeight="1" thickBot="1">
      <c r="A320" s="291" t="s">
        <v>45</v>
      </c>
      <c r="B320" s="431" t="s">
        <v>202</v>
      </c>
      <c r="C320" s="432"/>
      <c r="D320" s="433"/>
      <c r="E320" s="204">
        <v>30.97</v>
      </c>
      <c r="F320" s="204">
        <f t="shared" si="50"/>
        <v>30.97</v>
      </c>
      <c r="G320" s="205" t="s">
        <v>32</v>
      </c>
      <c r="H320" s="204">
        <f t="shared" si="47"/>
        <v>9613.2849999999926</v>
      </c>
      <c r="I320" s="204">
        <f t="shared" ref="I320:I325" si="51">IF(H320="","",$K$7-H320)</f>
        <v>11778.715000000007</v>
      </c>
      <c r="J320" s="206">
        <f t="shared" ref="J320:J325" si="52">$G$7+(H320*$D$8*$G$9/1000)</f>
        <v>358.07869558823506</v>
      </c>
      <c r="K320" s="392" t="s">
        <v>222</v>
      </c>
      <c r="L320" s="393"/>
      <c r="M320" s="487"/>
      <c r="N320" s="488"/>
      <c r="O320" s="3"/>
    </row>
    <row r="321" spans="1:15" ht="13.5" customHeight="1">
      <c r="A321" s="292" t="s">
        <v>200</v>
      </c>
      <c r="B321" s="379" t="s">
        <v>203</v>
      </c>
      <c r="C321" s="380"/>
      <c r="D321" s="380"/>
      <c r="E321" s="202">
        <v>31.01</v>
      </c>
      <c r="F321" s="202">
        <f t="shared" si="50"/>
        <v>31.01</v>
      </c>
      <c r="G321" s="203" t="s">
        <v>32</v>
      </c>
      <c r="H321" s="202">
        <f t="shared" si="47"/>
        <v>9644.2949999999928</v>
      </c>
      <c r="I321" s="202">
        <f t="shared" si="51"/>
        <v>11747.705000000007</v>
      </c>
      <c r="J321" s="207">
        <f t="shared" si="52"/>
        <v>358.82409639037417</v>
      </c>
      <c r="K321" s="103" t="s">
        <v>39</v>
      </c>
      <c r="L321" s="63">
        <f>I313</f>
        <v>11850.265000000005</v>
      </c>
      <c r="M321" s="166">
        <f>11878.56-L321</f>
        <v>28.294999999994616</v>
      </c>
      <c r="N321" s="166">
        <f>L321-11832.25</f>
        <v>18.015000000004875</v>
      </c>
      <c r="O321" s="3"/>
    </row>
    <row r="322" spans="1:15" ht="13.5" customHeight="1" thickBot="1">
      <c r="A322" s="293" t="s">
        <v>201</v>
      </c>
      <c r="B322" s="428" t="s">
        <v>203</v>
      </c>
      <c r="C322" s="429"/>
      <c r="D322" s="430"/>
      <c r="E322" s="202">
        <v>30.93</v>
      </c>
      <c r="F322" s="202">
        <f t="shared" si="50"/>
        <v>30.93</v>
      </c>
      <c r="G322" s="203" t="s">
        <v>32</v>
      </c>
      <c r="H322" s="202">
        <f t="shared" ref="H322:H329" si="53">IF(G322="IN",H321+F322,H321)</f>
        <v>9675.2249999999931</v>
      </c>
      <c r="I322" s="202">
        <f t="shared" si="51"/>
        <v>11716.775000000007</v>
      </c>
      <c r="J322" s="207">
        <f t="shared" si="52"/>
        <v>359.56757419786078</v>
      </c>
      <c r="K322" s="104" t="s">
        <v>37</v>
      </c>
      <c r="L322" s="62">
        <f>I315</f>
        <v>11846.615000000005</v>
      </c>
      <c r="M322" s="166">
        <f>11878.56-L322</f>
        <v>31.944999999994252</v>
      </c>
      <c r="N322" s="166">
        <f>L322-11832.25</f>
        <v>14.365000000005239</v>
      </c>
      <c r="O322" s="3"/>
    </row>
    <row r="323" spans="1:15" ht="13.5" customHeight="1" thickBot="1">
      <c r="A323" s="522" t="s">
        <v>46</v>
      </c>
      <c r="B323" s="396" t="s">
        <v>203</v>
      </c>
      <c r="C323" s="397"/>
      <c r="D323" s="397"/>
      <c r="E323" s="69">
        <v>31.07</v>
      </c>
      <c r="F323" s="69">
        <f t="shared" si="50"/>
        <v>31.07</v>
      </c>
      <c r="G323" s="68" t="s">
        <v>32</v>
      </c>
      <c r="H323" s="69">
        <f t="shared" si="53"/>
        <v>9706.2949999999928</v>
      </c>
      <c r="I323" s="69">
        <f t="shared" si="51"/>
        <v>11685.705000000007</v>
      </c>
      <c r="J323" s="120">
        <f t="shared" si="52"/>
        <v>360.31441724598915</v>
      </c>
      <c r="K323" s="392" t="s">
        <v>225</v>
      </c>
      <c r="L323" s="393"/>
      <c r="M323" s="166"/>
      <c r="N323" s="167"/>
      <c r="O323" s="3"/>
    </row>
    <row r="324" spans="1:15" ht="13.5" customHeight="1">
      <c r="A324" s="523" t="s">
        <v>198</v>
      </c>
      <c r="B324" s="381" t="s">
        <v>203</v>
      </c>
      <c r="C324" s="382"/>
      <c r="D324" s="383"/>
      <c r="E324" s="67">
        <v>30.87</v>
      </c>
      <c r="F324" s="67">
        <f t="shared" si="50"/>
        <v>30.87</v>
      </c>
      <c r="G324" s="66" t="s">
        <v>32</v>
      </c>
      <c r="H324" s="67">
        <f t="shared" si="53"/>
        <v>9737.1649999999936</v>
      </c>
      <c r="I324" s="67">
        <f t="shared" si="51"/>
        <v>11654.835000000006</v>
      </c>
      <c r="J324" s="181">
        <f t="shared" si="52"/>
        <v>361.05645280748649</v>
      </c>
      <c r="K324" s="103" t="s">
        <v>38</v>
      </c>
      <c r="L324" s="63">
        <f>$I$317-19.59</f>
        <v>11801.245000000006</v>
      </c>
      <c r="M324" s="166">
        <f>11832.25-L324</f>
        <v>31.004999999993743</v>
      </c>
      <c r="N324" s="166">
        <f>L324-11786.59</f>
        <v>14.655000000006112</v>
      </c>
      <c r="O324" s="3"/>
    </row>
    <row r="325" spans="1:15" ht="13.5" customHeight="1" thickBot="1">
      <c r="A325" s="524" t="s">
        <v>199</v>
      </c>
      <c r="B325" s="384" t="s">
        <v>203</v>
      </c>
      <c r="C325" s="385"/>
      <c r="D325" s="385"/>
      <c r="E325" s="71">
        <v>31.04</v>
      </c>
      <c r="F325" s="71">
        <f t="shared" si="50"/>
        <v>31.04</v>
      </c>
      <c r="G325" s="70" t="s">
        <v>32</v>
      </c>
      <c r="H325" s="71">
        <f t="shared" si="53"/>
        <v>9768.2049999999945</v>
      </c>
      <c r="I325" s="71">
        <f t="shared" si="51"/>
        <v>11623.795000000006</v>
      </c>
      <c r="J325" s="119">
        <f t="shared" si="52"/>
        <v>361.8025747326202</v>
      </c>
      <c r="K325" s="104" t="s">
        <v>154</v>
      </c>
      <c r="L325" s="62">
        <f>$I$317-21.52</f>
        <v>11799.315000000006</v>
      </c>
      <c r="M325" s="166">
        <f>11832.25-L325</f>
        <v>32.934999999994034</v>
      </c>
      <c r="N325" s="166">
        <f>L325-11786.59</f>
        <v>12.725000000005821</v>
      </c>
      <c r="O325" s="3"/>
    </row>
    <row r="326" spans="1:15" ht="13.5" customHeight="1" thickBot="1">
      <c r="A326" s="291" t="s">
        <v>47</v>
      </c>
      <c r="B326" s="389" t="s">
        <v>203</v>
      </c>
      <c r="C326" s="390"/>
      <c r="D326" s="391"/>
      <c r="E326" s="219">
        <v>31.22</v>
      </c>
      <c r="F326" s="219">
        <f t="shared" si="50"/>
        <v>31.22</v>
      </c>
      <c r="G326" s="220" t="s">
        <v>32</v>
      </c>
      <c r="H326" s="219">
        <f t="shared" si="53"/>
        <v>9799.4249999999938</v>
      </c>
      <c r="I326" s="219">
        <f t="shared" ref="I326:I331" si="54">IF(H326="","",$K$7-H326)</f>
        <v>11592.575000000006</v>
      </c>
      <c r="J326" s="221">
        <f t="shared" ref="J326:J331" si="55">$G$7+(H326*$D$8*$G$9/1000)</f>
        <v>362.55302339572177</v>
      </c>
      <c r="K326" s="392" t="s">
        <v>97</v>
      </c>
      <c r="L326" s="393"/>
      <c r="M326" s="3"/>
      <c r="N326" s="3"/>
      <c r="O326" s="3"/>
    </row>
    <row r="327" spans="1:15" ht="13.5" customHeight="1" thickBot="1">
      <c r="A327" s="292" t="s">
        <v>200</v>
      </c>
      <c r="B327" s="379" t="s">
        <v>203</v>
      </c>
      <c r="C327" s="380"/>
      <c r="D327" s="380"/>
      <c r="E327" s="202">
        <v>31.02</v>
      </c>
      <c r="F327" s="202">
        <f t="shared" ref="F327" si="56">E327</f>
        <v>31.02</v>
      </c>
      <c r="G327" s="203" t="s">
        <v>32</v>
      </c>
      <c r="H327" s="202">
        <f t="shared" si="53"/>
        <v>9830.4449999999943</v>
      </c>
      <c r="I327" s="202">
        <f t="shared" si="54"/>
        <v>11561.555000000006</v>
      </c>
      <c r="J327" s="207">
        <f t="shared" si="55"/>
        <v>363.29866457219237</v>
      </c>
      <c r="K327" s="440" t="s">
        <v>287</v>
      </c>
      <c r="L327" s="441"/>
      <c r="M327" s="3"/>
      <c r="N327" s="3"/>
      <c r="O327" s="3"/>
    </row>
    <row r="328" spans="1:15" ht="13.5" customHeight="1" thickBot="1">
      <c r="A328" s="293" t="s">
        <v>201</v>
      </c>
      <c r="B328" s="398" t="s">
        <v>203</v>
      </c>
      <c r="C328" s="399"/>
      <c r="D328" s="400"/>
      <c r="E328" s="216">
        <v>31.05</v>
      </c>
      <c r="F328" s="216">
        <f>E328</f>
        <v>31.05</v>
      </c>
      <c r="G328" s="217" t="s">
        <v>32</v>
      </c>
      <c r="H328" s="216">
        <f t="shared" si="53"/>
        <v>9861.4949999999935</v>
      </c>
      <c r="I328" s="216">
        <f t="shared" si="54"/>
        <v>11530.505000000006</v>
      </c>
      <c r="J328" s="218">
        <f t="shared" si="55"/>
        <v>364.04502687165757</v>
      </c>
      <c r="K328" s="525"/>
      <c r="L328" s="526"/>
      <c r="M328" s="3"/>
      <c r="N328" s="3"/>
      <c r="O328" s="3"/>
    </row>
    <row r="329" spans="1:15" ht="13.5" customHeight="1" thickBot="1">
      <c r="A329" s="522" t="s">
        <v>48</v>
      </c>
      <c r="B329" s="396" t="s">
        <v>203</v>
      </c>
      <c r="C329" s="397"/>
      <c r="D329" s="397"/>
      <c r="E329" s="69">
        <v>31.2</v>
      </c>
      <c r="F329" s="69">
        <f t="shared" ref="F329" si="57">E329</f>
        <v>31.2</v>
      </c>
      <c r="G329" s="68" t="s">
        <v>32</v>
      </c>
      <c r="H329" s="69">
        <f t="shared" si="53"/>
        <v>9892.6949999999943</v>
      </c>
      <c r="I329" s="69">
        <f t="shared" si="54"/>
        <v>11499.305000000006</v>
      </c>
      <c r="J329" s="120">
        <f t="shared" si="55"/>
        <v>364.79499478609614</v>
      </c>
      <c r="K329" s="405" t="s">
        <v>156</v>
      </c>
      <c r="L329" s="406"/>
      <c r="M329" s="3"/>
      <c r="N329" s="3"/>
      <c r="O329" s="3"/>
    </row>
    <row r="330" spans="1:15" ht="13.5" customHeight="1">
      <c r="A330" s="523" t="s">
        <v>198</v>
      </c>
      <c r="B330" s="381" t="s">
        <v>203</v>
      </c>
      <c r="C330" s="382"/>
      <c r="D330" s="383"/>
      <c r="E330" s="67">
        <v>31.34</v>
      </c>
      <c r="F330" s="67">
        <f>E330</f>
        <v>31.34</v>
      </c>
      <c r="G330" s="66" t="s">
        <v>32</v>
      </c>
      <c r="H330" s="67">
        <f t="shared" ref="H330:H331" si="58">IF(G330="IN",H329+F330,H329)</f>
        <v>9924.0349999999944</v>
      </c>
      <c r="I330" s="67">
        <f t="shared" si="54"/>
        <v>11467.965000000006</v>
      </c>
      <c r="J330" s="181">
        <f t="shared" si="55"/>
        <v>365.54832794117635</v>
      </c>
      <c r="K330" s="401" t="s">
        <v>124</v>
      </c>
      <c r="L330" s="402"/>
      <c r="M330" s="3"/>
      <c r="N330" s="3"/>
      <c r="O330" s="3"/>
    </row>
    <row r="331" spans="1:15" ht="13.5" customHeight="1" thickBot="1">
      <c r="A331" s="524" t="s">
        <v>199</v>
      </c>
      <c r="B331" s="384" t="s">
        <v>203</v>
      </c>
      <c r="C331" s="385"/>
      <c r="D331" s="385"/>
      <c r="E331" s="71">
        <v>31.21</v>
      </c>
      <c r="F331" s="71">
        <f t="shared" ref="F331" si="59">E331</f>
        <v>31.21</v>
      </c>
      <c r="G331" s="70" t="s">
        <v>32</v>
      </c>
      <c r="H331" s="71">
        <f t="shared" si="58"/>
        <v>9955.2449999999935</v>
      </c>
      <c r="I331" s="71">
        <f t="shared" si="54"/>
        <v>11436.755000000006</v>
      </c>
      <c r="J331" s="119">
        <f t="shared" si="55"/>
        <v>366.29853622994636</v>
      </c>
      <c r="K331" s="403" t="s">
        <v>125</v>
      </c>
      <c r="L331" s="404"/>
      <c r="M331" s="3"/>
      <c r="N331" s="3"/>
      <c r="O331" s="3"/>
    </row>
    <row r="332" spans="1:15" ht="13.5" customHeight="1" thickBot="1">
      <c r="A332" s="291" t="s">
        <v>49</v>
      </c>
      <c r="B332" s="389" t="s">
        <v>203</v>
      </c>
      <c r="C332" s="390"/>
      <c r="D332" s="391"/>
      <c r="E332" s="219">
        <v>30.82</v>
      </c>
      <c r="F332" s="219">
        <f t="shared" ref="F332:F352" si="60">E332</f>
        <v>30.82</v>
      </c>
      <c r="G332" s="220" t="s">
        <v>32</v>
      </c>
      <c r="H332" s="219">
        <f t="shared" ref="H332:H353" si="61">IF(G332="IN",H331+F332,H331)</f>
        <v>9986.0649999999932</v>
      </c>
      <c r="I332" s="219">
        <f t="shared" ref="I332:I352" si="62">IF(H332="","",$K$7-H332)</f>
        <v>11405.935000000007</v>
      </c>
      <c r="J332" s="221">
        <f t="shared" ref="J332:J352" si="63">$G$7+(H332*$D$8*$G$9/1000)</f>
        <v>367.03936991978594</v>
      </c>
      <c r="K332" s="394" t="s">
        <v>291</v>
      </c>
      <c r="L332" s="395"/>
      <c r="M332" s="3"/>
      <c r="N332" s="3"/>
      <c r="O332" s="3"/>
    </row>
    <row r="333" spans="1:15" ht="13.5" customHeight="1">
      <c r="A333" s="292" t="s">
        <v>200</v>
      </c>
      <c r="B333" s="379" t="s">
        <v>203</v>
      </c>
      <c r="C333" s="380"/>
      <c r="D333" s="380"/>
      <c r="E333" s="202">
        <v>30.82</v>
      </c>
      <c r="F333" s="202">
        <f t="shared" si="60"/>
        <v>30.82</v>
      </c>
      <c r="G333" s="203" t="s">
        <v>32</v>
      </c>
      <c r="H333" s="202">
        <f t="shared" si="61"/>
        <v>10016.884999999993</v>
      </c>
      <c r="I333" s="202">
        <f t="shared" si="62"/>
        <v>11375.115000000007</v>
      </c>
      <c r="J333" s="207">
        <f t="shared" si="63"/>
        <v>367.78020360962546</v>
      </c>
      <c r="K333" s="377"/>
      <c r="L333" s="378"/>
      <c r="M333" s="3"/>
      <c r="N333" s="3"/>
      <c r="O333" s="3"/>
    </row>
    <row r="334" spans="1:15" ht="13.5" customHeight="1" thickBot="1">
      <c r="A334" s="293" t="s">
        <v>201</v>
      </c>
      <c r="B334" s="398" t="s">
        <v>203</v>
      </c>
      <c r="C334" s="399"/>
      <c r="D334" s="400"/>
      <c r="E334" s="216">
        <v>31.18</v>
      </c>
      <c r="F334" s="216">
        <f t="shared" si="60"/>
        <v>31.18</v>
      </c>
      <c r="G334" s="217" t="s">
        <v>32</v>
      </c>
      <c r="H334" s="216">
        <f t="shared" si="61"/>
        <v>10048.064999999993</v>
      </c>
      <c r="I334" s="216">
        <f t="shared" si="62"/>
        <v>11343.935000000007</v>
      </c>
      <c r="J334" s="218">
        <f t="shared" si="63"/>
        <v>368.52969077540087</v>
      </c>
      <c r="K334" s="289"/>
      <c r="L334" s="290"/>
      <c r="M334" s="3"/>
      <c r="N334" s="3"/>
      <c r="O334" s="3"/>
    </row>
    <row r="335" spans="1:15" ht="13.5" customHeight="1">
      <c r="A335" s="522" t="s">
        <v>50</v>
      </c>
      <c r="B335" s="396" t="s">
        <v>203</v>
      </c>
      <c r="C335" s="397"/>
      <c r="D335" s="397"/>
      <c r="E335" s="69">
        <v>30.92</v>
      </c>
      <c r="F335" s="69">
        <f t="shared" si="60"/>
        <v>30.92</v>
      </c>
      <c r="G335" s="68" t="s">
        <v>32</v>
      </c>
      <c r="H335" s="69">
        <f t="shared" si="61"/>
        <v>10078.984999999993</v>
      </c>
      <c r="I335" s="69">
        <f t="shared" si="62"/>
        <v>11313.015000000007</v>
      </c>
      <c r="J335" s="120">
        <f t="shared" si="63"/>
        <v>369.27292820855598</v>
      </c>
      <c r="K335" s="289"/>
      <c r="L335" s="290"/>
      <c r="M335" s="3"/>
      <c r="N335" s="3"/>
      <c r="O335" s="3"/>
    </row>
    <row r="336" spans="1:15" ht="13.5" customHeight="1">
      <c r="A336" s="523" t="s">
        <v>198</v>
      </c>
      <c r="B336" s="381" t="s">
        <v>203</v>
      </c>
      <c r="C336" s="382"/>
      <c r="D336" s="383"/>
      <c r="E336" s="67">
        <v>30.9</v>
      </c>
      <c r="F336" s="67">
        <f t="shared" si="60"/>
        <v>30.9</v>
      </c>
      <c r="G336" s="66" t="s">
        <v>32</v>
      </c>
      <c r="H336" s="67">
        <f t="shared" si="61"/>
        <v>10109.884999999993</v>
      </c>
      <c r="I336" s="67">
        <f t="shared" si="62"/>
        <v>11282.115000000007</v>
      </c>
      <c r="J336" s="181">
        <f t="shared" si="63"/>
        <v>370.01568489304793</v>
      </c>
      <c r="K336" s="289"/>
      <c r="L336" s="290"/>
      <c r="M336" s="3"/>
      <c r="N336" s="3"/>
      <c r="O336" s="3"/>
    </row>
    <row r="337" spans="1:15" ht="13.5" customHeight="1" thickBot="1">
      <c r="A337" s="524" t="s">
        <v>199</v>
      </c>
      <c r="B337" s="384" t="s">
        <v>203</v>
      </c>
      <c r="C337" s="385"/>
      <c r="D337" s="385"/>
      <c r="E337" s="71">
        <v>31.38</v>
      </c>
      <c r="F337" s="71">
        <f t="shared" si="60"/>
        <v>31.38</v>
      </c>
      <c r="G337" s="70" t="s">
        <v>32</v>
      </c>
      <c r="H337" s="71">
        <f t="shared" si="61"/>
        <v>10141.264999999992</v>
      </c>
      <c r="I337" s="71">
        <f t="shared" si="62"/>
        <v>11250.735000000008</v>
      </c>
      <c r="J337" s="119">
        <f t="shared" si="63"/>
        <v>370.76997954545436</v>
      </c>
      <c r="K337" s="289"/>
      <c r="L337" s="290"/>
      <c r="M337" s="3"/>
      <c r="N337" s="3"/>
      <c r="O337" s="3"/>
    </row>
    <row r="338" spans="1:15" ht="13.5" customHeight="1">
      <c r="A338" s="291" t="s">
        <v>51</v>
      </c>
      <c r="B338" s="389" t="s">
        <v>203</v>
      </c>
      <c r="C338" s="390"/>
      <c r="D338" s="391"/>
      <c r="E338" s="219">
        <v>31.19</v>
      </c>
      <c r="F338" s="219">
        <f t="shared" si="60"/>
        <v>31.19</v>
      </c>
      <c r="G338" s="220" t="s">
        <v>32</v>
      </c>
      <c r="H338" s="219">
        <f t="shared" si="61"/>
        <v>10172.454999999993</v>
      </c>
      <c r="I338" s="219">
        <f t="shared" si="62"/>
        <v>11219.545000000007</v>
      </c>
      <c r="J338" s="221">
        <f t="shared" si="63"/>
        <v>371.51970708556132</v>
      </c>
      <c r="K338" s="289"/>
      <c r="L338" s="290"/>
      <c r="M338" s="3"/>
      <c r="N338" s="106"/>
      <c r="O338" s="3"/>
    </row>
    <row r="339" spans="1:15" ht="13.5" customHeight="1">
      <c r="A339" s="292" t="s">
        <v>200</v>
      </c>
      <c r="B339" s="379" t="s">
        <v>203</v>
      </c>
      <c r="C339" s="380"/>
      <c r="D339" s="380"/>
      <c r="E339" s="202">
        <v>30.99</v>
      </c>
      <c r="F339" s="202">
        <f t="shared" si="60"/>
        <v>30.99</v>
      </c>
      <c r="G339" s="203" t="s">
        <v>32</v>
      </c>
      <c r="H339" s="202">
        <f t="shared" si="61"/>
        <v>10203.444999999992</v>
      </c>
      <c r="I339" s="202">
        <f t="shared" si="62"/>
        <v>11188.555000000008</v>
      </c>
      <c r="J339" s="207">
        <f t="shared" si="63"/>
        <v>372.26462713903726</v>
      </c>
      <c r="K339" s="289"/>
      <c r="L339" s="290"/>
      <c r="M339" s="3"/>
      <c r="N339" s="3"/>
      <c r="O339" s="3"/>
    </row>
    <row r="340" spans="1:15" ht="13.5" customHeight="1" thickBot="1">
      <c r="A340" s="293" t="s">
        <v>201</v>
      </c>
      <c r="B340" s="398" t="s">
        <v>203</v>
      </c>
      <c r="C340" s="399"/>
      <c r="D340" s="400"/>
      <c r="E340" s="216">
        <v>31.25</v>
      </c>
      <c r="F340" s="216">
        <f t="shared" si="60"/>
        <v>31.25</v>
      </c>
      <c r="G340" s="217" t="s">
        <v>32</v>
      </c>
      <c r="H340" s="216">
        <f t="shared" si="61"/>
        <v>10234.694999999992</v>
      </c>
      <c r="I340" s="216">
        <f t="shared" si="62"/>
        <v>11157.305000000008</v>
      </c>
      <c r="J340" s="218">
        <f t="shared" si="63"/>
        <v>373.01579692513349</v>
      </c>
      <c r="K340" s="289"/>
      <c r="L340" s="290"/>
      <c r="O340" s="3"/>
    </row>
    <row r="341" spans="1:15" ht="13.5" customHeight="1">
      <c r="A341" s="522" t="s">
        <v>52</v>
      </c>
      <c r="B341" s="396" t="s">
        <v>203</v>
      </c>
      <c r="C341" s="397"/>
      <c r="D341" s="397"/>
      <c r="E341" s="69">
        <v>31.23</v>
      </c>
      <c r="F341" s="69">
        <f t="shared" si="60"/>
        <v>31.23</v>
      </c>
      <c r="G341" s="68" t="s">
        <v>32</v>
      </c>
      <c r="H341" s="69">
        <f t="shared" si="61"/>
        <v>10265.924999999992</v>
      </c>
      <c r="I341" s="69">
        <f t="shared" si="62"/>
        <v>11126.075000000008</v>
      </c>
      <c r="J341" s="120">
        <f t="shared" si="63"/>
        <v>373.76648596256666</v>
      </c>
      <c r="K341" s="289"/>
      <c r="L341" s="290"/>
      <c r="O341" s="3"/>
    </row>
    <row r="342" spans="1:15" ht="13.5" customHeight="1">
      <c r="A342" s="523"/>
      <c r="B342" s="381" t="s">
        <v>203</v>
      </c>
      <c r="C342" s="382"/>
      <c r="D342" s="383"/>
      <c r="E342" s="67">
        <v>31.1</v>
      </c>
      <c r="F342" s="67">
        <f t="shared" si="60"/>
        <v>31.1</v>
      </c>
      <c r="G342" s="66" t="s">
        <v>32</v>
      </c>
      <c r="H342" s="67">
        <f t="shared" si="61"/>
        <v>10297.024999999992</v>
      </c>
      <c r="I342" s="67">
        <f t="shared" si="62"/>
        <v>11094.975000000008</v>
      </c>
      <c r="J342" s="181">
        <f t="shared" si="63"/>
        <v>374.51405013368969</v>
      </c>
      <c r="K342" s="289"/>
      <c r="L342" s="290"/>
      <c r="O342" s="3"/>
    </row>
    <row r="343" spans="1:15" ht="13.5" customHeight="1" thickBot="1">
      <c r="A343" s="524"/>
      <c r="B343" s="384" t="s">
        <v>203</v>
      </c>
      <c r="C343" s="385"/>
      <c r="D343" s="385"/>
      <c r="E343" s="71">
        <v>31.25</v>
      </c>
      <c r="F343" s="71">
        <f t="shared" si="60"/>
        <v>31.25</v>
      </c>
      <c r="G343" s="70" t="s">
        <v>32</v>
      </c>
      <c r="H343" s="71">
        <f t="shared" si="61"/>
        <v>10328.274999999992</v>
      </c>
      <c r="I343" s="71">
        <f t="shared" si="62"/>
        <v>11063.725000000008</v>
      </c>
      <c r="J343" s="119">
        <f t="shared" si="63"/>
        <v>375.26521991978592</v>
      </c>
      <c r="K343" s="289"/>
      <c r="L343" s="290"/>
      <c r="O343" s="3"/>
    </row>
    <row r="344" spans="1:15" ht="13.5" customHeight="1">
      <c r="A344" s="291" t="s">
        <v>53</v>
      </c>
      <c r="B344" s="389" t="s">
        <v>203</v>
      </c>
      <c r="C344" s="390"/>
      <c r="D344" s="391"/>
      <c r="E344" s="219">
        <v>31.24</v>
      </c>
      <c r="F344" s="219">
        <f t="shared" si="60"/>
        <v>31.24</v>
      </c>
      <c r="G344" s="220" t="s">
        <v>32</v>
      </c>
      <c r="H344" s="219">
        <f t="shared" si="61"/>
        <v>10359.514999999992</v>
      </c>
      <c r="I344" s="219">
        <f t="shared" si="62"/>
        <v>11032.485000000008</v>
      </c>
      <c r="J344" s="221">
        <f t="shared" si="63"/>
        <v>376.01614933155065</v>
      </c>
      <c r="K344" s="289"/>
      <c r="L344" s="290"/>
      <c r="O344" s="3"/>
    </row>
    <row r="345" spans="1:15" ht="13.5" customHeight="1">
      <c r="A345" s="292"/>
      <c r="B345" s="379" t="s">
        <v>203</v>
      </c>
      <c r="C345" s="380"/>
      <c r="D345" s="380"/>
      <c r="E345" s="202">
        <v>30.95</v>
      </c>
      <c r="F345" s="202">
        <f t="shared" si="60"/>
        <v>30.95</v>
      </c>
      <c r="G345" s="203" t="s">
        <v>32</v>
      </c>
      <c r="H345" s="202">
        <f t="shared" si="61"/>
        <v>10390.464999999993</v>
      </c>
      <c r="I345" s="202">
        <f t="shared" si="62"/>
        <v>11001.535000000007</v>
      </c>
      <c r="J345" s="207">
        <f t="shared" si="63"/>
        <v>376.76010788770037</v>
      </c>
      <c r="K345" s="289"/>
      <c r="L345" s="290"/>
      <c r="O345" s="3"/>
    </row>
    <row r="346" spans="1:15" ht="13.5" customHeight="1" thickBot="1">
      <c r="A346" s="293"/>
      <c r="B346" s="398" t="s">
        <v>203</v>
      </c>
      <c r="C346" s="399"/>
      <c r="D346" s="400"/>
      <c r="E346" s="216">
        <v>31.24</v>
      </c>
      <c r="F346" s="216">
        <f t="shared" si="60"/>
        <v>31.24</v>
      </c>
      <c r="G346" s="217" t="s">
        <v>32</v>
      </c>
      <c r="H346" s="216">
        <f t="shared" si="61"/>
        <v>10421.704999999993</v>
      </c>
      <c r="I346" s="216">
        <f t="shared" si="62"/>
        <v>10970.295000000007</v>
      </c>
      <c r="J346" s="218">
        <f t="shared" si="63"/>
        <v>377.51103729946504</v>
      </c>
      <c r="K346" s="289"/>
      <c r="L346" s="290"/>
      <c r="O346" s="3"/>
    </row>
    <row r="347" spans="1:15" ht="13.5" customHeight="1">
      <c r="A347" s="522" t="s">
        <v>54</v>
      </c>
      <c r="B347" s="396" t="s">
        <v>203</v>
      </c>
      <c r="C347" s="397"/>
      <c r="D347" s="397"/>
      <c r="E347" s="69">
        <v>30.99</v>
      </c>
      <c r="F347" s="69">
        <f t="shared" si="60"/>
        <v>30.99</v>
      </c>
      <c r="G347" s="68" t="s">
        <v>32</v>
      </c>
      <c r="H347" s="69">
        <f t="shared" si="61"/>
        <v>10452.694999999992</v>
      </c>
      <c r="I347" s="69">
        <f t="shared" si="62"/>
        <v>10939.305000000008</v>
      </c>
      <c r="J347" s="120">
        <f t="shared" si="63"/>
        <v>378.25595735294098</v>
      </c>
      <c r="K347" s="289"/>
      <c r="L347" s="290"/>
      <c r="M347" s="90"/>
      <c r="N347" s="3"/>
      <c r="O347" s="3"/>
    </row>
    <row r="348" spans="1:15" ht="13.5" customHeight="1">
      <c r="A348" s="523"/>
      <c r="B348" s="381" t="s">
        <v>203</v>
      </c>
      <c r="C348" s="382"/>
      <c r="D348" s="383"/>
      <c r="E348" s="67">
        <v>30.96</v>
      </c>
      <c r="F348" s="67">
        <f t="shared" si="60"/>
        <v>30.96</v>
      </c>
      <c r="G348" s="66" t="s">
        <v>32</v>
      </c>
      <c r="H348" s="67">
        <f t="shared" si="61"/>
        <v>10483.654999999992</v>
      </c>
      <c r="I348" s="67">
        <f t="shared" si="62"/>
        <v>10908.345000000008</v>
      </c>
      <c r="J348" s="181">
        <f t="shared" si="63"/>
        <v>379.00015628342226</v>
      </c>
      <c r="K348" s="289"/>
      <c r="L348" s="290"/>
      <c r="M348" s="91"/>
      <c r="N348" s="3"/>
      <c r="O348" s="3"/>
    </row>
    <row r="349" spans="1:15" ht="13.5" customHeight="1" thickBot="1">
      <c r="A349" s="524"/>
      <c r="B349" s="384" t="s">
        <v>203</v>
      </c>
      <c r="C349" s="385"/>
      <c r="D349" s="385"/>
      <c r="E349" s="71">
        <v>30.7</v>
      </c>
      <c r="F349" s="71">
        <f t="shared" si="60"/>
        <v>30.7</v>
      </c>
      <c r="G349" s="70" t="s">
        <v>32</v>
      </c>
      <c r="H349" s="71">
        <f t="shared" si="61"/>
        <v>10514.354999999992</v>
      </c>
      <c r="I349" s="71">
        <f t="shared" si="62"/>
        <v>10877.645000000008</v>
      </c>
      <c r="J349" s="119">
        <f t="shared" si="63"/>
        <v>379.73810548128324</v>
      </c>
      <c r="K349" s="289"/>
      <c r="L349" s="290"/>
      <c r="M349" s="91"/>
      <c r="N349" s="3"/>
      <c r="O349" s="3"/>
    </row>
    <row r="350" spans="1:15" ht="13.5" customHeight="1">
      <c r="A350" s="312" t="s">
        <v>45</v>
      </c>
      <c r="B350" s="314" t="s">
        <v>174</v>
      </c>
      <c r="C350" s="314"/>
      <c r="D350" s="314"/>
      <c r="E350" s="209">
        <v>45.15</v>
      </c>
      <c r="F350" s="208">
        <f t="shared" si="60"/>
        <v>45.15</v>
      </c>
      <c r="G350" s="209" t="s">
        <v>32</v>
      </c>
      <c r="H350" s="208">
        <f t="shared" si="61"/>
        <v>10559.504999999992</v>
      </c>
      <c r="I350" s="208">
        <f t="shared" si="62"/>
        <v>10832.495000000008</v>
      </c>
      <c r="J350" s="210">
        <f t="shared" si="63"/>
        <v>380.82339558823514</v>
      </c>
      <c r="K350" s="289"/>
      <c r="L350" s="290"/>
      <c r="M350" s="91"/>
      <c r="N350" s="3"/>
      <c r="O350" s="3"/>
    </row>
    <row r="351" spans="1:15" ht="13.5" customHeight="1" thickBot="1">
      <c r="A351" s="313"/>
      <c r="B351" s="310" t="s">
        <v>174</v>
      </c>
      <c r="C351" s="310"/>
      <c r="D351" s="310"/>
      <c r="E351" s="212">
        <v>44.79</v>
      </c>
      <c r="F351" s="211">
        <f t="shared" si="60"/>
        <v>44.79</v>
      </c>
      <c r="G351" s="212" t="s">
        <v>32</v>
      </c>
      <c r="H351" s="211">
        <f t="shared" si="61"/>
        <v>10604.294999999993</v>
      </c>
      <c r="I351" s="211">
        <f t="shared" si="62"/>
        <v>10787.705000000007</v>
      </c>
      <c r="J351" s="213">
        <f t="shared" si="63"/>
        <v>381.90003221925122</v>
      </c>
      <c r="K351" s="289"/>
      <c r="L351" s="290"/>
      <c r="M351" s="91"/>
      <c r="N351" s="3"/>
      <c r="O351" s="3"/>
    </row>
    <row r="352" spans="1:15" ht="13.5" customHeight="1">
      <c r="A352" s="307" t="s">
        <v>46</v>
      </c>
      <c r="B352" s="309" t="s">
        <v>174</v>
      </c>
      <c r="C352" s="309"/>
      <c r="D352" s="309"/>
      <c r="E352" s="69">
        <v>44.93</v>
      </c>
      <c r="F352" s="69">
        <f t="shared" si="60"/>
        <v>44.93</v>
      </c>
      <c r="G352" s="68" t="s">
        <v>32</v>
      </c>
      <c r="H352" s="69">
        <f t="shared" si="61"/>
        <v>10649.224999999993</v>
      </c>
      <c r="I352" s="69">
        <f t="shared" si="62"/>
        <v>10742.775000000007</v>
      </c>
      <c r="J352" s="120">
        <f t="shared" si="63"/>
        <v>382.98003409090893</v>
      </c>
      <c r="K352" s="289"/>
      <c r="L352" s="290"/>
      <c r="M352" s="91"/>
      <c r="N352" s="3"/>
      <c r="O352" s="3"/>
    </row>
    <row r="353" spans="1:15" s="3" customFormat="1" ht="13.5" customHeight="1" thickBot="1">
      <c r="A353" s="308"/>
      <c r="B353" s="311" t="s">
        <v>174</v>
      </c>
      <c r="C353" s="311"/>
      <c r="D353" s="311"/>
      <c r="E353" s="71">
        <v>45.26</v>
      </c>
      <c r="F353" s="71">
        <f t="shared" si="48"/>
        <v>45.26</v>
      </c>
      <c r="G353" s="70" t="s">
        <v>32</v>
      </c>
      <c r="H353" s="71">
        <f t="shared" si="61"/>
        <v>10694.484999999993</v>
      </c>
      <c r="I353" s="71">
        <f t="shared" si="49"/>
        <v>10697.515000000007</v>
      </c>
      <c r="J353" s="119">
        <f t="shared" si="24"/>
        <v>384.06796831550787</v>
      </c>
      <c r="K353" s="289"/>
      <c r="L353" s="290"/>
    </row>
    <row r="354" spans="1:15" s="3" customFormat="1" ht="13.5" customHeight="1">
      <c r="A354" s="312" t="s">
        <v>47</v>
      </c>
      <c r="B354" s="314" t="s">
        <v>174</v>
      </c>
      <c r="C354" s="314"/>
      <c r="D354" s="314"/>
      <c r="E354" s="209">
        <v>45.27</v>
      </c>
      <c r="F354" s="208">
        <f t="shared" si="48"/>
        <v>45.27</v>
      </c>
      <c r="G354" s="209" t="s">
        <v>32</v>
      </c>
      <c r="H354" s="208">
        <f t="shared" si="47"/>
        <v>10739.754999999994</v>
      </c>
      <c r="I354" s="208">
        <f t="shared" si="49"/>
        <v>10652.245000000006</v>
      </c>
      <c r="J354" s="210">
        <f t="shared" si="24"/>
        <v>385.15614291443836</v>
      </c>
      <c r="K354" s="289"/>
      <c r="L354" s="290"/>
    </row>
    <row r="355" spans="1:15" s="3" customFormat="1" ht="13.5" customHeight="1" thickBot="1">
      <c r="A355" s="313"/>
      <c r="B355" s="310" t="s">
        <v>174</v>
      </c>
      <c r="C355" s="310"/>
      <c r="D355" s="310"/>
      <c r="E355" s="212">
        <v>45.08</v>
      </c>
      <c r="F355" s="211">
        <f>E355</f>
        <v>45.08</v>
      </c>
      <c r="G355" s="212" t="s">
        <v>32</v>
      </c>
      <c r="H355" s="211">
        <f t="shared" si="47"/>
        <v>10784.834999999994</v>
      </c>
      <c r="I355" s="211">
        <f t="shared" si="49"/>
        <v>10607.165000000006</v>
      </c>
      <c r="J355" s="213">
        <f t="shared" si="24"/>
        <v>386.23975040106933</v>
      </c>
      <c r="K355" s="289"/>
      <c r="L355" s="290"/>
    </row>
    <row r="356" spans="1:15" s="3" customFormat="1" ht="13.5" customHeight="1">
      <c r="A356" s="307" t="s">
        <v>48</v>
      </c>
      <c r="B356" s="309" t="s">
        <v>174</v>
      </c>
      <c r="C356" s="309"/>
      <c r="D356" s="309"/>
      <c r="E356" s="69">
        <v>44.94</v>
      </c>
      <c r="F356" s="69">
        <f t="shared" si="48"/>
        <v>44.94</v>
      </c>
      <c r="G356" s="68" t="s">
        <v>32</v>
      </c>
      <c r="H356" s="69">
        <f t="shared" si="47"/>
        <v>10829.774999999994</v>
      </c>
      <c r="I356" s="69">
        <f t="shared" si="49"/>
        <v>10562.225000000006</v>
      </c>
      <c r="J356" s="120">
        <f t="shared" si="24"/>
        <v>387.31999264705871</v>
      </c>
      <c r="K356" s="289"/>
      <c r="L356" s="290"/>
    </row>
    <row r="357" spans="1:15" s="3" customFormat="1" ht="13.5" customHeight="1" thickBot="1">
      <c r="A357" s="308"/>
      <c r="B357" s="311" t="s">
        <v>174</v>
      </c>
      <c r="C357" s="311"/>
      <c r="D357" s="311"/>
      <c r="E357" s="71">
        <v>45.02</v>
      </c>
      <c r="F357" s="71">
        <f t="shared" si="48"/>
        <v>45.02</v>
      </c>
      <c r="G357" s="70" t="s">
        <v>32</v>
      </c>
      <c r="H357" s="71">
        <f t="shared" si="47"/>
        <v>10874.794999999995</v>
      </c>
      <c r="I357" s="71">
        <f t="shared" si="49"/>
        <v>10517.205000000005</v>
      </c>
      <c r="J357" s="119">
        <f t="shared" si="24"/>
        <v>388.40215788770041</v>
      </c>
      <c r="K357" s="289"/>
      <c r="L357" s="290"/>
    </row>
    <row r="358" spans="1:15" s="3" customFormat="1" ht="13.5" customHeight="1">
      <c r="A358" s="312" t="s">
        <v>49</v>
      </c>
      <c r="B358" s="314" t="s">
        <v>174</v>
      </c>
      <c r="C358" s="314"/>
      <c r="D358" s="314"/>
      <c r="E358" s="209">
        <v>45.05</v>
      </c>
      <c r="F358" s="208">
        <f t="shared" si="48"/>
        <v>45.05</v>
      </c>
      <c r="G358" s="209" t="s">
        <v>32</v>
      </c>
      <c r="H358" s="208">
        <f t="shared" si="47"/>
        <v>10919.844999999994</v>
      </c>
      <c r="I358" s="208">
        <f t="shared" si="49"/>
        <v>10472.155000000006</v>
      </c>
      <c r="J358" s="210">
        <f t="shared" si="24"/>
        <v>389.48504425133677</v>
      </c>
      <c r="K358" s="289"/>
      <c r="L358" s="290"/>
    </row>
    <row r="359" spans="1:15" s="3" customFormat="1" ht="13.5" customHeight="1" thickBot="1">
      <c r="A359" s="313"/>
      <c r="B359" s="310" t="s">
        <v>174</v>
      </c>
      <c r="C359" s="310"/>
      <c r="D359" s="310"/>
      <c r="E359" s="212">
        <v>45.31</v>
      </c>
      <c r="F359" s="211">
        <f t="shared" si="48"/>
        <v>45.31</v>
      </c>
      <c r="G359" s="212" t="s">
        <v>32</v>
      </c>
      <c r="H359" s="211">
        <f t="shared" si="47"/>
        <v>10965.154999999993</v>
      </c>
      <c r="I359" s="211">
        <f t="shared" si="49"/>
        <v>10426.845000000007</v>
      </c>
      <c r="J359" s="213">
        <f t="shared" si="24"/>
        <v>390.57418034759343</v>
      </c>
      <c r="K359" s="289"/>
      <c r="L359" s="290"/>
    </row>
    <row r="360" spans="1:15" s="3" customFormat="1" ht="13.5" customHeight="1">
      <c r="A360" s="307" t="s">
        <v>50</v>
      </c>
      <c r="B360" s="309" t="s">
        <v>174</v>
      </c>
      <c r="C360" s="309"/>
      <c r="D360" s="309"/>
      <c r="E360" s="69">
        <v>44.99</v>
      </c>
      <c r="F360" s="69">
        <f t="shared" si="48"/>
        <v>44.99</v>
      </c>
      <c r="G360" s="68" t="s">
        <v>32</v>
      </c>
      <c r="H360" s="69">
        <f t="shared" si="47"/>
        <v>11010.144999999993</v>
      </c>
      <c r="I360" s="69">
        <f t="shared" si="49"/>
        <v>10381.855000000007</v>
      </c>
      <c r="J360" s="120">
        <f t="shared" si="24"/>
        <v>391.65562446524046</v>
      </c>
      <c r="K360" s="289"/>
      <c r="L360" s="290"/>
    </row>
    <row r="361" spans="1:15" s="3" customFormat="1" ht="13.5" customHeight="1" thickBot="1">
      <c r="A361" s="308"/>
      <c r="B361" s="311" t="s">
        <v>174</v>
      </c>
      <c r="C361" s="311"/>
      <c r="D361" s="311"/>
      <c r="E361" s="71">
        <v>45.17</v>
      </c>
      <c r="F361" s="71">
        <f t="shared" si="48"/>
        <v>45.17</v>
      </c>
      <c r="G361" s="70" t="s">
        <v>32</v>
      </c>
      <c r="H361" s="71">
        <f t="shared" si="47"/>
        <v>11055.314999999993</v>
      </c>
      <c r="I361" s="71">
        <f t="shared" si="49"/>
        <v>10336.685000000007</v>
      </c>
      <c r="J361" s="119">
        <f t="shared" si="24"/>
        <v>392.74139532085542</v>
      </c>
      <c r="K361" s="289"/>
      <c r="L361" s="290"/>
    </row>
    <row r="362" spans="1:15" s="3" customFormat="1" ht="13.5" customHeight="1">
      <c r="A362" s="312" t="s">
        <v>51</v>
      </c>
      <c r="B362" s="314" t="s">
        <v>174</v>
      </c>
      <c r="C362" s="314"/>
      <c r="D362" s="314"/>
      <c r="E362" s="209">
        <v>44.88</v>
      </c>
      <c r="F362" s="208">
        <f t="shared" si="48"/>
        <v>44.88</v>
      </c>
      <c r="G362" s="209" t="s">
        <v>32</v>
      </c>
      <c r="H362" s="208">
        <f t="shared" si="47"/>
        <v>11100.194999999992</v>
      </c>
      <c r="I362" s="208">
        <f t="shared" si="49"/>
        <v>10291.805000000008</v>
      </c>
      <c r="J362" s="210">
        <f t="shared" si="24"/>
        <v>393.82019532085542</v>
      </c>
      <c r="K362" s="289"/>
      <c r="L362" s="290"/>
    </row>
    <row r="363" spans="1:15" s="3" customFormat="1" ht="13.5" customHeight="1" thickBot="1">
      <c r="A363" s="313"/>
      <c r="B363" s="310" t="s">
        <v>174</v>
      </c>
      <c r="C363" s="310"/>
      <c r="D363" s="310"/>
      <c r="E363" s="212">
        <v>45.15</v>
      </c>
      <c r="F363" s="211">
        <f t="shared" si="48"/>
        <v>45.15</v>
      </c>
      <c r="G363" s="212" t="s">
        <v>32</v>
      </c>
      <c r="H363" s="211">
        <f t="shared" si="47"/>
        <v>11145.344999999992</v>
      </c>
      <c r="I363" s="211">
        <f t="shared" si="49"/>
        <v>10246.655000000008</v>
      </c>
      <c r="J363" s="213">
        <f t="shared" si="24"/>
        <v>394.90548542780732</v>
      </c>
      <c r="K363" s="289"/>
      <c r="L363" s="290"/>
    </row>
    <row r="364" spans="1:15" s="3" customFormat="1" ht="13.5" customHeight="1">
      <c r="A364" s="307" t="s">
        <v>52</v>
      </c>
      <c r="B364" s="309" t="s">
        <v>174</v>
      </c>
      <c r="C364" s="309"/>
      <c r="D364" s="309"/>
      <c r="E364" s="69">
        <v>45.37</v>
      </c>
      <c r="F364" s="69">
        <f t="shared" si="48"/>
        <v>45.37</v>
      </c>
      <c r="G364" s="68" t="s">
        <v>32</v>
      </c>
      <c r="H364" s="69">
        <f t="shared" si="47"/>
        <v>11190.714999999993</v>
      </c>
      <c r="I364" s="69">
        <f t="shared" si="49"/>
        <v>10201.285000000007</v>
      </c>
      <c r="J364" s="120">
        <f t="shared" si="24"/>
        <v>395.99606377005335</v>
      </c>
      <c r="K364" s="289"/>
      <c r="L364" s="290"/>
    </row>
    <row r="365" spans="1:15" s="3" customFormat="1" ht="13.5" customHeight="1" thickBot="1">
      <c r="A365" s="308"/>
      <c r="B365" s="311" t="s">
        <v>174</v>
      </c>
      <c r="C365" s="311"/>
      <c r="D365" s="311"/>
      <c r="E365" s="71">
        <v>45.2</v>
      </c>
      <c r="F365" s="71">
        <f t="shared" si="48"/>
        <v>45.2</v>
      </c>
      <c r="G365" s="70" t="s">
        <v>32</v>
      </c>
      <c r="H365" s="71">
        <f t="shared" si="47"/>
        <v>11235.914999999994</v>
      </c>
      <c r="I365" s="71">
        <f t="shared" si="49"/>
        <v>10156.085000000006</v>
      </c>
      <c r="J365" s="119">
        <f t="shared" si="24"/>
        <v>397.08255574866291</v>
      </c>
      <c r="K365" s="289"/>
      <c r="L365" s="290"/>
    </row>
    <row r="366" spans="1:15" s="3" customFormat="1" ht="13.5" customHeight="1">
      <c r="A366" s="312" t="s">
        <v>53</v>
      </c>
      <c r="B366" s="314" t="s">
        <v>174</v>
      </c>
      <c r="C366" s="314"/>
      <c r="D366" s="314"/>
      <c r="E366" s="209">
        <v>45.03</v>
      </c>
      <c r="F366" s="208">
        <f t="shared" si="48"/>
        <v>45.03</v>
      </c>
      <c r="G366" s="209" t="s">
        <v>32</v>
      </c>
      <c r="H366" s="208">
        <f t="shared" si="47"/>
        <v>11280.944999999994</v>
      </c>
      <c r="I366" s="208">
        <f t="shared" si="49"/>
        <v>10111.055000000006</v>
      </c>
      <c r="J366" s="210">
        <f t="shared" si="24"/>
        <v>398.16496136363622</v>
      </c>
      <c r="K366" s="289"/>
      <c r="L366" s="290"/>
    </row>
    <row r="367" spans="1:15" ht="13.5" customHeight="1" thickBot="1">
      <c r="A367" s="313"/>
      <c r="B367" s="310" t="s">
        <v>174</v>
      </c>
      <c r="C367" s="310"/>
      <c r="D367" s="310"/>
      <c r="E367" s="212">
        <v>45.11</v>
      </c>
      <c r="F367" s="211">
        <f t="shared" si="48"/>
        <v>45.11</v>
      </c>
      <c r="G367" s="212" t="s">
        <v>32</v>
      </c>
      <c r="H367" s="211">
        <f t="shared" si="47"/>
        <v>11326.054999999995</v>
      </c>
      <c r="I367" s="211">
        <f t="shared" si="49"/>
        <v>10065.945000000005</v>
      </c>
      <c r="J367" s="213">
        <f t="shared" si="24"/>
        <v>399.24928997326191</v>
      </c>
      <c r="K367" s="289"/>
      <c r="L367" s="290"/>
      <c r="M367" s="3"/>
      <c r="N367" s="3"/>
      <c r="O367" s="3"/>
    </row>
    <row r="368" spans="1:15" ht="13.5" customHeight="1">
      <c r="A368" s="307" t="s">
        <v>54</v>
      </c>
      <c r="B368" s="309" t="s">
        <v>174</v>
      </c>
      <c r="C368" s="309"/>
      <c r="D368" s="309"/>
      <c r="E368" s="69">
        <v>45.08</v>
      </c>
      <c r="F368" s="69">
        <f t="shared" si="48"/>
        <v>45.08</v>
      </c>
      <c r="G368" s="68" t="s">
        <v>32</v>
      </c>
      <c r="H368" s="69">
        <f t="shared" si="47"/>
        <v>11371.134999999995</v>
      </c>
      <c r="I368" s="69">
        <f t="shared" si="49"/>
        <v>10020.865000000005</v>
      </c>
      <c r="J368" s="120">
        <f t="shared" si="24"/>
        <v>400.33289745989293</v>
      </c>
      <c r="K368" s="289"/>
      <c r="L368" s="290"/>
      <c r="M368" s="3"/>
      <c r="O368" s="3"/>
    </row>
    <row r="369" spans="1:15" ht="13.5" customHeight="1" thickBot="1">
      <c r="A369" s="308"/>
      <c r="B369" s="311" t="s">
        <v>174</v>
      </c>
      <c r="C369" s="311"/>
      <c r="D369" s="311"/>
      <c r="E369" s="71">
        <v>45.1</v>
      </c>
      <c r="F369" s="71">
        <f t="shared" si="48"/>
        <v>45.1</v>
      </c>
      <c r="G369" s="70" t="s">
        <v>32</v>
      </c>
      <c r="H369" s="71">
        <f t="shared" si="47"/>
        <v>11416.234999999995</v>
      </c>
      <c r="I369" s="71">
        <f t="shared" si="49"/>
        <v>9975.7650000000049</v>
      </c>
      <c r="J369" s="119">
        <f t="shared" si="24"/>
        <v>401.41698569518707</v>
      </c>
      <c r="K369" s="289"/>
      <c r="L369" s="290"/>
      <c r="M369" s="3"/>
      <c r="N369" s="3"/>
      <c r="O369" s="3"/>
    </row>
    <row r="370" spans="1:15" ht="13.5" customHeight="1">
      <c r="A370" s="312" t="s">
        <v>55</v>
      </c>
      <c r="B370" s="314" t="s">
        <v>174</v>
      </c>
      <c r="C370" s="314"/>
      <c r="D370" s="314"/>
      <c r="E370" s="209">
        <v>45.05</v>
      </c>
      <c r="F370" s="208">
        <f t="shared" si="48"/>
        <v>45.05</v>
      </c>
      <c r="G370" s="209" t="s">
        <v>32</v>
      </c>
      <c r="H370" s="208">
        <f t="shared" si="47"/>
        <v>11461.284999999994</v>
      </c>
      <c r="I370" s="208">
        <f t="shared" si="49"/>
        <v>9930.7150000000056</v>
      </c>
      <c r="J370" s="210">
        <f t="shared" si="24"/>
        <v>402.49987205882343</v>
      </c>
      <c r="K370" s="289"/>
      <c r="L370" s="290"/>
      <c r="M370" s="3"/>
      <c r="N370" s="3"/>
      <c r="O370" s="3"/>
    </row>
    <row r="371" spans="1:15" ht="13.5" customHeight="1" thickBot="1">
      <c r="A371" s="313"/>
      <c r="B371" s="310" t="s">
        <v>174</v>
      </c>
      <c r="C371" s="310"/>
      <c r="D371" s="310"/>
      <c r="E371" s="212">
        <v>45.1</v>
      </c>
      <c r="F371" s="211">
        <f t="shared" si="48"/>
        <v>45.1</v>
      </c>
      <c r="G371" s="212" t="s">
        <v>32</v>
      </c>
      <c r="H371" s="211">
        <f t="shared" si="47"/>
        <v>11506.384999999995</v>
      </c>
      <c r="I371" s="211">
        <f t="shared" si="49"/>
        <v>9885.6150000000052</v>
      </c>
      <c r="J371" s="213">
        <f t="shared" si="24"/>
        <v>403.5839602941175</v>
      </c>
      <c r="K371" s="289"/>
      <c r="L371" s="290"/>
      <c r="M371" s="3"/>
      <c r="N371" s="3"/>
      <c r="O371" s="3"/>
    </row>
    <row r="372" spans="1:15" ht="13.5" customHeight="1">
      <c r="A372" s="307" t="s">
        <v>56</v>
      </c>
      <c r="B372" s="309" t="s">
        <v>174</v>
      </c>
      <c r="C372" s="309"/>
      <c r="D372" s="309"/>
      <c r="E372" s="69">
        <v>45.11</v>
      </c>
      <c r="F372" s="69">
        <f t="shared" si="48"/>
        <v>45.11</v>
      </c>
      <c r="G372" s="68" t="s">
        <v>32</v>
      </c>
      <c r="H372" s="69">
        <f t="shared" si="47"/>
        <v>11551.494999999995</v>
      </c>
      <c r="I372" s="69">
        <f t="shared" si="49"/>
        <v>9840.5050000000047</v>
      </c>
      <c r="J372" s="120">
        <f t="shared" si="24"/>
        <v>404.66828890374319</v>
      </c>
      <c r="K372" s="289"/>
      <c r="L372" s="290"/>
      <c r="M372" s="3"/>
      <c r="N372" s="3"/>
      <c r="O372" s="3"/>
    </row>
    <row r="373" spans="1:15" ht="13.5" customHeight="1" thickBot="1">
      <c r="A373" s="308"/>
      <c r="B373" s="311" t="s">
        <v>174</v>
      </c>
      <c r="C373" s="311"/>
      <c r="D373" s="311"/>
      <c r="E373" s="71">
        <v>45.36</v>
      </c>
      <c r="F373" s="71">
        <f t="shared" si="48"/>
        <v>45.36</v>
      </c>
      <c r="G373" s="70" t="s">
        <v>32</v>
      </c>
      <c r="H373" s="71">
        <f t="shared" si="47"/>
        <v>11596.854999999996</v>
      </c>
      <c r="I373" s="71">
        <f t="shared" si="49"/>
        <v>9795.1450000000041</v>
      </c>
      <c r="J373" s="119">
        <f t="shared" si="24"/>
        <v>405.75862687165761</v>
      </c>
      <c r="K373" s="289"/>
      <c r="L373" s="290"/>
      <c r="M373" s="3"/>
      <c r="N373" s="3"/>
      <c r="O373" s="3"/>
    </row>
    <row r="374" spans="1:15" ht="13.5" customHeight="1">
      <c r="A374" s="312" t="s">
        <v>57</v>
      </c>
      <c r="B374" s="314" t="s">
        <v>174</v>
      </c>
      <c r="C374" s="314"/>
      <c r="D374" s="314"/>
      <c r="E374" s="209">
        <v>45.12</v>
      </c>
      <c r="F374" s="208">
        <f t="shared" si="48"/>
        <v>45.12</v>
      </c>
      <c r="G374" s="209" t="s">
        <v>32</v>
      </c>
      <c r="H374" s="208">
        <f t="shared" si="47"/>
        <v>11641.974999999997</v>
      </c>
      <c r="I374" s="208">
        <f t="shared" si="49"/>
        <v>9750.0250000000033</v>
      </c>
      <c r="J374" s="210">
        <f t="shared" si="24"/>
        <v>406.84319585561491</v>
      </c>
      <c r="K374" s="289"/>
      <c r="L374" s="290"/>
      <c r="M374" s="3"/>
      <c r="N374" s="3"/>
      <c r="O374" s="3"/>
    </row>
    <row r="375" spans="1:15" ht="13.5" customHeight="1" thickBot="1">
      <c r="A375" s="313"/>
      <c r="B375" s="310" t="s">
        <v>174</v>
      </c>
      <c r="C375" s="310"/>
      <c r="D375" s="310"/>
      <c r="E375" s="212">
        <v>44.9</v>
      </c>
      <c r="F375" s="211">
        <f t="shared" si="48"/>
        <v>44.9</v>
      </c>
      <c r="G375" s="212" t="s">
        <v>32</v>
      </c>
      <c r="H375" s="211">
        <f t="shared" si="47"/>
        <v>11686.874999999996</v>
      </c>
      <c r="I375" s="211">
        <f t="shared" si="49"/>
        <v>9705.1250000000036</v>
      </c>
      <c r="J375" s="213">
        <f t="shared" si="24"/>
        <v>407.92247660427796</v>
      </c>
      <c r="K375" s="289"/>
      <c r="L375" s="290"/>
      <c r="M375" s="3"/>
      <c r="N375" s="3"/>
      <c r="O375" s="3"/>
    </row>
    <row r="376" spans="1:15" ht="13.5" customHeight="1">
      <c r="A376" s="307" t="s">
        <v>58</v>
      </c>
      <c r="B376" s="309" t="s">
        <v>174</v>
      </c>
      <c r="C376" s="309"/>
      <c r="D376" s="309"/>
      <c r="E376" s="69">
        <v>45.11</v>
      </c>
      <c r="F376" s="69">
        <f t="shared" si="48"/>
        <v>45.11</v>
      </c>
      <c r="G376" s="68" t="s">
        <v>32</v>
      </c>
      <c r="H376" s="69">
        <f t="shared" si="47"/>
        <v>11731.984999999997</v>
      </c>
      <c r="I376" s="69">
        <f t="shared" si="49"/>
        <v>9660.0150000000031</v>
      </c>
      <c r="J376" s="120">
        <f t="shared" si="24"/>
        <v>409.00680521390365</v>
      </c>
      <c r="K376" s="289"/>
      <c r="L376" s="290"/>
      <c r="M376" s="3"/>
      <c r="N376" s="3"/>
      <c r="O376" s="3"/>
    </row>
    <row r="377" spans="1:15" ht="13.5" customHeight="1" thickBot="1">
      <c r="A377" s="308"/>
      <c r="B377" s="311" t="s">
        <v>174</v>
      </c>
      <c r="C377" s="311"/>
      <c r="D377" s="311"/>
      <c r="E377" s="71">
        <v>44.98</v>
      </c>
      <c r="F377" s="71">
        <f t="shared" si="48"/>
        <v>44.98</v>
      </c>
      <c r="G377" s="70" t="s">
        <v>32</v>
      </c>
      <c r="H377" s="71">
        <f t="shared" si="47"/>
        <v>11776.964999999997</v>
      </c>
      <c r="I377" s="71">
        <f t="shared" si="49"/>
        <v>9615.0350000000035</v>
      </c>
      <c r="J377" s="119">
        <f t="shared" si="24"/>
        <v>410.08800895721913</v>
      </c>
      <c r="K377" s="289"/>
      <c r="L377" s="290"/>
      <c r="M377" s="3"/>
      <c r="N377" s="3"/>
      <c r="O377" s="3"/>
    </row>
    <row r="378" spans="1:15" ht="13.5" customHeight="1">
      <c r="A378" s="312" t="s">
        <v>59</v>
      </c>
      <c r="B378" s="314" t="s">
        <v>174</v>
      </c>
      <c r="C378" s="314"/>
      <c r="D378" s="314"/>
      <c r="E378" s="209">
        <v>45.02</v>
      </c>
      <c r="F378" s="208">
        <f t="shared" si="48"/>
        <v>45.02</v>
      </c>
      <c r="G378" s="209" t="s">
        <v>32</v>
      </c>
      <c r="H378" s="208">
        <f t="shared" si="47"/>
        <v>11821.984999999997</v>
      </c>
      <c r="I378" s="208">
        <f t="shared" si="49"/>
        <v>9570.0150000000031</v>
      </c>
      <c r="J378" s="210">
        <f t="shared" si="24"/>
        <v>411.17017419786089</v>
      </c>
      <c r="K378" s="289"/>
      <c r="L378" s="290"/>
      <c r="M378" s="3"/>
      <c r="O378" s="3"/>
    </row>
    <row r="379" spans="1:15" ht="13.5" customHeight="1" thickBot="1">
      <c r="A379" s="313"/>
      <c r="B379" s="310" t="s">
        <v>174</v>
      </c>
      <c r="C379" s="310"/>
      <c r="D379" s="310"/>
      <c r="E379" s="212">
        <v>44.96</v>
      </c>
      <c r="F379" s="211">
        <f t="shared" si="48"/>
        <v>44.96</v>
      </c>
      <c r="G379" s="212" t="s">
        <v>32</v>
      </c>
      <c r="H379" s="211">
        <f t="shared" si="47"/>
        <v>11866.944999999996</v>
      </c>
      <c r="I379" s="211">
        <f t="shared" si="49"/>
        <v>9525.0550000000039</v>
      </c>
      <c r="J379" s="213">
        <f t="shared" si="24"/>
        <v>412.25089719251326</v>
      </c>
      <c r="K379" s="289"/>
      <c r="L379" s="290"/>
      <c r="M379" s="3"/>
      <c r="N379" s="3"/>
      <c r="O379" s="3"/>
    </row>
    <row r="380" spans="1:15" ht="13.5" customHeight="1">
      <c r="A380" s="307" t="s">
        <v>60</v>
      </c>
      <c r="B380" s="309" t="s">
        <v>174</v>
      </c>
      <c r="C380" s="309"/>
      <c r="D380" s="309"/>
      <c r="E380" s="69">
        <v>44.6</v>
      </c>
      <c r="F380" s="69">
        <f t="shared" si="48"/>
        <v>44.6</v>
      </c>
      <c r="G380" s="68" t="s">
        <v>32</v>
      </c>
      <c r="H380" s="69">
        <f t="shared" si="47"/>
        <v>11911.544999999996</v>
      </c>
      <c r="I380" s="69">
        <f t="shared" si="49"/>
        <v>9480.4550000000036</v>
      </c>
      <c r="J380" s="120">
        <f t="shared" si="24"/>
        <v>413.32296671122981</v>
      </c>
      <c r="K380" s="289"/>
      <c r="L380" s="290"/>
      <c r="M380" s="3"/>
      <c r="N380" s="3"/>
      <c r="O380" s="3"/>
    </row>
    <row r="381" spans="1:15" ht="13.5" customHeight="1" thickBot="1">
      <c r="A381" s="308"/>
      <c r="B381" s="311" t="s">
        <v>174</v>
      </c>
      <c r="C381" s="311"/>
      <c r="D381" s="311"/>
      <c r="E381" s="71">
        <v>44.62</v>
      </c>
      <c r="F381" s="71">
        <f t="shared" ref="F381" si="64">E381</f>
        <v>44.62</v>
      </c>
      <c r="G381" s="70" t="s">
        <v>32</v>
      </c>
      <c r="H381" s="71">
        <f t="shared" si="47"/>
        <v>11956.164999999997</v>
      </c>
      <c r="I381" s="71">
        <f t="shared" ref="I381" si="65">IF(H381="","",$K$7-H381)</f>
        <v>9435.8350000000028</v>
      </c>
      <c r="J381" s="119">
        <f t="shared" ref="J381" si="66">$G$7+(H381*$D$8*$G$9/1000)</f>
        <v>414.39551697860958</v>
      </c>
      <c r="K381" s="289"/>
      <c r="L381" s="290"/>
      <c r="M381" s="3"/>
      <c r="N381" s="3"/>
      <c r="O381" s="3"/>
    </row>
    <row r="382" spans="1:15" ht="13.5" customHeight="1">
      <c r="A382" s="312" t="s">
        <v>61</v>
      </c>
      <c r="B382" s="314" t="s">
        <v>174</v>
      </c>
      <c r="C382" s="314"/>
      <c r="D382" s="314"/>
      <c r="E382" s="209">
        <v>45.15</v>
      </c>
      <c r="F382" s="208">
        <f t="shared" si="48"/>
        <v>45.15</v>
      </c>
      <c r="G382" s="209" t="s">
        <v>32</v>
      </c>
      <c r="H382" s="208">
        <f t="shared" si="47"/>
        <v>12001.314999999997</v>
      </c>
      <c r="I382" s="208">
        <f t="shared" si="49"/>
        <v>9390.6850000000031</v>
      </c>
      <c r="J382" s="210">
        <f t="shared" si="24"/>
        <v>415.48080708556137</v>
      </c>
      <c r="K382" s="289"/>
      <c r="L382" s="290"/>
      <c r="M382" s="3"/>
      <c r="N382" s="3"/>
      <c r="O382" s="3"/>
    </row>
    <row r="383" spans="1:15" ht="13.5" customHeight="1" thickBot="1">
      <c r="A383" s="313"/>
      <c r="B383" s="310" t="s">
        <v>174</v>
      </c>
      <c r="C383" s="310"/>
      <c r="D383" s="310"/>
      <c r="E383" s="212">
        <v>44.95</v>
      </c>
      <c r="F383" s="211">
        <f t="shared" ref="F383:F413" si="67">E383</f>
        <v>44.95</v>
      </c>
      <c r="G383" s="212" t="s">
        <v>32</v>
      </c>
      <c r="H383" s="211">
        <f t="shared" ref="H383:H391" si="68">IF(G383="IN",H382+F383,H382)</f>
        <v>12046.264999999998</v>
      </c>
      <c r="I383" s="211">
        <f t="shared" ref="I383:I445" si="69">IF(H383="","",$K$7-H383)</f>
        <v>9345.7350000000024</v>
      </c>
      <c r="J383" s="213">
        <f t="shared" ref="J383:J412" si="70">$G$7+(H383*$D$8*$G$9/1000)</f>
        <v>416.5612897058823</v>
      </c>
      <c r="K383" s="289"/>
      <c r="L383" s="290"/>
      <c r="M383" s="91"/>
      <c r="N383" s="3"/>
      <c r="O383" s="3"/>
    </row>
    <row r="384" spans="1:15" ht="13.5" customHeight="1">
      <c r="A384" s="307" t="s">
        <v>62</v>
      </c>
      <c r="B384" s="309" t="s">
        <v>174</v>
      </c>
      <c r="C384" s="309"/>
      <c r="D384" s="309"/>
      <c r="E384" s="69">
        <v>45.18</v>
      </c>
      <c r="F384" s="69">
        <f t="shared" si="48"/>
        <v>45.18</v>
      </c>
      <c r="G384" s="68" t="s">
        <v>32</v>
      </c>
      <c r="H384" s="69">
        <f t="shared" si="68"/>
        <v>12091.444999999998</v>
      </c>
      <c r="I384" s="69">
        <f t="shared" si="69"/>
        <v>9300.5550000000021</v>
      </c>
      <c r="J384" s="120">
        <f t="shared" si="70"/>
        <v>417.64730093582881</v>
      </c>
      <c r="K384" s="289"/>
      <c r="L384" s="290"/>
      <c r="M384" s="91"/>
      <c r="N384" s="3"/>
      <c r="O384" s="3"/>
    </row>
    <row r="385" spans="1:15" ht="13.5" customHeight="1" thickBot="1">
      <c r="A385" s="308"/>
      <c r="B385" s="311" t="s">
        <v>174</v>
      </c>
      <c r="C385" s="311"/>
      <c r="D385" s="311"/>
      <c r="E385" s="71">
        <v>45.02</v>
      </c>
      <c r="F385" s="71">
        <f t="shared" si="67"/>
        <v>45.02</v>
      </c>
      <c r="G385" s="70" t="s">
        <v>32</v>
      </c>
      <c r="H385" s="71">
        <f t="shared" si="68"/>
        <v>12136.464999999998</v>
      </c>
      <c r="I385" s="71">
        <f t="shared" si="69"/>
        <v>9255.5350000000017</v>
      </c>
      <c r="J385" s="119">
        <f t="shared" si="70"/>
        <v>418.72946617647051</v>
      </c>
      <c r="K385" s="289"/>
      <c r="L385" s="290"/>
      <c r="M385" s="91"/>
    </row>
    <row r="386" spans="1:15" ht="13.5" customHeight="1">
      <c r="A386" s="312" t="s">
        <v>63</v>
      </c>
      <c r="B386" s="314" t="s">
        <v>174</v>
      </c>
      <c r="C386" s="314"/>
      <c r="D386" s="314"/>
      <c r="E386" s="209">
        <v>45.2</v>
      </c>
      <c r="F386" s="208">
        <f t="shared" si="48"/>
        <v>45.2</v>
      </c>
      <c r="G386" s="209" t="s">
        <v>32</v>
      </c>
      <c r="H386" s="208">
        <f t="shared" si="68"/>
        <v>12181.664999999999</v>
      </c>
      <c r="I386" s="208">
        <f t="shared" si="69"/>
        <v>9210.3350000000009</v>
      </c>
      <c r="J386" s="210">
        <f t="shared" si="70"/>
        <v>419.81595815508024</v>
      </c>
      <c r="K386" s="289"/>
      <c r="L386" s="290"/>
      <c r="M386" s="91"/>
    </row>
    <row r="387" spans="1:15" ht="13.5" customHeight="1" thickBot="1">
      <c r="A387" s="313"/>
      <c r="B387" s="310" t="s">
        <v>174</v>
      </c>
      <c r="C387" s="310"/>
      <c r="D387" s="310"/>
      <c r="E387" s="212">
        <v>44.95</v>
      </c>
      <c r="F387" s="211">
        <f t="shared" si="67"/>
        <v>44.95</v>
      </c>
      <c r="G387" s="212" t="s">
        <v>32</v>
      </c>
      <c r="H387" s="211">
        <f t="shared" si="68"/>
        <v>12226.615</v>
      </c>
      <c r="I387" s="211">
        <f t="shared" si="69"/>
        <v>9165.3850000000002</v>
      </c>
      <c r="J387" s="213">
        <f t="shared" si="70"/>
        <v>420.89644077540106</v>
      </c>
      <c r="K387" s="289"/>
      <c r="L387" s="290"/>
      <c r="M387" s="91"/>
    </row>
    <row r="388" spans="1:15" s="3" customFormat="1" ht="13.5" customHeight="1">
      <c r="A388" s="307" t="s">
        <v>64</v>
      </c>
      <c r="B388" s="309" t="s">
        <v>174</v>
      </c>
      <c r="C388" s="309"/>
      <c r="D388" s="309"/>
      <c r="E388" s="69">
        <v>45.17</v>
      </c>
      <c r="F388" s="69">
        <f t="shared" si="48"/>
        <v>45.17</v>
      </c>
      <c r="G388" s="68" t="s">
        <v>32</v>
      </c>
      <c r="H388" s="69">
        <f t="shared" si="68"/>
        <v>12271.785</v>
      </c>
      <c r="I388" s="69">
        <f t="shared" si="69"/>
        <v>9120.2150000000001</v>
      </c>
      <c r="J388" s="120">
        <f t="shared" si="70"/>
        <v>421.98221163101607</v>
      </c>
      <c r="K388" s="289"/>
      <c r="L388" s="290"/>
      <c r="M388" s="91"/>
      <c r="N388" s="1"/>
      <c r="O388" s="1"/>
    </row>
    <row r="389" spans="1:15" s="3" customFormat="1" ht="13.5" customHeight="1" thickBot="1">
      <c r="A389" s="308"/>
      <c r="B389" s="311" t="s">
        <v>174</v>
      </c>
      <c r="C389" s="311"/>
      <c r="D389" s="311"/>
      <c r="E389" s="71">
        <v>45.14</v>
      </c>
      <c r="F389" s="71">
        <f t="shared" si="67"/>
        <v>45.14</v>
      </c>
      <c r="G389" s="70" t="s">
        <v>32</v>
      </c>
      <c r="H389" s="71">
        <f t="shared" si="68"/>
        <v>12316.924999999999</v>
      </c>
      <c r="I389" s="71">
        <f t="shared" si="69"/>
        <v>9075.0750000000007</v>
      </c>
      <c r="J389" s="119">
        <f t="shared" si="70"/>
        <v>423.06726136363631</v>
      </c>
      <c r="K389" s="289"/>
      <c r="L389" s="290"/>
      <c r="M389" s="92"/>
      <c r="N389" s="1"/>
      <c r="O389" s="1"/>
    </row>
    <row r="390" spans="1:15" s="3" customFormat="1" ht="13.5" customHeight="1">
      <c r="A390" s="312" t="s">
        <v>65</v>
      </c>
      <c r="B390" s="314" t="s">
        <v>174</v>
      </c>
      <c r="C390" s="314"/>
      <c r="D390" s="314"/>
      <c r="E390" s="209">
        <v>44.92</v>
      </c>
      <c r="F390" s="208">
        <f t="shared" si="48"/>
        <v>44.92</v>
      </c>
      <c r="G390" s="209" t="s">
        <v>32</v>
      </c>
      <c r="H390" s="208">
        <f t="shared" si="68"/>
        <v>12361.844999999999</v>
      </c>
      <c r="I390" s="208">
        <f t="shared" si="69"/>
        <v>9030.1550000000007</v>
      </c>
      <c r="J390" s="210">
        <f t="shared" si="70"/>
        <v>424.14702286096252</v>
      </c>
      <c r="K390" s="289"/>
      <c r="L390" s="290"/>
      <c r="M390" s="92"/>
      <c r="N390" s="1"/>
      <c r="O390" s="1"/>
    </row>
    <row r="391" spans="1:15" s="3" customFormat="1" ht="13.5" customHeight="1" thickBot="1">
      <c r="A391" s="313"/>
      <c r="B391" s="310" t="s">
        <v>174</v>
      </c>
      <c r="C391" s="310"/>
      <c r="D391" s="310"/>
      <c r="E391" s="212">
        <v>44.93</v>
      </c>
      <c r="F391" s="211">
        <f t="shared" si="67"/>
        <v>44.93</v>
      </c>
      <c r="G391" s="212" t="s">
        <v>32</v>
      </c>
      <c r="H391" s="211">
        <f t="shared" si="68"/>
        <v>12406.775</v>
      </c>
      <c r="I391" s="211">
        <f t="shared" si="69"/>
        <v>8985.2250000000004</v>
      </c>
      <c r="J391" s="213">
        <f t="shared" si="70"/>
        <v>425.22702473262029</v>
      </c>
      <c r="K391" s="289"/>
      <c r="L391" s="290"/>
      <c r="M391" s="92"/>
      <c r="N391" s="1"/>
      <c r="O391" s="1"/>
    </row>
    <row r="392" spans="1:15" s="3" customFormat="1" ht="13.5" customHeight="1">
      <c r="A392" s="307" t="s">
        <v>66</v>
      </c>
      <c r="B392" s="309" t="s">
        <v>174</v>
      </c>
      <c r="C392" s="309"/>
      <c r="D392" s="309"/>
      <c r="E392" s="69">
        <v>45.13</v>
      </c>
      <c r="F392" s="69">
        <f t="shared" si="48"/>
        <v>45.13</v>
      </c>
      <c r="G392" s="68" t="s">
        <v>32</v>
      </c>
      <c r="H392" s="69">
        <f t="shared" ref="H392:H417" si="71">IF(G392="IN",H391+F392,H391)</f>
        <v>12451.904999999999</v>
      </c>
      <c r="I392" s="69">
        <f t="shared" si="69"/>
        <v>8940.0950000000012</v>
      </c>
      <c r="J392" s="120">
        <f t="shared" si="70"/>
        <v>426.31183409090909</v>
      </c>
      <c r="K392" s="289"/>
      <c r="L392" s="290"/>
      <c r="M392" s="92"/>
      <c r="N392" s="1"/>
      <c r="O392" s="1"/>
    </row>
    <row r="393" spans="1:15" s="3" customFormat="1" ht="13.5" customHeight="1" thickBot="1">
      <c r="A393" s="308"/>
      <c r="B393" s="311" t="s">
        <v>174</v>
      </c>
      <c r="C393" s="311"/>
      <c r="D393" s="311"/>
      <c r="E393" s="71">
        <v>45.12</v>
      </c>
      <c r="F393" s="71">
        <f t="shared" si="67"/>
        <v>45.12</v>
      </c>
      <c r="G393" s="70" t="s">
        <v>32</v>
      </c>
      <c r="H393" s="71">
        <f t="shared" si="71"/>
        <v>12497.025</v>
      </c>
      <c r="I393" s="71">
        <f t="shared" si="69"/>
        <v>8894.9750000000004</v>
      </c>
      <c r="J393" s="119">
        <f t="shared" si="70"/>
        <v>427.39640307486627</v>
      </c>
      <c r="K393" s="436"/>
      <c r="L393" s="437"/>
      <c r="M393" s="92"/>
      <c r="N393" s="1"/>
      <c r="O393" s="1"/>
    </row>
    <row r="394" spans="1:15" s="3" customFormat="1" ht="13.5" customHeight="1">
      <c r="A394" s="312" t="s">
        <v>67</v>
      </c>
      <c r="B394" s="314" t="s">
        <v>174</v>
      </c>
      <c r="C394" s="314"/>
      <c r="D394" s="314"/>
      <c r="E394" s="209">
        <v>44.98</v>
      </c>
      <c r="F394" s="208">
        <f t="shared" si="48"/>
        <v>44.98</v>
      </c>
      <c r="G394" s="209" t="s">
        <v>32</v>
      </c>
      <c r="H394" s="208">
        <f t="shared" si="71"/>
        <v>12542.004999999999</v>
      </c>
      <c r="I394" s="208">
        <f t="shared" si="69"/>
        <v>8849.9950000000008</v>
      </c>
      <c r="J394" s="254">
        <f t="shared" si="70"/>
        <v>428.47760681818175</v>
      </c>
      <c r="K394" s="434" t="s">
        <v>286</v>
      </c>
      <c r="L394" s="435"/>
      <c r="M394" s="92"/>
      <c r="N394" s="1"/>
      <c r="O394" s="1"/>
    </row>
    <row r="395" spans="1:15" ht="13.5" customHeight="1" thickBot="1">
      <c r="A395" s="313"/>
      <c r="B395" s="310" t="s">
        <v>174</v>
      </c>
      <c r="C395" s="310"/>
      <c r="D395" s="310"/>
      <c r="E395" s="212">
        <v>45.16</v>
      </c>
      <c r="F395" s="211">
        <f t="shared" si="67"/>
        <v>45.16</v>
      </c>
      <c r="G395" s="212" t="s">
        <v>32</v>
      </c>
      <c r="H395" s="211">
        <f t="shared" si="71"/>
        <v>12587.164999999999</v>
      </c>
      <c r="I395" s="211">
        <f t="shared" si="69"/>
        <v>8804.8350000000009</v>
      </c>
      <c r="J395" s="255">
        <f t="shared" si="70"/>
        <v>429.56313729946521</v>
      </c>
      <c r="K395" s="363" t="s">
        <v>281</v>
      </c>
      <c r="L395" s="364"/>
    </row>
    <row r="396" spans="1:15" ht="13.5" customHeight="1">
      <c r="A396" s="307" t="s">
        <v>68</v>
      </c>
      <c r="B396" s="309" t="s">
        <v>174</v>
      </c>
      <c r="C396" s="309"/>
      <c r="D396" s="309"/>
      <c r="E396" s="69">
        <v>44.96</v>
      </c>
      <c r="F396" s="69">
        <f t="shared" si="48"/>
        <v>44.96</v>
      </c>
      <c r="G396" s="68" t="s">
        <v>32</v>
      </c>
      <c r="H396" s="69">
        <f t="shared" si="71"/>
        <v>12632.124999999998</v>
      </c>
      <c r="I396" s="69">
        <f t="shared" si="69"/>
        <v>8759.8750000000018</v>
      </c>
      <c r="J396" s="120">
        <f t="shared" si="70"/>
        <v>430.64386029411759</v>
      </c>
      <c r="K396" s="377"/>
      <c r="L396" s="378"/>
    </row>
    <row r="397" spans="1:15" ht="13.5" customHeight="1" thickBot="1">
      <c r="A397" s="308"/>
      <c r="B397" s="311" t="s">
        <v>174</v>
      </c>
      <c r="C397" s="311"/>
      <c r="D397" s="311"/>
      <c r="E397" s="71">
        <v>44.95</v>
      </c>
      <c r="F397" s="71">
        <f t="shared" si="67"/>
        <v>44.95</v>
      </c>
      <c r="G397" s="70" t="s">
        <v>32</v>
      </c>
      <c r="H397" s="71">
        <f t="shared" si="71"/>
        <v>12677.074999999999</v>
      </c>
      <c r="I397" s="71">
        <f t="shared" si="69"/>
        <v>8714.9250000000011</v>
      </c>
      <c r="J397" s="119">
        <f t="shared" si="70"/>
        <v>431.72434291443852</v>
      </c>
      <c r="K397" s="289"/>
      <c r="L397" s="290"/>
    </row>
    <row r="398" spans="1:15" ht="13.5" customHeight="1">
      <c r="A398" s="312" t="s">
        <v>69</v>
      </c>
      <c r="B398" s="314" t="s">
        <v>174</v>
      </c>
      <c r="C398" s="314"/>
      <c r="D398" s="314"/>
      <c r="E398" s="209">
        <v>45</v>
      </c>
      <c r="F398" s="208">
        <f t="shared" si="48"/>
        <v>45</v>
      </c>
      <c r="G398" s="209" t="s">
        <v>32</v>
      </c>
      <c r="H398" s="208">
        <f t="shared" si="71"/>
        <v>12722.074999999999</v>
      </c>
      <c r="I398" s="208">
        <f t="shared" si="69"/>
        <v>8669.9250000000011</v>
      </c>
      <c r="J398" s="210">
        <f t="shared" si="70"/>
        <v>432.80602740641712</v>
      </c>
      <c r="K398" s="289"/>
      <c r="L398" s="290"/>
    </row>
    <row r="399" spans="1:15" ht="13.5" customHeight="1" thickBot="1">
      <c r="A399" s="313"/>
      <c r="B399" s="310" t="s">
        <v>174</v>
      </c>
      <c r="C399" s="310"/>
      <c r="D399" s="310"/>
      <c r="E399" s="212">
        <v>45.06</v>
      </c>
      <c r="F399" s="211">
        <f t="shared" si="67"/>
        <v>45.06</v>
      </c>
      <c r="G399" s="212" t="s">
        <v>32</v>
      </c>
      <c r="H399" s="211">
        <f t="shared" si="71"/>
        <v>12767.134999999998</v>
      </c>
      <c r="I399" s="211">
        <f t="shared" si="69"/>
        <v>8624.8650000000016</v>
      </c>
      <c r="J399" s="213">
        <f t="shared" si="70"/>
        <v>433.88915414438503</v>
      </c>
      <c r="K399" s="289"/>
      <c r="L399" s="290"/>
    </row>
    <row r="400" spans="1:15" ht="13.5" customHeight="1">
      <c r="A400" s="307" t="s">
        <v>70</v>
      </c>
      <c r="B400" s="309" t="s">
        <v>174</v>
      </c>
      <c r="C400" s="309"/>
      <c r="D400" s="309"/>
      <c r="E400" s="69">
        <v>45.24</v>
      </c>
      <c r="F400" s="69">
        <f t="shared" si="48"/>
        <v>45.24</v>
      </c>
      <c r="G400" s="68" t="s">
        <v>32</v>
      </c>
      <c r="H400" s="69">
        <f t="shared" si="71"/>
        <v>12812.374999999998</v>
      </c>
      <c r="I400" s="69">
        <f t="shared" si="69"/>
        <v>8579.6250000000018</v>
      </c>
      <c r="J400" s="120">
        <f t="shared" si="70"/>
        <v>434.97660762032081</v>
      </c>
      <c r="K400" s="289"/>
      <c r="L400" s="290"/>
    </row>
    <row r="401" spans="1:12" ht="13.5" customHeight="1" thickBot="1">
      <c r="A401" s="308"/>
      <c r="B401" s="311" t="s">
        <v>174</v>
      </c>
      <c r="C401" s="311"/>
      <c r="D401" s="311"/>
      <c r="E401" s="71">
        <v>45.15</v>
      </c>
      <c r="F401" s="71">
        <f t="shared" si="67"/>
        <v>45.15</v>
      </c>
      <c r="G401" s="70" t="s">
        <v>32</v>
      </c>
      <c r="H401" s="71">
        <f t="shared" si="71"/>
        <v>12857.524999999998</v>
      </c>
      <c r="I401" s="71">
        <f t="shared" si="69"/>
        <v>8534.4750000000022</v>
      </c>
      <c r="J401" s="119">
        <f t="shared" si="70"/>
        <v>436.06189772727265</v>
      </c>
      <c r="K401" s="289"/>
      <c r="L401" s="290"/>
    </row>
    <row r="402" spans="1:12" ht="13.5" customHeight="1">
      <c r="A402" s="312" t="s">
        <v>71</v>
      </c>
      <c r="B402" s="314" t="s">
        <v>174</v>
      </c>
      <c r="C402" s="314"/>
      <c r="D402" s="314"/>
      <c r="E402" s="209">
        <v>45.12</v>
      </c>
      <c r="F402" s="208">
        <f t="shared" si="48"/>
        <v>45.12</v>
      </c>
      <c r="G402" s="209" t="s">
        <v>32</v>
      </c>
      <c r="H402" s="208">
        <f t="shared" si="71"/>
        <v>12902.644999999999</v>
      </c>
      <c r="I402" s="208">
        <f t="shared" si="69"/>
        <v>8489.3550000000014</v>
      </c>
      <c r="J402" s="210">
        <f t="shared" si="70"/>
        <v>437.14646671122989</v>
      </c>
      <c r="K402" s="289"/>
      <c r="L402" s="290"/>
    </row>
    <row r="403" spans="1:12" ht="13.5" customHeight="1" thickBot="1">
      <c r="A403" s="313"/>
      <c r="B403" s="310" t="s">
        <v>174</v>
      </c>
      <c r="C403" s="310"/>
      <c r="D403" s="310"/>
      <c r="E403" s="212">
        <v>45.15</v>
      </c>
      <c r="F403" s="211">
        <f t="shared" si="67"/>
        <v>45.15</v>
      </c>
      <c r="G403" s="212" t="s">
        <v>32</v>
      </c>
      <c r="H403" s="211">
        <f t="shared" si="71"/>
        <v>12947.794999999998</v>
      </c>
      <c r="I403" s="211">
        <f t="shared" si="69"/>
        <v>8444.2050000000017</v>
      </c>
      <c r="J403" s="213">
        <f t="shared" si="70"/>
        <v>438.23175681818179</v>
      </c>
      <c r="K403" s="289"/>
      <c r="L403" s="290"/>
    </row>
    <row r="404" spans="1:12" ht="13.5" customHeight="1">
      <c r="A404" s="307" t="s">
        <v>72</v>
      </c>
      <c r="B404" s="309" t="s">
        <v>174</v>
      </c>
      <c r="C404" s="309"/>
      <c r="D404" s="309"/>
      <c r="E404" s="69">
        <v>45.19</v>
      </c>
      <c r="F404" s="69">
        <f t="shared" si="48"/>
        <v>45.19</v>
      </c>
      <c r="G404" s="68" t="s">
        <v>32</v>
      </c>
      <c r="H404" s="69">
        <f t="shared" si="71"/>
        <v>12992.984999999999</v>
      </c>
      <c r="I404" s="69">
        <f t="shared" si="69"/>
        <v>8399.0150000000012</v>
      </c>
      <c r="J404" s="120">
        <f t="shared" si="70"/>
        <v>439.3180084224598</v>
      </c>
      <c r="K404" s="289"/>
      <c r="L404" s="290"/>
    </row>
    <row r="405" spans="1:12" ht="13.5" customHeight="1" thickBot="1">
      <c r="A405" s="308"/>
      <c r="B405" s="311" t="s">
        <v>174</v>
      </c>
      <c r="C405" s="311"/>
      <c r="D405" s="311"/>
      <c r="E405" s="71">
        <v>45.16</v>
      </c>
      <c r="F405" s="71">
        <f t="shared" si="67"/>
        <v>45.16</v>
      </c>
      <c r="G405" s="70" t="s">
        <v>32</v>
      </c>
      <c r="H405" s="71">
        <f t="shared" si="71"/>
        <v>13038.144999999999</v>
      </c>
      <c r="I405" s="71">
        <f t="shared" si="69"/>
        <v>8353.8550000000014</v>
      </c>
      <c r="J405" s="119">
        <f t="shared" si="70"/>
        <v>440.40353890374325</v>
      </c>
      <c r="K405" s="289"/>
      <c r="L405" s="290"/>
    </row>
    <row r="406" spans="1:12" ht="13.5" customHeight="1">
      <c r="A406" s="312" t="s">
        <v>73</v>
      </c>
      <c r="B406" s="314" t="s">
        <v>174</v>
      </c>
      <c r="C406" s="314"/>
      <c r="D406" s="314"/>
      <c r="E406" s="209">
        <v>45.17</v>
      </c>
      <c r="F406" s="208">
        <f t="shared" si="48"/>
        <v>45.17</v>
      </c>
      <c r="G406" s="209" t="s">
        <v>32</v>
      </c>
      <c r="H406" s="208">
        <f t="shared" si="71"/>
        <v>13083.314999999999</v>
      </c>
      <c r="I406" s="208">
        <f t="shared" si="69"/>
        <v>8308.6850000000013</v>
      </c>
      <c r="J406" s="210">
        <f t="shared" si="70"/>
        <v>441.48930975935821</v>
      </c>
      <c r="K406" s="289"/>
      <c r="L406" s="290"/>
    </row>
    <row r="407" spans="1:12" ht="13.5" customHeight="1" thickBot="1">
      <c r="A407" s="313"/>
      <c r="B407" s="310" t="s">
        <v>174</v>
      </c>
      <c r="C407" s="310"/>
      <c r="D407" s="310"/>
      <c r="E407" s="212">
        <v>45.21</v>
      </c>
      <c r="F407" s="211">
        <f t="shared" si="67"/>
        <v>45.21</v>
      </c>
      <c r="G407" s="212" t="s">
        <v>32</v>
      </c>
      <c r="H407" s="211">
        <f t="shared" si="71"/>
        <v>13128.524999999998</v>
      </c>
      <c r="I407" s="211">
        <f t="shared" si="69"/>
        <v>8263.4750000000022</v>
      </c>
      <c r="J407" s="213">
        <f t="shared" si="70"/>
        <v>442.57604211229943</v>
      </c>
      <c r="K407" s="289"/>
      <c r="L407" s="290"/>
    </row>
    <row r="408" spans="1:12" ht="13.5" customHeight="1">
      <c r="A408" s="307" t="s">
        <v>74</v>
      </c>
      <c r="B408" s="309" t="s">
        <v>174</v>
      </c>
      <c r="C408" s="309"/>
      <c r="D408" s="309"/>
      <c r="E408" s="69">
        <v>44.99</v>
      </c>
      <c r="F408" s="69">
        <f t="shared" si="48"/>
        <v>44.99</v>
      </c>
      <c r="G408" s="68" t="s">
        <v>32</v>
      </c>
      <c r="H408" s="69">
        <f t="shared" si="71"/>
        <v>13173.514999999998</v>
      </c>
      <c r="I408" s="69">
        <f t="shared" si="69"/>
        <v>8218.4850000000024</v>
      </c>
      <c r="J408" s="120">
        <f t="shared" si="70"/>
        <v>443.65748622994647</v>
      </c>
      <c r="K408" s="289"/>
      <c r="L408" s="290"/>
    </row>
    <row r="409" spans="1:12" ht="13.5" customHeight="1" thickBot="1">
      <c r="A409" s="308"/>
      <c r="B409" s="311" t="s">
        <v>174</v>
      </c>
      <c r="C409" s="311"/>
      <c r="D409" s="311"/>
      <c r="E409" s="71">
        <v>44.92</v>
      </c>
      <c r="F409" s="71">
        <f t="shared" si="67"/>
        <v>44.92</v>
      </c>
      <c r="G409" s="70" t="s">
        <v>32</v>
      </c>
      <c r="H409" s="71">
        <f t="shared" si="71"/>
        <v>13218.434999999998</v>
      </c>
      <c r="I409" s="71">
        <f t="shared" si="69"/>
        <v>8173.5650000000023</v>
      </c>
      <c r="J409" s="119">
        <f t="shared" si="70"/>
        <v>444.73724772727269</v>
      </c>
      <c r="K409" s="289"/>
      <c r="L409" s="290"/>
    </row>
    <row r="410" spans="1:12" ht="13.5" customHeight="1">
      <c r="A410" s="312" t="s">
        <v>75</v>
      </c>
      <c r="B410" s="314" t="s">
        <v>174</v>
      </c>
      <c r="C410" s="314"/>
      <c r="D410" s="314"/>
      <c r="E410" s="209">
        <v>44.9</v>
      </c>
      <c r="F410" s="208">
        <f t="shared" si="48"/>
        <v>44.9</v>
      </c>
      <c r="G410" s="209" t="s">
        <v>32</v>
      </c>
      <c r="H410" s="208">
        <f t="shared" si="71"/>
        <v>13263.334999999997</v>
      </c>
      <c r="I410" s="208">
        <f t="shared" si="69"/>
        <v>8128.6650000000027</v>
      </c>
      <c r="J410" s="210">
        <f t="shared" si="70"/>
        <v>445.81652847593574</v>
      </c>
      <c r="K410" s="289"/>
      <c r="L410" s="290"/>
    </row>
    <row r="411" spans="1:12" ht="13.5" customHeight="1" thickBot="1">
      <c r="A411" s="313"/>
      <c r="B411" s="310" t="s">
        <v>174</v>
      </c>
      <c r="C411" s="310"/>
      <c r="D411" s="310"/>
      <c r="E411" s="212">
        <v>44.98</v>
      </c>
      <c r="F411" s="211">
        <f t="shared" si="67"/>
        <v>44.98</v>
      </c>
      <c r="G411" s="212" t="s">
        <v>32</v>
      </c>
      <c r="H411" s="211">
        <f t="shared" si="71"/>
        <v>13308.314999999997</v>
      </c>
      <c r="I411" s="211">
        <f t="shared" si="69"/>
        <v>8083.6850000000031</v>
      </c>
      <c r="J411" s="213">
        <f t="shared" si="70"/>
        <v>446.89773221925122</v>
      </c>
      <c r="K411" s="289"/>
      <c r="L411" s="290"/>
    </row>
    <row r="412" spans="1:12" ht="13.5" customHeight="1">
      <c r="A412" s="307" t="s">
        <v>76</v>
      </c>
      <c r="B412" s="309" t="s">
        <v>174</v>
      </c>
      <c r="C412" s="309"/>
      <c r="D412" s="309"/>
      <c r="E412" s="69">
        <v>44.9</v>
      </c>
      <c r="F412" s="69">
        <f t="shared" si="48"/>
        <v>44.9</v>
      </c>
      <c r="G412" s="68" t="s">
        <v>32</v>
      </c>
      <c r="H412" s="69">
        <f t="shared" si="71"/>
        <v>13353.214999999997</v>
      </c>
      <c r="I412" s="69">
        <f t="shared" si="69"/>
        <v>8038.7850000000035</v>
      </c>
      <c r="J412" s="120">
        <f t="shared" si="70"/>
        <v>447.97701296791433</v>
      </c>
      <c r="K412" s="289"/>
      <c r="L412" s="290"/>
    </row>
    <row r="413" spans="1:12" ht="13.5" customHeight="1" thickBot="1">
      <c r="A413" s="308"/>
      <c r="B413" s="311" t="s">
        <v>174</v>
      </c>
      <c r="C413" s="311"/>
      <c r="D413" s="311"/>
      <c r="E413" s="71">
        <v>45.13</v>
      </c>
      <c r="F413" s="71">
        <f t="shared" si="67"/>
        <v>45.13</v>
      </c>
      <c r="G413" s="70" t="s">
        <v>32</v>
      </c>
      <c r="H413" s="71">
        <f t="shared" si="71"/>
        <v>13398.344999999996</v>
      </c>
      <c r="I413" s="71">
        <f t="shared" si="69"/>
        <v>7993.6550000000043</v>
      </c>
      <c r="J413" s="119">
        <f t="shared" ref="J413:J476" si="72">$G$7+(H413*$D$8*$G$9/1000)</f>
        <v>449.06182232620313</v>
      </c>
      <c r="K413" s="289"/>
      <c r="L413" s="290"/>
    </row>
    <row r="414" spans="1:12" ht="13.5" customHeight="1">
      <c r="A414" s="312" t="s">
        <v>77</v>
      </c>
      <c r="B414" s="314" t="s">
        <v>174</v>
      </c>
      <c r="C414" s="314"/>
      <c r="D414" s="314"/>
      <c r="E414" s="209">
        <v>45.23</v>
      </c>
      <c r="F414" s="208">
        <f t="shared" si="48"/>
        <v>45.23</v>
      </c>
      <c r="G414" s="209" t="s">
        <v>32</v>
      </c>
      <c r="H414" s="208">
        <f t="shared" si="71"/>
        <v>13443.574999999995</v>
      </c>
      <c r="I414" s="208">
        <f t="shared" si="69"/>
        <v>7948.4250000000047</v>
      </c>
      <c r="J414" s="210">
        <f t="shared" si="72"/>
        <v>450.14903542780735</v>
      </c>
      <c r="K414" s="289"/>
      <c r="L414" s="290"/>
    </row>
    <row r="415" spans="1:12" ht="13.5" customHeight="1" thickBot="1">
      <c r="A415" s="313"/>
      <c r="B415" s="310" t="s">
        <v>174</v>
      </c>
      <c r="C415" s="310"/>
      <c r="D415" s="310"/>
      <c r="E415" s="212">
        <v>45</v>
      </c>
      <c r="F415" s="211">
        <f t="shared" si="48"/>
        <v>45</v>
      </c>
      <c r="G415" s="212" t="s">
        <v>32</v>
      </c>
      <c r="H415" s="211">
        <f t="shared" si="71"/>
        <v>13488.574999999995</v>
      </c>
      <c r="I415" s="211">
        <f t="shared" si="69"/>
        <v>7903.4250000000047</v>
      </c>
      <c r="J415" s="213">
        <f t="shared" si="72"/>
        <v>451.230719919786</v>
      </c>
      <c r="K415" s="289"/>
      <c r="L415" s="290"/>
    </row>
    <row r="416" spans="1:12" ht="13.5" customHeight="1">
      <c r="A416" s="307" t="s">
        <v>78</v>
      </c>
      <c r="B416" s="309" t="s">
        <v>174</v>
      </c>
      <c r="C416" s="309"/>
      <c r="D416" s="309"/>
      <c r="E416" s="69">
        <v>45.01</v>
      </c>
      <c r="F416" s="69">
        <f t="shared" si="48"/>
        <v>45.01</v>
      </c>
      <c r="G416" s="68" t="s">
        <v>32</v>
      </c>
      <c r="H416" s="69">
        <f t="shared" si="71"/>
        <v>13533.584999999995</v>
      </c>
      <c r="I416" s="69">
        <f t="shared" si="69"/>
        <v>7858.4150000000045</v>
      </c>
      <c r="J416" s="120">
        <f t="shared" si="72"/>
        <v>452.31264478609614</v>
      </c>
      <c r="K416" s="289"/>
      <c r="L416" s="290"/>
    </row>
    <row r="417" spans="1:12" ht="13.5" customHeight="1" thickBot="1">
      <c r="A417" s="308"/>
      <c r="B417" s="311" t="s">
        <v>174</v>
      </c>
      <c r="C417" s="311"/>
      <c r="D417" s="311"/>
      <c r="E417" s="71">
        <v>45.2</v>
      </c>
      <c r="F417" s="71">
        <f t="shared" si="48"/>
        <v>45.2</v>
      </c>
      <c r="G417" s="70" t="s">
        <v>32</v>
      </c>
      <c r="H417" s="71">
        <f t="shared" si="71"/>
        <v>13578.784999999996</v>
      </c>
      <c r="I417" s="71">
        <f t="shared" si="69"/>
        <v>7813.2150000000038</v>
      </c>
      <c r="J417" s="119">
        <f t="shared" si="72"/>
        <v>453.39913676470576</v>
      </c>
      <c r="K417" s="289"/>
      <c r="L417" s="290"/>
    </row>
    <row r="418" spans="1:12" ht="13.5" customHeight="1">
      <c r="A418" s="312" t="s">
        <v>79</v>
      </c>
      <c r="B418" s="314" t="s">
        <v>174</v>
      </c>
      <c r="C418" s="314"/>
      <c r="D418" s="314"/>
      <c r="E418" s="209">
        <v>45.17</v>
      </c>
      <c r="F418" s="208">
        <f t="shared" si="48"/>
        <v>45.17</v>
      </c>
      <c r="G418" s="209" t="s">
        <v>32</v>
      </c>
      <c r="H418" s="208">
        <f t="shared" ref="H418:H481" si="73">IF(G418="IN",H417+F418,H417)</f>
        <v>13623.954999999996</v>
      </c>
      <c r="I418" s="208">
        <f t="shared" si="69"/>
        <v>7768.0450000000037</v>
      </c>
      <c r="J418" s="210">
        <f t="shared" si="72"/>
        <v>454.48490762032071</v>
      </c>
      <c r="K418" s="289"/>
      <c r="L418" s="290"/>
    </row>
    <row r="419" spans="1:12" ht="13.5" customHeight="1" thickBot="1">
      <c r="A419" s="313"/>
      <c r="B419" s="310" t="s">
        <v>174</v>
      </c>
      <c r="C419" s="310"/>
      <c r="D419" s="310"/>
      <c r="E419" s="212">
        <v>45.08</v>
      </c>
      <c r="F419" s="211">
        <f t="shared" si="48"/>
        <v>45.08</v>
      </c>
      <c r="G419" s="212" t="s">
        <v>32</v>
      </c>
      <c r="H419" s="211">
        <f t="shared" si="73"/>
        <v>13669.034999999996</v>
      </c>
      <c r="I419" s="211">
        <f t="shared" si="69"/>
        <v>7722.9650000000038</v>
      </c>
      <c r="J419" s="213">
        <f t="shared" si="72"/>
        <v>455.56851510695174</v>
      </c>
      <c r="K419" s="289"/>
      <c r="L419" s="290"/>
    </row>
    <row r="420" spans="1:12" ht="13.5" customHeight="1">
      <c r="A420" s="307" t="s">
        <v>80</v>
      </c>
      <c r="B420" s="309" t="s">
        <v>174</v>
      </c>
      <c r="C420" s="309"/>
      <c r="D420" s="309"/>
      <c r="E420" s="69">
        <v>45.18</v>
      </c>
      <c r="F420" s="69">
        <f t="shared" si="48"/>
        <v>45.18</v>
      </c>
      <c r="G420" s="68" t="s">
        <v>32</v>
      </c>
      <c r="H420" s="69">
        <f t="shared" si="73"/>
        <v>13714.214999999997</v>
      </c>
      <c r="I420" s="69">
        <f t="shared" si="69"/>
        <v>7677.7850000000035</v>
      </c>
      <c r="J420" s="120">
        <f t="shared" si="72"/>
        <v>456.65452633689824</v>
      </c>
      <c r="K420" s="289"/>
      <c r="L420" s="290"/>
    </row>
    <row r="421" spans="1:12" ht="13.5" customHeight="1" thickBot="1">
      <c r="A421" s="308"/>
      <c r="B421" s="311" t="s">
        <v>174</v>
      </c>
      <c r="C421" s="311"/>
      <c r="D421" s="311"/>
      <c r="E421" s="71">
        <v>45.28</v>
      </c>
      <c r="F421" s="71">
        <f t="shared" si="48"/>
        <v>45.28</v>
      </c>
      <c r="G421" s="70" t="s">
        <v>32</v>
      </c>
      <c r="H421" s="71">
        <f t="shared" si="73"/>
        <v>13759.494999999997</v>
      </c>
      <c r="I421" s="71">
        <f t="shared" si="69"/>
        <v>7632.5050000000028</v>
      </c>
      <c r="J421" s="119">
        <f t="shared" si="72"/>
        <v>457.7429413101604</v>
      </c>
      <c r="K421" s="289"/>
      <c r="L421" s="290"/>
    </row>
    <row r="422" spans="1:12" ht="13.5" customHeight="1">
      <c r="A422" s="312" t="s">
        <v>81</v>
      </c>
      <c r="B422" s="314" t="s">
        <v>174</v>
      </c>
      <c r="C422" s="314"/>
      <c r="D422" s="314"/>
      <c r="E422" s="209">
        <v>45.4</v>
      </c>
      <c r="F422" s="208">
        <f t="shared" si="48"/>
        <v>45.4</v>
      </c>
      <c r="G422" s="209" t="s">
        <v>32</v>
      </c>
      <c r="H422" s="208">
        <f t="shared" si="73"/>
        <v>13804.894999999997</v>
      </c>
      <c r="I422" s="208">
        <f t="shared" si="69"/>
        <v>7587.1050000000032</v>
      </c>
      <c r="J422" s="210">
        <f t="shared" si="72"/>
        <v>458.83424077540099</v>
      </c>
      <c r="K422" s="289"/>
      <c r="L422" s="290"/>
    </row>
    <row r="423" spans="1:12" ht="13.5" customHeight="1" thickBot="1">
      <c r="A423" s="313"/>
      <c r="B423" s="310" t="s">
        <v>174</v>
      </c>
      <c r="C423" s="310"/>
      <c r="D423" s="310"/>
      <c r="E423" s="212">
        <v>44.95</v>
      </c>
      <c r="F423" s="211">
        <f t="shared" si="48"/>
        <v>44.95</v>
      </c>
      <c r="G423" s="212" t="s">
        <v>32</v>
      </c>
      <c r="H423" s="211">
        <f t="shared" si="73"/>
        <v>13849.844999999998</v>
      </c>
      <c r="I423" s="211">
        <f t="shared" si="69"/>
        <v>7542.1550000000025</v>
      </c>
      <c r="J423" s="213">
        <f t="shared" si="72"/>
        <v>459.91472339572186</v>
      </c>
      <c r="K423" s="289"/>
      <c r="L423" s="290"/>
    </row>
    <row r="424" spans="1:12" ht="13.5" customHeight="1">
      <c r="A424" s="307" t="s">
        <v>82</v>
      </c>
      <c r="B424" s="309" t="s">
        <v>174</v>
      </c>
      <c r="C424" s="309"/>
      <c r="D424" s="309"/>
      <c r="E424" s="69">
        <v>45.16</v>
      </c>
      <c r="F424" s="69">
        <f t="shared" si="48"/>
        <v>45.16</v>
      </c>
      <c r="G424" s="68" t="s">
        <v>32</v>
      </c>
      <c r="H424" s="69">
        <f t="shared" si="73"/>
        <v>13895.004999999997</v>
      </c>
      <c r="I424" s="69">
        <f t="shared" si="69"/>
        <v>7496.9950000000026</v>
      </c>
      <c r="J424" s="120">
        <f t="shared" si="72"/>
        <v>461.00025387700526</v>
      </c>
      <c r="K424" s="289"/>
      <c r="L424" s="290"/>
    </row>
    <row r="425" spans="1:12" ht="13.5" customHeight="1" thickBot="1">
      <c r="A425" s="308"/>
      <c r="B425" s="311" t="s">
        <v>174</v>
      </c>
      <c r="C425" s="311"/>
      <c r="D425" s="311"/>
      <c r="E425" s="71">
        <v>44.95</v>
      </c>
      <c r="F425" s="71">
        <f t="shared" si="48"/>
        <v>44.95</v>
      </c>
      <c r="G425" s="70" t="s">
        <v>32</v>
      </c>
      <c r="H425" s="71">
        <f t="shared" si="73"/>
        <v>13939.954999999998</v>
      </c>
      <c r="I425" s="71">
        <f t="shared" si="69"/>
        <v>7452.0450000000019</v>
      </c>
      <c r="J425" s="119">
        <f t="shared" si="72"/>
        <v>462.0807364973262</v>
      </c>
      <c r="K425" s="289"/>
      <c r="L425" s="290"/>
    </row>
    <row r="426" spans="1:12" ht="13.5" customHeight="1">
      <c r="A426" s="312" t="s">
        <v>83</v>
      </c>
      <c r="B426" s="314" t="s">
        <v>174</v>
      </c>
      <c r="C426" s="314"/>
      <c r="D426" s="314"/>
      <c r="E426" s="209">
        <v>45.05</v>
      </c>
      <c r="F426" s="208">
        <f t="shared" si="48"/>
        <v>45.05</v>
      </c>
      <c r="G426" s="209" t="s">
        <v>32</v>
      </c>
      <c r="H426" s="208">
        <f t="shared" si="73"/>
        <v>13985.004999999997</v>
      </c>
      <c r="I426" s="208">
        <f t="shared" si="69"/>
        <v>7406.9950000000026</v>
      </c>
      <c r="J426" s="210">
        <f t="shared" si="72"/>
        <v>463.16362286096245</v>
      </c>
      <c r="K426" s="289"/>
      <c r="L426" s="290"/>
    </row>
    <row r="427" spans="1:12" ht="13.5" customHeight="1" thickBot="1">
      <c r="A427" s="313"/>
      <c r="B427" s="310" t="s">
        <v>174</v>
      </c>
      <c r="C427" s="310"/>
      <c r="D427" s="310"/>
      <c r="E427" s="212">
        <v>44.94</v>
      </c>
      <c r="F427" s="211">
        <f t="shared" si="48"/>
        <v>44.94</v>
      </c>
      <c r="G427" s="212" t="s">
        <v>32</v>
      </c>
      <c r="H427" s="211">
        <f t="shared" si="73"/>
        <v>14029.944999999998</v>
      </c>
      <c r="I427" s="211">
        <f t="shared" si="69"/>
        <v>7362.0550000000021</v>
      </c>
      <c r="J427" s="213">
        <f t="shared" si="72"/>
        <v>464.24386510695177</v>
      </c>
      <c r="K427" s="289"/>
      <c r="L427" s="290"/>
    </row>
    <row r="428" spans="1:12" ht="13.5" customHeight="1">
      <c r="A428" s="307" t="s">
        <v>84</v>
      </c>
      <c r="B428" s="309" t="s">
        <v>174</v>
      </c>
      <c r="C428" s="309"/>
      <c r="D428" s="309"/>
      <c r="E428" s="69">
        <v>44.83</v>
      </c>
      <c r="F428" s="69">
        <f t="shared" si="48"/>
        <v>44.83</v>
      </c>
      <c r="G428" s="68" t="s">
        <v>32</v>
      </c>
      <c r="H428" s="69">
        <f t="shared" si="73"/>
        <v>14074.774999999998</v>
      </c>
      <c r="I428" s="69">
        <f t="shared" si="69"/>
        <v>7317.2250000000022</v>
      </c>
      <c r="J428" s="120">
        <f t="shared" si="72"/>
        <v>465.32146323529406</v>
      </c>
      <c r="K428" s="289"/>
      <c r="L428" s="290"/>
    </row>
    <row r="429" spans="1:12" ht="13.5" customHeight="1" thickBot="1">
      <c r="A429" s="308"/>
      <c r="B429" s="311" t="s">
        <v>174</v>
      </c>
      <c r="C429" s="311"/>
      <c r="D429" s="311"/>
      <c r="E429" s="71">
        <v>45.1</v>
      </c>
      <c r="F429" s="71">
        <f t="shared" si="48"/>
        <v>45.1</v>
      </c>
      <c r="G429" s="70" t="s">
        <v>32</v>
      </c>
      <c r="H429" s="71">
        <f t="shared" si="73"/>
        <v>14119.874999999998</v>
      </c>
      <c r="I429" s="71">
        <f t="shared" si="69"/>
        <v>7272.1250000000018</v>
      </c>
      <c r="J429" s="119">
        <f t="shared" si="72"/>
        <v>466.40555147058819</v>
      </c>
      <c r="K429" s="289"/>
      <c r="L429" s="290"/>
    </row>
    <row r="430" spans="1:12" ht="13.5" customHeight="1">
      <c r="A430" s="312" t="s">
        <v>85</v>
      </c>
      <c r="B430" s="314" t="s">
        <v>174</v>
      </c>
      <c r="C430" s="314"/>
      <c r="D430" s="314"/>
      <c r="E430" s="209">
        <v>45.06</v>
      </c>
      <c r="F430" s="208">
        <f t="shared" si="48"/>
        <v>45.06</v>
      </c>
      <c r="G430" s="209" t="s">
        <v>32</v>
      </c>
      <c r="H430" s="208">
        <f t="shared" si="73"/>
        <v>14164.934999999998</v>
      </c>
      <c r="I430" s="208">
        <f t="shared" si="69"/>
        <v>7227.0650000000023</v>
      </c>
      <c r="J430" s="210">
        <f t="shared" si="72"/>
        <v>467.48867820855611</v>
      </c>
      <c r="K430" s="289"/>
      <c r="L430" s="290"/>
    </row>
    <row r="431" spans="1:12" ht="13.5" customHeight="1" thickBot="1">
      <c r="A431" s="313"/>
      <c r="B431" s="310" t="s">
        <v>174</v>
      </c>
      <c r="C431" s="310"/>
      <c r="D431" s="310"/>
      <c r="E431" s="212">
        <v>45.12</v>
      </c>
      <c r="F431" s="211">
        <f t="shared" si="48"/>
        <v>45.12</v>
      </c>
      <c r="G431" s="212" t="s">
        <v>32</v>
      </c>
      <c r="H431" s="211">
        <f t="shared" si="73"/>
        <v>14210.054999999998</v>
      </c>
      <c r="I431" s="211">
        <f t="shared" si="69"/>
        <v>7181.9450000000015</v>
      </c>
      <c r="J431" s="213">
        <f t="shared" si="72"/>
        <v>468.57324719251329</v>
      </c>
      <c r="K431" s="289"/>
      <c r="L431" s="290"/>
    </row>
    <row r="432" spans="1:12" ht="13.5" customHeight="1">
      <c r="A432" s="307" t="s">
        <v>86</v>
      </c>
      <c r="B432" s="309" t="s">
        <v>174</v>
      </c>
      <c r="C432" s="309"/>
      <c r="D432" s="309"/>
      <c r="E432" s="69">
        <v>45.17</v>
      </c>
      <c r="F432" s="69">
        <f t="shared" si="48"/>
        <v>45.17</v>
      </c>
      <c r="G432" s="68" t="s">
        <v>32</v>
      </c>
      <c r="H432" s="69">
        <f t="shared" si="73"/>
        <v>14255.224999999999</v>
      </c>
      <c r="I432" s="69">
        <f t="shared" si="69"/>
        <v>7136.7750000000015</v>
      </c>
      <c r="J432" s="120">
        <f t="shared" si="72"/>
        <v>469.6590180481283</v>
      </c>
      <c r="K432" s="289"/>
      <c r="L432" s="290"/>
    </row>
    <row r="433" spans="1:15" ht="13.5" customHeight="1" thickBot="1">
      <c r="A433" s="308"/>
      <c r="B433" s="311" t="s">
        <v>174</v>
      </c>
      <c r="C433" s="311"/>
      <c r="D433" s="311"/>
      <c r="E433" s="71">
        <v>44.9</v>
      </c>
      <c r="F433" s="71">
        <f t="shared" si="48"/>
        <v>44.9</v>
      </c>
      <c r="G433" s="70" t="s">
        <v>32</v>
      </c>
      <c r="H433" s="71">
        <f t="shared" si="73"/>
        <v>14300.124999999998</v>
      </c>
      <c r="I433" s="71">
        <f t="shared" si="69"/>
        <v>7091.8750000000018</v>
      </c>
      <c r="J433" s="119">
        <f t="shared" si="72"/>
        <v>470.73829879679141</v>
      </c>
      <c r="K433" s="289"/>
      <c r="L433" s="290"/>
    </row>
    <row r="434" spans="1:15" ht="13.5" customHeight="1">
      <c r="A434" s="312" t="s">
        <v>87</v>
      </c>
      <c r="B434" s="314" t="s">
        <v>174</v>
      </c>
      <c r="C434" s="314"/>
      <c r="D434" s="314"/>
      <c r="E434" s="209">
        <v>45.2</v>
      </c>
      <c r="F434" s="208">
        <f t="shared" si="48"/>
        <v>45.2</v>
      </c>
      <c r="G434" s="209" t="s">
        <v>32</v>
      </c>
      <c r="H434" s="208">
        <f t="shared" si="73"/>
        <v>14345.324999999999</v>
      </c>
      <c r="I434" s="208">
        <f t="shared" si="69"/>
        <v>7046.6750000000011</v>
      </c>
      <c r="J434" s="210">
        <f t="shared" si="72"/>
        <v>471.82479077540103</v>
      </c>
      <c r="K434" s="289"/>
      <c r="L434" s="290"/>
    </row>
    <row r="435" spans="1:15" ht="13.5" customHeight="1" thickBot="1">
      <c r="A435" s="313"/>
      <c r="B435" s="310" t="s">
        <v>174</v>
      </c>
      <c r="C435" s="310"/>
      <c r="D435" s="310"/>
      <c r="E435" s="212">
        <v>44.82</v>
      </c>
      <c r="F435" s="211">
        <f t="shared" si="48"/>
        <v>44.82</v>
      </c>
      <c r="G435" s="212" t="s">
        <v>32</v>
      </c>
      <c r="H435" s="211">
        <f t="shared" si="73"/>
        <v>14390.144999999999</v>
      </c>
      <c r="I435" s="211">
        <f t="shared" si="69"/>
        <v>7001.8550000000014</v>
      </c>
      <c r="J435" s="213">
        <f t="shared" si="72"/>
        <v>472.9021485294117</v>
      </c>
      <c r="K435" s="289"/>
      <c r="L435" s="290"/>
    </row>
    <row r="436" spans="1:15" ht="13.5" customHeight="1">
      <c r="A436" s="307" t="s">
        <v>88</v>
      </c>
      <c r="B436" s="309" t="s">
        <v>174</v>
      </c>
      <c r="C436" s="309"/>
      <c r="D436" s="309"/>
      <c r="E436" s="69">
        <v>45.1</v>
      </c>
      <c r="F436" s="69">
        <f t="shared" si="48"/>
        <v>45.1</v>
      </c>
      <c r="G436" s="68" t="s">
        <v>32</v>
      </c>
      <c r="H436" s="69">
        <f t="shared" si="73"/>
        <v>14435.244999999999</v>
      </c>
      <c r="I436" s="69">
        <f t="shared" si="69"/>
        <v>6956.755000000001</v>
      </c>
      <c r="J436" s="120">
        <f t="shared" si="72"/>
        <v>473.98623676470584</v>
      </c>
      <c r="K436" s="289"/>
      <c r="L436" s="290"/>
    </row>
    <row r="437" spans="1:15" ht="13.5" customHeight="1" thickBot="1">
      <c r="A437" s="308"/>
      <c r="B437" s="311" t="s">
        <v>174</v>
      </c>
      <c r="C437" s="311"/>
      <c r="D437" s="311"/>
      <c r="E437" s="71">
        <v>45.13</v>
      </c>
      <c r="F437" s="71">
        <f t="shared" si="48"/>
        <v>45.13</v>
      </c>
      <c r="G437" s="70" t="s">
        <v>32</v>
      </c>
      <c r="H437" s="71">
        <f t="shared" si="73"/>
        <v>14480.374999999998</v>
      </c>
      <c r="I437" s="71">
        <f t="shared" si="69"/>
        <v>6911.6250000000018</v>
      </c>
      <c r="J437" s="119">
        <f t="shared" si="72"/>
        <v>475.07104612299463</v>
      </c>
      <c r="K437" s="289"/>
      <c r="L437" s="290"/>
    </row>
    <row r="438" spans="1:15" ht="13.5" customHeight="1">
      <c r="A438" s="312" t="s">
        <v>89</v>
      </c>
      <c r="B438" s="314" t="s">
        <v>174</v>
      </c>
      <c r="C438" s="314"/>
      <c r="D438" s="314"/>
      <c r="E438" s="209">
        <v>44.8</v>
      </c>
      <c r="F438" s="208">
        <f t="shared" si="48"/>
        <v>44.8</v>
      </c>
      <c r="G438" s="209" t="s">
        <v>32</v>
      </c>
      <c r="H438" s="208">
        <f t="shared" si="73"/>
        <v>14525.174999999997</v>
      </c>
      <c r="I438" s="208">
        <f t="shared" si="69"/>
        <v>6866.8250000000025</v>
      </c>
      <c r="J438" s="210">
        <f t="shared" si="72"/>
        <v>476.1479231283422</v>
      </c>
      <c r="K438" s="289"/>
      <c r="L438" s="290"/>
      <c r="M438" s="3"/>
      <c r="N438" s="3"/>
      <c r="O438" s="3"/>
    </row>
    <row r="439" spans="1:15" ht="13.5" customHeight="1" thickBot="1">
      <c r="A439" s="313"/>
      <c r="B439" s="310" t="s">
        <v>174</v>
      </c>
      <c r="C439" s="310"/>
      <c r="D439" s="310"/>
      <c r="E439" s="212">
        <v>44.97</v>
      </c>
      <c r="F439" s="211">
        <f t="shared" si="48"/>
        <v>44.97</v>
      </c>
      <c r="G439" s="212" t="s">
        <v>32</v>
      </c>
      <c r="H439" s="211">
        <f t="shared" si="73"/>
        <v>14570.144999999997</v>
      </c>
      <c r="I439" s="211">
        <f t="shared" si="69"/>
        <v>6821.8550000000032</v>
      </c>
      <c r="J439" s="213">
        <f t="shared" si="72"/>
        <v>477.22888649732613</v>
      </c>
      <c r="K439" s="289"/>
      <c r="L439" s="290"/>
      <c r="M439" s="3"/>
      <c r="N439" s="3"/>
      <c r="O439" s="3"/>
    </row>
    <row r="440" spans="1:15" ht="13.5" customHeight="1">
      <c r="A440" s="307" t="s">
        <v>90</v>
      </c>
      <c r="B440" s="309" t="s">
        <v>174</v>
      </c>
      <c r="C440" s="309"/>
      <c r="D440" s="309"/>
      <c r="E440" s="69">
        <v>44.9</v>
      </c>
      <c r="F440" s="69">
        <f t="shared" si="48"/>
        <v>44.9</v>
      </c>
      <c r="G440" s="68" t="s">
        <v>32</v>
      </c>
      <c r="H440" s="69">
        <f t="shared" si="73"/>
        <v>14615.044999999996</v>
      </c>
      <c r="I440" s="69">
        <f t="shared" si="69"/>
        <v>6776.9550000000036</v>
      </c>
      <c r="J440" s="120">
        <f t="shared" si="72"/>
        <v>478.30816724598918</v>
      </c>
      <c r="K440" s="289"/>
      <c r="L440" s="290"/>
      <c r="M440" s="3"/>
      <c r="N440" s="3"/>
      <c r="O440" s="3"/>
    </row>
    <row r="441" spans="1:15" ht="13.5" customHeight="1" thickBot="1">
      <c r="A441" s="308"/>
      <c r="B441" s="311" t="s">
        <v>174</v>
      </c>
      <c r="C441" s="311"/>
      <c r="D441" s="311"/>
      <c r="E441" s="71">
        <v>44.95</v>
      </c>
      <c r="F441" s="71">
        <f t="shared" si="48"/>
        <v>44.95</v>
      </c>
      <c r="G441" s="70" t="s">
        <v>32</v>
      </c>
      <c r="H441" s="71">
        <f t="shared" si="73"/>
        <v>14659.994999999997</v>
      </c>
      <c r="I441" s="71">
        <f t="shared" si="69"/>
        <v>6732.0050000000028</v>
      </c>
      <c r="J441" s="119">
        <f t="shared" si="72"/>
        <v>479.38864986631006</v>
      </c>
      <c r="K441" s="289"/>
      <c r="L441" s="290"/>
      <c r="M441" s="3"/>
      <c r="N441" s="3"/>
      <c r="O441" s="3"/>
    </row>
    <row r="442" spans="1:15" ht="13.5" customHeight="1">
      <c r="A442" s="312" t="s">
        <v>92</v>
      </c>
      <c r="B442" s="314" t="s">
        <v>174</v>
      </c>
      <c r="C442" s="314"/>
      <c r="D442" s="314"/>
      <c r="E442" s="209">
        <v>44.92</v>
      </c>
      <c r="F442" s="208">
        <f t="shared" si="48"/>
        <v>44.92</v>
      </c>
      <c r="G442" s="209" t="s">
        <v>32</v>
      </c>
      <c r="H442" s="208">
        <f t="shared" si="73"/>
        <v>14704.914999999997</v>
      </c>
      <c r="I442" s="208">
        <f t="shared" si="69"/>
        <v>6687.0850000000028</v>
      </c>
      <c r="J442" s="210">
        <f t="shared" si="72"/>
        <v>480.46841136363628</v>
      </c>
      <c r="K442" s="289"/>
      <c r="L442" s="290"/>
      <c r="M442" s="3"/>
      <c r="N442" s="3"/>
      <c r="O442" s="3"/>
    </row>
    <row r="443" spans="1:15" ht="13.5" customHeight="1" thickBot="1">
      <c r="A443" s="313"/>
      <c r="B443" s="310" t="s">
        <v>174</v>
      </c>
      <c r="C443" s="310"/>
      <c r="D443" s="310"/>
      <c r="E443" s="212">
        <v>45.2</v>
      </c>
      <c r="F443" s="211">
        <f t="shared" si="48"/>
        <v>45.2</v>
      </c>
      <c r="G443" s="212" t="s">
        <v>32</v>
      </c>
      <c r="H443" s="211">
        <f t="shared" si="73"/>
        <v>14750.114999999998</v>
      </c>
      <c r="I443" s="211">
        <f t="shared" si="69"/>
        <v>6641.885000000002</v>
      </c>
      <c r="J443" s="213">
        <f t="shared" si="72"/>
        <v>481.55490334224595</v>
      </c>
      <c r="K443" s="289"/>
      <c r="L443" s="290"/>
      <c r="M443" s="8"/>
      <c r="N443" s="3"/>
      <c r="O443" s="3"/>
    </row>
    <row r="444" spans="1:15" ht="13.5" customHeight="1">
      <c r="A444" s="307" t="s">
        <v>100</v>
      </c>
      <c r="B444" s="309" t="s">
        <v>174</v>
      </c>
      <c r="C444" s="309"/>
      <c r="D444" s="309"/>
      <c r="E444" s="69">
        <v>45.15</v>
      </c>
      <c r="F444" s="69">
        <f t="shared" si="48"/>
        <v>45.15</v>
      </c>
      <c r="G444" s="68" t="s">
        <v>32</v>
      </c>
      <c r="H444" s="69">
        <f t="shared" si="73"/>
        <v>14795.264999999998</v>
      </c>
      <c r="I444" s="69">
        <f t="shared" si="69"/>
        <v>6596.7350000000024</v>
      </c>
      <c r="J444" s="120">
        <f t="shared" si="72"/>
        <v>482.6401934491978</v>
      </c>
      <c r="K444" s="289"/>
      <c r="L444" s="290"/>
      <c r="M444" s="3"/>
      <c r="N444" s="3"/>
      <c r="O444" s="3"/>
    </row>
    <row r="445" spans="1:15" ht="13.5" customHeight="1" thickBot="1">
      <c r="A445" s="308"/>
      <c r="B445" s="311" t="s">
        <v>174</v>
      </c>
      <c r="C445" s="311"/>
      <c r="D445" s="311"/>
      <c r="E445" s="71">
        <v>44.86</v>
      </c>
      <c r="F445" s="71">
        <f t="shared" si="48"/>
        <v>44.86</v>
      </c>
      <c r="G445" s="70" t="s">
        <v>32</v>
      </c>
      <c r="H445" s="71">
        <f t="shared" si="73"/>
        <v>14840.124999999998</v>
      </c>
      <c r="I445" s="71">
        <f t="shared" si="69"/>
        <v>6551.8750000000018</v>
      </c>
      <c r="J445" s="119">
        <f t="shared" si="72"/>
        <v>483.71851270053469</v>
      </c>
      <c r="K445" s="289"/>
      <c r="L445" s="290"/>
      <c r="M445" s="3"/>
    </row>
    <row r="446" spans="1:15" ht="13.5" customHeight="1">
      <c r="A446" s="312" t="s">
        <v>101</v>
      </c>
      <c r="B446" s="314" t="s">
        <v>174</v>
      </c>
      <c r="C446" s="314"/>
      <c r="D446" s="314"/>
      <c r="E446" s="209">
        <v>44.98</v>
      </c>
      <c r="F446" s="208">
        <f t="shared" si="48"/>
        <v>44.98</v>
      </c>
      <c r="G446" s="209" t="s">
        <v>32</v>
      </c>
      <c r="H446" s="208">
        <f t="shared" si="73"/>
        <v>14885.104999999998</v>
      </c>
      <c r="I446" s="208">
        <f t="shared" ref="I446:I541" si="74">IF(H446="","",$K$7-H446)</f>
        <v>6506.8950000000023</v>
      </c>
      <c r="J446" s="210">
        <f t="shared" si="72"/>
        <v>484.79971644385017</v>
      </c>
      <c r="K446" s="289"/>
      <c r="L446" s="290"/>
      <c r="M446" s="3"/>
    </row>
    <row r="447" spans="1:15" ht="13.5" customHeight="1" thickBot="1">
      <c r="A447" s="313"/>
      <c r="B447" s="310" t="s">
        <v>174</v>
      </c>
      <c r="C447" s="310"/>
      <c r="D447" s="310"/>
      <c r="E447" s="212">
        <v>45.18</v>
      </c>
      <c r="F447" s="211">
        <f t="shared" si="48"/>
        <v>45.18</v>
      </c>
      <c r="G447" s="212" t="s">
        <v>32</v>
      </c>
      <c r="H447" s="211">
        <f t="shared" si="73"/>
        <v>14930.284999999998</v>
      </c>
      <c r="I447" s="211">
        <f t="shared" si="74"/>
        <v>6461.715000000002</v>
      </c>
      <c r="J447" s="213">
        <f t="shared" si="72"/>
        <v>485.88572767379674</v>
      </c>
      <c r="K447" s="289"/>
      <c r="L447" s="290"/>
      <c r="M447" s="3"/>
    </row>
    <row r="448" spans="1:15" ht="13.5" customHeight="1">
      <c r="A448" s="307" t="s">
        <v>102</v>
      </c>
      <c r="B448" s="309" t="s">
        <v>174</v>
      </c>
      <c r="C448" s="309"/>
      <c r="D448" s="309"/>
      <c r="E448" s="69">
        <v>45.15</v>
      </c>
      <c r="F448" s="69">
        <f t="shared" si="48"/>
        <v>45.15</v>
      </c>
      <c r="G448" s="68" t="s">
        <v>32</v>
      </c>
      <c r="H448" s="69">
        <f t="shared" si="73"/>
        <v>14975.434999999998</v>
      </c>
      <c r="I448" s="69">
        <f t="shared" si="74"/>
        <v>6416.5650000000023</v>
      </c>
      <c r="J448" s="120">
        <f t="shared" si="72"/>
        <v>486.97101778074858</v>
      </c>
      <c r="K448" s="289"/>
      <c r="L448" s="290"/>
      <c r="M448" s="3"/>
    </row>
    <row r="449" spans="1:12" ht="13.5" customHeight="1" thickBot="1">
      <c r="A449" s="308"/>
      <c r="B449" s="311" t="s">
        <v>174</v>
      </c>
      <c r="C449" s="311"/>
      <c r="D449" s="311"/>
      <c r="E449" s="71">
        <v>45.2</v>
      </c>
      <c r="F449" s="71">
        <f t="shared" si="48"/>
        <v>45.2</v>
      </c>
      <c r="G449" s="70" t="s">
        <v>32</v>
      </c>
      <c r="H449" s="71">
        <f t="shared" si="73"/>
        <v>15020.634999999998</v>
      </c>
      <c r="I449" s="71">
        <f t="shared" si="74"/>
        <v>6371.3650000000016</v>
      </c>
      <c r="J449" s="119">
        <f t="shared" si="72"/>
        <v>488.05750975935825</v>
      </c>
      <c r="K449" s="289"/>
      <c r="L449" s="290"/>
    </row>
    <row r="450" spans="1:12" ht="13.5" customHeight="1">
      <c r="A450" s="312" t="s">
        <v>103</v>
      </c>
      <c r="B450" s="314" t="s">
        <v>174</v>
      </c>
      <c r="C450" s="314"/>
      <c r="D450" s="314"/>
      <c r="E450" s="209">
        <v>45.12</v>
      </c>
      <c r="F450" s="208">
        <f t="shared" si="48"/>
        <v>45.12</v>
      </c>
      <c r="G450" s="209" t="s">
        <v>32</v>
      </c>
      <c r="H450" s="208">
        <f t="shared" si="73"/>
        <v>15065.754999999999</v>
      </c>
      <c r="I450" s="208">
        <f t="shared" si="74"/>
        <v>6326.2450000000008</v>
      </c>
      <c r="J450" s="210">
        <f t="shared" si="72"/>
        <v>489.14207874331549</v>
      </c>
      <c r="K450" s="289"/>
      <c r="L450" s="290"/>
    </row>
    <row r="451" spans="1:12" ht="13.5" customHeight="1" thickBot="1">
      <c r="A451" s="313"/>
      <c r="B451" s="310" t="s">
        <v>174</v>
      </c>
      <c r="C451" s="310"/>
      <c r="D451" s="310"/>
      <c r="E451" s="212">
        <v>45.1</v>
      </c>
      <c r="F451" s="211">
        <f t="shared" si="48"/>
        <v>45.1</v>
      </c>
      <c r="G451" s="212" t="s">
        <v>32</v>
      </c>
      <c r="H451" s="211">
        <f t="shared" si="73"/>
        <v>15110.855</v>
      </c>
      <c r="I451" s="211">
        <f t="shared" si="74"/>
        <v>6281.1450000000004</v>
      </c>
      <c r="J451" s="213">
        <f t="shared" si="72"/>
        <v>490.22616697860963</v>
      </c>
      <c r="K451" s="289"/>
      <c r="L451" s="290"/>
    </row>
    <row r="452" spans="1:12" ht="13.5" customHeight="1">
      <c r="A452" s="307" t="s">
        <v>104</v>
      </c>
      <c r="B452" s="309" t="s">
        <v>174</v>
      </c>
      <c r="C452" s="309"/>
      <c r="D452" s="309"/>
      <c r="E452" s="69">
        <v>44.83</v>
      </c>
      <c r="F452" s="69">
        <f t="shared" si="48"/>
        <v>44.83</v>
      </c>
      <c r="G452" s="68" t="s">
        <v>32</v>
      </c>
      <c r="H452" s="69">
        <f t="shared" si="73"/>
        <v>15155.684999999999</v>
      </c>
      <c r="I452" s="69">
        <f t="shared" si="74"/>
        <v>6236.3150000000005</v>
      </c>
      <c r="J452" s="120">
        <f t="shared" si="72"/>
        <v>491.30376510695186</v>
      </c>
      <c r="K452" s="289"/>
      <c r="L452" s="290"/>
    </row>
    <row r="453" spans="1:12" ht="13.5" customHeight="1" thickBot="1">
      <c r="A453" s="308"/>
      <c r="B453" s="311" t="s">
        <v>174</v>
      </c>
      <c r="C453" s="311"/>
      <c r="D453" s="311"/>
      <c r="E453" s="71">
        <v>45.06</v>
      </c>
      <c r="F453" s="71">
        <f t="shared" si="48"/>
        <v>45.06</v>
      </c>
      <c r="G453" s="70" t="s">
        <v>32</v>
      </c>
      <c r="H453" s="71">
        <f t="shared" si="73"/>
        <v>15200.744999999999</v>
      </c>
      <c r="I453" s="71">
        <f t="shared" si="74"/>
        <v>6191.255000000001</v>
      </c>
      <c r="J453" s="119">
        <f t="shared" si="72"/>
        <v>492.38689184491977</v>
      </c>
      <c r="K453" s="289"/>
      <c r="L453" s="290"/>
    </row>
    <row r="454" spans="1:12" ht="13.5" customHeight="1">
      <c r="A454" s="312" t="s">
        <v>105</v>
      </c>
      <c r="B454" s="314" t="s">
        <v>174</v>
      </c>
      <c r="C454" s="314"/>
      <c r="D454" s="314"/>
      <c r="E454" s="209">
        <v>45.13</v>
      </c>
      <c r="F454" s="208">
        <f t="shared" si="48"/>
        <v>45.13</v>
      </c>
      <c r="G454" s="209" t="s">
        <v>32</v>
      </c>
      <c r="H454" s="208">
        <f t="shared" si="73"/>
        <v>15245.874999999998</v>
      </c>
      <c r="I454" s="208">
        <f t="shared" si="74"/>
        <v>6146.1250000000018</v>
      </c>
      <c r="J454" s="210">
        <f t="shared" si="72"/>
        <v>493.47170120320845</v>
      </c>
      <c r="K454" s="289"/>
      <c r="L454" s="290"/>
    </row>
    <row r="455" spans="1:12" ht="13.5" customHeight="1" thickBot="1">
      <c r="A455" s="313"/>
      <c r="B455" s="310" t="s">
        <v>174</v>
      </c>
      <c r="C455" s="310"/>
      <c r="D455" s="310"/>
      <c r="E455" s="212">
        <v>45.02</v>
      </c>
      <c r="F455" s="211">
        <f t="shared" si="48"/>
        <v>45.02</v>
      </c>
      <c r="G455" s="212" t="s">
        <v>32</v>
      </c>
      <c r="H455" s="211">
        <f t="shared" si="73"/>
        <v>15290.894999999999</v>
      </c>
      <c r="I455" s="211">
        <f t="shared" si="74"/>
        <v>6101.1050000000014</v>
      </c>
      <c r="J455" s="213">
        <f t="shared" si="72"/>
        <v>494.55386644385021</v>
      </c>
      <c r="K455" s="289"/>
      <c r="L455" s="290"/>
    </row>
    <row r="456" spans="1:12" ht="13.5" customHeight="1">
      <c r="A456" s="307" t="s">
        <v>106</v>
      </c>
      <c r="B456" s="309" t="s">
        <v>174</v>
      </c>
      <c r="C456" s="309"/>
      <c r="D456" s="309"/>
      <c r="E456" s="69">
        <v>45.13</v>
      </c>
      <c r="F456" s="69">
        <f t="shared" si="48"/>
        <v>45.13</v>
      </c>
      <c r="G456" s="68" t="s">
        <v>32</v>
      </c>
      <c r="H456" s="69">
        <f t="shared" si="73"/>
        <v>15336.024999999998</v>
      </c>
      <c r="I456" s="69">
        <f t="shared" si="74"/>
        <v>6055.9750000000022</v>
      </c>
      <c r="J456" s="120">
        <f t="shared" si="72"/>
        <v>495.63867580213901</v>
      </c>
      <c r="K456" s="289"/>
      <c r="L456" s="290"/>
    </row>
    <row r="457" spans="1:12" ht="13.5" customHeight="1" thickBot="1">
      <c r="A457" s="308"/>
      <c r="B457" s="311" t="s">
        <v>174</v>
      </c>
      <c r="C457" s="311"/>
      <c r="D457" s="311"/>
      <c r="E457" s="71">
        <v>45.06</v>
      </c>
      <c r="F457" s="71">
        <f t="shared" si="48"/>
        <v>45.06</v>
      </c>
      <c r="G457" s="70" t="s">
        <v>32</v>
      </c>
      <c r="H457" s="71">
        <f t="shared" si="73"/>
        <v>15381.084999999997</v>
      </c>
      <c r="I457" s="71">
        <f t="shared" si="74"/>
        <v>6010.9150000000027</v>
      </c>
      <c r="J457" s="119">
        <f t="shared" si="72"/>
        <v>496.72180254010686</v>
      </c>
      <c r="K457" s="289"/>
      <c r="L457" s="290"/>
    </row>
    <row r="458" spans="1:12" ht="13.5" customHeight="1">
      <c r="A458" s="312" t="s">
        <v>107</v>
      </c>
      <c r="B458" s="314" t="s">
        <v>174</v>
      </c>
      <c r="C458" s="314"/>
      <c r="D458" s="314"/>
      <c r="E458" s="209">
        <v>45.02</v>
      </c>
      <c r="F458" s="208">
        <f t="shared" si="48"/>
        <v>45.02</v>
      </c>
      <c r="G458" s="209" t="s">
        <v>32</v>
      </c>
      <c r="H458" s="208">
        <f t="shared" si="73"/>
        <v>15426.104999999998</v>
      </c>
      <c r="I458" s="208">
        <f t="shared" si="74"/>
        <v>5965.8950000000023</v>
      </c>
      <c r="J458" s="210">
        <f t="shared" si="72"/>
        <v>497.80396778074862</v>
      </c>
      <c r="K458" s="289"/>
      <c r="L458" s="290"/>
    </row>
    <row r="459" spans="1:12" ht="13.5" customHeight="1" thickBot="1">
      <c r="A459" s="313"/>
      <c r="B459" s="310" t="s">
        <v>174</v>
      </c>
      <c r="C459" s="310"/>
      <c r="D459" s="310"/>
      <c r="E459" s="212">
        <v>45.14</v>
      </c>
      <c r="F459" s="211">
        <f t="shared" si="48"/>
        <v>45.14</v>
      </c>
      <c r="G459" s="212" t="s">
        <v>32</v>
      </c>
      <c r="H459" s="211">
        <f t="shared" si="73"/>
        <v>15471.244999999997</v>
      </c>
      <c r="I459" s="211">
        <f t="shared" si="74"/>
        <v>5920.7550000000028</v>
      </c>
      <c r="J459" s="213">
        <f t="shared" si="72"/>
        <v>498.88901751336891</v>
      </c>
      <c r="K459" s="289"/>
      <c r="L459" s="290"/>
    </row>
    <row r="460" spans="1:12" ht="13.5" customHeight="1">
      <c r="A460" s="307" t="s">
        <v>108</v>
      </c>
      <c r="B460" s="309" t="s">
        <v>174</v>
      </c>
      <c r="C460" s="309"/>
      <c r="D460" s="309"/>
      <c r="E460" s="69">
        <v>45.1</v>
      </c>
      <c r="F460" s="69">
        <f t="shared" si="48"/>
        <v>45.1</v>
      </c>
      <c r="G460" s="68" t="s">
        <v>32</v>
      </c>
      <c r="H460" s="69">
        <f t="shared" si="73"/>
        <v>15516.344999999998</v>
      </c>
      <c r="I460" s="69">
        <f t="shared" si="74"/>
        <v>5875.6550000000025</v>
      </c>
      <c r="J460" s="120">
        <f t="shared" si="72"/>
        <v>499.9731057486631</v>
      </c>
      <c r="K460" s="289"/>
      <c r="L460" s="290"/>
    </row>
    <row r="461" spans="1:12" ht="13.5" customHeight="1" thickBot="1">
      <c r="A461" s="308"/>
      <c r="B461" s="311" t="s">
        <v>174</v>
      </c>
      <c r="C461" s="311"/>
      <c r="D461" s="311"/>
      <c r="E461" s="71">
        <v>44.96</v>
      </c>
      <c r="F461" s="71">
        <f t="shared" si="48"/>
        <v>44.96</v>
      </c>
      <c r="G461" s="70" t="s">
        <v>32</v>
      </c>
      <c r="H461" s="71">
        <f t="shared" si="73"/>
        <v>15561.304999999997</v>
      </c>
      <c r="I461" s="71">
        <f t="shared" si="74"/>
        <v>5830.6950000000033</v>
      </c>
      <c r="J461" s="119">
        <f t="shared" si="72"/>
        <v>501.05382874331542</v>
      </c>
      <c r="K461" s="289"/>
      <c r="L461" s="290"/>
    </row>
    <row r="462" spans="1:12" ht="13.5" customHeight="1">
      <c r="A462" s="312" t="s">
        <v>109</v>
      </c>
      <c r="B462" s="314" t="s">
        <v>174</v>
      </c>
      <c r="C462" s="314"/>
      <c r="D462" s="314"/>
      <c r="E462" s="209">
        <v>44.94</v>
      </c>
      <c r="F462" s="208">
        <f t="shared" si="48"/>
        <v>44.94</v>
      </c>
      <c r="G462" s="209" t="s">
        <v>32</v>
      </c>
      <c r="H462" s="208">
        <f t="shared" si="73"/>
        <v>15606.244999999997</v>
      </c>
      <c r="I462" s="208">
        <f t="shared" si="74"/>
        <v>5785.7550000000028</v>
      </c>
      <c r="J462" s="210">
        <f t="shared" si="72"/>
        <v>502.13407098930475</v>
      </c>
      <c r="K462" s="289"/>
      <c r="L462" s="290"/>
    </row>
    <row r="463" spans="1:12" ht="13.5" customHeight="1" thickBot="1">
      <c r="A463" s="313"/>
      <c r="B463" s="310" t="s">
        <v>174</v>
      </c>
      <c r="C463" s="310"/>
      <c r="D463" s="310"/>
      <c r="E463" s="212">
        <v>45</v>
      </c>
      <c r="F463" s="211">
        <f t="shared" si="48"/>
        <v>45</v>
      </c>
      <c r="G463" s="212" t="s">
        <v>32</v>
      </c>
      <c r="H463" s="211">
        <f t="shared" si="73"/>
        <v>15651.244999999997</v>
      </c>
      <c r="I463" s="211">
        <f t="shared" si="74"/>
        <v>5740.7550000000028</v>
      </c>
      <c r="J463" s="213">
        <f t="shared" si="72"/>
        <v>503.21575548128334</v>
      </c>
      <c r="K463" s="289"/>
      <c r="L463" s="290"/>
    </row>
    <row r="464" spans="1:12" ht="13.5" customHeight="1">
      <c r="A464" s="307" t="s">
        <v>110</v>
      </c>
      <c r="B464" s="309" t="s">
        <v>174</v>
      </c>
      <c r="C464" s="309"/>
      <c r="D464" s="309"/>
      <c r="E464" s="69">
        <v>45.3</v>
      </c>
      <c r="F464" s="69">
        <f t="shared" si="48"/>
        <v>45.3</v>
      </c>
      <c r="G464" s="68" t="s">
        <v>32</v>
      </c>
      <c r="H464" s="69">
        <f t="shared" si="73"/>
        <v>15696.544999999996</v>
      </c>
      <c r="I464" s="69">
        <f t="shared" si="74"/>
        <v>5695.4550000000036</v>
      </c>
      <c r="J464" s="120">
        <f t="shared" si="72"/>
        <v>504.30465120320844</v>
      </c>
      <c r="K464" s="289"/>
      <c r="L464" s="290"/>
    </row>
    <row r="465" spans="1:12" ht="13.5" customHeight="1" thickBot="1">
      <c r="A465" s="308"/>
      <c r="B465" s="311" t="s">
        <v>174</v>
      </c>
      <c r="C465" s="311"/>
      <c r="D465" s="311"/>
      <c r="E465" s="71">
        <v>45</v>
      </c>
      <c r="F465" s="71">
        <f t="shared" si="48"/>
        <v>45</v>
      </c>
      <c r="G465" s="70" t="s">
        <v>32</v>
      </c>
      <c r="H465" s="71">
        <f t="shared" si="73"/>
        <v>15741.544999999996</v>
      </c>
      <c r="I465" s="71">
        <f t="shared" si="74"/>
        <v>5650.4550000000036</v>
      </c>
      <c r="J465" s="119">
        <f t="shared" si="72"/>
        <v>505.38633569518703</v>
      </c>
      <c r="K465" s="289"/>
      <c r="L465" s="290"/>
    </row>
    <row r="466" spans="1:12" ht="13.5" customHeight="1">
      <c r="A466" s="312" t="s">
        <v>111</v>
      </c>
      <c r="B466" s="314" t="s">
        <v>174</v>
      </c>
      <c r="C466" s="314"/>
      <c r="D466" s="314"/>
      <c r="E466" s="209">
        <v>45.14</v>
      </c>
      <c r="F466" s="208">
        <f t="shared" si="48"/>
        <v>45.14</v>
      </c>
      <c r="G466" s="209" t="s">
        <v>32</v>
      </c>
      <c r="H466" s="208">
        <f t="shared" si="73"/>
        <v>15786.684999999996</v>
      </c>
      <c r="I466" s="208">
        <f t="shared" si="74"/>
        <v>5605.3150000000041</v>
      </c>
      <c r="J466" s="210">
        <f t="shared" si="72"/>
        <v>506.47138542780738</v>
      </c>
      <c r="K466" s="289"/>
      <c r="L466" s="290"/>
    </row>
    <row r="467" spans="1:12" ht="13.5" customHeight="1" thickBot="1">
      <c r="A467" s="313"/>
      <c r="B467" s="310" t="s">
        <v>174</v>
      </c>
      <c r="C467" s="310"/>
      <c r="D467" s="310"/>
      <c r="E467" s="212">
        <v>45.1</v>
      </c>
      <c r="F467" s="211">
        <f t="shared" si="48"/>
        <v>45.1</v>
      </c>
      <c r="G467" s="212" t="s">
        <v>32</v>
      </c>
      <c r="H467" s="211">
        <f t="shared" si="73"/>
        <v>15831.784999999996</v>
      </c>
      <c r="I467" s="211">
        <f t="shared" si="74"/>
        <v>5560.2150000000038</v>
      </c>
      <c r="J467" s="213">
        <f t="shared" si="72"/>
        <v>507.55547366310151</v>
      </c>
      <c r="K467" s="289"/>
      <c r="L467" s="290"/>
    </row>
    <row r="468" spans="1:12" ht="13.5" customHeight="1">
      <c r="A468" s="307" t="s">
        <v>112</v>
      </c>
      <c r="B468" s="309" t="s">
        <v>174</v>
      </c>
      <c r="C468" s="309"/>
      <c r="D468" s="309"/>
      <c r="E468" s="69">
        <v>45</v>
      </c>
      <c r="F468" s="69">
        <f t="shared" si="48"/>
        <v>45</v>
      </c>
      <c r="G468" s="68" t="s">
        <v>32</v>
      </c>
      <c r="H468" s="69">
        <f t="shared" si="73"/>
        <v>15876.784999999996</v>
      </c>
      <c r="I468" s="69">
        <f t="shared" si="74"/>
        <v>5515.2150000000038</v>
      </c>
      <c r="J468" s="120">
        <f t="shared" si="72"/>
        <v>508.6371581550801</v>
      </c>
      <c r="K468" s="289"/>
      <c r="L468" s="290"/>
    </row>
    <row r="469" spans="1:12" ht="13.5" customHeight="1" thickBot="1">
      <c r="A469" s="308"/>
      <c r="B469" s="311" t="s">
        <v>174</v>
      </c>
      <c r="C469" s="311"/>
      <c r="D469" s="311"/>
      <c r="E469" s="71">
        <v>45.07</v>
      </c>
      <c r="F469" s="71">
        <f t="shared" si="48"/>
        <v>45.07</v>
      </c>
      <c r="G469" s="70" t="s">
        <v>32</v>
      </c>
      <c r="H469" s="71">
        <f t="shared" si="73"/>
        <v>15921.854999999996</v>
      </c>
      <c r="I469" s="71">
        <f t="shared" si="74"/>
        <v>5470.1450000000041</v>
      </c>
      <c r="J469" s="119">
        <f t="shared" si="72"/>
        <v>509.72052526737951</v>
      </c>
      <c r="K469" s="289"/>
      <c r="L469" s="290"/>
    </row>
    <row r="470" spans="1:12" ht="13.5" customHeight="1">
      <c r="A470" s="312" t="s">
        <v>113</v>
      </c>
      <c r="B470" s="314" t="s">
        <v>174</v>
      </c>
      <c r="C470" s="314"/>
      <c r="D470" s="314"/>
      <c r="E470" s="209">
        <v>45.12</v>
      </c>
      <c r="F470" s="208">
        <f t="shared" si="48"/>
        <v>45.12</v>
      </c>
      <c r="G470" s="209" t="s">
        <v>32</v>
      </c>
      <c r="H470" s="208">
        <f t="shared" si="73"/>
        <v>15966.974999999997</v>
      </c>
      <c r="I470" s="208">
        <f t="shared" si="74"/>
        <v>5425.0250000000033</v>
      </c>
      <c r="J470" s="210">
        <f t="shared" si="72"/>
        <v>510.80509425133681</v>
      </c>
      <c r="K470" s="289"/>
      <c r="L470" s="290"/>
    </row>
    <row r="471" spans="1:12" ht="13.5" customHeight="1" thickBot="1">
      <c r="A471" s="313"/>
      <c r="B471" s="310" t="s">
        <v>174</v>
      </c>
      <c r="C471" s="310"/>
      <c r="D471" s="310"/>
      <c r="E471" s="212">
        <v>45.18</v>
      </c>
      <c r="F471" s="211">
        <f t="shared" si="48"/>
        <v>45.18</v>
      </c>
      <c r="G471" s="212" t="s">
        <v>32</v>
      </c>
      <c r="H471" s="211">
        <f t="shared" si="73"/>
        <v>16012.154999999997</v>
      </c>
      <c r="I471" s="211">
        <f t="shared" si="74"/>
        <v>5379.845000000003</v>
      </c>
      <c r="J471" s="213">
        <f t="shared" si="72"/>
        <v>511.89110548128338</v>
      </c>
      <c r="K471" s="289"/>
      <c r="L471" s="290"/>
    </row>
    <row r="472" spans="1:12" ht="13.5" customHeight="1">
      <c r="A472" s="307" t="s">
        <v>114</v>
      </c>
      <c r="B472" s="309" t="s">
        <v>174</v>
      </c>
      <c r="C472" s="309"/>
      <c r="D472" s="309"/>
      <c r="E472" s="69">
        <v>45.3</v>
      </c>
      <c r="F472" s="69">
        <f t="shared" si="48"/>
        <v>45.3</v>
      </c>
      <c r="G472" s="68" t="s">
        <v>32</v>
      </c>
      <c r="H472" s="69">
        <f t="shared" si="73"/>
        <v>16057.454999999996</v>
      </c>
      <c r="I472" s="69">
        <f t="shared" si="74"/>
        <v>5334.5450000000037</v>
      </c>
      <c r="J472" s="120">
        <f t="shared" si="72"/>
        <v>512.98000120320853</v>
      </c>
      <c r="K472" s="289"/>
      <c r="L472" s="290"/>
    </row>
    <row r="473" spans="1:12" ht="13.5" customHeight="1" thickBot="1">
      <c r="A473" s="308"/>
      <c r="B473" s="311" t="s">
        <v>174</v>
      </c>
      <c r="C473" s="311"/>
      <c r="D473" s="311"/>
      <c r="E473" s="71">
        <v>45.32</v>
      </c>
      <c r="F473" s="71">
        <f t="shared" si="48"/>
        <v>45.32</v>
      </c>
      <c r="G473" s="70" t="s">
        <v>32</v>
      </c>
      <c r="H473" s="71">
        <f t="shared" si="73"/>
        <v>16102.774999999996</v>
      </c>
      <c r="I473" s="71">
        <f t="shared" si="74"/>
        <v>5289.225000000004</v>
      </c>
      <c r="J473" s="119">
        <f t="shared" si="72"/>
        <v>514.06937767379668</v>
      </c>
      <c r="K473" s="289"/>
      <c r="L473" s="290"/>
    </row>
    <row r="474" spans="1:12" ht="13.5" customHeight="1">
      <c r="A474" s="312" t="s">
        <v>115</v>
      </c>
      <c r="B474" s="314" t="s">
        <v>174</v>
      </c>
      <c r="C474" s="314"/>
      <c r="D474" s="314"/>
      <c r="E474" s="209">
        <v>45.2</v>
      </c>
      <c r="F474" s="208">
        <f t="shared" si="48"/>
        <v>45.2</v>
      </c>
      <c r="G474" s="209" t="s">
        <v>32</v>
      </c>
      <c r="H474" s="208">
        <f t="shared" si="73"/>
        <v>16147.974999999997</v>
      </c>
      <c r="I474" s="208">
        <f t="shared" si="74"/>
        <v>5244.0250000000033</v>
      </c>
      <c r="J474" s="210">
        <f t="shared" si="72"/>
        <v>515.1558696524063</v>
      </c>
      <c r="K474" s="289"/>
      <c r="L474" s="290"/>
    </row>
    <row r="475" spans="1:12" ht="13.5" customHeight="1" thickBot="1">
      <c r="A475" s="313"/>
      <c r="B475" s="310" t="s">
        <v>174</v>
      </c>
      <c r="C475" s="310"/>
      <c r="D475" s="310"/>
      <c r="E475" s="212">
        <v>44.79</v>
      </c>
      <c r="F475" s="211">
        <f t="shared" si="48"/>
        <v>44.79</v>
      </c>
      <c r="G475" s="212" t="s">
        <v>32</v>
      </c>
      <c r="H475" s="211">
        <f t="shared" si="73"/>
        <v>16192.764999999998</v>
      </c>
      <c r="I475" s="211">
        <f t="shared" si="74"/>
        <v>5199.2350000000024</v>
      </c>
      <c r="J475" s="213">
        <f t="shared" si="72"/>
        <v>516.23250628342248</v>
      </c>
      <c r="K475" s="289"/>
      <c r="L475" s="290"/>
    </row>
    <row r="476" spans="1:12" ht="13.5" customHeight="1">
      <c r="A476" s="307" t="s">
        <v>116</v>
      </c>
      <c r="B476" s="309" t="s">
        <v>174</v>
      </c>
      <c r="C476" s="309"/>
      <c r="D476" s="309"/>
      <c r="E476" s="69">
        <v>45.05</v>
      </c>
      <c r="F476" s="69">
        <f t="shared" si="48"/>
        <v>45.05</v>
      </c>
      <c r="G476" s="68" t="s">
        <v>32</v>
      </c>
      <c r="H476" s="69">
        <f t="shared" si="73"/>
        <v>16237.814999999997</v>
      </c>
      <c r="I476" s="69">
        <f t="shared" si="74"/>
        <v>5154.1850000000031</v>
      </c>
      <c r="J476" s="120">
        <f t="shared" si="72"/>
        <v>517.31539264705873</v>
      </c>
      <c r="K476" s="289"/>
      <c r="L476" s="290"/>
    </row>
    <row r="477" spans="1:12" ht="13.5" customHeight="1" thickBot="1">
      <c r="A477" s="308"/>
      <c r="B477" s="311" t="s">
        <v>174</v>
      </c>
      <c r="C477" s="311"/>
      <c r="D477" s="311"/>
      <c r="E477" s="71">
        <v>45.09</v>
      </c>
      <c r="F477" s="71">
        <f t="shared" si="48"/>
        <v>45.09</v>
      </c>
      <c r="G477" s="70" t="s">
        <v>32</v>
      </c>
      <c r="H477" s="71">
        <f t="shared" si="73"/>
        <v>16282.904999999997</v>
      </c>
      <c r="I477" s="71">
        <f t="shared" si="74"/>
        <v>5109.095000000003</v>
      </c>
      <c r="J477" s="119">
        <f t="shared" ref="J477:J592" si="75">$G$7+(H477*$D$8*$G$9/1000)</f>
        <v>518.39924050802131</v>
      </c>
      <c r="K477" s="289"/>
      <c r="L477" s="290"/>
    </row>
    <row r="478" spans="1:12" ht="13.5" customHeight="1">
      <c r="A478" s="312" t="s">
        <v>117</v>
      </c>
      <c r="B478" s="314" t="s">
        <v>174</v>
      </c>
      <c r="C478" s="314"/>
      <c r="D478" s="314"/>
      <c r="E478" s="209">
        <v>45.22</v>
      </c>
      <c r="F478" s="208">
        <f t="shared" si="48"/>
        <v>45.22</v>
      </c>
      <c r="G478" s="209" t="s">
        <v>32</v>
      </c>
      <c r="H478" s="208">
        <f t="shared" si="73"/>
        <v>16328.124999999996</v>
      </c>
      <c r="I478" s="208">
        <f t="shared" si="74"/>
        <v>5063.8750000000036</v>
      </c>
      <c r="J478" s="210">
        <f t="shared" si="75"/>
        <v>519.48621323529403</v>
      </c>
      <c r="K478" s="289"/>
      <c r="L478" s="290"/>
    </row>
    <row r="479" spans="1:12" ht="13.5" customHeight="1" thickBot="1">
      <c r="A479" s="313"/>
      <c r="B479" s="310" t="s">
        <v>174</v>
      </c>
      <c r="C479" s="310"/>
      <c r="D479" s="310"/>
      <c r="E479" s="212">
        <v>44.77</v>
      </c>
      <c r="F479" s="211">
        <f t="shared" si="48"/>
        <v>44.77</v>
      </c>
      <c r="G479" s="212" t="s">
        <v>32</v>
      </c>
      <c r="H479" s="211">
        <f t="shared" si="73"/>
        <v>16372.894999999997</v>
      </c>
      <c r="I479" s="211">
        <f t="shared" si="74"/>
        <v>5019.1050000000032</v>
      </c>
      <c r="J479" s="213">
        <f t="shared" si="75"/>
        <v>520.56236911764699</v>
      </c>
      <c r="K479" s="289"/>
      <c r="L479" s="290"/>
    </row>
    <row r="480" spans="1:12" ht="13.5" customHeight="1">
      <c r="A480" s="307" t="s">
        <v>118</v>
      </c>
      <c r="B480" s="309" t="s">
        <v>174</v>
      </c>
      <c r="C480" s="309"/>
      <c r="D480" s="309"/>
      <c r="E480" s="69">
        <v>45.09</v>
      </c>
      <c r="F480" s="69">
        <f t="shared" si="48"/>
        <v>45.09</v>
      </c>
      <c r="G480" s="68" t="s">
        <v>32</v>
      </c>
      <c r="H480" s="69">
        <f t="shared" si="73"/>
        <v>16417.984999999997</v>
      </c>
      <c r="I480" s="69">
        <f t="shared" si="74"/>
        <v>4974.0150000000031</v>
      </c>
      <c r="J480" s="120">
        <f t="shared" si="75"/>
        <v>521.64621697860957</v>
      </c>
      <c r="K480" s="289"/>
      <c r="L480" s="290"/>
    </row>
    <row r="481" spans="1:12" ht="13.5" customHeight="1" thickBot="1">
      <c r="A481" s="308"/>
      <c r="B481" s="311" t="s">
        <v>174</v>
      </c>
      <c r="C481" s="311"/>
      <c r="D481" s="311"/>
      <c r="E481" s="71">
        <v>45</v>
      </c>
      <c r="F481" s="71">
        <f t="shared" si="48"/>
        <v>45</v>
      </c>
      <c r="G481" s="70" t="s">
        <v>32</v>
      </c>
      <c r="H481" s="71">
        <f t="shared" si="73"/>
        <v>16462.984999999997</v>
      </c>
      <c r="I481" s="71">
        <f t="shared" si="74"/>
        <v>4929.0150000000031</v>
      </c>
      <c r="J481" s="119">
        <f t="shared" si="75"/>
        <v>522.72790147058811</v>
      </c>
      <c r="K481" s="289"/>
      <c r="L481" s="290"/>
    </row>
    <row r="482" spans="1:12" ht="13.5" customHeight="1">
      <c r="A482" s="312" t="s">
        <v>119</v>
      </c>
      <c r="B482" s="314" t="s">
        <v>174</v>
      </c>
      <c r="C482" s="314"/>
      <c r="D482" s="314"/>
      <c r="E482" s="209">
        <v>45.13</v>
      </c>
      <c r="F482" s="208">
        <f t="shared" si="48"/>
        <v>45.13</v>
      </c>
      <c r="G482" s="209" t="s">
        <v>32</v>
      </c>
      <c r="H482" s="208">
        <f t="shared" ref="H482:H545" si="76">IF(G482="IN",H481+F482,H481)</f>
        <v>16508.114999999998</v>
      </c>
      <c r="I482" s="208">
        <f t="shared" si="74"/>
        <v>4883.885000000002</v>
      </c>
      <c r="J482" s="210">
        <f t="shared" si="75"/>
        <v>523.81271082887702</v>
      </c>
      <c r="K482" s="289"/>
      <c r="L482" s="290"/>
    </row>
    <row r="483" spans="1:12" ht="13.5" customHeight="1" thickBot="1">
      <c r="A483" s="313"/>
      <c r="B483" s="310" t="s">
        <v>174</v>
      </c>
      <c r="C483" s="310"/>
      <c r="D483" s="310"/>
      <c r="E483" s="212">
        <v>44.94</v>
      </c>
      <c r="F483" s="211">
        <f t="shared" si="48"/>
        <v>44.94</v>
      </c>
      <c r="G483" s="212" t="s">
        <v>32</v>
      </c>
      <c r="H483" s="211">
        <f t="shared" si="76"/>
        <v>16553.054999999997</v>
      </c>
      <c r="I483" s="211">
        <f t="shared" si="74"/>
        <v>4838.9450000000033</v>
      </c>
      <c r="J483" s="213">
        <f t="shared" si="75"/>
        <v>524.89295307486623</v>
      </c>
      <c r="K483" s="289"/>
      <c r="L483" s="290"/>
    </row>
    <row r="484" spans="1:12" ht="13.5" customHeight="1">
      <c r="A484" s="307" t="s">
        <v>120</v>
      </c>
      <c r="B484" s="309" t="s">
        <v>174</v>
      </c>
      <c r="C484" s="309"/>
      <c r="D484" s="309"/>
      <c r="E484" s="69">
        <v>44.99</v>
      </c>
      <c r="F484" s="69">
        <f t="shared" si="48"/>
        <v>44.99</v>
      </c>
      <c r="G484" s="68" t="s">
        <v>32</v>
      </c>
      <c r="H484" s="69">
        <f t="shared" si="76"/>
        <v>16598.044999999998</v>
      </c>
      <c r="I484" s="69">
        <f t="shared" si="74"/>
        <v>4793.9550000000017</v>
      </c>
      <c r="J484" s="120">
        <f t="shared" si="75"/>
        <v>525.97439719251327</v>
      </c>
      <c r="K484" s="289"/>
      <c r="L484" s="290"/>
    </row>
    <row r="485" spans="1:12" ht="13.5" customHeight="1" thickBot="1">
      <c r="A485" s="308"/>
      <c r="B485" s="311" t="s">
        <v>174</v>
      </c>
      <c r="C485" s="311"/>
      <c r="D485" s="311"/>
      <c r="E485" s="71">
        <v>44.77</v>
      </c>
      <c r="F485" s="71">
        <f t="shared" si="48"/>
        <v>44.77</v>
      </c>
      <c r="G485" s="70" t="s">
        <v>32</v>
      </c>
      <c r="H485" s="71">
        <f t="shared" si="76"/>
        <v>16642.814999999999</v>
      </c>
      <c r="I485" s="71">
        <f t="shared" si="74"/>
        <v>4749.1850000000013</v>
      </c>
      <c r="J485" s="119">
        <f t="shared" si="75"/>
        <v>527.05055307486623</v>
      </c>
      <c r="K485" s="289"/>
      <c r="L485" s="290"/>
    </row>
    <row r="486" spans="1:12" ht="13.5" customHeight="1">
      <c r="A486" s="312" t="s">
        <v>129</v>
      </c>
      <c r="B486" s="314" t="s">
        <v>174</v>
      </c>
      <c r="C486" s="314"/>
      <c r="D486" s="314"/>
      <c r="E486" s="209">
        <v>45.05</v>
      </c>
      <c r="F486" s="208">
        <f t="shared" si="48"/>
        <v>45.05</v>
      </c>
      <c r="G486" s="209" t="s">
        <v>32</v>
      </c>
      <c r="H486" s="208">
        <f t="shared" si="76"/>
        <v>16687.864999999998</v>
      </c>
      <c r="I486" s="208">
        <f t="shared" si="74"/>
        <v>4704.135000000002</v>
      </c>
      <c r="J486" s="210">
        <f t="shared" si="75"/>
        <v>528.13343943850259</v>
      </c>
      <c r="K486" s="289"/>
      <c r="L486" s="290"/>
    </row>
    <row r="487" spans="1:12" ht="13.5" customHeight="1" thickBot="1">
      <c r="A487" s="313"/>
      <c r="B487" s="310" t="s">
        <v>174</v>
      </c>
      <c r="C487" s="310"/>
      <c r="D487" s="310"/>
      <c r="E487" s="212">
        <v>45.2</v>
      </c>
      <c r="F487" s="211">
        <f t="shared" si="48"/>
        <v>45.2</v>
      </c>
      <c r="G487" s="212" t="s">
        <v>32</v>
      </c>
      <c r="H487" s="211">
        <f t="shared" si="76"/>
        <v>16733.064999999999</v>
      </c>
      <c r="I487" s="211">
        <f t="shared" si="74"/>
        <v>4658.9350000000013</v>
      </c>
      <c r="J487" s="213">
        <f t="shared" si="75"/>
        <v>529.21993141711232</v>
      </c>
      <c r="K487" s="289"/>
      <c r="L487" s="290"/>
    </row>
    <row r="488" spans="1:12" ht="13.5" customHeight="1">
      <c r="A488" s="307" t="s">
        <v>130</v>
      </c>
      <c r="B488" s="309" t="s">
        <v>174</v>
      </c>
      <c r="C488" s="309"/>
      <c r="D488" s="309"/>
      <c r="E488" s="69">
        <v>45</v>
      </c>
      <c r="F488" s="69">
        <f t="shared" si="48"/>
        <v>45</v>
      </c>
      <c r="G488" s="68" t="s">
        <v>32</v>
      </c>
      <c r="H488" s="69">
        <f t="shared" si="76"/>
        <v>16778.064999999999</v>
      </c>
      <c r="I488" s="69">
        <f t="shared" si="74"/>
        <v>4613.9350000000013</v>
      </c>
      <c r="J488" s="120">
        <f t="shared" si="75"/>
        <v>530.30161590909086</v>
      </c>
      <c r="K488" s="289"/>
      <c r="L488" s="290"/>
    </row>
    <row r="489" spans="1:12" ht="13.5" customHeight="1" thickBot="1">
      <c r="A489" s="308"/>
      <c r="B489" s="311" t="s">
        <v>174</v>
      </c>
      <c r="C489" s="311"/>
      <c r="D489" s="311"/>
      <c r="E489" s="71">
        <v>45.18</v>
      </c>
      <c r="F489" s="71">
        <f t="shared" si="48"/>
        <v>45.18</v>
      </c>
      <c r="G489" s="70" t="s">
        <v>32</v>
      </c>
      <c r="H489" s="71">
        <f t="shared" si="76"/>
        <v>16823.244999999999</v>
      </c>
      <c r="I489" s="71">
        <f t="shared" si="74"/>
        <v>4568.755000000001</v>
      </c>
      <c r="J489" s="119">
        <f t="shared" si="75"/>
        <v>531.38762713903748</v>
      </c>
      <c r="K489" s="289"/>
      <c r="L489" s="290"/>
    </row>
    <row r="490" spans="1:12" ht="13.5" customHeight="1">
      <c r="A490" s="312" t="s">
        <v>131</v>
      </c>
      <c r="B490" s="314" t="s">
        <v>174</v>
      </c>
      <c r="C490" s="314"/>
      <c r="D490" s="314"/>
      <c r="E490" s="209">
        <v>45.16</v>
      </c>
      <c r="F490" s="208">
        <f t="shared" si="48"/>
        <v>45.16</v>
      </c>
      <c r="G490" s="209" t="s">
        <v>32</v>
      </c>
      <c r="H490" s="208">
        <f t="shared" si="76"/>
        <v>16868.404999999999</v>
      </c>
      <c r="I490" s="208">
        <f t="shared" si="74"/>
        <v>4523.5950000000012</v>
      </c>
      <c r="J490" s="210">
        <f t="shared" si="75"/>
        <v>532.47315762032088</v>
      </c>
      <c r="K490" s="289"/>
      <c r="L490" s="290"/>
    </row>
    <row r="491" spans="1:12" ht="13.5" customHeight="1" thickBot="1">
      <c r="A491" s="313"/>
      <c r="B491" s="310" t="s">
        <v>174</v>
      </c>
      <c r="C491" s="310"/>
      <c r="D491" s="310"/>
      <c r="E491" s="212">
        <v>45.04</v>
      </c>
      <c r="F491" s="211">
        <f t="shared" si="48"/>
        <v>45.04</v>
      </c>
      <c r="G491" s="212" t="s">
        <v>32</v>
      </c>
      <c r="H491" s="211">
        <f t="shared" si="76"/>
        <v>16913.445</v>
      </c>
      <c r="I491" s="211">
        <f t="shared" si="74"/>
        <v>4478.5550000000003</v>
      </c>
      <c r="J491" s="213">
        <f t="shared" si="75"/>
        <v>533.55580360962563</v>
      </c>
      <c r="K491" s="289"/>
      <c r="L491" s="290"/>
    </row>
    <row r="492" spans="1:12" ht="13.5" customHeight="1">
      <c r="A492" s="307" t="s">
        <v>132</v>
      </c>
      <c r="B492" s="309" t="s">
        <v>174</v>
      </c>
      <c r="C492" s="309"/>
      <c r="D492" s="309"/>
      <c r="E492" s="69">
        <v>44.91</v>
      </c>
      <c r="F492" s="69">
        <f t="shared" si="48"/>
        <v>44.91</v>
      </c>
      <c r="G492" s="68" t="s">
        <v>32</v>
      </c>
      <c r="H492" s="69">
        <f t="shared" si="76"/>
        <v>16958.355</v>
      </c>
      <c r="I492" s="69">
        <f t="shared" si="74"/>
        <v>4433.6450000000004</v>
      </c>
      <c r="J492" s="120">
        <f t="shared" si="75"/>
        <v>534.63532473262035</v>
      </c>
      <c r="K492" s="289"/>
      <c r="L492" s="290"/>
    </row>
    <row r="493" spans="1:12" ht="13.5" customHeight="1" thickBot="1">
      <c r="A493" s="308"/>
      <c r="B493" s="311" t="s">
        <v>174</v>
      </c>
      <c r="C493" s="311"/>
      <c r="D493" s="311"/>
      <c r="E493" s="71">
        <v>44.97</v>
      </c>
      <c r="F493" s="71">
        <f t="shared" si="48"/>
        <v>44.97</v>
      </c>
      <c r="G493" s="70" t="s">
        <v>32</v>
      </c>
      <c r="H493" s="71">
        <f t="shared" si="76"/>
        <v>17003.325000000001</v>
      </c>
      <c r="I493" s="71">
        <f t="shared" si="74"/>
        <v>4388.6749999999993</v>
      </c>
      <c r="J493" s="119">
        <f t="shared" si="75"/>
        <v>535.71628810160428</v>
      </c>
      <c r="K493" s="289"/>
      <c r="L493" s="290"/>
    </row>
    <row r="494" spans="1:12" ht="13.5" customHeight="1">
      <c r="A494" s="312" t="s">
        <v>133</v>
      </c>
      <c r="B494" s="314" t="s">
        <v>174</v>
      </c>
      <c r="C494" s="314"/>
      <c r="D494" s="314"/>
      <c r="E494" s="209">
        <v>44.94</v>
      </c>
      <c r="F494" s="208">
        <f t="shared" si="48"/>
        <v>44.94</v>
      </c>
      <c r="G494" s="209" t="s">
        <v>32</v>
      </c>
      <c r="H494" s="208">
        <f t="shared" si="76"/>
        <v>17048.264999999999</v>
      </c>
      <c r="I494" s="208">
        <f t="shared" si="74"/>
        <v>4343.7350000000006</v>
      </c>
      <c r="J494" s="210">
        <f t="shared" si="75"/>
        <v>536.7965303475936</v>
      </c>
      <c r="K494" s="289"/>
      <c r="L494" s="290"/>
    </row>
    <row r="495" spans="1:12" ht="13.5" customHeight="1" thickBot="1">
      <c r="A495" s="313"/>
      <c r="B495" s="310" t="s">
        <v>174</v>
      </c>
      <c r="C495" s="310"/>
      <c r="D495" s="310"/>
      <c r="E495" s="212">
        <v>45.02</v>
      </c>
      <c r="F495" s="211">
        <f t="shared" si="48"/>
        <v>45.02</v>
      </c>
      <c r="G495" s="212" t="s">
        <v>32</v>
      </c>
      <c r="H495" s="211">
        <f t="shared" si="76"/>
        <v>17093.285</v>
      </c>
      <c r="I495" s="211">
        <f t="shared" si="74"/>
        <v>4298.7150000000001</v>
      </c>
      <c r="J495" s="213">
        <f t="shared" si="75"/>
        <v>537.87869558823536</v>
      </c>
      <c r="K495" s="289"/>
      <c r="L495" s="290"/>
    </row>
    <row r="496" spans="1:12" ht="13.5" customHeight="1">
      <c r="A496" s="307" t="s">
        <v>134</v>
      </c>
      <c r="B496" s="309" t="s">
        <v>174</v>
      </c>
      <c r="C496" s="309"/>
      <c r="D496" s="309"/>
      <c r="E496" s="69">
        <v>44.81</v>
      </c>
      <c r="F496" s="69">
        <f t="shared" ref="F496:F593" si="77">E496</f>
        <v>44.81</v>
      </c>
      <c r="G496" s="68" t="s">
        <v>32</v>
      </c>
      <c r="H496" s="69">
        <f t="shared" si="76"/>
        <v>17138.095000000001</v>
      </c>
      <c r="I496" s="69">
        <f t="shared" si="74"/>
        <v>4253.9049999999988</v>
      </c>
      <c r="J496" s="120">
        <f t="shared" si="75"/>
        <v>538.95581296791443</v>
      </c>
      <c r="K496" s="289"/>
      <c r="L496" s="290"/>
    </row>
    <row r="497" spans="1:12" ht="13.5" customHeight="1" thickBot="1">
      <c r="A497" s="308"/>
      <c r="B497" s="311" t="s">
        <v>174</v>
      </c>
      <c r="C497" s="311"/>
      <c r="D497" s="311"/>
      <c r="E497" s="71">
        <v>44.98</v>
      </c>
      <c r="F497" s="71">
        <f t="shared" si="77"/>
        <v>44.98</v>
      </c>
      <c r="G497" s="70" t="s">
        <v>32</v>
      </c>
      <c r="H497" s="71">
        <f t="shared" si="76"/>
        <v>17183.075000000001</v>
      </c>
      <c r="I497" s="71">
        <f t="shared" si="74"/>
        <v>4208.9249999999993</v>
      </c>
      <c r="J497" s="119">
        <f t="shared" si="75"/>
        <v>540.03701671122997</v>
      </c>
      <c r="K497" s="289"/>
      <c r="L497" s="290"/>
    </row>
    <row r="498" spans="1:12" ht="13.5" customHeight="1">
      <c r="A498" s="312" t="s">
        <v>135</v>
      </c>
      <c r="B498" s="314" t="s">
        <v>174</v>
      </c>
      <c r="C498" s="314"/>
      <c r="D498" s="314"/>
      <c r="E498" s="209">
        <v>44.94</v>
      </c>
      <c r="F498" s="208">
        <f t="shared" si="77"/>
        <v>44.94</v>
      </c>
      <c r="G498" s="209" t="s">
        <v>32</v>
      </c>
      <c r="H498" s="208">
        <f t="shared" si="76"/>
        <v>17228.014999999999</v>
      </c>
      <c r="I498" s="208">
        <f t="shared" si="74"/>
        <v>4163.9850000000006</v>
      </c>
      <c r="J498" s="210">
        <f t="shared" si="75"/>
        <v>541.11725895721929</v>
      </c>
      <c r="K498" s="289"/>
      <c r="L498" s="290"/>
    </row>
    <row r="499" spans="1:12" ht="13.5" customHeight="1" thickBot="1">
      <c r="A499" s="313"/>
      <c r="B499" s="310" t="s">
        <v>174</v>
      </c>
      <c r="C499" s="310"/>
      <c r="D499" s="310"/>
      <c r="E499" s="212">
        <v>44.98</v>
      </c>
      <c r="F499" s="211">
        <f t="shared" si="77"/>
        <v>44.98</v>
      </c>
      <c r="G499" s="212" t="s">
        <v>32</v>
      </c>
      <c r="H499" s="211">
        <f t="shared" si="76"/>
        <v>17272.994999999999</v>
      </c>
      <c r="I499" s="211">
        <f t="shared" si="74"/>
        <v>4119.005000000001</v>
      </c>
      <c r="J499" s="213">
        <f t="shared" si="75"/>
        <v>542.19846270053472</v>
      </c>
      <c r="K499" s="289"/>
      <c r="L499" s="290"/>
    </row>
    <row r="500" spans="1:12" ht="13.5" customHeight="1">
      <c r="A500" s="307" t="s">
        <v>136</v>
      </c>
      <c r="B500" s="309" t="s">
        <v>174</v>
      </c>
      <c r="C500" s="309"/>
      <c r="D500" s="309"/>
      <c r="E500" s="69">
        <v>44.77</v>
      </c>
      <c r="F500" s="69">
        <f t="shared" si="77"/>
        <v>44.77</v>
      </c>
      <c r="G500" s="68" t="s">
        <v>32</v>
      </c>
      <c r="H500" s="69">
        <f t="shared" si="76"/>
        <v>17317.764999999999</v>
      </c>
      <c r="I500" s="69">
        <f t="shared" si="74"/>
        <v>4074.2350000000006</v>
      </c>
      <c r="J500" s="120">
        <f t="shared" si="75"/>
        <v>543.27461858288768</v>
      </c>
      <c r="K500" s="289"/>
      <c r="L500" s="290"/>
    </row>
    <row r="501" spans="1:12" ht="13.5" customHeight="1" thickBot="1">
      <c r="A501" s="308"/>
      <c r="B501" s="311" t="s">
        <v>174</v>
      </c>
      <c r="C501" s="311"/>
      <c r="D501" s="311"/>
      <c r="E501" s="71">
        <v>45.23</v>
      </c>
      <c r="F501" s="71">
        <f t="shared" si="77"/>
        <v>45.23</v>
      </c>
      <c r="G501" s="70" t="s">
        <v>32</v>
      </c>
      <c r="H501" s="71">
        <f t="shared" si="76"/>
        <v>17362.994999999999</v>
      </c>
      <c r="I501" s="71">
        <f t="shared" si="74"/>
        <v>4029.005000000001</v>
      </c>
      <c r="J501" s="119">
        <f t="shared" si="75"/>
        <v>544.36183168449202</v>
      </c>
      <c r="K501" s="289"/>
      <c r="L501" s="290"/>
    </row>
    <row r="502" spans="1:12" ht="13.5" customHeight="1">
      <c r="A502" s="312" t="s">
        <v>137</v>
      </c>
      <c r="B502" s="314" t="s">
        <v>174</v>
      </c>
      <c r="C502" s="314"/>
      <c r="D502" s="314"/>
      <c r="E502" s="209">
        <v>45.24</v>
      </c>
      <c r="F502" s="208">
        <f t="shared" si="77"/>
        <v>45.24</v>
      </c>
      <c r="G502" s="209" t="s">
        <v>32</v>
      </c>
      <c r="H502" s="208">
        <f t="shared" si="76"/>
        <v>17408.235000000001</v>
      </c>
      <c r="I502" s="208">
        <f t="shared" si="74"/>
        <v>3983.7649999999994</v>
      </c>
      <c r="J502" s="210">
        <f t="shared" si="75"/>
        <v>545.44928516042773</v>
      </c>
      <c r="K502" s="289"/>
      <c r="L502" s="290"/>
    </row>
    <row r="503" spans="1:12" ht="13.5" customHeight="1" thickBot="1">
      <c r="A503" s="313"/>
      <c r="B503" s="310" t="s">
        <v>174</v>
      </c>
      <c r="C503" s="310"/>
      <c r="D503" s="310"/>
      <c r="E503" s="212">
        <v>45.14</v>
      </c>
      <c r="F503" s="211">
        <f t="shared" si="77"/>
        <v>45.14</v>
      </c>
      <c r="G503" s="212" t="s">
        <v>32</v>
      </c>
      <c r="H503" s="211">
        <f t="shared" si="76"/>
        <v>17453.375</v>
      </c>
      <c r="I503" s="211">
        <f t="shared" si="74"/>
        <v>3938.625</v>
      </c>
      <c r="J503" s="213">
        <f t="shared" si="75"/>
        <v>546.53433489304803</v>
      </c>
      <c r="K503" s="289"/>
      <c r="L503" s="290"/>
    </row>
    <row r="504" spans="1:12" ht="13.5" customHeight="1">
      <c r="A504" s="307" t="s">
        <v>138</v>
      </c>
      <c r="B504" s="309" t="s">
        <v>174</v>
      </c>
      <c r="C504" s="309"/>
      <c r="D504" s="309"/>
      <c r="E504" s="69">
        <v>45.16</v>
      </c>
      <c r="F504" s="69">
        <f t="shared" si="77"/>
        <v>45.16</v>
      </c>
      <c r="G504" s="68" t="s">
        <v>32</v>
      </c>
      <c r="H504" s="69">
        <f t="shared" si="76"/>
        <v>17498.535</v>
      </c>
      <c r="I504" s="69">
        <f t="shared" si="74"/>
        <v>3893.4650000000001</v>
      </c>
      <c r="J504" s="120">
        <f t="shared" si="75"/>
        <v>547.61986537433154</v>
      </c>
      <c r="K504" s="289"/>
      <c r="L504" s="290"/>
    </row>
    <row r="505" spans="1:12" ht="13.5" customHeight="1" thickBot="1">
      <c r="A505" s="308"/>
      <c r="B505" s="311" t="s">
        <v>174</v>
      </c>
      <c r="C505" s="311"/>
      <c r="D505" s="311"/>
      <c r="E505" s="71">
        <v>44.99</v>
      </c>
      <c r="F505" s="71">
        <f t="shared" si="77"/>
        <v>44.99</v>
      </c>
      <c r="G505" s="70" t="s">
        <v>32</v>
      </c>
      <c r="H505" s="71">
        <f t="shared" si="76"/>
        <v>17543.525000000001</v>
      </c>
      <c r="I505" s="71">
        <f t="shared" si="74"/>
        <v>3848.4749999999985</v>
      </c>
      <c r="J505" s="119">
        <f t="shared" si="75"/>
        <v>548.70130949197869</v>
      </c>
      <c r="K505" s="289"/>
      <c r="L505" s="290"/>
    </row>
    <row r="506" spans="1:12" ht="13.5" customHeight="1">
      <c r="A506" s="312" t="s">
        <v>139</v>
      </c>
      <c r="B506" s="314" t="s">
        <v>174</v>
      </c>
      <c r="C506" s="314"/>
      <c r="D506" s="314"/>
      <c r="E506" s="209">
        <v>44.85</v>
      </c>
      <c r="F506" s="208">
        <f t="shared" ref="F506:F523" si="78">E506</f>
        <v>44.85</v>
      </c>
      <c r="G506" s="209" t="s">
        <v>32</v>
      </c>
      <c r="H506" s="208">
        <f t="shared" si="76"/>
        <v>17588.375</v>
      </c>
      <c r="I506" s="208">
        <f t="shared" ref="I506:I523" si="79">IF(H506="","",$K$7-H506)</f>
        <v>3803.625</v>
      </c>
      <c r="J506" s="210">
        <f t="shared" ref="J506:J523" si="80">$G$7+(H506*$D$8*$G$9/1000)</f>
        <v>549.77938836898397</v>
      </c>
      <c r="K506" s="289"/>
      <c r="L506" s="290"/>
    </row>
    <row r="507" spans="1:12" ht="13.5" customHeight="1" thickBot="1">
      <c r="A507" s="313"/>
      <c r="B507" s="310" t="s">
        <v>174</v>
      </c>
      <c r="C507" s="310"/>
      <c r="D507" s="310"/>
      <c r="E507" s="212">
        <v>45.14</v>
      </c>
      <c r="F507" s="211">
        <f t="shared" si="78"/>
        <v>45.14</v>
      </c>
      <c r="G507" s="212" t="s">
        <v>32</v>
      </c>
      <c r="H507" s="211">
        <f t="shared" si="76"/>
        <v>17633.514999999999</v>
      </c>
      <c r="I507" s="211">
        <f t="shared" si="79"/>
        <v>3758.4850000000006</v>
      </c>
      <c r="J507" s="213">
        <f t="shared" si="80"/>
        <v>550.86443810160426</v>
      </c>
      <c r="K507" s="289"/>
      <c r="L507" s="290"/>
    </row>
    <row r="508" spans="1:12" ht="13.5" customHeight="1">
      <c r="A508" s="307" t="s">
        <v>140</v>
      </c>
      <c r="B508" s="309" t="s">
        <v>174</v>
      </c>
      <c r="C508" s="309"/>
      <c r="D508" s="309"/>
      <c r="E508" s="69">
        <v>45.02</v>
      </c>
      <c r="F508" s="69">
        <f t="shared" si="78"/>
        <v>45.02</v>
      </c>
      <c r="G508" s="68" t="s">
        <v>32</v>
      </c>
      <c r="H508" s="69">
        <f t="shared" si="76"/>
        <v>17678.535</v>
      </c>
      <c r="I508" s="69">
        <f t="shared" si="79"/>
        <v>3713.4650000000001</v>
      </c>
      <c r="J508" s="120">
        <f t="shared" si="80"/>
        <v>551.94660334224591</v>
      </c>
      <c r="K508" s="289"/>
      <c r="L508" s="290"/>
    </row>
    <row r="509" spans="1:12" ht="13.5" customHeight="1" thickBot="1">
      <c r="A509" s="308"/>
      <c r="B509" s="311" t="s">
        <v>174</v>
      </c>
      <c r="C509" s="311"/>
      <c r="D509" s="311"/>
      <c r="E509" s="71">
        <v>44.97</v>
      </c>
      <c r="F509" s="71">
        <f t="shared" si="78"/>
        <v>44.97</v>
      </c>
      <c r="G509" s="70" t="s">
        <v>32</v>
      </c>
      <c r="H509" s="71">
        <f t="shared" si="76"/>
        <v>17723.505000000001</v>
      </c>
      <c r="I509" s="71">
        <f t="shared" si="79"/>
        <v>3668.494999999999</v>
      </c>
      <c r="J509" s="119">
        <f t="shared" si="80"/>
        <v>553.02756671122995</v>
      </c>
      <c r="K509" s="289"/>
      <c r="L509" s="290"/>
    </row>
    <row r="510" spans="1:12" ht="13.5" customHeight="1">
      <c r="A510" s="312" t="s">
        <v>204</v>
      </c>
      <c r="B510" s="314" t="s">
        <v>174</v>
      </c>
      <c r="C510" s="314"/>
      <c r="D510" s="314"/>
      <c r="E510" s="209">
        <v>45.16</v>
      </c>
      <c r="F510" s="208">
        <f t="shared" si="78"/>
        <v>45.16</v>
      </c>
      <c r="G510" s="209" t="s">
        <v>32</v>
      </c>
      <c r="H510" s="208">
        <f t="shared" si="76"/>
        <v>17768.665000000001</v>
      </c>
      <c r="I510" s="208">
        <f t="shared" si="79"/>
        <v>3623.3349999999991</v>
      </c>
      <c r="J510" s="210">
        <f t="shared" si="80"/>
        <v>554.11309719251335</v>
      </c>
      <c r="K510" s="289"/>
      <c r="L510" s="290"/>
    </row>
    <row r="511" spans="1:12" ht="13.5" customHeight="1" thickBot="1">
      <c r="A511" s="313"/>
      <c r="B511" s="310" t="s">
        <v>174</v>
      </c>
      <c r="C511" s="310"/>
      <c r="D511" s="310"/>
      <c r="E511" s="212">
        <v>45.06</v>
      </c>
      <c r="F511" s="211">
        <f t="shared" si="78"/>
        <v>45.06</v>
      </c>
      <c r="G511" s="212" t="s">
        <v>32</v>
      </c>
      <c r="H511" s="211">
        <f t="shared" si="76"/>
        <v>17813.725000000002</v>
      </c>
      <c r="I511" s="211">
        <f t="shared" si="79"/>
        <v>3578.2749999999978</v>
      </c>
      <c r="J511" s="213">
        <f t="shared" si="80"/>
        <v>555.19622393048144</v>
      </c>
      <c r="K511" s="289"/>
      <c r="L511" s="290"/>
    </row>
    <row r="512" spans="1:12" ht="13.5" customHeight="1">
      <c r="A512" s="307" t="s">
        <v>205</v>
      </c>
      <c r="B512" s="309" t="s">
        <v>174</v>
      </c>
      <c r="C512" s="309"/>
      <c r="D512" s="309"/>
      <c r="E512" s="69">
        <v>45.12</v>
      </c>
      <c r="F512" s="69">
        <f t="shared" si="78"/>
        <v>45.12</v>
      </c>
      <c r="G512" s="68" t="s">
        <v>32</v>
      </c>
      <c r="H512" s="69">
        <f t="shared" si="76"/>
        <v>17858.845000000001</v>
      </c>
      <c r="I512" s="69">
        <f t="shared" si="79"/>
        <v>3533.1549999999988</v>
      </c>
      <c r="J512" s="120">
        <f t="shared" si="80"/>
        <v>556.28079291443851</v>
      </c>
      <c r="K512" s="289"/>
      <c r="L512" s="290"/>
    </row>
    <row r="513" spans="1:12" ht="13.5" customHeight="1" thickBot="1">
      <c r="A513" s="308"/>
      <c r="B513" s="311" t="s">
        <v>174</v>
      </c>
      <c r="C513" s="311"/>
      <c r="D513" s="311"/>
      <c r="E513" s="71">
        <v>45.21</v>
      </c>
      <c r="F513" s="71">
        <f t="shared" si="78"/>
        <v>45.21</v>
      </c>
      <c r="G513" s="70" t="s">
        <v>32</v>
      </c>
      <c r="H513" s="71">
        <f t="shared" si="76"/>
        <v>17904.055</v>
      </c>
      <c r="I513" s="71">
        <f t="shared" si="79"/>
        <v>3487.9449999999997</v>
      </c>
      <c r="J513" s="119">
        <f t="shared" si="80"/>
        <v>557.36752526737973</v>
      </c>
      <c r="K513" s="289"/>
      <c r="L513" s="290"/>
    </row>
    <row r="514" spans="1:12" ht="13.5" customHeight="1">
      <c r="A514" s="312" t="s">
        <v>206</v>
      </c>
      <c r="B514" s="314" t="s">
        <v>174</v>
      </c>
      <c r="C514" s="314"/>
      <c r="D514" s="314"/>
      <c r="E514" s="209">
        <v>45.2</v>
      </c>
      <c r="F514" s="208">
        <f t="shared" si="78"/>
        <v>45.2</v>
      </c>
      <c r="G514" s="209" t="s">
        <v>32</v>
      </c>
      <c r="H514" s="208">
        <f t="shared" si="76"/>
        <v>17949.255000000001</v>
      </c>
      <c r="I514" s="208">
        <f t="shared" si="79"/>
        <v>3442.744999999999</v>
      </c>
      <c r="J514" s="210">
        <f t="shared" si="80"/>
        <v>558.45401724598923</v>
      </c>
      <c r="K514" s="289"/>
      <c r="L514" s="290"/>
    </row>
    <row r="515" spans="1:12" ht="13.5" customHeight="1" thickBot="1">
      <c r="A515" s="313"/>
      <c r="B515" s="310" t="s">
        <v>174</v>
      </c>
      <c r="C515" s="310"/>
      <c r="D515" s="310"/>
      <c r="E515" s="212">
        <v>45.07</v>
      </c>
      <c r="F515" s="211">
        <f t="shared" si="78"/>
        <v>45.07</v>
      </c>
      <c r="G515" s="212" t="s">
        <v>32</v>
      </c>
      <c r="H515" s="211">
        <f t="shared" si="76"/>
        <v>17994.325000000001</v>
      </c>
      <c r="I515" s="211">
        <f t="shared" si="79"/>
        <v>3397.6749999999993</v>
      </c>
      <c r="J515" s="213">
        <f t="shared" si="80"/>
        <v>559.53738435828882</v>
      </c>
      <c r="K515" s="289"/>
      <c r="L515" s="290"/>
    </row>
    <row r="516" spans="1:12" ht="13.5" customHeight="1">
      <c r="A516" s="307" t="s">
        <v>207</v>
      </c>
      <c r="B516" s="309" t="s">
        <v>174</v>
      </c>
      <c r="C516" s="309"/>
      <c r="D516" s="309"/>
      <c r="E516" s="69">
        <v>45.2</v>
      </c>
      <c r="F516" s="69">
        <f t="shared" si="78"/>
        <v>45.2</v>
      </c>
      <c r="G516" s="68" t="s">
        <v>32</v>
      </c>
      <c r="H516" s="69">
        <f t="shared" si="76"/>
        <v>18039.525000000001</v>
      </c>
      <c r="I516" s="69">
        <f t="shared" si="79"/>
        <v>3352.4749999999985</v>
      </c>
      <c r="J516" s="120">
        <f t="shared" si="80"/>
        <v>560.62387633689843</v>
      </c>
      <c r="K516" s="289"/>
      <c r="L516" s="290"/>
    </row>
    <row r="517" spans="1:12" ht="13.5" customHeight="1" thickBot="1">
      <c r="A517" s="308"/>
      <c r="B517" s="311" t="s">
        <v>174</v>
      </c>
      <c r="C517" s="311"/>
      <c r="D517" s="311"/>
      <c r="E517" s="71">
        <v>45.17</v>
      </c>
      <c r="F517" s="71">
        <f t="shared" si="78"/>
        <v>45.17</v>
      </c>
      <c r="G517" s="70" t="s">
        <v>32</v>
      </c>
      <c r="H517" s="71">
        <f t="shared" si="76"/>
        <v>18084.695</v>
      </c>
      <c r="I517" s="71">
        <f t="shared" si="79"/>
        <v>3307.3050000000003</v>
      </c>
      <c r="J517" s="119">
        <f t="shared" si="80"/>
        <v>561.70964719251333</v>
      </c>
      <c r="K517" s="289"/>
      <c r="L517" s="290"/>
    </row>
    <row r="518" spans="1:12" ht="13.5" customHeight="1">
      <c r="A518" s="312" t="s">
        <v>208</v>
      </c>
      <c r="B518" s="314" t="s">
        <v>174</v>
      </c>
      <c r="C518" s="314"/>
      <c r="D518" s="314"/>
      <c r="E518" s="209">
        <v>45</v>
      </c>
      <c r="F518" s="208">
        <f t="shared" si="78"/>
        <v>45</v>
      </c>
      <c r="G518" s="209" t="s">
        <v>32</v>
      </c>
      <c r="H518" s="208">
        <f t="shared" si="76"/>
        <v>18129.695</v>
      </c>
      <c r="I518" s="208">
        <f t="shared" si="79"/>
        <v>3262.3050000000003</v>
      </c>
      <c r="J518" s="210">
        <f t="shared" si="80"/>
        <v>562.79133168449198</v>
      </c>
      <c r="K518" s="289"/>
      <c r="L518" s="290"/>
    </row>
    <row r="519" spans="1:12" ht="13.5" customHeight="1" thickBot="1">
      <c r="A519" s="313"/>
      <c r="B519" s="310" t="s">
        <v>174</v>
      </c>
      <c r="C519" s="310"/>
      <c r="D519" s="310"/>
      <c r="E519" s="212">
        <v>45.13</v>
      </c>
      <c r="F519" s="211">
        <f t="shared" si="78"/>
        <v>45.13</v>
      </c>
      <c r="G519" s="212" t="s">
        <v>32</v>
      </c>
      <c r="H519" s="211">
        <f t="shared" si="76"/>
        <v>18174.825000000001</v>
      </c>
      <c r="I519" s="211">
        <f t="shared" si="79"/>
        <v>3217.1749999999993</v>
      </c>
      <c r="J519" s="213">
        <f t="shared" si="80"/>
        <v>563.87614104278077</v>
      </c>
      <c r="K519" s="289"/>
      <c r="L519" s="290"/>
    </row>
    <row r="520" spans="1:12" ht="13.5" customHeight="1">
      <c r="A520" s="307" t="s">
        <v>209</v>
      </c>
      <c r="B520" s="309" t="s">
        <v>174</v>
      </c>
      <c r="C520" s="309"/>
      <c r="D520" s="309"/>
      <c r="E520" s="69">
        <v>44.82</v>
      </c>
      <c r="F520" s="69">
        <f t="shared" si="78"/>
        <v>44.82</v>
      </c>
      <c r="G520" s="68" t="s">
        <v>32</v>
      </c>
      <c r="H520" s="69">
        <f t="shared" si="76"/>
        <v>18219.645</v>
      </c>
      <c r="I520" s="69">
        <f t="shared" si="79"/>
        <v>3172.3549999999996</v>
      </c>
      <c r="J520" s="120">
        <f t="shared" si="80"/>
        <v>564.95349879679134</v>
      </c>
      <c r="K520" s="289"/>
      <c r="L520" s="290"/>
    </row>
    <row r="521" spans="1:12" ht="13.5" customHeight="1" thickBot="1">
      <c r="A521" s="308"/>
      <c r="B521" s="311" t="s">
        <v>174</v>
      </c>
      <c r="C521" s="311"/>
      <c r="D521" s="311"/>
      <c r="E521" s="71">
        <v>45.05</v>
      </c>
      <c r="F521" s="71">
        <f t="shared" si="78"/>
        <v>45.05</v>
      </c>
      <c r="G521" s="70" t="s">
        <v>32</v>
      </c>
      <c r="H521" s="71">
        <f t="shared" si="76"/>
        <v>18264.695</v>
      </c>
      <c r="I521" s="71">
        <f t="shared" si="79"/>
        <v>3127.3050000000003</v>
      </c>
      <c r="J521" s="119">
        <f t="shared" si="80"/>
        <v>566.03638516042781</v>
      </c>
      <c r="K521" s="289"/>
      <c r="L521" s="290"/>
    </row>
    <row r="522" spans="1:12" ht="13.5" customHeight="1">
      <c r="A522" s="312" t="s">
        <v>210</v>
      </c>
      <c r="B522" s="314" t="s">
        <v>174</v>
      </c>
      <c r="C522" s="314"/>
      <c r="D522" s="314"/>
      <c r="E522" s="209">
        <v>45.05</v>
      </c>
      <c r="F522" s="208">
        <f t="shared" si="78"/>
        <v>45.05</v>
      </c>
      <c r="G522" s="209" t="s">
        <v>32</v>
      </c>
      <c r="H522" s="208">
        <f t="shared" si="76"/>
        <v>18309.744999999999</v>
      </c>
      <c r="I522" s="208">
        <f t="shared" si="79"/>
        <v>3082.255000000001</v>
      </c>
      <c r="J522" s="210">
        <f t="shared" si="80"/>
        <v>567.11927152406406</v>
      </c>
      <c r="K522" s="289"/>
      <c r="L522" s="290"/>
    </row>
    <row r="523" spans="1:12" ht="13.5" customHeight="1" thickBot="1">
      <c r="A523" s="313"/>
      <c r="B523" s="310" t="s">
        <v>174</v>
      </c>
      <c r="C523" s="310"/>
      <c r="D523" s="310"/>
      <c r="E523" s="212">
        <v>44.94</v>
      </c>
      <c r="F523" s="211">
        <f t="shared" si="78"/>
        <v>44.94</v>
      </c>
      <c r="G523" s="212" t="s">
        <v>32</v>
      </c>
      <c r="H523" s="211">
        <f t="shared" si="76"/>
        <v>18354.684999999998</v>
      </c>
      <c r="I523" s="211">
        <f t="shared" si="79"/>
        <v>3037.3150000000023</v>
      </c>
      <c r="J523" s="213">
        <f t="shared" si="80"/>
        <v>568.1995137700535</v>
      </c>
      <c r="K523" s="315"/>
      <c r="L523" s="316"/>
    </row>
    <row r="524" spans="1:12" ht="13.5" customHeight="1">
      <c r="A524" s="307" t="s">
        <v>211</v>
      </c>
      <c r="B524" s="309" t="s">
        <v>174</v>
      </c>
      <c r="C524" s="309"/>
      <c r="D524" s="309"/>
      <c r="E524" s="69">
        <v>45</v>
      </c>
      <c r="F524" s="69">
        <f t="shared" si="77"/>
        <v>45</v>
      </c>
      <c r="G524" s="68" t="s">
        <v>32</v>
      </c>
      <c r="H524" s="69">
        <f t="shared" si="76"/>
        <v>18399.684999999998</v>
      </c>
      <c r="I524" s="69">
        <f t="shared" si="74"/>
        <v>2992.3150000000023</v>
      </c>
      <c r="J524" s="120">
        <f t="shared" si="75"/>
        <v>569.28119826203204</v>
      </c>
      <c r="K524" s="289"/>
      <c r="L524" s="290"/>
    </row>
    <row r="525" spans="1:12" ht="13.5" customHeight="1" thickBot="1">
      <c r="A525" s="308"/>
      <c r="B525" s="311" t="s">
        <v>174</v>
      </c>
      <c r="C525" s="311"/>
      <c r="D525" s="311"/>
      <c r="E525" s="71">
        <v>44.98</v>
      </c>
      <c r="F525" s="71">
        <f t="shared" si="77"/>
        <v>44.98</v>
      </c>
      <c r="G525" s="70" t="s">
        <v>32</v>
      </c>
      <c r="H525" s="71">
        <f t="shared" si="76"/>
        <v>18444.664999999997</v>
      </c>
      <c r="I525" s="71">
        <f t="shared" si="74"/>
        <v>2947.3350000000028</v>
      </c>
      <c r="J525" s="119">
        <f t="shared" si="75"/>
        <v>570.36240200534758</v>
      </c>
      <c r="K525" s="289"/>
      <c r="L525" s="290"/>
    </row>
    <row r="526" spans="1:12" ht="13.5" customHeight="1">
      <c r="A526" s="312" t="s">
        <v>212</v>
      </c>
      <c r="B526" s="314" t="s">
        <v>174</v>
      </c>
      <c r="C526" s="314"/>
      <c r="D526" s="314"/>
      <c r="E526" s="209">
        <v>45.04</v>
      </c>
      <c r="F526" s="208">
        <f t="shared" si="77"/>
        <v>45.04</v>
      </c>
      <c r="G526" s="209" t="s">
        <v>32</v>
      </c>
      <c r="H526" s="208">
        <f t="shared" si="76"/>
        <v>18489.704999999998</v>
      </c>
      <c r="I526" s="208">
        <f t="shared" si="74"/>
        <v>2902.2950000000019</v>
      </c>
      <c r="J526" s="210">
        <f t="shared" si="75"/>
        <v>571.44504799465233</v>
      </c>
      <c r="K526" s="289"/>
      <c r="L526" s="290"/>
    </row>
    <row r="527" spans="1:12" ht="13.5" customHeight="1" thickBot="1">
      <c r="A527" s="313"/>
      <c r="B527" s="310" t="s">
        <v>174</v>
      </c>
      <c r="C527" s="310"/>
      <c r="D527" s="310"/>
      <c r="E527" s="212">
        <v>44.96</v>
      </c>
      <c r="F527" s="211">
        <f t="shared" si="77"/>
        <v>44.96</v>
      </c>
      <c r="G527" s="212" t="s">
        <v>32</v>
      </c>
      <c r="H527" s="211">
        <f t="shared" si="76"/>
        <v>18534.664999999997</v>
      </c>
      <c r="I527" s="211">
        <f t="shared" si="74"/>
        <v>2857.3350000000028</v>
      </c>
      <c r="J527" s="213">
        <f t="shared" si="75"/>
        <v>572.52577098930476</v>
      </c>
      <c r="K527" s="289"/>
      <c r="L527" s="290"/>
    </row>
    <row r="528" spans="1:12" ht="13.5" customHeight="1">
      <c r="A528" s="307" t="s">
        <v>247</v>
      </c>
      <c r="B528" s="309" t="s">
        <v>174</v>
      </c>
      <c r="C528" s="309"/>
      <c r="D528" s="309"/>
      <c r="E528" s="69">
        <v>45.19</v>
      </c>
      <c r="F528" s="69">
        <f t="shared" si="77"/>
        <v>45.19</v>
      </c>
      <c r="G528" s="68" t="s">
        <v>32</v>
      </c>
      <c r="H528" s="69">
        <f t="shared" si="76"/>
        <v>18579.854999999996</v>
      </c>
      <c r="I528" s="69">
        <f t="shared" si="74"/>
        <v>2812.1450000000041</v>
      </c>
      <c r="J528" s="120">
        <f t="shared" si="75"/>
        <v>573.61202259358288</v>
      </c>
      <c r="K528" s="289"/>
      <c r="L528" s="290"/>
    </row>
    <row r="529" spans="1:12" ht="13.5" customHeight="1" thickBot="1">
      <c r="A529" s="308"/>
      <c r="B529" s="311" t="s">
        <v>174</v>
      </c>
      <c r="C529" s="311"/>
      <c r="D529" s="311"/>
      <c r="E529" s="71">
        <v>45</v>
      </c>
      <c r="F529" s="71">
        <f t="shared" si="77"/>
        <v>45</v>
      </c>
      <c r="G529" s="70" t="s">
        <v>32</v>
      </c>
      <c r="H529" s="71">
        <f t="shared" si="76"/>
        <v>18624.854999999996</v>
      </c>
      <c r="I529" s="71">
        <f t="shared" si="74"/>
        <v>2767.1450000000041</v>
      </c>
      <c r="J529" s="119">
        <f t="shared" si="75"/>
        <v>574.69370708556141</v>
      </c>
      <c r="K529" s="289"/>
      <c r="L529" s="290"/>
    </row>
    <row r="530" spans="1:12" ht="13.5" customHeight="1">
      <c r="A530" s="312" t="s">
        <v>248</v>
      </c>
      <c r="B530" s="314" t="s">
        <v>174</v>
      </c>
      <c r="C530" s="314"/>
      <c r="D530" s="314"/>
      <c r="E530" s="209">
        <v>45.2</v>
      </c>
      <c r="F530" s="208">
        <f t="shared" si="77"/>
        <v>45.2</v>
      </c>
      <c r="G530" s="209" t="s">
        <v>32</v>
      </c>
      <c r="H530" s="208">
        <f t="shared" si="76"/>
        <v>18670.054999999997</v>
      </c>
      <c r="I530" s="208">
        <f t="shared" si="74"/>
        <v>2721.9450000000033</v>
      </c>
      <c r="J530" s="210">
        <f t="shared" si="75"/>
        <v>575.78019906417103</v>
      </c>
      <c r="K530" s="289"/>
      <c r="L530" s="290"/>
    </row>
    <row r="531" spans="1:12" ht="13.5" customHeight="1" thickBot="1">
      <c r="A531" s="313"/>
      <c r="B531" s="310" t="s">
        <v>174</v>
      </c>
      <c r="C531" s="310"/>
      <c r="D531" s="310"/>
      <c r="E531" s="212">
        <v>45.1</v>
      </c>
      <c r="F531" s="211">
        <f t="shared" si="77"/>
        <v>45.1</v>
      </c>
      <c r="G531" s="212" t="s">
        <v>32</v>
      </c>
      <c r="H531" s="211">
        <f t="shared" si="76"/>
        <v>18715.154999999995</v>
      </c>
      <c r="I531" s="211">
        <f t="shared" si="74"/>
        <v>2676.8450000000048</v>
      </c>
      <c r="J531" s="213">
        <f t="shared" si="75"/>
        <v>576.8642872994651</v>
      </c>
      <c r="K531" s="289"/>
      <c r="L531" s="290"/>
    </row>
    <row r="532" spans="1:12" ht="13.5" customHeight="1">
      <c r="A532" s="307" t="s">
        <v>249</v>
      </c>
      <c r="B532" s="309" t="s">
        <v>174</v>
      </c>
      <c r="C532" s="309"/>
      <c r="D532" s="309"/>
      <c r="E532" s="69">
        <v>45.15</v>
      </c>
      <c r="F532" s="69">
        <f t="shared" si="77"/>
        <v>45.15</v>
      </c>
      <c r="G532" s="68" t="s">
        <v>32</v>
      </c>
      <c r="H532" s="69">
        <f t="shared" si="76"/>
        <v>18760.304999999997</v>
      </c>
      <c r="I532" s="69">
        <f t="shared" si="74"/>
        <v>2631.6950000000033</v>
      </c>
      <c r="J532" s="120">
        <f t="shared" si="75"/>
        <v>577.94957740641701</v>
      </c>
      <c r="K532" s="289"/>
      <c r="L532" s="290"/>
    </row>
    <row r="533" spans="1:12" ht="13.5" customHeight="1" thickBot="1">
      <c r="A533" s="308"/>
      <c r="B533" s="311" t="s">
        <v>174</v>
      </c>
      <c r="C533" s="311"/>
      <c r="D533" s="311"/>
      <c r="E533" s="71">
        <v>44.94</v>
      </c>
      <c r="F533" s="71">
        <f t="shared" si="77"/>
        <v>44.94</v>
      </c>
      <c r="G533" s="70" t="s">
        <v>32</v>
      </c>
      <c r="H533" s="71">
        <f t="shared" si="76"/>
        <v>18805.244999999995</v>
      </c>
      <c r="I533" s="71">
        <f t="shared" si="74"/>
        <v>2586.7550000000047</v>
      </c>
      <c r="J533" s="119">
        <f t="shared" si="75"/>
        <v>579.02981965240633</v>
      </c>
      <c r="K533" s="289"/>
      <c r="L533" s="290"/>
    </row>
    <row r="534" spans="1:12" ht="13.5" customHeight="1">
      <c r="A534" s="312" t="s">
        <v>250</v>
      </c>
      <c r="B534" s="314" t="s">
        <v>174</v>
      </c>
      <c r="C534" s="314"/>
      <c r="D534" s="314"/>
      <c r="E534" s="209">
        <v>44.8</v>
      </c>
      <c r="F534" s="208">
        <f t="shared" si="77"/>
        <v>44.8</v>
      </c>
      <c r="G534" s="209" t="s">
        <v>32</v>
      </c>
      <c r="H534" s="208">
        <f t="shared" si="76"/>
        <v>18850.044999999995</v>
      </c>
      <c r="I534" s="208">
        <f t="shared" si="74"/>
        <v>2541.9550000000054</v>
      </c>
      <c r="J534" s="210">
        <f t="shared" si="75"/>
        <v>580.1066966577539</v>
      </c>
      <c r="K534" s="289"/>
      <c r="L534" s="290"/>
    </row>
    <row r="535" spans="1:12" ht="13.5" customHeight="1" thickBot="1">
      <c r="A535" s="313"/>
      <c r="B535" s="310" t="s">
        <v>174</v>
      </c>
      <c r="C535" s="310"/>
      <c r="D535" s="310"/>
      <c r="E535" s="212">
        <v>45.16</v>
      </c>
      <c r="F535" s="211">
        <f t="shared" si="77"/>
        <v>45.16</v>
      </c>
      <c r="G535" s="212" t="s">
        <v>32</v>
      </c>
      <c r="H535" s="211">
        <f t="shared" si="76"/>
        <v>18895.204999999994</v>
      </c>
      <c r="I535" s="211">
        <f t="shared" si="74"/>
        <v>2496.7950000000055</v>
      </c>
      <c r="J535" s="213">
        <f t="shared" si="75"/>
        <v>581.1922271390373</v>
      </c>
      <c r="K535" s="289"/>
      <c r="L535" s="290"/>
    </row>
    <row r="536" spans="1:12" ht="13.5" customHeight="1">
      <c r="A536" s="307" t="s">
        <v>251</v>
      </c>
      <c r="B536" s="309" t="s">
        <v>174</v>
      </c>
      <c r="C536" s="309"/>
      <c r="D536" s="309"/>
      <c r="E536" s="69">
        <v>44.9</v>
      </c>
      <c r="F536" s="69">
        <f t="shared" si="77"/>
        <v>44.9</v>
      </c>
      <c r="G536" s="68" t="s">
        <v>32</v>
      </c>
      <c r="H536" s="69">
        <f t="shared" si="76"/>
        <v>18940.104999999996</v>
      </c>
      <c r="I536" s="69">
        <f t="shared" si="74"/>
        <v>2451.8950000000041</v>
      </c>
      <c r="J536" s="120">
        <f t="shared" si="75"/>
        <v>582.27150788770041</v>
      </c>
      <c r="K536" s="289"/>
      <c r="L536" s="290"/>
    </row>
    <row r="537" spans="1:12" ht="13.5" customHeight="1" thickBot="1">
      <c r="A537" s="308"/>
      <c r="B537" s="311" t="s">
        <v>174</v>
      </c>
      <c r="C537" s="311"/>
      <c r="D537" s="311"/>
      <c r="E537" s="71">
        <v>44.9</v>
      </c>
      <c r="F537" s="71">
        <f t="shared" si="77"/>
        <v>44.9</v>
      </c>
      <c r="G537" s="70" t="s">
        <v>32</v>
      </c>
      <c r="H537" s="71">
        <f t="shared" si="76"/>
        <v>18985.004999999997</v>
      </c>
      <c r="I537" s="71">
        <f t="shared" si="74"/>
        <v>2406.9950000000026</v>
      </c>
      <c r="J537" s="119">
        <f t="shared" si="75"/>
        <v>583.35078863636352</v>
      </c>
      <c r="K537" s="289"/>
      <c r="L537" s="290"/>
    </row>
    <row r="538" spans="1:12" ht="13.5" customHeight="1">
      <c r="A538" s="312" t="s">
        <v>252</v>
      </c>
      <c r="B538" s="314" t="s">
        <v>174</v>
      </c>
      <c r="C538" s="314"/>
      <c r="D538" s="314"/>
      <c r="E538" s="209">
        <v>44.95</v>
      </c>
      <c r="F538" s="208">
        <f t="shared" si="77"/>
        <v>44.95</v>
      </c>
      <c r="G538" s="209" t="s">
        <v>32</v>
      </c>
      <c r="H538" s="208">
        <f t="shared" si="76"/>
        <v>19029.954999999998</v>
      </c>
      <c r="I538" s="208">
        <f t="shared" si="74"/>
        <v>2362.0450000000019</v>
      </c>
      <c r="J538" s="210">
        <f t="shared" si="75"/>
        <v>584.43127125668445</v>
      </c>
      <c r="K538" s="289"/>
      <c r="L538" s="290"/>
    </row>
    <row r="539" spans="1:12" ht="13.5" customHeight="1" thickBot="1">
      <c r="A539" s="313"/>
      <c r="B539" s="310" t="s">
        <v>174</v>
      </c>
      <c r="C539" s="310"/>
      <c r="D539" s="310"/>
      <c r="E539" s="212">
        <v>45.03</v>
      </c>
      <c r="F539" s="211">
        <f t="shared" si="77"/>
        <v>45.03</v>
      </c>
      <c r="G539" s="212" t="s">
        <v>32</v>
      </c>
      <c r="H539" s="211">
        <f t="shared" si="76"/>
        <v>19074.984999999997</v>
      </c>
      <c r="I539" s="211">
        <f t="shared" si="74"/>
        <v>2317.0150000000031</v>
      </c>
      <c r="J539" s="213">
        <f t="shared" si="75"/>
        <v>585.51367687165771</v>
      </c>
      <c r="K539" s="289"/>
      <c r="L539" s="290"/>
    </row>
    <row r="540" spans="1:12" ht="13.5" customHeight="1">
      <c r="A540" s="307" t="s">
        <v>253</v>
      </c>
      <c r="B540" s="309" t="s">
        <v>174</v>
      </c>
      <c r="C540" s="309"/>
      <c r="D540" s="309"/>
      <c r="E540" s="69">
        <v>45.3</v>
      </c>
      <c r="F540" s="69">
        <f t="shared" si="77"/>
        <v>45.3</v>
      </c>
      <c r="G540" s="68" t="s">
        <v>32</v>
      </c>
      <c r="H540" s="69">
        <f t="shared" si="76"/>
        <v>19120.284999999996</v>
      </c>
      <c r="I540" s="69">
        <f t="shared" si="74"/>
        <v>2271.7150000000038</v>
      </c>
      <c r="J540" s="120">
        <f t="shared" si="75"/>
        <v>586.60257259358286</v>
      </c>
      <c r="K540" s="289"/>
      <c r="L540" s="290"/>
    </row>
    <row r="541" spans="1:12" ht="13.5" customHeight="1" thickBot="1">
      <c r="A541" s="308"/>
      <c r="B541" s="311" t="s">
        <v>174</v>
      </c>
      <c r="C541" s="311"/>
      <c r="D541" s="311"/>
      <c r="E541" s="71">
        <v>45.2</v>
      </c>
      <c r="F541" s="71">
        <f t="shared" si="77"/>
        <v>45.2</v>
      </c>
      <c r="G541" s="70" t="s">
        <v>32</v>
      </c>
      <c r="H541" s="71">
        <f t="shared" si="76"/>
        <v>19165.484999999997</v>
      </c>
      <c r="I541" s="71">
        <f t="shared" si="74"/>
        <v>2226.5150000000031</v>
      </c>
      <c r="J541" s="119">
        <f t="shared" si="75"/>
        <v>587.68906457219236</v>
      </c>
      <c r="K541" s="315"/>
      <c r="L541" s="316"/>
    </row>
    <row r="542" spans="1:12" ht="13.5" customHeight="1">
      <c r="A542" s="312" t="s">
        <v>254</v>
      </c>
      <c r="B542" s="314" t="s">
        <v>174</v>
      </c>
      <c r="C542" s="314"/>
      <c r="D542" s="314"/>
      <c r="E542" s="209">
        <v>45</v>
      </c>
      <c r="F542" s="208">
        <f t="shared" ref="F542:F587" si="81">E542</f>
        <v>45</v>
      </c>
      <c r="G542" s="209" t="s">
        <v>32</v>
      </c>
      <c r="H542" s="208">
        <f t="shared" si="76"/>
        <v>19210.484999999997</v>
      </c>
      <c r="I542" s="208">
        <f t="shared" ref="I542:I597" si="82">IF(H542="","",$K$7-H542)</f>
        <v>2181.5150000000031</v>
      </c>
      <c r="J542" s="210">
        <f t="shared" ref="J542:J587" si="83">$G$7+(H542*$D$8*$G$9/1000)</f>
        <v>588.77074906417101</v>
      </c>
      <c r="K542" s="289"/>
      <c r="L542" s="290"/>
    </row>
    <row r="543" spans="1:12" ht="13.5" customHeight="1" thickBot="1">
      <c r="A543" s="313"/>
      <c r="B543" s="310" t="s">
        <v>174</v>
      </c>
      <c r="C543" s="310"/>
      <c r="D543" s="310"/>
      <c r="E543" s="212">
        <v>44.95</v>
      </c>
      <c r="F543" s="211">
        <f t="shared" si="81"/>
        <v>44.95</v>
      </c>
      <c r="G543" s="212" t="s">
        <v>32</v>
      </c>
      <c r="H543" s="211">
        <f t="shared" si="76"/>
        <v>19255.434999999998</v>
      </c>
      <c r="I543" s="211">
        <f t="shared" si="82"/>
        <v>2136.5650000000023</v>
      </c>
      <c r="J543" s="213">
        <f t="shared" si="83"/>
        <v>589.85123168449195</v>
      </c>
      <c r="K543" s="289"/>
      <c r="L543" s="290"/>
    </row>
    <row r="544" spans="1:12" ht="13.5" customHeight="1">
      <c r="A544" s="307" t="s">
        <v>255</v>
      </c>
      <c r="B544" s="309" t="s">
        <v>174</v>
      </c>
      <c r="C544" s="309"/>
      <c r="D544" s="309"/>
      <c r="E544" s="69">
        <v>45.15</v>
      </c>
      <c r="F544" s="69">
        <f t="shared" si="81"/>
        <v>45.15</v>
      </c>
      <c r="G544" s="68" t="s">
        <v>32</v>
      </c>
      <c r="H544" s="69">
        <f t="shared" si="76"/>
        <v>19300.584999999999</v>
      </c>
      <c r="I544" s="69">
        <f t="shared" si="82"/>
        <v>2091.4150000000009</v>
      </c>
      <c r="J544" s="120">
        <f t="shared" si="83"/>
        <v>590.93652179144374</v>
      </c>
      <c r="K544" s="289"/>
      <c r="L544" s="290"/>
    </row>
    <row r="545" spans="1:12" ht="13.5" customHeight="1" thickBot="1">
      <c r="A545" s="308"/>
      <c r="B545" s="311" t="s">
        <v>174</v>
      </c>
      <c r="C545" s="311"/>
      <c r="D545" s="311"/>
      <c r="E545" s="71">
        <v>44.84</v>
      </c>
      <c r="F545" s="71">
        <f t="shared" si="81"/>
        <v>44.84</v>
      </c>
      <c r="G545" s="70" t="s">
        <v>32</v>
      </c>
      <c r="H545" s="71">
        <f t="shared" si="76"/>
        <v>19345.424999999999</v>
      </c>
      <c r="I545" s="71">
        <f t="shared" si="82"/>
        <v>2046.5750000000007</v>
      </c>
      <c r="J545" s="119">
        <f t="shared" si="83"/>
        <v>592.01436029411752</v>
      </c>
      <c r="K545" s="289"/>
      <c r="L545" s="290"/>
    </row>
    <row r="546" spans="1:12" ht="13.5" customHeight="1">
      <c r="A546" s="312" t="s">
        <v>256</v>
      </c>
      <c r="B546" s="314" t="s">
        <v>174</v>
      </c>
      <c r="C546" s="314"/>
      <c r="D546" s="314"/>
      <c r="E546" s="209">
        <v>44.87</v>
      </c>
      <c r="F546" s="208">
        <f t="shared" ref="F546:F573" si="84">E546</f>
        <v>44.87</v>
      </c>
      <c r="G546" s="209" t="s">
        <v>32</v>
      </c>
      <c r="H546" s="208">
        <f t="shared" ref="H546:H597" si="85">IF(G546="IN",H545+F546,H545)</f>
        <v>19390.294999999998</v>
      </c>
      <c r="I546" s="208">
        <f t="shared" ref="I546:I573" si="86">IF(H546="","",$K$7-H546)</f>
        <v>2001.7050000000017</v>
      </c>
      <c r="J546" s="210">
        <f t="shared" ref="J546:J573" si="87">$G$7+(H546*$D$8*$G$9/1000)</f>
        <v>593.09291991978603</v>
      </c>
      <c r="K546" s="289"/>
      <c r="L546" s="290"/>
    </row>
    <row r="547" spans="1:12" ht="13.5" customHeight="1" thickBot="1">
      <c r="A547" s="313"/>
      <c r="B547" s="310" t="s">
        <v>174</v>
      </c>
      <c r="C547" s="310"/>
      <c r="D547" s="310"/>
      <c r="E547" s="212">
        <v>44.72</v>
      </c>
      <c r="F547" s="211">
        <f t="shared" si="84"/>
        <v>44.72</v>
      </c>
      <c r="G547" s="212" t="s">
        <v>32</v>
      </c>
      <c r="H547" s="211">
        <f t="shared" si="85"/>
        <v>19435.014999999999</v>
      </c>
      <c r="I547" s="211">
        <f t="shared" si="86"/>
        <v>1956.9850000000006</v>
      </c>
      <c r="J547" s="213">
        <f t="shared" si="87"/>
        <v>594.16787393048116</v>
      </c>
      <c r="K547" s="289"/>
      <c r="L547" s="290"/>
    </row>
    <row r="548" spans="1:12" ht="13.5" customHeight="1">
      <c r="A548" s="307" t="s">
        <v>257</v>
      </c>
      <c r="B548" s="309" t="s">
        <v>174</v>
      </c>
      <c r="C548" s="309"/>
      <c r="D548" s="309"/>
      <c r="E548" s="69">
        <v>44.8</v>
      </c>
      <c r="F548" s="69">
        <f t="shared" si="84"/>
        <v>44.8</v>
      </c>
      <c r="G548" s="68" t="s">
        <v>32</v>
      </c>
      <c r="H548" s="69">
        <f t="shared" si="85"/>
        <v>19479.814999999999</v>
      </c>
      <c r="I548" s="69">
        <f t="shared" si="86"/>
        <v>1912.1850000000013</v>
      </c>
      <c r="J548" s="120">
        <f t="shared" si="87"/>
        <v>595.24475093582896</v>
      </c>
      <c r="K548" s="289"/>
      <c r="L548" s="290"/>
    </row>
    <row r="549" spans="1:12" ht="13.5" customHeight="1" thickBot="1">
      <c r="A549" s="308"/>
      <c r="B549" s="311" t="s">
        <v>174</v>
      </c>
      <c r="C549" s="311"/>
      <c r="D549" s="311"/>
      <c r="E549" s="71">
        <v>44.9</v>
      </c>
      <c r="F549" s="71">
        <f t="shared" si="84"/>
        <v>44.9</v>
      </c>
      <c r="G549" s="70" t="s">
        <v>32</v>
      </c>
      <c r="H549" s="71">
        <f t="shared" si="85"/>
        <v>19524.715</v>
      </c>
      <c r="I549" s="71">
        <f t="shared" si="86"/>
        <v>1867.2849999999999</v>
      </c>
      <c r="J549" s="119">
        <f t="shared" si="87"/>
        <v>596.32403168449196</v>
      </c>
      <c r="K549" s="289"/>
      <c r="L549" s="290"/>
    </row>
    <row r="550" spans="1:12" ht="13.5" customHeight="1">
      <c r="A550" s="312" t="s">
        <v>258</v>
      </c>
      <c r="B550" s="314" t="s">
        <v>174</v>
      </c>
      <c r="C550" s="314"/>
      <c r="D550" s="314"/>
      <c r="E550" s="209">
        <v>44.98</v>
      </c>
      <c r="F550" s="208">
        <f t="shared" si="84"/>
        <v>44.98</v>
      </c>
      <c r="G550" s="209" t="s">
        <v>32</v>
      </c>
      <c r="H550" s="208">
        <f t="shared" si="85"/>
        <v>19569.695</v>
      </c>
      <c r="I550" s="208">
        <f t="shared" si="86"/>
        <v>1822.3050000000003</v>
      </c>
      <c r="J550" s="210">
        <f t="shared" si="87"/>
        <v>597.4052354278075</v>
      </c>
      <c r="K550" s="289"/>
      <c r="L550" s="290"/>
    </row>
    <row r="551" spans="1:12" ht="13.5" customHeight="1" thickBot="1">
      <c r="A551" s="313"/>
      <c r="B551" s="310" t="s">
        <v>174</v>
      </c>
      <c r="C551" s="310"/>
      <c r="D551" s="310"/>
      <c r="E551" s="212">
        <v>44.69</v>
      </c>
      <c r="F551" s="211">
        <f t="shared" si="84"/>
        <v>44.69</v>
      </c>
      <c r="G551" s="212" t="s">
        <v>32</v>
      </c>
      <c r="H551" s="211">
        <f t="shared" si="85"/>
        <v>19614.384999999998</v>
      </c>
      <c r="I551" s="211">
        <f t="shared" si="86"/>
        <v>1777.6150000000016</v>
      </c>
      <c r="J551" s="213">
        <f t="shared" si="87"/>
        <v>598.47946831550792</v>
      </c>
      <c r="K551" s="289"/>
      <c r="L551" s="290"/>
    </row>
    <row r="552" spans="1:12" ht="13.5" customHeight="1">
      <c r="A552" s="307" t="s">
        <v>259</v>
      </c>
      <c r="B552" s="309" t="s">
        <v>174</v>
      </c>
      <c r="C552" s="309"/>
      <c r="D552" s="309"/>
      <c r="E552" s="69">
        <v>44.75</v>
      </c>
      <c r="F552" s="69">
        <f t="shared" si="84"/>
        <v>44.75</v>
      </c>
      <c r="G552" s="68" t="s">
        <v>32</v>
      </c>
      <c r="H552" s="69">
        <f t="shared" si="85"/>
        <v>19659.134999999998</v>
      </c>
      <c r="I552" s="69">
        <f t="shared" si="86"/>
        <v>1732.8650000000016</v>
      </c>
      <c r="J552" s="120">
        <f t="shared" si="87"/>
        <v>599.55514344919777</v>
      </c>
      <c r="K552" s="289"/>
      <c r="L552" s="290"/>
    </row>
    <row r="553" spans="1:12" ht="13.5" customHeight="1" thickBot="1">
      <c r="A553" s="308"/>
      <c r="B553" s="311" t="s">
        <v>174</v>
      </c>
      <c r="C553" s="311"/>
      <c r="D553" s="311"/>
      <c r="E553" s="71">
        <v>45.07</v>
      </c>
      <c r="F553" s="71">
        <f t="shared" si="84"/>
        <v>45.07</v>
      </c>
      <c r="G553" s="70" t="s">
        <v>32</v>
      </c>
      <c r="H553" s="71">
        <f t="shared" si="85"/>
        <v>19704.204999999998</v>
      </c>
      <c r="I553" s="71">
        <f t="shared" si="86"/>
        <v>1687.7950000000019</v>
      </c>
      <c r="J553" s="119">
        <f t="shared" si="87"/>
        <v>600.63851056149724</v>
      </c>
      <c r="K553" s="289"/>
      <c r="L553" s="290"/>
    </row>
    <row r="554" spans="1:12" ht="13.5" customHeight="1">
      <c r="A554" s="312" t="s">
        <v>260</v>
      </c>
      <c r="B554" s="314" t="s">
        <v>174</v>
      </c>
      <c r="C554" s="314"/>
      <c r="D554" s="314"/>
      <c r="E554" s="209">
        <v>44.93</v>
      </c>
      <c r="F554" s="208">
        <f t="shared" si="84"/>
        <v>44.93</v>
      </c>
      <c r="G554" s="209" t="s">
        <v>32</v>
      </c>
      <c r="H554" s="208">
        <f t="shared" si="85"/>
        <v>19749.134999999998</v>
      </c>
      <c r="I554" s="208">
        <f t="shared" si="86"/>
        <v>1642.8650000000016</v>
      </c>
      <c r="J554" s="210">
        <f t="shared" si="87"/>
        <v>601.71851243315496</v>
      </c>
      <c r="K554" s="289"/>
      <c r="L554" s="290"/>
    </row>
    <row r="555" spans="1:12" ht="13.5" customHeight="1" thickBot="1">
      <c r="A555" s="313"/>
      <c r="B555" s="310" t="s">
        <v>174</v>
      </c>
      <c r="C555" s="310"/>
      <c r="D555" s="310"/>
      <c r="E555" s="212">
        <v>45.16</v>
      </c>
      <c r="F555" s="211">
        <f t="shared" si="84"/>
        <v>45.16</v>
      </c>
      <c r="G555" s="212" t="s">
        <v>32</v>
      </c>
      <c r="H555" s="211">
        <f t="shared" si="85"/>
        <v>19794.294999999998</v>
      </c>
      <c r="I555" s="211">
        <f t="shared" si="86"/>
        <v>1597.7050000000017</v>
      </c>
      <c r="J555" s="213">
        <f t="shared" si="87"/>
        <v>602.80404291443847</v>
      </c>
      <c r="K555" s="289"/>
      <c r="L555" s="290"/>
    </row>
    <row r="556" spans="1:12" ht="13.5" customHeight="1">
      <c r="A556" s="307" t="s">
        <v>261</v>
      </c>
      <c r="B556" s="309" t="s">
        <v>174</v>
      </c>
      <c r="C556" s="309"/>
      <c r="D556" s="309"/>
      <c r="E556" s="69">
        <v>45.06</v>
      </c>
      <c r="F556" s="69">
        <f t="shared" si="84"/>
        <v>45.06</v>
      </c>
      <c r="G556" s="68" t="s">
        <v>32</v>
      </c>
      <c r="H556" s="69">
        <f t="shared" si="85"/>
        <v>19839.355</v>
      </c>
      <c r="I556" s="69">
        <f t="shared" si="86"/>
        <v>1552.6450000000004</v>
      </c>
      <c r="J556" s="120">
        <f t="shared" si="87"/>
        <v>603.88716965240644</v>
      </c>
      <c r="K556" s="289"/>
      <c r="L556" s="290"/>
    </row>
    <row r="557" spans="1:12" ht="13.5" customHeight="1" thickBot="1">
      <c r="A557" s="308"/>
      <c r="B557" s="311" t="s">
        <v>174</v>
      </c>
      <c r="C557" s="311"/>
      <c r="D557" s="311"/>
      <c r="E557" s="71">
        <v>45.11</v>
      </c>
      <c r="F557" s="71">
        <f t="shared" si="84"/>
        <v>45.11</v>
      </c>
      <c r="G557" s="70" t="s">
        <v>32</v>
      </c>
      <c r="H557" s="71">
        <f t="shared" si="85"/>
        <v>19884.465</v>
      </c>
      <c r="I557" s="71">
        <f t="shared" si="86"/>
        <v>1507.5349999999999</v>
      </c>
      <c r="J557" s="119">
        <f t="shared" si="87"/>
        <v>604.97149826203213</v>
      </c>
      <c r="K557" s="289"/>
      <c r="L557" s="290"/>
    </row>
    <row r="558" spans="1:12" ht="13.5" customHeight="1">
      <c r="A558" s="312" t="s">
        <v>262</v>
      </c>
      <c r="B558" s="314" t="s">
        <v>174</v>
      </c>
      <c r="C558" s="314"/>
      <c r="D558" s="314"/>
      <c r="E558" s="209">
        <v>45.13</v>
      </c>
      <c r="F558" s="208">
        <f t="shared" si="84"/>
        <v>45.13</v>
      </c>
      <c r="G558" s="209" t="s">
        <v>32</v>
      </c>
      <c r="H558" s="208">
        <f t="shared" si="85"/>
        <v>19929.595000000001</v>
      </c>
      <c r="I558" s="208">
        <f t="shared" si="86"/>
        <v>1462.4049999999988</v>
      </c>
      <c r="J558" s="210">
        <f t="shared" si="87"/>
        <v>606.05630762032092</v>
      </c>
      <c r="K558" s="289"/>
      <c r="L558" s="290"/>
    </row>
    <row r="559" spans="1:12" ht="13.5" customHeight="1" thickBot="1">
      <c r="A559" s="313"/>
      <c r="B559" s="310" t="s">
        <v>174</v>
      </c>
      <c r="C559" s="310"/>
      <c r="D559" s="310"/>
      <c r="E559" s="212">
        <v>44.96</v>
      </c>
      <c r="F559" s="211">
        <f t="shared" si="84"/>
        <v>44.96</v>
      </c>
      <c r="G559" s="212" t="s">
        <v>32</v>
      </c>
      <c r="H559" s="211">
        <f t="shared" si="85"/>
        <v>19974.555</v>
      </c>
      <c r="I559" s="211">
        <f t="shared" si="86"/>
        <v>1417.4449999999997</v>
      </c>
      <c r="J559" s="213">
        <f t="shared" si="87"/>
        <v>607.13703061497324</v>
      </c>
      <c r="K559" s="289"/>
      <c r="L559" s="290"/>
    </row>
    <row r="560" spans="1:12" ht="13.5" customHeight="1">
      <c r="A560" s="307" t="s">
        <v>263</v>
      </c>
      <c r="B560" s="309" t="s">
        <v>174</v>
      </c>
      <c r="C560" s="309"/>
      <c r="D560" s="309"/>
      <c r="E560" s="69">
        <v>44.85</v>
      </c>
      <c r="F560" s="69">
        <f t="shared" si="84"/>
        <v>44.85</v>
      </c>
      <c r="G560" s="68" t="s">
        <v>32</v>
      </c>
      <c r="H560" s="69">
        <f t="shared" si="85"/>
        <v>20019.404999999999</v>
      </c>
      <c r="I560" s="69">
        <f t="shared" si="86"/>
        <v>1372.5950000000012</v>
      </c>
      <c r="J560" s="120">
        <f t="shared" si="87"/>
        <v>608.21510949197864</v>
      </c>
      <c r="K560" s="289"/>
      <c r="L560" s="290"/>
    </row>
    <row r="561" spans="1:12" ht="13.5" customHeight="1" thickBot="1">
      <c r="A561" s="308"/>
      <c r="B561" s="311" t="s">
        <v>174</v>
      </c>
      <c r="C561" s="311"/>
      <c r="D561" s="311"/>
      <c r="E561" s="71">
        <v>44.92</v>
      </c>
      <c r="F561" s="71">
        <f t="shared" si="84"/>
        <v>44.92</v>
      </c>
      <c r="G561" s="70" t="s">
        <v>32</v>
      </c>
      <c r="H561" s="71">
        <f t="shared" si="85"/>
        <v>20064.324999999997</v>
      </c>
      <c r="I561" s="71">
        <f t="shared" si="86"/>
        <v>1327.6750000000029</v>
      </c>
      <c r="J561" s="119">
        <f t="shared" si="87"/>
        <v>609.29487098930474</v>
      </c>
      <c r="K561" s="289"/>
      <c r="L561" s="290"/>
    </row>
    <row r="562" spans="1:12" ht="13.5" customHeight="1">
      <c r="A562" s="312" t="s">
        <v>264</v>
      </c>
      <c r="B562" s="314" t="s">
        <v>174</v>
      </c>
      <c r="C562" s="314"/>
      <c r="D562" s="314"/>
      <c r="E562" s="209">
        <v>45.1</v>
      </c>
      <c r="F562" s="208">
        <f t="shared" si="84"/>
        <v>45.1</v>
      </c>
      <c r="G562" s="209" t="s">
        <v>32</v>
      </c>
      <c r="H562" s="208">
        <f t="shared" si="85"/>
        <v>20109.424999999996</v>
      </c>
      <c r="I562" s="208">
        <f t="shared" si="86"/>
        <v>1282.5750000000044</v>
      </c>
      <c r="J562" s="210">
        <f t="shared" si="87"/>
        <v>610.3789592245987</v>
      </c>
      <c r="K562" s="289"/>
      <c r="L562" s="290"/>
    </row>
    <row r="563" spans="1:12" ht="13.5" customHeight="1" thickBot="1">
      <c r="A563" s="313"/>
      <c r="B563" s="310" t="s">
        <v>174</v>
      </c>
      <c r="C563" s="310"/>
      <c r="D563" s="310"/>
      <c r="E563" s="212">
        <v>44.93</v>
      </c>
      <c r="F563" s="211">
        <f t="shared" si="84"/>
        <v>44.93</v>
      </c>
      <c r="G563" s="212" t="s">
        <v>32</v>
      </c>
      <c r="H563" s="211">
        <f t="shared" si="85"/>
        <v>20154.354999999996</v>
      </c>
      <c r="I563" s="211">
        <f t="shared" si="86"/>
        <v>1237.6450000000041</v>
      </c>
      <c r="J563" s="213">
        <f t="shared" si="87"/>
        <v>611.45896109625664</v>
      </c>
      <c r="K563" s="289"/>
      <c r="L563" s="290"/>
    </row>
    <row r="564" spans="1:12" ht="13.5" customHeight="1">
      <c r="A564" s="307" t="s">
        <v>265</v>
      </c>
      <c r="B564" s="309" t="s">
        <v>174</v>
      </c>
      <c r="C564" s="309"/>
      <c r="D564" s="309"/>
      <c r="E564" s="69">
        <v>45.01</v>
      </c>
      <c r="F564" s="69">
        <f t="shared" si="84"/>
        <v>45.01</v>
      </c>
      <c r="G564" s="68" t="s">
        <v>32</v>
      </c>
      <c r="H564" s="69">
        <f t="shared" si="85"/>
        <v>20199.364999999994</v>
      </c>
      <c r="I564" s="69">
        <f t="shared" si="86"/>
        <v>1192.6350000000057</v>
      </c>
      <c r="J564" s="120">
        <f t="shared" si="87"/>
        <v>612.54088596256679</v>
      </c>
      <c r="K564" s="289"/>
      <c r="L564" s="290"/>
    </row>
    <row r="565" spans="1:12" ht="13.5" customHeight="1" thickBot="1">
      <c r="A565" s="308"/>
      <c r="B565" s="311" t="s">
        <v>174</v>
      </c>
      <c r="C565" s="311"/>
      <c r="D565" s="311"/>
      <c r="E565" s="71">
        <v>44.95</v>
      </c>
      <c r="F565" s="71">
        <f t="shared" si="84"/>
        <v>44.95</v>
      </c>
      <c r="G565" s="70" t="s">
        <v>32</v>
      </c>
      <c r="H565" s="71">
        <f t="shared" si="85"/>
        <v>20244.314999999995</v>
      </c>
      <c r="I565" s="71">
        <f t="shared" si="86"/>
        <v>1147.6850000000049</v>
      </c>
      <c r="J565" s="119">
        <f t="shared" si="87"/>
        <v>613.6213685828875</v>
      </c>
      <c r="K565" s="289"/>
      <c r="L565" s="290"/>
    </row>
    <row r="566" spans="1:12" ht="13.5" customHeight="1">
      <c r="A566" s="312" t="s">
        <v>266</v>
      </c>
      <c r="B566" s="314" t="s">
        <v>174</v>
      </c>
      <c r="C566" s="314"/>
      <c r="D566" s="314"/>
      <c r="E566" s="209">
        <v>45.32</v>
      </c>
      <c r="F566" s="208">
        <f t="shared" si="84"/>
        <v>45.32</v>
      </c>
      <c r="G566" s="209" t="s">
        <v>32</v>
      </c>
      <c r="H566" s="208">
        <f t="shared" si="85"/>
        <v>20289.634999999995</v>
      </c>
      <c r="I566" s="208">
        <f t="shared" si="86"/>
        <v>1102.3650000000052</v>
      </c>
      <c r="J566" s="210">
        <f t="shared" si="87"/>
        <v>614.71074505347576</v>
      </c>
      <c r="K566" s="289"/>
      <c r="L566" s="290"/>
    </row>
    <row r="567" spans="1:12" ht="13.5" customHeight="1" thickBot="1">
      <c r="A567" s="313"/>
      <c r="B567" s="310" t="s">
        <v>174</v>
      </c>
      <c r="C567" s="310"/>
      <c r="D567" s="310"/>
      <c r="E567" s="212">
        <v>45.1</v>
      </c>
      <c r="F567" s="211">
        <f t="shared" si="84"/>
        <v>45.1</v>
      </c>
      <c r="G567" s="212" t="s">
        <v>32</v>
      </c>
      <c r="H567" s="211">
        <f t="shared" si="85"/>
        <v>20334.734999999993</v>
      </c>
      <c r="I567" s="211">
        <f t="shared" si="86"/>
        <v>1057.2650000000067</v>
      </c>
      <c r="J567" s="213">
        <f t="shared" si="87"/>
        <v>615.79483328876995</v>
      </c>
      <c r="K567" s="289"/>
      <c r="L567" s="290"/>
    </row>
    <row r="568" spans="1:12" ht="13.5" customHeight="1">
      <c r="A568" s="307" t="s">
        <v>267</v>
      </c>
      <c r="B568" s="309" t="s">
        <v>174</v>
      </c>
      <c r="C568" s="309"/>
      <c r="D568" s="309"/>
      <c r="E568" s="69">
        <v>45.04</v>
      </c>
      <c r="F568" s="69">
        <f t="shared" si="84"/>
        <v>45.04</v>
      </c>
      <c r="G568" s="68" t="s">
        <v>32</v>
      </c>
      <c r="H568" s="69">
        <f t="shared" si="85"/>
        <v>20379.774999999994</v>
      </c>
      <c r="I568" s="69">
        <f t="shared" si="86"/>
        <v>1012.2250000000058</v>
      </c>
      <c r="J568" s="120">
        <f t="shared" si="87"/>
        <v>616.87747927807482</v>
      </c>
      <c r="K568" s="289"/>
      <c r="L568" s="290"/>
    </row>
    <row r="569" spans="1:12" ht="13.5" customHeight="1" thickBot="1">
      <c r="A569" s="308"/>
      <c r="B569" s="311" t="s">
        <v>174</v>
      </c>
      <c r="C569" s="311"/>
      <c r="D569" s="311"/>
      <c r="E569" s="71">
        <v>45.36</v>
      </c>
      <c r="F569" s="71">
        <f t="shared" si="84"/>
        <v>45.36</v>
      </c>
      <c r="G569" s="70" t="s">
        <v>32</v>
      </c>
      <c r="H569" s="71">
        <f t="shared" si="85"/>
        <v>20425.134999999995</v>
      </c>
      <c r="I569" s="71">
        <f t="shared" si="86"/>
        <v>966.86500000000524</v>
      </c>
      <c r="J569" s="119">
        <f t="shared" si="87"/>
        <v>617.96781724598918</v>
      </c>
      <c r="K569" s="289"/>
      <c r="L569" s="290"/>
    </row>
    <row r="570" spans="1:12" ht="13.5" customHeight="1">
      <c r="A570" s="312" t="s">
        <v>268</v>
      </c>
      <c r="B570" s="314" t="s">
        <v>174</v>
      </c>
      <c r="C570" s="314"/>
      <c r="D570" s="314"/>
      <c r="E570" s="209">
        <v>45.07</v>
      </c>
      <c r="F570" s="208">
        <f t="shared" si="84"/>
        <v>45.07</v>
      </c>
      <c r="G570" s="209" t="s">
        <v>32</v>
      </c>
      <c r="H570" s="208">
        <f t="shared" si="85"/>
        <v>20470.204999999994</v>
      </c>
      <c r="I570" s="208">
        <f t="shared" si="86"/>
        <v>921.79500000000553</v>
      </c>
      <c r="J570" s="210">
        <f t="shared" si="87"/>
        <v>619.05118435828854</v>
      </c>
      <c r="K570" s="289"/>
      <c r="L570" s="290"/>
    </row>
    <row r="571" spans="1:12" ht="13.5" customHeight="1" thickBot="1">
      <c r="A571" s="313"/>
      <c r="B571" s="310" t="s">
        <v>174</v>
      </c>
      <c r="C571" s="310"/>
      <c r="D571" s="310"/>
      <c r="E571" s="212">
        <v>45.11</v>
      </c>
      <c r="F571" s="211">
        <f t="shared" si="84"/>
        <v>45.11</v>
      </c>
      <c r="G571" s="212" t="s">
        <v>32</v>
      </c>
      <c r="H571" s="211">
        <f t="shared" si="85"/>
        <v>20515.314999999995</v>
      </c>
      <c r="I571" s="211">
        <f t="shared" si="86"/>
        <v>876.68500000000495</v>
      </c>
      <c r="J571" s="213">
        <f t="shared" si="87"/>
        <v>620.13551296791434</v>
      </c>
      <c r="K571" s="289"/>
      <c r="L571" s="290"/>
    </row>
    <row r="572" spans="1:12" ht="13.5" customHeight="1">
      <c r="A572" s="307" t="s">
        <v>269</v>
      </c>
      <c r="B572" s="309" t="s">
        <v>174</v>
      </c>
      <c r="C572" s="309"/>
      <c r="D572" s="309"/>
      <c r="E572" s="69">
        <v>44.92</v>
      </c>
      <c r="F572" s="69">
        <f t="shared" si="84"/>
        <v>44.92</v>
      </c>
      <c r="G572" s="68" t="s">
        <v>32</v>
      </c>
      <c r="H572" s="69">
        <f t="shared" si="85"/>
        <v>20560.234999999993</v>
      </c>
      <c r="I572" s="69">
        <f t="shared" si="86"/>
        <v>831.76500000000669</v>
      </c>
      <c r="J572" s="120">
        <f t="shared" si="87"/>
        <v>621.21527446524055</v>
      </c>
      <c r="K572" s="289"/>
      <c r="L572" s="290"/>
    </row>
    <row r="573" spans="1:12" ht="13.5" customHeight="1" thickBot="1">
      <c r="A573" s="308"/>
      <c r="B573" s="311" t="s">
        <v>174</v>
      </c>
      <c r="C573" s="311"/>
      <c r="D573" s="311"/>
      <c r="E573" s="71">
        <v>45.17</v>
      </c>
      <c r="F573" s="71">
        <f t="shared" si="84"/>
        <v>45.17</v>
      </c>
      <c r="G573" s="70" t="s">
        <v>32</v>
      </c>
      <c r="H573" s="71">
        <f t="shared" si="85"/>
        <v>20605.404999999992</v>
      </c>
      <c r="I573" s="71">
        <f t="shared" si="86"/>
        <v>786.59500000000844</v>
      </c>
      <c r="J573" s="119">
        <f t="shared" si="87"/>
        <v>622.30104532085534</v>
      </c>
      <c r="K573" s="289"/>
      <c r="L573" s="290"/>
    </row>
    <row r="574" spans="1:12" ht="13.5" customHeight="1">
      <c r="A574" s="312" t="s">
        <v>270</v>
      </c>
      <c r="B574" s="314" t="s">
        <v>174</v>
      </c>
      <c r="C574" s="314"/>
      <c r="D574" s="314"/>
      <c r="E574" s="209">
        <v>45.02</v>
      </c>
      <c r="F574" s="208">
        <f t="shared" si="81"/>
        <v>45.02</v>
      </c>
      <c r="G574" s="209" t="s">
        <v>32</v>
      </c>
      <c r="H574" s="208">
        <f t="shared" si="85"/>
        <v>20650.424999999992</v>
      </c>
      <c r="I574" s="208">
        <f t="shared" si="82"/>
        <v>741.575000000008</v>
      </c>
      <c r="J574" s="210">
        <f t="shared" si="83"/>
        <v>623.38321056149709</v>
      </c>
      <c r="K574" s="289"/>
      <c r="L574" s="290"/>
    </row>
    <row r="575" spans="1:12" ht="13.5" customHeight="1" thickBot="1">
      <c r="A575" s="313"/>
      <c r="B575" s="310" t="s">
        <v>174</v>
      </c>
      <c r="C575" s="310"/>
      <c r="D575" s="310"/>
      <c r="E575" s="212">
        <v>44.91</v>
      </c>
      <c r="F575" s="211">
        <f t="shared" si="81"/>
        <v>44.91</v>
      </c>
      <c r="G575" s="212" t="s">
        <v>32</v>
      </c>
      <c r="H575" s="211">
        <f t="shared" si="85"/>
        <v>20695.334999999992</v>
      </c>
      <c r="I575" s="211">
        <f t="shared" si="82"/>
        <v>696.66500000000815</v>
      </c>
      <c r="J575" s="213">
        <f t="shared" si="83"/>
        <v>624.4627316844917</v>
      </c>
      <c r="K575" s="289"/>
      <c r="L575" s="290"/>
    </row>
    <row r="576" spans="1:12" ht="13.5" customHeight="1">
      <c r="A576" s="307" t="s">
        <v>271</v>
      </c>
      <c r="B576" s="309" t="s">
        <v>174</v>
      </c>
      <c r="C576" s="309"/>
      <c r="D576" s="309"/>
      <c r="E576" s="69">
        <v>45.1</v>
      </c>
      <c r="F576" s="69">
        <f t="shared" si="81"/>
        <v>45.1</v>
      </c>
      <c r="G576" s="68" t="s">
        <v>32</v>
      </c>
      <c r="H576" s="69">
        <f t="shared" si="85"/>
        <v>20740.43499999999</v>
      </c>
      <c r="I576" s="69">
        <f t="shared" si="82"/>
        <v>651.5650000000096</v>
      </c>
      <c r="J576" s="120">
        <f t="shared" si="83"/>
        <v>625.54681991978589</v>
      </c>
      <c r="K576" s="289"/>
      <c r="L576" s="290"/>
    </row>
    <row r="577" spans="1:12" ht="13.5" customHeight="1" thickBot="1">
      <c r="A577" s="308"/>
      <c r="B577" s="311" t="s">
        <v>174</v>
      </c>
      <c r="C577" s="311"/>
      <c r="D577" s="311"/>
      <c r="E577" s="71">
        <v>45.17</v>
      </c>
      <c r="F577" s="71">
        <f t="shared" si="81"/>
        <v>45.17</v>
      </c>
      <c r="G577" s="70" t="s">
        <v>32</v>
      </c>
      <c r="H577" s="71">
        <f t="shared" si="85"/>
        <v>20785.604999999989</v>
      </c>
      <c r="I577" s="71">
        <f t="shared" si="82"/>
        <v>606.39500000001135</v>
      </c>
      <c r="J577" s="119">
        <f t="shared" si="83"/>
        <v>626.63259077540079</v>
      </c>
      <c r="K577" s="289"/>
      <c r="L577" s="290"/>
    </row>
    <row r="578" spans="1:12" ht="13.5" customHeight="1">
      <c r="A578" s="312" t="s">
        <v>272</v>
      </c>
      <c r="B578" s="314" t="s">
        <v>174</v>
      </c>
      <c r="C578" s="314"/>
      <c r="D578" s="314"/>
      <c r="E578" s="209">
        <v>45.05</v>
      </c>
      <c r="F578" s="208">
        <f t="shared" si="81"/>
        <v>45.05</v>
      </c>
      <c r="G578" s="209" t="s">
        <v>32</v>
      </c>
      <c r="H578" s="208">
        <f t="shared" si="85"/>
        <v>20830.654999999988</v>
      </c>
      <c r="I578" s="208">
        <f t="shared" si="82"/>
        <v>561.34500000001208</v>
      </c>
      <c r="J578" s="210">
        <f t="shared" si="83"/>
        <v>627.71547713903715</v>
      </c>
      <c r="K578" s="289"/>
      <c r="L578" s="290"/>
    </row>
    <row r="579" spans="1:12" ht="13.5" customHeight="1" thickBot="1">
      <c r="A579" s="313"/>
      <c r="B579" s="310" t="s">
        <v>174</v>
      </c>
      <c r="C579" s="310"/>
      <c r="D579" s="310"/>
      <c r="E579" s="212">
        <v>45.21</v>
      </c>
      <c r="F579" s="211">
        <f t="shared" si="81"/>
        <v>45.21</v>
      </c>
      <c r="G579" s="212" t="s">
        <v>32</v>
      </c>
      <c r="H579" s="211">
        <f t="shared" si="85"/>
        <v>20875.864999999987</v>
      </c>
      <c r="I579" s="211">
        <f t="shared" si="82"/>
        <v>516.13500000001295</v>
      </c>
      <c r="J579" s="213">
        <f t="shared" si="83"/>
        <v>628.80220949197826</v>
      </c>
      <c r="K579" s="289"/>
      <c r="L579" s="290"/>
    </row>
    <row r="580" spans="1:12" ht="13.5" customHeight="1">
      <c r="A580" s="307" t="s">
        <v>273</v>
      </c>
      <c r="B580" s="309" t="s">
        <v>174</v>
      </c>
      <c r="C580" s="309"/>
      <c r="D580" s="309"/>
      <c r="E580" s="69">
        <v>44.98</v>
      </c>
      <c r="F580" s="69">
        <f t="shared" si="81"/>
        <v>44.98</v>
      </c>
      <c r="G580" s="68" t="s">
        <v>32</v>
      </c>
      <c r="H580" s="69">
        <f t="shared" si="85"/>
        <v>20920.844999999987</v>
      </c>
      <c r="I580" s="69">
        <f t="shared" si="82"/>
        <v>471.15500000001339</v>
      </c>
      <c r="J580" s="120">
        <f t="shared" si="83"/>
        <v>629.8834132352938</v>
      </c>
      <c r="K580" s="289"/>
      <c r="L580" s="290"/>
    </row>
    <row r="581" spans="1:12" ht="13.5" customHeight="1" thickBot="1">
      <c r="A581" s="308"/>
      <c r="B581" s="311" t="s">
        <v>174</v>
      </c>
      <c r="C581" s="311"/>
      <c r="D581" s="311"/>
      <c r="E581" s="71">
        <v>44.93</v>
      </c>
      <c r="F581" s="71">
        <f t="shared" si="81"/>
        <v>44.93</v>
      </c>
      <c r="G581" s="70" t="s">
        <v>32</v>
      </c>
      <c r="H581" s="71">
        <f t="shared" si="85"/>
        <v>20965.774999999987</v>
      </c>
      <c r="I581" s="71">
        <f t="shared" si="82"/>
        <v>426.2250000000131</v>
      </c>
      <c r="J581" s="119">
        <f t="shared" si="83"/>
        <v>630.96341510695152</v>
      </c>
      <c r="K581" s="289"/>
      <c r="L581" s="290"/>
    </row>
    <row r="582" spans="1:12" ht="13.5" customHeight="1">
      <c r="A582" s="312" t="s">
        <v>274</v>
      </c>
      <c r="B582" s="314" t="s">
        <v>174</v>
      </c>
      <c r="C582" s="314"/>
      <c r="D582" s="314"/>
      <c r="E582" s="209">
        <v>45.05</v>
      </c>
      <c r="F582" s="208">
        <f t="shared" si="81"/>
        <v>45.05</v>
      </c>
      <c r="G582" s="209" t="s">
        <v>32</v>
      </c>
      <c r="H582" s="208">
        <f t="shared" si="85"/>
        <v>21010.824999999986</v>
      </c>
      <c r="I582" s="208">
        <f t="shared" si="82"/>
        <v>381.17500000001382</v>
      </c>
      <c r="J582" s="210">
        <f t="shared" si="83"/>
        <v>632.04630147058788</v>
      </c>
      <c r="K582" s="289"/>
      <c r="L582" s="290"/>
    </row>
    <row r="583" spans="1:12" ht="13.5" customHeight="1" thickBot="1">
      <c r="A583" s="313"/>
      <c r="B583" s="310" t="s">
        <v>174</v>
      </c>
      <c r="C583" s="310"/>
      <c r="D583" s="310"/>
      <c r="E583" s="212">
        <v>44.9</v>
      </c>
      <c r="F583" s="211">
        <f t="shared" si="81"/>
        <v>44.9</v>
      </c>
      <c r="G583" s="212" t="s">
        <v>32</v>
      </c>
      <c r="H583" s="211">
        <f t="shared" si="85"/>
        <v>21055.724999999988</v>
      </c>
      <c r="I583" s="211">
        <f t="shared" si="82"/>
        <v>336.27500000001237</v>
      </c>
      <c r="J583" s="213">
        <f t="shared" si="83"/>
        <v>633.1255822192511</v>
      </c>
      <c r="K583" s="289"/>
      <c r="L583" s="290"/>
    </row>
    <row r="584" spans="1:12" ht="13.5" customHeight="1">
      <c r="A584" s="307" t="s">
        <v>275</v>
      </c>
      <c r="B584" s="309" t="s">
        <v>174</v>
      </c>
      <c r="C584" s="309"/>
      <c r="D584" s="309"/>
      <c r="E584" s="69">
        <v>44.9</v>
      </c>
      <c r="F584" s="69">
        <f t="shared" si="81"/>
        <v>44.9</v>
      </c>
      <c r="G584" s="69" t="s">
        <v>32</v>
      </c>
      <c r="H584" s="69">
        <f t="shared" si="85"/>
        <v>21100.624999999989</v>
      </c>
      <c r="I584" s="69">
        <f t="shared" si="82"/>
        <v>291.37500000001091</v>
      </c>
      <c r="J584" s="120">
        <f t="shared" si="83"/>
        <v>634.2048629679141</v>
      </c>
      <c r="K584" s="289"/>
      <c r="L584" s="290"/>
    </row>
    <row r="585" spans="1:12" ht="13.5" customHeight="1" thickBot="1">
      <c r="A585" s="308"/>
      <c r="B585" s="311" t="s">
        <v>174</v>
      </c>
      <c r="C585" s="311"/>
      <c r="D585" s="311"/>
      <c r="E585" s="71">
        <v>44.75</v>
      </c>
      <c r="F585" s="71">
        <f t="shared" si="81"/>
        <v>44.75</v>
      </c>
      <c r="G585" s="71" t="s">
        <v>32</v>
      </c>
      <c r="H585" s="71">
        <f t="shared" si="85"/>
        <v>21145.374999999989</v>
      </c>
      <c r="I585" s="71">
        <f t="shared" si="82"/>
        <v>246.62500000001091</v>
      </c>
      <c r="J585" s="119">
        <f t="shared" si="83"/>
        <v>635.28053810160395</v>
      </c>
      <c r="K585" s="289"/>
      <c r="L585" s="290"/>
    </row>
    <row r="586" spans="1:12" ht="13.5" customHeight="1">
      <c r="A586" s="312" t="s">
        <v>276</v>
      </c>
      <c r="B586" s="314" t="s">
        <v>174</v>
      </c>
      <c r="C586" s="314"/>
      <c r="D586" s="314"/>
      <c r="E586" s="209">
        <v>45.18</v>
      </c>
      <c r="F586" s="208">
        <f t="shared" si="81"/>
        <v>45.18</v>
      </c>
      <c r="G586" s="209" t="s">
        <v>32</v>
      </c>
      <c r="H586" s="208">
        <f t="shared" si="85"/>
        <v>21190.554999999989</v>
      </c>
      <c r="I586" s="208">
        <f t="shared" si="82"/>
        <v>201.44500000001062</v>
      </c>
      <c r="J586" s="210">
        <f t="shared" si="83"/>
        <v>636.36654933155069</v>
      </c>
      <c r="K586" s="289"/>
      <c r="L586" s="290"/>
    </row>
    <row r="587" spans="1:12" ht="13.5" customHeight="1" thickBot="1">
      <c r="A587" s="313"/>
      <c r="B587" s="310" t="s">
        <v>174</v>
      </c>
      <c r="C587" s="310"/>
      <c r="D587" s="310"/>
      <c r="E587" s="212">
        <v>45.18</v>
      </c>
      <c r="F587" s="211">
        <f t="shared" si="81"/>
        <v>45.18</v>
      </c>
      <c r="G587" s="212" t="s">
        <v>32</v>
      </c>
      <c r="H587" s="211">
        <f t="shared" si="85"/>
        <v>21235.73499999999</v>
      </c>
      <c r="I587" s="211">
        <f t="shared" si="82"/>
        <v>156.26500000001033</v>
      </c>
      <c r="J587" s="213">
        <f t="shared" si="83"/>
        <v>637.45256056149708</v>
      </c>
      <c r="K587" s="289"/>
      <c r="L587" s="290"/>
    </row>
    <row r="588" spans="1:12" ht="13.5" customHeight="1" thickBot="1">
      <c r="A588" s="300" t="s">
        <v>285</v>
      </c>
      <c r="B588" s="301"/>
      <c r="C588" s="301"/>
      <c r="D588" s="302"/>
      <c r="E588" s="251">
        <v>14.95</v>
      </c>
      <c r="F588" s="238">
        <f t="shared" ref="F588" si="88">E588</f>
        <v>14.95</v>
      </c>
      <c r="G588" s="238" t="s">
        <v>32</v>
      </c>
      <c r="H588" s="69">
        <f t="shared" si="85"/>
        <v>21250.68499999999</v>
      </c>
      <c r="I588" s="69">
        <f>IF(H588="","",$K$7-H588)</f>
        <v>141.3150000000096</v>
      </c>
      <c r="J588" s="120">
        <f>$G$7+(H588*$D$8*$G$9/1000)</f>
        <v>637.81192018716547</v>
      </c>
      <c r="K588" s="356"/>
      <c r="L588" s="290"/>
    </row>
    <row r="589" spans="1:12" ht="13.5" customHeight="1" thickBot="1">
      <c r="A589" s="300" t="s">
        <v>285</v>
      </c>
      <c r="B589" s="301"/>
      <c r="C589" s="301"/>
      <c r="D589" s="302"/>
      <c r="E589" s="252">
        <v>14.96</v>
      </c>
      <c r="F589" s="253">
        <f t="shared" ref="F589" si="89">E589</f>
        <v>14.96</v>
      </c>
      <c r="G589" s="253" t="s">
        <v>32</v>
      </c>
      <c r="H589" s="71">
        <f t="shared" si="85"/>
        <v>21265.64499999999</v>
      </c>
      <c r="I589" s="71">
        <f>IF(H589="","",$K$7-H589)</f>
        <v>126.35500000001048</v>
      </c>
      <c r="J589" s="119">
        <f>$G$7+(H589*$D$8*$G$9/1000)</f>
        <v>638.17152018716547</v>
      </c>
      <c r="K589" s="356"/>
      <c r="L589" s="290"/>
    </row>
    <row r="590" spans="1:12" ht="13.5" customHeight="1">
      <c r="A590" s="307" t="s">
        <v>277</v>
      </c>
      <c r="B590" s="309" t="s">
        <v>174</v>
      </c>
      <c r="C590" s="309"/>
      <c r="D590" s="355"/>
      <c r="E590" s="259">
        <v>45.22</v>
      </c>
      <c r="F590" s="69">
        <f t="shared" si="77"/>
        <v>45.22</v>
      </c>
      <c r="G590" s="68" t="s">
        <v>32</v>
      </c>
      <c r="H590" s="69">
        <f t="shared" si="85"/>
        <v>21310.864999999991</v>
      </c>
      <c r="I590" s="69">
        <f t="shared" si="82"/>
        <v>81.135000000009313</v>
      </c>
      <c r="J590" s="120">
        <f t="shared" si="75"/>
        <v>639.25849291443819</v>
      </c>
      <c r="K590" s="351" t="s">
        <v>288</v>
      </c>
      <c r="L590" s="352"/>
    </row>
    <row r="591" spans="1:12" ht="13.5" customHeight="1" thickBot="1">
      <c r="A591" s="308"/>
      <c r="B591" s="311" t="s">
        <v>174</v>
      </c>
      <c r="C591" s="311"/>
      <c r="D591" s="362"/>
      <c r="E591" s="260">
        <v>44.97</v>
      </c>
      <c r="F591" s="71">
        <f t="shared" si="77"/>
        <v>44.97</v>
      </c>
      <c r="G591" s="70" t="s">
        <v>32</v>
      </c>
      <c r="H591" s="71">
        <f t="shared" si="85"/>
        <v>21355.834999999992</v>
      </c>
      <c r="I591" s="71">
        <f t="shared" si="82"/>
        <v>36.165000000008149</v>
      </c>
      <c r="J591" s="119">
        <f t="shared" si="75"/>
        <v>640.33945628342224</v>
      </c>
      <c r="K591" s="353"/>
      <c r="L591" s="354"/>
    </row>
    <row r="592" spans="1:12" ht="13.5" customHeight="1">
      <c r="A592" s="312" t="s">
        <v>278</v>
      </c>
      <c r="B592" s="314" t="s">
        <v>174</v>
      </c>
      <c r="C592" s="314"/>
      <c r="D592" s="314"/>
      <c r="E592" s="256">
        <v>44.98</v>
      </c>
      <c r="F592" s="257">
        <f t="shared" si="77"/>
        <v>44.98</v>
      </c>
      <c r="G592" s="256" t="s">
        <v>32</v>
      </c>
      <c r="H592" s="211">
        <f t="shared" si="85"/>
        <v>21400.814999999991</v>
      </c>
      <c r="I592" s="257">
        <f t="shared" si="82"/>
        <v>-8.8149999999914144</v>
      </c>
      <c r="J592" s="258">
        <f t="shared" si="75"/>
        <v>641.42066002673778</v>
      </c>
      <c r="K592" s="289"/>
      <c r="L592" s="290"/>
    </row>
    <row r="593" spans="1:12" ht="13.5" customHeight="1" thickBot="1">
      <c r="A593" s="313"/>
      <c r="B593" s="310" t="s">
        <v>174</v>
      </c>
      <c r="C593" s="310"/>
      <c r="D593" s="310"/>
      <c r="E593" s="212">
        <v>45.1</v>
      </c>
      <c r="F593" s="211">
        <f t="shared" si="77"/>
        <v>45.1</v>
      </c>
      <c r="G593" s="225" t="s">
        <v>36</v>
      </c>
      <c r="H593" s="211">
        <f t="shared" si="85"/>
        <v>21400.814999999991</v>
      </c>
      <c r="I593" s="211">
        <f t="shared" si="82"/>
        <v>-8.8149999999914144</v>
      </c>
      <c r="J593" s="213">
        <f t="shared" ref="J593" si="90">$G$7+(H593*$D$8*$G$9/1000)</f>
        <v>641.42066002673778</v>
      </c>
      <c r="K593" s="289"/>
      <c r="L593" s="290"/>
    </row>
    <row r="594" spans="1:12" ht="15" customHeight="1">
      <c r="A594" s="348" t="s">
        <v>293</v>
      </c>
      <c r="B594" s="349"/>
      <c r="C594" s="349"/>
      <c r="D594" s="350"/>
      <c r="E594" s="244">
        <v>5</v>
      </c>
      <c r="F594" s="105">
        <f t="shared" ref="F594" si="91">E594</f>
        <v>5</v>
      </c>
      <c r="G594" s="105" t="s">
        <v>32</v>
      </c>
      <c r="H594" s="245">
        <f t="shared" si="85"/>
        <v>21405.814999999991</v>
      </c>
      <c r="I594" s="246">
        <f t="shared" si="82"/>
        <v>-13.814999999991414</v>
      </c>
      <c r="J594" s="357" t="s">
        <v>160</v>
      </c>
      <c r="K594" s="332" t="s">
        <v>148</v>
      </c>
      <c r="L594" s="333"/>
    </row>
    <row r="595" spans="1:12" ht="13.5" customHeight="1">
      <c r="A595" s="334" t="s">
        <v>175</v>
      </c>
      <c r="B595" s="335"/>
      <c r="C595" s="335"/>
      <c r="D595" s="336"/>
      <c r="E595" s="247">
        <v>3.5</v>
      </c>
      <c r="F595" s="72">
        <f t="shared" ref="F595:F597" si="92">E595</f>
        <v>3.5</v>
      </c>
      <c r="G595" s="72" t="s">
        <v>32</v>
      </c>
      <c r="H595" s="243">
        <f t="shared" si="85"/>
        <v>21409.314999999991</v>
      </c>
      <c r="I595" s="248">
        <f t="shared" si="82"/>
        <v>-17.314999999991414</v>
      </c>
      <c r="J595" s="358"/>
      <c r="K595" s="339" t="s">
        <v>147</v>
      </c>
      <c r="L595" s="340"/>
    </row>
    <row r="596" spans="1:12" ht="14.45" customHeight="1">
      <c r="A596" s="334" t="s">
        <v>159</v>
      </c>
      <c r="B596" s="335"/>
      <c r="C596" s="335"/>
      <c r="D596" s="336"/>
      <c r="E596" s="247">
        <f>3.8+14.9+3.8</f>
        <v>22.5</v>
      </c>
      <c r="F596" s="72">
        <f t="shared" si="92"/>
        <v>22.5</v>
      </c>
      <c r="G596" s="72" t="s">
        <v>32</v>
      </c>
      <c r="H596" s="243">
        <f t="shared" si="85"/>
        <v>21431.814999999991</v>
      </c>
      <c r="I596" s="248">
        <f t="shared" si="82"/>
        <v>-39.814999999991414</v>
      </c>
      <c r="J596" s="358"/>
      <c r="K596" s="343" t="s">
        <v>289</v>
      </c>
      <c r="L596" s="344"/>
    </row>
    <row r="597" spans="1:12" ht="13.5" customHeight="1">
      <c r="A597" s="334" t="s">
        <v>176</v>
      </c>
      <c r="B597" s="335"/>
      <c r="C597" s="335"/>
      <c r="D597" s="336"/>
      <c r="E597" s="247">
        <v>3.5</v>
      </c>
      <c r="F597" s="72">
        <f t="shared" si="92"/>
        <v>3.5</v>
      </c>
      <c r="G597" s="72" t="s">
        <v>36</v>
      </c>
      <c r="H597" s="243">
        <f t="shared" si="85"/>
        <v>21431.814999999991</v>
      </c>
      <c r="I597" s="248">
        <f t="shared" si="82"/>
        <v>-39.814999999991414</v>
      </c>
      <c r="J597" s="358"/>
      <c r="K597" s="343" t="s">
        <v>290</v>
      </c>
      <c r="L597" s="344"/>
    </row>
    <row r="598" spans="1:12" ht="15" customHeight="1" thickBot="1">
      <c r="A598" s="345" t="s">
        <v>158</v>
      </c>
      <c r="B598" s="346"/>
      <c r="C598" s="346"/>
      <c r="D598" s="347"/>
      <c r="E598" s="249">
        <v>10.1</v>
      </c>
      <c r="F598" s="73">
        <f>E598</f>
        <v>10.1</v>
      </c>
      <c r="G598" s="74" t="s">
        <v>36</v>
      </c>
      <c r="H598" s="74">
        <f t="shared" ref="H598" si="93">IF(G598="IN",H597+F598,H597)</f>
        <v>21431.814999999991</v>
      </c>
      <c r="I598" s="250">
        <f t="shared" ref="I598" si="94">IF(H598="","",$K$7-H598)</f>
        <v>-39.814999999991414</v>
      </c>
      <c r="J598" s="359"/>
      <c r="K598" s="341"/>
      <c r="L598" s="342"/>
    </row>
    <row r="599" spans="1:12" ht="15.75" thickBot="1">
      <c r="A599" s="360" t="s">
        <v>127</v>
      </c>
      <c r="B599" s="361"/>
      <c r="C599" s="361"/>
      <c r="D599" s="361"/>
      <c r="E599" s="240">
        <f>SUM(E594:E598)</f>
        <v>44.6</v>
      </c>
      <c r="F599" s="241"/>
      <c r="G599" s="242"/>
      <c r="H599" s="242"/>
      <c r="I599" s="242"/>
      <c r="J599" s="99"/>
      <c r="K599" s="337"/>
      <c r="L599" s="338"/>
    </row>
    <row r="600" spans="1:12" ht="15.75" thickBot="1">
      <c r="A600" s="319"/>
      <c r="B600" s="320"/>
      <c r="C600" s="320"/>
      <c r="D600" s="320"/>
      <c r="E600" s="320"/>
      <c r="F600" s="320"/>
      <c r="G600" s="320"/>
      <c r="H600" s="320"/>
      <c r="I600" s="320"/>
      <c r="J600" s="320"/>
      <c r="K600" s="320"/>
      <c r="L600" s="321"/>
    </row>
    <row r="601" spans="1:12" ht="15.75" thickBot="1">
      <c r="A601" s="226" t="s">
        <v>227</v>
      </c>
      <c r="B601" s="322" t="s">
        <v>228</v>
      </c>
      <c r="C601" s="323"/>
      <c r="D601" s="331"/>
      <c r="E601" s="322" t="s">
        <v>229</v>
      </c>
      <c r="F601" s="323"/>
      <c r="G601" s="331"/>
      <c r="H601" s="322" t="s">
        <v>230</v>
      </c>
      <c r="I601" s="331"/>
      <c r="J601" s="322" t="s">
        <v>231</v>
      </c>
      <c r="K601" s="323"/>
      <c r="L601" s="226" t="s">
        <v>232</v>
      </c>
    </row>
    <row r="602" spans="1:12">
      <c r="A602" s="230">
        <v>1</v>
      </c>
      <c r="B602" s="328">
        <v>21235</v>
      </c>
      <c r="C602" s="328"/>
      <c r="D602" s="328"/>
      <c r="E602" s="328">
        <v>21237</v>
      </c>
      <c r="F602" s="328"/>
      <c r="G602" s="328"/>
      <c r="H602" s="329">
        <f>E602-B602</f>
        <v>2</v>
      </c>
      <c r="I602" s="329"/>
      <c r="J602" s="324">
        <v>260</v>
      </c>
      <c r="K602" s="324"/>
      <c r="L602" s="227" t="s">
        <v>294</v>
      </c>
    </row>
    <row r="603" spans="1:12">
      <c r="A603" s="231">
        <v>2</v>
      </c>
      <c r="B603" s="326">
        <v>20378</v>
      </c>
      <c r="C603" s="326"/>
      <c r="D603" s="326"/>
      <c r="E603" s="326">
        <v>20378</v>
      </c>
      <c r="F603" s="326"/>
      <c r="G603" s="326"/>
      <c r="H603" s="287">
        <f t="shared" ref="H603:H606" si="95">E603-B603</f>
        <v>0</v>
      </c>
      <c r="I603" s="287"/>
      <c r="J603" s="288">
        <v>235</v>
      </c>
      <c r="K603" s="288"/>
      <c r="L603" s="228" t="s">
        <v>233</v>
      </c>
    </row>
    <row r="604" spans="1:12">
      <c r="A604" s="231">
        <v>3</v>
      </c>
      <c r="B604" s="326">
        <v>18478</v>
      </c>
      <c r="C604" s="326"/>
      <c r="D604" s="326"/>
      <c r="E604" s="326">
        <v>18467</v>
      </c>
      <c r="F604" s="326"/>
      <c r="G604" s="326"/>
      <c r="H604" s="287">
        <f t="shared" si="95"/>
        <v>-11</v>
      </c>
      <c r="I604" s="287"/>
      <c r="J604" s="288">
        <v>183</v>
      </c>
      <c r="K604" s="288"/>
      <c r="L604" s="228" t="s">
        <v>233</v>
      </c>
    </row>
    <row r="605" spans="1:12">
      <c r="A605" s="231">
        <v>4</v>
      </c>
      <c r="B605" s="326">
        <v>16578</v>
      </c>
      <c r="C605" s="326"/>
      <c r="D605" s="326"/>
      <c r="E605" s="326">
        <v>16568</v>
      </c>
      <c r="F605" s="326"/>
      <c r="G605" s="326"/>
      <c r="H605" s="287">
        <f t="shared" si="95"/>
        <v>-10</v>
      </c>
      <c r="I605" s="287"/>
      <c r="J605" s="288">
        <v>131</v>
      </c>
      <c r="K605" s="288"/>
      <c r="L605" s="228" t="s">
        <v>233</v>
      </c>
    </row>
    <row r="606" spans="1:12">
      <c r="A606" s="231">
        <v>5</v>
      </c>
      <c r="B606" s="326">
        <v>14678</v>
      </c>
      <c r="C606" s="326"/>
      <c r="D606" s="326"/>
      <c r="E606" s="326">
        <v>14668</v>
      </c>
      <c r="F606" s="326"/>
      <c r="G606" s="326"/>
      <c r="H606" s="287">
        <f t="shared" si="95"/>
        <v>-10</v>
      </c>
      <c r="I606" s="287"/>
      <c r="J606" s="288">
        <v>79</v>
      </c>
      <c r="K606" s="288"/>
      <c r="L606" s="228" t="s">
        <v>233</v>
      </c>
    </row>
    <row r="607" spans="1:12" ht="14.45" customHeight="1">
      <c r="A607" s="231">
        <v>6</v>
      </c>
      <c r="B607" s="326">
        <v>13728</v>
      </c>
      <c r="C607" s="326"/>
      <c r="D607" s="326"/>
      <c r="E607" s="326">
        <v>13726</v>
      </c>
      <c r="F607" s="326"/>
      <c r="G607" s="326"/>
      <c r="H607" s="287">
        <f t="shared" ref="H607" si="96">E607-B607</f>
        <v>-2</v>
      </c>
      <c r="I607" s="287"/>
      <c r="J607" s="288">
        <v>53</v>
      </c>
      <c r="K607" s="288"/>
      <c r="L607" s="228" t="s">
        <v>233</v>
      </c>
    </row>
    <row r="608" spans="1:12" ht="14.45" customHeight="1" thickBot="1">
      <c r="A608" s="232">
        <v>7</v>
      </c>
      <c r="B608" s="327" t="s">
        <v>312</v>
      </c>
      <c r="C608" s="327"/>
      <c r="D608" s="327"/>
      <c r="E608" s="327">
        <v>12005</v>
      </c>
      <c r="F608" s="327"/>
      <c r="G608" s="327"/>
      <c r="H608" s="330" t="s">
        <v>42</v>
      </c>
      <c r="I608" s="330"/>
      <c r="J608" s="325">
        <v>6</v>
      </c>
      <c r="K608" s="325"/>
      <c r="L608" s="229" t="s">
        <v>233</v>
      </c>
    </row>
    <row r="609" spans="1:12" ht="15.75" hidden="1" thickBot="1">
      <c r="A609" s="317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</row>
    <row r="610" spans="1:12" ht="15.75" hidden="1" thickBot="1">
      <c r="A610" s="508" t="s">
        <v>180</v>
      </c>
      <c r="B610" s="509"/>
      <c r="C610" s="509"/>
      <c r="D610" s="510"/>
      <c r="E610" s="183" t="s">
        <v>181</v>
      </c>
      <c r="F610" s="183" t="s">
        <v>182</v>
      </c>
      <c r="G610" s="511" t="s">
        <v>183</v>
      </c>
      <c r="H610" s="512"/>
      <c r="I610" s="183" t="s">
        <v>184</v>
      </c>
      <c r="J610" s="184" t="s">
        <v>185</v>
      </c>
      <c r="K610" s="513" t="s">
        <v>186</v>
      </c>
      <c r="L610" s="514"/>
    </row>
    <row r="611" spans="1:12" ht="15.75" hidden="1" thickBot="1">
      <c r="A611" s="501" t="s">
        <v>187</v>
      </c>
      <c r="B611" s="502"/>
      <c r="C611" s="502"/>
      <c r="D611" s="503"/>
      <c r="E611" s="185">
        <v>4</v>
      </c>
      <c r="F611" s="186">
        <f>(H596-H349)-8</f>
        <v>10909.46</v>
      </c>
      <c r="G611" s="504">
        <v>2.0199999999999999E-2</v>
      </c>
      <c r="H611" s="505"/>
      <c r="I611" s="187">
        <f>G611*F611</f>
        <v>220.37109199999998</v>
      </c>
      <c r="J611" s="188">
        <f>I611/0.1188</f>
        <v>1854.9755218855216</v>
      </c>
      <c r="K611" s="506">
        <f>J611</f>
        <v>1854.9755218855216</v>
      </c>
      <c r="L611" s="507"/>
    </row>
    <row r="612" spans="1:12" ht="15.75" hidden="1" thickBot="1">
      <c r="A612" s="476" t="s">
        <v>188</v>
      </c>
      <c r="B612" s="477"/>
      <c r="C612" s="477"/>
      <c r="D612" s="478"/>
      <c r="E612" s="189">
        <v>3.25</v>
      </c>
      <c r="F612" s="190">
        <f>SUM(E318:E349)</f>
        <v>943.19000000000017</v>
      </c>
      <c r="G612" s="483">
        <v>1.03E-2</v>
      </c>
      <c r="H612" s="484"/>
      <c r="I612" s="191">
        <f>G612*F612</f>
        <v>9.7148570000000021</v>
      </c>
      <c r="J612" s="188">
        <f>I612/0.1188</f>
        <v>81.774890572390589</v>
      </c>
      <c r="K612" s="481">
        <f>J612+K611</f>
        <v>1936.7504124579123</v>
      </c>
      <c r="L612" s="482"/>
    </row>
    <row r="613" spans="1:12" ht="15.75" hidden="1" thickBot="1">
      <c r="A613" s="476" t="s">
        <v>189</v>
      </c>
      <c r="B613" s="477"/>
      <c r="C613" s="477"/>
      <c r="D613" s="478"/>
      <c r="E613" s="189" t="s">
        <v>42</v>
      </c>
      <c r="F613" s="190">
        <v>48.4</v>
      </c>
      <c r="G613" s="479" t="s">
        <v>42</v>
      </c>
      <c r="H613" s="480"/>
      <c r="I613" s="191">
        <v>0.38</v>
      </c>
      <c r="J613" s="188">
        <f>I613/0.1188</f>
        <v>3.1986531986531985</v>
      </c>
      <c r="K613" s="481">
        <f>J613+K612</f>
        <v>1939.9490656565654</v>
      </c>
      <c r="L613" s="482"/>
    </row>
    <row r="614" spans="1:12" ht="15.75" hidden="1" thickBot="1">
      <c r="A614" s="476" t="s">
        <v>190</v>
      </c>
      <c r="B614" s="477"/>
      <c r="C614" s="477"/>
      <c r="D614" s="478"/>
      <c r="E614" s="189">
        <v>6.25</v>
      </c>
      <c r="F614" s="190">
        <f>(H312-H21)</f>
        <v>9431.6799999999948</v>
      </c>
      <c r="G614" s="483">
        <f>(E614^2)/1029.4</f>
        <v>3.7946862249854281E-2</v>
      </c>
      <c r="H614" s="484"/>
      <c r="I614" s="191">
        <f>G614*F614</f>
        <v>357.90266174470543</v>
      </c>
      <c r="J614" s="188">
        <f>I614/0.1188</f>
        <v>3012.6486678847259</v>
      </c>
      <c r="K614" s="481">
        <f>J614+K613</f>
        <v>4952.5977335412917</v>
      </c>
      <c r="L614" s="482"/>
    </row>
    <row r="615" spans="1:12" ht="15.75" hidden="1" thickBot="1">
      <c r="A615" s="498" t="s">
        <v>191</v>
      </c>
      <c r="B615" s="499"/>
      <c r="C615" s="499"/>
      <c r="D615" s="500"/>
      <c r="E615" s="189">
        <v>6.25</v>
      </c>
      <c r="F615" s="190">
        <f>H21</f>
        <v>101.185</v>
      </c>
      <c r="G615" s="483">
        <f>(E615^2)/1029.4</f>
        <v>3.7946862249854281E-2</v>
      </c>
      <c r="H615" s="484"/>
      <c r="I615" s="191">
        <f>G615*F615</f>
        <v>3.8396532567515056</v>
      </c>
      <c r="J615" s="188">
        <f>I615/0.1188</f>
        <v>32.320313609019408</v>
      </c>
      <c r="K615" s="481">
        <f>J615+K614</f>
        <v>4984.9180471503114</v>
      </c>
      <c r="L615" s="482"/>
    </row>
    <row r="616" spans="1:12" ht="15.75" hidden="1" thickBot="1">
      <c r="A616" s="515" t="s">
        <v>192</v>
      </c>
      <c r="B616" s="516"/>
      <c r="C616" s="516"/>
      <c r="D616" s="516"/>
      <c r="E616" s="516"/>
      <c r="F616" s="516"/>
      <c r="G616" s="516"/>
      <c r="H616" s="517"/>
      <c r="I616" s="518">
        <f>SUM(I611:I613)</f>
        <v>230.46594899999997</v>
      </c>
      <c r="J616" s="519"/>
      <c r="K616" s="474">
        <f t="shared" ref="K616:K621" si="97">I616/0.1188</f>
        <v>1939.9490656565654</v>
      </c>
      <c r="L616" s="475"/>
    </row>
    <row r="617" spans="1:12" ht="15.75" hidden="1" thickBot="1">
      <c r="A617" s="491" t="s">
        <v>234</v>
      </c>
      <c r="B617" s="492"/>
      <c r="C617" s="492"/>
      <c r="D617" s="492"/>
      <c r="E617" s="492"/>
      <c r="F617" s="492"/>
      <c r="G617" s="492"/>
      <c r="H617" s="493"/>
      <c r="I617" s="494">
        <f>SUM(I611:I615)</f>
        <v>592.20826400145688</v>
      </c>
      <c r="J617" s="495"/>
      <c r="K617" s="496">
        <f t="shared" si="97"/>
        <v>4984.9180471503105</v>
      </c>
      <c r="L617" s="497"/>
    </row>
    <row r="618" spans="1:12" ht="15.75" hidden="1" thickBot="1">
      <c r="A618" s="491" t="s">
        <v>193</v>
      </c>
      <c r="B618" s="492"/>
      <c r="C618" s="492"/>
      <c r="D618" s="492"/>
      <c r="E618" s="492"/>
      <c r="F618" s="492"/>
      <c r="G618" s="492"/>
      <c r="H618" s="493"/>
      <c r="I618" s="494">
        <f>SUM(I611:I614)</f>
        <v>588.36861074470539</v>
      </c>
      <c r="J618" s="495"/>
      <c r="K618" s="496">
        <f t="shared" si="97"/>
        <v>4952.5977335412908</v>
      </c>
      <c r="L618" s="497"/>
    </row>
    <row r="619" spans="1:12" ht="15.75" hidden="1" thickBot="1">
      <c r="A619" s="491" t="s">
        <v>194</v>
      </c>
      <c r="B619" s="492"/>
      <c r="C619" s="492"/>
      <c r="D619" s="492"/>
      <c r="E619" s="492"/>
      <c r="F619" s="492"/>
      <c r="G619" s="492"/>
      <c r="H619" s="493"/>
      <c r="I619" s="494">
        <f>I615/2</f>
        <v>1.9198266283757528</v>
      </c>
      <c r="J619" s="495"/>
      <c r="K619" s="496">
        <f t="shared" si="97"/>
        <v>16.160156804509704</v>
      </c>
      <c r="L619" s="497"/>
    </row>
    <row r="620" spans="1:12" ht="15.75" hidden="1" thickBot="1">
      <c r="A620" s="491" t="s">
        <v>195</v>
      </c>
      <c r="B620" s="492"/>
      <c r="C620" s="492"/>
      <c r="D620" s="492"/>
      <c r="E620" s="492"/>
      <c r="F620" s="492"/>
      <c r="G620" s="492"/>
      <c r="H620" s="493"/>
      <c r="I620" s="494">
        <f>(I618+I619)*2500*2.5/1000000</f>
        <v>3.6893027335817572</v>
      </c>
      <c r="J620" s="495"/>
      <c r="K620" s="496">
        <f t="shared" si="97"/>
        <v>31.054736814661254</v>
      </c>
      <c r="L620" s="497"/>
    </row>
    <row r="621" spans="1:12" ht="15.75" hidden="1" thickBot="1">
      <c r="A621" s="471" t="s">
        <v>196</v>
      </c>
      <c r="B621" s="472"/>
      <c r="C621" s="472"/>
      <c r="D621" s="472"/>
      <c r="E621" s="472"/>
      <c r="F621" s="472"/>
      <c r="G621" s="472"/>
      <c r="H621" s="473"/>
      <c r="I621" s="494">
        <f>SUM(I618:J620)</f>
        <v>593.97774010666285</v>
      </c>
      <c r="J621" s="495"/>
      <c r="K621" s="496">
        <f t="shared" si="97"/>
        <v>4999.8126271604615</v>
      </c>
      <c r="L621" s="497"/>
    </row>
    <row r="622" spans="1:12">
      <c r="A622" s="1"/>
      <c r="B622" s="1"/>
      <c r="C622" s="12"/>
      <c r="D622" s="1"/>
      <c r="E622" s="1"/>
      <c r="F622" s="1"/>
      <c r="G622" s="1"/>
      <c r="H622" s="1"/>
      <c r="I622" s="1"/>
      <c r="J622" s="1"/>
      <c r="K622" s="1"/>
    </row>
    <row r="623" spans="1:12">
      <c r="A623" s="1"/>
      <c r="B623" s="1"/>
      <c r="C623" s="12"/>
      <c r="D623" s="1"/>
      <c r="E623" s="1"/>
      <c r="F623" s="1"/>
      <c r="G623" s="1"/>
      <c r="H623" s="1"/>
      <c r="I623" s="1"/>
      <c r="J623" s="1"/>
      <c r="K623" s="1"/>
    </row>
    <row r="624" spans="1:12">
      <c r="A624" s="1"/>
      <c r="B624" s="1"/>
      <c r="C624" s="12"/>
      <c r="D624" s="1"/>
      <c r="E624" s="1"/>
      <c r="F624" s="1"/>
      <c r="G624" s="1"/>
      <c r="H624" s="1"/>
      <c r="I624" s="1"/>
      <c r="J624" s="1"/>
      <c r="K624" s="1"/>
    </row>
    <row r="625" spans="1:11">
      <c r="A625" s="1"/>
      <c r="B625" s="1"/>
      <c r="C625" s="12"/>
      <c r="D625" s="1"/>
      <c r="E625" s="1"/>
      <c r="F625" s="1"/>
      <c r="G625" s="1"/>
      <c r="H625" s="1"/>
      <c r="I625" s="1"/>
      <c r="J625" s="1"/>
      <c r="K625" s="1"/>
    </row>
    <row r="626" spans="1:11">
      <c r="A626" s="1"/>
    </row>
    <row r="647" spans="13:15">
      <c r="M647" s="9"/>
      <c r="N647" s="9"/>
      <c r="O647" s="9"/>
    </row>
    <row r="652" spans="13:15">
      <c r="M652" s="75"/>
      <c r="N652"/>
      <c r="O652"/>
    </row>
  </sheetData>
  <mergeCells count="1080">
    <mergeCell ref="K94:L94"/>
    <mergeCell ref="K115:L115"/>
    <mergeCell ref="K28:L28"/>
    <mergeCell ref="K31:L31"/>
    <mergeCell ref="K32:L32"/>
    <mergeCell ref="K33:L33"/>
    <mergeCell ref="K44:L44"/>
    <mergeCell ref="K45:L45"/>
    <mergeCell ref="K46:L46"/>
    <mergeCell ref="K265:L265"/>
    <mergeCell ref="K84:L84"/>
    <mergeCell ref="K85:L85"/>
    <mergeCell ref="K138:L138"/>
    <mergeCell ref="K137:L137"/>
    <mergeCell ref="K190:L190"/>
    <mergeCell ref="K191:L191"/>
    <mergeCell ref="K153:L153"/>
    <mergeCell ref="K206:L206"/>
    <mergeCell ref="K90:L90"/>
    <mergeCell ref="K163:L163"/>
    <mergeCell ref="K164:L164"/>
    <mergeCell ref="K165:L165"/>
    <mergeCell ref="K112:L112"/>
    <mergeCell ref="K130:L130"/>
    <mergeCell ref="K92:L92"/>
    <mergeCell ref="A347:A349"/>
    <mergeCell ref="A344:A346"/>
    <mergeCell ref="A341:A343"/>
    <mergeCell ref="A338:A340"/>
    <mergeCell ref="A335:A337"/>
    <mergeCell ref="A332:A334"/>
    <mergeCell ref="A323:A325"/>
    <mergeCell ref="A326:A328"/>
    <mergeCell ref="A329:A331"/>
    <mergeCell ref="K108:L108"/>
    <mergeCell ref="K109:L109"/>
    <mergeCell ref="C155:D155"/>
    <mergeCell ref="K294:L294"/>
    <mergeCell ref="K231:L231"/>
    <mergeCell ref="K232:L232"/>
    <mergeCell ref="K233:L233"/>
    <mergeCell ref="K328:L328"/>
    <mergeCell ref="K245:L245"/>
    <mergeCell ref="K250:L250"/>
    <mergeCell ref="K251:L251"/>
    <mergeCell ref="K252:L252"/>
    <mergeCell ref="K279:L279"/>
    <mergeCell ref="C208:D208"/>
    <mergeCell ref="K286:L286"/>
    <mergeCell ref="K287:L287"/>
    <mergeCell ref="K288:L288"/>
    <mergeCell ref="K142:L142"/>
    <mergeCell ref="K149:L149"/>
    <mergeCell ref="K151:L151"/>
    <mergeCell ref="K154:L154"/>
    <mergeCell ref="K159:L159"/>
    <mergeCell ref="K207:L207"/>
    <mergeCell ref="I621:J621"/>
    <mergeCell ref="K621:L621"/>
    <mergeCell ref="K213:L213"/>
    <mergeCell ref="K240:L240"/>
    <mergeCell ref="K220:L220"/>
    <mergeCell ref="K205:L205"/>
    <mergeCell ref="K486:L486"/>
    <mergeCell ref="K488:L488"/>
    <mergeCell ref="K489:L489"/>
    <mergeCell ref="K473:L473"/>
    <mergeCell ref="K456:L456"/>
    <mergeCell ref="K485:L485"/>
    <mergeCell ref="K475:L475"/>
    <mergeCell ref="K478:L478"/>
    <mergeCell ref="K477:L477"/>
    <mergeCell ref="K148:L148"/>
    <mergeCell ref="K132:L132"/>
    <mergeCell ref="K458:L458"/>
    <mergeCell ref="K133:L133"/>
    <mergeCell ref="K139:L139"/>
    <mergeCell ref="K239:L239"/>
    <mergeCell ref="K171:L171"/>
    <mergeCell ref="K172:L172"/>
    <mergeCell ref="K145:L145"/>
    <mergeCell ref="K234:L234"/>
    <mergeCell ref="K296:L296"/>
    <mergeCell ref="A620:H620"/>
    <mergeCell ref="I620:J620"/>
    <mergeCell ref="K620:L620"/>
    <mergeCell ref="A611:D611"/>
    <mergeCell ref="G611:H611"/>
    <mergeCell ref="K611:L611"/>
    <mergeCell ref="A612:D612"/>
    <mergeCell ref="G612:H612"/>
    <mergeCell ref="K612:L612"/>
    <mergeCell ref="A610:D610"/>
    <mergeCell ref="G610:H610"/>
    <mergeCell ref="K610:L610"/>
    <mergeCell ref="G615:H615"/>
    <mergeCell ref="K615:L615"/>
    <mergeCell ref="A616:H616"/>
    <mergeCell ref="I616:J616"/>
    <mergeCell ref="K492:L492"/>
    <mergeCell ref="K503:L503"/>
    <mergeCell ref="M305:N305"/>
    <mergeCell ref="M319:M320"/>
    <mergeCell ref="N319:N320"/>
    <mergeCell ref="K319:L319"/>
    <mergeCell ref="K320:L320"/>
    <mergeCell ref="K353:L353"/>
    <mergeCell ref="K354:L354"/>
    <mergeCell ref="K355:L355"/>
    <mergeCell ref="K356:L356"/>
    <mergeCell ref="K352:L352"/>
    <mergeCell ref="K440:L440"/>
    <mergeCell ref="K439:L439"/>
    <mergeCell ref="K431:L431"/>
    <mergeCell ref="B467:D467"/>
    <mergeCell ref="B429:D429"/>
    <mergeCell ref="B430:D430"/>
    <mergeCell ref="K360:L360"/>
    <mergeCell ref="K421:L421"/>
    <mergeCell ref="K422:L422"/>
    <mergeCell ref="K403:L403"/>
    <mergeCell ref="K212:L212"/>
    <mergeCell ref="K192:L192"/>
    <mergeCell ref="K219:L219"/>
    <mergeCell ref="K260:L260"/>
    <mergeCell ref="K261:L261"/>
    <mergeCell ref="K262:L262"/>
    <mergeCell ref="K185:L185"/>
    <mergeCell ref="K241:L241"/>
    <mergeCell ref="K202:L202"/>
    <mergeCell ref="A621:H621"/>
    <mergeCell ref="K616:L616"/>
    <mergeCell ref="A613:D613"/>
    <mergeCell ref="G613:H613"/>
    <mergeCell ref="K613:L613"/>
    <mergeCell ref="A614:D614"/>
    <mergeCell ref="G614:H614"/>
    <mergeCell ref="K614:L614"/>
    <mergeCell ref="K480:L480"/>
    <mergeCell ref="K484:L484"/>
    <mergeCell ref="K592:L592"/>
    <mergeCell ref="K497:L497"/>
    <mergeCell ref="K498:L498"/>
    <mergeCell ref="A617:H617"/>
    <mergeCell ref="I617:J617"/>
    <mergeCell ref="K617:L617"/>
    <mergeCell ref="A618:H618"/>
    <mergeCell ref="I618:J618"/>
    <mergeCell ref="K618:L618"/>
    <mergeCell ref="K619:L619"/>
    <mergeCell ref="A615:D615"/>
    <mergeCell ref="A619:H619"/>
    <mergeCell ref="I619:J619"/>
    <mergeCell ref="K39:L39"/>
    <mergeCell ref="K40:L40"/>
    <mergeCell ref="K41:L41"/>
    <mergeCell ref="K42:L42"/>
    <mergeCell ref="K186:L186"/>
    <mergeCell ref="K152:L152"/>
    <mergeCell ref="K128:L128"/>
    <mergeCell ref="K17:L17"/>
    <mergeCell ref="K18:L18"/>
    <mergeCell ref="K72:L72"/>
    <mergeCell ref="K73:L73"/>
    <mergeCell ref="K182:L182"/>
    <mergeCell ref="K166:L166"/>
    <mergeCell ref="K59:L59"/>
    <mergeCell ref="K62:L62"/>
    <mergeCell ref="K169:L169"/>
    <mergeCell ref="K170:L170"/>
    <mergeCell ref="K180:L180"/>
    <mergeCell ref="K176:L176"/>
    <mergeCell ref="K96:L96"/>
    <mergeCell ref="K125:L125"/>
    <mergeCell ref="K126:L126"/>
    <mergeCell ref="K102:L102"/>
    <mergeCell ref="K124:L124"/>
    <mergeCell ref="K113:L113"/>
    <mergeCell ref="K106:L106"/>
    <mergeCell ref="K107:L107"/>
    <mergeCell ref="K93:L93"/>
    <mergeCell ref="K117:L117"/>
    <mergeCell ref="K118:L118"/>
    <mergeCell ref="K58:L58"/>
    <mergeCell ref="K101:L101"/>
    <mergeCell ref="A15:A16"/>
    <mergeCell ref="C17:D17"/>
    <mergeCell ref="B13:C13"/>
    <mergeCell ref="K13:L14"/>
    <mergeCell ref="K161:L161"/>
    <mergeCell ref="K100:L100"/>
    <mergeCell ref="C16:D16"/>
    <mergeCell ref="K177:L177"/>
    <mergeCell ref="K178:L178"/>
    <mergeCell ref="C18:D18"/>
    <mergeCell ref="C19:D19"/>
    <mergeCell ref="C15:D15"/>
    <mergeCell ref="K89:L89"/>
    <mergeCell ref="K167:L167"/>
    <mergeCell ref="K168:L168"/>
    <mergeCell ref="K141:L141"/>
    <mergeCell ref="K15:L15"/>
    <mergeCell ref="K16:L16"/>
    <mergeCell ref="K34:L34"/>
    <mergeCell ref="K35:L35"/>
    <mergeCell ref="K36:L36"/>
    <mergeCell ref="K37:L37"/>
    <mergeCell ref="K140:L140"/>
    <mergeCell ref="K61:L61"/>
    <mergeCell ref="K63:L63"/>
    <mergeCell ref="K156:L156"/>
    <mergeCell ref="K155:L155"/>
    <mergeCell ref="K147:L147"/>
    <mergeCell ref="A17:A19"/>
    <mergeCell ref="K103:L103"/>
    <mergeCell ref="K150:L150"/>
    <mergeCell ref="K144:L144"/>
    <mergeCell ref="K38:L38"/>
    <mergeCell ref="K60:L60"/>
    <mergeCell ref="K472:L472"/>
    <mergeCell ref="B461:D461"/>
    <mergeCell ref="B475:D475"/>
    <mergeCell ref="B476:D476"/>
    <mergeCell ref="K114:L114"/>
    <mergeCell ref="K179:L179"/>
    <mergeCell ref="K122:L122"/>
    <mergeCell ref="K123:L123"/>
    <mergeCell ref="B504:D504"/>
    <mergeCell ref="B493:D493"/>
    <mergeCell ref="B452:D452"/>
    <mergeCell ref="B453:D453"/>
    <mergeCell ref="B464:D464"/>
    <mergeCell ref="B465:D465"/>
    <mergeCell ref="B455:D455"/>
    <mergeCell ref="K226:L226"/>
    <mergeCell ref="K318:L318"/>
    <mergeCell ref="K323:L323"/>
    <mergeCell ref="K327:L327"/>
    <mergeCell ref="K253:L253"/>
    <mergeCell ref="K446:L446"/>
    <mergeCell ref="K447:L447"/>
    <mergeCell ref="K448:L448"/>
    <mergeCell ref="K464:L464"/>
    <mergeCell ref="K465:L465"/>
    <mergeCell ref="K451:L451"/>
    <mergeCell ref="K462:L462"/>
    <mergeCell ref="K463:L463"/>
    <mergeCell ref="K474:L474"/>
    <mergeCell ref="K470:L470"/>
    <mergeCell ref="K493:L493"/>
    <mergeCell ref="K495:L495"/>
    <mergeCell ref="K496:L496"/>
    <mergeCell ref="K502:L502"/>
    <mergeCell ref="K487:L487"/>
    <mergeCell ref="K476:L476"/>
    <mergeCell ref="K450:L450"/>
    <mergeCell ref="K449:L449"/>
    <mergeCell ref="K466:L466"/>
    <mergeCell ref="B456:D456"/>
    <mergeCell ref="K423:L423"/>
    <mergeCell ref="B444:D444"/>
    <mergeCell ref="B446:D446"/>
    <mergeCell ref="B447:D447"/>
    <mergeCell ref="B445:D445"/>
    <mergeCell ref="B460:D460"/>
    <mergeCell ref="B477:D477"/>
    <mergeCell ref="K442:L442"/>
    <mergeCell ref="K443:L443"/>
    <mergeCell ref="K494:L494"/>
    <mergeCell ref="K501:L501"/>
    <mergeCell ref="K483:L483"/>
    <mergeCell ref="B502:D502"/>
    <mergeCell ref="B499:D499"/>
    <mergeCell ref="B495:D495"/>
    <mergeCell ref="B496:D496"/>
    <mergeCell ref="B497:D497"/>
    <mergeCell ref="K490:L490"/>
    <mergeCell ref="K481:L481"/>
    <mergeCell ref="K482:L482"/>
    <mergeCell ref="B501:D501"/>
    <mergeCell ref="B486:D486"/>
    <mergeCell ref="K435:L435"/>
    <mergeCell ref="K436:L436"/>
    <mergeCell ref="K433:L433"/>
    <mergeCell ref="B448:D448"/>
    <mergeCell ref="B435:D435"/>
    <mergeCell ref="B436:D436"/>
    <mergeCell ref="B437:D437"/>
    <mergeCell ref="B431:D431"/>
    <mergeCell ref="B434:D434"/>
    <mergeCell ref="B438:D438"/>
    <mergeCell ref="K437:L437"/>
    <mergeCell ref="B451:D451"/>
    <mergeCell ref="B439:D439"/>
    <mergeCell ref="B440:D440"/>
    <mergeCell ref="B441:D441"/>
    <mergeCell ref="B442:D442"/>
    <mergeCell ref="B443:D443"/>
    <mergeCell ref="B463:D463"/>
    <mergeCell ref="B457:D457"/>
    <mergeCell ref="K444:L444"/>
    <mergeCell ref="K445:L445"/>
    <mergeCell ref="B458:D458"/>
    <mergeCell ref="B459:D459"/>
    <mergeCell ref="B449:D449"/>
    <mergeCell ref="B450:D450"/>
    <mergeCell ref="K438:L438"/>
    <mergeCell ref="K471:L471"/>
    <mergeCell ref="K460:L460"/>
    <mergeCell ref="K491:L491"/>
    <mergeCell ref="B498:D498"/>
    <mergeCell ref="K589:L589"/>
    <mergeCell ref="K499:L499"/>
    <mergeCell ref="K453:L453"/>
    <mergeCell ref="K441:L441"/>
    <mergeCell ref="K459:L459"/>
    <mergeCell ref="K500:L500"/>
    <mergeCell ref="B505:D505"/>
    <mergeCell ref="K504:L504"/>
    <mergeCell ref="K467:L467"/>
    <mergeCell ref="B470:D470"/>
    <mergeCell ref="B479:D479"/>
    <mergeCell ref="B471:D471"/>
    <mergeCell ref="B472:D472"/>
    <mergeCell ref="K452:L452"/>
    <mergeCell ref="K461:L461"/>
    <mergeCell ref="K457:L457"/>
    <mergeCell ref="K455:L455"/>
    <mergeCell ref="K468:L468"/>
    <mergeCell ref="K469:L469"/>
    <mergeCell ref="B462:D462"/>
    <mergeCell ref="B503:D503"/>
    <mergeCell ref="K454:L454"/>
    <mergeCell ref="B454:D454"/>
    <mergeCell ref="K479:L479"/>
    <mergeCell ref="K545:L545"/>
    <mergeCell ref="K529:L529"/>
    <mergeCell ref="K576:L576"/>
    <mergeCell ref="B577:D577"/>
    <mergeCell ref="K577:L577"/>
    <mergeCell ref="K508:L508"/>
    <mergeCell ref="B509:D509"/>
    <mergeCell ref="K509:L509"/>
    <mergeCell ref="K418:L418"/>
    <mergeCell ref="K434:L434"/>
    <mergeCell ref="K412:L412"/>
    <mergeCell ref="K410:L410"/>
    <mergeCell ref="K428:L428"/>
    <mergeCell ref="B414:D414"/>
    <mergeCell ref="B419:D419"/>
    <mergeCell ref="B420:D420"/>
    <mergeCell ref="B433:D433"/>
    <mergeCell ref="K408:L408"/>
    <mergeCell ref="K409:L409"/>
    <mergeCell ref="K429:L429"/>
    <mergeCell ref="K419:L419"/>
    <mergeCell ref="B421:D421"/>
    <mergeCell ref="K430:L430"/>
    <mergeCell ref="K424:L424"/>
    <mergeCell ref="K425:L425"/>
    <mergeCell ref="K427:L427"/>
    <mergeCell ref="B321:D321"/>
    <mergeCell ref="B322:D322"/>
    <mergeCell ref="B320:D320"/>
    <mergeCell ref="B340:D340"/>
    <mergeCell ref="B400:D400"/>
    <mergeCell ref="B384:D384"/>
    <mergeCell ref="K385:L385"/>
    <mergeCell ref="K394:L394"/>
    <mergeCell ref="K398:L398"/>
    <mergeCell ref="K399:L399"/>
    <mergeCell ref="K397:L397"/>
    <mergeCell ref="K396:L396"/>
    <mergeCell ref="K406:L406"/>
    <mergeCell ref="K400:L400"/>
    <mergeCell ref="B386:D386"/>
    <mergeCell ref="B387:D387"/>
    <mergeCell ref="B388:D388"/>
    <mergeCell ref="B385:D385"/>
    <mergeCell ref="B395:D395"/>
    <mergeCell ref="B396:D396"/>
    <mergeCell ref="B392:D392"/>
    <mergeCell ref="B399:D399"/>
    <mergeCell ref="K392:L392"/>
    <mergeCell ref="K393:L393"/>
    <mergeCell ref="K401:L401"/>
    <mergeCell ref="K402:L402"/>
    <mergeCell ref="B390:D390"/>
    <mergeCell ref="B391:D391"/>
    <mergeCell ref="B398:D398"/>
    <mergeCell ref="B393:D393"/>
    <mergeCell ref="B394:D394"/>
    <mergeCell ref="B405:D405"/>
    <mergeCell ref="B362:D362"/>
    <mergeCell ref="B363:D363"/>
    <mergeCell ref="B364:D364"/>
    <mergeCell ref="B376:D376"/>
    <mergeCell ref="B377:D377"/>
    <mergeCell ref="B356:D356"/>
    <mergeCell ref="B375:D375"/>
    <mergeCell ref="B374:D374"/>
    <mergeCell ref="B337:D337"/>
    <mergeCell ref="B338:D338"/>
    <mergeCell ref="B346:D346"/>
    <mergeCell ref="B347:D347"/>
    <mergeCell ref="K390:L390"/>
    <mergeCell ref="K383:L383"/>
    <mergeCell ref="K384:L384"/>
    <mergeCell ref="K381:L381"/>
    <mergeCell ref="K350:L350"/>
    <mergeCell ref="B342:D342"/>
    <mergeCell ref="B343:D343"/>
    <mergeCell ref="K339:L339"/>
    <mergeCell ref="K340:L340"/>
    <mergeCell ref="B339:D339"/>
    <mergeCell ref="K342:L342"/>
    <mergeCell ref="K341:L341"/>
    <mergeCell ref="K349:L349"/>
    <mergeCell ref="K367:L367"/>
    <mergeCell ref="B345:D345"/>
    <mergeCell ref="B350:D350"/>
    <mergeCell ref="B382:D382"/>
    <mergeCell ref="B380:D380"/>
    <mergeCell ref="K375:L375"/>
    <mergeCell ref="K359:L359"/>
    <mergeCell ref="K362:L362"/>
    <mergeCell ref="K363:L363"/>
    <mergeCell ref="K377:L377"/>
    <mergeCell ref="K378:L378"/>
    <mergeCell ref="K314:L314"/>
    <mergeCell ref="K254:L254"/>
    <mergeCell ref="K283:L283"/>
    <mergeCell ref="K368:L368"/>
    <mergeCell ref="K369:L369"/>
    <mergeCell ref="K366:L366"/>
    <mergeCell ref="K209:L209"/>
    <mergeCell ref="K235:L235"/>
    <mergeCell ref="K228:L228"/>
    <mergeCell ref="K230:L230"/>
    <mergeCell ref="K203:L203"/>
    <mergeCell ref="K263:L263"/>
    <mergeCell ref="K266:L266"/>
    <mergeCell ref="K343:L343"/>
    <mergeCell ref="K301:L301"/>
    <mergeCell ref="K275:L275"/>
    <mergeCell ref="K351:L351"/>
    <mergeCell ref="K348:L348"/>
    <mergeCell ref="K347:L347"/>
    <mergeCell ref="K344:L344"/>
    <mergeCell ref="K345:L345"/>
    <mergeCell ref="K346:L346"/>
    <mergeCell ref="K306:L306"/>
    <mergeCell ref="K276:L276"/>
    <mergeCell ref="K312:L312"/>
    <mergeCell ref="K313:L313"/>
    <mergeCell ref="K267:L267"/>
    <mergeCell ref="K268:L268"/>
    <mergeCell ref="K357:L357"/>
    <mergeCell ref="K358:L358"/>
    <mergeCell ref="K91:L91"/>
    <mergeCell ref="K181:L181"/>
    <mergeCell ref="K216:L216"/>
    <mergeCell ref="K258:L258"/>
    <mergeCell ref="K217:L217"/>
    <mergeCell ref="K223:L223"/>
    <mergeCell ref="K242:L242"/>
    <mergeCell ref="K255:L255"/>
    <mergeCell ref="K259:L259"/>
    <mergeCell ref="K229:L229"/>
    <mergeCell ref="K225:L225"/>
    <mergeCell ref="K224:L224"/>
    <mergeCell ref="K218:L218"/>
    <mergeCell ref="K222:L222"/>
    <mergeCell ref="K247:L247"/>
    <mergeCell ref="K307:L307"/>
    <mergeCell ref="K308:L308"/>
    <mergeCell ref="K95:L95"/>
    <mergeCell ref="K277:L277"/>
    <mergeCell ref="K278:L278"/>
    <mergeCell ref="K280:L280"/>
    <mergeCell ref="K246:L246"/>
    <mergeCell ref="K162:L162"/>
    <mergeCell ref="K121:L121"/>
    <mergeCell ref="K98:L98"/>
    <mergeCell ref="K99:L99"/>
    <mergeCell ref="K110:L110"/>
    <mergeCell ref="K111:L111"/>
    <mergeCell ref="K196:L196"/>
    <mergeCell ref="K116:L116"/>
    <mergeCell ref="K81:L81"/>
    <mergeCell ref="K82:L82"/>
    <mergeCell ref="K83:L83"/>
    <mergeCell ref="K74:L74"/>
    <mergeCell ref="C49:D49"/>
    <mergeCell ref="K48:L48"/>
    <mergeCell ref="K146:L146"/>
    <mergeCell ref="K143:L143"/>
    <mergeCell ref="K131:L131"/>
    <mergeCell ref="K119:L119"/>
    <mergeCell ref="K120:L120"/>
    <mergeCell ref="K298:L298"/>
    <mergeCell ref="K299:L299"/>
    <mergeCell ref="K300:L300"/>
    <mergeCell ref="K214:L214"/>
    <mergeCell ref="K221:L221"/>
    <mergeCell ref="K215:L215"/>
    <mergeCell ref="K64:L64"/>
    <mergeCell ref="K183:L183"/>
    <mergeCell ref="K201:L201"/>
    <mergeCell ref="K199:L199"/>
    <mergeCell ref="K197:L197"/>
    <mergeCell ref="K160:L160"/>
    <mergeCell ref="K77:L77"/>
    <mergeCell ref="K78:L78"/>
    <mergeCell ref="K270:L270"/>
    <mergeCell ref="K208:L208"/>
    <mergeCell ref="K193:L193"/>
    <mergeCell ref="K194:L194"/>
    <mergeCell ref="K195:L195"/>
    <mergeCell ref="K198:L198"/>
    <mergeCell ref="K200:L200"/>
    <mergeCell ref="K104:L105"/>
    <mergeCell ref="K80:L80"/>
    <mergeCell ref="K302:L302"/>
    <mergeCell ref="K273:L273"/>
    <mergeCell ref="K297:L297"/>
    <mergeCell ref="K97:L97"/>
    <mergeCell ref="A20:A22"/>
    <mergeCell ref="C20:D20"/>
    <mergeCell ref="K20:L22"/>
    <mergeCell ref="C21:D21"/>
    <mergeCell ref="C22:D22"/>
    <mergeCell ref="K87:L87"/>
    <mergeCell ref="K88:L88"/>
    <mergeCell ref="K29:L29"/>
    <mergeCell ref="K23:L23"/>
    <mergeCell ref="K75:L75"/>
    <mergeCell ref="K86:L86"/>
    <mergeCell ref="K76:L76"/>
    <mergeCell ref="K24:L24"/>
    <mergeCell ref="C23:D23"/>
    <mergeCell ref="K49:L49"/>
    <mergeCell ref="K66:L66"/>
    <mergeCell ref="K67:L67"/>
    <mergeCell ref="K71:L71"/>
    <mergeCell ref="K70:L70"/>
    <mergeCell ref="K69:L69"/>
    <mergeCell ref="K68:L68"/>
    <mergeCell ref="K53:L53"/>
    <mergeCell ref="K43:L43"/>
    <mergeCell ref="K65:L65"/>
    <mergeCell ref="K25:L26"/>
    <mergeCell ref="K51:L52"/>
    <mergeCell ref="B330:D330"/>
    <mergeCell ref="B319:D319"/>
    <mergeCell ref="K337:L337"/>
    <mergeCell ref="B351:D351"/>
    <mergeCell ref="B341:D341"/>
    <mergeCell ref="B344:D344"/>
    <mergeCell ref="K127:L127"/>
    <mergeCell ref="K129:L129"/>
    <mergeCell ref="K79:L79"/>
    <mergeCell ref="K184:L184"/>
    <mergeCell ref="K303:L303"/>
    <mergeCell ref="K304:L304"/>
    <mergeCell ref="K305:L305"/>
    <mergeCell ref="K289:L289"/>
    <mergeCell ref="K281:L281"/>
    <mergeCell ref="K282:L282"/>
    <mergeCell ref="K274:L274"/>
    <mergeCell ref="K291:L291"/>
    <mergeCell ref="K271:L271"/>
    <mergeCell ref="K272:L272"/>
    <mergeCell ref="K248:L248"/>
    <mergeCell ref="K249:L249"/>
    <mergeCell ref="K295:L295"/>
    <mergeCell ref="K256:L256"/>
    <mergeCell ref="K257:L257"/>
    <mergeCell ref="K290:L290"/>
    <mergeCell ref="K173:L173"/>
    <mergeCell ref="K174:L174"/>
    <mergeCell ref="K175:L175"/>
    <mergeCell ref="K204:L204"/>
    <mergeCell ref="K269:L269"/>
    <mergeCell ref="K264:L264"/>
    <mergeCell ref="B354:D354"/>
    <mergeCell ref="B368:D368"/>
    <mergeCell ref="B369:D369"/>
    <mergeCell ref="B348:D348"/>
    <mergeCell ref="B349:D349"/>
    <mergeCell ref="K364:L364"/>
    <mergeCell ref="C236:D236"/>
    <mergeCell ref="K309:L309"/>
    <mergeCell ref="K310:L310"/>
    <mergeCell ref="K311:L311"/>
    <mergeCell ref="B318:C318"/>
    <mergeCell ref="B331:D331"/>
    <mergeCell ref="B332:D332"/>
    <mergeCell ref="B355:D355"/>
    <mergeCell ref="B353:D353"/>
    <mergeCell ref="B327:D327"/>
    <mergeCell ref="K326:L326"/>
    <mergeCell ref="K332:L332"/>
    <mergeCell ref="B329:D329"/>
    <mergeCell ref="B334:D334"/>
    <mergeCell ref="B335:D335"/>
    <mergeCell ref="K330:L330"/>
    <mergeCell ref="K361:L361"/>
    <mergeCell ref="B323:D323"/>
    <mergeCell ref="B324:D324"/>
    <mergeCell ref="B325:D325"/>
    <mergeCell ref="B326:D326"/>
    <mergeCell ref="B328:D328"/>
    <mergeCell ref="K331:L331"/>
    <mergeCell ref="B352:D352"/>
    <mergeCell ref="B358:D358"/>
    <mergeCell ref="K329:L329"/>
    <mergeCell ref="B423:D423"/>
    <mergeCell ref="K414:L414"/>
    <mergeCell ref="K420:L420"/>
    <mergeCell ref="K426:L426"/>
    <mergeCell ref="K432:L432"/>
    <mergeCell ref="A404:A405"/>
    <mergeCell ref="K336:L336"/>
    <mergeCell ref="A312:A318"/>
    <mergeCell ref="K371:L371"/>
    <mergeCell ref="B361:D361"/>
    <mergeCell ref="B357:D357"/>
    <mergeCell ref="B359:D359"/>
    <mergeCell ref="B360:D360"/>
    <mergeCell ref="B370:D370"/>
    <mergeCell ref="B317:D317"/>
    <mergeCell ref="B312:D312"/>
    <mergeCell ref="B313:D313"/>
    <mergeCell ref="B314:D314"/>
    <mergeCell ref="B315:D315"/>
    <mergeCell ref="B316:D316"/>
    <mergeCell ref="B365:D365"/>
    <mergeCell ref="B366:D366"/>
    <mergeCell ref="B367:D367"/>
    <mergeCell ref="A350:A351"/>
    <mergeCell ref="B371:D371"/>
    <mergeCell ref="K333:L333"/>
    <mergeCell ref="K334:L334"/>
    <mergeCell ref="K335:L335"/>
    <mergeCell ref="K365:L365"/>
    <mergeCell ref="B333:D333"/>
    <mergeCell ref="B336:D336"/>
    <mergeCell ref="K370:L370"/>
    <mergeCell ref="K395:L395"/>
    <mergeCell ref="K391:L391"/>
    <mergeCell ref="B373:D373"/>
    <mergeCell ref="B381:D381"/>
    <mergeCell ref="B389:D389"/>
    <mergeCell ref="B409:D409"/>
    <mergeCell ref="A410:A411"/>
    <mergeCell ref="A412:A413"/>
    <mergeCell ref="A414:A415"/>
    <mergeCell ref="A416:A417"/>
    <mergeCell ref="A418:A419"/>
    <mergeCell ref="A400:A401"/>
    <mergeCell ref="A402:A403"/>
    <mergeCell ref="B383:D383"/>
    <mergeCell ref="K386:L386"/>
    <mergeCell ref="K387:L387"/>
    <mergeCell ref="K388:L388"/>
    <mergeCell ref="K389:L389"/>
    <mergeCell ref="B379:D379"/>
    <mergeCell ref="B378:D378"/>
    <mergeCell ref="B406:D406"/>
    <mergeCell ref="K404:L404"/>
    <mergeCell ref="K405:L405"/>
    <mergeCell ref="K407:L407"/>
    <mergeCell ref="K379:L379"/>
    <mergeCell ref="B418:D418"/>
    <mergeCell ref="B413:D413"/>
    <mergeCell ref="B404:D404"/>
    <mergeCell ref="K417:L417"/>
    <mergeCell ref="K415:L415"/>
    <mergeCell ref="K413:L413"/>
    <mergeCell ref="K416:L416"/>
    <mergeCell ref="A408:A409"/>
    <mergeCell ref="A390:A391"/>
    <mergeCell ref="A392:A393"/>
    <mergeCell ref="A394:A395"/>
    <mergeCell ref="A396:A397"/>
    <mergeCell ref="A398:A399"/>
    <mergeCell ref="A450:A451"/>
    <mergeCell ref="A452:A453"/>
    <mergeCell ref="A454:A455"/>
    <mergeCell ref="A456:A457"/>
    <mergeCell ref="A458:A459"/>
    <mergeCell ref="A440:A441"/>
    <mergeCell ref="A442:A443"/>
    <mergeCell ref="B403:D403"/>
    <mergeCell ref="A444:A445"/>
    <mergeCell ref="B424:D424"/>
    <mergeCell ref="B425:D425"/>
    <mergeCell ref="B415:D415"/>
    <mergeCell ref="B416:D416"/>
    <mergeCell ref="B417:D417"/>
    <mergeCell ref="B397:D397"/>
    <mergeCell ref="B411:D411"/>
    <mergeCell ref="B412:D412"/>
    <mergeCell ref="B408:D408"/>
    <mergeCell ref="B432:D432"/>
    <mergeCell ref="B426:D426"/>
    <mergeCell ref="B427:D427"/>
    <mergeCell ref="B428:D428"/>
    <mergeCell ref="B422:D422"/>
    <mergeCell ref="A430:A431"/>
    <mergeCell ref="A432:A433"/>
    <mergeCell ref="A446:A447"/>
    <mergeCell ref="K373:L373"/>
    <mergeCell ref="K376:L376"/>
    <mergeCell ref="B410:D410"/>
    <mergeCell ref="K411:L411"/>
    <mergeCell ref="B401:D401"/>
    <mergeCell ref="B402:D402"/>
    <mergeCell ref="B407:D407"/>
    <mergeCell ref="A352:A353"/>
    <mergeCell ref="A354:A355"/>
    <mergeCell ref="A356:A357"/>
    <mergeCell ref="A358:A359"/>
    <mergeCell ref="A380:A381"/>
    <mergeCell ref="A382:A383"/>
    <mergeCell ref="A384:A385"/>
    <mergeCell ref="A386:A387"/>
    <mergeCell ref="A388:A389"/>
    <mergeCell ref="A370:A371"/>
    <mergeCell ref="A372:A373"/>
    <mergeCell ref="A374:A375"/>
    <mergeCell ref="A376:A377"/>
    <mergeCell ref="A378:A379"/>
    <mergeCell ref="A360:A361"/>
    <mergeCell ref="A362:A363"/>
    <mergeCell ref="A364:A365"/>
    <mergeCell ref="A366:A367"/>
    <mergeCell ref="A368:A369"/>
    <mergeCell ref="B372:D372"/>
    <mergeCell ref="K372:L372"/>
    <mergeCell ref="K380:L380"/>
    <mergeCell ref="K382:L382"/>
    <mergeCell ref="K374:L374"/>
    <mergeCell ref="A406:A407"/>
    <mergeCell ref="A434:A435"/>
    <mergeCell ref="A436:A437"/>
    <mergeCell ref="A438:A439"/>
    <mergeCell ref="A420:A421"/>
    <mergeCell ref="A422:A423"/>
    <mergeCell ref="A424:A425"/>
    <mergeCell ref="A426:A427"/>
    <mergeCell ref="A428:A429"/>
    <mergeCell ref="A490:A491"/>
    <mergeCell ref="A492:A493"/>
    <mergeCell ref="A494:A495"/>
    <mergeCell ref="A496:A497"/>
    <mergeCell ref="A498:A499"/>
    <mergeCell ref="A480:A481"/>
    <mergeCell ref="A482:A483"/>
    <mergeCell ref="A484:A485"/>
    <mergeCell ref="A486:A487"/>
    <mergeCell ref="A488:A489"/>
    <mergeCell ref="A470:A471"/>
    <mergeCell ref="A472:A473"/>
    <mergeCell ref="A474:A475"/>
    <mergeCell ref="A476:A477"/>
    <mergeCell ref="A478:A479"/>
    <mergeCell ref="A460:A461"/>
    <mergeCell ref="A462:A463"/>
    <mergeCell ref="A464:A465"/>
    <mergeCell ref="A466:A467"/>
    <mergeCell ref="A468:A469"/>
    <mergeCell ref="A448:A449"/>
    <mergeCell ref="J594:J598"/>
    <mergeCell ref="A578:A579"/>
    <mergeCell ref="A576:A577"/>
    <mergeCell ref="B576:D576"/>
    <mergeCell ref="A508:A509"/>
    <mergeCell ref="B508:D508"/>
    <mergeCell ref="A522:A523"/>
    <mergeCell ref="B522:D522"/>
    <mergeCell ref="B481:D481"/>
    <mergeCell ref="B482:D482"/>
    <mergeCell ref="B483:D483"/>
    <mergeCell ref="B484:D484"/>
    <mergeCell ref="B485:D485"/>
    <mergeCell ref="B466:D466"/>
    <mergeCell ref="B478:D478"/>
    <mergeCell ref="B468:D468"/>
    <mergeCell ref="A599:D599"/>
    <mergeCell ref="B545:D545"/>
    <mergeCell ref="A564:A565"/>
    <mergeCell ref="B564:D564"/>
    <mergeCell ref="B591:D591"/>
    <mergeCell ref="B489:D489"/>
    <mergeCell ref="B488:D488"/>
    <mergeCell ref="B494:D494"/>
    <mergeCell ref="B492:D492"/>
    <mergeCell ref="B490:D490"/>
    <mergeCell ref="B491:D491"/>
    <mergeCell ref="B487:D487"/>
    <mergeCell ref="B473:D473"/>
    <mergeCell ref="B474:D474"/>
    <mergeCell ref="B469:D469"/>
    <mergeCell ref="B480:D480"/>
    <mergeCell ref="K594:L594"/>
    <mergeCell ref="A597:D597"/>
    <mergeCell ref="K599:L599"/>
    <mergeCell ref="K595:L595"/>
    <mergeCell ref="K598:L598"/>
    <mergeCell ref="K597:L597"/>
    <mergeCell ref="K596:L596"/>
    <mergeCell ref="A598:D598"/>
    <mergeCell ref="A594:D594"/>
    <mergeCell ref="A500:A501"/>
    <mergeCell ref="A502:A503"/>
    <mergeCell ref="A504:A505"/>
    <mergeCell ref="A590:A591"/>
    <mergeCell ref="A592:A593"/>
    <mergeCell ref="B593:D593"/>
    <mergeCell ref="K505:L505"/>
    <mergeCell ref="A588:D588"/>
    <mergeCell ref="K590:L591"/>
    <mergeCell ref="B590:D590"/>
    <mergeCell ref="B500:D500"/>
    <mergeCell ref="B592:D592"/>
    <mergeCell ref="K588:L588"/>
    <mergeCell ref="K593:L593"/>
    <mergeCell ref="A542:A543"/>
    <mergeCell ref="B542:D542"/>
    <mergeCell ref="K542:L542"/>
    <mergeCell ref="B543:D543"/>
    <mergeCell ref="A595:D595"/>
    <mergeCell ref="A596:D596"/>
    <mergeCell ref="A544:A545"/>
    <mergeCell ref="B544:D544"/>
    <mergeCell ref="K544:L544"/>
    <mergeCell ref="A609:L609"/>
    <mergeCell ref="A600:L600"/>
    <mergeCell ref="J601:K601"/>
    <mergeCell ref="J602:K602"/>
    <mergeCell ref="J603:K603"/>
    <mergeCell ref="J604:K604"/>
    <mergeCell ref="J605:K605"/>
    <mergeCell ref="J606:K606"/>
    <mergeCell ref="J608:K608"/>
    <mergeCell ref="B606:D606"/>
    <mergeCell ref="B608:D608"/>
    <mergeCell ref="E602:G602"/>
    <mergeCell ref="E603:G603"/>
    <mergeCell ref="E604:G604"/>
    <mergeCell ref="E605:G605"/>
    <mergeCell ref="E606:G606"/>
    <mergeCell ref="E608:G608"/>
    <mergeCell ref="H602:I602"/>
    <mergeCell ref="H603:I603"/>
    <mergeCell ref="H604:I604"/>
    <mergeCell ref="H605:I605"/>
    <mergeCell ref="H606:I606"/>
    <mergeCell ref="H608:I608"/>
    <mergeCell ref="B601:D601"/>
    <mergeCell ref="E601:G601"/>
    <mergeCell ref="H601:I601"/>
    <mergeCell ref="B602:D602"/>
    <mergeCell ref="B603:D603"/>
    <mergeCell ref="B604:D604"/>
    <mergeCell ref="B605:D605"/>
    <mergeCell ref="B607:D607"/>
    <mergeCell ref="E607:G607"/>
    <mergeCell ref="A526:A527"/>
    <mergeCell ref="B526:D526"/>
    <mergeCell ref="K526:L526"/>
    <mergeCell ref="B527:D527"/>
    <mergeCell ref="K527:L527"/>
    <mergeCell ref="B554:D554"/>
    <mergeCell ref="K554:L554"/>
    <mergeCell ref="B555:D555"/>
    <mergeCell ref="K555:L555"/>
    <mergeCell ref="A552:A553"/>
    <mergeCell ref="B552:D552"/>
    <mergeCell ref="K552:L552"/>
    <mergeCell ref="B553:D553"/>
    <mergeCell ref="K553:L553"/>
    <mergeCell ref="A550:A551"/>
    <mergeCell ref="B550:D550"/>
    <mergeCell ref="K543:L543"/>
    <mergeCell ref="A546:A547"/>
    <mergeCell ref="B546:D546"/>
    <mergeCell ref="K546:L546"/>
    <mergeCell ref="B547:D547"/>
    <mergeCell ref="K547:L547"/>
    <mergeCell ref="A554:A555"/>
    <mergeCell ref="K549:L549"/>
    <mergeCell ref="K532:L532"/>
    <mergeCell ref="B533:D533"/>
    <mergeCell ref="K533:L533"/>
    <mergeCell ref="A530:A531"/>
    <mergeCell ref="B530:D530"/>
    <mergeCell ref="K530:L530"/>
    <mergeCell ref="B531:D531"/>
    <mergeCell ref="K531:L531"/>
    <mergeCell ref="A574:A575"/>
    <mergeCell ref="B574:D574"/>
    <mergeCell ref="K574:L574"/>
    <mergeCell ref="B575:D575"/>
    <mergeCell ref="K575:L575"/>
    <mergeCell ref="B578:D578"/>
    <mergeCell ref="K578:L578"/>
    <mergeCell ref="B579:D579"/>
    <mergeCell ref="K579:L579"/>
    <mergeCell ref="A586:A587"/>
    <mergeCell ref="B586:D586"/>
    <mergeCell ref="K586:L586"/>
    <mergeCell ref="B587:D587"/>
    <mergeCell ref="K587:L587"/>
    <mergeCell ref="A584:A585"/>
    <mergeCell ref="B584:D584"/>
    <mergeCell ref="K584:L584"/>
    <mergeCell ref="B585:D585"/>
    <mergeCell ref="K585:L585"/>
    <mergeCell ref="A582:A583"/>
    <mergeCell ref="B582:D582"/>
    <mergeCell ref="K582:L582"/>
    <mergeCell ref="B583:D583"/>
    <mergeCell ref="K583:L583"/>
    <mergeCell ref="A580:A581"/>
    <mergeCell ref="B580:D580"/>
    <mergeCell ref="K580:L580"/>
    <mergeCell ref="B581:D581"/>
    <mergeCell ref="K581:L581"/>
    <mergeCell ref="A506:A507"/>
    <mergeCell ref="B506:D506"/>
    <mergeCell ref="K506:L506"/>
    <mergeCell ref="B507:D507"/>
    <mergeCell ref="K507:L507"/>
    <mergeCell ref="A540:A541"/>
    <mergeCell ref="B540:D540"/>
    <mergeCell ref="K540:L540"/>
    <mergeCell ref="B541:D541"/>
    <mergeCell ref="K541:L541"/>
    <mergeCell ref="A538:A539"/>
    <mergeCell ref="B538:D538"/>
    <mergeCell ref="K538:L538"/>
    <mergeCell ref="B539:D539"/>
    <mergeCell ref="K539:L539"/>
    <mergeCell ref="A536:A537"/>
    <mergeCell ref="B536:D536"/>
    <mergeCell ref="K536:L536"/>
    <mergeCell ref="B537:D537"/>
    <mergeCell ref="K537:L537"/>
    <mergeCell ref="A534:A535"/>
    <mergeCell ref="B534:D534"/>
    <mergeCell ref="K534:L534"/>
    <mergeCell ref="B535:D535"/>
    <mergeCell ref="K535:L535"/>
    <mergeCell ref="A532:A533"/>
    <mergeCell ref="B532:D532"/>
    <mergeCell ref="A516:A517"/>
    <mergeCell ref="B516:D516"/>
    <mergeCell ref="K516:L516"/>
    <mergeCell ref="B517:D517"/>
    <mergeCell ref="K517:L517"/>
    <mergeCell ref="A514:A515"/>
    <mergeCell ref="B514:D514"/>
    <mergeCell ref="K514:L514"/>
    <mergeCell ref="B515:D515"/>
    <mergeCell ref="K515:L515"/>
    <mergeCell ref="A512:A513"/>
    <mergeCell ref="B512:D512"/>
    <mergeCell ref="K512:L512"/>
    <mergeCell ref="B513:D513"/>
    <mergeCell ref="K513:L513"/>
    <mergeCell ref="A510:A511"/>
    <mergeCell ref="B510:D510"/>
    <mergeCell ref="K510:L510"/>
    <mergeCell ref="B511:D511"/>
    <mergeCell ref="K511:L511"/>
    <mergeCell ref="K522:L522"/>
    <mergeCell ref="B523:D523"/>
    <mergeCell ref="K523:L523"/>
    <mergeCell ref="A520:A521"/>
    <mergeCell ref="B520:D520"/>
    <mergeCell ref="K520:L520"/>
    <mergeCell ref="B521:D521"/>
    <mergeCell ref="K521:L521"/>
    <mergeCell ref="A518:A519"/>
    <mergeCell ref="B518:D518"/>
    <mergeCell ref="K518:L518"/>
    <mergeCell ref="B519:D519"/>
    <mergeCell ref="K519:L519"/>
    <mergeCell ref="A528:A529"/>
    <mergeCell ref="B528:D528"/>
    <mergeCell ref="K528:L528"/>
    <mergeCell ref="B529:D529"/>
    <mergeCell ref="A524:A525"/>
    <mergeCell ref="B524:D524"/>
    <mergeCell ref="K524:L524"/>
    <mergeCell ref="B525:D525"/>
    <mergeCell ref="K525:L525"/>
    <mergeCell ref="K564:L564"/>
    <mergeCell ref="B565:D565"/>
    <mergeCell ref="K550:L550"/>
    <mergeCell ref="B551:D551"/>
    <mergeCell ref="K551:L551"/>
    <mergeCell ref="A548:A549"/>
    <mergeCell ref="B548:D548"/>
    <mergeCell ref="K548:L548"/>
    <mergeCell ref="B549:D549"/>
    <mergeCell ref="K565:L565"/>
    <mergeCell ref="A562:A563"/>
    <mergeCell ref="B562:D562"/>
    <mergeCell ref="K562:L562"/>
    <mergeCell ref="B563:D563"/>
    <mergeCell ref="K563:L563"/>
    <mergeCell ref="A560:A561"/>
    <mergeCell ref="B560:D560"/>
    <mergeCell ref="K560:L560"/>
    <mergeCell ref="B561:D561"/>
    <mergeCell ref="K561:L561"/>
    <mergeCell ref="A558:A559"/>
    <mergeCell ref="B558:D558"/>
    <mergeCell ref="K558:L558"/>
    <mergeCell ref="B559:D559"/>
    <mergeCell ref="K559:L559"/>
    <mergeCell ref="A556:A557"/>
    <mergeCell ref="B556:D556"/>
    <mergeCell ref="K556:L556"/>
    <mergeCell ref="B557:D557"/>
    <mergeCell ref="K557:L557"/>
    <mergeCell ref="K572:L572"/>
    <mergeCell ref="B573:D573"/>
    <mergeCell ref="K573:L573"/>
    <mergeCell ref="A570:A571"/>
    <mergeCell ref="B570:D570"/>
    <mergeCell ref="K570:L570"/>
    <mergeCell ref="B571:D571"/>
    <mergeCell ref="K571:L571"/>
    <mergeCell ref="A568:A569"/>
    <mergeCell ref="B568:D568"/>
    <mergeCell ref="K568:L568"/>
    <mergeCell ref="B569:D569"/>
    <mergeCell ref="K569:L569"/>
    <mergeCell ref="A566:A567"/>
    <mergeCell ref="B566:D566"/>
    <mergeCell ref="K566:L566"/>
    <mergeCell ref="B567:D567"/>
    <mergeCell ref="K567:L567"/>
    <mergeCell ref="H607:I607"/>
    <mergeCell ref="J607:K607"/>
    <mergeCell ref="K338:L338"/>
    <mergeCell ref="K27:L27"/>
    <mergeCell ref="A320:A322"/>
    <mergeCell ref="K55:L55"/>
    <mergeCell ref="K54:L54"/>
    <mergeCell ref="K47:L47"/>
    <mergeCell ref="K50:L50"/>
    <mergeCell ref="K56:L56"/>
    <mergeCell ref="K243:L243"/>
    <mergeCell ref="K244:L244"/>
    <mergeCell ref="K227:L227"/>
    <mergeCell ref="K238:L238"/>
    <mergeCell ref="K284:L285"/>
    <mergeCell ref="K188:L188"/>
    <mergeCell ref="K189:L189"/>
    <mergeCell ref="K210:L211"/>
    <mergeCell ref="K236:L237"/>
    <mergeCell ref="K157:L158"/>
    <mergeCell ref="K134:L134"/>
    <mergeCell ref="K135:L135"/>
    <mergeCell ref="K136:L136"/>
    <mergeCell ref="K187:L187"/>
    <mergeCell ref="K292:L292"/>
    <mergeCell ref="K293:L293"/>
    <mergeCell ref="K57:L57"/>
    <mergeCell ref="A589:D589"/>
    <mergeCell ref="K30:L30"/>
    <mergeCell ref="C102:D102"/>
    <mergeCell ref="A572:A573"/>
    <mergeCell ref="B572:D572"/>
  </mergeCells>
  <phoneticPr fontId="23" type="noConversion"/>
  <dataValidations count="1">
    <dataValidation showInputMessage="1" showErrorMessage="1" sqref="E353:E359 E320:E326" xr:uid="{4553D99C-8A65-4587-8DC1-8C9FD553A005}"/>
  </dataValidations>
  <printOptions horizontalCentered="1" gridLines="1"/>
  <pageMargins left="0.25" right="0.25" top="0.25" bottom="0.25" header="0.05" footer="0.05"/>
  <pageSetup paperSize="9" scale="74" fitToHeight="10" orientation="portrait" r:id="rId1"/>
  <headerFooter>
    <oddHeader>&amp;L&amp;"Calibri"&amp;9&amp;K000000Classification: Internal&amp;1#</oddHeader>
    <oddFooter>&amp;L&amp;B Confidential&amp;B&amp;C&amp;D&amp;RPage &amp;P</oddFooter>
  </headerFooter>
  <rowBreaks count="1" manualBreakCount="1">
    <brk id="343" max="11" man="1"/>
  </rowBreaks>
  <ignoredErrors>
    <ignoredError sqref="F17 F20" formula="1"/>
    <ignoredError sqref="E599 F612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L272"/>
  <sheetViews>
    <sheetView tabSelected="1" zoomScale="85" zoomScaleNormal="85" workbookViewId="0">
      <selection activeCell="O8" sqref="O8"/>
    </sheetView>
  </sheetViews>
  <sheetFormatPr defaultRowHeight="15"/>
  <cols>
    <col min="1" max="1" width="6" style="264" customWidth="1"/>
    <col min="3" max="3" width="9.7109375" bestFit="1" customWidth="1"/>
    <col min="5" max="5" width="5.5703125" customWidth="1"/>
    <col min="8" max="8" width="9.85546875" bestFit="1" customWidth="1"/>
    <col min="9" max="9" width="5.5703125" customWidth="1"/>
  </cols>
  <sheetData>
    <row r="1" spans="1:12" ht="15.75" thickBot="1"/>
    <row r="2" spans="1:12" ht="16.5" customHeight="1" thickBot="1">
      <c r="B2" s="529" t="s">
        <v>236</v>
      </c>
      <c r="C2" s="530"/>
      <c r="D2" s="531"/>
      <c r="F2" s="532" t="s">
        <v>151</v>
      </c>
      <c r="G2" s="533"/>
      <c r="H2" s="534"/>
      <c r="J2" s="535" t="s">
        <v>164</v>
      </c>
      <c r="K2" s="536"/>
      <c r="L2" s="539" t="s">
        <v>20</v>
      </c>
    </row>
    <row r="3" spans="1:12" ht="15.75" thickBot="1">
      <c r="B3" s="529" t="s">
        <v>141</v>
      </c>
      <c r="C3" s="530"/>
      <c r="D3" s="531"/>
      <c r="F3" s="96" t="s">
        <v>213</v>
      </c>
      <c r="G3" s="109">
        <v>10.09</v>
      </c>
      <c r="H3" s="214" t="s">
        <v>283</v>
      </c>
      <c r="J3" s="537"/>
      <c r="K3" s="538"/>
      <c r="L3" s="540"/>
    </row>
    <row r="4" spans="1:12">
      <c r="A4" s="265">
        <v>1</v>
      </c>
      <c r="B4" s="182">
        <v>268</v>
      </c>
      <c r="C4" s="269">
        <v>36.159999999999997</v>
      </c>
      <c r="D4" s="121"/>
      <c r="F4" s="97" t="s">
        <v>214</v>
      </c>
      <c r="G4" s="110">
        <v>10.09</v>
      </c>
      <c r="H4" s="121" t="s">
        <v>283</v>
      </c>
      <c r="J4" s="543" t="s">
        <v>165</v>
      </c>
      <c r="K4" s="544"/>
      <c r="L4" s="173">
        <v>0</v>
      </c>
    </row>
    <row r="5" spans="1:12">
      <c r="A5" s="265">
        <v>2</v>
      </c>
      <c r="B5" s="182">
        <f>B4-1</f>
        <v>267</v>
      </c>
      <c r="C5" s="269">
        <v>35.83</v>
      </c>
      <c r="D5" s="121"/>
      <c r="F5" s="97" t="s">
        <v>215</v>
      </c>
      <c r="G5" s="110">
        <v>10.09</v>
      </c>
      <c r="H5" s="121" t="s">
        <v>283</v>
      </c>
      <c r="J5" s="543" t="s">
        <v>166</v>
      </c>
      <c r="K5" s="544"/>
      <c r="L5" s="173">
        <v>0</v>
      </c>
    </row>
    <row r="6" spans="1:12">
      <c r="A6" s="265">
        <v>3</v>
      </c>
      <c r="B6" s="182">
        <f t="shared" ref="B6:B69" si="0">B5-1</f>
        <v>266</v>
      </c>
      <c r="C6" s="269">
        <v>36.799999999999997</v>
      </c>
      <c r="D6" s="121"/>
      <c r="F6" s="97" t="s">
        <v>216</v>
      </c>
      <c r="G6" s="110">
        <v>20.25</v>
      </c>
      <c r="H6" s="121" t="s">
        <v>283</v>
      </c>
      <c r="J6" s="543" t="s">
        <v>167</v>
      </c>
      <c r="K6" s="544"/>
      <c r="L6" s="173">
        <v>0</v>
      </c>
    </row>
    <row r="7" spans="1:12">
      <c r="A7" s="265">
        <v>4</v>
      </c>
      <c r="B7" s="182">
        <f t="shared" si="0"/>
        <v>265</v>
      </c>
      <c r="C7" s="269">
        <v>35.799999999999997</v>
      </c>
      <c r="D7" s="121"/>
      <c r="F7" s="97" t="s">
        <v>217</v>
      </c>
      <c r="G7" s="110">
        <v>20.25</v>
      </c>
      <c r="H7" s="121" t="s">
        <v>283</v>
      </c>
      <c r="J7" s="543" t="s">
        <v>168</v>
      </c>
      <c r="K7" s="544"/>
      <c r="L7" s="173">
        <v>3</v>
      </c>
    </row>
    <row r="8" spans="1:12">
      <c r="A8" s="265">
        <v>5</v>
      </c>
      <c r="B8" s="182">
        <f t="shared" si="0"/>
        <v>264</v>
      </c>
      <c r="C8" s="269">
        <v>37.31</v>
      </c>
      <c r="D8" s="121"/>
      <c r="F8" s="97" t="s">
        <v>218</v>
      </c>
      <c r="G8" s="110">
        <v>20.25</v>
      </c>
      <c r="H8" s="121" t="s">
        <v>283</v>
      </c>
      <c r="J8" s="543" t="s">
        <v>169</v>
      </c>
      <c r="K8" s="544"/>
      <c r="L8" s="173">
        <v>5</v>
      </c>
    </row>
    <row r="9" spans="1:12" ht="15.75" thickBot="1">
      <c r="A9" s="265">
        <v>6</v>
      </c>
      <c r="B9" s="182">
        <f t="shared" si="0"/>
        <v>263</v>
      </c>
      <c r="C9" s="269">
        <v>36.67</v>
      </c>
      <c r="D9" s="121"/>
      <c r="F9" s="97" t="s">
        <v>219</v>
      </c>
      <c r="G9" s="110">
        <v>20.239999999999998</v>
      </c>
      <c r="H9" s="121"/>
      <c r="J9" s="541" t="s">
        <v>170</v>
      </c>
      <c r="K9" s="542"/>
      <c r="L9" s="175">
        <f>SUM(L4:L8)</f>
        <v>8</v>
      </c>
    </row>
    <row r="10" spans="1:12">
      <c r="A10" s="265">
        <v>7</v>
      </c>
      <c r="B10" s="182">
        <f t="shared" si="0"/>
        <v>262</v>
      </c>
      <c r="C10" s="269">
        <v>37.19</v>
      </c>
      <c r="D10" s="121"/>
      <c r="F10" s="97" t="s">
        <v>220</v>
      </c>
      <c r="G10" s="110">
        <v>20.260000000000002</v>
      </c>
      <c r="H10" s="121"/>
    </row>
    <row r="11" spans="1:12">
      <c r="A11" s="265">
        <v>8</v>
      </c>
      <c r="B11" s="182">
        <f t="shared" si="0"/>
        <v>261</v>
      </c>
      <c r="C11" s="269">
        <v>36.880000000000003</v>
      </c>
      <c r="D11" s="121"/>
      <c r="F11" s="182"/>
      <c r="G11" s="235"/>
      <c r="H11" s="121"/>
    </row>
    <row r="12" spans="1:12">
      <c r="A12" s="265">
        <v>9</v>
      </c>
      <c r="B12" s="182">
        <f t="shared" si="0"/>
        <v>260</v>
      </c>
      <c r="C12" s="194">
        <v>36.24</v>
      </c>
      <c r="D12" s="121"/>
      <c r="F12" s="182"/>
      <c r="G12" s="235"/>
      <c r="H12" s="121"/>
    </row>
    <row r="13" spans="1:12">
      <c r="A13" s="265">
        <v>10</v>
      </c>
      <c r="B13" s="182">
        <f t="shared" si="0"/>
        <v>259</v>
      </c>
      <c r="C13" s="194">
        <v>35.369999999999997</v>
      </c>
      <c r="D13" s="121"/>
      <c r="F13" s="182"/>
      <c r="G13" s="235"/>
      <c r="H13" s="121"/>
    </row>
    <row r="14" spans="1:12">
      <c r="A14" s="265">
        <v>11</v>
      </c>
      <c r="B14" s="182">
        <f t="shared" si="0"/>
        <v>258</v>
      </c>
      <c r="C14" s="194">
        <v>36.51</v>
      </c>
      <c r="D14" s="121"/>
      <c r="F14" s="182"/>
      <c r="G14" s="235"/>
      <c r="H14" s="121"/>
    </row>
    <row r="15" spans="1:12">
      <c r="A15" s="265">
        <v>12</v>
      </c>
      <c r="B15" s="182">
        <f t="shared" si="0"/>
        <v>257</v>
      </c>
      <c r="C15" s="194">
        <v>36.11</v>
      </c>
      <c r="D15" s="121"/>
      <c r="F15" s="182"/>
      <c r="G15" s="235"/>
      <c r="H15" s="121"/>
    </row>
    <row r="16" spans="1:12">
      <c r="A16" s="265">
        <v>13</v>
      </c>
      <c r="B16" s="182">
        <f t="shared" si="0"/>
        <v>256</v>
      </c>
      <c r="C16" s="194">
        <v>36.840000000000003</v>
      </c>
      <c r="D16" s="121"/>
      <c r="F16" s="182"/>
      <c r="G16" s="235"/>
      <c r="H16" s="121"/>
    </row>
    <row r="17" spans="1:8">
      <c r="A17" s="265">
        <v>14</v>
      </c>
      <c r="B17" s="182">
        <f t="shared" si="0"/>
        <v>255</v>
      </c>
      <c r="C17" s="194">
        <v>36.81</v>
      </c>
      <c r="D17" s="121"/>
      <c r="F17" s="182"/>
      <c r="G17" s="235"/>
      <c r="H17" s="121"/>
    </row>
    <row r="18" spans="1:8" ht="15.75" thickBot="1">
      <c r="A18" s="265">
        <v>15</v>
      </c>
      <c r="B18" s="182">
        <f t="shared" si="0"/>
        <v>254</v>
      </c>
      <c r="C18" s="194">
        <v>36.42</v>
      </c>
      <c r="D18" s="121"/>
      <c r="F18" s="237"/>
      <c r="G18" s="236"/>
      <c r="H18" s="196"/>
    </row>
    <row r="19" spans="1:8">
      <c r="A19" s="265">
        <v>16</v>
      </c>
      <c r="B19" s="182">
        <f t="shared" si="0"/>
        <v>253</v>
      </c>
      <c r="C19" s="194">
        <v>36.369999999999997</v>
      </c>
      <c r="D19" s="121"/>
    </row>
    <row r="20" spans="1:8">
      <c r="A20" s="265">
        <v>17</v>
      </c>
      <c r="B20" s="182">
        <f t="shared" si="0"/>
        <v>252</v>
      </c>
      <c r="C20" s="194">
        <v>37.24</v>
      </c>
      <c r="D20" s="121"/>
    </row>
    <row r="21" spans="1:8">
      <c r="A21" s="265">
        <v>18</v>
      </c>
      <c r="B21" s="182">
        <f t="shared" si="0"/>
        <v>251</v>
      </c>
      <c r="C21" s="194">
        <v>36.03</v>
      </c>
      <c r="D21" s="121"/>
    </row>
    <row r="22" spans="1:8">
      <c r="A22" s="265">
        <v>19</v>
      </c>
      <c r="B22" s="182">
        <f t="shared" si="0"/>
        <v>250</v>
      </c>
      <c r="C22" s="194">
        <v>36.65</v>
      </c>
      <c r="D22" s="121"/>
    </row>
    <row r="23" spans="1:8">
      <c r="A23" s="265">
        <v>20</v>
      </c>
      <c r="B23" s="182">
        <f t="shared" si="0"/>
        <v>249</v>
      </c>
      <c r="C23" s="194">
        <v>36.72</v>
      </c>
      <c r="D23" s="121"/>
    </row>
    <row r="24" spans="1:8">
      <c r="A24" s="265">
        <v>21</v>
      </c>
      <c r="B24" s="182">
        <f t="shared" si="0"/>
        <v>248</v>
      </c>
      <c r="C24" s="194">
        <v>36.46</v>
      </c>
      <c r="D24" s="121"/>
    </row>
    <row r="25" spans="1:8">
      <c r="A25" s="265">
        <v>22</v>
      </c>
      <c r="B25" s="182">
        <f t="shared" si="0"/>
        <v>247</v>
      </c>
      <c r="C25" s="194">
        <v>35.67</v>
      </c>
      <c r="D25" s="121"/>
    </row>
    <row r="26" spans="1:8">
      <c r="A26" s="265">
        <v>23</v>
      </c>
      <c r="B26" s="182">
        <f t="shared" si="0"/>
        <v>246</v>
      </c>
      <c r="C26" s="194">
        <v>37.340000000000003</v>
      </c>
      <c r="D26" s="121"/>
    </row>
    <row r="27" spans="1:8">
      <c r="A27" s="265">
        <v>24</v>
      </c>
      <c r="B27" s="182">
        <f t="shared" si="0"/>
        <v>245</v>
      </c>
      <c r="C27" s="194">
        <v>37.49</v>
      </c>
      <c r="D27" s="121"/>
    </row>
    <row r="28" spans="1:8">
      <c r="A28" s="265">
        <v>25</v>
      </c>
      <c r="B28" s="182">
        <f t="shared" si="0"/>
        <v>244</v>
      </c>
      <c r="C28" s="194">
        <v>36.630000000000003</v>
      </c>
      <c r="D28" s="121"/>
    </row>
    <row r="29" spans="1:8">
      <c r="A29" s="265">
        <v>26</v>
      </c>
      <c r="B29" s="182">
        <f t="shared" si="0"/>
        <v>243</v>
      </c>
      <c r="C29" s="194">
        <v>36.590000000000003</v>
      </c>
      <c r="D29" s="121"/>
    </row>
    <row r="30" spans="1:8">
      <c r="A30" s="265">
        <v>27</v>
      </c>
      <c r="B30" s="182">
        <f t="shared" si="0"/>
        <v>242</v>
      </c>
      <c r="C30" s="194">
        <v>37.24</v>
      </c>
      <c r="D30" s="121"/>
    </row>
    <row r="31" spans="1:8">
      <c r="A31" s="265">
        <v>28</v>
      </c>
      <c r="B31" s="182">
        <f t="shared" si="0"/>
        <v>241</v>
      </c>
      <c r="C31" s="194">
        <v>37.11</v>
      </c>
      <c r="D31" s="121"/>
    </row>
    <row r="32" spans="1:8">
      <c r="A32" s="265">
        <v>29</v>
      </c>
      <c r="B32" s="182">
        <f t="shared" si="0"/>
        <v>240</v>
      </c>
      <c r="C32" s="194">
        <v>36.770000000000003</v>
      </c>
      <c r="D32" s="121"/>
    </row>
    <row r="33" spans="1:4">
      <c r="A33" s="265">
        <v>30</v>
      </c>
      <c r="B33" s="182">
        <f t="shared" si="0"/>
        <v>239</v>
      </c>
      <c r="C33" s="194">
        <v>36.65</v>
      </c>
      <c r="D33" s="121"/>
    </row>
    <row r="34" spans="1:4">
      <c r="A34" s="265">
        <v>31</v>
      </c>
      <c r="B34" s="182">
        <f t="shared" si="0"/>
        <v>238</v>
      </c>
      <c r="C34" s="194">
        <v>36.46</v>
      </c>
      <c r="D34" s="121"/>
    </row>
    <row r="35" spans="1:4">
      <c r="A35" s="265">
        <v>32</v>
      </c>
      <c r="B35" s="182">
        <f t="shared" si="0"/>
        <v>237</v>
      </c>
      <c r="C35" s="194">
        <v>36.31</v>
      </c>
      <c r="D35" s="121"/>
    </row>
    <row r="36" spans="1:4">
      <c r="A36" s="265">
        <v>33</v>
      </c>
      <c r="B36" s="182">
        <f t="shared" si="0"/>
        <v>236</v>
      </c>
      <c r="C36" s="194">
        <v>37.229999999999997</v>
      </c>
      <c r="D36" s="121"/>
    </row>
    <row r="37" spans="1:4">
      <c r="A37" s="265">
        <v>34</v>
      </c>
      <c r="B37" s="182">
        <f t="shared" si="0"/>
        <v>235</v>
      </c>
      <c r="C37" s="194">
        <v>36.840000000000003</v>
      </c>
      <c r="D37" s="121"/>
    </row>
    <row r="38" spans="1:4">
      <c r="A38" s="265">
        <v>35</v>
      </c>
      <c r="B38" s="182">
        <f t="shared" si="0"/>
        <v>234</v>
      </c>
      <c r="C38" s="194">
        <v>36.36</v>
      </c>
      <c r="D38" s="121"/>
    </row>
    <row r="39" spans="1:4">
      <c r="A39" s="265">
        <v>36</v>
      </c>
      <c r="B39" s="182">
        <f t="shared" si="0"/>
        <v>233</v>
      </c>
      <c r="C39" s="194">
        <v>35.97</v>
      </c>
      <c r="D39" s="121"/>
    </row>
    <row r="40" spans="1:4">
      <c r="A40" s="265">
        <v>37</v>
      </c>
      <c r="B40" s="182">
        <f t="shared" si="0"/>
        <v>232</v>
      </c>
      <c r="C40" s="194">
        <v>36.19</v>
      </c>
      <c r="D40" s="121"/>
    </row>
    <row r="41" spans="1:4">
      <c r="A41" s="265">
        <v>38</v>
      </c>
      <c r="B41" s="182">
        <f t="shared" si="0"/>
        <v>231</v>
      </c>
      <c r="C41" s="194">
        <v>36.909999999999997</v>
      </c>
      <c r="D41" s="121"/>
    </row>
    <row r="42" spans="1:4">
      <c r="A42" s="265">
        <v>39</v>
      </c>
      <c r="B42" s="182">
        <f t="shared" si="0"/>
        <v>230</v>
      </c>
      <c r="C42" s="194">
        <v>37.03</v>
      </c>
      <c r="D42" s="121"/>
    </row>
    <row r="43" spans="1:4">
      <c r="A43" s="265">
        <v>40</v>
      </c>
      <c r="B43" s="182">
        <f t="shared" si="0"/>
        <v>229</v>
      </c>
      <c r="C43" s="194">
        <v>36.880000000000003</v>
      </c>
      <c r="D43" s="121"/>
    </row>
    <row r="44" spans="1:4">
      <c r="A44" s="265">
        <v>41</v>
      </c>
      <c r="B44" s="182">
        <f t="shared" si="0"/>
        <v>228</v>
      </c>
      <c r="C44" s="194">
        <v>36.46</v>
      </c>
      <c r="D44" s="121"/>
    </row>
    <row r="45" spans="1:4">
      <c r="A45" s="265">
        <v>42</v>
      </c>
      <c r="B45" s="182">
        <f t="shared" si="0"/>
        <v>227</v>
      </c>
      <c r="C45" s="194">
        <v>36.82</v>
      </c>
      <c r="D45" s="121"/>
    </row>
    <row r="46" spans="1:4">
      <c r="A46" s="265">
        <v>43</v>
      </c>
      <c r="B46" s="182">
        <f t="shared" si="0"/>
        <v>226</v>
      </c>
      <c r="C46" s="194">
        <v>37.26</v>
      </c>
      <c r="D46" s="121"/>
    </row>
    <row r="47" spans="1:4">
      <c r="A47" s="265">
        <v>44</v>
      </c>
      <c r="B47" s="182">
        <f t="shared" si="0"/>
        <v>225</v>
      </c>
      <c r="C47" s="194">
        <v>36.57</v>
      </c>
      <c r="D47" s="121"/>
    </row>
    <row r="48" spans="1:4">
      <c r="A48" s="265">
        <v>45</v>
      </c>
      <c r="B48" s="182">
        <f t="shared" si="0"/>
        <v>224</v>
      </c>
      <c r="C48" s="194">
        <v>36.619999999999997</v>
      </c>
      <c r="D48" s="121"/>
    </row>
    <row r="49" spans="1:4">
      <c r="A49" s="265">
        <v>46</v>
      </c>
      <c r="B49" s="182">
        <f t="shared" si="0"/>
        <v>223</v>
      </c>
      <c r="C49" s="194">
        <v>36.85</v>
      </c>
      <c r="D49" s="121"/>
    </row>
    <row r="50" spans="1:4">
      <c r="A50" s="265">
        <v>47</v>
      </c>
      <c r="B50" s="182">
        <f t="shared" si="0"/>
        <v>222</v>
      </c>
      <c r="C50" s="194">
        <v>37.36</v>
      </c>
      <c r="D50" s="121"/>
    </row>
    <row r="51" spans="1:4">
      <c r="A51" s="265">
        <v>48</v>
      </c>
      <c r="B51" s="182">
        <f t="shared" si="0"/>
        <v>221</v>
      </c>
      <c r="C51" s="194">
        <v>36.58</v>
      </c>
      <c r="D51" s="121"/>
    </row>
    <row r="52" spans="1:4">
      <c r="A52" s="265">
        <v>49</v>
      </c>
      <c r="B52" s="182">
        <f t="shared" si="0"/>
        <v>220</v>
      </c>
      <c r="C52" s="194">
        <v>37.01</v>
      </c>
      <c r="D52" s="121"/>
    </row>
    <row r="53" spans="1:4">
      <c r="A53" s="265">
        <v>50</v>
      </c>
      <c r="B53" s="182">
        <f t="shared" si="0"/>
        <v>219</v>
      </c>
      <c r="C53" s="194">
        <v>37.15</v>
      </c>
      <c r="D53" s="121"/>
    </row>
    <row r="54" spans="1:4">
      <c r="A54" s="265">
        <v>51</v>
      </c>
      <c r="B54" s="182">
        <f t="shared" si="0"/>
        <v>218</v>
      </c>
      <c r="C54" s="194">
        <v>36.99</v>
      </c>
      <c r="D54" s="121"/>
    </row>
    <row r="55" spans="1:4">
      <c r="A55" s="265">
        <v>52</v>
      </c>
      <c r="B55" s="182">
        <f t="shared" si="0"/>
        <v>217</v>
      </c>
      <c r="C55" s="194">
        <v>36.119999999999997</v>
      </c>
      <c r="D55" s="121"/>
    </row>
    <row r="56" spans="1:4">
      <c r="A56" s="265">
        <v>53</v>
      </c>
      <c r="B56" s="182">
        <f t="shared" si="0"/>
        <v>216</v>
      </c>
      <c r="C56" s="194">
        <v>36.25</v>
      </c>
      <c r="D56" s="121"/>
    </row>
    <row r="57" spans="1:4">
      <c r="A57" s="265">
        <v>54</v>
      </c>
      <c r="B57" s="182">
        <f t="shared" si="0"/>
        <v>215</v>
      </c>
      <c r="C57" s="194">
        <v>36.65</v>
      </c>
      <c r="D57" s="121"/>
    </row>
    <row r="58" spans="1:4">
      <c r="A58" s="265">
        <v>55</v>
      </c>
      <c r="B58" s="182">
        <f t="shared" si="0"/>
        <v>214</v>
      </c>
      <c r="C58" s="194">
        <v>36.46</v>
      </c>
      <c r="D58" s="121"/>
    </row>
    <row r="59" spans="1:4">
      <c r="A59" s="265">
        <v>56</v>
      </c>
      <c r="B59" s="182">
        <f t="shared" si="0"/>
        <v>213</v>
      </c>
      <c r="C59" s="194">
        <v>36.93</v>
      </c>
      <c r="D59" s="121"/>
    </row>
    <row r="60" spans="1:4">
      <c r="A60" s="265">
        <v>57</v>
      </c>
      <c r="B60" s="182">
        <f t="shared" si="0"/>
        <v>212</v>
      </c>
      <c r="C60" s="194">
        <v>36.5</v>
      </c>
      <c r="D60" s="121"/>
    </row>
    <row r="61" spans="1:4">
      <c r="A61" s="265">
        <v>58</v>
      </c>
      <c r="B61" s="182">
        <f t="shared" si="0"/>
        <v>211</v>
      </c>
      <c r="C61" s="194">
        <v>37.54</v>
      </c>
      <c r="D61" s="121"/>
    </row>
    <row r="62" spans="1:4">
      <c r="A62" s="265">
        <v>59</v>
      </c>
      <c r="B62" s="182">
        <f t="shared" si="0"/>
        <v>210</v>
      </c>
      <c r="C62" s="194">
        <v>36.69</v>
      </c>
      <c r="D62" s="121"/>
    </row>
    <row r="63" spans="1:4">
      <c r="A63" s="265">
        <v>60</v>
      </c>
      <c r="B63" s="182">
        <f t="shared" si="0"/>
        <v>209</v>
      </c>
      <c r="C63" s="194">
        <v>36.47</v>
      </c>
      <c r="D63" s="121"/>
    </row>
    <row r="64" spans="1:4">
      <c r="A64" s="265">
        <v>61</v>
      </c>
      <c r="B64" s="182">
        <f t="shared" si="0"/>
        <v>208</v>
      </c>
      <c r="C64" s="194">
        <v>36.49</v>
      </c>
      <c r="D64" s="121"/>
    </row>
    <row r="65" spans="1:4">
      <c r="A65" s="265">
        <v>62</v>
      </c>
      <c r="B65" s="182">
        <f t="shared" si="0"/>
        <v>207</v>
      </c>
      <c r="C65" s="194">
        <v>36.67</v>
      </c>
      <c r="D65" s="121"/>
    </row>
    <row r="66" spans="1:4">
      <c r="A66" s="265">
        <v>63</v>
      </c>
      <c r="B66" s="182">
        <f t="shared" si="0"/>
        <v>206</v>
      </c>
      <c r="C66" s="194">
        <v>36.69</v>
      </c>
      <c r="D66" s="121"/>
    </row>
    <row r="67" spans="1:4">
      <c r="A67" s="265">
        <v>64</v>
      </c>
      <c r="B67" s="182">
        <f t="shared" si="0"/>
        <v>205</v>
      </c>
      <c r="C67" s="194">
        <v>36.56</v>
      </c>
      <c r="D67" s="121"/>
    </row>
    <row r="68" spans="1:4">
      <c r="A68" s="265">
        <v>65</v>
      </c>
      <c r="B68" s="182">
        <f t="shared" si="0"/>
        <v>204</v>
      </c>
      <c r="C68" s="194">
        <v>36.549999999999997</v>
      </c>
      <c r="D68" s="121"/>
    </row>
    <row r="69" spans="1:4">
      <c r="A69" s="265">
        <v>66</v>
      </c>
      <c r="B69" s="182">
        <f t="shared" si="0"/>
        <v>203</v>
      </c>
      <c r="C69" s="194">
        <v>36.44</v>
      </c>
      <c r="D69" s="121"/>
    </row>
    <row r="70" spans="1:4">
      <c r="A70" s="265">
        <v>67</v>
      </c>
      <c r="B70" s="182">
        <f t="shared" ref="B70:B133" si="1">B69-1</f>
        <v>202</v>
      </c>
      <c r="C70" s="194">
        <v>36.549999999999997</v>
      </c>
      <c r="D70" s="121"/>
    </row>
    <row r="71" spans="1:4">
      <c r="A71" s="265">
        <v>68</v>
      </c>
      <c r="B71" s="182">
        <f t="shared" si="1"/>
        <v>201</v>
      </c>
      <c r="C71" s="194">
        <v>36.409999999999997</v>
      </c>
      <c r="D71" s="121"/>
    </row>
    <row r="72" spans="1:4">
      <c r="A72" s="265">
        <v>69</v>
      </c>
      <c r="B72" s="182">
        <f t="shared" si="1"/>
        <v>200</v>
      </c>
      <c r="C72" s="194">
        <v>36.72</v>
      </c>
      <c r="D72" s="121"/>
    </row>
    <row r="73" spans="1:4">
      <c r="A73" s="265">
        <v>70</v>
      </c>
      <c r="B73" s="182">
        <f t="shared" si="1"/>
        <v>199</v>
      </c>
      <c r="C73" s="194">
        <v>36.869999999999997</v>
      </c>
      <c r="D73" s="121"/>
    </row>
    <row r="74" spans="1:4">
      <c r="A74" s="265">
        <v>71</v>
      </c>
      <c r="B74" s="182">
        <f t="shared" si="1"/>
        <v>198</v>
      </c>
      <c r="C74" s="194">
        <v>36.74</v>
      </c>
      <c r="D74" s="121"/>
    </row>
    <row r="75" spans="1:4">
      <c r="A75" s="265">
        <v>72</v>
      </c>
      <c r="B75" s="182">
        <f t="shared" si="1"/>
        <v>197</v>
      </c>
      <c r="C75" s="194">
        <v>36.119999999999997</v>
      </c>
      <c r="D75" s="121"/>
    </row>
    <row r="76" spans="1:4">
      <c r="A76" s="265">
        <v>73</v>
      </c>
      <c r="B76" s="182">
        <f t="shared" si="1"/>
        <v>196</v>
      </c>
      <c r="C76" s="194">
        <v>36.58</v>
      </c>
      <c r="D76" s="121"/>
    </row>
    <row r="77" spans="1:4">
      <c r="A77" s="265">
        <v>74</v>
      </c>
      <c r="B77" s="182">
        <f t="shared" si="1"/>
        <v>195</v>
      </c>
      <c r="C77" s="194">
        <v>36.380000000000003</v>
      </c>
      <c r="D77" s="121"/>
    </row>
    <row r="78" spans="1:4">
      <c r="A78" s="265">
        <v>75</v>
      </c>
      <c r="B78" s="182">
        <f t="shared" si="1"/>
        <v>194</v>
      </c>
      <c r="C78" s="194">
        <v>36.43</v>
      </c>
      <c r="D78" s="121"/>
    </row>
    <row r="79" spans="1:4">
      <c r="A79" s="265">
        <v>76</v>
      </c>
      <c r="B79" s="182">
        <f t="shared" si="1"/>
        <v>193</v>
      </c>
      <c r="C79" s="194">
        <v>36.82</v>
      </c>
      <c r="D79" s="121"/>
    </row>
    <row r="80" spans="1:4">
      <c r="A80" s="265">
        <v>77</v>
      </c>
      <c r="B80" s="182">
        <f t="shared" si="1"/>
        <v>192</v>
      </c>
      <c r="C80" s="194">
        <v>35.96</v>
      </c>
      <c r="D80" s="121"/>
    </row>
    <row r="81" spans="1:4">
      <c r="A81" s="265">
        <v>78</v>
      </c>
      <c r="B81" s="182">
        <f t="shared" si="1"/>
        <v>191</v>
      </c>
      <c r="C81" s="194">
        <v>36.92</v>
      </c>
      <c r="D81" s="121"/>
    </row>
    <row r="82" spans="1:4">
      <c r="A82" s="265">
        <v>79</v>
      </c>
      <c r="B82" s="182">
        <f t="shared" si="1"/>
        <v>190</v>
      </c>
      <c r="C82" s="194">
        <v>37.21</v>
      </c>
      <c r="D82" s="121"/>
    </row>
    <row r="83" spans="1:4">
      <c r="A83" s="265">
        <v>80</v>
      </c>
      <c r="B83" s="182">
        <f t="shared" si="1"/>
        <v>189</v>
      </c>
      <c r="C83" s="194">
        <v>36.69</v>
      </c>
      <c r="D83" s="121"/>
    </row>
    <row r="84" spans="1:4">
      <c r="A84" s="265">
        <v>81</v>
      </c>
      <c r="B84" s="182">
        <f t="shared" si="1"/>
        <v>188</v>
      </c>
      <c r="C84" s="194">
        <v>37.25</v>
      </c>
      <c r="D84" s="121"/>
    </row>
    <row r="85" spans="1:4">
      <c r="A85" s="265">
        <v>82</v>
      </c>
      <c r="B85" s="182">
        <f t="shared" si="1"/>
        <v>187</v>
      </c>
      <c r="C85" s="194">
        <v>36.86</v>
      </c>
      <c r="D85" s="121"/>
    </row>
    <row r="86" spans="1:4">
      <c r="A86" s="265">
        <v>83</v>
      </c>
      <c r="B86" s="182">
        <f t="shared" si="1"/>
        <v>186</v>
      </c>
      <c r="C86" s="194">
        <v>37.07</v>
      </c>
      <c r="D86" s="121"/>
    </row>
    <row r="87" spans="1:4">
      <c r="A87" s="265">
        <v>84</v>
      </c>
      <c r="B87" s="182">
        <f t="shared" si="1"/>
        <v>185</v>
      </c>
      <c r="C87" s="194">
        <v>36.950000000000003</v>
      </c>
      <c r="D87" s="121"/>
    </row>
    <row r="88" spans="1:4">
      <c r="A88" s="265">
        <v>85</v>
      </c>
      <c r="B88" s="182">
        <f t="shared" si="1"/>
        <v>184</v>
      </c>
      <c r="C88" s="194">
        <v>36.770000000000003</v>
      </c>
      <c r="D88" s="121"/>
    </row>
    <row r="89" spans="1:4">
      <c r="A89" s="265">
        <v>86</v>
      </c>
      <c r="B89" s="182">
        <f t="shared" si="1"/>
        <v>183</v>
      </c>
      <c r="C89" s="194">
        <v>37.14</v>
      </c>
      <c r="D89" s="121"/>
    </row>
    <row r="90" spans="1:4">
      <c r="A90" s="265">
        <v>87</v>
      </c>
      <c r="B90" s="182">
        <f t="shared" si="1"/>
        <v>182</v>
      </c>
      <c r="C90" s="194">
        <v>36.630000000000003</v>
      </c>
      <c r="D90" s="121"/>
    </row>
    <row r="91" spans="1:4">
      <c r="A91" s="265">
        <v>88</v>
      </c>
      <c r="B91" s="182">
        <f t="shared" si="1"/>
        <v>181</v>
      </c>
      <c r="C91" s="194">
        <v>37</v>
      </c>
      <c r="D91" s="121"/>
    </row>
    <row r="92" spans="1:4">
      <c r="A92" s="265">
        <v>89</v>
      </c>
      <c r="B92" s="182">
        <f t="shared" si="1"/>
        <v>180</v>
      </c>
      <c r="C92" s="194">
        <v>36.79</v>
      </c>
      <c r="D92" s="121"/>
    </row>
    <row r="93" spans="1:4">
      <c r="A93" s="265">
        <v>90</v>
      </c>
      <c r="B93" s="182">
        <f t="shared" si="1"/>
        <v>179</v>
      </c>
      <c r="C93" s="194">
        <v>36.72</v>
      </c>
      <c r="D93" s="121"/>
    </row>
    <row r="94" spans="1:4">
      <c r="A94" s="265">
        <v>91</v>
      </c>
      <c r="B94" s="182">
        <f t="shared" si="1"/>
        <v>178</v>
      </c>
      <c r="C94" s="194">
        <v>36.86</v>
      </c>
      <c r="D94" s="121"/>
    </row>
    <row r="95" spans="1:4">
      <c r="A95" s="265">
        <v>92</v>
      </c>
      <c r="B95" s="182">
        <f t="shared" si="1"/>
        <v>177</v>
      </c>
      <c r="C95" s="194">
        <v>37.42</v>
      </c>
      <c r="D95" s="121"/>
    </row>
    <row r="96" spans="1:4">
      <c r="A96" s="265">
        <v>93</v>
      </c>
      <c r="B96" s="182">
        <f t="shared" si="1"/>
        <v>176</v>
      </c>
      <c r="C96" s="194">
        <v>37.340000000000003</v>
      </c>
      <c r="D96" s="121"/>
    </row>
    <row r="97" spans="1:4">
      <c r="A97" s="265">
        <v>94</v>
      </c>
      <c r="B97" s="182">
        <f t="shared" si="1"/>
        <v>175</v>
      </c>
      <c r="C97" s="194">
        <v>36.799999999999997</v>
      </c>
      <c r="D97" s="121"/>
    </row>
    <row r="98" spans="1:4">
      <c r="A98" s="265">
        <v>95</v>
      </c>
      <c r="B98" s="182">
        <f t="shared" si="1"/>
        <v>174</v>
      </c>
      <c r="C98" s="194">
        <v>36.75</v>
      </c>
      <c r="D98" s="121"/>
    </row>
    <row r="99" spans="1:4">
      <c r="A99" s="265">
        <v>96</v>
      </c>
      <c r="B99" s="182">
        <f t="shared" si="1"/>
        <v>173</v>
      </c>
      <c r="C99" s="194">
        <v>35.76</v>
      </c>
      <c r="D99" s="121"/>
    </row>
    <row r="100" spans="1:4">
      <c r="A100" s="265">
        <v>97</v>
      </c>
      <c r="B100" s="182">
        <f t="shared" si="1"/>
        <v>172</v>
      </c>
      <c r="C100" s="194">
        <v>36.44</v>
      </c>
      <c r="D100" s="121"/>
    </row>
    <row r="101" spans="1:4">
      <c r="A101" s="265">
        <v>98</v>
      </c>
      <c r="B101" s="182">
        <f t="shared" si="1"/>
        <v>171</v>
      </c>
      <c r="C101" s="194">
        <v>36.64</v>
      </c>
      <c r="D101" s="121"/>
    </row>
    <row r="102" spans="1:4">
      <c r="A102" s="265">
        <v>99</v>
      </c>
      <c r="B102" s="182">
        <f t="shared" si="1"/>
        <v>170</v>
      </c>
      <c r="C102" s="194">
        <v>36.36</v>
      </c>
      <c r="D102" s="121"/>
    </row>
    <row r="103" spans="1:4">
      <c r="A103" s="265">
        <v>100</v>
      </c>
      <c r="B103" s="182">
        <f t="shared" si="1"/>
        <v>169</v>
      </c>
      <c r="C103" s="194">
        <v>37.14</v>
      </c>
      <c r="D103" s="121"/>
    </row>
    <row r="104" spans="1:4">
      <c r="A104" s="265">
        <v>101</v>
      </c>
      <c r="B104" s="182">
        <f t="shared" si="1"/>
        <v>168</v>
      </c>
      <c r="C104" s="194">
        <v>36.94</v>
      </c>
      <c r="D104" s="121"/>
    </row>
    <row r="105" spans="1:4">
      <c r="A105" s="265">
        <v>102</v>
      </c>
      <c r="B105" s="182">
        <f t="shared" si="1"/>
        <v>167</v>
      </c>
      <c r="C105" s="194">
        <v>36.299999999999997</v>
      </c>
      <c r="D105" s="121"/>
    </row>
    <row r="106" spans="1:4">
      <c r="A106" s="265">
        <v>103</v>
      </c>
      <c r="B106" s="182">
        <f t="shared" si="1"/>
        <v>166</v>
      </c>
      <c r="C106" s="194">
        <v>36.18</v>
      </c>
      <c r="D106" s="121"/>
    </row>
    <row r="107" spans="1:4">
      <c r="A107" s="265">
        <v>104</v>
      </c>
      <c r="B107" s="182">
        <f t="shared" si="1"/>
        <v>165</v>
      </c>
      <c r="C107" s="194">
        <v>36.85</v>
      </c>
      <c r="D107" s="121"/>
    </row>
    <row r="108" spans="1:4">
      <c r="A108" s="265">
        <v>105</v>
      </c>
      <c r="B108" s="182">
        <f t="shared" si="1"/>
        <v>164</v>
      </c>
      <c r="C108" s="194">
        <v>36.880000000000003</v>
      </c>
      <c r="D108" s="121"/>
    </row>
    <row r="109" spans="1:4">
      <c r="A109" s="265">
        <v>106</v>
      </c>
      <c r="B109" s="182">
        <f t="shared" si="1"/>
        <v>163</v>
      </c>
      <c r="C109" s="194">
        <v>36.49</v>
      </c>
      <c r="D109" s="121"/>
    </row>
    <row r="110" spans="1:4">
      <c r="A110" s="265">
        <v>107</v>
      </c>
      <c r="B110" s="182">
        <f t="shared" si="1"/>
        <v>162</v>
      </c>
      <c r="C110" s="194">
        <v>36.69</v>
      </c>
      <c r="D110" s="121"/>
    </row>
    <row r="111" spans="1:4">
      <c r="A111" s="265">
        <v>108</v>
      </c>
      <c r="B111" s="182">
        <f t="shared" si="1"/>
        <v>161</v>
      </c>
      <c r="C111" s="194">
        <v>36.549999999999997</v>
      </c>
      <c r="D111" s="121"/>
    </row>
    <row r="112" spans="1:4">
      <c r="A112" s="265">
        <v>109</v>
      </c>
      <c r="B112" s="182">
        <f t="shared" si="1"/>
        <v>160</v>
      </c>
      <c r="C112" s="194">
        <v>36.520000000000003</v>
      </c>
      <c r="D112" s="121"/>
    </row>
    <row r="113" spans="1:4">
      <c r="A113" s="265">
        <v>110</v>
      </c>
      <c r="B113" s="182">
        <f t="shared" si="1"/>
        <v>159</v>
      </c>
      <c r="C113" s="194">
        <v>36.04</v>
      </c>
      <c r="D113" s="121"/>
    </row>
    <row r="114" spans="1:4">
      <c r="A114" s="265">
        <v>111</v>
      </c>
      <c r="B114" s="182">
        <f t="shared" si="1"/>
        <v>158</v>
      </c>
      <c r="C114" s="194">
        <v>36.590000000000003</v>
      </c>
      <c r="D114" s="121"/>
    </row>
    <row r="115" spans="1:4">
      <c r="A115" s="265">
        <v>112</v>
      </c>
      <c r="B115" s="182">
        <f t="shared" si="1"/>
        <v>157</v>
      </c>
      <c r="C115" s="194">
        <v>36.43</v>
      </c>
      <c r="D115" s="121"/>
    </row>
    <row r="116" spans="1:4">
      <c r="A116" s="265">
        <v>113</v>
      </c>
      <c r="B116" s="182">
        <f t="shared" si="1"/>
        <v>156</v>
      </c>
      <c r="C116" s="194">
        <v>36.31</v>
      </c>
      <c r="D116" s="121"/>
    </row>
    <row r="117" spans="1:4">
      <c r="A117" s="265">
        <v>114</v>
      </c>
      <c r="B117" s="182">
        <f t="shared" si="1"/>
        <v>155</v>
      </c>
      <c r="C117" s="194">
        <v>36.1</v>
      </c>
      <c r="D117" s="121"/>
    </row>
    <row r="118" spans="1:4">
      <c r="A118" s="265">
        <v>115</v>
      </c>
      <c r="B118" s="182">
        <f t="shared" si="1"/>
        <v>154</v>
      </c>
      <c r="C118" s="194">
        <v>36.07</v>
      </c>
      <c r="D118" s="121"/>
    </row>
    <row r="119" spans="1:4">
      <c r="A119" s="265">
        <v>116</v>
      </c>
      <c r="B119" s="182">
        <f t="shared" si="1"/>
        <v>153</v>
      </c>
      <c r="C119" s="194">
        <v>36.700000000000003</v>
      </c>
      <c r="D119" s="121"/>
    </row>
    <row r="120" spans="1:4">
      <c r="A120" s="265">
        <v>117</v>
      </c>
      <c r="B120" s="182">
        <f t="shared" si="1"/>
        <v>152</v>
      </c>
      <c r="C120" s="194">
        <v>37.479999999999997</v>
      </c>
      <c r="D120" s="121"/>
    </row>
    <row r="121" spans="1:4">
      <c r="A121" s="265">
        <v>118</v>
      </c>
      <c r="B121" s="182">
        <f t="shared" si="1"/>
        <v>151</v>
      </c>
      <c r="C121" s="194">
        <v>37</v>
      </c>
      <c r="D121" s="121"/>
    </row>
    <row r="122" spans="1:4">
      <c r="A122" s="265">
        <v>119</v>
      </c>
      <c r="B122" s="182">
        <f t="shared" si="1"/>
        <v>150</v>
      </c>
      <c r="C122" s="194">
        <v>36.82</v>
      </c>
      <c r="D122" s="121"/>
    </row>
    <row r="123" spans="1:4">
      <c r="A123" s="265">
        <v>120</v>
      </c>
      <c r="B123" s="182">
        <f t="shared" si="1"/>
        <v>149</v>
      </c>
      <c r="C123" s="194">
        <v>36.950000000000003</v>
      </c>
      <c r="D123" s="121"/>
    </row>
    <row r="124" spans="1:4">
      <c r="A124" s="265">
        <v>121</v>
      </c>
      <c r="B124" s="182">
        <f t="shared" si="1"/>
        <v>148</v>
      </c>
      <c r="C124" s="194">
        <v>36.72</v>
      </c>
      <c r="D124" s="121"/>
    </row>
    <row r="125" spans="1:4">
      <c r="A125" s="265">
        <v>122</v>
      </c>
      <c r="B125" s="182">
        <f t="shared" si="1"/>
        <v>147</v>
      </c>
      <c r="C125" s="194">
        <v>37.01</v>
      </c>
      <c r="D125" s="121"/>
    </row>
    <row r="126" spans="1:4">
      <c r="A126" s="265">
        <v>123</v>
      </c>
      <c r="B126" s="182">
        <f t="shared" si="1"/>
        <v>146</v>
      </c>
      <c r="C126" s="194">
        <v>36.51</v>
      </c>
      <c r="D126" s="121"/>
    </row>
    <row r="127" spans="1:4">
      <c r="A127" s="265">
        <v>124</v>
      </c>
      <c r="B127" s="182">
        <f t="shared" si="1"/>
        <v>145</v>
      </c>
      <c r="C127" s="194">
        <v>36.68</v>
      </c>
      <c r="D127" s="121"/>
    </row>
    <row r="128" spans="1:4">
      <c r="A128" s="265">
        <v>125</v>
      </c>
      <c r="B128" s="182">
        <f t="shared" si="1"/>
        <v>144</v>
      </c>
      <c r="C128" s="194">
        <v>35.200000000000003</v>
      </c>
      <c r="D128" s="121"/>
    </row>
    <row r="129" spans="1:4">
      <c r="A129" s="265">
        <v>126</v>
      </c>
      <c r="B129" s="182">
        <f t="shared" si="1"/>
        <v>143</v>
      </c>
      <c r="C129" s="194">
        <v>36.93</v>
      </c>
      <c r="D129" s="121"/>
    </row>
    <row r="130" spans="1:4">
      <c r="A130" s="265">
        <v>127</v>
      </c>
      <c r="B130" s="182">
        <f t="shared" si="1"/>
        <v>142</v>
      </c>
      <c r="C130" s="194">
        <v>36.61</v>
      </c>
      <c r="D130" s="121"/>
    </row>
    <row r="131" spans="1:4">
      <c r="A131" s="265">
        <v>128</v>
      </c>
      <c r="B131" s="182">
        <f t="shared" si="1"/>
        <v>141</v>
      </c>
      <c r="C131" s="194">
        <v>36.85</v>
      </c>
      <c r="D131" s="121"/>
    </row>
    <row r="132" spans="1:4">
      <c r="A132" s="265">
        <v>129</v>
      </c>
      <c r="B132" s="182">
        <f t="shared" si="1"/>
        <v>140</v>
      </c>
      <c r="C132" s="194">
        <v>36.67</v>
      </c>
      <c r="D132" s="121"/>
    </row>
    <row r="133" spans="1:4">
      <c r="A133" s="265">
        <v>130</v>
      </c>
      <c r="B133" s="182">
        <f t="shared" si="1"/>
        <v>139</v>
      </c>
      <c r="C133" s="194">
        <v>36.76</v>
      </c>
      <c r="D133" s="121"/>
    </row>
    <row r="134" spans="1:4">
      <c r="A134" s="265">
        <v>131</v>
      </c>
      <c r="B134" s="182">
        <f t="shared" ref="B134:B197" si="2">B133-1</f>
        <v>138</v>
      </c>
      <c r="C134" s="194">
        <v>36.85</v>
      </c>
      <c r="D134" s="121"/>
    </row>
    <row r="135" spans="1:4">
      <c r="A135" s="265">
        <v>132</v>
      </c>
      <c r="B135" s="182">
        <f t="shared" si="2"/>
        <v>137</v>
      </c>
      <c r="C135" s="194">
        <v>36.76</v>
      </c>
      <c r="D135" s="121"/>
    </row>
    <row r="136" spans="1:4">
      <c r="A136" s="265">
        <v>133</v>
      </c>
      <c r="B136" s="182">
        <f t="shared" si="2"/>
        <v>136</v>
      </c>
      <c r="C136" s="194">
        <v>36.33</v>
      </c>
      <c r="D136" s="121"/>
    </row>
    <row r="137" spans="1:4">
      <c r="A137" s="265">
        <v>134</v>
      </c>
      <c r="B137" s="182">
        <f t="shared" si="2"/>
        <v>135</v>
      </c>
      <c r="C137" s="194">
        <v>36.85</v>
      </c>
      <c r="D137" s="121"/>
    </row>
    <row r="138" spans="1:4">
      <c r="A138" s="265">
        <v>135</v>
      </c>
      <c r="B138" s="182">
        <f t="shared" si="2"/>
        <v>134</v>
      </c>
      <c r="C138" s="194">
        <v>36.67</v>
      </c>
      <c r="D138" s="121"/>
    </row>
    <row r="139" spans="1:4">
      <c r="A139" s="265">
        <v>136</v>
      </c>
      <c r="B139" s="182">
        <f t="shared" si="2"/>
        <v>133</v>
      </c>
      <c r="C139" s="194">
        <v>36.72</v>
      </c>
      <c r="D139" s="121"/>
    </row>
    <row r="140" spans="1:4">
      <c r="A140" s="265">
        <v>137</v>
      </c>
      <c r="B140" s="182">
        <f t="shared" si="2"/>
        <v>132</v>
      </c>
      <c r="C140" s="194">
        <v>36.69</v>
      </c>
      <c r="D140" s="121"/>
    </row>
    <row r="141" spans="1:4">
      <c r="A141" s="265">
        <v>138</v>
      </c>
      <c r="B141" s="182">
        <f t="shared" si="2"/>
        <v>131</v>
      </c>
      <c r="C141" s="194">
        <v>36.799999999999997</v>
      </c>
      <c r="D141" s="121"/>
    </row>
    <row r="142" spans="1:4">
      <c r="A142" s="265">
        <v>139</v>
      </c>
      <c r="B142" s="182">
        <f t="shared" si="2"/>
        <v>130</v>
      </c>
      <c r="C142" s="194">
        <v>34.97</v>
      </c>
      <c r="D142" s="121"/>
    </row>
    <row r="143" spans="1:4">
      <c r="A143" s="265">
        <v>140</v>
      </c>
      <c r="B143" s="182">
        <f t="shared" si="2"/>
        <v>129</v>
      </c>
      <c r="C143" s="194">
        <v>36.909999999999997</v>
      </c>
      <c r="D143" s="121"/>
    </row>
    <row r="144" spans="1:4">
      <c r="A144" s="265">
        <v>141</v>
      </c>
      <c r="B144" s="182">
        <f t="shared" si="2"/>
        <v>128</v>
      </c>
      <c r="C144" s="194">
        <v>37.1</v>
      </c>
      <c r="D144" s="121"/>
    </row>
    <row r="145" spans="1:4">
      <c r="A145" s="265">
        <v>142</v>
      </c>
      <c r="B145" s="182">
        <f t="shared" si="2"/>
        <v>127</v>
      </c>
      <c r="C145" s="194">
        <v>36.69</v>
      </c>
      <c r="D145" s="121"/>
    </row>
    <row r="146" spans="1:4">
      <c r="A146" s="265">
        <v>143</v>
      </c>
      <c r="B146" s="182">
        <f t="shared" si="2"/>
        <v>126</v>
      </c>
      <c r="C146" s="194">
        <v>36.42</v>
      </c>
      <c r="D146" s="121"/>
    </row>
    <row r="147" spans="1:4">
      <c r="A147" s="265">
        <v>144</v>
      </c>
      <c r="B147" s="182">
        <f t="shared" si="2"/>
        <v>125</v>
      </c>
      <c r="C147" s="194">
        <v>36.729999999999997</v>
      </c>
      <c r="D147" s="121"/>
    </row>
    <row r="148" spans="1:4">
      <c r="A148" s="265">
        <v>145</v>
      </c>
      <c r="B148" s="182">
        <f t="shared" si="2"/>
        <v>124</v>
      </c>
      <c r="C148" s="194">
        <v>36.619999999999997</v>
      </c>
      <c r="D148" s="121"/>
    </row>
    <row r="149" spans="1:4">
      <c r="A149" s="265">
        <v>146</v>
      </c>
      <c r="B149" s="182">
        <f t="shared" si="2"/>
        <v>123</v>
      </c>
      <c r="C149" s="194">
        <v>36.33</v>
      </c>
      <c r="D149" s="121"/>
    </row>
    <row r="150" spans="1:4">
      <c r="A150" s="265">
        <v>147</v>
      </c>
      <c r="B150" s="182">
        <f t="shared" si="2"/>
        <v>122</v>
      </c>
      <c r="C150" s="194">
        <v>36.68</v>
      </c>
      <c r="D150" s="121"/>
    </row>
    <row r="151" spans="1:4">
      <c r="A151" s="265">
        <v>148</v>
      </c>
      <c r="B151" s="182">
        <f t="shared" si="2"/>
        <v>121</v>
      </c>
      <c r="C151" s="194">
        <v>36.81</v>
      </c>
      <c r="D151" s="121"/>
    </row>
    <row r="152" spans="1:4">
      <c r="A152" s="265">
        <v>149</v>
      </c>
      <c r="B152" s="182">
        <f t="shared" si="2"/>
        <v>120</v>
      </c>
      <c r="C152" s="194">
        <v>34.75</v>
      </c>
      <c r="D152" s="121"/>
    </row>
    <row r="153" spans="1:4">
      <c r="A153" s="265">
        <v>150</v>
      </c>
      <c r="B153" s="182">
        <f t="shared" si="2"/>
        <v>119</v>
      </c>
      <c r="C153" s="194">
        <v>37.270000000000003</v>
      </c>
      <c r="D153" s="121"/>
    </row>
    <row r="154" spans="1:4">
      <c r="A154" s="265">
        <v>151</v>
      </c>
      <c r="B154" s="182">
        <f t="shared" si="2"/>
        <v>118</v>
      </c>
      <c r="C154" s="194">
        <v>35.270000000000003</v>
      </c>
      <c r="D154" s="121"/>
    </row>
    <row r="155" spans="1:4">
      <c r="A155" s="265">
        <v>152</v>
      </c>
      <c r="B155" s="182">
        <f t="shared" si="2"/>
        <v>117</v>
      </c>
      <c r="C155" s="194">
        <v>36.380000000000003</v>
      </c>
      <c r="D155" s="121"/>
    </row>
    <row r="156" spans="1:4">
      <c r="A156" s="265">
        <v>153</v>
      </c>
      <c r="B156" s="182">
        <f t="shared" si="2"/>
        <v>116</v>
      </c>
      <c r="C156" s="194">
        <v>36.729999999999997</v>
      </c>
      <c r="D156" s="121"/>
    </row>
    <row r="157" spans="1:4">
      <c r="A157" s="265">
        <v>154</v>
      </c>
      <c r="B157" s="182">
        <f t="shared" si="2"/>
        <v>115</v>
      </c>
      <c r="C157" s="194">
        <v>36.64</v>
      </c>
      <c r="D157" s="121"/>
    </row>
    <row r="158" spans="1:4">
      <c r="A158" s="265">
        <v>155</v>
      </c>
      <c r="B158" s="182">
        <f t="shared" si="2"/>
        <v>114</v>
      </c>
      <c r="C158" s="194">
        <v>36.58</v>
      </c>
      <c r="D158" s="121"/>
    </row>
    <row r="159" spans="1:4">
      <c r="A159" s="265">
        <v>156</v>
      </c>
      <c r="B159" s="182">
        <f t="shared" si="2"/>
        <v>113</v>
      </c>
      <c r="C159" s="194">
        <v>36.35</v>
      </c>
      <c r="D159" s="121"/>
    </row>
    <row r="160" spans="1:4">
      <c r="A160" s="265">
        <v>157</v>
      </c>
      <c r="B160" s="182">
        <f t="shared" si="2"/>
        <v>112</v>
      </c>
      <c r="C160" s="194">
        <v>36.6</v>
      </c>
      <c r="D160" s="121"/>
    </row>
    <row r="161" spans="1:4">
      <c r="A161" s="265">
        <v>158</v>
      </c>
      <c r="B161" s="182">
        <f t="shared" si="2"/>
        <v>111</v>
      </c>
      <c r="C161" s="194">
        <v>36.270000000000003</v>
      </c>
      <c r="D161" s="121"/>
    </row>
    <row r="162" spans="1:4">
      <c r="A162" s="265">
        <v>159</v>
      </c>
      <c r="B162" s="182">
        <f t="shared" si="2"/>
        <v>110</v>
      </c>
      <c r="C162" s="194">
        <v>36.93</v>
      </c>
      <c r="D162" s="121"/>
    </row>
    <row r="163" spans="1:4">
      <c r="A163" s="265">
        <v>160</v>
      </c>
      <c r="B163" s="182">
        <f t="shared" si="2"/>
        <v>109</v>
      </c>
      <c r="C163" s="194">
        <v>36.89</v>
      </c>
      <c r="D163" s="121"/>
    </row>
    <row r="164" spans="1:4">
      <c r="A164" s="265">
        <v>161</v>
      </c>
      <c r="B164" s="182">
        <f t="shared" si="2"/>
        <v>108</v>
      </c>
      <c r="C164" s="194">
        <v>36.94</v>
      </c>
      <c r="D164" s="121"/>
    </row>
    <row r="165" spans="1:4">
      <c r="A165" s="265">
        <v>162</v>
      </c>
      <c r="B165" s="182">
        <f t="shared" si="2"/>
        <v>107</v>
      </c>
      <c r="C165" s="194">
        <v>37.17</v>
      </c>
      <c r="D165" s="121"/>
    </row>
    <row r="166" spans="1:4">
      <c r="A166" s="265">
        <v>163</v>
      </c>
      <c r="B166" s="182">
        <f t="shared" si="2"/>
        <v>106</v>
      </c>
      <c r="C166" s="194">
        <v>36.799999999999997</v>
      </c>
      <c r="D166" s="121"/>
    </row>
    <row r="167" spans="1:4">
      <c r="A167" s="265">
        <v>164</v>
      </c>
      <c r="B167" s="182">
        <f t="shared" si="2"/>
        <v>105</v>
      </c>
      <c r="C167" s="194">
        <v>36.72</v>
      </c>
      <c r="D167" s="121"/>
    </row>
    <row r="168" spans="1:4">
      <c r="A168" s="265">
        <v>165</v>
      </c>
      <c r="B168" s="182">
        <f t="shared" si="2"/>
        <v>104</v>
      </c>
      <c r="C168" s="194">
        <v>36.340000000000003</v>
      </c>
      <c r="D168" s="121"/>
    </row>
    <row r="169" spans="1:4">
      <c r="A169" s="265">
        <v>166</v>
      </c>
      <c r="B169" s="182">
        <f t="shared" si="2"/>
        <v>103</v>
      </c>
      <c r="C169" s="194">
        <v>36.47</v>
      </c>
      <c r="D169" s="121"/>
    </row>
    <row r="170" spans="1:4">
      <c r="A170" s="265">
        <v>167</v>
      </c>
      <c r="B170" s="182">
        <f t="shared" si="2"/>
        <v>102</v>
      </c>
      <c r="C170" s="194">
        <v>36.43</v>
      </c>
      <c r="D170" s="121"/>
    </row>
    <row r="171" spans="1:4">
      <c r="A171" s="265">
        <v>168</v>
      </c>
      <c r="B171" s="182">
        <f t="shared" si="2"/>
        <v>101</v>
      </c>
      <c r="C171" s="194">
        <v>37.18</v>
      </c>
      <c r="D171" s="121"/>
    </row>
    <row r="172" spans="1:4">
      <c r="A172" s="265">
        <v>169</v>
      </c>
      <c r="B172" s="182">
        <f t="shared" si="2"/>
        <v>100</v>
      </c>
      <c r="C172" s="194">
        <v>36.39</v>
      </c>
      <c r="D172" s="121"/>
    </row>
    <row r="173" spans="1:4">
      <c r="A173" s="265">
        <v>170</v>
      </c>
      <c r="B173" s="182">
        <f t="shared" si="2"/>
        <v>99</v>
      </c>
      <c r="C173" s="194">
        <v>36.4</v>
      </c>
      <c r="D173" s="121"/>
    </row>
    <row r="174" spans="1:4">
      <c r="A174" s="265">
        <v>171</v>
      </c>
      <c r="B174" s="182">
        <f t="shared" si="2"/>
        <v>98</v>
      </c>
      <c r="C174" s="194">
        <v>36.28</v>
      </c>
      <c r="D174" s="121"/>
    </row>
    <row r="175" spans="1:4">
      <c r="A175" s="265">
        <v>172</v>
      </c>
      <c r="B175" s="182">
        <f t="shared" si="2"/>
        <v>97</v>
      </c>
      <c r="C175" s="194">
        <v>36.520000000000003</v>
      </c>
      <c r="D175" s="121"/>
    </row>
    <row r="176" spans="1:4">
      <c r="A176" s="265">
        <v>173</v>
      </c>
      <c r="B176" s="182">
        <f t="shared" si="2"/>
        <v>96</v>
      </c>
      <c r="C176" s="194">
        <v>36.549999999999997</v>
      </c>
      <c r="D176" s="121"/>
    </row>
    <row r="177" spans="1:4">
      <c r="A177" s="265">
        <v>174</v>
      </c>
      <c r="B177" s="182">
        <f t="shared" si="2"/>
        <v>95</v>
      </c>
      <c r="C177" s="194">
        <v>36.799999999999997</v>
      </c>
      <c r="D177" s="121"/>
    </row>
    <row r="178" spans="1:4">
      <c r="A178" s="265">
        <v>175</v>
      </c>
      <c r="B178" s="182">
        <f t="shared" si="2"/>
        <v>94</v>
      </c>
      <c r="C178" s="194">
        <v>36.43</v>
      </c>
      <c r="D178" s="121"/>
    </row>
    <row r="179" spans="1:4">
      <c r="A179" s="265">
        <v>176</v>
      </c>
      <c r="B179" s="182">
        <f t="shared" si="2"/>
        <v>93</v>
      </c>
      <c r="C179" s="194">
        <v>35.75</v>
      </c>
      <c r="D179" s="121"/>
    </row>
    <row r="180" spans="1:4">
      <c r="A180" s="265">
        <v>177</v>
      </c>
      <c r="B180" s="182">
        <f t="shared" si="2"/>
        <v>92</v>
      </c>
      <c r="C180" s="194">
        <v>36.19</v>
      </c>
      <c r="D180" s="121"/>
    </row>
    <row r="181" spans="1:4">
      <c r="A181" s="265">
        <v>178</v>
      </c>
      <c r="B181" s="182">
        <f t="shared" si="2"/>
        <v>91</v>
      </c>
      <c r="C181" s="194">
        <v>36.6</v>
      </c>
      <c r="D181" s="121"/>
    </row>
    <row r="182" spans="1:4">
      <c r="A182" s="265">
        <v>179</v>
      </c>
      <c r="B182" s="182">
        <f t="shared" si="2"/>
        <v>90</v>
      </c>
      <c r="C182" s="194">
        <v>36.700000000000003</v>
      </c>
      <c r="D182" s="121"/>
    </row>
    <row r="183" spans="1:4">
      <c r="A183" s="265">
        <v>180</v>
      </c>
      <c r="B183" s="182">
        <f t="shared" si="2"/>
        <v>89</v>
      </c>
      <c r="C183" s="194">
        <v>36.950000000000003</v>
      </c>
      <c r="D183" s="121"/>
    </row>
    <row r="184" spans="1:4">
      <c r="A184" s="265">
        <v>181</v>
      </c>
      <c r="B184" s="182">
        <f t="shared" si="2"/>
        <v>88</v>
      </c>
      <c r="C184" s="194">
        <v>36.82</v>
      </c>
      <c r="D184" s="121"/>
    </row>
    <row r="185" spans="1:4">
      <c r="A185" s="265">
        <v>182</v>
      </c>
      <c r="B185" s="182">
        <f t="shared" si="2"/>
        <v>87</v>
      </c>
      <c r="C185" s="194">
        <v>36.22</v>
      </c>
      <c r="D185" s="121"/>
    </row>
    <row r="186" spans="1:4">
      <c r="A186" s="265">
        <v>183</v>
      </c>
      <c r="B186" s="182">
        <f t="shared" si="2"/>
        <v>86</v>
      </c>
      <c r="C186" s="194">
        <v>36.03</v>
      </c>
      <c r="D186" s="121"/>
    </row>
    <row r="187" spans="1:4">
      <c r="A187" s="265">
        <v>184</v>
      </c>
      <c r="B187" s="182">
        <f t="shared" si="2"/>
        <v>85</v>
      </c>
      <c r="C187" s="194">
        <v>36.04</v>
      </c>
      <c r="D187" s="121"/>
    </row>
    <row r="188" spans="1:4">
      <c r="A188" s="265">
        <v>185</v>
      </c>
      <c r="B188" s="182">
        <f t="shared" si="2"/>
        <v>84</v>
      </c>
      <c r="C188" s="194">
        <v>36.58</v>
      </c>
      <c r="D188" s="121"/>
    </row>
    <row r="189" spans="1:4">
      <c r="A189" s="265">
        <v>186</v>
      </c>
      <c r="B189" s="182">
        <f t="shared" si="2"/>
        <v>83</v>
      </c>
      <c r="C189" s="194">
        <v>36.729999999999997</v>
      </c>
      <c r="D189" s="121"/>
    </row>
    <row r="190" spans="1:4">
      <c r="A190" s="265">
        <v>187</v>
      </c>
      <c r="B190" s="182">
        <f t="shared" si="2"/>
        <v>82</v>
      </c>
      <c r="C190" s="194">
        <v>36.51</v>
      </c>
      <c r="D190" s="121"/>
    </row>
    <row r="191" spans="1:4">
      <c r="A191" s="265">
        <v>188</v>
      </c>
      <c r="B191" s="182">
        <f t="shared" si="2"/>
        <v>81</v>
      </c>
      <c r="C191" s="194">
        <v>36.29</v>
      </c>
      <c r="D191" s="121"/>
    </row>
    <row r="192" spans="1:4">
      <c r="A192" s="265">
        <v>189</v>
      </c>
      <c r="B192" s="182">
        <f t="shared" si="2"/>
        <v>80</v>
      </c>
      <c r="C192" s="194">
        <v>36.74</v>
      </c>
      <c r="D192" s="121"/>
    </row>
    <row r="193" spans="1:4">
      <c r="A193" s="265">
        <v>190</v>
      </c>
      <c r="B193" s="182">
        <f t="shared" si="2"/>
        <v>79</v>
      </c>
      <c r="C193" s="194">
        <v>36.6</v>
      </c>
      <c r="D193" s="121"/>
    </row>
    <row r="194" spans="1:4">
      <c r="A194" s="265">
        <v>191</v>
      </c>
      <c r="B194" s="182">
        <f t="shared" si="2"/>
        <v>78</v>
      </c>
      <c r="C194" s="194">
        <v>36.130000000000003</v>
      </c>
      <c r="D194" s="121"/>
    </row>
    <row r="195" spans="1:4">
      <c r="A195" s="265">
        <v>192</v>
      </c>
      <c r="B195" s="182">
        <f t="shared" si="2"/>
        <v>77</v>
      </c>
      <c r="C195" s="194">
        <v>36.229999999999997</v>
      </c>
      <c r="D195" s="121"/>
    </row>
    <row r="196" spans="1:4">
      <c r="A196" s="265">
        <v>193</v>
      </c>
      <c r="B196" s="182">
        <f t="shared" si="2"/>
        <v>76</v>
      </c>
      <c r="C196" s="194">
        <v>36.81</v>
      </c>
      <c r="D196" s="121"/>
    </row>
    <row r="197" spans="1:4">
      <c r="A197" s="265">
        <v>194</v>
      </c>
      <c r="B197" s="182">
        <f t="shared" si="2"/>
        <v>75</v>
      </c>
      <c r="C197" s="194">
        <v>36.01</v>
      </c>
      <c r="D197" s="121"/>
    </row>
    <row r="198" spans="1:4">
      <c r="A198" s="265">
        <v>195</v>
      </c>
      <c r="B198" s="182">
        <f t="shared" ref="B198:B225" si="3">B197-1</f>
        <v>74</v>
      </c>
      <c r="C198" s="194">
        <v>36.24</v>
      </c>
      <c r="D198" s="121"/>
    </row>
    <row r="199" spans="1:4">
      <c r="A199" s="265">
        <v>196</v>
      </c>
      <c r="B199" s="182">
        <f t="shared" si="3"/>
        <v>73</v>
      </c>
      <c r="C199" s="194">
        <v>36.03</v>
      </c>
      <c r="D199" s="121"/>
    </row>
    <row r="200" spans="1:4">
      <c r="A200" s="265">
        <v>197</v>
      </c>
      <c r="B200" s="182">
        <f t="shared" si="3"/>
        <v>72</v>
      </c>
      <c r="C200" s="194">
        <v>36.79</v>
      </c>
      <c r="D200" s="121"/>
    </row>
    <row r="201" spans="1:4">
      <c r="A201" s="265">
        <v>198</v>
      </c>
      <c r="B201" s="182">
        <f t="shared" si="3"/>
        <v>71</v>
      </c>
      <c r="C201" s="194">
        <v>36.67</v>
      </c>
      <c r="D201" s="121"/>
    </row>
    <row r="202" spans="1:4">
      <c r="A202" s="265">
        <v>199</v>
      </c>
      <c r="B202" s="182">
        <f t="shared" si="3"/>
        <v>70</v>
      </c>
      <c r="C202" s="194">
        <v>36.409999999999997</v>
      </c>
      <c r="D202" s="121"/>
    </row>
    <row r="203" spans="1:4">
      <c r="A203" s="265">
        <v>200</v>
      </c>
      <c r="B203" s="182">
        <f t="shared" si="3"/>
        <v>69</v>
      </c>
      <c r="C203" s="194">
        <v>36.71</v>
      </c>
      <c r="D203" s="121"/>
    </row>
    <row r="204" spans="1:4">
      <c r="A204" s="265">
        <v>201</v>
      </c>
      <c r="B204" s="182">
        <f t="shared" si="3"/>
        <v>68</v>
      </c>
      <c r="C204" s="194">
        <v>36.51</v>
      </c>
      <c r="D204" s="121"/>
    </row>
    <row r="205" spans="1:4">
      <c r="A205" s="265">
        <v>202</v>
      </c>
      <c r="B205" s="182">
        <f t="shared" si="3"/>
        <v>67</v>
      </c>
      <c r="C205" s="194">
        <v>36.53</v>
      </c>
      <c r="D205" s="121"/>
    </row>
    <row r="206" spans="1:4">
      <c r="A206" s="265">
        <v>203</v>
      </c>
      <c r="B206" s="182">
        <f t="shared" si="3"/>
        <v>66</v>
      </c>
      <c r="C206" s="194">
        <v>36.75</v>
      </c>
      <c r="D206" s="121"/>
    </row>
    <row r="207" spans="1:4">
      <c r="A207" s="265">
        <v>204</v>
      </c>
      <c r="B207" s="182">
        <f t="shared" si="3"/>
        <v>65</v>
      </c>
      <c r="C207" s="194">
        <v>35.18</v>
      </c>
      <c r="D207" s="121"/>
    </row>
    <row r="208" spans="1:4">
      <c r="A208" s="265">
        <v>205</v>
      </c>
      <c r="B208" s="182">
        <f t="shared" si="3"/>
        <v>64</v>
      </c>
      <c r="C208" s="194">
        <v>37.090000000000003</v>
      </c>
      <c r="D208" s="121"/>
    </row>
    <row r="209" spans="1:4">
      <c r="A209" s="265">
        <v>206</v>
      </c>
      <c r="B209" s="182">
        <f t="shared" si="3"/>
        <v>63</v>
      </c>
      <c r="C209" s="194">
        <v>36.86</v>
      </c>
      <c r="D209" s="121"/>
    </row>
    <row r="210" spans="1:4">
      <c r="A210" s="265">
        <v>207</v>
      </c>
      <c r="B210" s="182">
        <f t="shared" si="3"/>
        <v>62</v>
      </c>
      <c r="C210" s="194">
        <v>36.64</v>
      </c>
      <c r="D210" s="121"/>
    </row>
    <row r="211" spans="1:4">
      <c r="A211" s="265">
        <v>208</v>
      </c>
      <c r="B211" s="182">
        <f t="shared" si="3"/>
        <v>61</v>
      </c>
      <c r="C211" s="194">
        <v>36.19</v>
      </c>
      <c r="D211" s="121"/>
    </row>
    <row r="212" spans="1:4">
      <c r="A212" s="265">
        <v>209</v>
      </c>
      <c r="B212" s="182">
        <f t="shared" si="3"/>
        <v>60</v>
      </c>
      <c r="C212" s="194">
        <v>37.39</v>
      </c>
      <c r="D212" s="121"/>
    </row>
    <row r="213" spans="1:4">
      <c r="A213" s="265">
        <v>210</v>
      </c>
      <c r="B213" s="182">
        <f t="shared" si="3"/>
        <v>59</v>
      </c>
      <c r="C213" s="194">
        <v>36.950000000000003</v>
      </c>
      <c r="D213" s="121"/>
    </row>
    <row r="214" spans="1:4">
      <c r="A214" s="265">
        <v>211</v>
      </c>
      <c r="B214" s="182">
        <f t="shared" si="3"/>
        <v>58</v>
      </c>
      <c r="C214" s="194">
        <v>36.520000000000003</v>
      </c>
      <c r="D214" s="121"/>
    </row>
    <row r="215" spans="1:4">
      <c r="A215" s="265">
        <v>212</v>
      </c>
      <c r="B215" s="182">
        <f t="shared" si="3"/>
        <v>57</v>
      </c>
      <c r="C215" s="194">
        <v>36.19</v>
      </c>
      <c r="D215" s="121"/>
    </row>
    <row r="216" spans="1:4">
      <c r="A216" s="265">
        <v>213</v>
      </c>
      <c r="B216" s="182">
        <f t="shared" si="3"/>
        <v>56</v>
      </c>
      <c r="C216" s="194">
        <v>37.880000000000003</v>
      </c>
      <c r="D216" s="121"/>
    </row>
    <row r="217" spans="1:4">
      <c r="A217" s="265">
        <v>214</v>
      </c>
      <c r="B217" s="182">
        <f t="shared" si="3"/>
        <v>55</v>
      </c>
      <c r="C217" s="194">
        <v>36.75</v>
      </c>
      <c r="D217" s="121"/>
    </row>
    <row r="218" spans="1:4">
      <c r="A218" s="265">
        <v>215</v>
      </c>
      <c r="B218" s="182">
        <f t="shared" si="3"/>
        <v>54</v>
      </c>
      <c r="C218" s="194">
        <v>36.5</v>
      </c>
      <c r="D218" s="121"/>
    </row>
    <row r="219" spans="1:4">
      <c r="A219" s="265">
        <v>216</v>
      </c>
      <c r="B219" s="182">
        <f t="shared" si="3"/>
        <v>53</v>
      </c>
      <c r="C219" s="194">
        <v>34.64</v>
      </c>
      <c r="D219" s="121"/>
    </row>
    <row r="220" spans="1:4">
      <c r="A220" s="265">
        <v>217</v>
      </c>
      <c r="B220" s="182">
        <f t="shared" si="3"/>
        <v>52</v>
      </c>
      <c r="C220" s="194">
        <v>36.69</v>
      </c>
      <c r="D220" s="121"/>
    </row>
    <row r="221" spans="1:4">
      <c r="A221" s="265">
        <v>218</v>
      </c>
      <c r="B221" s="182">
        <f t="shared" si="3"/>
        <v>51</v>
      </c>
      <c r="C221" s="194">
        <v>36.659999999999997</v>
      </c>
      <c r="D221" s="121"/>
    </row>
    <row r="222" spans="1:4">
      <c r="A222" s="265">
        <v>219</v>
      </c>
      <c r="B222" s="182">
        <f t="shared" si="3"/>
        <v>50</v>
      </c>
      <c r="C222" s="194">
        <v>36.1</v>
      </c>
      <c r="D222" s="121"/>
    </row>
    <row r="223" spans="1:4">
      <c r="A223" s="265">
        <v>220</v>
      </c>
      <c r="B223" s="182">
        <f t="shared" si="3"/>
        <v>49</v>
      </c>
      <c r="C223" s="194">
        <v>37.14</v>
      </c>
      <c r="D223" s="121"/>
    </row>
    <row r="224" spans="1:4">
      <c r="A224" s="265">
        <v>221</v>
      </c>
      <c r="B224" s="182">
        <f t="shared" si="3"/>
        <v>48</v>
      </c>
      <c r="C224" s="194">
        <v>37.159999999999997</v>
      </c>
      <c r="D224" s="121"/>
    </row>
    <row r="225" spans="1:4">
      <c r="A225" s="265">
        <v>222</v>
      </c>
      <c r="B225" s="182">
        <f t="shared" si="3"/>
        <v>47</v>
      </c>
      <c r="C225" s="194">
        <v>36.32</v>
      </c>
      <c r="D225" s="121"/>
    </row>
    <row r="226" spans="1:4">
      <c r="A226" s="265">
        <v>223</v>
      </c>
      <c r="B226" s="182">
        <f>B225-1</f>
        <v>46</v>
      </c>
      <c r="C226" s="194">
        <v>36.799999999999997</v>
      </c>
      <c r="D226" s="121"/>
    </row>
    <row r="227" spans="1:4">
      <c r="A227" s="265">
        <v>224</v>
      </c>
      <c r="B227" s="182">
        <f t="shared" ref="B227:B271" si="4">B226-1</f>
        <v>45</v>
      </c>
      <c r="C227" s="194">
        <v>36.93</v>
      </c>
      <c r="D227" s="121"/>
    </row>
    <row r="228" spans="1:4">
      <c r="A228" s="265">
        <v>225</v>
      </c>
      <c r="B228" s="182">
        <f t="shared" si="4"/>
        <v>44</v>
      </c>
      <c r="C228" s="194">
        <v>35.71</v>
      </c>
      <c r="D228" s="121"/>
    </row>
    <row r="229" spans="1:4">
      <c r="A229" s="265">
        <v>226</v>
      </c>
      <c r="B229" s="182">
        <f t="shared" si="4"/>
        <v>43</v>
      </c>
      <c r="C229" s="194">
        <v>37.299999999999997</v>
      </c>
      <c r="D229" s="121"/>
    </row>
    <row r="230" spans="1:4">
      <c r="A230" s="265">
        <v>227</v>
      </c>
      <c r="B230" s="182">
        <f t="shared" si="4"/>
        <v>42</v>
      </c>
      <c r="C230" s="194">
        <v>36.42</v>
      </c>
      <c r="D230" s="121"/>
    </row>
    <row r="231" spans="1:4">
      <c r="A231" s="265">
        <v>228</v>
      </c>
      <c r="B231" s="182">
        <f t="shared" si="4"/>
        <v>41</v>
      </c>
      <c r="C231" s="194">
        <v>35.57</v>
      </c>
      <c r="D231" s="121"/>
    </row>
    <row r="232" spans="1:4">
      <c r="A232" s="265">
        <v>229</v>
      </c>
      <c r="B232" s="182">
        <f t="shared" si="4"/>
        <v>40</v>
      </c>
      <c r="C232" s="194">
        <v>36.619999999999997</v>
      </c>
      <c r="D232" s="121"/>
    </row>
    <row r="233" spans="1:4">
      <c r="A233" s="265">
        <v>230</v>
      </c>
      <c r="B233" s="182">
        <f t="shared" si="4"/>
        <v>39</v>
      </c>
      <c r="C233" s="194">
        <v>37.08</v>
      </c>
      <c r="D233" s="121"/>
    </row>
    <row r="234" spans="1:4">
      <c r="A234" s="265">
        <v>231</v>
      </c>
      <c r="B234" s="182">
        <f t="shared" si="4"/>
        <v>38</v>
      </c>
      <c r="C234" s="194">
        <v>36.700000000000003</v>
      </c>
      <c r="D234" s="121"/>
    </row>
    <row r="235" spans="1:4">
      <c r="A235" s="265">
        <v>232</v>
      </c>
      <c r="B235" s="182">
        <f t="shared" si="4"/>
        <v>37</v>
      </c>
      <c r="C235" s="194">
        <v>36.18</v>
      </c>
      <c r="D235" s="121"/>
    </row>
    <row r="236" spans="1:4">
      <c r="A236" s="265">
        <v>233</v>
      </c>
      <c r="B236" s="182">
        <f t="shared" si="4"/>
        <v>36</v>
      </c>
      <c r="C236" s="194">
        <v>36.700000000000003</v>
      </c>
      <c r="D236" s="121"/>
    </row>
    <row r="237" spans="1:4">
      <c r="A237" s="265">
        <v>234</v>
      </c>
      <c r="B237" s="182">
        <f t="shared" si="4"/>
        <v>35</v>
      </c>
      <c r="C237" s="194">
        <v>36.53</v>
      </c>
      <c r="D237" s="121"/>
    </row>
    <row r="238" spans="1:4">
      <c r="A238" s="265">
        <v>235</v>
      </c>
      <c r="B238" s="182">
        <f t="shared" si="4"/>
        <v>34</v>
      </c>
      <c r="C238" s="194">
        <v>36.69</v>
      </c>
      <c r="D238" s="121"/>
    </row>
    <row r="239" spans="1:4">
      <c r="A239" s="265">
        <v>236</v>
      </c>
      <c r="B239" s="182">
        <f t="shared" si="4"/>
        <v>33</v>
      </c>
      <c r="C239" s="194">
        <v>37.33</v>
      </c>
      <c r="D239" s="121"/>
    </row>
    <row r="240" spans="1:4">
      <c r="A240" s="265">
        <v>237</v>
      </c>
      <c r="B240" s="182">
        <f t="shared" si="4"/>
        <v>32</v>
      </c>
      <c r="C240" s="194">
        <v>36.69</v>
      </c>
      <c r="D240" s="121"/>
    </row>
    <row r="241" spans="1:4">
      <c r="A241" s="265">
        <v>238</v>
      </c>
      <c r="B241" s="182">
        <f t="shared" si="4"/>
        <v>31</v>
      </c>
      <c r="C241" s="194">
        <v>36.299999999999997</v>
      </c>
      <c r="D241" s="121"/>
    </row>
    <row r="242" spans="1:4">
      <c r="A242" s="265">
        <v>239</v>
      </c>
      <c r="B242" s="182">
        <f t="shared" si="4"/>
        <v>30</v>
      </c>
      <c r="C242" s="194">
        <v>35.85</v>
      </c>
      <c r="D242" s="121"/>
    </row>
    <row r="243" spans="1:4">
      <c r="A243" s="265">
        <v>240</v>
      </c>
      <c r="B243" s="182">
        <f t="shared" si="4"/>
        <v>29</v>
      </c>
      <c r="C243" s="194">
        <v>36.56</v>
      </c>
      <c r="D243" s="121"/>
    </row>
    <row r="244" spans="1:4">
      <c r="A244" s="265">
        <v>241</v>
      </c>
      <c r="B244" s="182">
        <f t="shared" si="4"/>
        <v>28</v>
      </c>
      <c r="C244" s="194">
        <v>35.43</v>
      </c>
      <c r="D244" s="121"/>
    </row>
    <row r="245" spans="1:4">
      <c r="A245" s="265">
        <v>242</v>
      </c>
      <c r="B245" s="182">
        <f t="shared" si="4"/>
        <v>27</v>
      </c>
      <c r="C245" s="194">
        <v>36.79</v>
      </c>
      <c r="D245" s="121"/>
    </row>
    <row r="246" spans="1:4">
      <c r="A246" s="265">
        <v>243</v>
      </c>
      <c r="B246" s="182">
        <f t="shared" si="4"/>
        <v>26</v>
      </c>
      <c r="C246" s="194">
        <v>36.35</v>
      </c>
      <c r="D246" s="121"/>
    </row>
    <row r="247" spans="1:4">
      <c r="A247" s="265">
        <v>244</v>
      </c>
      <c r="B247" s="182">
        <f t="shared" si="4"/>
        <v>25</v>
      </c>
      <c r="C247" s="194">
        <v>36.450000000000003</v>
      </c>
      <c r="D247" s="121"/>
    </row>
    <row r="248" spans="1:4">
      <c r="A248" s="265">
        <v>245</v>
      </c>
      <c r="B248" s="182">
        <f t="shared" si="4"/>
        <v>24</v>
      </c>
      <c r="C248" s="194">
        <v>36.96</v>
      </c>
      <c r="D248" s="121"/>
    </row>
    <row r="249" spans="1:4">
      <c r="A249" s="265">
        <v>246</v>
      </c>
      <c r="B249" s="182">
        <f t="shared" si="4"/>
        <v>23</v>
      </c>
      <c r="C249" s="194">
        <v>35.97</v>
      </c>
      <c r="D249" s="121"/>
    </row>
    <row r="250" spans="1:4">
      <c r="A250" s="265">
        <v>247</v>
      </c>
      <c r="B250" s="182">
        <f t="shared" si="4"/>
        <v>22</v>
      </c>
      <c r="C250" s="194">
        <v>36.57</v>
      </c>
      <c r="D250" s="121"/>
    </row>
    <row r="251" spans="1:4">
      <c r="A251" s="265">
        <v>248</v>
      </c>
      <c r="B251" s="182">
        <f t="shared" si="4"/>
        <v>21</v>
      </c>
      <c r="C251" s="194">
        <v>36.6</v>
      </c>
      <c r="D251" s="121"/>
    </row>
    <row r="252" spans="1:4">
      <c r="A252" s="265">
        <v>249</v>
      </c>
      <c r="B252" s="182">
        <f t="shared" si="4"/>
        <v>20</v>
      </c>
      <c r="C252" s="194">
        <v>35.880000000000003</v>
      </c>
      <c r="D252" s="121"/>
    </row>
    <row r="253" spans="1:4">
      <c r="A253" s="265">
        <v>250</v>
      </c>
      <c r="B253" s="182">
        <f t="shared" si="4"/>
        <v>19</v>
      </c>
      <c r="C253" s="194">
        <v>36.729999999999997</v>
      </c>
      <c r="D253" s="121"/>
    </row>
    <row r="254" spans="1:4">
      <c r="A254" s="265">
        <v>251</v>
      </c>
      <c r="B254" s="182">
        <f t="shared" si="4"/>
        <v>18</v>
      </c>
      <c r="C254" s="194">
        <v>37.21</v>
      </c>
      <c r="D254" s="121"/>
    </row>
    <row r="255" spans="1:4">
      <c r="A255" s="265">
        <v>252</v>
      </c>
      <c r="B255" s="182">
        <f t="shared" si="4"/>
        <v>17</v>
      </c>
      <c r="C255" s="194">
        <v>36.36</v>
      </c>
      <c r="D255" s="121"/>
    </row>
    <row r="256" spans="1:4">
      <c r="A256" s="265">
        <v>253</v>
      </c>
      <c r="B256" s="182">
        <f t="shared" si="4"/>
        <v>16</v>
      </c>
      <c r="C256" s="194">
        <v>37</v>
      </c>
      <c r="D256" s="121"/>
    </row>
    <row r="257" spans="1:4">
      <c r="A257" s="265">
        <v>254</v>
      </c>
      <c r="B257" s="182">
        <f t="shared" si="4"/>
        <v>15</v>
      </c>
      <c r="C257" s="194">
        <v>36.51</v>
      </c>
      <c r="D257" s="121"/>
    </row>
    <row r="258" spans="1:4">
      <c r="A258" s="265">
        <v>255</v>
      </c>
      <c r="B258" s="182">
        <f t="shared" si="4"/>
        <v>14</v>
      </c>
      <c r="C258" s="194">
        <v>37.090000000000003</v>
      </c>
      <c r="D258" s="121"/>
    </row>
    <row r="259" spans="1:4">
      <c r="A259" s="265">
        <v>256</v>
      </c>
      <c r="B259" s="182">
        <f t="shared" si="4"/>
        <v>13</v>
      </c>
      <c r="C259" s="194">
        <v>37.18</v>
      </c>
      <c r="D259" s="121"/>
    </row>
    <row r="260" spans="1:4">
      <c r="A260" s="265">
        <v>257</v>
      </c>
      <c r="B260" s="182">
        <f t="shared" si="4"/>
        <v>12</v>
      </c>
      <c r="C260" s="263">
        <v>36.869999999999997</v>
      </c>
      <c r="D260" s="121"/>
    </row>
    <row r="261" spans="1:4">
      <c r="A261" s="265">
        <v>258</v>
      </c>
      <c r="B261" s="182">
        <f t="shared" si="4"/>
        <v>11</v>
      </c>
      <c r="C261" s="263">
        <v>36.71</v>
      </c>
      <c r="D261" s="121"/>
    </row>
    <row r="262" spans="1:4">
      <c r="A262" s="265">
        <v>259</v>
      </c>
      <c r="B262" s="182">
        <f t="shared" si="4"/>
        <v>10</v>
      </c>
      <c r="C262" s="263">
        <v>36.51</v>
      </c>
      <c r="D262" s="121"/>
    </row>
    <row r="263" spans="1:4">
      <c r="A263" s="265">
        <v>260</v>
      </c>
      <c r="B263" s="182">
        <f t="shared" si="4"/>
        <v>9</v>
      </c>
      <c r="C263" s="263">
        <v>36.74</v>
      </c>
      <c r="D263" s="121"/>
    </row>
    <row r="264" spans="1:4">
      <c r="A264" s="265">
        <v>261</v>
      </c>
      <c r="B264" s="182">
        <f t="shared" si="4"/>
        <v>8</v>
      </c>
      <c r="C264" s="263">
        <v>35.32</v>
      </c>
      <c r="D264" s="121"/>
    </row>
    <row r="265" spans="1:4">
      <c r="A265" s="265">
        <v>262</v>
      </c>
      <c r="B265" s="182">
        <f t="shared" si="4"/>
        <v>7</v>
      </c>
      <c r="C265" s="263">
        <v>36.31</v>
      </c>
      <c r="D265" s="121"/>
    </row>
    <row r="266" spans="1:4">
      <c r="A266" s="265">
        <v>263</v>
      </c>
      <c r="B266" s="182">
        <f t="shared" si="4"/>
        <v>6</v>
      </c>
      <c r="C266" s="263">
        <v>36.72</v>
      </c>
      <c r="D266" s="121"/>
    </row>
    <row r="267" spans="1:4">
      <c r="A267" s="265">
        <v>264</v>
      </c>
      <c r="B267" s="182">
        <f t="shared" si="4"/>
        <v>5</v>
      </c>
      <c r="C267" s="263">
        <v>36.54</v>
      </c>
      <c r="D267" s="121"/>
    </row>
    <row r="268" spans="1:4">
      <c r="A268" s="265">
        <v>265</v>
      </c>
      <c r="B268" s="182">
        <f t="shared" si="4"/>
        <v>4</v>
      </c>
      <c r="C268" s="263">
        <v>37.29</v>
      </c>
      <c r="D268" s="121"/>
    </row>
    <row r="269" spans="1:4">
      <c r="A269" s="265">
        <v>266</v>
      </c>
      <c r="B269" s="182">
        <f t="shared" si="4"/>
        <v>3</v>
      </c>
      <c r="C269" s="263">
        <v>36.369999999999997</v>
      </c>
    </row>
    <row r="270" spans="1:4">
      <c r="A270" s="265">
        <v>267</v>
      </c>
      <c r="B270" s="182">
        <f t="shared" si="4"/>
        <v>2</v>
      </c>
      <c r="C270" s="263">
        <v>37.01</v>
      </c>
    </row>
    <row r="271" spans="1:4" ht="15.75" thickBot="1">
      <c r="A271" s="265">
        <v>268</v>
      </c>
      <c r="B271" s="182">
        <f t="shared" si="4"/>
        <v>1</v>
      </c>
      <c r="C271" s="263">
        <v>35.86</v>
      </c>
    </row>
    <row r="272" spans="1:4" ht="15.75" thickBot="1">
      <c r="C272" s="195">
        <f>SUM(C4:C271)</f>
        <v>9807.4000000000087</v>
      </c>
    </row>
  </sheetData>
  <mergeCells count="11">
    <mergeCell ref="J9:K9"/>
    <mergeCell ref="J4:K4"/>
    <mergeCell ref="J5:K5"/>
    <mergeCell ref="J6:K6"/>
    <mergeCell ref="J7:K7"/>
    <mergeCell ref="J8:K8"/>
    <mergeCell ref="B2:D2"/>
    <mergeCell ref="B3:D3"/>
    <mergeCell ref="F2:H2"/>
    <mergeCell ref="J2:K3"/>
    <mergeCell ref="L2:L3"/>
  </mergeCells>
  <phoneticPr fontId="23" type="noConversion"/>
  <pageMargins left="0.7" right="0.7" top="0.75" bottom="0.75" header="0.3" footer="0.3"/>
  <pageSetup orientation="portrait" r:id="rId1"/>
  <headerFooter>
    <oddHeader>&amp;L&amp;"Calibri"&amp;9&amp;K000000Classification: Internal&amp;1#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0DC3B56C494E81B01879E1F078A5" ma:contentTypeVersion="2" ma:contentTypeDescription="Create a new document." ma:contentTypeScope="" ma:versionID="a711816804160e4c262142418d241555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8A1A00-7487-41C3-900B-632F1514B4F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3dac3852-c40f-424b-91f3-2b0e1d122f4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6F2BB9D-2F8F-46DA-88ED-A5438D9A6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8692C8-32D3-4F26-99DF-43CB984C1F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7" Liner Tally NFQ17-01</vt:lpstr>
      <vt:lpstr>DECK TALLY</vt:lpstr>
      <vt:lpstr>'7" Liner Tally NFQ17-01'!Область_печати</vt:lpstr>
    </vt:vector>
  </TitlesOfParts>
  <Company>Baker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Masood, Ahmed</dc:creator>
  <cp:lastModifiedBy>Maxim Kiselev</cp:lastModifiedBy>
  <cp:lastPrinted>2023-06-30T13:00:52Z</cp:lastPrinted>
  <dcterms:created xsi:type="dcterms:W3CDTF">2021-05-01T05:11:09Z</dcterms:created>
  <dcterms:modified xsi:type="dcterms:W3CDTF">2026-01-25T16:48:09Z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0x010100BE6A0DC3B56C494E81B01879E1F078A5</vt:lpwstr>
  </property>
  <property fmtid="{D5CDD505-2E9C-101B-9397-08002B2CF9AE}" pid="3" name="Order">
    <vt:r8>25871000</vt:r8>
  </property>
  <property fmtid="{D5CDD505-2E9C-101B-9397-08002B2CF9AE}" pid="4" name="MSIP_Label_668fbde5-0dd0-43d5-aca2-2bbc289e3948_Enabled">
    <vt:lpwstr>true</vt:lpwstr>
  </property>
  <property fmtid="{D5CDD505-2E9C-101B-9397-08002B2CF9AE}" pid="5" name="MSIP_Label_668fbde5-0dd0-43d5-aca2-2bbc289e3948_SetDate">
    <vt:lpwstr>2024-12-11T10:34:34Z</vt:lpwstr>
  </property>
  <property fmtid="{D5CDD505-2E9C-101B-9397-08002B2CF9AE}" pid="6" name="MSIP_Label_668fbde5-0dd0-43d5-aca2-2bbc289e3948_Method">
    <vt:lpwstr>Privileged</vt:lpwstr>
  </property>
  <property fmtid="{D5CDD505-2E9C-101B-9397-08002B2CF9AE}" pid="7" name="MSIP_Label_668fbde5-0dd0-43d5-aca2-2bbc289e3948_Name">
    <vt:lpwstr>668fbde5-0dd0-43d5-aca2-2bbc289e3948</vt:lpwstr>
  </property>
  <property fmtid="{D5CDD505-2E9C-101B-9397-08002B2CF9AE}" pid="8" name="MSIP_Label_668fbde5-0dd0-43d5-aca2-2bbc289e3948_SiteId">
    <vt:lpwstr>de2c0330-f2e8-4149-a927-0c5a8592f0da</vt:lpwstr>
  </property>
  <property fmtid="{D5CDD505-2E9C-101B-9397-08002B2CF9AE}" pid="9" name="MSIP_Label_668fbde5-0dd0-43d5-aca2-2bbc289e3948_ActionId">
    <vt:lpwstr>8bb8be22-18ca-46ce-a0d2-8482abea4335</vt:lpwstr>
  </property>
  <property fmtid="{D5CDD505-2E9C-101B-9397-08002B2CF9AE}" pid="10" name="MSIP_Label_668fbde5-0dd0-43d5-aca2-2bbc289e3948_ContentBits">
    <vt:lpwstr>1</vt:lpwstr>
  </property>
</Properties>
</file>