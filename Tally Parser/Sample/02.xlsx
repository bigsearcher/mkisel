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ate1904="1"/>
  <mc:AlternateContent xmlns:mc="http://schemas.openxmlformats.org/markup-compatibility/2006">
    <mc:Choice Requires="x15">
      <x15ac:absPath xmlns:x15ac="http://schemas.microsoft.com/office/spreadsheetml/2010/11/ac" url="D:\Cloud\Docs\Git\mkisel\Tally Parser\Sample\"/>
    </mc:Choice>
  </mc:AlternateContent>
  <xr:revisionPtr revIDLastSave="0" documentId="8_{C3396C12-7ED7-4309-8E24-39475CB94BAC}" xr6:coauthVersionLast="47" xr6:coauthVersionMax="47" xr10:uidLastSave="{00000000-0000-0000-0000-000000000000}"/>
  <bookViews>
    <workbookView xWindow="-120" yWindow="-120" windowWidth="29040" windowHeight="15720" firstSheet="1" activeTab="5" xr2:uid="{9F3937B6-8C27-4C8C-AEDE-038FB9737EAF}"/>
  </bookViews>
  <sheets>
    <sheet name="xxxxxx" sheetId="1" state="veryHidden" r:id="rId1"/>
    <sheet name="NFQ20-6 Run Tally" sheetId="2" r:id="rId2"/>
    <sheet name="7&quot; 26# Deck Tally" sheetId="9" r:id="rId3"/>
    <sheet name="SPACE OUT Calculation" sheetId="6" r:id="rId4"/>
    <sheet name="Sheet1" sheetId="10" r:id="rId5"/>
    <sheet name="NFQ20-6 FINAL Tally" sheetId="11" r:id="rId6"/>
  </sheets>
  <definedNames>
    <definedName name="_xlnm._FilterDatabase" localSheetId="2" hidden="1">'7" 26# Deck Tally'!$F$3:$G$3</definedName>
    <definedName name="_xlnm._FilterDatabase" localSheetId="5" hidden="1">'NFQ20-6 FINAL Tally'!$B$16:$H$389</definedName>
    <definedName name="_xlnm._FilterDatabase" localSheetId="1" hidden="1">'NFQ20-6 Run Tally'!$B$15:$H$423</definedName>
    <definedName name="_xlnm._FilterDatabase" localSheetId="4" hidden="1">Sheet1!$A$3:$AH$3</definedName>
    <definedName name="EKIKO2" localSheetId="3">#REF!</definedName>
    <definedName name="EKIKO2">#N/A</definedName>
    <definedName name="_xlnm.Print_Titles" localSheetId="5">#N/A</definedName>
    <definedName name="_xlnm.Print_Titles" localSheetId="1">#N/A</definedName>
    <definedName name="_xlnm.Print_Area" localSheetId="5">'NFQ20-6 FINAL Tally'!$A$1:$M$389</definedName>
    <definedName name="_xlnm.Print_Area" localSheetId="1">'NFQ20-6 Run Tally'!$A$1:$M$423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1" l="1"/>
  <c r="AF21" i="6"/>
  <c r="AI21" i="6" s="1"/>
  <c r="G388" i="11"/>
  <c r="H372" i="11"/>
  <c r="H371" i="11"/>
  <c r="H370" i="11"/>
  <c r="H369" i="11"/>
  <c r="H368" i="11"/>
  <c r="H367" i="11"/>
  <c r="H366" i="11"/>
  <c r="H365" i="11"/>
  <c r="H364" i="11"/>
  <c r="H363" i="11"/>
  <c r="H362" i="11"/>
  <c r="H361" i="11"/>
  <c r="H360" i="11"/>
  <c r="H359" i="11"/>
  <c r="H358" i="11"/>
  <c r="H357" i="11"/>
  <c r="H356" i="11"/>
  <c r="H355" i="11"/>
  <c r="H354" i="11"/>
  <c r="H353" i="11"/>
  <c r="H352" i="11"/>
  <c r="H351" i="11"/>
  <c r="G351" i="11"/>
  <c r="H350" i="11"/>
  <c r="G350" i="11"/>
  <c r="H349" i="11"/>
  <c r="G349" i="11"/>
  <c r="H348" i="11"/>
  <c r="G348" i="11"/>
  <c r="H347" i="11"/>
  <c r="H346" i="11"/>
  <c r="H345" i="11"/>
  <c r="H344" i="11"/>
  <c r="H343" i="11"/>
  <c r="H342" i="11"/>
  <c r="H341" i="11"/>
  <c r="H340" i="11"/>
  <c r="H339" i="11"/>
  <c r="H338" i="11"/>
  <c r="H337" i="11"/>
  <c r="H336" i="11"/>
  <c r="H335" i="11"/>
  <c r="H334" i="11"/>
  <c r="H333" i="11"/>
  <c r="H332" i="11"/>
  <c r="H331" i="11"/>
  <c r="H330" i="11"/>
  <c r="H329" i="11"/>
  <c r="H328" i="11"/>
  <c r="H327" i="11"/>
  <c r="H326" i="11"/>
  <c r="H325" i="11"/>
  <c r="H324" i="11"/>
  <c r="H323" i="11"/>
  <c r="H322" i="11"/>
  <c r="H321" i="11"/>
  <c r="H320" i="11"/>
  <c r="H319" i="11"/>
  <c r="H318" i="11"/>
  <c r="H317" i="11"/>
  <c r="H316" i="11"/>
  <c r="H315" i="11"/>
  <c r="H314" i="11"/>
  <c r="H313" i="11"/>
  <c r="H312" i="11"/>
  <c r="H311" i="11"/>
  <c r="H310" i="11"/>
  <c r="H309" i="11"/>
  <c r="H308" i="11"/>
  <c r="H307" i="11"/>
  <c r="H306" i="1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3" i="11"/>
  <c r="H292" i="11"/>
  <c r="H291" i="1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H233" i="11"/>
  <c r="H232" i="11"/>
  <c r="H231" i="11"/>
  <c r="H230" i="11"/>
  <c r="H229" i="11"/>
  <c r="H228" i="11"/>
  <c r="H227" i="11"/>
  <c r="H226" i="11"/>
  <c r="H225" i="11"/>
  <c r="H224" i="11"/>
  <c r="H223" i="11"/>
  <c r="H222" i="11"/>
  <c r="H221" i="11"/>
  <c r="H220" i="11"/>
  <c r="H219" i="11"/>
  <c r="H218" i="11"/>
  <c r="H217" i="11"/>
  <c r="H216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E28" i="1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0" i="11" s="1"/>
  <c r="E71" i="11" s="1"/>
  <c r="E72" i="11" s="1"/>
  <c r="E73" i="11" s="1"/>
  <c r="E74" i="11" s="1"/>
  <c r="E75" i="11" s="1"/>
  <c r="E76" i="11" s="1"/>
  <c r="E77" i="11" s="1"/>
  <c r="E78" i="11" s="1"/>
  <c r="E79" i="11" s="1"/>
  <c r="E80" i="11" s="1"/>
  <c r="E81" i="11" s="1"/>
  <c r="E82" i="11" s="1"/>
  <c r="E83" i="11" s="1"/>
  <c r="E84" i="11" s="1"/>
  <c r="E85" i="11" s="1"/>
  <c r="E86" i="11" s="1"/>
  <c r="E87" i="11" s="1"/>
  <c r="E88" i="11" s="1"/>
  <c r="E89" i="11" s="1"/>
  <c r="E90" i="11" s="1"/>
  <c r="E91" i="11" s="1"/>
  <c r="E92" i="11" s="1"/>
  <c r="E93" i="11" s="1"/>
  <c r="E94" i="11" s="1"/>
  <c r="E95" i="11" s="1"/>
  <c r="E96" i="11" s="1"/>
  <c r="E97" i="11" s="1"/>
  <c r="E98" i="11" s="1"/>
  <c r="E99" i="11" s="1"/>
  <c r="E100" i="11" s="1"/>
  <c r="E101" i="11" s="1"/>
  <c r="E102" i="11" s="1"/>
  <c r="E103" i="11" s="1"/>
  <c r="E104" i="11" s="1"/>
  <c r="E105" i="11" s="1"/>
  <c r="E106" i="11" s="1"/>
  <c r="E107" i="11" s="1"/>
  <c r="E108" i="11" s="1"/>
  <c r="E109" i="11" s="1"/>
  <c r="E110" i="11" s="1"/>
  <c r="E111" i="11" s="1"/>
  <c r="E112" i="11" s="1"/>
  <c r="E113" i="11" s="1"/>
  <c r="E114" i="11" s="1"/>
  <c r="E115" i="11" s="1"/>
  <c r="E116" i="11" s="1"/>
  <c r="E117" i="11" s="1"/>
  <c r="E118" i="11" s="1"/>
  <c r="E119" i="11" s="1"/>
  <c r="E120" i="11" s="1"/>
  <c r="E121" i="11" s="1"/>
  <c r="E122" i="11" s="1"/>
  <c r="E123" i="11" s="1"/>
  <c r="E124" i="11" s="1"/>
  <c r="E125" i="11" s="1"/>
  <c r="E126" i="11" s="1"/>
  <c r="E127" i="11" s="1"/>
  <c r="E128" i="11" s="1"/>
  <c r="E129" i="11" s="1"/>
  <c r="E130" i="11" s="1"/>
  <c r="E131" i="11" s="1"/>
  <c r="E132" i="11" s="1"/>
  <c r="E133" i="11" s="1"/>
  <c r="E134" i="11" s="1"/>
  <c r="E135" i="11" s="1"/>
  <c r="E136" i="11" s="1"/>
  <c r="E137" i="11" s="1"/>
  <c r="E138" i="11" s="1"/>
  <c r="E139" i="11" s="1"/>
  <c r="E140" i="11" s="1"/>
  <c r="E141" i="11" s="1"/>
  <c r="E142" i="11" s="1"/>
  <c r="E143" i="11" s="1"/>
  <c r="E144" i="11" s="1"/>
  <c r="E145" i="11" s="1"/>
  <c r="E146" i="11" s="1"/>
  <c r="E147" i="11" s="1"/>
  <c r="E148" i="11" s="1"/>
  <c r="E149" i="11" s="1"/>
  <c r="E150" i="11" s="1"/>
  <c r="E151" i="11" s="1"/>
  <c r="E152" i="11" s="1"/>
  <c r="E153" i="11" s="1"/>
  <c r="E154" i="11" s="1"/>
  <c r="E155" i="11" s="1"/>
  <c r="E156" i="11" s="1"/>
  <c r="E157" i="11" s="1"/>
  <c r="E158" i="11" s="1"/>
  <c r="E159" i="11" s="1"/>
  <c r="E160" i="11" s="1"/>
  <c r="E161" i="11" s="1"/>
  <c r="E162" i="11" s="1"/>
  <c r="E163" i="11" s="1"/>
  <c r="E164" i="11" s="1"/>
  <c r="E165" i="11" s="1"/>
  <c r="E166" i="11" s="1"/>
  <c r="E167" i="11" s="1"/>
  <c r="E168" i="11" s="1"/>
  <c r="E169" i="11" s="1"/>
  <c r="E170" i="11" s="1"/>
  <c r="E171" i="11" s="1"/>
  <c r="E172" i="11" s="1"/>
  <c r="E173" i="11" s="1"/>
  <c r="E174" i="11" s="1"/>
  <c r="E175" i="11" s="1"/>
  <c r="E176" i="11" s="1"/>
  <c r="E177" i="11" s="1"/>
  <c r="E178" i="11" s="1"/>
  <c r="E179" i="11" s="1"/>
  <c r="E180" i="11" s="1"/>
  <c r="E181" i="11" s="1"/>
  <c r="E182" i="11" s="1"/>
  <c r="E183" i="11" s="1"/>
  <c r="E184" i="11" s="1"/>
  <c r="E185" i="11" s="1"/>
  <c r="E186" i="11" s="1"/>
  <c r="E187" i="11" s="1"/>
  <c r="E188" i="11" s="1"/>
  <c r="E189" i="11" s="1"/>
  <c r="E190" i="11" s="1"/>
  <c r="E191" i="11" s="1"/>
  <c r="E192" i="11" s="1"/>
  <c r="E193" i="11" s="1"/>
  <c r="E194" i="11" s="1"/>
  <c r="E195" i="11" s="1"/>
  <c r="E196" i="11" s="1"/>
  <c r="E197" i="11" s="1"/>
  <c r="E198" i="11" s="1"/>
  <c r="E199" i="11" s="1"/>
  <c r="E200" i="11" s="1"/>
  <c r="E201" i="11" s="1"/>
  <c r="E202" i="11" s="1"/>
  <c r="E203" i="11" s="1"/>
  <c r="E204" i="11" s="1"/>
  <c r="E205" i="11" s="1"/>
  <c r="E206" i="11" s="1"/>
  <c r="E207" i="11" s="1"/>
  <c r="E208" i="11" s="1"/>
  <c r="E209" i="11" s="1"/>
  <c r="E210" i="11" s="1"/>
  <c r="E211" i="11" s="1"/>
  <c r="E212" i="11" s="1"/>
  <c r="E213" i="11" s="1"/>
  <c r="E214" i="11" s="1"/>
  <c r="E215" i="11" s="1"/>
  <c r="E216" i="11" s="1"/>
  <c r="E217" i="11" s="1"/>
  <c r="E218" i="11" s="1"/>
  <c r="E219" i="11" s="1"/>
  <c r="E220" i="11" s="1"/>
  <c r="E221" i="11" s="1"/>
  <c r="E222" i="11" s="1"/>
  <c r="E223" i="11" s="1"/>
  <c r="E224" i="11" s="1"/>
  <c r="E225" i="11" s="1"/>
  <c r="E226" i="11" s="1"/>
  <c r="E227" i="11" s="1"/>
  <c r="E228" i="11" s="1"/>
  <c r="E229" i="11" s="1"/>
  <c r="E230" i="11" s="1"/>
  <c r="E231" i="11" s="1"/>
  <c r="E232" i="11" s="1"/>
  <c r="E233" i="11" s="1"/>
  <c r="E234" i="11" s="1"/>
  <c r="E235" i="11" s="1"/>
  <c r="E236" i="11" s="1"/>
  <c r="E237" i="11" s="1"/>
  <c r="E238" i="11" s="1"/>
  <c r="E239" i="11" s="1"/>
  <c r="E240" i="11" s="1"/>
  <c r="E241" i="11" s="1"/>
  <c r="E242" i="11" s="1"/>
  <c r="E243" i="11" s="1"/>
  <c r="E244" i="11" s="1"/>
  <c r="E245" i="11" s="1"/>
  <c r="E246" i="11" s="1"/>
  <c r="E247" i="11" s="1"/>
  <c r="E248" i="11" s="1"/>
  <c r="E249" i="11" s="1"/>
  <c r="E250" i="11" s="1"/>
  <c r="E251" i="11" s="1"/>
  <c r="E252" i="11" s="1"/>
  <c r="E253" i="11" s="1"/>
  <c r="E254" i="11" s="1"/>
  <c r="E255" i="11" s="1"/>
  <c r="E256" i="11" s="1"/>
  <c r="E257" i="11" s="1"/>
  <c r="E258" i="11" s="1"/>
  <c r="E259" i="11" s="1"/>
  <c r="E260" i="11" s="1"/>
  <c r="E261" i="11" s="1"/>
  <c r="E262" i="11" s="1"/>
  <c r="E263" i="11" s="1"/>
  <c r="E264" i="11" s="1"/>
  <c r="E265" i="11" s="1"/>
  <c r="E266" i="11" s="1"/>
  <c r="E267" i="11" s="1"/>
  <c r="E268" i="11" s="1"/>
  <c r="E269" i="11" s="1"/>
  <c r="E270" i="11" s="1"/>
  <c r="E271" i="11" s="1"/>
  <c r="E272" i="11" s="1"/>
  <c r="E273" i="11" s="1"/>
  <c r="E274" i="11" s="1"/>
  <c r="E275" i="11" s="1"/>
  <c r="E276" i="11" s="1"/>
  <c r="E277" i="11" s="1"/>
  <c r="E278" i="11" s="1"/>
  <c r="E279" i="11" s="1"/>
  <c r="E280" i="11" s="1"/>
  <c r="E281" i="11" s="1"/>
  <c r="E282" i="11" s="1"/>
  <c r="E283" i="11" s="1"/>
  <c r="E284" i="11" s="1"/>
  <c r="E285" i="11" s="1"/>
  <c r="E286" i="11" s="1"/>
  <c r="E287" i="11" s="1"/>
  <c r="E288" i="11" s="1"/>
  <c r="E289" i="11" s="1"/>
  <c r="E290" i="11" s="1"/>
  <c r="E291" i="11" s="1"/>
  <c r="E292" i="11" s="1"/>
  <c r="E293" i="11" s="1"/>
  <c r="E294" i="11" s="1"/>
  <c r="E295" i="11" s="1"/>
  <c r="E296" i="11" s="1"/>
  <c r="E297" i="11" s="1"/>
  <c r="E298" i="11" s="1"/>
  <c r="E299" i="11" s="1"/>
  <c r="E300" i="11" s="1"/>
  <c r="E301" i="11" s="1"/>
  <c r="E302" i="11" s="1"/>
  <c r="E303" i="11" s="1"/>
  <c r="E304" i="11" s="1"/>
  <c r="E305" i="11" s="1"/>
  <c r="E306" i="11" s="1"/>
  <c r="E307" i="11" s="1"/>
  <c r="E308" i="11" s="1"/>
  <c r="E309" i="11" s="1"/>
  <c r="E310" i="11" s="1"/>
  <c r="E311" i="11" s="1"/>
  <c r="E312" i="11" s="1"/>
  <c r="E313" i="11" s="1"/>
  <c r="E314" i="11" s="1"/>
  <c r="E315" i="11" s="1"/>
  <c r="E316" i="11" s="1"/>
  <c r="E317" i="11" s="1"/>
  <c r="E318" i="11" s="1"/>
  <c r="E319" i="11" s="1"/>
  <c r="E320" i="11" s="1"/>
  <c r="E321" i="11" s="1"/>
  <c r="E322" i="11" s="1"/>
  <c r="E323" i="11" s="1"/>
  <c r="E324" i="11" s="1"/>
  <c r="E325" i="11" s="1"/>
  <c r="E326" i="11" s="1"/>
  <c r="E327" i="11" s="1"/>
  <c r="E328" i="11" s="1"/>
  <c r="E329" i="11" s="1"/>
  <c r="E330" i="11" s="1"/>
  <c r="E331" i="11" s="1"/>
  <c r="E332" i="11" s="1"/>
  <c r="E333" i="11" s="1"/>
  <c r="E334" i="11" s="1"/>
  <c r="E335" i="11" s="1"/>
  <c r="E336" i="11" s="1"/>
  <c r="E337" i="11" s="1"/>
  <c r="E338" i="11" s="1"/>
  <c r="E339" i="11" s="1"/>
  <c r="E340" i="11" s="1"/>
  <c r="E341" i="11" s="1"/>
  <c r="E342" i="11" s="1"/>
  <c r="E343" i="11" s="1"/>
  <c r="E344" i="11" s="1"/>
  <c r="E345" i="11" s="1"/>
  <c r="E346" i="11" s="1"/>
  <c r="E352" i="11" s="1"/>
  <c r="E353" i="11" s="1"/>
  <c r="E354" i="11" s="1"/>
  <c r="E355" i="11" s="1"/>
  <c r="E356" i="11" s="1"/>
  <c r="E357" i="11" s="1"/>
  <c r="E358" i="11" s="1"/>
  <c r="E359" i="11" s="1"/>
  <c r="E360" i="11" s="1"/>
  <c r="E361" i="11" s="1"/>
  <c r="E362" i="11" s="1"/>
  <c r="E363" i="11" s="1"/>
  <c r="E364" i="11" s="1"/>
  <c r="E365" i="11" s="1"/>
  <c r="E366" i="11" s="1"/>
  <c r="E367" i="11" s="1"/>
  <c r="E368" i="11" s="1"/>
  <c r="E369" i="11" s="1"/>
  <c r="E370" i="11" s="1"/>
  <c r="E371" i="11" s="1"/>
  <c r="E372" i="11" s="1"/>
  <c r="E373" i="11" s="1"/>
  <c r="E374" i="11" s="1"/>
  <c r="E375" i="11" s="1"/>
  <c r="E376" i="11" s="1"/>
  <c r="E377" i="11" s="1"/>
  <c r="E378" i="11" s="1"/>
  <c r="E379" i="11" s="1"/>
  <c r="E380" i="11" s="1"/>
  <c r="E381" i="11" s="1"/>
  <c r="E382" i="11" s="1"/>
  <c r="E383" i="11" s="1"/>
  <c r="B28" i="1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305" i="11" s="1"/>
  <c r="B306" i="11" s="1"/>
  <c r="B307" i="11" s="1"/>
  <c r="B308" i="11" s="1"/>
  <c r="B309" i="11" s="1"/>
  <c r="B310" i="11" s="1"/>
  <c r="B311" i="11" s="1"/>
  <c r="B312" i="11" s="1"/>
  <c r="B313" i="11" s="1"/>
  <c r="B314" i="11" s="1"/>
  <c r="B315" i="11" s="1"/>
  <c r="B316" i="11" s="1"/>
  <c r="B317" i="11" s="1"/>
  <c r="B318" i="11" s="1"/>
  <c r="B319" i="11" s="1"/>
  <c r="B320" i="11" s="1"/>
  <c r="B321" i="11" s="1"/>
  <c r="B322" i="11" s="1"/>
  <c r="B323" i="11" s="1"/>
  <c r="B324" i="11" s="1"/>
  <c r="B325" i="11" s="1"/>
  <c r="B326" i="11" s="1"/>
  <c r="B327" i="11" s="1"/>
  <c r="B328" i="11" s="1"/>
  <c r="B329" i="11" s="1"/>
  <c r="B330" i="11" s="1"/>
  <c r="B331" i="11" s="1"/>
  <c r="B332" i="11" s="1"/>
  <c r="B333" i="11" s="1"/>
  <c r="B334" i="11" s="1"/>
  <c r="B335" i="11" s="1"/>
  <c r="B336" i="11" s="1"/>
  <c r="B337" i="11" s="1"/>
  <c r="B338" i="11" s="1"/>
  <c r="B339" i="11" s="1"/>
  <c r="B340" i="11" s="1"/>
  <c r="B341" i="11" s="1"/>
  <c r="B342" i="11" s="1"/>
  <c r="B343" i="11" s="1"/>
  <c r="B344" i="11" s="1"/>
  <c r="B345" i="11" s="1"/>
  <c r="B346" i="11" s="1"/>
  <c r="B352" i="11" s="1"/>
  <c r="B353" i="11" s="1"/>
  <c r="B354" i="11" s="1"/>
  <c r="B355" i="11" s="1"/>
  <c r="B356" i="11" s="1"/>
  <c r="B357" i="11" s="1"/>
  <c r="B358" i="11" s="1"/>
  <c r="B359" i="11" s="1"/>
  <c r="B360" i="11" s="1"/>
  <c r="B361" i="11" s="1"/>
  <c r="B362" i="11" s="1"/>
  <c r="B363" i="11" s="1"/>
  <c r="B364" i="11" s="1"/>
  <c r="B365" i="11" s="1"/>
  <c r="B366" i="11" s="1"/>
  <c r="B367" i="11" s="1"/>
  <c r="B368" i="11" s="1"/>
  <c r="B369" i="11" s="1"/>
  <c r="B370" i="11" s="1"/>
  <c r="B371" i="11" s="1"/>
  <c r="B372" i="11" s="1"/>
  <c r="B373" i="11" s="1"/>
  <c r="B374" i="11" s="1"/>
  <c r="B375" i="11" s="1"/>
  <c r="B376" i="11" s="1"/>
  <c r="B377" i="11" s="1"/>
  <c r="B378" i="11" s="1"/>
  <c r="B379" i="11" s="1"/>
  <c r="B380" i="11" s="1"/>
  <c r="B381" i="11" s="1"/>
  <c r="B382" i="11" s="1"/>
  <c r="B383" i="11" s="1"/>
  <c r="B384" i="11" s="1"/>
  <c r="B386" i="11" s="1"/>
  <c r="H27" i="11"/>
  <c r="H26" i="11"/>
  <c r="H25" i="11"/>
  <c r="G25" i="11"/>
  <c r="H24" i="11"/>
  <c r="G24" i="11"/>
  <c r="H23" i="11"/>
  <c r="G23" i="11"/>
  <c r="H22" i="11"/>
  <c r="G22" i="11"/>
  <c r="H21" i="11"/>
  <c r="H20" i="11"/>
  <c r="H19" i="11"/>
  <c r="H18" i="11"/>
  <c r="G18" i="11"/>
  <c r="H17" i="11"/>
  <c r="G17" i="11"/>
  <c r="J16" i="11"/>
  <c r="L12" i="11" s="1"/>
  <c r="G16" i="11"/>
  <c r="E12" i="11"/>
  <c r="G188" i="11" s="1"/>
  <c r="H11" i="11"/>
  <c r="K16" i="11" s="1"/>
  <c r="G21" i="2"/>
  <c r="G22" i="2"/>
  <c r="G23" i="2"/>
  <c r="G24" i="2"/>
  <c r="H345" i="2"/>
  <c r="H344" i="2"/>
  <c r="H147" i="2"/>
  <c r="M13" i="9"/>
  <c r="M12" i="9"/>
  <c r="M11" i="9"/>
  <c r="C49" i="6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M10" i="9"/>
  <c r="K13" i="9"/>
  <c r="K14" i="9"/>
  <c r="K15" i="9"/>
  <c r="K16" i="9"/>
  <c r="K17" i="9"/>
  <c r="K18" i="9"/>
  <c r="K19" i="9"/>
  <c r="K20" i="9"/>
  <c r="N11" i="9" s="1"/>
  <c r="K21" i="9"/>
  <c r="K22" i="9"/>
  <c r="N12" i="9" s="1"/>
  <c r="K23" i="9"/>
  <c r="K4" i="9"/>
  <c r="N13" i="9" s="1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H27" i="2"/>
  <c r="H215" i="2"/>
  <c r="H216" i="2"/>
  <c r="H17" i="2"/>
  <c r="H18" i="2"/>
  <c r="H19" i="2"/>
  <c r="H20" i="2"/>
  <c r="H21" i="2"/>
  <c r="H22" i="2"/>
  <c r="H23" i="2"/>
  <c r="H24" i="2"/>
  <c r="H25" i="2"/>
  <c r="H26" i="2"/>
  <c r="G350" i="2"/>
  <c r="G349" i="2"/>
  <c r="G348" i="2"/>
  <c r="G347" i="2"/>
  <c r="E74" i="10"/>
  <c r="B74" i="10"/>
  <c r="H68" i="10"/>
  <c r="H57" i="10"/>
  <c r="AF41" i="10"/>
  <c r="AC41" i="10"/>
  <c r="Z41" i="10"/>
  <c r="W41" i="10"/>
  <c r="T41" i="10"/>
  <c r="Q41" i="10"/>
  <c r="N41" i="10"/>
  <c r="K41" i="10"/>
  <c r="H41" i="10"/>
  <c r="E41" i="10"/>
  <c r="B41" i="10"/>
  <c r="B385" i="11" l="1"/>
  <c r="G385" i="11"/>
  <c r="G161" i="11"/>
  <c r="G384" i="11"/>
  <c r="G29" i="11"/>
  <c r="G371" i="11"/>
  <c r="K15" i="11"/>
  <c r="I17" i="11"/>
  <c r="K17" i="11" s="1"/>
  <c r="G147" i="11"/>
  <c r="G38" i="11"/>
  <c r="G26" i="11"/>
  <c r="G144" i="11"/>
  <c r="G180" i="11"/>
  <c r="G20" i="11"/>
  <c r="G130" i="11"/>
  <c r="G203" i="11"/>
  <c r="G33" i="11"/>
  <c r="G139" i="11"/>
  <c r="G278" i="11"/>
  <c r="G28" i="11"/>
  <c r="G32" i="11"/>
  <c r="G40" i="11"/>
  <c r="G42" i="11"/>
  <c r="G48" i="11"/>
  <c r="G58" i="11"/>
  <c r="G64" i="11"/>
  <c r="G74" i="11"/>
  <c r="G113" i="11"/>
  <c r="G126" i="11"/>
  <c r="G35" i="11"/>
  <c r="G101" i="11"/>
  <c r="G181" i="11"/>
  <c r="G295" i="11"/>
  <c r="G19" i="11"/>
  <c r="G27" i="11"/>
  <c r="G31" i="11"/>
  <c r="G37" i="11"/>
  <c r="G370" i="11"/>
  <c r="G362" i="11"/>
  <c r="G354" i="11"/>
  <c r="G340" i="11"/>
  <c r="G332" i="11"/>
  <c r="G324" i="11"/>
  <c r="G387" i="11"/>
  <c r="G380" i="11"/>
  <c r="G376" i="11"/>
  <c r="G372" i="11"/>
  <c r="G386" i="11"/>
  <c r="G381" i="11"/>
  <c r="G377" i="11"/>
  <c r="G373" i="11"/>
  <c r="G365" i="11"/>
  <c r="G357" i="11"/>
  <c r="G343" i="11"/>
  <c r="G335" i="11"/>
  <c r="G327" i="11"/>
  <c r="G319" i="11"/>
  <c r="G366" i="11"/>
  <c r="G358" i="11"/>
  <c r="G344" i="11"/>
  <c r="G336" i="11"/>
  <c r="G328" i="11"/>
  <c r="G320" i="11"/>
  <c r="G312" i="11"/>
  <c r="G382" i="11"/>
  <c r="G378" i="11"/>
  <c r="G374" i="11"/>
  <c r="G367" i="11"/>
  <c r="G359" i="11"/>
  <c r="G345" i="11"/>
  <c r="G337" i="11"/>
  <c r="G329" i="11"/>
  <c r="G321" i="11"/>
  <c r="G313" i="11"/>
  <c r="G305" i="11"/>
  <c r="G368" i="11"/>
  <c r="G360" i="11"/>
  <c r="G352" i="11"/>
  <c r="G346" i="11"/>
  <c r="G338" i="11"/>
  <c r="G330" i="11"/>
  <c r="G322" i="11"/>
  <c r="G314" i="11"/>
  <c r="G306" i="11"/>
  <c r="G383" i="11"/>
  <c r="G379" i="11"/>
  <c r="G375" i="11"/>
  <c r="G347" i="11"/>
  <c r="G342" i="11"/>
  <c r="G304" i="11"/>
  <c r="G297" i="11"/>
  <c r="G289" i="11"/>
  <c r="G281" i="11"/>
  <c r="G273" i="11"/>
  <c r="G265" i="11"/>
  <c r="G257" i="11"/>
  <c r="G249" i="11"/>
  <c r="G241" i="11"/>
  <c r="G233" i="11"/>
  <c r="G364" i="11"/>
  <c r="G339" i="11"/>
  <c r="G318" i="11"/>
  <c r="G298" i="11"/>
  <c r="G290" i="11"/>
  <c r="G282" i="11"/>
  <c r="G274" i="11"/>
  <c r="G266" i="11"/>
  <c r="G258" i="11"/>
  <c r="G250" i="11"/>
  <c r="G242" i="11"/>
  <c r="G234" i="11"/>
  <c r="G361" i="11"/>
  <c r="G334" i="11"/>
  <c r="G310" i="11"/>
  <c r="G308" i="11"/>
  <c r="G299" i="11"/>
  <c r="G291" i="11"/>
  <c r="G283" i="11"/>
  <c r="G275" i="11"/>
  <c r="G267" i="11"/>
  <c r="G259" i="11"/>
  <c r="G251" i="11"/>
  <c r="G243" i="11"/>
  <c r="G235" i="11"/>
  <c r="G369" i="11"/>
  <c r="G356" i="11"/>
  <c r="G341" i="11"/>
  <c r="G331" i="11"/>
  <c r="G315" i="11"/>
  <c r="G300" i="11"/>
  <c r="G292" i="11"/>
  <c r="G284" i="11"/>
  <c r="G276" i="11"/>
  <c r="G268" i="11"/>
  <c r="G260" i="11"/>
  <c r="G252" i="11"/>
  <c r="G244" i="11"/>
  <c r="G236" i="11"/>
  <c r="G228" i="11"/>
  <c r="G363" i="11"/>
  <c r="G353" i="11"/>
  <c r="G326" i="11"/>
  <c r="G317" i="11"/>
  <c r="G301" i="11"/>
  <c r="G293" i="11"/>
  <c r="G285" i="11"/>
  <c r="G277" i="11"/>
  <c r="G269" i="11"/>
  <c r="G261" i="11"/>
  <c r="G253" i="11"/>
  <c r="G245" i="11"/>
  <c r="G237" i="11"/>
  <c r="G229" i="11"/>
  <c r="G287" i="11"/>
  <c r="G280" i="11"/>
  <c r="G255" i="11"/>
  <c r="G248" i="11"/>
  <c r="G221" i="11"/>
  <c r="G214" i="11"/>
  <c r="G206" i="11"/>
  <c r="G198" i="11"/>
  <c r="G190" i="11"/>
  <c r="G182" i="11"/>
  <c r="G174" i="11"/>
  <c r="G311" i="11"/>
  <c r="G294" i="11"/>
  <c r="G355" i="11"/>
  <c r="G307" i="11"/>
  <c r="G279" i="11"/>
  <c r="G272" i="11"/>
  <c r="G247" i="11"/>
  <c r="G240" i="11"/>
  <c r="G223" i="11"/>
  <c r="G208" i="11"/>
  <c r="G200" i="11"/>
  <c r="G192" i="11"/>
  <c r="G184" i="11"/>
  <c r="G176" i="11"/>
  <c r="G168" i="11"/>
  <c r="G325" i="11"/>
  <c r="G286" i="11"/>
  <c r="G254" i="11"/>
  <c r="G224" i="11"/>
  <c r="G216" i="11"/>
  <c r="G209" i="11"/>
  <c r="G201" i="11"/>
  <c r="G193" i="11"/>
  <c r="G185" i="11"/>
  <c r="G177" i="11"/>
  <c r="G169" i="11"/>
  <c r="G333" i="11"/>
  <c r="G303" i="11"/>
  <c r="G296" i="11"/>
  <c r="G271" i="11"/>
  <c r="G264" i="11"/>
  <c r="G239" i="11"/>
  <c r="G232" i="11"/>
  <c r="G225" i="11"/>
  <c r="G217" i="11"/>
  <c r="G210" i="11"/>
  <c r="G202" i="11"/>
  <c r="G194" i="11"/>
  <c r="G186" i="11"/>
  <c r="G178" i="11"/>
  <c r="G170" i="11"/>
  <c r="G323" i="11"/>
  <c r="G302" i="11"/>
  <c r="G246" i="11"/>
  <c r="G226" i="11"/>
  <c r="G218" i="11"/>
  <c r="G165" i="11"/>
  <c r="G157" i="11"/>
  <c r="G149" i="11"/>
  <c r="G141" i="11"/>
  <c r="G133" i="11"/>
  <c r="G125" i="11"/>
  <c r="G117" i="11"/>
  <c r="G109" i="11"/>
  <c r="G231" i="11"/>
  <c r="G220" i="11"/>
  <c r="G166" i="11"/>
  <c r="G158" i="11"/>
  <c r="G150" i="11"/>
  <c r="G142" i="11"/>
  <c r="G134" i="11"/>
  <c r="G316" i="11"/>
  <c r="G288" i="11"/>
  <c r="G270" i="11"/>
  <c r="G256" i="11"/>
  <c r="G215" i="11"/>
  <c r="G207" i="11"/>
  <c r="G199" i="11"/>
  <c r="G191" i="11"/>
  <c r="G183" i="11"/>
  <c r="G175" i="11"/>
  <c r="G167" i="11"/>
  <c r="G164" i="11"/>
  <c r="G152" i="11"/>
  <c r="G148" i="11"/>
  <c r="G136" i="11"/>
  <c r="G132" i="11"/>
  <c r="G128" i="11"/>
  <c r="G123" i="11"/>
  <c r="G119" i="11"/>
  <c r="G114" i="11"/>
  <c r="G102" i="11"/>
  <c r="G94" i="11"/>
  <c r="G86" i="11"/>
  <c r="G79" i="11"/>
  <c r="G162" i="11"/>
  <c r="G159" i="11"/>
  <c r="G146" i="11"/>
  <c r="G143" i="11"/>
  <c r="G129" i="11"/>
  <c r="G124" i="11"/>
  <c r="G120" i="11"/>
  <c r="G115" i="11"/>
  <c r="G111" i="11"/>
  <c r="G104" i="11"/>
  <c r="G96" i="11"/>
  <c r="G263" i="11"/>
  <c r="G227" i="11"/>
  <c r="G222" i="11"/>
  <c r="G205" i="11"/>
  <c r="G196" i="11"/>
  <c r="G187" i="11"/>
  <c r="G173" i="11"/>
  <c r="G153" i="11"/>
  <c r="G137" i="11"/>
  <c r="G238" i="11"/>
  <c r="G213" i="11"/>
  <c r="G172" i="11"/>
  <c r="G163" i="11"/>
  <c r="G155" i="11"/>
  <c r="G140" i="11"/>
  <c r="G138" i="11"/>
  <c r="G122" i="11"/>
  <c r="G106" i="11"/>
  <c r="G92" i="11"/>
  <c r="G88" i="11"/>
  <c r="G83" i="11"/>
  <c r="G75" i="11"/>
  <c r="G67" i="11"/>
  <c r="G59" i="11"/>
  <c r="G51" i="11"/>
  <c r="G179" i="11"/>
  <c r="G118" i="11"/>
  <c r="G116" i="11"/>
  <c r="G112" i="11"/>
  <c r="G68" i="11"/>
  <c r="G60" i="11"/>
  <c r="G52" i="11"/>
  <c r="G44" i="11"/>
  <c r="G36" i="11"/>
  <c r="G230" i="11"/>
  <c r="G212" i="11"/>
  <c r="G171" i="11"/>
  <c r="G160" i="11"/>
  <c r="G103" i="11"/>
  <c r="G100" i="11"/>
  <c r="G97" i="11"/>
  <c r="G93" i="11"/>
  <c r="G89" i="11"/>
  <c r="G84" i="11"/>
  <c r="G80" i="11"/>
  <c r="G76" i="11"/>
  <c r="G69" i="11"/>
  <c r="G61" i="11"/>
  <c r="G53" i="11"/>
  <c r="G204" i="11"/>
  <c r="G156" i="11"/>
  <c r="G154" i="11"/>
  <c r="G135" i="11"/>
  <c r="G131" i="11"/>
  <c r="G127" i="11"/>
  <c r="G107" i="11"/>
  <c r="G70" i="11"/>
  <c r="G62" i="11"/>
  <c r="G54" i="11"/>
  <c r="G46" i="11"/>
  <c r="G219" i="11"/>
  <c r="G211" i="11"/>
  <c r="G197" i="11"/>
  <c r="G145" i="11"/>
  <c r="G121" i="11"/>
  <c r="G110" i="11"/>
  <c r="G98" i="11"/>
  <c r="G90" i="11"/>
  <c r="G85" i="11"/>
  <c r="G81" i="11"/>
  <c r="G77" i="11"/>
  <c r="G71" i="11"/>
  <c r="G63" i="11"/>
  <c r="G55" i="11"/>
  <c r="G47" i="11"/>
  <c r="G39" i="11"/>
  <c r="G309" i="11"/>
  <c r="G151" i="11"/>
  <c r="G108" i="11"/>
  <c r="G105" i="11"/>
  <c r="G95" i="11"/>
  <c r="G91" i="11"/>
  <c r="G82" i="11"/>
  <c r="G78" i="11"/>
  <c r="G73" i="11"/>
  <c r="G65" i="11"/>
  <c r="G57" i="11"/>
  <c r="G49" i="11"/>
  <c r="G41" i="11"/>
  <c r="G45" i="11"/>
  <c r="G87" i="11"/>
  <c r="G21" i="11"/>
  <c r="G30" i="11"/>
  <c r="G34" i="11"/>
  <c r="G43" i="11"/>
  <c r="G50" i="11"/>
  <c r="G56" i="11"/>
  <c r="G66" i="11"/>
  <c r="G72" i="11"/>
  <c r="G99" i="11"/>
  <c r="G189" i="11"/>
  <c r="G195" i="11"/>
  <c r="G262" i="11"/>
  <c r="X44" i="10"/>
  <c r="AI19" i="6"/>
  <c r="AI20" i="6"/>
  <c r="AF20" i="6"/>
  <c r="AF19" i="6"/>
  <c r="AI8" i="6"/>
  <c r="AI9" i="6"/>
  <c r="AI10" i="6"/>
  <c r="AI11" i="6"/>
  <c r="AI12" i="6"/>
  <c r="AI13" i="6"/>
  <c r="AI14" i="6"/>
  <c r="AI15" i="6"/>
  <c r="AI16" i="6"/>
  <c r="AI17" i="6"/>
  <c r="AI18" i="6"/>
  <c r="AF8" i="6"/>
  <c r="AF9" i="6"/>
  <c r="AF10" i="6"/>
  <c r="AF11" i="6"/>
  <c r="AF12" i="6"/>
  <c r="AF13" i="6"/>
  <c r="AF14" i="6"/>
  <c r="AF15" i="6"/>
  <c r="AF16" i="6"/>
  <c r="AF17" i="6"/>
  <c r="AF18" i="6"/>
  <c r="J17" i="11" l="1"/>
  <c r="I18" i="11"/>
  <c r="K18" i="11" s="1"/>
  <c r="G419" i="2"/>
  <c r="G420" i="2"/>
  <c r="G418" i="2"/>
  <c r="G417" i="2"/>
  <c r="H11" i="2"/>
  <c r="K15" i="2" s="1"/>
  <c r="K12" i="9"/>
  <c r="K11" i="9"/>
  <c r="K3" i="9"/>
  <c r="N10" i="9" s="1"/>
  <c r="J15" i="2"/>
  <c r="L12" i="2" s="1"/>
  <c r="G16" i="2"/>
  <c r="G422" i="2"/>
  <c r="E27" i="2"/>
  <c r="E28" i="2" s="1"/>
  <c r="N14" i="9"/>
  <c r="M14" i="9"/>
  <c r="C46" i="6"/>
  <c r="S46" i="6" s="1"/>
  <c r="AF7" i="6"/>
  <c r="AI7" i="6"/>
  <c r="C50" i="6"/>
  <c r="S47" i="6" s="1"/>
  <c r="E12" i="2"/>
  <c r="G15" i="2"/>
  <c r="H16" i="2"/>
  <c r="G17" i="2"/>
  <c r="G416" i="2" l="1"/>
  <c r="G361" i="2"/>
  <c r="G377" i="2"/>
  <c r="G86" i="2"/>
  <c r="G102" i="2"/>
  <c r="G118" i="2"/>
  <c r="G134" i="2"/>
  <c r="G150" i="2"/>
  <c r="G166" i="2"/>
  <c r="G182" i="2"/>
  <c r="G198" i="2"/>
  <c r="G214" i="2"/>
  <c r="G230" i="2"/>
  <c r="G246" i="2"/>
  <c r="G262" i="2"/>
  <c r="G278" i="2"/>
  <c r="G294" i="2"/>
  <c r="G310" i="2"/>
  <c r="G326" i="2"/>
  <c r="G342" i="2"/>
  <c r="G38" i="2"/>
  <c r="G54" i="2"/>
  <c r="G70" i="2"/>
  <c r="G379" i="2"/>
  <c r="G362" i="2"/>
  <c r="G378" i="2"/>
  <c r="G87" i="2"/>
  <c r="G103" i="2"/>
  <c r="G119" i="2"/>
  <c r="G135" i="2"/>
  <c r="G151" i="2"/>
  <c r="G167" i="2"/>
  <c r="G183" i="2"/>
  <c r="G199" i="2"/>
  <c r="G215" i="2"/>
  <c r="G231" i="2"/>
  <c r="G247" i="2"/>
  <c r="G263" i="2"/>
  <c r="G279" i="2"/>
  <c r="G295" i="2"/>
  <c r="G311" i="2"/>
  <c r="G327" i="2"/>
  <c r="G343" i="2"/>
  <c r="G39" i="2"/>
  <c r="G55" i="2"/>
  <c r="G71" i="2"/>
  <c r="G124" i="2"/>
  <c r="G300" i="2"/>
  <c r="G28" i="2"/>
  <c r="G60" i="2"/>
  <c r="G385" i="2"/>
  <c r="G253" i="2"/>
  <c r="G45" i="2"/>
  <c r="G369" i="2"/>
  <c r="G142" i="2"/>
  <c r="G238" i="2"/>
  <c r="G318" i="2"/>
  <c r="G354" i="2"/>
  <c r="G111" i="2"/>
  <c r="G143" i="2"/>
  <c r="G159" i="2"/>
  <c r="G191" i="2"/>
  <c r="G239" i="2"/>
  <c r="G303" i="2"/>
  <c r="G63" i="2"/>
  <c r="G371" i="2"/>
  <c r="G144" i="2"/>
  <c r="G176" i="2"/>
  <c r="G272" i="2"/>
  <c r="G48" i="2"/>
  <c r="G356" i="2"/>
  <c r="G129" i="2"/>
  <c r="G209" i="2"/>
  <c r="G241" i="2"/>
  <c r="G305" i="2"/>
  <c r="G49" i="2"/>
  <c r="G357" i="2"/>
  <c r="G242" i="2"/>
  <c r="G66" i="2"/>
  <c r="G83" i="2"/>
  <c r="G147" i="2"/>
  <c r="G195" i="2"/>
  <c r="G227" i="2"/>
  <c r="G259" i="2"/>
  <c r="G291" i="2"/>
  <c r="G252" i="2"/>
  <c r="G44" i="2"/>
  <c r="G77" i="2"/>
  <c r="G93" i="2"/>
  <c r="G109" i="2"/>
  <c r="G125" i="2"/>
  <c r="G141" i="2"/>
  <c r="G157" i="2"/>
  <c r="G189" i="2"/>
  <c r="G205" i="2"/>
  <c r="G237" i="2"/>
  <c r="G285" i="2"/>
  <c r="G317" i="2"/>
  <c r="G61" i="2"/>
  <c r="G408" i="2"/>
  <c r="G126" i="2"/>
  <c r="G254" i="2"/>
  <c r="G30" i="2"/>
  <c r="G95" i="2"/>
  <c r="G319" i="2"/>
  <c r="G410" i="2"/>
  <c r="G112" i="2"/>
  <c r="G208" i="2"/>
  <c r="G304" i="2"/>
  <c r="G81" i="2"/>
  <c r="G177" i="2"/>
  <c r="G257" i="2"/>
  <c r="G33" i="2"/>
  <c r="G412" i="2"/>
  <c r="G194" i="2"/>
  <c r="G338" i="2"/>
  <c r="G374" i="2"/>
  <c r="G131" i="2"/>
  <c r="G163" i="2"/>
  <c r="G179" i="2"/>
  <c r="G211" i="2"/>
  <c r="G243" i="2"/>
  <c r="G275" i="2"/>
  <c r="G307" i="2"/>
  <c r="G339" i="2"/>
  <c r="G35" i="2"/>
  <c r="G67" i="2"/>
  <c r="G380" i="2"/>
  <c r="G363" i="2"/>
  <c r="G72" i="2"/>
  <c r="G88" i="2"/>
  <c r="G104" i="2"/>
  <c r="G120" i="2"/>
  <c r="G136" i="2"/>
  <c r="G152" i="2"/>
  <c r="G168" i="2"/>
  <c r="G184" i="2"/>
  <c r="G200" i="2"/>
  <c r="G216" i="2"/>
  <c r="G232" i="2"/>
  <c r="G248" i="2"/>
  <c r="G264" i="2"/>
  <c r="G280" i="2"/>
  <c r="G296" i="2"/>
  <c r="G312" i="2"/>
  <c r="G328" i="2"/>
  <c r="G344" i="2"/>
  <c r="G40" i="2"/>
  <c r="G56" i="2"/>
  <c r="G26" i="2"/>
  <c r="G219" i="2"/>
  <c r="G92" i="2"/>
  <c r="G156" i="2"/>
  <c r="G220" i="2"/>
  <c r="G268" i="2"/>
  <c r="G332" i="2"/>
  <c r="G407" i="2"/>
  <c r="G29" i="2"/>
  <c r="G353" i="2"/>
  <c r="G110" i="2"/>
  <c r="G158" i="2"/>
  <c r="G190" i="2"/>
  <c r="G270" i="2"/>
  <c r="G334" i="2"/>
  <c r="G62" i="2"/>
  <c r="G370" i="2"/>
  <c r="G255" i="2"/>
  <c r="G47" i="2"/>
  <c r="G80" i="2"/>
  <c r="G224" i="2"/>
  <c r="G320" i="2"/>
  <c r="G372" i="2"/>
  <c r="G273" i="2"/>
  <c r="G98" i="2"/>
  <c r="G162" i="2"/>
  <c r="G210" i="2"/>
  <c r="G258" i="2"/>
  <c r="G306" i="2"/>
  <c r="G34" i="2"/>
  <c r="G413" i="2"/>
  <c r="G381" i="2"/>
  <c r="G364" i="2"/>
  <c r="G73" i="2"/>
  <c r="G89" i="2"/>
  <c r="G105" i="2"/>
  <c r="G121" i="2"/>
  <c r="G137" i="2"/>
  <c r="G153" i="2"/>
  <c r="G169" i="2"/>
  <c r="G185" i="2"/>
  <c r="G201" i="2"/>
  <c r="G217" i="2"/>
  <c r="G233" i="2"/>
  <c r="G249" i="2"/>
  <c r="G265" i="2"/>
  <c r="G281" i="2"/>
  <c r="G297" i="2"/>
  <c r="G313" i="2"/>
  <c r="G329" i="2"/>
  <c r="G345" i="2"/>
  <c r="G41" i="2"/>
  <c r="G57" i="2"/>
  <c r="G19" i="2"/>
  <c r="G187" i="2"/>
  <c r="G94" i="2"/>
  <c r="G174" i="2"/>
  <c r="G222" i="2"/>
  <c r="G286" i="2"/>
  <c r="G46" i="2"/>
  <c r="G409" i="2"/>
  <c r="G127" i="2"/>
  <c r="G175" i="2"/>
  <c r="G223" i="2"/>
  <c r="G287" i="2"/>
  <c r="G31" i="2"/>
  <c r="G355" i="2"/>
  <c r="G96" i="2"/>
  <c r="G160" i="2"/>
  <c r="G192" i="2"/>
  <c r="G240" i="2"/>
  <c r="G288" i="2"/>
  <c r="G336" i="2"/>
  <c r="G64" i="2"/>
  <c r="G411" i="2"/>
  <c r="G113" i="2"/>
  <c r="G145" i="2"/>
  <c r="G161" i="2"/>
  <c r="G193" i="2"/>
  <c r="G225" i="2"/>
  <c r="G289" i="2"/>
  <c r="G321" i="2"/>
  <c r="G65" i="2"/>
  <c r="G373" i="2"/>
  <c r="G290" i="2"/>
  <c r="G115" i="2"/>
  <c r="G382" i="2"/>
  <c r="G365" i="2"/>
  <c r="G74" i="2"/>
  <c r="G90" i="2"/>
  <c r="G106" i="2"/>
  <c r="G122" i="2"/>
  <c r="G138" i="2"/>
  <c r="G154" i="2"/>
  <c r="G170" i="2"/>
  <c r="G186" i="2"/>
  <c r="G202" i="2"/>
  <c r="G218" i="2"/>
  <c r="G234" i="2"/>
  <c r="G250" i="2"/>
  <c r="G266" i="2"/>
  <c r="G282" i="2"/>
  <c r="G298" i="2"/>
  <c r="G314" i="2"/>
  <c r="G330" i="2"/>
  <c r="G346" i="2"/>
  <c r="G42" i="2"/>
  <c r="G58" i="2"/>
  <c r="G20" i="2"/>
  <c r="G383" i="2"/>
  <c r="G366" i="2"/>
  <c r="G75" i="2"/>
  <c r="G91" i="2"/>
  <c r="G107" i="2"/>
  <c r="G123" i="2"/>
  <c r="G139" i="2"/>
  <c r="G155" i="2"/>
  <c r="G171" i="2"/>
  <c r="G203" i="2"/>
  <c r="G235" i="2"/>
  <c r="G251" i="2"/>
  <c r="G267" i="2"/>
  <c r="G283" i="2"/>
  <c r="G299" i="2"/>
  <c r="G315" i="2"/>
  <c r="G331" i="2"/>
  <c r="G27" i="2"/>
  <c r="G43" i="2"/>
  <c r="G59" i="2"/>
  <c r="G384" i="2"/>
  <c r="G367" i="2"/>
  <c r="G76" i="2"/>
  <c r="G108" i="2"/>
  <c r="G140" i="2"/>
  <c r="G172" i="2"/>
  <c r="G188" i="2"/>
  <c r="G204" i="2"/>
  <c r="G236" i="2"/>
  <c r="G284" i="2"/>
  <c r="G316" i="2"/>
  <c r="G368" i="2"/>
  <c r="G173" i="2"/>
  <c r="G221" i="2"/>
  <c r="G269" i="2"/>
  <c r="G301" i="2"/>
  <c r="G333" i="2"/>
  <c r="G78" i="2"/>
  <c r="G206" i="2"/>
  <c r="G302" i="2"/>
  <c r="G79" i="2"/>
  <c r="G207" i="2"/>
  <c r="G271" i="2"/>
  <c r="G335" i="2"/>
  <c r="G25" i="2"/>
  <c r="G128" i="2"/>
  <c r="G256" i="2"/>
  <c r="G32" i="2"/>
  <c r="G97" i="2"/>
  <c r="G337" i="2"/>
  <c r="G82" i="2"/>
  <c r="G130" i="2"/>
  <c r="G146" i="2"/>
  <c r="G178" i="2"/>
  <c r="G226" i="2"/>
  <c r="G274" i="2"/>
  <c r="G322" i="2"/>
  <c r="G50" i="2"/>
  <c r="G358" i="2"/>
  <c r="G114" i="2"/>
  <c r="G99" i="2"/>
  <c r="G51" i="2"/>
  <c r="G117" i="2"/>
  <c r="G245" i="2"/>
  <c r="G52" i="2"/>
  <c r="G69" i="2"/>
  <c r="G277" i="2"/>
  <c r="G414" i="2"/>
  <c r="G293" i="2"/>
  <c r="G309" i="2"/>
  <c r="G375" i="2"/>
  <c r="G323" i="2"/>
  <c r="G324" i="2"/>
  <c r="G340" i="2"/>
  <c r="G132" i="2"/>
  <c r="G260" i="2"/>
  <c r="G53" i="2"/>
  <c r="G276" i="2"/>
  <c r="G149" i="2"/>
  <c r="G164" i="2"/>
  <c r="G360" i="2"/>
  <c r="G325" i="2"/>
  <c r="G228" i="2"/>
  <c r="G229" i="2"/>
  <c r="G37" i="2"/>
  <c r="G133" i="2"/>
  <c r="G261" i="2"/>
  <c r="G68" i="2"/>
  <c r="G148" i="2"/>
  <c r="G292" i="2"/>
  <c r="G415" i="2"/>
  <c r="G359" i="2"/>
  <c r="G180" i="2"/>
  <c r="G308" i="2"/>
  <c r="G197" i="2"/>
  <c r="G84" i="2"/>
  <c r="G85" i="2"/>
  <c r="G341" i="2"/>
  <c r="G165" i="2"/>
  <c r="G181" i="2"/>
  <c r="G196" i="2"/>
  <c r="G376" i="2"/>
  <c r="G212" i="2"/>
  <c r="G213" i="2"/>
  <c r="G100" i="2"/>
  <c r="G101" i="2"/>
  <c r="G36" i="2"/>
  <c r="G244" i="2"/>
  <c r="G116" i="2"/>
  <c r="I19" i="11"/>
  <c r="K19" i="11" s="1"/>
  <c r="J18" i="11"/>
  <c r="B27" i="2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S49" i="6"/>
  <c r="N15" i="9"/>
  <c r="N16" i="9" s="1"/>
  <c r="E29" i="2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G387" i="2"/>
  <c r="G395" i="2"/>
  <c r="G403" i="2"/>
  <c r="G388" i="2"/>
  <c r="G396" i="2"/>
  <c r="G404" i="2"/>
  <c r="G389" i="2"/>
  <c r="G397" i="2"/>
  <c r="G405" i="2"/>
  <c r="G390" i="2"/>
  <c r="G398" i="2"/>
  <c r="G406" i="2"/>
  <c r="G351" i="2"/>
  <c r="G391" i="2"/>
  <c r="G399" i="2"/>
  <c r="G352" i="2"/>
  <c r="G392" i="2"/>
  <c r="G400" i="2"/>
  <c r="G386" i="2"/>
  <c r="G394" i="2"/>
  <c r="G402" i="2"/>
  <c r="G401" i="2"/>
  <c r="G393" i="2"/>
  <c r="I16" i="2"/>
  <c r="J16" i="2" s="1"/>
  <c r="AF37" i="6"/>
  <c r="S50" i="6" s="1"/>
  <c r="G18" i="2"/>
  <c r="G421" i="2"/>
  <c r="I20" i="11" l="1"/>
  <c r="J20" i="11" s="1"/>
  <c r="J19" i="11"/>
  <c r="S51" i="6"/>
  <c r="E340" i="2"/>
  <c r="E341" i="2" s="1"/>
  <c r="E342" i="2" s="1"/>
  <c r="E343" i="2" s="1"/>
  <c r="E344" i="2" s="1"/>
  <c r="E345" i="2" s="1"/>
  <c r="B146" i="2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51" i="2" s="1"/>
  <c r="I17" i="2"/>
  <c r="K16" i="2"/>
  <c r="J17" i="2" l="1"/>
  <c r="I18" i="2"/>
  <c r="E351" i="2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I21" i="11"/>
  <c r="I22" i="11" s="1"/>
  <c r="J22" i="11" s="1"/>
  <c r="K20" i="11"/>
  <c r="I23" i="11"/>
  <c r="K17" i="2"/>
  <c r="J18" i="2" l="1"/>
  <c r="K18" i="2"/>
  <c r="I19" i="2"/>
  <c r="K22" i="11"/>
  <c r="J21" i="11"/>
  <c r="K21" i="11"/>
  <c r="K23" i="11"/>
  <c r="J23" i="11"/>
  <c r="I24" i="11"/>
  <c r="P28" i="11"/>
  <c r="O28" i="11"/>
  <c r="B352" i="2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I20" i="2" l="1"/>
  <c r="I21" i="2" s="1"/>
  <c r="I22" i="2" s="1"/>
  <c r="I23" i="2" s="1"/>
  <c r="I24" i="2" s="1"/>
  <c r="J19" i="2"/>
  <c r="K19" i="2"/>
  <c r="I25" i="11"/>
  <c r="K24" i="11"/>
  <c r="J24" i="11"/>
  <c r="K20" i="2"/>
  <c r="J20" i="2"/>
  <c r="J24" i="2" l="1"/>
  <c r="I25" i="2"/>
  <c r="M32" i="11"/>
  <c r="M33" i="11"/>
  <c r="M30" i="11"/>
  <c r="M31" i="11"/>
  <c r="K25" i="11"/>
  <c r="J25" i="11"/>
  <c r="I26" i="11"/>
  <c r="J21" i="2"/>
  <c r="O27" i="2" s="1"/>
  <c r="K21" i="2"/>
  <c r="I26" i="2" l="1"/>
  <c r="J25" i="2"/>
  <c r="K26" i="11"/>
  <c r="J26" i="11"/>
  <c r="I27" i="11"/>
  <c r="P27" i="2"/>
  <c r="K22" i="2"/>
  <c r="J22" i="2"/>
  <c r="I27" i="2" l="1"/>
  <c r="J26" i="2"/>
  <c r="J27" i="11"/>
  <c r="I28" i="11"/>
  <c r="K27" i="11"/>
  <c r="J23" i="2"/>
  <c r="M29" i="2" s="1"/>
  <c r="K23" i="2"/>
  <c r="J27" i="2" l="1"/>
  <c r="I28" i="2"/>
  <c r="J28" i="11"/>
  <c r="K28" i="11"/>
  <c r="I29" i="11"/>
  <c r="K24" i="2"/>
  <c r="M31" i="2"/>
  <c r="M30" i="2"/>
  <c r="M32" i="2"/>
  <c r="J28" i="2" l="1"/>
  <c r="I29" i="2"/>
  <c r="K29" i="11"/>
  <c r="J29" i="11"/>
  <c r="I30" i="11"/>
  <c r="K25" i="2"/>
  <c r="J29" i="2" l="1"/>
  <c r="I30" i="2"/>
  <c r="J30" i="11"/>
  <c r="I31" i="11"/>
  <c r="K30" i="11"/>
  <c r="K26" i="2"/>
  <c r="J30" i="2" l="1"/>
  <c r="I31" i="2"/>
  <c r="J31" i="11"/>
  <c r="K31" i="11"/>
  <c r="I32" i="11"/>
  <c r="K27" i="2"/>
  <c r="K31" i="2" l="1"/>
  <c r="J31" i="2"/>
  <c r="I32" i="2"/>
  <c r="J32" i="11"/>
  <c r="K32" i="11"/>
  <c r="I33" i="11"/>
  <c r="K28" i="2"/>
  <c r="J32" i="2" l="1"/>
  <c r="I33" i="2"/>
  <c r="K32" i="2"/>
  <c r="J33" i="11"/>
  <c r="K33" i="11"/>
  <c r="I34" i="11"/>
  <c r="K29" i="2"/>
  <c r="J33" i="2" l="1"/>
  <c r="I34" i="2"/>
  <c r="K33" i="2"/>
  <c r="J34" i="11"/>
  <c r="K34" i="11"/>
  <c r="I35" i="11"/>
  <c r="K30" i="2"/>
  <c r="J34" i="2" l="1"/>
  <c r="I35" i="2"/>
  <c r="K34" i="2"/>
  <c r="K35" i="11"/>
  <c r="J35" i="11"/>
  <c r="I36" i="11"/>
  <c r="J35" i="2" l="1"/>
  <c r="I36" i="2"/>
  <c r="K35" i="2"/>
  <c r="J36" i="11"/>
  <c r="I37" i="11"/>
  <c r="K36" i="11"/>
  <c r="I37" i="2" l="1"/>
  <c r="J36" i="2"/>
  <c r="K36" i="2"/>
  <c r="K37" i="11"/>
  <c r="J37" i="11"/>
  <c r="I38" i="11"/>
  <c r="I38" i="2" l="1"/>
  <c r="J37" i="2"/>
  <c r="K37" i="2"/>
  <c r="K38" i="11"/>
  <c r="J38" i="11"/>
  <c r="I39" i="11"/>
  <c r="I39" i="2" l="1"/>
  <c r="J38" i="2"/>
  <c r="K38" i="2"/>
  <c r="J39" i="11"/>
  <c r="I40" i="11"/>
  <c r="K39" i="11"/>
  <c r="J39" i="2" l="1"/>
  <c r="K39" i="2"/>
  <c r="I40" i="2"/>
  <c r="K40" i="11"/>
  <c r="J40" i="11"/>
  <c r="I41" i="11"/>
  <c r="I41" i="2" l="1"/>
  <c r="J40" i="2"/>
  <c r="K40" i="2"/>
  <c r="J41" i="11"/>
  <c r="I42" i="11"/>
  <c r="K41" i="11"/>
  <c r="I42" i="2" l="1"/>
  <c r="J41" i="2"/>
  <c r="K41" i="2"/>
  <c r="K42" i="11"/>
  <c r="J42" i="11"/>
  <c r="I43" i="11"/>
  <c r="J42" i="2" l="1"/>
  <c r="I43" i="2"/>
  <c r="K42" i="2"/>
  <c r="K43" i="11"/>
  <c r="I44" i="11"/>
  <c r="J43" i="11"/>
  <c r="K43" i="2" l="1"/>
  <c r="J43" i="2"/>
  <c r="I44" i="2"/>
  <c r="J44" i="11"/>
  <c r="K44" i="11"/>
  <c r="I45" i="11"/>
  <c r="J44" i="2" l="1"/>
  <c r="I45" i="2"/>
  <c r="K44" i="2"/>
  <c r="K45" i="11"/>
  <c r="J45" i="11"/>
  <c r="I46" i="11"/>
  <c r="J45" i="2" l="1"/>
  <c r="I46" i="2"/>
  <c r="K45" i="2"/>
  <c r="K46" i="11"/>
  <c r="J46" i="11"/>
  <c r="I47" i="11"/>
  <c r="J46" i="2" l="1"/>
  <c r="I47" i="2"/>
  <c r="K46" i="2"/>
  <c r="J47" i="11"/>
  <c r="I48" i="11"/>
  <c r="K47" i="11"/>
  <c r="J47" i="2" l="1"/>
  <c r="I48" i="2"/>
  <c r="K47" i="2"/>
  <c r="K48" i="11"/>
  <c r="J48" i="11"/>
  <c r="I49" i="11"/>
  <c r="J48" i="2" l="1"/>
  <c r="I49" i="2"/>
  <c r="K48" i="2"/>
  <c r="K49" i="11"/>
  <c r="J49" i="11"/>
  <c r="I50" i="11"/>
  <c r="J49" i="2" l="1"/>
  <c r="I50" i="2"/>
  <c r="K49" i="2"/>
  <c r="K50" i="11"/>
  <c r="J50" i="11"/>
  <c r="I51" i="11"/>
  <c r="J50" i="2" l="1"/>
  <c r="I51" i="2"/>
  <c r="K50" i="2"/>
  <c r="K51" i="11"/>
  <c r="I52" i="11"/>
  <c r="J51" i="11"/>
  <c r="J51" i="2" l="1"/>
  <c r="K51" i="2"/>
  <c r="I52" i="2"/>
  <c r="I53" i="11"/>
  <c r="J52" i="11"/>
  <c r="K52" i="11"/>
  <c r="J52" i="2" l="1"/>
  <c r="I53" i="2"/>
  <c r="K52" i="2"/>
  <c r="K53" i="11"/>
  <c r="J53" i="11"/>
  <c r="I54" i="11"/>
  <c r="J53" i="2" l="1"/>
  <c r="I54" i="2"/>
  <c r="K53" i="2"/>
  <c r="J54" i="11"/>
  <c r="I55" i="11"/>
  <c r="K54" i="11"/>
  <c r="J54" i="2" l="1"/>
  <c r="I55" i="2"/>
  <c r="K54" i="2"/>
  <c r="K55" i="11"/>
  <c r="J55" i="11"/>
  <c r="I56" i="11"/>
  <c r="J55" i="2" l="1"/>
  <c r="I56" i="2"/>
  <c r="K55" i="2"/>
  <c r="K56" i="11"/>
  <c r="J56" i="11"/>
  <c r="I57" i="11"/>
  <c r="J56" i="2" l="1"/>
  <c r="I57" i="2"/>
  <c r="K56" i="2"/>
  <c r="K57" i="11"/>
  <c r="J57" i="11"/>
  <c r="I58" i="11"/>
  <c r="J57" i="2" l="1"/>
  <c r="I58" i="2"/>
  <c r="K57" i="2"/>
  <c r="K58" i="11"/>
  <c r="J58" i="11"/>
  <c r="I59" i="11"/>
  <c r="J58" i="2" l="1"/>
  <c r="I59" i="2"/>
  <c r="K58" i="2"/>
  <c r="K59" i="11"/>
  <c r="J59" i="11"/>
  <c r="I60" i="11"/>
  <c r="J59" i="2" l="1"/>
  <c r="I60" i="2"/>
  <c r="K59" i="2"/>
  <c r="I61" i="11"/>
  <c r="J60" i="11"/>
  <c r="K60" i="11"/>
  <c r="J60" i="2" l="1"/>
  <c r="I61" i="2"/>
  <c r="K60" i="2"/>
  <c r="K61" i="11"/>
  <c r="J61" i="11"/>
  <c r="I62" i="11"/>
  <c r="J61" i="2" l="1"/>
  <c r="K61" i="2"/>
  <c r="I62" i="2"/>
  <c r="J62" i="11"/>
  <c r="I63" i="11"/>
  <c r="K62" i="11"/>
  <c r="J62" i="2" l="1"/>
  <c r="I63" i="2"/>
  <c r="K62" i="2"/>
  <c r="K63" i="11"/>
  <c r="J63" i="11"/>
  <c r="I64" i="11"/>
  <c r="I64" i="2" l="1"/>
  <c r="K63" i="2"/>
  <c r="J63" i="2"/>
  <c r="K64" i="11"/>
  <c r="J64" i="11"/>
  <c r="I65" i="11"/>
  <c r="J64" i="2" l="1"/>
  <c r="I65" i="2"/>
  <c r="K64" i="2"/>
  <c r="K65" i="11"/>
  <c r="J65" i="11"/>
  <c r="I66" i="11"/>
  <c r="J65" i="2" l="1"/>
  <c r="K65" i="2"/>
  <c r="I66" i="2"/>
  <c r="K66" i="11"/>
  <c r="J66" i="11"/>
  <c r="I67" i="11"/>
  <c r="J66" i="2" l="1"/>
  <c r="I67" i="2"/>
  <c r="K66" i="2"/>
  <c r="K67" i="11"/>
  <c r="I68" i="11"/>
  <c r="J67" i="11"/>
  <c r="J67" i="2" l="1"/>
  <c r="K67" i="2"/>
  <c r="I68" i="2"/>
  <c r="I69" i="11"/>
  <c r="J68" i="11"/>
  <c r="K68" i="11"/>
  <c r="J68" i="2" l="1"/>
  <c r="K68" i="2"/>
  <c r="I69" i="2"/>
  <c r="K69" i="11"/>
  <c r="J69" i="11"/>
  <c r="I70" i="11"/>
  <c r="I70" i="2" l="1"/>
  <c r="K69" i="2"/>
  <c r="J69" i="2"/>
  <c r="J70" i="11"/>
  <c r="I71" i="11"/>
  <c r="K70" i="11"/>
  <c r="J70" i="2" l="1"/>
  <c r="K70" i="2"/>
  <c r="I71" i="2"/>
  <c r="K71" i="11"/>
  <c r="J71" i="11"/>
  <c r="I72" i="11"/>
  <c r="I72" i="2" l="1"/>
  <c r="K71" i="2"/>
  <c r="J71" i="2"/>
  <c r="K72" i="11"/>
  <c r="J72" i="11"/>
  <c r="I73" i="11"/>
  <c r="J72" i="2" l="1"/>
  <c r="I73" i="2"/>
  <c r="K72" i="2"/>
  <c r="K73" i="11"/>
  <c r="J73" i="11"/>
  <c r="I74" i="11"/>
  <c r="J73" i="2" l="1"/>
  <c r="K73" i="2"/>
  <c r="I74" i="2"/>
  <c r="K74" i="11"/>
  <c r="J74" i="11"/>
  <c r="I75" i="11"/>
  <c r="J74" i="2" l="1"/>
  <c r="I75" i="2"/>
  <c r="K74" i="2"/>
  <c r="K75" i="11"/>
  <c r="I76" i="11"/>
  <c r="J75" i="11"/>
  <c r="J75" i="2" l="1"/>
  <c r="I76" i="2"/>
  <c r="K75" i="2"/>
  <c r="I77" i="11"/>
  <c r="K76" i="11"/>
  <c r="J76" i="11"/>
  <c r="J76" i="2" l="1"/>
  <c r="I77" i="2"/>
  <c r="K76" i="2"/>
  <c r="K77" i="11"/>
  <c r="J77" i="11"/>
  <c r="I78" i="11"/>
  <c r="I78" i="2" l="1"/>
  <c r="J77" i="2"/>
  <c r="K77" i="2"/>
  <c r="K78" i="11"/>
  <c r="J78" i="11"/>
  <c r="I79" i="11"/>
  <c r="K78" i="2" l="1"/>
  <c r="J78" i="2"/>
  <c r="I79" i="2"/>
  <c r="J79" i="11"/>
  <c r="K79" i="11"/>
  <c r="I80" i="11"/>
  <c r="J79" i="2" l="1"/>
  <c r="I80" i="2"/>
  <c r="K79" i="2"/>
  <c r="J80" i="11"/>
  <c r="I81" i="11"/>
  <c r="K80" i="11"/>
  <c r="J80" i="2" l="1"/>
  <c r="I81" i="2"/>
  <c r="K80" i="2"/>
  <c r="J81" i="11"/>
  <c r="K81" i="11"/>
  <c r="I82" i="11"/>
  <c r="J81" i="2" l="1"/>
  <c r="K81" i="2"/>
  <c r="I82" i="2"/>
  <c r="K82" i="11"/>
  <c r="J82" i="11"/>
  <c r="I83" i="11"/>
  <c r="K82" i="2" l="1"/>
  <c r="I83" i="2"/>
  <c r="J82" i="2"/>
  <c r="I84" i="11"/>
  <c r="K83" i="11"/>
  <c r="J83" i="11"/>
  <c r="J83" i="2" l="1"/>
  <c r="I84" i="2"/>
  <c r="K83" i="2"/>
  <c r="I85" i="11"/>
  <c r="K84" i="11"/>
  <c r="J84" i="11"/>
  <c r="J84" i="2" l="1"/>
  <c r="K84" i="2"/>
  <c r="I85" i="2"/>
  <c r="K85" i="11"/>
  <c r="J85" i="11"/>
  <c r="I86" i="11"/>
  <c r="J85" i="2" l="1"/>
  <c r="I86" i="2"/>
  <c r="K85" i="2"/>
  <c r="K86" i="11"/>
  <c r="J86" i="11"/>
  <c r="I87" i="11"/>
  <c r="J86" i="2" l="1"/>
  <c r="I87" i="2"/>
  <c r="K86" i="2"/>
  <c r="K87" i="11"/>
  <c r="J87" i="11"/>
  <c r="I88" i="11"/>
  <c r="I88" i="2" l="1"/>
  <c r="K87" i="2"/>
  <c r="J87" i="2"/>
  <c r="I89" i="11"/>
  <c r="J88" i="11"/>
  <c r="K88" i="11"/>
  <c r="J88" i="2" l="1"/>
  <c r="I89" i="2"/>
  <c r="K88" i="2"/>
  <c r="J89" i="11"/>
  <c r="I90" i="11"/>
  <c r="K89" i="11"/>
  <c r="K89" i="2" l="1"/>
  <c r="I90" i="2"/>
  <c r="J89" i="2"/>
  <c r="K90" i="11"/>
  <c r="J90" i="11"/>
  <c r="I91" i="11"/>
  <c r="J90" i="2" l="1"/>
  <c r="I91" i="2"/>
  <c r="K90" i="2"/>
  <c r="K91" i="11"/>
  <c r="J91" i="11"/>
  <c r="I92" i="11"/>
  <c r="K91" i="2" l="1"/>
  <c r="I92" i="2"/>
  <c r="J91" i="2"/>
  <c r="I93" i="11"/>
  <c r="K92" i="11"/>
  <c r="J92" i="11"/>
  <c r="J92" i="2" l="1"/>
  <c r="K92" i="2"/>
  <c r="I93" i="2"/>
  <c r="I94" i="11"/>
  <c r="K93" i="11"/>
  <c r="J93" i="11"/>
  <c r="K93" i="2" l="1"/>
  <c r="I94" i="2"/>
  <c r="J93" i="2"/>
  <c r="K94" i="11"/>
  <c r="J94" i="11"/>
  <c r="I95" i="11"/>
  <c r="J94" i="2" l="1"/>
  <c r="K94" i="2"/>
  <c r="I95" i="2"/>
  <c r="K95" i="11"/>
  <c r="J95" i="11"/>
  <c r="I96" i="11"/>
  <c r="J95" i="2" l="1"/>
  <c r="K95" i="2"/>
  <c r="I96" i="2"/>
  <c r="I97" i="11"/>
  <c r="J96" i="11"/>
  <c r="K96" i="11"/>
  <c r="J96" i="2" l="1"/>
  <c r="K96" i="2"/>
  <c r="I97" i="2"/>
  <c r="J97" i="11"/>
  <c r="K97" i="11"/>
  <c r="I98" i="11"/>
  <c r="J97" i="2" l="1"/>
  <c r="I98" i="2"/>
  <c r="K97" i="2"/>
  <c r="K98" i="11"/>
  <c r="J98" i="11"/>
  <c r="I99" i="11"/>
  <c r="J98" i="2" l="1"/>
  <c r="K98" i="2"/>
  <c r="I99" i="2"/>
  <c r="J99" i="11"/>
  <c r="I100" i="11"/>
  <c r="K99" i="11"/>
  <c r="J99" i="2" l="1"/>
  <c r="K99" i="2"/>
  <c r="I100" i="2"/>
  <c r="K100" i="11"/>
  <c r="I101" i="11"/>
  <c r="J100" i="11"/>
  <c r="K100" i="2" l="1"/>
  <c r="I101" i="2"/>
  <c r="J100" i="2"/>
  <c r="K101" i="11"/>
  <c r="J101" i="11"/>
  <c r="I102" i="11"/>
  <c r="J101" i="2" l="1"/>
  <c r="K101" i="2"/>
  <c r="I102" i="2"/>
  <c r="I103" i="11"/>
  <c r="K102" i="11"/>
  <c r="J102" i="11"/>
  <c r="K102" i="2" l="1"/>
  <c r="I103" i="2"/>
  <c r="J102" i="2"/>
  <c r="K103" i="11"/>
  <c r="J103" i="11"/>
  <c r="I104" i="11"/>
  <c r="J103" i="2" l="1"/>
  <c r="I104" i="2"/>
  <c r="K103" i="2"/>
  <c r="K104" i="11"/>
  <c r="J104" i="11"/>
  <c r="I105" i="11"/>
  <c r="J104" i="2" l="1"/>
  <c r="I105" i="2"/>
  <c r="K104" i="2"/>
  <c r="J105" i="11"/>
  <c r="K105" i="11"/>
  <c r="I106" i="11"/>
  <c r="J105" i="2" l="1"/>
  <c r="I106" i="2"/>
  <c r="K105" i="2"/>
  <c r="K106" i="11"/>
  <c r="J106" i="11"/>
  <c r="I107" i="11"/>
  <c r="J106" i="2" l="1"/>
  <c r="I107" i="2"/>
  <c r="K106" i="2"/>
  <c r="J107" i="11"/>
  <c r="K107" i="11"/>
  <c r="I108" i="11"/>
  <c r="J107" i="2" l="1"/>
  <c r="I108" i="2"/>
  <c r="K107" i="2"/>
  <c r="K108" i="11"/>
  <c r="I109" i="11"/>
  <c r="J108" i="11"/>
  <c r="J108" i="2" l="1"/>
  <c r="I109" i="2"/>
  <c r="K108" i="2"/>
  <c r="I110" i="11"/>
  <c r="K109" i="11"/>
  <c r="J109" i="11"/>
  <c r="J109" i="2" l="1"/>
  <c r="K109" i="2"/>
  <c r="I110" i="2"/>
  <c r="K110" i="11"/>
  <c r="J110" i="11"/>
  <c r="I111" i="11"/>
  <c r="K110" i="2" l="1"/>
  <c r="I111" i="2"/>
  <c r="J110" i="2"/>
  <c r="J111" i="11"/>
  <c r="K111" i="11"/>
  <c r="I112" i="11"/>
  <c r="J111" i="2" l="1"/>
  <c r="I112" i="2"/>
  <c r="K111" i="2"/>
  <c r="J112" i="11"/>
  <c r="I113" i="11"/>
  <c r="K112" i="11"/>
  <c r="J112" i="2" l="1"/>
  <c r="K112" i="2"/>
  <c r="I113" i="2"/>
  <c r="K113" i="11"/>
  <c r="J113" i="11"/>
  <c r="I114" i="11"/>
  <c r="J113" i="2" l="1"/>
  <c r="I114" i="2"/>
  <c r="K113" i="2"/>
  <c r="K114" i="11"/>
  <c r="J114" i="11"/>
  <c r="I115" i="11"/>
  <c r="J114" i="2" l="1"/>
  <c r="K114" i="2"/>
  <c r="I115" i="2"/>
  <c r="K115" i="11"/>
  <c r="J115" i="11"/>
  <c r="I116" i="11"/>
  <c r="J115" i="2" l="1"/>
  <c r="I116" i="2"/>
  <c r="K115" i="2"/>
  <c r="K116" i="11"/>
  <c r="I117" i="11"/>
  <c r="J116" i="11"/>
  <c r="J116" i="2" l="1"/>
  <c r="K116" i="2"/>
  <c r="I117" i="2"/>
  <c r="K117" i="11"/>
  <c r="J117" i="11"/>
  <c r="I118" i="11"/>
  <c r="J117" i="2" l="1"/>
  <c r="K117" i="2"/>
  <c r="I118" i="2"/>
  <c r="K118" i="11"/>
  <c r="J118" i="11"/>
  <c r="I119" i="11"/>
  <c r="J118" i="2" l="1"/>
  <c r="K118" i="2"/>
  <c r="I119" i="2"/>
  <c r="K119" i="11"/>
  <c r="J119" i="11"/>
  <c r="I120" i="11"/>
  <c r="J119" i="2" l="1"/>
  <c r="K119" i="2"/>
  <c r="I120" i="2"/>
  <c r="J120" i="11"/>
  <c r="K120" i="11"/>
  <c r="I121" i="11"/>
  <c r="J120" i="2" l="1"/>
  <c r="K120" i="2"/>
  <c r="I121" i="2"/>
  <c r="K121" i="11"/>
  <c r="J121" i="11"/>
  <c r="I122" i="11"/>
  <c r="J121" i="2" l="1"/>
  <c r="K121" i="2"/>
  <c r="I122" i="2"/>
  <c r="K122" i="11"/>
  <c r="J122" i="11"/>
  <c r="I123" i="11"/>
  <c r="J122" i="2" l="1"/>
  <c r="K122" i="2"/>
  <c r="I123" i="2"/>
  <c r="K123" i="11"/>
  <c r="J123" i="11"/>
  <c r="I124" i="11"/>
  <c r="J123" i="2" l="1"/>
  <c r="K123" i="2"/>
  <c r="I124" i="2"/>
  <c r="K124" i="11"/>
  <c r="J124" i="11"/>
  <c r="I125" i="11"/>
  <c r="J124" i="2" l="1"/>
  <c r="K124" i="2"/>
  <c r="I125" i="2"/>
  <c r="K125" i="11"/>
  <c r="I126" i="11"/>
  <c r="J125" i="11"/>
  <c r="J125" i="2" l="1"/>
  <c r="K125" i="2"/>
  <c r="I126" i="2"/>
  <c r="J126" i="11"/>
  <c r="K126" i="11"/>
  <c r="I127" i="11"/>
  <c r="K126" i="2" l="1"/>
  <c r="I127" i="2"/>
  <c r="J126" i="2"/>
  <c r="K127" i="11"/>
  <c r="J127" i="11"/>
  <c r="I128" i="11"/>
  <c r="J127" i="2" l="1"/>
  <c r="K127" i="2"/>
  <c r="I128" i="2"/>
  <c r="J128" i="11"/>
  <c r="K128" i="11"/>
  <c r="I129" i="11"/>
  <c r="J128" i="2" l="1"/>
  <c r="K128" i="2"/>
  <c r="I129" i="2"/>
  <c r="K129" i="11"/>
  <c r="J129" i="11"/>
  <c r="I130" i="11"/>
  <c r="J129" i="2" l="1"/>
  <c r="I130" i="2"/>
  <c r="K129" i="2"/>
  <c r="K130" i="11"/>
  <c r="J130" i="11"/>
  <c r="I131" i="11"/>
  <c r="J130" i="2" l="1"/>
  <c r="I131" i="2"/>
  <c r="K130" i="2"/>
  <c r="K131" i="11"/>
  <c r="J131" i="11"/>
  <c r="I132" i="11"/>
  <c r="J131" i="2" l="1"/>
  <c r="K131" i="2"/>
  <c r="I132" i="2"/>
  <c r="I133" i="11"/>
  <c r="K132" i="11"/>
  <c r="J132" i="11"/>
  <c r="J132" i="2" l="1"/>
  <c r="I133" i="2"/>
  <c r="K132" i="2"/>
  <c r="J133" i="11"/>
  <c r="I134" i="11"/>
  <c r="K133" i="11"/>
  <c r="J133" i="2" l="1"/>
  <c r="K133" i="2"/>
  <c r="I134" i="2"/>
  <c r="J134" i="11"/>
  <c r="K134" i="11"/>
  <c r="I135" i="11"/>
  <c r="J134" i="2" l="1"/>
  <c r="I135" i="2"/>
  <c r="K134" i="2"/>
  <c r="K135" i="11"/>
  <c r="J135" i="11"/>
  <c r="I136" i="11"/>
  <c r="J135" i="2" l="1"/>
  <c r="I136" i="2"/>
  <c r="K135" i="2"/>
  <c r="J136" i="11"/>
  <c r="I137" i="11"/>
  <c r="K136" i="11"/>
  <c r="J136" i="2" l="1"/>
  <c r="I137" i="2"/>
  <c r="K136" i="2"/>
  <c r="K137" i="11"/>
  <c r="J137" i="11"/>
  <c r="I138" i="11"/>
  <c r="I138" i="2" l="1"/>
  <c r="K137" i="2"/>
  <c r="J137" i="2"/>
  <c r="K138" i="11"/>
  <c r="J138" i="11"/>
  <c r="I139" i="11"/>
  <c r="J138" i="2" l="1"/>
  <c r="K138" i="2"/>
  <c r="I139" i="2"/>
  <c r="K139" i="11"/>
  <c r="J139" i="11"/>
  <c r="I140" i="11"/>
  <c r="J139" i="2" l="1"/>
  <c r="K139" i="2"/>
  <c r="I140" i="2"/>
  <c r="K140" i="11"/>
  <c r="I141" i="11"/>
  <c r="J140" i="11"/>
  <c r="J140" i="2" l="1"/>
  <c r="I141" i="2"/>
  <c r="K140" i="2"/>
  <c r="K141" i="11"/>
  <c r="J141" i="11"/>
  <c r="I142" i="11"/>
  <c r="K141" i="2" l="1"/>
  <c r="I142" i="2"/>
  <c r="J141" i="2"/>
  <c r="J142" i="11"/>
  <c r="K142" i="11"/>
  <c r="I143" i="11"/>
  <c r="J142" i="2" l="1"/>
  <c r="I143" i="2"/>
  <c r="K142" i="2"/>
  <c r="J143" i="11"/>
  <c r="K143" i="11"/>
  <c r="I144" i="11"/>
  <c r="J143" i="2" l="1"/>
  <c r="I144" i="2"/>
  <c r="K143" i="2"/>
  <c r="J144" i="11"/>
  <c r="K144" i="11"/>
  <c r="I145" i="11"/>
  <c r="J144" i="2" l="1"/>
  <c r="I145" i="2"/>
  <c r="K144" i="2"/>
  <c r="K145" i="11"/>
  <c r="J145" i="11"/>
  <c r="I146" i="11"/>
  <c r="I146" i="2" l="1"/>
  <c r="K145" i="2"/>
  <c r="J145" i="2"/>
  <c r="K146" i="11"/>
  <c r="J146" i="11"/>
  <c r="I147" i="11"/>
  <c r="J146" i="2" l="1"/>
  <c r="K146" i="2"/>
  <c r="I147" i="2"/>
  <c r="J147" i="11"/>
  <c r="K147" i="11"/>
  <c r="I148" i="11"/>
  <c r="J147" i="2" l="1"/>
  <c r="I148" i="2"/>
  <c r="K147" i="2"/>
  <c r="J148" i="11"/>
  <c r="I149" i="11"/>
  <c r="K148" i="11"/>
  <c r="J148" i="2" l="1"/>
  <c r="K148" i="2"/>
  <c r="I149" i="2"/>
  <c r="J149" i="11"/>
  <c r="I150" i="11"/>
  <c r="K149" i="11"/>
  <c r="J149" i="2" l="1"/>
  <c r="K149" i="2"/>
  <c r="I150" i="2"/>
  <c r="J150" i="11"/>
  <c r="K150" i="11"/>
  <c r="I151" i="11"/>
  <c r="J150" i="2" l="1"/>
  <c r="I151" i="2"/>
  <c r="K150" i="2"/>
  <c r="K151" i="11"/>
  <c r="J151" i="11"/>
  <c r="I152" i="11"/>
  <c r="J151" i="2" l="1"/>
  <c r="I152" i="2"/>
  <c r="K151" i="2"/>
  <c r="J152" i="11"/>
  <c r="K152" i="11"/>
  <c r="I153" i="11"/>
  <c r="J152" i="2" l="1"/>
  <c r="I153" i="2"/>
  <c r="K152" i="2"/>
  <c r="K153" i="11"/>
  <c r="J153" i="11"/>
  <c r="I154" i="11"/>
  <c r="J153" i="2" l="1"/>
  <c r="I154" i="2"/>
  <c r="K153" i="2"/>
  <c r="K154" i="11"/>
  <c r="J154" i="11"/>
  <c r="I155" i="11"/>
  <c r="K154" i="2" l="1"/>
  <c r="J154" i="2"/>
  <c r="I155" i="2"/>
  <c r="K155" i="11"/>
  <c r="J155" i="11"/>
  <c r="I156" i="11"/>
  <c r="J155" i="2" l="1"/>
  <c r="I156" i="2"/>
  <c r="K155" i="2"/>
  <c r="K156" i="11"/>
  <c r="J156" i="11"/>
  <c r="I157" i="11"/>
  <c r="J156" i="2" l="1"/>
  <c r="K156" i="2"/>
  <c r="I157" i="2"/>
  <c r="K157" i="11"/>
  <c r="I158" i="11"/>
  <c r="J157" i="11"/>
  <c r="J157" i="2" l="1"/>
  <c r="K157" i="2"/>
  <c r="I158" i="2"/>
  <c r="K158" i="11"/>
  <c r="J158" i="11"/>
  <c r="I159" i="11"/>
  <c r="J158" i="2" l="1"/>
  <c r="I159" i="2"/>
  <c r="K158" i="2"/>
  <c r="J159" i="11"/>
  <c r="K159" i="11"/>
  <c r="I160" i="11"/>
  <c r="J159" i="2" l="1"/>
  <c r="K159" i="2"/>
  <c r="I160" i="2"/>
  <c r="J160" i="11"/>
  <c r="K160" i="11"/>
  <c r="I161" i="11"/>
  <c r="K160" i="2" l="1"/>
  <c r="J160" i="2"/>
  <c r="I161" i="2"/>
  <c r="K161" i="11"/>
  <c r="J161" i="11"/>
  <c r="I162" i="11"/>
  <c r="K161" i="2" l="1"/>
  <c r="J161" i="2"/>
  <c r="I162" i="2"/>
  <c r="K162" i="11"/>
  <c r="I163" i="11"/>
  <c r="J162" i="11"/>
  <c r="J162" i="2" l="1"/>
  <c r="I163" i="2"/>
  <c r="K162" i="2"/>
  <c r="J163" i="11"/>
  <c r="K163" i="11"/>
  <c r="I164" i="11"/>
  <c r="J163" i="2" l="1"/>
  <c r="I164" i="2"/>
  <c r="K163" i="2"/>
  <c r="K164" i="11"/>
  <c r="J164" i="11"/>
  <c r="I165" i="11"/>
  <c r="J164" i="2" l="1"/>
  <c r="K164" i="2"/>
  <c r="I165" i="2"/>
  <c r="J165" i="11"/>
  <c r="K165" i="11"/>
  <c r="I166" i="11"/>
  <c r="J165" i="2" l="1"/>
  <c r="I166" i="2"/>
  <c r="K165" i="2"/>
  <c r="K166" i="11"/>
  <c r="I167" i="11"/>
  <c r="J166" i="11"/>
  <c r="K166" i="2" l="1"/>
  <c r="J166" i="2"/>
  <c r="I167" i="2"/>
  <c r="K167" i="11"/>
  <c r="J167" i="11"/>
  <c r="I168" i="11"/>
  <c r="J167" i="2" l="1"/>
  <c r="I168" i="2"/>
  <c r="K167" i="2"/>
  <c r="J168" i="11"/>
  <c r="I169" i="11"/>
  <c r="K168" i="11"/>
  <c r="J168" i="2" l="1"/>
  <c r="K168" i="2"/>
  <c r="I169" i="2"/>
  <c r="J169" i="11"/>
  <c r="K169" i="11"/>
  <c r="I170" i="11"/>
  <c r="J169" i="2" l="1"/>
  <c r="K169" i="2"/>
  <c r="I170" i="2"/>
  <c r="K170" i="11"/>
  <c r="J170" i="11"/>
  <c r="I171" i="11"/>
  <c r="J170" i="2" l="1"/>
  <c r="I171" i="2"/>
  <c r="K170" i="2"/>
  <c r="J171" i="11"/>
  <c r="K171" i="11"/>
  <c r="I172" i="11"/>
  <c r="I172" i="2" l="1"/>
  <c r="K171" i="2"/>
  <c r="J171" i="2"/>
  <c r="K172" i="11"/>
  <c r="J172" i="11"/>
  <c r="I173" i="11"/>
  <c r="J172" i="2" l="1"/>
  <c r="K172" i="2"/>
  <c r="I173" i="2"/>
  <c r="K173" i="11"/>
  <c r="J173" i="11"/>
  <c r="I174" i="11"/>
  <c r="K173" i="2" l="1"/>
  <c r="J173" i="2"/>
  <c r="I174" i="2"/>
  <c r="K174" i="11"/>
  <c r="I175" i="11"/>
  <c r="J174" i="11"/>
  <c r="J174" i="2" l="1"/>
  <c r="I175" i="2"/>
  <c r="K174" i="2"/>
  <c r="K175" i="11"/>
  <c r="J175" i="11"/>
  <c r="I176" i="11"/>
  <c r="J175" i="2" l="1"/>
  <c r="I176" i="2"/>
  <c r="K175" i="2"/>
  <c r="K176" i="11"/>
  <c r="I177" i="11"/>
  <c r="J176" i="11"/>
  <c r="J176" i="2" l="1"/>
  <c r="I177" i="2"/>
  <c r="K176" i="2"/>
  <c r="J177" i="11"/>
  <c r="K177" i="11"/>
  <c r="I178" i="11"/>
  <c r="J177" i="2" l="1"/>
  <c r="K177" i="2"/>
  <c r="I178" i="2"/>
  <c r="K178" i="11"/>
  <c r="J178" i="11"/>
  <c r="I179" i="11"/>
  <c r="I179" i="2" l="1"/>
  <c r="J178" i="2"/>
  <c r="K178" i="2"/>
  <c r="J179" i="11"/>
  <c r="K179" i="11"/>
  <c r="I180" i="11"/>
  <c r="J179" i="2" l="1"/>
  <c r="I180" i="2"/>
  <c r="K179" i="2"/>
  <c r="K180" i="11"/>
  <c r="J180" i="11"/>
  <c r="I181" i="11"/>
  <c r="J180" i="2" l="1"/>
  <c r="I181" i="2"/>
  <c r="K180" i="2"/>
  <c r="K181" i="11"/>
  <c r="J181" i="11"/>
  <c r="I182" i="11"/>
  <c r="J181" i="2" l="1"/>
  <c r="K181" i="2"/>
  <c r="I182" i="2"/>
  <c r="K182" i="11"/>
  <c r="J182" i="11"/>
  <c r="I183" i="11"/>
  <c r="J182" i="2" l="1"/>
  <c r="I183" i="2"/>
  <c r="K182" i="2"/>
  <c r="K183" i="11"/>
  <c r="J183" i="11"/>
  <c r="I184" i="11"/>
  <c r="J183" i="2" l="1"/>
  <c r="K183" i="2"/>
  <c r="I184" i="2"/>
  <c r="I185" i="11"/>
  <c r="K184" i="11"/>
  <c r="J184" i="11"/>
  <c r="K184" i="2" l="1"/>
  <c r="I185" i="2"/>
  <c r="J184" i="2"/>
  <c r="J185" i="11"/>
  <c r="K185" i="11"/>
  <c r="I186" i="11"/>
  <c r="J185" i="2" l="1"/>
  <c r="I186" i="2"/>
  <c r="K185" i="2"/>
  <c r="K186" i="11"/>
  <c r="I187" i="11"/>
  <c r="J186" i="11"/>
  <c r="J186" i="2" l="1"/>
  <c r="I187" i="2"/>
  <c r="K186" i="2"/>
  <c r="J187" i="11"/>
  <c r="K187" i="11"/>
  <c r="I188" i="11"/>
  <c r="J187" i="2" l="1"/>
  <c r="K187" i="2"/>
  <c r="I188" i="2"/>
  <c r="K188" i="11"/>
  <c r="J188" i="11"/>
  <c r="I189" i="11"/>
  <c r="K188" i="2" l="1"/>
  <c r="I189" i="2"/>
  <c r="J188" i="2"/>
  <c r="K189" i="11"/>
  <c r="J189" i="11"/>
  <c r="I190" i="11"/>
  <c r="J189" i="2" l="1"/>
  <c r="I190" i="2"/>
  <c r="K189" i="2"/>
  <c r="K190" i="11"/>
  <c r="I191" i="11"/>
  <c r="J190" i="11"/>
  <c r="K190" i="2" l="1"/>
  <c r="I191" i="2"/>
  <c r="J190" i="2"/>
  <c r="K191" i="11"/>
  <c r="J191" i="11"/>
  <c r="I192" i="11"/>
  <c r="J191" i="2" l="1"/>
  <c r="K191" i="2"/>
  <c r="I192" i="2"/>
  <c r="I193" i="11"/>
  <c r="J192" i="11"/>
  <c r="K192" i="11"/>
  <c r="J192" i="2" l="1"/>
  <c r="I193" i="2"/>
  <c r="K192" i="2"/>
  <c r="J193" i="11"/>
  <c r="K193" i="11"/>
  <c r="I194" i="11"/>
  <c r="J193" i="2" l="1"/>
  <c r="K193" i="2"/>
  <c r="I194" i="2"/>
  <c r="K194" i="11"/>
  <c r="I195" i="11"/>
  <c r="J194" i="11"/>
  <c r="J194" i="2" l="1"/>
  <c r="K194" i="2"/>
  <c r="I195" i="2"/>
  <c r="J195" i="11"/>
  <c r="K195" i="11"/>
  <c r="I196" i="11"/>
  <c r="I196" i="2" l="1"/>
  <c r="K195" i="2"/>
  <c r="J195" i="2"/>
  <c r="K196" i="11"/>
  <c r="J196" i="11"/>
  <c r="I197" i="11"/>
  <c r="J196" i="2" l="1"/>
  <c r="K196" i="2"/>
  <c r="I197" i="2"/>
  <c r="K197" i="11"/>
  <c r="J197" i="11"/>
  <c r="I198" i="11"/>
  <c r="J197" i="2" l="1"/>
  <c r="I198" i="2"/>
  <c r="K197" i="2"/>
  <c r="K198" i="11"/>
  <c r="I199" i="11"/>
  <c r="J198" i="11"/>
  <c r="I199" i="2" l="1"/>
  <c r="J198" i="2"/>
  <c r="K198" i="2"/>
  <c r="K199" i="11"/>
  <c r="J199" i="11"/>
  <c r="I200" i="11"/>
  <c r="J199" i="2" l="1"/>
  <c r="K199" i="2"/>
  <c r="I200" i="2"/>
  <c r="I201" i="11"/>
  <c r="K200" i="11"/>
  <c r="J200" i="11"/>
  <c r="J200" i="2" l="1"/>
  <c r="I201" i="2"/>
  <c r="K200" i="2"/>
  <c r="J201" i="11"/>
  <c r="K201" i="11"/>
  <c r="I202" i="11"/>
  <c r="J201" i="2" l="1"/>
  <c r="K201" i="2"/>
  <c r="I202" i="2"/>
  <c r="K202" i="11"/>
  <c r="I203" i="11"/>
  <c r="J202" i="11"/>
  <c r="J202" i="2" l="1"/>
  <c r="I203" i="2"/>
  <c r="K202" i="2"/>
  <c r="J203" i="11"/>
  <c r="K203" i="11"/>
  <c r="I204" i="11"/>
  <c r="J203" i="2" l="1"/>
  <c r="K203" i="2"/>
  <c r="I204" i="2"/>
  <c r="K204" i="11"/>
  <c r="J204" i="11"/>
  <c r="I205" i="11"/>
  <c r="I205" i="2" l="1"/>
  <c r="K204" i="2"/>
  <c r="J204" i="2"/>
  <c r="K205" i="11"/>
  <c r="J205" i="11"/>
  <c r="I206" i="11"/>
  <c r="K205" i="2" l="1"/>
  <c r="J205" i="2"/>
  <c r="I206" i="2"/>
  <c r="K206" i="11"/>
  <c r="I207" i="11"/>
  <c r="J206" i="11"/>
  <c r="J206" i="2" l="1"/>
  <c r="K206" i="2"/>
  <c r="I207" i="2"/>
  <c r="K207" i="11"/>
  <c r="J207" i="11"/>
  <c r="I208" i="11"/>
  <c r="J207" i="2" l="1"/>
  <c r="K207" i="2"/>
  <c r="I208" i="2"/>
  <c r="K208" i="11"/>
  <c r="J208" i="11"/>
  <c r="I209" i="11"/>
  <c r="J208" i="2" l="1"/>
  <c r="I209" i="2"/>
  <c r="K208" i="2"/>
  <c r="J209" i="11"/>
  <c r="K209" i="11"/>
  <c r="I210" i="11"/>
  <c r="I210" i="2" l="1"/>
  <c r="K209" i="2"/>
  <c r="J209" i="2"/>
  <c r="K210" i="11"/>
  <c r="I211" i="11"/>
  <c r="J210" i="11"/>
  <c r="J210" i="2" l="1"/>
  <c r="K210" i="2"/>
  <c r="I211" i="2"/>
  <c r="J211" i="11"/>
  <c r="K211" i="11"/>
  <c r="I212" i="11"/>
  <c r="J211" i="2" l="1"/>
  <c r="I212" i="2"/>
  <c r="K211" i="2"/>
  <c r="K212" i="11"/>
  <c r="J212" i="11"/>
  <c r="I213" i="11"/>
  <c r="J212" i="2" l="1"/>
  <c r="I213" i="2"/>
  <c r="K212" i="2"/>
  <c r="K213" i="11"/>
  <c r="J213" i="11"/>
  <c r="I214" i="11"/>
  <c r="J213" i="2" l="1"/>
  <c r="I214" i="2"/>
  <c r="K213" i="2"/>
  <c r="I215" i="11"/>
  <c r="K214" i="11"/>
  <c r="J214" i="11"/>
  <c r="J214" i="2" l="1"/>
  <c r="K214" i="2"/>
  <c r="I215" i="2"/>
  <c r="I216" i="11"/>
  <c r="K215" i="11"/>
  <c r="J215" i="11"/>
  <c r="I216" i="2" l="1"/>
  <c r="K215" i="2"/>
  <c r="J215" i="2"/>
  <c r="J216" i="11"/>
  <c r="K216" i="11"/>
  <c r="I217" i="11"/>
  <c r="J216" i="2" l="1"/>
  <c r="K216" i="2"/>
  <c r="I217" i="2"/>
  <c r="K217" i="11"/>
  <c r="I218" i="11"/>
  <c r="J217" i="11"/>
  <c r="J217" i="2" l="1"/>
  <c r="K217" i="2"/>
  <c r="I218" i="2"/>
  <c r="J218" i="11"/>
  <c r="K218" i="11"/>
  <c r="I219" i="11"/>
  <c r="J218" i="2" l="1"/>
  <c r="I219" i="2"/>
  <c r="K218" i="2"/>
  <c r="K219" i="11"/>
  <c r="J219" i="11"/>
  <c r="I220" i="11"/>
  <c r="I220" i="2" l="1"/>
  <c r="J219" i="2"/>
  <c r="K219" i="2"/>
  <c r="K220" i="11"/>
  <c r="J220" i="11"/>
  <c r="I221" i="11"/>
  <c r="K220" i="2" l="1"/>
  <c r="I221" i="2"/>
  <c r="J220" i="2"/>
  <c r="K221" i="11"/>
  <c r="I222" i="11"/>
  <c r="J221" i="11"/>
  <c r="J221" i="2" l="1"/>
  <c r="K221" i="2"/>
  <c r="I222" i="2"/>
  <c r="K222" i="11"/>
  <c r="J222" i="11"/>
  <c r="I223" i="11"/>
  <c r="J222" i="2" l="1"/>
  <c r="I223" i="2"/>
  <c r="K222" i="2"/>
  <c r="I224" i="11"/>
  <c r="K223" i="11"/>
  <c r="J223" i="11"/>
  <c r="J223" i="2" l="1"/>
  <c r="I224" i="2"/>
  <c r="K223" i="2"/>
  <c r="J224" i="11"/>
  <c r="K224" i="11"/>
  <c r="I225" i="11"/>
  <c r="J224" i="2" l="1"/>
  <c r="K224" i="2"/>
  <c r="I225" i="2"/>
  <c r="K225" i="11"/>
  <c r="I226" i="11"/>
  <c r="J225" i="11"/>
  <c r="J225" i="2" l="1"/>
  <c r="I226" i="2"/>
  <c r="K225" i="2"/>
  <c r="J226" i="11"/>
  <c r="I227" i="11"/>
  <c r="K226" i="11"/>
  <c r="I227" i="2" l="1"/>
  <c r="J226" i="2"/>
  <c r="K226" i="2"/>
  <c r="K227" i="11"/>
  <c r="J227" i="11"/>
  <c r="I228" i="11"/>
  <c r="J227" i="2" l="1"/>
  <c r="K227" i="2"/>
  <c r="I228" i="2"/>
  <c r="J228" i="11"/>
  <c r="K228" i="11"/>
  <c r="I229" i="11"/>
  <c r="K228" i="2" l="1"/>
  <c r="I229" i="2"/>
  <c r="J228" i="2"/>
  <c r="K229" i="11"/>
  <c r="J229" i="11"/>
  <c r="I230" i="11"/>
  <c r="J229" i="2" l="1"/>
  <c r="I230" i="2"/>
  <c r="K229" i="2"/>
  <c r="K230" i="11"/>
  <c r="J230" i="11"/>
  <c r="I231" i="11"/>
  <c r="J230" i="2" l="1"/>
  <c r="I231" i="2"/>
  <c r="K230" i="2"/>
  <c r="K231" i="11"/>
  <c r="J231" i="11"/>
  <c r="I232" i="11"/>
  <c r="J231" i="2" l="1"/>
  <c r="I232" i="2"/>
  <c r="K231" i="2"/>
  <c r="K232" i="11"/>
  <c r="J232" i="11"/>
  <c r="I233" i="11"/>
  <c r="J232" i="2" l="1"/>
  <c r="K232" i="2"/>
  <c r="I233" i="2"/>
  <c r="K233" i="11"/>
  <c r="J233" i="11"/>
  <c r="I234" i="11"/>
  <c r="J233" i="2" l="1"/>
  <c r="K233" i="2"/>
  <c r="I234" i="2"/>
  <c r="K234" i="11"/>
  <c r="J234" i="11"/>
  <c r="I235" i="11"/>
  <c r="J234" i="2" l="1"/>
  <c r="I235" i="2"/>
  <c r="K234" i="2"/>
  <c r="K235" i="11"/>
  <c r="J235" i="11"/>
  <c r="I236" i="11"/>
  <c r="J235" i="2" l="1"/>
  <c r="I236" i="2"/>
  <c r="K235" i="2"/>
  <c r="J236" i="11"/>
  <c r="K236" i="11"/>
  <c r="I237" i="11"/>
  <c r="J236" i="2" l="1"/>
  <c r="I237" i="2"/>
  <c r="K236" i="2"/>
  <c r="K237" i="11"/>
  <c r="J237" i="11"/>
  <c r="I238" i="11"/>
  <c r="J237" i="2" l="1"/>
  <c r="K237" i="2"/>
  <c r="I238" i="2"/>
  <c r="K238" i="11"/>
  <c r="J238" i="11"/>
  <c r="I239" i="11"/>
  <c r="J238" i="2" l="1"/>
  <c r="K238" i="2"/>
  <c r="I239" i="2"/>
  <c r="K239" i="11"/>
  <c r="J239" i="11"/>
  <c r="I240" i="11"/>
  <c r="J239" i="2" l="1"/>
  <c r="I240" i="2"/>
  <c r="K239" i="2"/>
  <c r="K240" i="11"/>
  <c r="J240" i="11"/>
  <c r="I241" i="11"/>
  <c r="J240" i="2" l="1"/>
  <c r="K240" i="2"/>
  <c r="I241" i="2"/>
  <c r="K241" i="11"/>
  <c r="I242" i="11"/>
  <c r="J241" i="11"/>
  <c r="J241" i="2" l="1"/>
  <c r="I242" i="2"/>
  <c r="K241" i="2"/>
  <c r="J242" i="11"/>
  <c r="K242" i="11"/>
  <c r="I243" i="11"/>
  <c r="J242" i="2" l="1"/>
  <c r="K242" i="2"/>
  <c r="I243" i="2"/>
  <c r="J243" i="11"/>
  <c r="K243" i="11"/>
  <c r="I244" i="11"/>
  <c r="J243" i="2" l="1"/>
  <c r="I244" i="2"/>
  <c r="K243" i="2"/>
  <c r="J244" i="11"/>
  <c r="K244" i="11"/>
  <c r="I245" i="11"/>
  <c r="J244" i="2" l="1"/>
  <c r="K244" i="2"/>
  <c r="I245" i="2"/>
  <c r="K245" i="11"/>
  <c r="J245" i="11"/>
  <c r="I246" i="11"/>
  <c r="J245" i="2" l="1"/>
  <c r="K245" i="2"/>
  <c r="I246" i="2"/>
  <c r="K246" i="11"/>
  <c r="J246" i="11"/>
  <c r="I247" i="11"/>
  <c r="K246" i="2" l="1"/>
  <c r="J246" i="2"/>
  <c r="I247" i="2"/>
  <c r="K247" i="11"/>
  <c r="J247" i="11"/>
  <c r="I248" i="11"/>
  <c r="J247" i="2" l="1"/>
  <c r="I248" i="2"/>
  <c r="K247" i="2"/>
  <c r="K248" i="11"/>
  <c r="J248" i="11"/>
  <c r="I249" i="11"/>
  <c r="I249" i="2" l="1"/>
  <c r="K248" i="2"/>
  <c r="J248" i="2"/>
  <c r="K249" i="11"/>
  <c r="J249" i="11"/>
  <c r="I250" i="11"/>
  <c r="J249" i="2" l="1"/>
  <c r="K249" i="2"/>
  <c r="I250" i="2"/>
  <c r="J250" i="11"/>
  <c r="K250" i="11"/>
  <c r="I251" i="11"/>
  <c r="K250" i="2" l="1"/>
  <c r="I251" i="2"/>
  <c r="J250" i="2"/>
  <c r="K251" i="11"/>
  <c r="J251" i="11"/>
  <c r="I252" i="11"/>
  <c r="I252" i="2" l="1"/>
  <c r="K251" i="2"/>
  <c r="J251" i="2"/>
  <c r="J252" i="11"/>
  <c r="K252" i="11"/>
  <c r="I253" i="11"/>
  <c r="I253" i="2" l="1"/>
  <c r="J252" i="2"/>
  <c r="K252" i="2"/>
  <c r="K253" i="11"/>
  <c r="J253" i="11"/>
  <c r="I254" i="11"/>
  <c r="J253" i="2" l="1"/>
  <c r="I254" i="2"/>
  <c r="K253" i="2"/>
  <c r="K254" i="11"/>
  <c r="J254" i="11"/>
  <c r="I255" i="11"/>
  <c r="J254" i="2" l="1"/>
  <c r="K254" i="2"/>
  <c r="I255" i="2"/>
  <c r="K255" i="11"/>
  <c r="J255" i="11"/>
  <c r="I256" i="11"/>
  <c r="I256" i="2" l="1"/>
  <c r="J255" i="2"/>
  <c r="K255" i="2"/>
  <c r="K256" i="11"/>
  <c r="J256" i="11"/>
  <c r="I257" i="11"/>
  <c r="J256" i="2" l="1"/>
  <c r="K256" i="2"/>
  <c r="I257" i="2"/>
  <c r="K257" i="11"/>
  <c r="I258" i="11"/>
  <c r="J257" i="11"/>
  <c r="J257" i="2" l="1"/>
  <c r="K257" i="2"/>
  <c r="I258" i="2"/>
  <c r="K258" i="11"/>
  <c r="J258" i="11"/>
  <c r="I259" i="11"/>
  <c r="J258" i="2" l="1"/>
  <c r="K258" i="2"/>
  <c r="I259" i="2"/>
  <c r="K259" i="11"/>
  <c r="J259" i="11"/>
  <c r="I260" i="11"/>
  <c r="J259" i="2" l="1"/>
  <c r="K259" i="2"/>
  <c r="I260" i="2"/>
  <c r="J260" i="11"/>
  <c r="K260" i="11"/>
  <c r="I261" i="11"/>
  <c r="J260" i="2" l="1"/>
  <c r="K260" i="2"/>
  <c r="I261" i="2"/>
  <c r="K261" i="11"/>
  <c r="J261" i="11"/>
  <c r="I262" i="11"/>
  <c r="J261" i="2" l="1"/>
  <c r="K261" i="2"/>
  <c r="I262" i="2"/>
  <c r="K262" i="11"/>
  <c r="J262" i="11"/>
  <c r="I263" i="11"/>
  <c r="J262" i="2" l="1"/>
  <c r="K262" i="2"/>
  <c r="I263" i="2"/>
  <c r="K263" i="11"/>
  <c r="J263" i="11"/>
  <c r="I264" i="11"/>
  <c r="J263" i="2" l="1"/>
  <c r="K263" i="2"/>
  <c r="I264" i="2"/>
  <c r="K264" i="11"/>
  <c r="J264" i="11"/>
  <c r="I265" i="11"/>
  <c r="I265" i="2" l="1"/>
  <c r="K264" i="2"/>
  <c r="J264" i="2"/>
  <c r="K265" i="11"/>
  <c r="I266" i="11"/>
  <c r="J265" i="11"/>
  <c r="J265" i="2" l="1"/>
  <c r="K265" i="2"/>
  <c r="I266" i="2"/>
  <c r="K266" i="11"/>
  <c r="J266" i="11"/>
  <c r="I267" i="11"/>
  <c r="J266" i="2" l="1"/>
  <c r="K266" i="2"/>
  <c r="I267" i="2"/>
  <c r="K267" i="11"/>
  <c r="J267" i="11"/>
  <c r="I268" i="11"/>
  <c r="J267" i="2" l="1"/>
  <c r="K267" i="2"/>
  <c r="I268" i="2"/>
  <c r="J268" i="11"/>
  <c r="K268" i="11"/>
  <c r="I269" i="11"/>
  <c r="J268" i="2" l="1"/>
  <c r="I269" i="2"/>
  <c r="K268" i="2"/>
  <c r="K269" i="11"/>
  <c r="J269" i="11"/>
  <c r="I270" i="11"/>
  <c r="J269" i="2" l="1"/>
  <c r="I270" i="2"/>
  <c r="K269" i="2"/>
  <c r="K270" i="11"/>
  <c r="J270" i="11"/>
  <c r="I271" i="11"/>
  <c r="J270" i="2" l="1"/>
  <c r="K270" i="2"/>
  <c r="I271" i="2"/>
  <c r="K271" i="11"/>
  <c r="J271" i="11"/>
  <c r="I272" i="11"/>
  <c r="J271" i="2" l="1"/>
  <c r="I272" i="2"/>
  <c r="K271" i="2"/>
  <c r="K272" i="11"/>
  <c r="J272" i="11"/>
  <c r="I273" i="11"/>
  <c r="J272" i="2" l="1"/>
  <c r="I273" i="2"/>
  <c r="K272" i="2"/>
  <c r="K273" i="11"/>
  <c r="I274" i="11"/>
  <c r="J273" i="11"/>
  <c r="J273" i="2" l="1"/>
  <c r="I274" i="2"/>
  <c r="K273" i="2"/>
  <c r="J274" i="11"/>
  <c r="K274" i="11"/>
  <c r="I275" i="11"/>
  <c r="J274" i="2" l="1"/>
  <c r="I275" i="2"/>
  <c r="K274" i="2"/>
  <c r="I276" i="11"/>
  <c r="K275" i="11"/>
  <c r="J275" i="11"/>
  <c r="J275" i="2" l="1"/>
  <c r="K275" i="2"/>
  <c r="I276" i="2"/>
  <c r="J276" i="11"/>
  <c r="K276" i="11"/>
  <c r="I277" i="11"/>
  <c r="J276" i="2" l="1"/>
  <c r="I277" i="2"/>
  <c r="K276" i="2"/>
  <c r="K277" i="11"/>
  <c r="J277" i="11"/>
  <c r="I278" i="11"/>
  <c r="J277" i="2" l="1"/>
  <c r="I278" i="2"/>
  <c r="K277" i="2"/>
  <c r="K278" i="11"/>
  <c r="J278" i="11"/>
  <c r="I279" i="11"/>
  <c r="J278" i="2" l="1"/>
  <c r="I279" i="2"/>
  <c r="K278" i="2"/>
  <c r="K279" i="11"/>
  <c r="J279" i="11"/>
  <c r="I280" i="11"/>
  <c r="J279" i="2" l="1"/>
  <c r="K279" i="2"/>
  <c r="I280" i="2"/>
  <c r="K280" i="11"/>
  <c r="J280" i="11"/>
  <c r="I281" i="11"/>
  <c r="J280" i="2" l="1"/>
  <c r="K280" i="2"/>
  <c r="I281" i="2"/>
  <c r="K281" i="11"/>
  <c r="I282" i="11"/>
  <c r="J281" i="11"/>
  <c r="J281" i="2" l="1"/>
  <c r="K281" i="2"/>
  <c r="I282" i="2"/>
  <c r="J282" i="11"/>
  <c r="K282" i="11"/>
  <c r="I283" i="11"/>
  <c r="J282" i="2" l="1"/>
  <c r="K282" i="2"/>
  <c r="I283" i="2"/>
  <c r="I284" i="11"/>
  <c r="K283" i="11"/>
  <c r="J283" i="11"/>
  <c r="I284" i="2" l="1"/>
  <c r="J283" i="2"/>
  <c r="K283" i="2"/>
  <c r="J284" i="11"/>
  <c r="K284" i="11"/>
  <c r="I285" i="11"/>
  <c r="J284" i="2" l="1"/>
  <c r="I285" i="2"/>
  <c r="K284" i="2"/>
  <c r="K285" i="11"/>
  <c r="J285" i="11"/>
  <c r="I286" i="11"/>
  <c r="J285" i="2" l="1"/>
  <c r="K285" i="2"/>
  <c r="I286" i="2"/>
  <c r="K286" i="11"/>
  <c r="J286" i="11"/>
  <c r="I287" i="11"/>
  <c r="J286" i="2" l="1"/>
  <c r="I287" i="2"/>
  <c r="K286" i="2"/>
  <c r="K287" i="11"/>
  <c r="J287" i="11"/>
  <c r="I288" i="11"/>
  <c r="J287" i="2" l="1"/>
  <c r="K287" i="2"/>
  <c r="I288" i="2"/>
  <c r="K288" i="11"/>
  <c r="J288" i="11"/>
  <c r="I289" i="11"/>
  <c r="J288" i="2" l="1"/>
  <c r="K288" i="2"/>
  <c r="I289" i="2"/>
  <c r="K289" i="11"/>
  <c r="J289" i="11"/>
  <c r="I290" i="11"/>
  <c r="J289" i="2" l="1"/>
  <c r="K289" i="2"/>
  <c r="I290" i="2"/>
  <c r="K290" i="11"/>
  <c r="J290" i="11"/>
  <c r="I291" i="11"/>
  <c r="J290" i="2" l="1"/>
  <c r="K290" i="2"/>
  <c r="I291" i="2"/>
  <c r="I292" i="11"/>
  <c r="K291" i="11"/>
  <c r="J291" i="11"/>
  <c r="J291" i="2" l="1"/>
  <c r="I292" i="2"/>
  <c r="K291" i="2"/>
  <c r="J292" i="11"/>
  <c r="K292" i="11"/>
  <c r="I293" i="11"/>
  <c r="J292" i="2" l="1"/>
  <c r="K292" i="2"/>
  <c r="I293" i="2"/>
  <c r="K293" i="11"/>
  <c r="J293" i="11"/>
  <c r="I294" i="11"/>
  <c r="J293" i="2" l="1"/>
  <c r="K293" i="2"/>
  <c r="I294" i="2"/>
  <c r="K294" i="11"/>
  <c r="J294" i="11"/>
  <c r="I295" i="11"/>
  <c r="K294" i="2" l="1"/>
  <c r="I295" i="2"/>
  <c r="J294" i="2"/>
  <c r="K295" i="11"/>
  <c r="J295" i="11"/>
  <c r="I296" i="11"/>
  <c r="J295" i="2" l="1"/>
  <c r="I296" i="2"/>
  <c r="K295" i="2"/>
  <c r="K296" i="11"/>
  <c r="J296" i="11"/>
  <c r="I297" i="11"/>
  <c r="J296" i="2" l="1"/>
  <c r="I297" i="2"/>
  <c r="K296" i="2"/>
  <c r="K297" i="11"/>
  <c r="J297" i="11"/>
  <c r="I298" i="11"/>
  <c r="J297" i="2" l="1"/>
  <c r="I298" i="2"/>
  <c r="K297" i="2"/>
  <c r="K298" i="11"/>
  <c r="J298" i="11"/>
  <c r="I299" i="11"/>
  <c r="K298" i="2" l="1"/>
  <c r="I299" i="2"/>
  <c r="J298" i="2"/>
  <c r="I300" i="11"/>
  <c r="K299" i="11"/>
  <c r="J299" i="11"/>
  <c r="J299" i="2" l="1"/>
  <c r="I300" i="2"/>
  <c r="K299" i="2"/>
  <c r="J300" i="11"/>
  <c r="K300" i="11"/>
  <c r="I301" i="11"/>
  <c r="J300" i="2" l="1"/>
  <c r="I301" i="2"/>
  <c r="K300" i="2"/>
  <c r="K301" i="11"/>
  <c r="J301" i="11"/>
  <c r="I302" i="11"/>
  <c r="J301" i="2" l="1"/>
  <c r="I302" i="2"/>
  <c r="K301" i="2"/>
  <c r="K302" i="11"/>
  <c r="J302" i="11"/>
  <c r="I303" i="11"/>
  <c r="J302" i="2" l="1"/>
  <c r="K302" i="2"/>
  <c r="I303" i="2"/>
  <c r="K303" i="11"/>
  <c r="J303" i="11"/>
  <c r="I304" i="11"/>
  <c r="J303" i="2" l="1"/>
  <c r="K303" i="2"/>
  <c r="I304" i="2"/>
  <c r="I305" i="11"/>
  <c r="K304" i="11"/>
  <c r="J304" i="11"/>
  <c r="J304" i="2" l="1"/>
  <c r="I305" i="2"/>
  <c r="K304" i="2"/>
  <c r="J305" i="11"/>
  <c r="K305" i="11"/>
  <c r="I306" i="11"/>
  <c r="J305" i="2" l="1"/>
  <c r="K305" i="2"/>
  <c r="I306" i="2"/>
  <c r="K306" i="11"/>
  <c r="J306" i="11"/>
  <c r="I307" i="11"/>
  <c r="J306" i="2" l="1"/>
  <c r="K306" i="2"/>
  <c r="I307" i="2"/>
  <c r="J307" i="11"/>
  <c r="K307" i="11"/>
  <c r="I308" i="11"/>
  <c r="J307" i="2" l="1"/>
  <c r="K307" i="2"/>
  <c r="I308" i="2"/>
  <c r="K308" i="11"/>
  <c r="J308" i="11"/>
  <c r="I309" i="11"/>
  <c r="J308" i="2" l="1"/>
  <c r="K308" i="2"/>
  <c r="I309" i="2"/>
  <c r="K309" i="11"/>
  <c r="J309" i="11"/>
  <c r="I310" i="11"/>
  <c r="K309" i="2" l="1"/>
  <c r="I310" i="2"/>
  <c r="J309" i="2"/>
  <c r="K310" i="11"/>
  <c r="J310" i="11"/>
  <c r="I311" i="11"/>
  <c r="J310" i="2" l="1"/>
  <c r="K310" i="2"/>
  <c r="I311" i="2"/>
  <c r="K311" i="11"/>
  <c r="J311" i="11"/>
  <c r="I312" i="11"/>
  <c r="I312" i="2" l="1"/>
  <c r="J311" i="2"/>
  <c r="K311" i="2"/>
  <c r="I313" i="11"/>
  <c r="J312" i="11"/>
  <c r="K312" i="11"/>
  <c r="J312" i="2" l="1"/>
  <c r="K312" i="2"/>
  <c r="I313" i="2"/>
  <c r="K313" i="11"/>
  <c r="J313" i="11"/>
  <c r="I314" i="11"/>
  <c r="J313" i="2" l="1"/>
  <c r="I314" i="2"/>
  <c r="K313" i="2"/>
  <c r="J314" i="11"/>
  <c r="K314" i="11"/>
  <c r="I315" i="11"/>
  <c r="J314" i="2" l="1"/>
  <c r="K314" i="2"/>
  <c r="I315" i="2"/>
  <c r="K315" i="11"/>
  <c r="J315" i="11"/>
  <c r="I316" i="11"/>
  <c r="I316" i="2" l="1"/>
  <c r="K315" i="2"/>
  <c r="J315" i="2"/>
  <c r="K316" i="11"/>
  <c r="J316" i="11"/>
  <c r="I317" i="11"/>
  <c r="J316" i="2" l="1"/>
  <c r="I317" i="2"/>
  <c r="K316" i="2"/>
  <c r="K317" i="11"/>
  <c r="J317" i="11"/>
  <c r="I318" i="11"/>
  <c r="J317" i="2" l="1"/>
  <c r="K317" i="2"/>
  <c r="I318" i="2"/>
  <c r="K318" i="11"/>
  <c r="J318" i="11"/>
  <c r="I319" i="11"/>
  <c r="J318" i="2" l="1"/>
  <c r="K318" i="2"/>
  <c r="I319" i="2"/>
  <c r="I320" i="11"/>
  <c r="K319" i="11"/>
  <c r="J319" i="11"/>
  <c r="J319" i="2" l="1"/>
  <c r="K319" i="2"/>
  <c r="I320" i="2"/>
  <c r="K320" i="11"/>
  <c r="J320" i="11"/>
  <c r="I321" i="11"/>
  <c r="J320" i="2" l="1"/>
  <c r="K320" i="2"/>
  <c r="I321" i="2"/>
  <c r="K321" i="11"/>
  <c r="J321" i="11"/>
  <c r="I322" i="11"/>
  <c r="I322" i="2" l="1"/>
  <c r="K321" i="2"/>
  <c r="J321" i="2"/>
  <c r="J322" i="11"/>
  <c r="K322" i="11"/>
  <c r="I323" i="11"/>
  <c r="J322" i="2" l="1"/>
  <c r="I323" i="2"/>
  <c r="K322" i="2"/>
  <c r="K323" i="11"/>
  <c r="J323" i="11"/>
  <c r="I324" i="11"/>
  <c r="J323" i="2" l="1"/>
  <c r="I324" i="2"/>
  <c r="K323" i="2"/>
  <c r="K324" i="11"/>
  <c r="J324" i="11"/>
  <c r="I325" i="11"/>
  <c r="J324" i="2" l="1"/>
  <c r="I325" i="2"/>
  <c r="K324" i="2"/>
  <c r="K325" i="11"/>
  <c r="J325" i="11"/>
  <c r="I326" i="11"/>
  <c r="J325" i="2" l="1"/>
  <c r="I326" i="2"/>
  <c r="K325" i="2"/>
  <c r="K326" i="11"/>
  <c r="J326" i="11"/>
  <c r="I327" i="11"/>
  <c r="J326" i="2" l="1"/>
  <c r="K326" i="2"/>
  <c r="I327" i="2"/>
  <c r="J327" i="11"/>
  <c r="I328" i="11"/>
  <c r="K327" i="11"/>
  <c r="J327" i="2" l="1"/>
  <c r="K327" i="2"/>
  <c r="I328" i="2"/>
  <c r="K328" i="11"/>
  <c r="J328" i="11"/>
  <c r="I329" i="11"/>
  <c r="J328" i="2" l="1"/>
  <c r="K328" i="2"/>
  <c r="I329" i="2"/>
  <c r="K329" i="11"/>
  <c r="J329" i="11"/>
  <c r="I330" i="11"/>
  <c r="J329" i="2" l="1"/>
  <c r="K329" i="2"/>
  <c r="I330" i="2"/>
  <c r="J330" i="11"/>
  <c r="K330" i="11"/>
  <c r="I331" i="11"/>
  <c r="J330" i="2" l="1"/>
  <c r="I331" i="2"/>
  <c r="K330" i="2"/>
  <c r="K331" i="11"/>
  <c r="J331" i="11"/>
  <c r="I332" i="11"/>
  <c r="I332" i="2" l="1"/>
  <c r="J331" i="2"/>
  <c r="K331" i="2"/>
  <c r="K332" i="11"/>
  <c r="J332" i="11"/>
  <c r="I333" i="11"/>
  <c r="J332" i="2" l="1"/>
  <c r="I333" i="2"/>
  <c r="K332" i="2"/>
  <c r="K333" i="11"/>
  <c r="J333" i="11"/>
  <c r="I334" i="11"/>
  <c r="J333" i="2" l="1"/>
  <c r="K333" i="2"/>
  <c r="I334" i="2"/>
  <c r="K334" i="11"/>
  <c r="J334" i="11"/>
  <c r="I335" i="11"/>
  <c r="J334" i="2" l="1"/>
  <c r="I335" i="2"/>
  <c r="K334" i="2"/>
  <c r="J335" i="11"/>
  <c r="I336" i="11"/>
  <c r="K335" i="11"/>
  <c r="J335" i="2" l="1"/>
  <c r="I336" i="2"/>
  <c r="K335" i="2"/>
  <c r="K336" i="11"/>
  <c r="J336" i="11"/>
  <c r="I337" i="11"/>
  <c r="J336" i="2" l="1"/>
  <c r="K336" i="2"/>
  <c r="I337" i="2"/>
  <c r="K337" i="11"/>
  <c r="J337" i="11"/>
  <c r="I338" i="11"/>
  <c r="J337" i="2" l="1"/>
  <c r="K337" i="2"/>
  <c r="I338" i="2"/>
  <c r="J338" i="11"/>
  <c r="K338" i="11"/>
  <c r="I339" i="11"/>
  <c r="I339" i="2" l="1"/>
  <c r="J338" i="2"/>
  <c r="K338" i="2"/>
  <c r="K339" i="11"/>
  <c r="J339" i="11"/>
  <c r="I340" i="11"/>
  <c r="J339" i="2" l="1"/>
  <c r="K339" i="2"/>
  <c r="I340" i="2"/>
  <c r="K340" i="11"/>
  <c r="J340" i="11"/>
  <c r="I341" i="11"/>
  <c r="I341" i="2" l="1"/>
  <c r="J340" i="2"/>
  <c r="K340" i="2"/>
  <c r="K341" i="11"/>
  <c r="J341" i="11"/>
  <c r="I342" i="11"/>
  <c r="I342" i="2" l="1"/>
  <c r="K341" i="2"/>
  <c r="J341" i="2"/>
  <c r="K342" i="11"/>
  <c r="J342" i="11"/>
  <c r="I343" i="11"/>
  <c r="I343" i="2" l="1"/>
  <c r="J342" i="2"/>
  <c r="K342" i="2"/>
  <c r="J343" i="11"/>
  <c r="I344" i="11"/>
  <c r="K343" i="11"/>
  <c r="J343" i="2" l="1"/>
  <c r="I344" i="2"/>
  <c r="K343" i="2"/>
  <c r="K344" i="11"/>
  <c r="J344" i="11"/>
  <c r="I345" i="11"/>
  <c r="J344" i="2" l="1"/>
  <c r="K344" i="2"/>
  <c r="I345" i="2"/>
  <c r="K345" i="11"/>
  <c r="J345" i="11"/>
  <c r="I346" i="11"/>
  <c r="J345" i="2" l="1"/>
  <c r="K345" i="2"/>
  <c r="I346" i="2"/>
  <c r="J346" i="11"/>
  <c r="K346" i="11"/>
  <c r="I347" i="11"/>
  <c r="J346" i="2" l="1"/>
  <c r="I347" i="2"/>
  <c r="K346" i="2"/>
  <c r="K347" i="11"/>
  <c r="J347" i="11"/>
  <c r="I348" i="11"/>
  <c r="J347" i="2" l="1"/>
  <c r="K347" i="2"/>
  <c r="I348" i="2"/>
  <c r="K348" i="11"/>
  <c r="J348" i="11"/>
  <c r="I349" i="11"/>
  <c r="I349" i="2" l="1"/>
  <c r="J348" i="2"/>
  <c r="K348" i="2"/>
  <c r="K349" i="11"/>
  <c r="J349" i="11"/>
  <c r="I350" i="11"/>
  <c r="I350" i="2" l="1"/>
  <c r="K349" i="2"/>
  <c r="J349" i="2"/>
  <c r="K350" i="11"/>
  <c r="J350" i="11"/>
  <c r="I351" i="11"/>
  <c r="I351" i="2" l="1"/>
  <c r="J350" i="2"/>
  <c r="K350" i="2"/>
  <c r="K351" i="11"/>
  <c r="J351" i="11"/>
  <c r="I352" i="11"/>
  <c r="I352" i="2" l="1"/>
  <c r="K351" i="2"/>
  <c r="J351" i="2"/>
  <c r="J352" i="11"/>
  <c r="K352" i="11"/>
  <c r="I353" i="11"/>
  <c r="I353" i="2" l="1"/>
  <c r="K352" i="2"/>
  <c r="J352" i="2"/>
  <c r="K353" i="11"/>
  <c r="J353" i="11"/>
  <c r="I354" i="11"/>
  <c r="J353" i="2" l="1"/>
  <c r="K353" i="2"/>
  <c r="I354" i="2"/>
  <c r="K354" i="11"/>
  <c r="J354" i="11"/>
  <c r="I355" i="11"/>
  <c r="J354" i="2" l="1"/>
  <c r="I355" i="2"/>
  <c r="K354" i="2"/>
  <c r="K355" i="11"/>
  <c r="J355" i="11"/>
  <c r="I356" i="11"/>
  <c r="J355" i="2" l="1"/>
  <c r="K355" i="2"/>
  <c r="I356" i="2"/>
  <c r="K356" i="11"/>
  <c r="J356" i="11"/>
  <c r="I357" i="11"/>
  <c r="J356" i="2" l="1"/>
  <c r="I357" i="2"/>
  <c r="K356" i="2"/>
  <c r="J357" i="11"/>
  <c r="I358" i="11"/>
  <c r="K357" i="11"/>
  <c r="I358" i="2" l="1"/>
  <c r="K357" i="2"/>
  <c r="J357" i="2"/>
  <c r="K358" i="11"/>
  <c r="J358" i="11"/>
  <c r="I359" i="11"/>
  <c r="I359" i="2" l="1"/>
  <c r="K358" i="2"/>
  <c r="J358" i="2"/>
  <c r="J359" i="11"/>
  <c r="K359" i="11"/>
  <c r="I360" i="11"/>
  <c r="I360" i="2" l="1"/>
  <c r="J359" i="2"/>
  <c r="K359" i="2"/>
  <c r="J360" i="11"/>
  <c r="K360" i="11"/>
  <c r="I361" i="11"/>
  <c r="J360" i="2" l="1"/>
  <c r="K360" i="2"/>
  <c r="I361" i="2"/>
  <c r="K361" i="11"/>
  <c r="J361" i="11"/>
  <c r="I362" i="11"/>
  <c r="I362" i="2" l="1"/>
  <c r="J361" i="2"/>
  <c r="K361" i="2"/>
  <c r="K362" i="11"/>
  <c r="J362" i="11"/>
  <c r="I363" i="11"/>
  <c r="J362" i="2" l="1"/>
  <c r="K362" i="2"/>
  <c r="I363" i="2"/>
  <c r="K363" i="11"/>
  <c r="J363" i="11"/>
  <c r="I364" i="11"/>
  <c r="J363" i="2" l="1"/>
  <c r="I364" i="2"/>
  <c r="K363" i="2"/>
  <c r="K364" i="11"/>
  <c r="J364" i="11"/>
  <c r="I365" i="11"/>
  <c r="I365" i="2" l="1"/>
  <c r="K364" i="2"/>
  <c r="J364" i="2"/>
  <c r="J365" i="11"/>
  <c r="K365" i="11"/>
  <c r="I366" i="11"/>
  <c r="I366" i="2" l="1"/>
  <c r="K365" i="2"/>
  <c r="J365" i="2"/>
  <c r="K366" i="11"/>
  <c r="J366" i="11"/>
  <c r="I367" i="11"/>
  <c r="I367" i="2" l="1"/>
  <c r="K366" i="2"/>
  <c r="J366" i="2"/>
  <c r="J367" i="11"/>
  <c r="K367" i="11"/>
  <c r="I368" i="11"/>
  <c r="J367" i="2" l="1"/>
  <c r="K367" i="2"/>
  <c r="I368" i="2"/>
  <c r="K368" i="11"/>
  <c r="J368" i="11"/>
  <c r="I369" i="11"/>
  <c r="I369" i="2" l="1"/>
  <c r="K368" i="2"/>
  <c r="J368" i="2"/>
  <c r="K369" i="11"/>
  <c r="J369" i="11"/>
  <c r="I370" i="11"/>
  <c r="I370" i="2" l="1"/>
  <c r="K369" i="2"/>
  <c r="J369" i="2"/>
  <c r="K370" i="11"/>
  <c r="J370" i="11"/>
  <c r="I371" i="11"/>
  <c r="I371" i="2" l="1"/>
  <c r="K370" i="2"/>
  <c r="J370" i="2"/>
  <c r="K371" i="11"/>
  <c r="J371" i="11"/>
  <c r="I372" i="11"/>
  <c r="I372" i="2" l="1"/>
  <c r="J371" i="2"/>
  <c r="K371" i="2"/>
  <c r="I373" i="11"/>
  <c r="K372" i="11"/>
  <c r="J372" i="11"/>
  <c r="J372" i="2" l="1"/>
  <c r="I373" i="2"/>
  <c r="K372" i="2"/>
  <c r="K373" i="11"/>
  <c r="J373" i="11"/>
  <c r="I374" i="11"/>
  <c r="I374" i="2" l="1"/>
  <c r="J373" i="2"/>
  <c r="K373" i="2"/>
  <c r="K374" i="11"/>
  <c r="J374" i="11"/>
  <c r="I375" i="11"/>
  <c r="I375" i="2" l="1"/>
  <c r="K374" i="2"/>
  <c r="J374" i="2"/>
  <c r="I376" i="11"/>
  <c r="K375" i="11"/>
  <c r="J375" i="11"/>
  <c r="I376" i="2" l="1"/>
  <c r="J375" i="2"/>
  <c r="K375" i="2"/>
  <c r="I377" i="11"/>
  <c r="I378" i="11" s="1"/>
  <c r="I379" i="11" s="1"/>
  <c r="K376" i="11"/>
  <c r="J376" i="11"/>
  <c r="I377" i="2" l="1"/>
  <c r="K376" i="2"/>
  <c r="J376" i="2"/>
  <c r="I380" i="11"/>
  <c r="I381" i="11" s="1"/>
  <c r="J379" i="11"/>
  <c r="K377" i="11"/>
  <c r="J377" i="11"/>
  <c r="I378" i="2" l="1"/>
  <c r="K377" i="2"/>
  <c r="J377" i="2"/>
  <c r="I382" i="11"/>
  <c r="J381" i="11"/>
  <c r="J380" i="11"/>
  <c r="K378" i="11"/>
  <c r="J378" i="11"/>
  <c r="J378" i="2" l="1"/>
  <c r="I379" i="2"/>
  <c r="K378" i="2"/>
  <c r="I383" i="11"/>
  <c r="J382" i="11"/>
  <c r="K381" i="11"/>
  <c r="K379" i="11"/>
  <c r="J379" i="2" l="1"/>
  <c r="K379" i="2"/>
  <c r="I380" i="2"/>
  <c r="J383" i="11"/>
  <c r="I384" i="11"/>
  <c r="K382" i="11"/>
  <c r="K380" i="11"/>
  <c r="I381" i="2" l="1"/>
  <c r="K380" i="2"/>
  <c r="J380" i="2"/>
  <c r="J384" i="11"/>
  <c r="I385" i="11"/>
  <c r="K383" i="11"/>
  <c r="I382" i="2" l="1"/>
  <c r="J381" i="2"/>
  <c r="K381" i="2"/>
  <c r="I386" i="11"/>
  <c r="J385" i="11"/>
  <c r="K385" i="11"/>
  <c r="K384" i="11"/>
  <c r="K382" i="2" l="1"/>
  <c r="I383" i="2"/>
  <c r="J382" i="2"/>
  <c r="J386" i="11"/>
  <c r="I387" i="11"/>
  <c r="K386" i="11"/>
  <c r="I384" i="2" l="1"/>
  <c r="K383" i="2"/>
  <c r="J383" i="2"/>
  <c r="I388" i="11"/>
  <c r="J387" i="11"/>
  <c r="I385" i="2" l="1"/>
  <c r="K384" i="2"/>
  <c r="J384" i="2"/>
  <c r="I389" i="11"/>
  <c r="J389" i="11" s="1"/>
  <c r="J388" i="11"/>
  <c r="I386" i="2" l="1"/>
  <c r="K385" i="2"/>
  <c r="J385" i="2"/>
  <c r="I387" i="2" l="1"/>
  <c r="J386" i="2"/>
  <c r="K386" i="2"/>
  <c r="I388" i="2" l="1"/>
  <c r="K387" i="2"/>
  <c r="J387" i="2"/>
  <c r="J388" i="2" l="1"/>
  <c r="I389" i="2"/>
  <c r="K388" i="2"/>
  <c r="I390" i="2" l="1"/>
  <c r="J389" i="2"/>
  <c r="K389" i="2"/>
  <c r="I391" i="2" l="1"/>
  <c r="K390" i="2"/>
  <c r="J390" i="2"/>
  <c r="J391" i="2" l="1"/>
  <c r="K391" i="2"/>
  <c r="I392" i="2"/>
  <c r="J392" i="2" l="1"/>
  <c r="K392" i="2"/>
  <c r="I393" i="2"/>
  <c r="I394" i="2" l="1"/>
  <c r="J393" i="2"/>
  <c r="K393" i="2"/>
  <c r="J394" i="2" l="1"/>
  <c r="I395" i="2"/>
  <c r="K394" i="2"/>
  <c r="I396" i="2" l="1"/>
  <c r="J395" i="2"/>
  <c r="K395" i="2"/>
  <c r="I397" i="2" l="1"/>
  <c r="J396" i="2"/>
  <c r="K396" i="2"/>
  <c r="I398" i="2" l="1"/>
  <c r="J397" i="2"/>
  <c r="K397" i="2"/>
  <c r="J398" i="2" l="1"/>
  <c r="I399" i="2"/>
  <c r="K398" i="2"/>
  <c r="I400" i="2" l="1"/>
  <c r="J399" i="2"/>
  <c r="K399" i="2"/>
  <c r="J400" i="2" l="1"/>
  <c r="I401" i="2"/>
  <c r="K400" i="2"/>
  <c r="I402" i="2" l="1"/>
  <c r="J401" i="2"/>
  <c r="K401" i="2"/>
  <c r="I403" i="2" l="1"/>
  <c r="J402" i="2"/>
  <c r="K402" i="2"/>
  <c r="I404" i="2" l="1"/>
  <c r="J403" i="2"/>
  <c r="K403" i="2"/>
  <c r="I405" i="2" l="1"/>
  <c r="J404" i="2"/>
  <c r="K404" i="2"/>
  <c r="J405" i="2" l="1"/>
  <c r="I406" i="2"/>
  <c r="K405" i="2"/>
  <c r="I407" i="2" l="1"/>
  <c r="J406" i="2"/>
  <c r="K406" i="2"/>
  <c r="I408" i="2" l="1"/>
  <c r="J407" i="2"/>
  <c r="K407" i="2"/>
  <c r="I409" i="2" l="1"/>
  <c r="J408" i="2"/>
  <c r="K408" i="2"/>
  <c r="J409" i="2" l="1"/>
  <c r="I410" i="2"/>
  <c r="K409" i="2"/>
  <c r="J410" i="2" l="1"/>
  <c r="I411" i="2"/>
  <c r="K410" i="2"/>
  <c r="I412" i="2" l="1"/>
  <c r="J411" i="2"/>
  <c r="K411" i="2"/>
  <c r="J412" i="2" l="1"/>
  <c r="I413" i="2"/>
  <c r="K412" i="2"/>
  <c r="J413" i="2" l="1"/>
  <c r="I414" i="2"/>
  <c r="K413" i="2"/>
  <c r="J414" i="2" l="1"/>
  <c r="K414" i="2"/>
  <c r="I415" i="2"/>
  <c r="J415" i="2" l="1"/>
  <c r="K415" i="2"/>
  <c r="I416" i="2"/>
  <c r="I417" i="2" l="1"/>
  <c r="J416" i="2"/>
  <c r="K416" i="2"/>
  <c r="I418" i="2" l="1"/>
  <c r="J417" i="2"/>
  <c r="K417" i="2"/>
  <c r="I419" i="2" l="1"/>
  <c r="K418" i="2"/>
  <c r="J418" i="2"/>
  <c r="I420" i="2" l="1"/>
  <c r="J419" i="2"/>
  <c r="K419" i="2"/>
  <c r="K420" i="2" l="1"/>
  <c r="J420" i="2"/>
</calcChain>
</file>

<file path=xl/sharedStrings.xml><?xml version="1.0" encoding="utf-8"?>
<sst xmlns="http://schemas.openxmlformats.org/spreadsheetml/2006/main" count="515" uniqueCount="231">
  <si>
    <t>WELL:</t>
  </si>
  <si>
    <t>RIG:</t>
  </si>
  <si>
    <t>BLK WT:</t>
  </si>
  <si>
    <t>WEIGHT:</t>
  </si>
  <si>
    <t>MW:</t>
  </si>
  <si>
    <t>TOTAL DEPTH:</t>
  </si>
  <si>
    <t>GRADE:</t>
  </si>
  <si>
    <t>BF:</t>
  </si>
  <si>
    <t>JOINTS</t>
  </si>
  <si>
    <t>JOINT</t>
  </si>
  <si>
    <t>TOTAL</t>
  </si>
  <si>
    <t>DEPTH OF</t>
  </si>
  <si>
    <t xml:space="preserve">EST STRG </t>
  </si>
  <si>
    <t>RUN</t>
  </si>
  <si>
    <t xml:space="preserve"> </t>
  </si>
  <si>
    <t>NUM.</t>
  </si>
  <si>
    <t>LENGTH</t>
  </si>
  <si>
    <t>IN/OUT</t>
  </si>
  <si>
    <t>TOP OF JT</t>
  </si>
  <si>
    <t>WEIGHT</t>
  </si>
  <si>
    <t xml:space="preserve">        COMMENTS</t>
  </si>
  <si>
    <t>MAKE UP LOSS:</t>
  </si>
  <si>
    <t>EFFECTIVE</t>
  </si>
  <si>
    <t>Type</t>
  </si>
  <si>
    <t>No.</t>
  </si>
  <si>
    <t>OUT</t>
  </si>
  <si>
    <t>RKB</t>
  </si>
  <si>
    <t>7" TOL:</t>
  </si>
  <si>
    <t>TRSSSV</t>
  </si>
  <si>
    <t>out</t>
  </si>
  <si>
    <t>FT</t>
  </si>
  <si>
    <t>9-5/8" Couplings at:</t>
  </si>
  <si>
    <t>All measurements in feet (ft)</t>
  </si>
  <si>
    <t>Mechanical Completion Space Out Calculations</t>
  </si>
  <si>
    <t>Landing</t>
  </si>
  <si>
    <t>Length</t>
  </si>
  <si>
    <t>Eff Length</t>
  </si>
  <si>
    <t>String</t>
  </si>
  <si>
    <t>Space</t>
  </si>
  <si>
    <t>THRT</t>
  </si>
  <si>
    <t>above</t>
  </si>
  <si>
    <t>Hgr Load Shldr</t>
  </si>
  <si>
    <t>below</t>
  </si>
  <si>
    <t>pups</t>
  </si>
  <si>
    <t>Prod Pkr Element</t>
  </si>
  <si>
    <t>pup</t>
  </si>
  <si>
    <t>Locator NoGo</t>
  </si>
  <si>
    <t>PBR Top</t>
  </si>
  <si>
    <t>EOT Muleshoe</t>
  </si>
  <si>
    <t>Top Liner Pkr</t>
  </si>
  <si>
    <t>LANDED POSITION</t>
  </si>
  <si>
    <t>LOCATE POSITION</t>
  </si>
  <si>
    <t>Actual Pup Length</t>
  </si>
  <si>
    <t>ft</t>
  </si>
  <si>
    <t>Required Pup Length Calculations</t>
  </si>
  <si>
    <t xml:space="preserve">Total Length Out </t>
  </si>
  <si>
    <t>Length Out</t>
  </si>
  <si>
    <t>Length In</t>
  </si>
  <si>
    <t>Elevation = RKB to Hanger Load Shoulder</t>
  </si>
  <si>
    <t>Locator NoGo from Locate to Landed Position</t>
  </si>
  <si>
    <t>Hanger load shoulder to hanger assembly bottom</t>
  </si>
  <si>
    <t>Ideal Pups Req'd to Land w/ Neutral Wgt</t>
  </si>
  <si>
    <t>Length  In = Elevation + Hanger Assembly</t>
  </si>
  <si>
    <t>Actual Pup Length Used</t>
  </si>
  <si>
    <t>Difference (- short, + long)</t>
  </si>
  <si>
    <t>Tolerance (-1, +1) ft</t>
  </si>
  <si>
    <t>7.000"</t>
  </si>
  <si>
    <t>DRIFT:</t>
  </si>
  <si>
    <t>ID:</t>
  </si>
  <si>
    <t>7.000" PUP JT</t>
  </si>
  <si>
    <t>7.000" FC</t>
  </si>
  <si>
    <t xml:space="preserve">     </t>
  </si>
  <si>
    <t>7" Pup Joints</t>
  </si>
  <si>
    <t>M/SHOE BOTTOM</t>
  </si>
  <si>
    <t>7" CASING SHOE:</t>
  </si>
  <si>
    <t>7-5/8" 33.7# Csg Jnt'S</t>
  </si>
  <si>
    <t xml:space="preserve">                    7" 26# Deck Tally</t>
  </si>
  <si>
    <t xml:space="preserve">          7" 26# Pup Jnt'S</t>
  </si>
  <si>
    <t>Vam Top HC</t>
  </si>
  <si>
    <t>6.276"</t>
  </si>
  <si>
    <t>6.151"</t>
  </si>
  <si>
    <t>7-5/8" 33.7# Pup Jnt'S</t>
  </si>
  <si>
    <t>SM2535-110</t>
  </si>
  <si>
    <t>A</t>
  </si>
  <si>
    <t>B</t>
  </si>
  <si>
    <t>C</t>
  </si>
  <si>
    <t>D</t>
  </si>
  <si>
    <t>E</t>
  </si>
  <si>
    <t>F</t>
  </si>
  <si>
    <t>G</t>
  </si>
  <si>
    <t>H</t>
  </si>
  <si>
    <t>LP D</t>
  </si>
  <si>
    <t>LP E</t>
  </si>
  <si>
    <t>LP F</t>
  </si>
  <si>
    <t>LP G</t>
  </si>
  <si>
    <t>LP H</t>
  </si>
  <si>
    <t>CONN:</t>
  </si>
  <si>
    <t>TBG SIZE:</t>
  </si>
  <si>
    <t>Packing Element Distance from 9-5/8" Casing Collar (ft)</t>
  </si>
  <si>
    <t xml:space="preserve">Top Collar </t>
  </si>
  <si>
    <t>Bottom Collar</t>
  </si>
  <si>
    <t>COMPLETION TALLY</t>
  </si>
  <si>
    <t>Length ( ft )</t>
  </si>
  <si>
    <t>Top Packer to Top Cut Zone</t>
  </si>
  <si>
    <t>Top Packer to Bottom Cut Zone</t>
  </si>
  <si>
    <t>SHEAR LOCATOR</t>
  </si>
  <si>
    <t>Bottom Mule Shoe to Shear sleeve /ring</t>
  </si>
  <si>
    <r>
      <t>Shear sleeve /ring</t>
    </r>
    <r>
      <rPr>
        <sz val="9"/>
        <color indexed="10"/>
        <rFont val="Calibri"/>
        <family val="2"/>
      </rPr>
      <t xml:space="preserve"> </t>
    </r>
    <r>
      <rPr>
        <sz val="9"/>
        <rFont val="Calibri"/>
        <family val="2"/>
      </rPr>
      <t>to  Coupling</t>
    </r>
  </si>
  <si>
    <t>Shear Locator Top to Middle</t>
  </si>
  <si>
    <t>DATE:</t>
  </si>
  <si>
    <t>Weatherford TRSCSSV</t>
  </si>
  <si>
    <t>TRSV PN: 2521432</t>
  </si>
  <si>
    <t>TOP PIP TAG:</t>
  </si>
  <si>
    <t>BTTM PIP TAG:</t>
  </si>
  <si>
    <t>TOP CUT ZONE:</t>
  </si>
  <si>
    <t>BTTM CUT ZONE:</t>
  </si>
  <si>
    <t>TORQUE 7" 26# VTHC</t>
  </si>
  <si>
    <t>13,700, 15,200, 16,700 ft-lbs</t>
  </si>
  <si>
    <t>Tubing Hanger +THRT:</t>
  </si>
  <si>
    <t>Load Shoulder to Pin:</t>
  </si>
  <si>
    <t>RKB - Load Shoulder:</t>
  </si>
  <si>
    <t>Threads OFF</t>
  </si>
  <si>
    <t>Total length to shoulder</t>
  </si>
  <si>
    <t>Stickup above R.Table</t>
  </si>
  <si>
    <t>Deck #</t>
  </si>
  <si>
    <t>Length (ft)</t>
  </si>
  <si>
    <t>Threads Off</t>
  </si>
  <si>
    <t>Threads Off (ft)</t>
  </si>
  <si>
    <t>IN</t>
  </si>
  <si>
    <t>TH + PUP JT.</t>
  </si>
  <si>
    <t>RKB - TH LOAD SHOULDER</t>
  </si>
  <si>
    <t>CASING CORRECTION FACTOR</t>
  </si>
  <si>
    <t>Effective Length of Space Out Joint Below RKB (JT#1)</t>
  </si>
  <si>
    <t xml:space="preserve">Odyssey </t>
  </si>
  <si>
    <t>LOCATOR COUPLING</t>
  </si>
  <si>
    <t>LOCATOR MANDREL</t>
  </si>
  <si>
    <t xml:space="preserve">WFT SHEAR LOCATOR ASSY. </t>
  </si>
  <si>
    <t>OPTIPKR-DB PACKER</t>
  </si>
  <si>
    <t xml:space="preserve">WFT OPTIPKR-DB  ASSY. </t>
  </si>
  <si>
    <t>Top Packer to Bottom Pip Tag Pocket</t>
  </si>
  <si>
    <t>Top Packer to Top Pip Tag Pocket</t>
  </si>
  <si>
    <t>PUP JOINT</t>
  </si>
  <si>
    <t>PACKER COUPLING</t>
  </si>
  <si>
    <t>WEATHERFORD:</t>
  </si>
  <si>
    <t>PACKER PN: 2945870</t>
  </si>
  <si>
    <t>LOCATOR PN: 2986925</t>
  </si>
  <si>
    <t>CUT ZONE LENGTH: 2.00 FT</t>
  </si>
  <si>
    <t>FSSD: 2,000 ft</t>
  </si>
  <si>
    <t>MID ELEMENT-PKR BTM</t>
  </si>
  <si>
    <t>COUPLING-MID ELEMENT</t>
  </si>
  <si>
    <t>5 7/8 DP SINGLE</t>
  </si>
  <si>
    <t>LJ1</t>
  </si>
  <si>
    <t xml:space="preserve">LJ2 </t>
  </si>
  <si>
    <t>LJP1</t>
  </si>
  <si>
    <t>LJP2</t>
  </si>
  <si>
    <t>LJP3</t>
  </si>
  <si>
    <t>Used</t>
  </si>
  <si>
    <t>QE PERSONNEL:</t>
  </si>
  <si>
    <t>DP</t>
  </si>
  <si>
    <t xml:space="preserve">Effective Length 7" X-over </t>
  </si>
  <si>
    <t>CAMERON PRIMARY TH</t>
  </si>
  <si>
    <t>Prashant C./Abdul H.</t>
  </si>
  <si>
    <t>NFQ 20-06</t>
  </si>
  <si>
    <t>LOCATOR SN: 201222-0025</t>
  </si>
  <si>
    <t>201222-0025</t>
  </si>
  <si>
    <t>PACKER SN: 11703643</t>
  </si>
  <si>
    <t>DISTANCE BW PIP TAGS: 11.98 FT</t>
  </si>
  <si>
    <t>PKR TOP- Top CUT ZONE: 6.86 FT</t>
  </si>
  <si>
    <t>R. CODY/IVAN S.</t>
  </si>
  <si>
    <t>I</t>
  </si>
  <si>
    <t>J</t>
  </si>
  <si>
    <t>K</t>
  </si>
  <si>
    <t>L</t>
  </si>
  <si>
    <t>M</t>
  </si>
  <si>
    <t>N</t>
  </si>
  <si>
    <t>PN: 2201888-6000062                                                                                   SN: 121853437001</t>
  </si>
  <si>
    <t>7" - SM2535-110, #26, VAM TOP HC - Slick</t>
  </si>
  <si>
    <t xml:space="preserve">Cantilever </t>
  </si>
  <si>
    <t>Total</t>
  </si>
  <si>
    <t>Total - Threads on</t>
  </si>
  <si>
    <t>PUP JOINTS - 7"</t>
  </si>
  <si>
    <t>PUP JOINTS 7-5/8"</t>
  </si>
  <si>
    <t>Landing joints 7-5/8"</t>
  </si>
  <si>
    <t xml:space="preserve">ASSEMBLIES </t>
  </si>
  <si>
    <t xml:space="preserve">Pup </t>
  </si>
  <si>
    <t>L J #1</t>
  </si>
  <si>
    <t>L J #2</t>
  </si>
  <si>
    <t>Primary Tubing Hanger</t>
  </si>
  <si>
    <t>Shldr + PUP</t>
  </si>
  <si>
    <t>L J #3</t>
  </si>
  <si>
    <t xml:space="preserve">JT to Shldr </t>
  </si>
  <si>
    <t>L J #4</t>
  </si>
  <si>
    <t>Primary TR-SCSSV</t>
  </si>
  <si>
    <t>Top Pup</t>
  </si>
  <si>
    <t>Top FC</t>
  </si>
  <si>
    <t>TR-SCSSV</t>
  </si>
  <si>
    <t>BTM FC</t>
  </si>
  <si>
    <t>BTM PUP</t>
  </si>
  <si>
    <t>L JP1</t>
  </si>
  <si>
    <t>L JP2</t>
  </si>
  <si>
    <t>L JP3</t>
  </si>
  <si>
    <t>Back up TR-SCSSV</t>
  </si>
  <si>
    <t>Landing Joints R/B (minus MU Loss)</t>
  </si>
  <si>
    <t>Effective Length</t>
  </si>
  <si>
    <t>TRSV SN: 11722362</t>
  </si>
  <si>
    <t>DAMAGED</t>
  </si>
  <si>
    <t>Damaged</t>
  </si>
  <si>
    <t>LP I</t>
  </si>
  <si>
    <t>LP J</t>
  </si>
  <si>
    <t>LP K</t>
  </si>
  <si>
    <t>LP L</t>
  </si>
  <si>
    <t>LP M</t>
  </si>
  <si>
    <t>7" PUP JOINT N</t>
  </si>
  <si>
    <t>USED</t>
  </si>
  <si>
    <t>opening issue thread protect</t>
  </si>
  <si>
    <t xml:space="preserve">OUT THREAD PROTECTOR </t>
  </si>
  <si>
    <t xml:space="preserve">X-overs 7'' VT </t>
  </si>
  <si>
    <t>RETURN VOL F/8,500psi: 237 ml</t>
  </si>
  <si>
    <t>OP:3641 PSI / CP: 905 PSI</t>
  </si>
  <si>
    <t xml:space="preserve">10-3/4" X 9-5/8" XO @1385.06ft </t>
  </si>
  <si>
    <t xml:space="preserve">Slow Down RIH Speed for </t>
  </si>
  <si>
    <t xml:space="preserve"> Joint #s 348, 347</t>
  </si>
  <si>
    <t>Important Note :PKR final setting depth will be approx 11958.95 FT ,3FT higher after space out and land TH.</t>
  </si>
  <si>
    <r>
      <t>u</t>
    </r>
    <r>
      <rPr>
        <sz val="10"/>
        <color rgb="FFFF0000"/>
        <rFont val="Calibri"/>
        <family val="2"/>
        <scheme val="minor"/>
      </rPr>
      <t>sed between packer and locator</t>
    </r>
  </si>
  <si>
    <t>Draft Rev. 1</t>
  </si>
  <si>
    <t>Stick-up 33.47 FT above RT</t>
  </si>
  <si>
    <t>Space Out Factor</t>
  </si>
  <si>
    <t xml:space="preserve">Effective Length 7" Joint # 32 Laid Down    </t>
  </si>
  <si>
    <t>Final Tally</t>
  </si>
  <si>
    <t>JOINT 30</t>
  </si>
  <si>
    <t xml:space="preserve">Effective Length 7" Joint # 33 Laid Down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</si>
</sst>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\ &quot;PPG&quot;"/>
    <numFmt numFmtId="166" formatCode="0\ &quot;K&quot;"/>
    <numFmt numFmtId="167" formatCode="0.0\ &quot;PPF&quot;"/>
    <numFmt numFmtId="168" formatCode="0.00\ &quot;ft&quot;"/>
    <numFmt numFmtId="169" formatCode="[$-409]d\-mmm\-yy;@"/>
    <numFmt numFmtId="170" formatCode="0.000\ &quot;IN&quot;"/>
  </numFmts>
  <fonts count="54">
    <font>
      <sz val="10"/>
      <name val="Geneva"/>
    </font>
    <font>
      <b/>
      <sz val="10"/>
      <name val="Geneva"/>
    </font>
    <font>
      <sz val="10"/>
      <name val="Geneva"/>
    </font>
    <font>
      <sz val="10"/>
      <name val="Geneva"/>
    </font>
    <font>
      <b/>
      <sz val="9"/>
      <name val="Geneva"/>
    </font>
    <font>
      <b/>
      <sz val="12"/>
      <name val="Geneva"/>
    </font>
    <font>
      <sz val="9"/>
      <name val="Geneva"/>
    </font>
    <font>
      <b/>
      <shadow/>
      <sz val="14"/>
      <color indexed="12"/>
      <name val="Geneva"/>
    </font>
    <font>
      <sz val="8"/>
      <name val="Geneva"/>
    </font>
    <font>
      <sz val="10"/>
      <name val="Arial"/>
      <family val="2"/>
    </font>
    <font>
      <b/>
      <sz val="9"/>
      <color indexed="10"/>
      <name val="Geneva"/>
    </font>
    <font>
      <sz val="9"/>
      <color indexed="10"/>
      <name val="Geneva"/>
    </font>
    <font>
      <b/>
      <sz val="10"/>
      <name val="Arial"/>
      <family val="2"/>
    </font>
    <font>
      <b/>
      <sz val="8"/>
      <name val="Geneva"/>
    </font>
    <font>
      <sz val="8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0"/>
      <color indexed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sz val="10"/>
      <name val="Times New Roman"/>
      <family val="1"/>
    </font>
    <font>
      <sz val="10"/>
      <color indexed="10"/>
      <name val="Geneva"/>
    </font>
    <font>
      <b/>
      <sz val="9"/>
      <name val="Agency FB"/>
      <family val="2"/>
    </font>
    <font>
      <b/>
      <sz val="8.5"/>
      <name val="Geneva"/>
    </font>
    <font>
      <b/>
      <sz val="14"/>
      <name val="Geneva"/>
    </font>
    <font>
      <b/>
      <sz val="9"/>
      <name val="Calibri"/>
      <family val="2"/>
    </font>
    <font>
      <sz val="9"/>
      <name val="Calibri"/>
      <family val="2"/>
    </font>
    <font>
      <sz val="9"/>
      <color indexed="10"/>
      <name val="Calibri"/>
      <family val="2"/>
    </font>
    <font>
      <sz val="11"/>
      <color rgb="FFFF0000"/>
      <name val="Arial"/>
      <family val="2"/>
    </font>
    <font>
      <b/>
      <sz val="10"/>
      <color theme="0"/>
      <name val="Geneva"/>
    </font>
    <font>
      <b/>
      <sz val="9"/>
      <color theme="0"/>
      <name val="Geneva"/>
    </font>
    <font>
      <b/>
      <sz val="12"/>
      <color rgb="FFFF0000"/>
      <name val="Agency FB"/>
      <family val="2"/>
    </font>
    <font>
      <b/>
      <sz val="14"/>
      <color rgb="FFFF0000"/>
      <name val="Agency FB"/>
      <family val="2"/>
    </font>
    <font>
      <b/>
      <sz val="9"/>
      <color theme="0"/>
      <name val="Calibri"/>
      <family val="2"/>
    </font>
    <font>
      <b/>
      <sz val="12"/>
      <color rgb="FFFF0000"/>
      <name val="Geneva"/>
    </font>
    <font>
      <b/>
      <sz val="10"/>
      <color rgb="FFFF0000"/>
      <name val="Geneva"/>
    </font>
    <font>
      <b/>
      <sz val="9"/>
      <color rgb="FFFF0000"/>
      <name val="Arial"/>
      <family val="2"/>
    </font>
    <font>
      <sz val="9"/>
      <color rgb="FFFF0000"/>
      <name val="Geneva"/>
    </font>
    <font>
      <sz val="10"/>
      <color theme="1"/>
      <name val="Geneva"/>
    </font>
    <font>
      <b/>
      <sz val="10"/>
      <color theme="1"/>
      <name val="Geneva"/>
    </font>
    <font>
      <b/>
      <sz val="9"/>
      <color rgb="FFFF0000"/>
      <name val="Geneva"/>
    </font>
    <font>
      <sz val="10"/>
      <color theme="0"/>
      <name val="Geneva"/>
    </font>
    <font>
      <b/>
      <sz val="9"/>
      <color theme="1"/>
      <name val="Geneva"/>
    </font>
    <font>
      <b/>
      <sz val="8"/>
      <color theme="0"/>
      <name val="Geneva"/>
    </font>
    <font>
      <b/>
      <sz val="8"/>
      <color rgb="FFFF0000"/>
      <name val="Geneva"/>
    </font>
    <font>
      <b/>
      <sz val="10"/>
      <color rgb="FF00B050"/>
      <name val="Geneva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Geneva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darkDown">
        <bgColor theme="1"/>
      </patternFill>
    </fill>
    <fill>
      <patternFill patternType="darkUp">
        <bgColor theme="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6337778862885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thick">
        <color indexed="64"/>
      </left>
      <right/>
      <top style="dashed">
        <color indexed="64"/>
      </top>
      <bottom/>
      <diagonal/>
    </border>
    <border>
      <left/>
      <right style="thick">
        <color indexed="64"/>
      </right>
      <top style="dashed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dashed">
        <color indexed="1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 style="thick">
        <color theme="9"/>
      </right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 style="thick">
        <color theme="1"/>
      </right>
      <top/>
      <bottom style="dashed">
        <color indexed="64"/>
      </bottom>
      <diagonal/>
    </border>
    <border>
      <left style="thick">
        <color theme="1"/>
      </left>
      <right style="thick">
        <color theme="1"/>
      </right>
      <top/>
      <bottom style="dashed">
        <color indexed="64"/>
      </bottom>
      <diagonal/>
    </border>
    <border>
      <left/>
      <right style="thick">
        <color theme="9"/>
      </right>
      <top style="dashed">
        <color indexed="64"/>
      </top>
      <bottom/>
      <diagonal/>
    </border>
    <border>
      <left style="thick">
        <color theme="9"/>
      </left>
      <right style="thick">
        <color theme="9"/>
      </right>
      <top/>
      <bottom style="thick">
        <color theme="9"/>
      </bottom>
      <diagonal/>
    </border>
    <border>
      <left/>
      <right style="thick">
        <color theme="1"/>
      </right>
      <top style="dashed">
        <color indexed="64"/>
      </top>
      <bottom/>
      <diagonal/>
    </border>
    <border>
      <left style="thick">
        <color theme="1"/>
      </left>
      <right style="thick">
        <color theme="1"/>
      </right>
      <top style="dashed">
        <color indexed="64"/>
      </top>
      <bottom/>
      <diagonal/>
    </border>
    <border>
      <left/>
      <right/>
      <top/>
      <bottom style="thick">
        <color theme="9"/>
      </bottom>
      <diagonal/>
    </border>
    <border>
      <left/>
      <right style="thick">
        <color theme="9"/>
      </right>
      <top/>
      <bottom style="thick">
        <color theme="9"/>
      </bottom>
      <diagonal/>
    </border>
    <border>
      <left style="thick">
        <color indexed="64"/>
      </left>
      <right style="thick">
        <color theme="9"/>
      </right>
      <top/>
      <bottom style="thick">
        <color indexed="64"/>
      </bottom>
      <diagonal/>
    </border>
    <border>
      <left style="thick">
        <color theme="9"/>
      </left>
      <right/>
      <top style="thick">
        <color theme="9"/>
      </top>
      <bottom style="thick">
        <color theme="9"/>
      </bottom>
      <diagonal/>
    </border>
    <border>
      <left/>
      <right/>
      <top style="thick">
        <color theme="9"/>
      </top>
      <bottom style="thick">
        <color theme="9"/>
      </bottom>
      <diagonal/>
    </border>
    <border>
      <left/>
      <right style="thick">
        <color theme="9"/>
      </right>
      <top style="thick">
        <color theme="9"/>
      </top>
      <bottom style="thick">
        <color theme="9"/>
      </bottom>
      <diagonal/>
    </border>
    <border>
      <left/>
      <right style="thick">
        <color theme="9"/>
      </right>
      <top style="thick">
        <color theme="9"/>
      </top>
      <bottom/>
      <diagonal/>
    </border>
    <border>
      <left style="thick">
        <color theme="9"/>
      </left>
      <right style="thick">
        <color theme="9"/>
      </right>
      <top style="dashed">
        <color indexed="14"/>
      </top>
      <bottom/>
      <diagonal/>
    </border>
    <border>
      <left style="thick">
        <color theme="5"/>
      </left>
      <right style="thick">
        <color theme="5"/>
      </right>
      <top style="thick">
        <color theme="5"/>
      </top>
      <bottom/>
      <diagonal/>
    </border>
    <border>
      <left style="thick">
        <color theme="5"/>
      </left>
      <right style="thick">
        <color theme="5"/>
      </right>
      <top/>
      <bottom/>
      <diagonal/>
    </border>
    <border>
      <left/>
      <right style="thick">
        <color rgb="FF0070C0"/>
      </right>
      <top/>
      <bottom/>
      <diagonal/>
    </border>
    <border>
      <left style="thick">
        <color theme="5"/>
      </left>
      <right style="thick">
        <color theme="5"/>
      </right>
      <top/>
      <bottom style="thick">
        <color theme="5"/>
      </bottom>
      <diagonal/>
    </border>
    <border>
      <left style="thick">
        <color rgb="FF0070C0"/>
      </left>
      <right style="thick">
        <color rgb="FF0070C0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rgb="FF0070C0"/>
      </left>
      <right/>
      <top style="thick">
        <color rgb="FF0070C0"/>
      </top>
      <bottom/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 style="thick">
        <color rgb="FF0070C0"/>
      </top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ck">
        <color rgb="FF0070C0"/>
      </left>
      <right/>
      <top/>
      <bottom/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 style="thick">
        <color rgb="FF0070C0"/>
      </left>
      <right style="thick">
        <color rgb="FF0070C0"/>
      </right>
      <top/>
      <bottom style="thick">
        <color rgb="FF0070C0"/>
      </bottom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 style="thick">
        <color theme="5"/>
      </left>
      <right style="thick">
        <color theme="5"/>
      </right>
      <top style="thick">
        <color theme="5"/>
      </top>
      <bottom style="thick">
        <color theme="5"/>
      </bottom>
      <diagonal/>
    </border>
    <border>
      <left/>
      <right/>
      <top/>
      <bottom style="thick">
        <color rgb="FF0070C0"/>
      </bottom>
      <diagonal/>
    </border>
    <border>
      <left/>
      <right/>
      <top/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/>
      <diagonal/>
    </border>
    <border>
      <left style="thin">
        <color indexed="64"/>
      </left>
      <right style="thick">
        <color theme="1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4" fontId="2" fillId="0" borderId="0" applyFont="0" applyFill="0" applyBorder="0" applyAlignment="0" applyProtection="0"/>
    <xf numFmtId="0" fontId="9" fillId="0" borderId="0"/>
    <xf numFmtId="0" fontId="9" fillId="0" borderId="0"/>
  </cellStyleXfs>
  <cellXfs count="591">
    <xf numFmtId="0" fontId="0" fillId="0" borderId="0" xfId="0"/>
    <xf numFmtId="0" fontId="0" fillId="0" borderId="1" xfId="0" applyBorder="1" applyAlignment="1">
      <alignment horizontal="center"/>
    </xf>
    <xf numFmtId="0" fontId="4" fillId="0" borderId="2" xfId="0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1" fontId="4" fillId="0" borderId="6" xfId="0" applyNumberFormat="1" applyFont="1" applyBorder="1" applyAlignment="1">
      <alignment horizontal="right"/>
    </xf>
    <xf numFmtId="1" fontId="4" fillId="0" borderId="2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5" xfId="0" applyFont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/>
    <xf numFmtId="0" fontId="2" fillId="0" borderId="0" xfId="0" applyFont="1"/>
    <xf numFmtId="0" fontId="7" fillId="0" borderId="1" xfId="0" applyFont="1" applyBorder="1" applyAlignment="1">
      <alignment horizontal="left"/>
    </xf>
    <xf numFmtId="2" fontId="0" fillId="0" borderId="0" xfId="0" applyNumberFormat="1"/>
    <xf numFmtId="1" fontId="4" fillId="0" borderId="0" xfId="0" applyNumberFormat="1" applyFont="1" applyAlignment="1">
      <alignment horizontal="left"/>
    </xf>
    <xf numFmtId="2" fontId="3" fillId="0" borderId="0" xfId="0" applyNumberFormat="1" applyFont="1"/>
    <xf numFmtId="1" fontId="0" fillId="0" borderId="6" xfId="0" applyNumberFormat="1" applyBorder="1" applyAlignment="1">
      <alignment horizontal="center"/>
    </xf>
    <xf numFmtId="1" fontId="0" fillId="0" borderId="0" xfId="0" applyNumberFormat="1"/>
    <xf numFmtId="0" fontId="0" fillId="0" borderId="1" xfId="0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11" fillId="0" borderId="5" xfId="0" applyFont="1" applyBorder="1"/>
    <xf numFmtId="169" fontId="6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left"/>
    </xf>
    <xf numFmtId="0" fontId="14" fillId="0" borderId="0" xfId="2" applyFont="1"/>
    <xf numFmtId="0" fontId="14" fillId="0" borderId="0" xfId="2" applyFont="1" applyAlignment="1">
      <alignment horizontal="center"/>
    </xf>
    <xf numFmtId="0" fontId="14" fillId="2" borderId="0" xfId="2" applyFont="1" applyFill="1"/>
    <xf numFmtId="0" fontId="14" fillId="0" borderId="7" xfId="2" applyFont="1" applyBorder="1"/>
    <xf numFmtId="0" fontId="14" fillId="0" borderId="8" xfId="2" applyFont="1" applyBorder="1"/>
    <xf numFmtId="0" fontId="14" fillId="0" borderId="8" xfId="2" applyFont="1" applyBorder="1" applyAlignment="1">
      <alignment horizontal="center"/>
    </xf>
    <xf numFmtId="0" fontId="14" fillId="0" borderId="9" xfId="2" applyFont="1" applyBorder="1"/>
    <xf numFmtId="0" fontId="14" fillId="0" borderId="10" xfId="2" applyFont="1" applyBorder="1"/>
    <xf numFmtId="0" fontId="15" fillId="0" borderId="0" xfId="2" applyFont="1" applyAlignment="1">
      <alignment horizontal="center"/>
    </xf>
    <xf numFmtId="0" fontId="14" fillId="0" borderId="11" xfId="2" applyFont="1" applyBorder="1"/>
    <xf numFmtId="0" fontId="12" fillId="5" borderId="12" xfId="3" applyFont="1" applyFill="1" applyBorder="1" applyAlignment="1">
      <alignment horizontal="left" vertical="center"/>
    </xf>
    <xf numFmtId="0" fontId="12" fillId="5" borderId="12" xfId="3" applyFont="1" applyFill="1" applyBorder="1" applyAlignment="1">
      <alignment horizontal="center" vertical="center"/>
    </xf>
    <xf numFmtId="0" fontId="12" fillId="2" borderId="12" xfId="3" applyFont="1" applyFill="1" applyBorder="1" applyAlignment="1">
      <alignment horizontal="center" vertical="center"/>
    </xf>
    <xf numFmtId="0" fontId="16" fillId="2" borderId="12" xfId="3" applyFont="1" applyFill="1" applyBorder="1" applyAlignment="1">
      <alignment horizontal="center"/>
    </xf>
    <xf numFmtId="0" fontId="17" fillId="0" borderId="10" xfId="2" applyFont="1" applyBorder="1"/>
    <xf numFmtId="0" fontId="16" fillId="2" borderId="0" xfId="2" applyFont="1" applyFill="1"/>
    <xf numFmtId="0" fontId="17" fillId="2" borderId="0" xfId="2" applyFont="1" applyFill="1" applyAlignment="1">
      <alignment horizontal="center"/>
    </xf>
    <xf numFmtId="0" fontId="17" fillId="2" borderId="0" xfId="2" applyFont="1" applyFill="1"/>
    <xf numFmtId="0" fontId="17" fillId="2" borderId="71" xfId="2" applyFont="1" applyFill="1" applyBorder="1"/>
    <xf numFmtId="0" fontId="9" fillId="2" borderId="72" xfId="2" applyFill="1" applyBorder="1" applyAlignment="1">
      <alignment horizontal="center"/>
    </xf>
    <xf numFmtId="0" fontId="17" fillId="2" borderId="73" xfId="2" applyFont="1" applyFill="1" applyBorder="1"/>
    <xf numFmtId="0" fontId="17" fillId="2" borderId="74" xfId="2" applyFont="1" applyFill="1" applyBorder="1" applyAlignment="1">
      <alignment horizontal="center"/>
    </xf>
    <xf numFmtId="0" fontId="12" fillId="6" borderId="12" xfId="3" applyFont="1" applyFill="1" applyBorder="1" applyAlignment="1">
      <alignment horizontal="left" vertical="center"/>
    </xf>
    <xf numFmtId="0" fontId="9" fillId="2" borderId="12" xfId="3" applyFill="1" applyBorder="1" applyAlignment="1">
      <alignment horizontal="center" vertical="center"/>
    </xf>
    <xf numFmtId="0" fontId="17" fillId="2" borderId="12" xfId="3" applyFont="1" applyFill="1" applyBorder="1"/>
    <xf numFmtId="0" fontId="17" fillId="0" borderId="11" xfId="2" applyFont="1" applyBorder="1"/>
    <xf numFmtId="0" fontId="17" fillId="0" borderId="0" xfId="2" applyFont="1"/>
    <xf numFmtId="0" fontId="17" fillId="2" borderId="13" xfId="2" applyFont="1" applyFill="1" applyBorder="1"/>
    <xf numFmtId="0" fontId="17" fillId="2" borderId="13" xfId="2" applyFont="1" applyFill="1" applyBorder="1" applyAlignment="1">
      <alignment horizontal="center"/>
    </xf>
    <xf numFmtId="0" fontId="16" fillId="2" borderId="13" xfId="2" applyFont="1" applyFill="1" applyBorder="1" applyAlignment="1">
      <alignment horizontal="center"/>
    </xf>
    <xf numFmtId="0" fontId="17" fillId="2" borderId="75" xfId="2" applyFont="1" applyFill="1" applyBorder="1"/>
    <xf numFmtId="0" fontId="17" fillId="2" borderId="76" xfId="2" applyFont="1" applyFill="1" applyBorder="1" applyAlignment="1">
      <alignment horizontal="center"/>
    </xf>
    <xf numFmtId="2" fontId="5" fillId="0" borderId="12" xfId="0" applyNumberFormat="1" applyFont="1" applyBorder="1" applyAlignment="1">
      <alignment horizontal="center"/>
    </xf>
    <xf numFmtId="0" fontId="16" fillId="3" borderId="12" xfId="3" applyFont="1" applyFill="1" applyBorder="1" applyAlignment="1">
      <alignment horizontal="center"/>
    </xf>
    <xf numFmtId="0" fontId="17" fillId="2" borderId="14" xfId="2" applyFont="1" applyFill="1" applyBorder="1" applyAlignment="1">
      <alignment horizontal="center"/>
    </xf>
    <xf numFmtId="0" fontId="17" fillId="2" borderId="15" xfId="2" applyFont="1" applyFill="1" applyBorder="1"/>
    <xf numFmtId="0" fontId="17" fillId="2" borderId="14" xfId="2" applyFont="1" applyFill="1" applyBorder="1"/>
    <xf numFmtId="0" fontId="17" fillId="2" borderId="77" xfId="2" applyFont="1" applyFill="1" applyBorder="1"/>
    <xf numFmtId="0" fontId="9" fillId="2" borderId="78" xfId="2" applyFill="1" applyBorder="1" applyAlignment="1">
      <alignment horizontal="center"/>
    </xf>
    <xf numFmtId="0" fontId="17" fillId="2" borderId="16" xfId="2" applyFont="1" applyFill="1" applyBorder="1"/>
    <xf numFmtId="0" fontId="17" fillId="2" borderId="79" xfId="2" applyFont="1" applyFill="1" applyBorder="1"/>
    <xf numFmtId="0" fontId="17" fillId="2" borderId="80" xfId="2" applyFont="1" applyFill="1" applyBorder="1" applyAlignment="1">
      <alignment horizontal="center"/>
    </xf>
    <xf numFmtId="0" fontId="17" fillId="2" borderId="17" xfId="2" applyFont="1" applyFill="1" applyBorder="1"/>
    <xf numFmtId="0" fontId="17" fillId="2" borderId="81" xfId="2" applyFont="1" applyFill="1" applyBorder="1"/>
    <xf numFmtId="0" fontId="17" fillId="2" borderId="82" xfId="2" applyFont="1" applyFill="1" applyBorder="1"/>
    <xf numFmtId="0" fontId="17" fillId="2" borderId="18" xfId="2" applyFont="1" applyFill="1" applyBorder="1"/>
    <xf numFmtId="0" fontId="17" fillId="2" borderId="83" xfId="2" applyFont="1" applyFill="1" applyBorder="1"/>
    <xf numFmtId="0" fontId="17" fillId="2" borderId="84" xfId="2" applyFont="1" applyFill="1" applyBorder="1"/>
    <xf numFmtId="0" fontId="17" fillId="2" borderId="85" xfId="2" applyFont="1" applyFill="1" applyBorder="1"/>
    <xf numFmtId="0" fontId="9" fillId="2" borderId="19" xfId="2" applyFill="1" applyBorder="1" applyAlignment="1">
      <alignment horizontal="center"/>
    </xf>
    <xf numFmtId="0" fontId="17" fillId="2" borderId="86" xfId="2" applyFont="1" applyFill="1" applyBorder="1"/>
    <xf numFmtId="0" fontId="17" fillId="2" borderId="20" xfId="2" applyFont="1" applyFill="1" applyBorder="1"/>
    <xf numFmtId="0" fontId="17" fillId="2" borderId="21" xfId="2" applyFont="1" applyFill="1" applyBorder="1"/>
    <xf numFmtId="0" fontId="17" fillId="2" borderId="87" xfId="2" applyFont="1" applyFill="1" applyBorder="1"/>
    <xf numFmtId="0" fontId="9" fillId="2" borderId="88" xfId="2" applyFill="1" applyBorder="1" applyAlignment="1">
      <alignment horizontal="center"/>
    </xf>
    <xf numFmtId="0" fontId="17" fillId="2" borderId="73" xfId="2" applyFont="1" applyFill="1" applyBorder="1" applyAlignment="1">
      <alignment horizontal="center"/>
    </xf>
    <xf numFmtId="0" fontId="9" fillId="2" borderId="89" xfId="2" applyFill="1" applyBorder="1" applyAlignment="1">
      <alignment horizontal="center"/>
    </xf>
    <xf numFmtId="0" fontId="16" fillId="0" borderId="74" xfId="2" applyFont="1" applyBorder="1" applyAlignment="1">
      <alignment horizontal="center"/>
    </xf>
    <xf numFmtId="0" fontId="9" fillId="2" borderId="90" xfId="2" applyFill="1" applyBorder="1" applyAlignment="1">
      <alignment horizontal="center"/>
    </xf>
    <xf numFmtId="0" fontId="17" fillId="2" borderId="91" xfId="2" applyFont="1" applyFill="1" applyBorder="1"/>
    <xf numFmtId="0" fontId="18" fillId="0" borderId="92" xfId="2" applyFont="1" applyBorder="1" applyAlignment="1">
      <alignment horizontal="center"/>
    </xf>
    <xf numFmtId="0" fontId="16" fillId="2" borderId="93" xfId="2" applyFont="1" applyFill="1" applyBorder="1" applyAlignment="1">
      <alignment horizontal="center"/>
    </xf>
    <xf numFmtId="0" fontId="16" fillId="0" borderId="94" xfId="2" applyFont="1" applyBorder="1" applyAlignment="1">
      <alignment horizontal="center"/>
    </xf>
    <xf numFmtId="0" fontId="17" fillId="7" borderId="91" xfId="2" applyFont="1" applyFill="1" applyBorder="1"/>
    <xf numFmtId="0" fontId="17" fillId="7" borderId="93" xfId="2" applyFont="1" applyFill="1" applyBorder="1"/>
    <xf numFmtId="0" fontId="17" fillId="2" borderId="93" xfId="2" applyFont="1" applyFill="1" applyBorder="1" applyAlignment="1">
      <alignment horizontal="center"/>
    </xf>
    <xf numFmtId="0" fontId="17" fillId="7" borderId="95" xfId="2" applyFont="1" applyFill="1" applyBorder="1"/>
    <xf numFmtId="0" fontId="17" fillId="7" borderId="96" xfId="2" applyFont="1" applyFill="1" applyBorder="1"/>
    <xf numFmtId="0" fontId="16" fillId="2" borderId="13" xfId="2" applyFont="1" applyFill="1" applyBorder="1" applyAlignment="1">
      <alignment horizontal="left"/>
    </xf>
    <xf numFmtId="0" fontId="16" fillId="2" borderId="22" xfId="2" applyFont="1" applyFill="1" applyBorder="1"/>
    <xf numFmtId="0" fontId="17" fillId="7" borderId="97" xfId="2" applyFont="1" applyFill="1" applyBorder="1"/>
    <xf numFmtId="0" fontId="17" fillId="7" borderId="98" xfId="2" applyFont="1" applyFill="1" applyBorder="1"/>
    <xf numFmtId="0" fontId="17" fillId="7" borderId="99" xfId="2" applyFont="1" applyFill="1" applyBorder="1"/>
    <xf numFmtId="0" fontId="17" fillId="7" borderId="0" xfId="2" applyFont="1" applyFill="1"/>
    <xf numFmtId="0" fontId="31" fillId="7" borderId="95" xfId="2" applyFont="1" applyFill="1" applyBorder="1"/>
    <xf numFmtId="0" fontId="16" fillId="2" borderId="14" xfId="2" applyFont="1" applyFill="1" applyBorder="1" applyAlignment="1">
      <alignment horizontal="left"/>
    </xf>
    <xf numFmtId="0" fontId="16" fillId="2" borderId="16" xfId="2" applyFont="1" applyFill="1" applyBorder="1"/>
    <xf numFmtId="0" fontId="17" fillId="7" borderId="100" xfId="2" applyFont="1" applyFill="1" applyBorder="1"/>
    <xf numFmtId="0" fontId="17" fillId="7" borderId="101" xfId="2" applyFont="1" applyFill="1" applyBorder="1"/>
    <xf numFmtId="0" fontId="17" fillId="7" borderId="102" xfId="2" applyFont="1" applyFill="1" applyBorder="1"/>
    <xf numFmtId="2" fontId="9" fillId="0" borderId="23" xfId="2" applyNumberFormat="1" applyBorder="1" applyAlignment="1">
      <alignment horizontal="center"/>
    </xf>
    <xf numFmtId="0" fontId="17" fillId="2" borderId="91" xfId="2" applyFont="1" applyFill="1" applyBorder="1" applyAlignment="1">
      <alignment horizontal="center"/>
    </xf>
    <xf numFmtId="0" fontId="16" fillId="2" borderId="0" xfId="2" applyFont="1" applyFill="1" applyAlignment="1">
      <alignment horizontal="center"/>
    </xf>
    <xf numFmtId="0" fontId="17" fillId="2" borderId="24" xfId="2" applyFont="1" applyFill="1" applyBorder="1"/>
    <xf numFmtId="0" fontId="17" fillId="2" borderId="25" xfId="2" applyFont="1" applyFill="1" applyBorder="1"/>
    <xf numFmtId="0" fontId="17" fillId="2" borderId="99" xfId="2" applyFont="1" applyFill="1" applyBorder="1"/>
    <xf numFmtId="0" fontId="9" fillId="2" borderId="103" xfId="2" applyFill="1" applyBorder="1" applyAlignment="1">
      <alignment horizontal="center"/>
    </xf>
    <xf numFmtId="0" fontId="17" fillId="2" borderId="104" xfId="2" applyFont="1" applyFill="1" applyBorder="1"/>
    <xf numFmtId="0" fontId="17" fillId="2" borderId="100" xfId="2" applyFont="1" applyFill="1" applyBorder="1"/>
    <xf numFmtId="0" fontId="17" fillId="2" borderId="102" xfId="2" applyFont="1" applyFill="1" applyBorder="1"/>
    <xf numFmtId="0" fontId="16" fillId="2" borderId="18" xfId="2" applyFont="1" applyFill="1" applyBorder="1"/>
    <xf numFmtId="0" fontId="17" fillId="2" borderId="22" xfId="2" applyFont="1" applyFill="1" applyBorder="1"/>
    <xf numFmtId="0" fontId="17" fillId="0" borderId="100" xfId="2" applyFont="1" applyBorder="1"/>
    <xf numFmtId="0" fontId="17" fillId="0" borderId="102" xfId="2" applyFont="1" applyBorder="1"/>
    <xf numFmtId="0" fontId="17" fillId="5" borderId="0" xfId="2" applyFont="1" applyFill="1"/>
    <xf numFmtId="0" fontId="17" fillId="0" borderId="91" xfId="2" applyFont="1" applyBorder="1"/>
    <xf numFmtId="0" fontId="17" fillId="5" borderId="105" xfId="2" applyFont="1" applyFill="1" applyBorder="1"/>
    <xf numFmtId="0" fontId="17" fillId="0" borderId="105" xfId="2" applyFont="1" applyBorder="1"/>
    <xf numFmtId="0" fontId="17" fillId="4" borderId="26" xfId="2" applyFont="1" applyFill="1" applyBorder="1"/>
    <xf numFmtId="0" fontId="17" fillId="0" borderId="106" xfId="2" applyFont="1" applyBorder="1"/>
    <xf numFmtId="0" fontId="17" fillId="8" borderId="107" xfId="2" applyFont="1" applyFill="1" applyBorder="1"/>
    <xf numFmtId="0" fontId="17" fillId="9" borderId="0" xfId="2" applyFont="1" applyFill="1"/>
    <xf numFmtId="0" fontId="17" fillId="4" borderId="27" xfId="2" applyFont="1" applyFill="1" applyBorder="1"/>
    <xf numFmtId="0" fontId="17" fillId="0" borderId="107" xfId="2" applyFont="1" applyBorder="1"/>
    <xf numFmtId="2" fontId="16" fillId="0" borderId="12" xfId="2" applyNumberFormat="1" applyFont="1" applyBorder="1" applyAlignment="1">
      <alignment horizontal="center"/>
    </xf>
    <xf numFmtId="0" fontId="16" fillId="10" borderId="12" xfId="3" applyFont="1" applyFill="1" applyBorder="1" applyAlignment="1">
      <alignment horizontal="center" vertical="center"/>
    </xf>
    <xf numFmtId="0" fontId="17" fillId="2" borderId="18" xfId="2" applyFont="1" applyFill="1" applyBorder="1" applyAlignment="1">
      <alignment horizontal="center"/>
    </xf>
    <xf numFmtId="0" fontId="17" fillId="2" borderId="28" xfId="2" applyFont="1" applyFill="1" applyBorder="1"/>
    <xf numFmtId="0" fontId="17" fillId="2" borderId="29" xfId="2" applyFont="1" applyFill="1" applyBorder="1"/>
    <xf numFmtId="0" fontId="16" fillId="2" borderId="29" xfId="2" applyFont="1" applyFill="1" applyBorder="1" applyAlignment="1">
      <alignment horizontal="center"/>
    </xf>
    <xf numFmtId="0" fontId="17" fillId="2" borderId="30" xfId="2" applyFont="1" applyFill="1" applyBorder="1"/>
    <xf numFmtId="0" fontId="14" fillId="2" borderId="12" xfId="3" applyFont="1" applyFill="1" applyBorder="1" applyAlignment="1">
      <alignment horizontal="center"/>
    </xf>
    <xf numFmtId="2" fontId="19" fillId="2" borderId="12" xfId="3" applyNumberFormat="1" applyFont="1" applyFill="1" applyBorder="1" applyAlignment="1">
      <alignment horizontal="center"/>
    </xf>
    <xf numFmtId="0" fontId="17" fillId="2" borderId="12" xfId="3" applyFont="1" applyFill="1" applyBorder="1" applyAlignment="1">
      <alignment horizontal="left"/>
    </xf>
    <xf numFmtId="2" fontId="14" fillId="2" borderId="12" xfId="3" applyNumberFormat="1" applyFont="1" applyFill="1" applyBorder="1"/>
    <xf numFmtId="0" fontId="14" fillId="0" borderId="2" xfId="2" applyFont="1" applyBorder="1"/>
    <xf numFmtId="0" fontId="14" fillId="0" borderId="6" xfId="2" applyFont="1" applyBorder="1"/>
    <xf numFmtId="0" fontId="14" fillId="0" borderId="6" xfId="2" applyFont="1" applyBorder="1" applyAlignment="1">
      <alignment horizontal="center"/>
    </xf>
    <xf numFmtId="0" fontId="14" fillId="2" borderId="6" xfId="2" applyFont="1" applyFill="1" applyBorder="1"/>
    <xf numFmtId="0" fontId="14" fillId="0" borderId="31" xfId="2" applyFont="1" applyBorder="1"/>
    <xf numFmtId="0" fontId="14" fillId="2" borderId="0" xfId="2" applyFont="1" applyFill="1" applyAlignment="1">
      <alignment horizontal="center"/>
    </xf>
    <xf numFmtId="2" fontId="18" fillId="11" borderId="26" xfId="2" applyNumberFormat="1" applyFont="1" applyFill="1" applyBorder="1" applyProtection="1">
      <protection locked="0"/>
    </xf>
    <xf numFmtId="0" fontId="14" fillId="0" borderId="1" xfId="2" applyFont="1" applyBorder="1"/>
    <xf numFmtId="0" fontId="14" fillId="0" borderId="5" xfId="2" applyFont="1" applyBorder="1"/>
    <xf numFmtId="0" fontId="9" fillId="0" borderId="0" xfId="2"/>
    <xf numFmtId="2" fontId="18" fillId="11" borderId="27" xfId="2" applyNumberFormat="1" applyFont="1" applyFill="1" applyBorder="1" applyProtection="1">
      <protection locked="0"/>
    </xf>
    <xf numFmtId="0" fontId="14" fillId="0" borderId="32" xfId="2" applyFont="1" applyBorder="1"/>
    <xf numFmtId="0" fontId="14" fillId="0" borderId="32" xfId="2" applyFont="1" applyBorder="1" applyAlignment="1">
      <alignment horizontal="center"/>
    </xf>
    <xf numFmtId="0" fontId="14" fillId="2" borderId="32" xfId="2" applyFont="1" applyFill="1" applyBorder="1"/>
    <xf numFmtId="0" fontId="14" fillId="0" borderId="33" xfId="2" applyFont="1" applyBorder="1"/>
    <xf numFmtId="0" fontId="20" fillId="0" borderId="0" xfId="2" applyFont="1"/>
    <xf numFmtId="2" fontId="18" fillId="6" borderId="12" xfId="2" applyNumberFormat="1" applyFont="1" applyFill="1" applyBorder="1"/>
    <xf numFmtId="0" fontId="20" fillId="6" borderId="34" xfId="2" applyFont="1" applyFill="1" applyBorder="1"/>
    <xf numFmtId="0" fontId="20" fillId="6" borderId="35" xfId="2" applyFont="1" applyFill="1" applyBorder="1"/>
    <xf numFmtId="0" fontId="20" fillId="6" borderId="35" xfId="2" applyFont="1" applyFill="1" applyBorder="1" applyAlignment="1">
      <alignment horizontal="center"/>
    </xf>
    <xf numFmtId="0" fontId="14" fillId="6" borderId="36" xfId="2" applyFont="1" applyFill="1" applyBorder="1"/>
    <xf numFmtId="2" fontId="21" fillId="0" borderId="0" xfId="2" applyNumberFormat="1" applyFont="1"/>
    <xf numFmtId="2" fontId="18" fillId="10" borderId="3" xfId="2" applyNumberFormat="1" applyFont="1" applyFill="1" applyBorder="1" applyProtection="1">
      <protection locked="0"/>
    </xf>
    <xf numFmtId="2" fontId="18" fillId="10" borderId="27" xfId="2" applyNumberFormat="1" applyFont="1" applyFill="1" applyBorder="1" applyProtection="1">
      <protection locked="0"/>
    </xf>
    <xf numFmtId="0" fontId="14" fillId="0" borderId="4" xfId="2" applyFont="1" applyBorder="1"/>
    <xf numFmtId="0" fontId="21" fillId="0" borderId="0" xfId="2" applyFont="1"/>
    <xf numFmtId="0" fontId="22" fillId="0" borderId="0" xfId="2" applyFont="1"/>
    <xf numFmtId="0" fontId="14" fillId="0" borderId="37" xfId="2" applyFont="1" applyBorder="1"/>
    <xf numFmtId="0" fontId="21" fillId="0" borderId="38" xfId="2" applyFont="1" applyBorder="1"/>
    <xf numFmtId="0" fontId="14" fillId="0" borderId="38" xfId="2" applyFont="1" applyBorder="1"/>
    <xf numFmtId="0" fontId="14" fillId="0" borderId="38" xfId="2" applyFont="1" applyBorder="1" applyAlignment="1">
      <alignment horizontal="center"/>
    </xf>
    <xf numFmtId="0" fontId="14" fillId="2" borderId="38" xfId="2" applyFont="1" applyFill="1" applyBorder="1"/>
    <xf numFmtId="0" fontId="9" fillId="0" borderId="38" xfId="2" applyBorder="1"/>
    <xf numFmtId="0" fontId="14" fillId="0" borderId="39" xfId="2" applyFont="1" applyBorder="1"/>
    <xf numFmtId="0" fontId="23" fillId="0" borderId="0" xfId="2" applyFont="1"/>
    <xf numFmtId="2" fontId="17" fillId="6" borderId="12" xfId="3" applyNumberFormat="1" applyFont="1" applyFill="1" applyBorder="1" applyAlignment="1">
      <alignment horizontal="center" vertical="center"/>
    </xf>
    <xf numFmtId="0" fontId="10" fillId="0" borderId="5" xfId="0" applyFont="1" applyBorder="1"/>
    <xf numFmtId="4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right"/>
    </xf>
    <xf numFmtId="2" fontId="1" fillId="0" borderId="3" xfId="0" applyNumberFormat="1" applyFont="1" applyBorder="1" applyAlignment="1">
      <alignment horizontal="center"/>
    </xf>
    <xf numFmtId="2" fontId="1" fillId="0" borderId="27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32" xfId="0" applyNumberFormat="1" applyFont="1" applyBorder="1" applyAlignment="1">
      <alignment horizontal="center"/>
    </xf>
    <xf numFmtId="2" fontId="1" fillId="0" borderId="31" xfId="0" applyNumberFormat="1" applyFont="1" applyBorder="1" applyAlignment="1">
      <alignment horizontal="center"/>
    </xf>
    <xf numFmtId="2" fontId="1" fillId="0" borderId="33" xfId="0" applyNumberFormat="1" applyFont="1" applyBorder="1" applyAlignment="1">
      <alignment horizontal="center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31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0" xfId="0" applyAlignment="1">
      <alignment horizontal="left"/>
    </xf>
    <xf numFmtId="2" fontId="0" fillId="10" borderId="0" xfId="0" applyNumberFormat="1" applyFill="1" applyAlignment="1">
      <alignment horizontal="right"/>
    </xf>
    <xf numFmtId="1" fontId="25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4" fontId="5" fillId="11" borderId="0" xfId="0" applyNumberFormat="1" applyFont="1" applyFill="1" applyAlignment="1">
      <alignment horizontal="center"/>
    </xf>
    <xf numFmtId="4" fontId="1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6" fillId="10" borderId="12" xfId="3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 vertical="center"/>
    </xf>
    <xf numFmtId="2" fontId="1" fillId="11" borderId="12" xfId="0" applyNumberFormat="1" applyFont="1" applyFill="1" applyBorder="1" applyAlignment="1">
      <alignment horizontal="center"/>
    </xf>
    <xf numFmtId="2" fontId="32" fillId="12" borderId="12" xfId="0" applyNumberFormat="1" applyFont="1" applyFill="1" applyBorder="1" applyAlignment="1">
      <alignment horizontal="center"/>
    </xf>
    <xf numFmtId="166" fontId="1" fillId="11" borderId="12" xfId="0" applyNumberFormat="1" applyFont="1" applyFill="1" applyBorder="1" applyAlignment="1">
      <alignment horizontal="center"/>
    </xf>
    <xf numFmtId="2" fontId="1" fillId="13" borderId="12" xfId="0" applyNumberFormat="1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6" fillId="10" borderId="12" xfId="0" applyFont="1" applyFill="1" applyBorder="1" applyAlignment="1">
      <alignment horizontal="center"/>
    </xf>
    <xf numFmtId="2" fontId="0" fillId="10" borderId="12" xfId="0" applyNumberFormat="1" applyFill="1" applyBorder="1" applyAlignment="1">
      <alignment horizontal="center"/>
    </xf>
    <xf numFmtId="0" fontId="1" fillId="0" borderId="0" xfId="0" applyFont="1"/>
    <xf numFmtId="4" fontId="0" fillId="0" borderId="0" xfId="0" applyNumberFormat="1"/>
    <xf numFmtId="2" fontId="17" fillId="0" borderId="12" xfId="3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/>
    </xf>
    <xf numFmtId="4" fontId="1" fillId="0" borderId="0" xfId="0" applyNumberFormat="1" applyFont="1" applyAlignment="1">
      <alignment horizontal="center"/>
    </xf>
    <xf numFmtId="4" fontId="3" fillId="0" borderId="0" xfId="0" applyNumberFormat="1" applyFont="1"/>
    <xf numFmtId="1" fontId="4" fillId="0" borderId="12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center"/>
    </xf>
    <xf numFmtId="170" fontId="4" fillId="14" borderId="12" xfId="0" applyNumberFormat="1" applyFont="1" applyFill="1" applyBorder="1" applyAlignment="1">
      <alignment horizontal="center" vertical="center"/>
    </xf>
    <xf numFmtId="168" fontId="33" fillId="15" borderId="12" xfId="0" applyNumberFormat="1" applyFont="1" applyFill="1" applyBorder="1" applyAlignment="1">
      <alignment horizontal="center" vertical="center"/>
    </xf>
    <xf numFmtId="0" fontId="26" fillId="16" borderId="7" xfId="0" applyFont="1" applyFill="1" applyBorder="1"/>
    <xf numFmtId="168" fontId="26" fillId="16" borderId="9" xfId="0" applyNumberFormat="1" applyFont="1" applyFill="1" applyBorder="1" applyAlignment="1">
      <alignment horizontal="center"/>
    </xf>
    <xf numFmtId="0" fontId="26" fillId="16" borderId="10" xfId="0" applyFont="1" applyFill="1" applyBorder="1"/>
    <xf numFmtId="168" fontId="26" fillId="16" borderId="11" xfId="0" applyNumberFormat="1" applyFont="1" applyFill="1" applyBorder="1" applyAlignment="1">
      <alignment horizontal="center"/>
    </xf>
    <xf numFmtId="0" fontId="26" fillId="16" borderId="37" xfId="0" applyFont="1" applyFill="1" applyBorder="1"/>
    <xf numFmtId="168" fontId="26" fillId="16" borderId="39" xfId="0" applyNumberFormat="1" applyFont="1" applyFill="1" applyBorder="1" applyAlignment="1">
      <alignment horizontal="center"/>
    </xf>
    <xf numFmtId="2" fontId="8" fillId="0" borderId="40" xfId="0" applyNumberFormat="1" applyFont="1" applyBorder="1" applyAlignment="1">
      <alignment horizontal="center" vertical="center"/>
    </xf>
    <xf numFmtId="2" fontId="8" fillId="0" borderId="41" xfId="0" applyNumberFormat="1" applyFont="1" applyBorder="1" applyAlignment="1">
      <alignment horizontal="center" vertical="center"/>
    </xf>
    <xf numFmtId="2" fontId="8" fillId="0" borderId="42" xfId="0" applyNumberFormat="1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13" fillId="17" borderId="0" xfId="0" applyFont="1" applyFill="1" applyAlignment="1">
      <alignment vertical="center"/>
    </xf>
    <xf numFmtId="2" fontId="8" fillId="0" borderId="0" xfId="0" applyNumberFormat="1" applyFont="1" applyAlignment="1">
      <alignment horizontal="center" vertical="center"/>
    </xf>
    <xf numFmtId="2" fontId="34" fillId="0" borderId="0" xfId="0" applyNumberFormat="1" applyFont="1" applyAlignment="1">
      <alignment horizontal="right"/>
    </xf>
    <xf numFmtId="2" fontId="35" fillId="0" borderId="0" xfId="0" applyNumberFormat="1" applyFont="1" applyAlignment="1">
      <alignment horizontal="center"/>
    </xf>
    <xf numFmtId="2" fontId="35" fillId="0" borderId="0" xfId="0" applyNumberFormat="1" applyFont="1" applyAlignment="1">
      <alignment horizontal="right"/>
    </xf>
    <xf numFmtId="2" fontId="5" fillId="0" borderId="6" xfId="0" applyNumberFormat="1" applyFont="1" applyBorder="1" applyAlignment="1">
      <alignment horizontal="right"/>
    </xf>
    <xf numFmtId="2" fontId="5" fillId="0" borderId="6" xfId="0" applyNumberFormat="1" applyFont="1" applyBorder="1" applyAlignment="1">
      <alignment horizontal="center"/>
    </xf>
    <xf numFmtId="2" fontId="27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" fontId="33" fillId="10" borderId="0" xfId="1" applyFont="1" applyFill="1" applyBorder="1" applyAlignment="1">
      <alignment horizontal="center"/>
    </xf>
    <xf numFmtId="0" fontId="36" fillId="18" borderId="28" xfId="0" applyFont="1" applyFill="1" applyBorder="1" applyAlignment="1">
      <alignment horizontal="center" vertical="center" wrapText="1"/>
    </xf>
    <xf numFmtId="0" fontId="29" fillId="0" borderId="44" xfId="0" applyFont="1" applyBorder="1" applyAlignment="1">
      <alignment vertical="center" wrapText="1"/>
    </xf>
    <xf numFmtId="2" fontId="28" fillId="0" borderId="39" xfId="0" applyNumberFormat="1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169" fontId="0" fillId="0" borderId="0" xfId="0" applyNumberFormat="1" applyAlignment="1">
      <alignment horizontal="left"/>
    </xf>
    <xf numFmtId="15" fontId="37" fillId="0" borderId="6" xfId="0" applyNumberFormat="1" applyFont="1" applyBorder="1" applyAlignment="1">
      <alignment horizontal="center"/>
    </xf>
    <xf numFmtId="0" fontId="38" fillId="0" borderId="31" xfId="0" applyFont="1" applyBorder="1"/>
    <xf numFmtId="15" fontId="37" fillId="0" borderId="0" xfId="0" applyNumberFormat="1" applyFont="1" applyAlignment="1">
      <alignment horizontal="center"/>
    </xf>
    <xf numFmtId="2" fontId="39" fillId="11" borderId="3" xfId="2" applyNumberFormat="1" applyFont="1" applyFill="1" applyBorder="1" applyProtection="1">
      <protection locked="0"/>
    </xf>
    <xf numFmtId="168" fontId="32" fillId="12" borderId="4" xfId="0" applyNumberFormat="1" applyFont="1" applyFill="1" applyBorder="1" applyAlignment="1">
      <alignment horizontal="center" vertical="center"/>
    </xf>
    <xf numFmtId="0" fontId="28" fillId="18" borderId="45" xfId="0" applyFont="1" applyFill="1" applyBorder="1" applyAlignment="1">
      <alignment horizontal="center" vertical="center" wrapText="1"/>
    </xf>
    <xf numFmtId="2" fontId="28" fillId="0" borderId="8" xfId="0" applyNumberFormat="1" applyFont="1" applyBorder="1" applyAlignment="1">
      <alignment horizontal="center" vertical="center" wrapText="1"/>
    </xf>
    <xf numFmtId="0" fontId="29" fillId="0" borderId="8" xfId="0" applyFont="1" applyBorder="1" applyAlignment="1">
      <alignment vertical="center" wrapText="1"/>
    </xf>
    <xf numFmtId="2" fontId="4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2" fontId="6" fillId="10" borderId="0" xfId="0" applyNumberFormat="1" applyFont="1" applyFill="1" applyAlignment="1">
      <alignment horizontal="left"/>
    </xf>
    <xf numFmtId="164" fontId="6" fillId="0" borderId="0" xfId="0" applyNumberFormat="1" applyFont="1" applyAlignment="1">
      <alignment horizontal="left"/>
    </xf>
    <xf numFmtId="168" fontId="8" fillId="0" borderId="43" xfId="0" applyNumberFormat="1" applyFont="1" applyBorder="1" applyAlignment="1">
      <alignment horizontal="center" vertical="center"/>
    </xf>
    <xf numFmtId="168" fontId="8" fillId="0" borderId="46" xfId="0" applyNumberFormat="1" applyFont="1" applyBorder="1" applyAlignment="1">
      <alignment horizontal="center" vertical="center"/>
    </xf>
    <xf numFmtId="0" fontId="4" fillId="19" borderId="47" xfId="0" applyFont="1" applyFill="1" applyBorder="1" applyAlignment="1">
      <alignment vertical="center"/>
    </xf>
    <xf numFmtId="0" fontId="4" fillId="14" borderId="40" xfId="0" applyFont="1" applyFill="1" applyBorder="1" applyAlignment="1">
      <alignment vertical="center"/>
    </xf>
    <xf numFmtId="168" fontId="8" fillId="0" borderId="41" xfId="0" applyNumberFormat="1" applyFont="1" applyBorder="1" applyAlignment="1">
      <alignment horizontal="center" vertical="center"/>
    </xf>
    <xf numFmtId="0" fontId="8" fillId="0" borderId="0" xfId="0" applyFont="1"/>
    <xf numFmtId="0" fontId="13" fillId="17" borderId="48" xfId="0" applyFont="1" applyFill="1" applyBorder="1"/>
    <xf numFmtId="168" fontId="13" fillId="17" borderId="48" xfId="0" applyNumberFormat="1" applyFont="1" applyFill="1" applyBorder="1"/>
    <xf numFmtId="168" fontId="13" fillId="17" borderId="49" xfId="0" applyNumberFormat="1" applyFont="1" applyFill="1" applyBorder="1"/>
    <xf numFmtId="0" fontId="13" fillId="17" borderId="49" xfId="0" applyFont="1" applyFill="1" applyBorder="1"/>
    <xf numFmtId="0" fontId="8" fillId="17" borderId="45" xfId="0" applyFont="1" applyFill="1" applyBorder="1"/>
    <xf numFmtId="168" fontId="8" fillId="17" borderId="45" xfId="0" applyNumberFormat="1" applyFont="1" applyFill="1" applyBorder="1"/>
    <xf numFmtId="0" fontId="8" fillId="17" borderId="44" xfId="0" applyFont="1" applyFill="1" applyBorder="1"/>
    <xf numFmtId="168" fontId="8" fillId="17" borderId="39" xfId="0" applyNumberFormat="1" applyFont="1" applyFill="1" applyBorder="1"/>
    <xf numFmtId="0" fontId="1" fillId="11" borderId="0" xfId="0" applyFont="1" applyFill="1" applyAlignment="1">
      <alignment horizontal="center"/>
    </xf>
    <xf numFmtId="4" fontId="1" fillId="11" borderId="0" xfId="0" applyNumberFormat="1" applyFont="1" applyFill="1" applyAlignment="1">
      <alignment horizontal="center"/>
    </xf>
    <xf numFmtId="4" fontId="4" fillId="20" borderId="12" xfId="0" applyNumberFormat="1" applyFont="1" applyFill="1" applyBorder="1" applyAlignment="1">
      <alignment horizontal="center"/>
    </xf>
    <xf numFmtId="0" fontId="4" fillId="20" borderId="47" xfId="0" applyFont="1" applyFill="1" applyBorder="1" applyAlignment="1">
      <alignment horizontal="center"/>
    </xf>
    <xf numFmtId="4" fontId="4" fillId="20" borderId="46" xfId="0" applyNumberFormat="1" applyFont="1" applyFill="1" applyBorder="1" applyAlignment="1">
      <alignment horizontal="center"/>
    </xf>
    <xf numFmtId="0" fontId="1" fillId="0" borderId="47" xfId="0" applyFont="1" applyBorder="1" applyAlignment="1">
      <alignment horizontal="center"/>
    </xf>
    <xf numFmtId="4" fontId="1" fillId="0" borderId="46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/>
    </xf>
    <xf numFmtId="0" fontId="4" fillId="21" borderId="42" xfId="0" applyFont="1" applyFill="1" applyBorder="1" applyAlignment="1">
      <alignment vertical="center"/>
    </xf>
    <xf numFmtId="0" fontId="4" fillId="0" borderId="38" xfId="0" applyFont="1" applyBorder="1" applyAlignment="1">
      <alignment vertical="center"/>
    </xf>
    <xf numFmtId="168" fontId="8" fillId="0" borderId="38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right"/>
    </xf>
    <xf numFmtId="2" fontId="24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2" fontId="1" fillId="11" borderId="8" xfId="0" applyNumberFormat="1" applyFont="1" applyFill="1" applyBorder="1" applyAlignment="1">
      <alignment horizontal="center"/>
    </xf>
    <xf numFmtId="2" fontId="1" fillId="11" borderId="51" xfId="0" applyNumberFormat="1" applyFont="1" applyFill="1" applyBorder="1" applyAlignment="1">
      <alignment horizontal="center"/>
    </xf>
    <xf numFmtId="2" fontId="0" fillId="11" borderId="51" xfId="0" applyNumberFormat="1" applyFill="1" applyBorder="1" applyAlignment="1">
      <alignment horizontal="center"/>
    </xf>
    <xf numFmtId="2" fontId="0" fillId="11" borderId="52" xfId="0" applyNumberFormat="1" applyFill="1" applyBorder="1" applyAlignment="1">
      <alignment horizontal="center"/>
    </xf>
    <xf numFmtId="2" fontId="1" fillId="11" borderId="38" xfId="0" applyNumberFormat="1" applyFont="1" applyFill="1" applyBorder="1" applyAlignment="1">
      <alignment horizontal="center"/>
    </xf>
    <xf numFmtId="2" fontId="1" fillId="11" borderId="53" xfId="0" applyNumberFormat="1" applyFont="1" applyFill="1" applyBorder="1" applyAlignment="1">
      <alignment horizontal="center"/>
    </xf>
    <xf numFmtId="2" fontId="0" fillId="11" borderId="53" xfId="0" applyNumberFormat="1" applyFill="1" applyBorder="1" applyAlignment="1">
      <alignment horizontal="center"/>
    </xf>
    <xf numFmtId="2" fontId="0" fillId="11" borderId="54" xfId="0" applyNumberFormat="1" applyFill="1" applyBorder="1" applyAlignment="1">
      <alignment horizontal="center"/>
    </xf>
    <xf numFmtId="2" fontId="32" fillId="15" borderId="53" xfId="0" applyNumberFormat="1" applyFont="1" applyFill="1" applyBorder="1" applyAlignment="1">
      <alignment horizontal="center"/>
    </xf>
    <xf numFmtId="2" fontId="0" fillId="15" borderId="54" xfId="0" applyNumberFormat="1" applyFill="1" applyBorder="1" applyAlignment="1">
      <alignment horizontal="center"/>
    </xf>
    <xf numFmtId="166" fontId="40" fillId="0" borderId="0" xfId="0" applyNumberFormat="1" applyFont="1" applyAlignment="1">
      <alignment horizontal="left"/>
    </xf>
    <xf numFmtId="0" fontId="4" fillId="10" borderId="34" xfId="0" applyFont="1" applyFill="1" applyBorder="1" applyAlignment="1">
      <alignment horizontal="left"/>
    </xf>
    <xf numFmtId="0" fontId="4" fillId="10" borderId="36" xfId="0" applyFont="1" applyFill="1" applyBorder="1" applyAlignment="1">
      <alignment horizontal="left"/>
    </xf>
    <xf numFmtId="166" fontId="0" fillId="13" borderId="12" xfId="0" applyNumberFormat="1" applyFill="1" applyBorder="1" applyAlignment="1">
      <alignment horizontal="center"/>
    </xf>
    <xf numFmtId="0" fontId="4" fillId="0" borderId="34" xfId="0" applyFont="1" applyBorder="1" applyAlignment="1">
      <alignment horizontal="left"/>
    </xf>
    <xf numFmtId="0" fontId="4" fillId="0" borderId="36" xfId="0" applyFont="1" applyBorder="1" applyAlignment="1">
      <alignment horizontal="left"/>
    </xf>
    <xf numFmtId="2" fontId="41" fillId="0" borderId="12" xfId="0" applyNumberFormat="1" applyFont="1" applyBorder="1" applyAlignment="1">
      <alignment horizontal="center"/>
    </xf>
    <xf numFmtId="0" fontId="4" fillId="10" borderId="2" xfId="0" applyFont="1" applyFill="1" applyBorder="1" applyAlignment="1">
      <alignment horizontal="left"/>
    </xf>
    <xf numFmtId="0" fontId="4" fillId="10" borderId="31" xfId="0" applyFont="1" applyFill="1" applyBorder="1" applyAlignment="1">
      <alignment horizontal="left"/>
    </xf>
    <xf numFmtId="0" fontId="14" fillId="0" borderId="34" xfId="2" applyFont="1" applyBorder="1"/>
    <xf numFmtId="165" fontId="6" fillId="0" borderId="0" xfId="0" applyNumberFormat="1" applyFont="1" applyAlignment="1">
      <alignment horizontal="left"/>
    </xf>
    <xf numFmtId="1" fontId="13" fillId="13" borderId="12" xfId="0" applyNumberFormat="1" applyFont="1" applyFill="1" applyBorder="1" applyAlignment="1">
      <alignment horizontal="left"/>
    </xf>
    <xf numFmtId="0" fontId="42" fillId="0" borderId="12" xfId="0" applyFont="1" applyBorder="1" applyAlignment="1">
      <alignment horizontal="center"/>
    </xf>
    <xf numFmtId="0" fontId="1" fillId="22" borderId="47" xfId="0" applyFont="1" applyFill="1" applyBorder="1" applyAlignment="1">
      <alignment horizontal="center" vertical="center"/>
    </xf>
    <xf numFmtId="4" fontId="1" fillId="22" borderId="12" xfId="0" applyNumberFormat="1" applyFont="1" applyFill="1" applyBorder="1" applyAlignment="1">
      <alignment horizontal="center" vertical="center"/>
    </xf>
    <xf numFmtId="4" fontId="1" fillId="22" borderId="46" xfId="0" applyNumberFormat="1" applyFont="1" applyFill="1" applyBorder="1" applyAlignment="1">
      <alignment horizontal="center" vertical="center"/>
    </xf>
    <xf numFmtId="0" fontId="1" fillId="22" borderId="47" xfId="0" applyFont="1" applyFill="1" applyBorder="1" applyAlignment="1">
      <alignment horizontal="center"/>
    </xf>
    <xf numFmtId="0" fontId="7" fillId="0" borderId="5" xfId="0" applyFont="1" applyBorder="1" applyAlignment="1">
      <alignment horizontal="left"/>
    </xf>
    <xf numFmtId="2" fontId="0" fillId="22" borderId="0" xfId="0" applyNumberFormat="1" applyFill="1"/>
    <xf numFmtId="0" fontId="0" fillId="22" borderId="0" xfId="0" applyFill="1"/>
    <xf numFmtId="4" fontId="4" fillId="10" borderId="12" xfId="1" applyFont="1" applyFill="1" applyBorder="1" applyAlignment="1">
      <alignment horizontal="center"/>
    </xf>
    <xf numFmtId="4" fontId="33" fillId="12" borderId="12" xfId="1" applyFont="1" applyFill="1" applyBorder="1" applyAlignment="1">
      <alignment horizontal="center"/>
    </xf>
    <xf numFmtId="4" fontId="33" fillId="12" borderId="12" xfId="0" applyNumberFormat="1" applyFont="1" applyFill="1" applyBorder="1" applyAlignment="1">
      <alignment horizontal="center"/>
    </xf>
    <xf numFmtId="0" fontId="0" fillId="10" borderId="0" xfId="0" applyFill="1"/>
    <xf numFmtId="164" fontId="0" fillId="10" borderId="12" xfId="0" applyNumberForma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  <xf numFmtId="0" fontId="43" fillId="0" borderId="12" xfId="0" applyFont="1" applyBorder="1" applyAlignment="1">
      <alignment horizontal="left"/>
    </xf>
    <xf numFmtId="2" fontId="0" fillId="11" borderId="12" xfId="0" applyNumberFormat="1" applyFill="1" applyBorder="1" applyAlignment="1">
      <alignment horizontal="center"/>
    </xf>
    <xf numFmtId="2" fontId="44" fillId="12" borderId="12" xfId="0" applyNumberFormat="1" applyFont="1" applyFill="1" applyBorder="1" applyAlignment="1">
      <alignment horizontal="center"/>
    </xf>
    <xf numFmtId="0" fontId="49" fillId="23" borderId="108" xfId="0" applyFont="1" applyFill="1" applyBorder="1" applyAlignment="1">
      <alignment horizontal="center"/>
    </xf>
    <xf numFmtId="0" fontId="49" fillId="0" borderId="0" xfId="0" applyFont="1" applyAlignment="1">
      <alignment horizont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49" fillId="23" borderId="109" xfId="0" applyFont="1" applyFill="1" applyBorder="1" applyAlignment="1">
      <alignment horizontal="center"/>
    </xf>
    <xf numFmtId="1" fontId="49" fillId="0" borderId="0" xfId="0" applyNumberFormat="1" applyFont="1"/>
    <xf numFmtId="0" fontId="49" fillId="0" borderId="0" xfId="0" applyFont="1"/>
    <xf numFmtId="2" fontId="49" fillId="0" borderId="0" xfId="0" applyNumberFormat="1" applyFont="1" applyAlignment="1">
      <alignment horizontal="center"/>
    </xf>
    <xf numFmtId="0" fontId="49" fillId="5" borderId="45" xfId="0" applyFont="1" applyFill="1" applyBorder="1" applyAlignment="1">
      <alignment horizontal="center"/>
    </xf>
    <xf numFmtId="2" fontId="0" fillId="11" borderId="0" xfId="0" applyNumberFormat="1" applyFill="1" applyAlignment="1">
      <alignment horizontal="center"/>
    </xf>
    <xf numFmtId="0" fontId="49" fillId="23" borderId="110" xfId="0" applyFont="1" applyFill="1" applyBorder="1" applyAlignment="1">
      <alignment horizontal="center"/>
    </xf>
    <xf numFmtId="2" fontId="0" fillId="0" borderId="110" xfId="0" applyNumberFormat="1" applyBorder="1" applyAlignment="1">
      <alignment horizontal="center"/>
    </xf>
    <xf numFmtId="2" fontId="0" fillId="0" borderId="109" xfId="0" applyNumberFormat="1" applyBorder="1" applyAlignment="1">
      <alignment horizontal="center"/>
    </xf>
    <xf numFmtId="2" fontId="0" fillId="0" borderId="108" xfId="0" applyNumberFormat="1" applyBorder="1" applyAlignment="1">
      <alignment horizontal="center"/>
    </xf>
    <xf numFmtId="2" fontId="0" fillId="0" borderId="113" xfId="0" applyNumberFormat="1" applyBorder="1" applyAlignment="1">
      <alignment horizontal="center"/>
    </xf>
    <xf numFmtId="0" fontId="49" fillId="23" borderId="113" xfId="0" applyFont="1" applyFill="1" applyBorder="1" applyAlignment="1">
      <alignment horizontal="center"/>
    </xf>
    <xf numFmtId="2" fontId="0" fillId="0" borderId="45" xfId="0" applyNumberFormat="1" applyBorder="1" applyAlignment="1">
      <alignment horizontal="center"/>
    </xf>
    <xf numFmtId="2" fontId="0" fillId="0" borderId="44" xfId="0" applyNumberFormat="1" applyBorder="1" applyAlignment="1">
      <alignment horizontal="center"/>
    </xf>
    <xf numFmtId="0" fontId="49" fillId="0" borderId="0" xfId="0" applyFont="1" applyAlignment="1">
      <alignment vertical="center"/>
    </xf>
    <xf numFmtId="0" fontId="50" fillId="0" borderId="12" xfId="0" applyFont="1" applyBorder="1"/>
    <xf numFmtId="0" fontId="43" fillId="10" borderId="34" xfId="0" applyFont="1" applyFill="1" applyBorder="1" applyAlignment="1">
      <alignment horizontal="left"/>
    </xf>
    <xf numFmtId="0" fontId="43" fillId="10" borderId="36" xfId="0" applyFont="1" applyFill="1" applyBorder="1" applyAlignment="1">
      <alignment horizontal="left"/>
    </xf>
    <xf numFmtId="0" fontId="0" fillId="0" borderId="108" xfId="0" applyBorder="1"/>
    <xf numFmtId="0" fontId="49" fillId="23" borderId="0" xfId="0" applyFont="1" applyFill="1" applyAlignment="1">
      <alignment horizontal="center"/>
    </xf>
    <xf numFmtId="0" fontId="49" fillId="23" borderId="114" xfId="0" applyFont="1" applyFill="1" applyBorder="1" applyAlignment="1">
      <alignment horizontal="center"/>
    </xf>
    <xf numFmtId="2" fontId="1" fillId="0" borderId="45" xfId="0" applyNumberFormat="1" applyFont="1" applyBorder="1" applyAlignment="1">
      <alignment horizontal="center" vertical="center"/>
    </xf>
    <xf numFmtId="166" fontId="48" fillId="15" borderId="37" xfId="0" applyNumberFormat="1" applyFont="1" applyFill="1" applyBorder="1" applyAlignment="1">
      <alignment horizontal="center"/>
    </xf>
    <xf numFmtId="166" fontId="48" fillId="15" borderId="38" xfId="0" applyNumberFormat="1" applyFont="1" applyFill="1" applyBorder="1" applyAlignment="1">
      <alignment horizontal="center"/>
    </xf>
    <xf numFmtId="166" fontId="48" fillId="15" borderId="39" xfId="0" applyNumberFormat="1" applyFont="1" applyFill="1" applyBorder="1" applyAlignment="1">
      <alignment horizontal="center"/>
    </xf>
    <xf numFmtId="166" fontId="1" fillId="11" borderId="7" xfId="0" applyNumberFormat="1" applyFont="1" applyFill="1" applyBorder="1" applyAlignment="1">
      <alignment horizontal="center" wrapText="1"/>
    </xf>
    <xf numFmtId="166" fontId="1" fillId="11" borderId="8" xfId="0" applyNumberFormat="1" applyFont="1" applyFill="1" applyBorder="1" applyAlignment="1">
      <alignment horizontal="center" wrapText="1"/>
    </xf>
    <xf numFmtId="166" fontId="1" fillId="11" borderId="9" xfId="0" applyNumberFormat="1" applyFont="1" applyFill="1" applyBorder="1" applyAlignment="1">
      <alignment horizontal="center" wrapText="1"/>
    </xf>
    <xf numFmtId="166" fontId="1" fillId="11" borderId="10" xfId="0" applyNumberFormat="1" applyFont="1" applyFill="1" applyBorder="1" applyAlignment="1">
      <alignment horizontal="center" wrapText="1"/>
    </xf>
    <xf numFmtId="166" fontId="1" fillId="11" borderId="0" xfId="0" applyNumberFormat="1" applyFont="1" applyFill="1" applyAlignment="1">
      <alignment horizontal="center" wrapText="1"/>
    </xf>
    <xf numFmtId="166" fontId="1" fillId="11" borderId="11" xfId="0" applyNumberFormat="1" applyFont="1" applyFill="1" applyBorder="1" applyAlignment="1">
      <alignment horizontal="center" wrapText="1"/>
    </xf>
    <xf numFmtId="166" fontId="44" fillId="12" borderId="12" xfId="0" applyNumberFormat="1" applyFont="1" applyFill="1" applyBorder="1" applyAlignment="1">
      <alignment horizontal="center"/>
    </xf>
    <xf numFmtId="166" fontId="0" fillId="11" borderId="12" xfId="0" applyNumberFormat="1" applyFill="1" applyBorder="1" applyAlignment="1">
      <alignment horizontal="center"/>
    </xf>
    <xf numFmtId="2" fontId="0" fillId="0" borderId="12" xfId="0" applyNumberFormat="1" applyBorder="1" applyAlignment="1">
      <alignment horizontal="center" vertical="center"/>
    </xf>
    <xf numFmtId="0" fontId="6" fillId="22" borderId="12" xfId="0" applyFont="1" applyFill="1" applyBorder="1" applyAlignment="1">
      <alignment horizontal="center"/>
    </xf>
    <xf numFmtId="164" fontId="0" fillId="22" borderId="12" xfId="0" applyNumberFormat="1" applyFill="1" applyBorder="1" applyAlignment="1">
      <alignment horizontal="center"/>
    </xf>
    <xf numFmtId="0" fontId="1" fillId="22" borderId="12" xfId="0" applyFont="1" applyFill="1" applyBorder="1" applyAlignment="1">
      <alignment horizontal="center"/>
    </xf>
    <xf numFmtId="2" fontId="0" fillId="22" borderId="12" xfId="0" applyNumberFormat="1" applyFill="1" applyBorder="1" applyAlignment="1">
      <alignment horizontal="center"/>
    </xf>
    <xf numFmtId="166" fontId="0" fillId="22" borderId="12" xfId="0" applyNumberFormat="1" applyFill="1" applyBorder="1" applyAlignment="1">
      <alignment horizontal="center"/>
    </xf>
    <xf numFmtId="0" fontId="43" fillId="22" borderId="34" xfId="0" applyFont="1" applyFill="1" applyBorder="1" applyAlignment="1">
      <alignment horizontal="left"/>
    </xf>
    <xf numFmtId="0" fontId="43" fillId="22" borderId="36" xfId="0" applyFont="1" applyFill="1" applyBorder="1" applyAlignment="1">
      <alignment horizontal="left"/>
    </xf>
    <xf numFmtId="166" fontId="0" fillId="10" borderId="12" xfId="0" applyNumberFormat="1" applyFill="1" applyBorder="1" applyAlignment="1">
      <alignment horizontal="center"/>
    </xf>
    <xf numFmtId="0" fontId="5" fillId="10" borderId="0" xfId="0" applyFont="1" applyFill="1"/>
    <xf numFmtId="0" fontId="51" fillId="10" borderId="0" xfId="0" applyFont="1" applyFill="1"/>
    <xf numFmtId="0" fontId="1" fillId="10" borderId="47" xfId="0" applyFont="1" applyFill="1" applyBorder="1" applyAlignment="1">
      <alignment horizontal="center" vertical="center"/>
    </xf>
    <xf numFmtId="4" fontId="1" fillId="10" borderId="12" xfId="0" applyNumberFormat="1" applyFont="1" applyFill="1" applyBorder="1" applyAlignment="1">
      <alignment horizontal="center" vertical="center"/>
    </xf>
    <xf numFmtId="4" fontId="1" fillId="10" borderId="46" xfId="0" applyNumberFormat="1" applyFont="1" applyFill="1" applyBorder="1" applyAlignment="1">
      <alignment horizontal="center" vertical="center"/>
    </xf>
    <xf numFmtId="4" fontId="1" fillId="10" borderId="0" xfId="0" applyNumberFormat="1" applyFont="1" applyFill="1" applyAlignment="1">
      <alignment horizontal="center"/>
    </xf>
    <xf numFmtId="0" fontId="1" fillId="10" borderId="40" xfId="0" applyFont="1" applyFill="1" applyBorder="1" applyAlignment="1">
      <alignment horizontal="center" vertical="center"/>
    </xf>
    <xf numFmtId="4" fontId="1" fillId="10" borderId="50" xfId="0" applyNumberFormat="1" applyFont="1" applyFill="1" applyBorder="1" applyAlignment="1">
      <alignment horizontal="center" vertical="center"/>
    </xf>
    <xf numFmtId="0" fontId="1" fillId="10" borderId="0" xfId="0" applyFont="1" applyFill="1"/>
    <xf numFmtId="0" fontId="1" fillId="10" borderId="47" xfId="0" applyFont="1" applyFill="1" applyBorder="1" applyAlignment="1">
      <alignment horizontal="center"/>
    </xf>
    <xf numFmtId="4" fontId="1" fillId="16" borderId="12" xfId="0" applyNumberFormat="1" applyFont="1" applyFill="1" applyBorder="1" applyAlignment="1">
      <alignment horizontal="center"/>
    </xf>
    <xf numFmtId="2" fontId="17" fillId="16" borderId="12" xfId="3" applyNumberFormat="1" applyFont="1" applyFill="1" applyBorder="1" applyAlignment="1">
      <alignment horizontal="center" vertical="center"/>
    </xf>
    <xf numFmtId="0" fontId="16" fillId="16" borderId="12" xfId="3" applyFont="1" applyFill="1" applyBorder="1" applyAlignment="1">
      <alignment horizontal="center"/>
    </xf>
    <xf numFmtId="0" fontId="1" fillId="16" borderId="12" xfId="0" applyFont="1" applyFill="1" applyBorder="1" applyAlignment="1">
      <alignment horizontal="center"/>
    </xf>
    <xf numFmtId="2" fontId="5" fillId="16" borderId="12" xfId="0" applyNumberFormat="1" applyFont="1" applyFill="1" applyBorder="1" applyAlignment="1">
      <alignment horizontal="center"/>
    </xf>
    <xf numFmtId="2" fontId="0" fillId="22" borderId="109" xfId="0" applyNumberFormat="1" applyFill="1" applyBorder="1" applyAlignment="1">
      <alignment horizontal="center"/>
    </xf>
    <xf numFmtId="2" fontId="0" fillId="10" borderId="109" xfId="0" applyNumberFormat="1" applyFill="1" applyBorder="1" applyAlignment="1">
      <alignment horizontal="center"/>
    </xf>
    <xf numFmtId="0" fontId="4" fillId="22" borderId="34" xfId="0" applyFont="1" applyFill="1" applyBorder="1" applyAlignment="1">
      <alignment horizontal="left"/>
    </xf>
    <xf numFmtId="0" fontId="4" fillId="0" borderId="12" xfId="0" applyFont="1" applyBorder="1"/>
    <xf numFmtId="0" fontId="4" fillId="0" borderId="4" xfId="0" applyFont="1" applyBorder="1"/>
    <xf numFmtId="0" fontId="4" fillId="0" borderId="33" xfId="0" applyFont="1" applyBorder="1"/>
    <xf numFmtId="0" fontId="4" fillId="22" borderId="2" xfId="0" applyFont="1" applyFill="1" applyBorder="1"/>
    <xf numFmtId="0" fontId="4" fillId="22" borderId="31" xfId="0" applyFont="1" applyFill="1" applyBorder="1"/>
    <xf numFmtId="0" fontId="4" fillId="22" borderId="1" xfId="0" applyFont="1" applyFill="1" applyBorder="1"/>
    <xf numFmtId="0" fontId="4" fillId="22" borderId="5" xfId="0" applyFont="1" applyFill="1" applyBorder="1"/>
    <xf numFmtId="0" fontId="0" fillId="11" borderId="0" xfId="0" applyFill="1"/>
    <xf numFmtId="0" fontId="52" fillId="11" borderId="0" xfId="0" applyFont="1" applyFill="1"/>
    <xf numFmtId="2" fontId="0" fillId="22" borderId="12" xfId="0" applyNumberFormat="1" applyFill="1" applyBorder="1" applyAlignment="1">
      <alignment horizontal="center" vertical="center"/>
    </xf>
    <xf numFmtId="2" fontId="42" fillId="13" borderId="12" xfId="0" applyNumberFormat="1" applyFont="1" applyFill="1" applyBorder="1" applyAlignment="1">
      <alignment horizontal="center"/>
    </xf>
    <xf numFmtId="0" fontId="6" fillId="14" borderId="12" xfId="0" applyFont="1" applyFill="1" applyBorder="1" applyAlignment="1">
      <alignment horizontal="center"/>
    </xf>
    <xf numFmtId="2" fontId="0" fillId="14" borderId="12" xfId="0" applyNumberFormat="1" applyFill="1" applyBorder="1" applyAlignment="1">
      <alignment horizontal="center"/>
    </xf>
    <xf numFmtId="166" fontId="0" fillId="14" borderId="12" xfId="0" applyNumberFormat="1" applyFill="1" applyBorder="1" applyAlignment="1">
      <alignment horizontal="center"/>
    </xf>
    <xf numFmtId="0" fontId="4" fillId="14" borderId="1" xfId="0" applyFont="1" applyFill="1" applyBorder="1" applyAlignment="1">
      <alignment horizontal="center" vertical="center"/>
    </xf>
    <xf numFmtId="2" fontId="0" fillId="15" borderId="12" xfId="0" applyNumberFormat="1" applyFill="1" applyBorder="1" applyAlignment="1">
      <alignment horizontal="center"/>
    </xf>
    <xf numFmtId="0" fontId="4" fillId="14" borderId="5" xfId="0" applyFont="1" applyFill="1" applyBorder="1" applyAlignment="1">
      <alignment horizontal="center" vertical="center"/>
    </xf>
    <xf numFmtId="4" fontId="1" fillId="11" borderId="12" xfId="0" applyNumberFormat="1" applyFont="1" applyFill="1" applyBorder="1" applyAlignment="1">
      <alignment horizontal="center"/>
    </xf>
    <xf numFmtId="2" fontId="17" fillId="11" borderId="12" xfId="3" applyNumberFormat="1" applyFont="1" applyFill="1" applyBorder="1" applyAlignment="1">
      <alignment horizontal="center" vertical="center"/>
    </xf>
    <xf numFmtId="0" fontId="16" fillId="11" borderId="12" xfId="3" applyFont="1" applyFill="1" applyBorder="1" applyAlignment="1">
      <alignment horizontal="center"/>
    </xf>
    <xf numFmtId="0" fontId="1" fillId="11" borderId="12" xfId="0" applyFont="1" applyFill="1" applyBorder="1" applyAlignment="1">
      <alignment horizontal="center"/>
    </xf>
    <xf numFmtId="2" fontId="5" fillId="11" borderId="12" xfId="0" applyNumberFormat="1" applyFont="1" applyFill="1" applyBorder="1" applyAlignment="1">
      <alignment horizontal="center"/>
    </xf>
    <xf numFmtId="0" fontId="4" fillId="10" borderId="34" xfId="0" applyFont="1" applyFill="1" applyBorder="1" applyAlignment="1">
      <alignment horizontal="left"/>
    </xf>
    <xf numFmtId="0" fontId="4" fillId="10" borderId="36" xfId="0" applyFont="1" applyFill="1" applyBorder="1" applyAlignment="1">
      <alignment horizontal="left"/>
    </xf>
    <xf numFmtId="0" fontId="4" fillId="0" borderId="8" xfId="0" applyFont="1" applyBorder="1" applyAlignment="1">
      <alignment horizontal="left"/>
    </xf>
    <xf numFmtId="0" fontId="6" fillId="0" borderId="34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3" fillId="10" borderId="12" xfId="0" applyFont="1" applyFill="1" applyBorder="1" applyAlignment="1">
      <alignment horizontal="left"/>
    </xf>
    <xf numFmtId="0" fontId="4" fillId="0" borderId="12" xfId="0" applyFont="1" applyBorder="1" applyAlignment="1">
      <alignment horizontal="left"/>
    </xf>
    <xf numFmtId="164" fontId="1" fillId="11" borderId="37" xfId="0" applyNumberFormat="1" applyFont="1" applyFill="1" applyBorder="1" applyAlignment="1">
      <alignment horizontal="left"/>
    </xf>
    <xf numFmtId="164" fontId="1" fillId="11" borderId="38" xfId="0" applyNumberFormat="1" applyFont="1" applyFill="1" applyBorder="1" applyAlignment="1">
      <alignment horizontal="left"/>
    </xf>
    <xf numFmtId="164" fontId="1" fillId="11" borderId="57" xfId="0" applyNumberFormat="1" applyFont="1" applyFill="1" applyBorder="1" applyAlignment="1">
      <alignment horizontal="left"/>
    </xf>
    <xf numFmtId="0" fontId="32" fillId="15" borderId="37" xfId="0" applyFont="1" applyFill="1" applyBorder="1" applyAlignment="1">
      <alignment horizontal="center" vertical="center" wrapText="1"/>
    </xf>
    <xf numFmtId="0" fontId="32" fillId="15" borderId="38" xfId="0" applyFont="1" applyFill="1" applyBorder="1" applyAlignment="1">
      <alignment horizontal="center" vertical="center" wrapText="1"/>
    </xf>
    <xf numFmtId="0" fontId="32" fillId="15" borderId="57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43" fillId="10" borderId="34" xfId="0" applyFont="1" applyFill="1" applyBorder="1" applyAlignment="1">
      <alignment horizontal="left"/>
    </xf>
    <xf numFmtId="0" fontId="43" fillId="10" borderId="36" xfId="0" applyFont="1" applyFill="1" applyBorder="1" applyAlignment="1">
      <alignment horizontal="left"/>
    </xf>
    <xf numFmtId="0" fontId="43" fillId="0" borderId="69" xfId="0" applyFont="1" applyBorder="1" applyAlignment="1">
      <alignment horizontal="left"/>
    </xf>
    <xf numFmtId="0" fontId="43" fillId="0" borderId="68" xfId="0" applyFont="1" applyBorder="1" applyAlignment="1">
      <alignment horizontal="left"/>
    </xf>
    <xf numFmtId="0" fontId="32" fillId="12" borderId="48" xfId="0" applyFont="1" applyFill="1" applyBorder="1" applyAlignment="1">
      <alignment horizontal="center" vertical="center" wrapText="1"/>
    </xf>
    <xf numFmtId="0" fontId="32" fillId="12" borderId="49" xfId="0" applyFont="1" applyFill="1" applyBorder="1" applyAlignment="1">
      <alignment horizontal="center" vertical="center" wrapText="1"/>
    </xf>
    <xf numFmtId="0" fontId="32" fillId="12" borderId="44" xfId="0" applyFont="1" applyFill="1" applyBorder="1" applyAlignment="1">
      <alignment horizontal="center" vertical="center" wrapText="1"/>
    </xf>
    <xf numFmtId="164" fontId="1" fillId="11" borderId="7" xfId="0" applyNumberFormat="1" applyFont="1" applyFill="1" applyBorder="1" applyAlignment="1">
      <alignment horizontal="left"/>
    </xf>
    <xf numFmtId="164" fontId="1" fillId="11" borderId="8" xfId="0" applyNumberFormat="1" applyFont="1" applyFill="1" applyBorder="1" applyAlignment="1">
      <alignment horizontal="left"/>
    </xf>
    <xf numFmtId="164" fontId="1" fillId="11" borderId="58" xfId="0" applyNumberFormat="1" applyFont="1" applyFill="1" applyBorder="1" applyAlignment="1">
      <alignment horizontal="left"/>
    </xf>
    <xf numFmtId="0" fontId="33" fillId="12" borderId="12" xfId="0" applyFont="1" applyFill="1" applyBorder="1" applyAlignment="1">
      <alignment horizontal="center" vertical="center" wrapText="1"/>
    </xf>
    <xf numFmtId="0" fontId="43" fillId="0" borderId="34" xfId="0" applyFont="1" applyBorder="1" applyAlignment="1">
      <alignment horizontal="left"/>
    </xf>
    <xf numFmtId="0" fontId="43" fillId="0" borderId="36" xfId="0" applyFont="1" applyBorder="1" applyAlignment="1">
      <alignment horizontal="left"/>
    </xf>
    <xf numFmtId="0" fontId="4" fillId="10" borderId="12" xfId="0" applyFont="1" applyFill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4" fillId="0" borderId="36" xfId="0" applyFont="1" applyBorder="1" applyAlignment="1">
      <alignment horizontal="left"/>
    </xf>
    <xf numFmtId="0" fontId="13" fillId="0" borderId="28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13" borderId="1" xfId="0" applyFont="1" applyFill="1" applyBorder="1" applyAlignment="1">
      <alignment horizontal="center" vertical="center"/>
    </xf>
    <xf numFmtId="0" fontId="13" fillId="13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2" fillId="12" borderId="2" xfId="0" applyFont="1" applyFill="1" applyBorder="1" applyAlignment="1">
      <alignment horizontal="center" vertical="center"/>
    </xf>
    <xf numFmtId="0" fontId="32" fillId="12" borderId="31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/>
    </xf>
    <xf numFmtId="0" fontId="13" fillId="13" borderId="4" xfId="0" applyFont="1" applyFill="1" applyBorder="1" applyAlignment="1">
      <alignment horizontal="center" vertical="center"/>
    </xf>
    <xf numFmtId="0" fontId="13" fillId="13" borderId="33" xfId="0" applyFont="1" applyFill="1" applyBorder="1" applyAlignment="1">
      <alignment horizontal="center" vertical="center"/>
    </xf>
    <xf numFmtId="2" fontId="0" fillId="10" borderId="10" xfId="0" applyNumberFormat="1" applyFill="1" applyBorder="1" applyAlignment="1">
      <alignment horizontal="center"/>
    </xf>
    <xf numFmtId="2" fontId="0" fillId="10" borderId="0" xfId="0" applyNumberFormat="1" applyFill="1" applyAlignment="1">
      <alignment horizontal="center"/>
    </xf>
    <xf numFmtId="0" fontId="4" fillId="11" borderId="27" xfId="0" applyFont="1" applyFill="1" applyBorder="1" applyAlignment="1">
      <alignment horizontal="center"/>
    </xf>
    <xf numFmtId="2" fontId="4" fillId="0" borderId="34" xfId="0" applyNumberFormat="1" applyFont="1" applyBorder="1" applyAlignment="1">
      <alignment horizontal="center"/>
    </xf>
    <xf numFmtId="2" fontId="4" fillId="0" borderId="36" xfId="0" applyNumberFormat="1" applyFont="1" applyBorder="1" applyAlignment="1">
      <alignment horizontal="center"/>
    </xf>
    <xf numFmtId="1" fontId="4" fillId="0" borderId="34" xfId="0" applyNumberFormat="1" applyFont="1" applyBorder="1" applyAlignment="1">
      <alignment horizontal="center"/>
    </xf>
    <xf numFmtId="1" fontId="4" fillId="0" borderId="36" xfId="0" applyNumberFormat="1" applyFont="1" applyBorder="1" applyAlignment="1">
      <alignment horizontal="center"/>
    </xf>
    <xf numFmtId="167" fontId="4" fillId="0" borderId="34" xfId="0" applyNumberFormat="1" applyFont="1" applyBorder="1" applyAlignment="1">
      <alignment horizontal="center"/>
    </xf>
    <xf numFmtId="167" fontId="4" fillId="0" borderId="36" xfId="0" applyNumberFormat="1" applyFont="1" applyBorder="1" applyAlignment="1">
      <alignment horizontal="center"/>
    </xf>
    <xf numFmtId="165" fontId="4" fillId="0" borderId="34" xfId="0" applyNumberFormat="1" applyFont="1" applyBorder="1" applyAlignment="1">
      <alignment horizontal="center"/>
    </xf>
    <xf numFmtId="165" fontId="4" fillId="0" borderId="36" xfId="0" applyNumberFormat="1" applyFont="1" applyBorder="1" applyAlignment="1">
      <alignment horizontal="center"/>
    </xf>
    <xf numFmtId="0" fontId="4" fillId="22" borderId="12" xfId="0" applyFont="1" applyFill="1" applyBorder="1" applyAlignment="1">
      <alignment horizontal="left"/>
    </xf>
    <xf numFmtId="0" fontId="4" fillId="0" borderId="12" xfId="0" applyFont="1" applyBorder="1" applyAlignment="1">
      <alignment horizontal="center" vertical="center"/>
    </xf>
    <xf numFmtId="0" fontId="13" fillId="13" borderId="3" xfId="0" applyFont="1" applyFill="1" applyBorder="1" applyAlignment="1">
      <alignment horizontal="center" vertical="center"/>
    </xf>
    <xf numFmtId="0" fontId="4" fillId="22" borderId="55" xfId="0" applyFont="1" applyFill="1" applyBorder="1" applyAlignment="1">
      <alignment horizontal="center" wrapText="1"/>
    </xf>
    <xf numFmtId="0" fontId="4" fillId="22" borderId="8" xfId="0" applyFont="1" applyFill="1" applyBorder="1" applyAlignment="1">
      <alignment horizontal="center" wrapText="1"/>
    </xf>
    <xf numFmtId="0" fontId="4" fillId="22" borderId="1" xfId="0" applyFont="1" applyFill="1" applyBorder="1" applyAlignment="1">
      <alignment horizontal="center" wrapText="1"/>
    </xf>
    <xf numFmtId="0" fontId="4" fillId="22" borderId="0" xfId="0" applyFont="1" applyFill="1" applyAlignment="1">
      <alignment horizontal="center" wrapText="1"/>
    </xf>
    <xf numFmtId="0" fontId="4" fillId="22" borderId="56" xfId="0" applyFont="1" applyFill="1" applyBorder="1" applyAlignment="1">
      <alignment horizontal="center" wrapText="1"/>
    </xf>
    <xf numFmtId="0" fontId="4" fillId="22" borderId="38" xfId="0" applyFont="1" applyFill="1" applyBorder="1" applyAlignment="1">
      <alignment horizontal="center" wrapText="1"/>
    </xf>
    <xf numFmtId="0" fontId="45" fillId="14" borderId="7" xfId="0" applyFont="1" applyFill="1" applyBorder="1" applyAlignment="1">
      <alignment horizontal="center"/>
    </xf>
    <xf numFmtId="0" fontId="45" fillId="14" borderId="9" xfId="0" applyFont="1" applyFill="1" applyBorder="1" applyAlignment="1">
      <alignment horizontal="center"/>
    </xf>
    <xf numFmtId="0" fontId="45" fillId="14" borderId="37" xfId="0" applyFont="1" applyFill="1" applyBorder="1" applyAlignment="1">
      <alignment horizontal="center"/>
    </xf>
    <xf numFmtId="0" fontId="45" fillId="14" borderId="39" xfId="0" applyFont="1" applyFill="1" applyBorder="1" applyAlignment="1">
      <alignment horizontal="center"/>
    </xf>
    <xf numFmtId="0" fontId="46" fillId="12" borderId="12" xfId="0" applyFont="1" applyFill="1" applyBorder="1" applyAlignment="1">
      <alignment horizontal="center" vertical="center" wrapText="1"/>
    </xf>
    <xf numFmtId="0" fontId="46" fillId="12" borderId="12" xfId="0" applyFont="1" applyFill="1" applyBorder="1" applyAlignment="1">
      <alignment horizontal="center" vertical="center" textRotation="90" wrapText="1"/>
    </xf>
    <xf numFmtId="1" fontId="47" fillId="13" borderId="12" xfId="0" applyNumberFormat="1" applyFont="1" applyFill="1" applyBorder="1" applyAlignment="1">
      <alignment horizontal="left"/>
    </xf>
    <xf numFmtId="1" fontId="13" fillId="13" borderId="12" xfId="0" applyNumberFormat="1" applyFont="1" applyFill="1" applyBorder="1" applyAlignment="1">
      <alignment horizontal="left"/>
    </xf>
    <xf numFmtId="0" fontId="13" fillId="13" borderId="26" xfId="0" applyFont="1" applyFill="1" applyBorder="1" applyAlignment="1">
      <alignment horizontal="center" vertical="center"/>
    </xf>
    <xf numFmtId="0" fontId="13" fillId="11" borderId="12" xfId="0" applyFont="1" applyFill="1" applyBorder="1" applyAlignment="1">
      <alignment horizontal="center" vertical="center" textRotation="90" wrapText="1"/>
    </xf>
    <xf numFmtId="1" fontId="13" fillId="11" borderId="12" xfId="0" applyNumberFormat="1" applyFont="1" applyFill="1" applyBorder="1" applyAlignment="1">
      <alignment horizontal="left"/>
    </xf>
    <xf numFmtId="1" fontId="13" fillId="11" borderId="34" xfId="0" applyNumberFormat="1" applyFont="1" applyFill="1" applyBorder="1" applyAlignment="1">
      <alignment horizontal="left"/>
    </xf>
    <xf numFmtId="1" fontId="13" fillId="11" borderId="36" xfId="0" applyNumberFormat="1" applyFont="1" applyFill="1" applyBorder="1" applyAlignment="1">
      <alignment horizontal="left"/>
    </xf>
    <xf numFmtId="0" fontId="4" fillId="11" borderId="26" xfId="0" applyFont="1" applyFill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0" fillId="0" borderId="36" xfId="0" applyNumberFormat="1" applyBorder="1" applyAlignment="1">
      <alignment horizontal="center"/>
    </xf>
    <xf numFmtId="0" fontId="43" fillId="0" borderId="12" xfId="0" applyFont="1" applyBorder="1" applyAlignment="1">
      <alignment horizontal="left"/>
    </xf>
    <xf numFmtId="0" fontId="4" fillId="11" borderId="12" xfId="0" applyFont="1" applyFill="1" applyBorder="1" applyAlignment="1">
      <alignment horizontal="center" vertical="center" textRotation="90" wrapText="1"/>
    </xf>
    <xf numFmtId="164" fontId="1" fillId="11" borderId="12" xfId="0" applyNumberFormat="1" applyFont="1" applyFill="1" applyBorder="1" applyAlignment="1">
      <alignment horizontal="left"/>
    </xf>
    <xf numFmtId="0" fontId="45" fillId="11" borderId="7" xfId="0" applyFont="1" applyFill="1" applyBorder="1" applyAlignment="1">
      <alignment horizontal="center" vertical="center" wrapText="1"/>
    </xf>
    <xf numFmtId="0" fontId="45" fillId="11" borderId="9" xfId="0" applyFont="1" applyFill="1" applyBorder="1" applyAlignment="1">
      <alignment horizontal="center" vertical="center" wrapText="1"/>
    </xf>
    <xf numFmtId="0" fontId="45" fillId="11" borderId="10" xfId="0" applyFont="1" applyFill="1" applyBorder="1" applyAlignment="1">
      <alignment horizontal="center" vertical="center" wrapText="1"/>
    </xf>
    <xf numFmtId="0" fontId="45" fillId="11" borderId="11" xfId="0" applyFont="1" applyFill="1" applyBorder="1" applyAlignment="1">
      <alignment horizontal="center" vertical="center" wrapText="1"/>
    </xf>
    <xf numFmtId="164" fontId="32" fillId="12" borderId="12" xfId="0" applyNumberFormat="1" applyFont="1" applyFill="1" applyBorder="1" applyAlignment="1">
      <alignment horizontal="left"/>
    </xf>
    <xf numFmtId="0" fontId="43" fillId="11" borderId="10" xfId="0" applyFont="1" applyFill="1" applyBorder="1" applyAlignment="1">
      <alignment horizontal="center" vertical="center" wrapText="1"/>
    </xf>
    <xf numFmtId="0" fontId="43" fillId="11" borderId="11" xfId="0" applyFont="1" applyFill="1" applyBorder="1" applyAlignment="1">
      <alignment horizontal="center" vertical="center" wrapText="1"/>
    </xf>
    <xf numFmtId="0" fontId="45" fillId="11" borderId="10" xfId="0" applyFont="1" applyFill="1" applyBorder="1" applyAlignment="1">
      <alignment horizontal="center" vertical="center"/>
    </xf>
    <xf numFmtId="0" fontId="45" fillId="11" borderId="11" xfId="0" applyFont="1" applyFill="1" applyBorder="1" applyAlignment="1">
      <alignment horizontal="center" vertical="center"/>
    </xf>
    <xf numFmtId="0" fontId="45" fillId="11" borderId="37" xfId="0" applyFont="1" applyFill="1" applyBorder="1" applyAlignment="1">
      <alignment horizontal="center" vertical="center" wrapText="1"/>
    </xf>
    <xf numFmtId="0" fontId="45" fillId="11" borderId="39" xfId="0" applyFont="1" applyFill="1" applyBorder="1" applyAlignment="1">
      <alignment horizontal="center" vertical="center" wrapText="1"/>
    </xf>
    <xf numFmtId="0" fontId="4" fillId="10" borderId="34" xfId="0" applyFont="1" applyFill="1" applyBorder="1" applyAlignment="1">
      <alignment horizontal="center" wrapText="1"/>
    </xf>
    <xf numFmtId="0" fontId="4" fillId="10" borderId="36" xfId="0" applyFont="1" applyFill="1" applyBorder="1" applyAlignment="1">
      <alignment horizontal="center" wrapText="1"/>
    </xf>
    <xf numFmtId="0" fontId="4" fillId="10" borderId="34" xfId="0" applyFont="1" applyFill="1" applyBorder="1" applyAlignment="1">
      <alignment horizontal="center"/>
    </xf>
    <xf numFmtId="0" fontId="4" fillId="10" borderId="36" xfId="0" applyFont="1" applyFill="1" applyBorder="1" applyAlignment="1">
      <alignment horizontal="center"/>
    </xf>
    <xf numFmtId="0" fontId="4" fillId="17" borderId="48" xfId="0" applyFont="1" applyFill="1" applyBorder="1" applyAlignment="1">
      <alignment horizontal="center" vertical="center" wrapText="1"/>
    </xf>
    <xf numFmtId="0" fontId="4" fillId="17" borderId="44" xfId="0" applyFont="1" applyFill="1" applyBorder="1" applyAlignment="1">
      <alignment horizontal="center" vertical="center" wrapText="1"/>
    </xf>
    <xf numFmtId="0" fontId="1" fillId="20" borderId="59" xfId="0" applyFont="1" applyFill="1" applyBorder="1" applyAlignment="1">
      <alignment horizontal="center"/>
    </xf>
    <xf numFmtId="0" fontId="1" fillId="20" borderId="60" xfId="0" applyFont="1" applyFill="1" applyBorder="1" applyAlignment="1">
      <alignment horizontal="center"/>
    </xf>
    <xf numFmtId="0" fontId="1" fillId="20" borderId="61" xfId="0" applyFont="1" applyFill="1" applyBorder="1" applyAlignment="1">
      <alignment horizontal="center"/>
    </xf>
    <xf numFmtId="2" fontId="21" fillId="0" borderId="59" xfId="2" applyNumberFormat="1" applyFont="1" applyBorder="1" applyAlignment="1">
      <alignment horizontal="center"/>
    </xf>
    <xf numFmtId="2" fontId="21" fillId="0" borderId="60" xfId="2" applyNumberFormat="1" applyFont="1" applyBorder="1" applyAlignment="1">
      <alignment horizontal="center"/>
    </xf>
    <xf numFmtId="2" fontId="21" fillId="0" borderId="62" xfId="2" applyNumberFormat="1" applyFont="1" applyBorder="1" applyAlignment="1">
      <alignment horizontal="center"/>
    </xf>
    <xf numFmtId="0" fontId="14" fillId="0" borderId="63" xfId="2" applyFont="1" applyBorder="1"/>
    <xf numFmtId="0" fontId="14" fillId="0" borderId="60" xfId="2" applyFont="1" applyBorder="1"/>
    <xf numFmtId="0" fontId="14" fillId="0" borderId="61" xfId="2" applyFont="1" applyBorder="1"/>
    <xf numFmtId="4" fontId="21" fillId="0" borderId="64" xfId="2" applyNumberFormat="1" applyFont="1" applyBorder="1" applyAlignment="1">
      <alignment horizontal="center"/>
    </xf>
    <xf numFmtId="4" fontId="21" fillId="0" borderId="35" xfId="2" applyNumberFormat="1" applyFont="1" applyBorder="1" applyAlignment="1">
      <alignment horizontal="center"/>
    </xf>
    <xf numFmtId="4" fontId="21" fillId="0" borderId="36" xfId="2" applyNumberFormat="1" applyFont="1" applyBorder="1" applyAlignment="1">
      <alignment horizontal="center"/>
    </xf>
    <xf numFmtId="0" fontId="14" fillId="0" borderId="34" xfId="2" applyFont="1" applyBorder="1"/>
    <xf numFmtId="0" fontId="14" fillId="0" borderId="35" xfId="2" applyFont="1" applyBorder="1"/>
    <xf numFmtId="0" fontId="14" fillId="0" borderId="65" xfId="2" applyFont="1" applyBorder="1"/>
    <xf numFmtId="2" fontId="21" fillId="0" borderId="64" xfId="2" applyNumberFormat="1" applyFont="1" applyBorder="1" applyAlignment="1">
      <alignment horizontal="center"/>
    </xf>
    <xf numFmtId="2" fontId="21" fillId="0" borderId="35" xfId="2" applyNumberFormat="1" applyFont="1" applyBorder="1" applyAlignment="1">
      <alignment horizontal="center"/>
    </xf>
    <xf numFmtId="2" fontId="21" fillId="0" borderId="36" xfId="2" applyNumberFormat="1" applyFont="1" applyBorder="1" applyAlignment="1">
      <alignment horizontal="center"/>
    </xf>
    <xf numFmtId="2" fontId="18" fillId="0" borderId="66" xfId="2" applyNumberFormat="1" applyFont="1" applyBorder="1" applyAlignment="1">
      <alignment horizontal="center"/>
    </xf>
    <xf numFmtId="2" fontId="18" fillId="0" borderId="67" xfId="2" applyNumberFormat="1" applyFont="1" applyBorder="1" applyAlignment="1">
      <alignment horizontal="center"/>
    </xf>
    <xf numFmtId="2" fontId="18" fillId="0" borderId="68" xfId="2" applyNumberFormat="1" applyFont="1" applyBorder="1" applyAlignment="1">
      <alignment horizontal="center"/>
    </xf>
    <xf numFmtId="0" fontId="20" fillId="0" borderId="69" xfId="2" applyFont="1" applyBorder="1"/>
    <xf numFmtId="0" fontId="20" fillId="0" borderId="67" xfId="2" applyFont="1" applyBorder="1"/>
    <xf numFmtId="0" fontId="20" fillId="0" borderId="70" xfId="2" applyFont="1" applyBorder="1"/>
    <xf numFmtId="2" fontId="21" fillId="0" borderId="63" xfId="2" applyNumberFormat="1" applyFont="1" applyBorder="1" applyAlignment="1" applyProtection="1">
      <alignment horizontal="center"/>
      <protection locked="0"/>
    </xf>
    <xf numFmtId="2" fontId="21" fillId="0" borderId="60" xfId="2" applyNumberFormat="1" applyFont="1" applyBorder="1" applyAlignment="1" applyProtection="1">
      <alignment horizontal="center"/>
      <protection locked="0"/>
    </xf>
    <xf numFmtId="2" fontId="21" fillId="0" borderId="62" xfId="2" applyNumberFormat="1" applyFont="1" applyBorder="1" applyAlignment="1" applyProtection="1">
      <alignment horizontal="center"/>
      <protection locked="0"/>
    </xf>
    <xf numFmtId="0" fontId="22" fillId="0" borderId="63" xfId="2" applyFont="1" applyBorder="1"/>
    <xf numFmtId="0" fontId="22" fillId="0" borderId="60" xfId="2" applyFont="1" applyBorder="1"/>
    <xf numFmtId="0" fontId="22" fillId="0" borderId="62" xfId="2" applyFont="1" applyBorder="1"/>
    <xf numFmtId="2" fontId="21" fillId="0" borderId="34" xfId="2" applyNumberFormat="1" applyFont="1" applyBorder="1" applyAlignment="1">
      <alignment horizontal="center"/>
    </xf>
    <xf numFmtId="0" fontId="22" fillId="0" borderId="34" xfId="2" applyFont="1" applyBorder="1"/>
    <xf numFmtId="0" fontId="22" fillId="0" borderId="35" xfId="2" applyFont="1" applyBorder="1"/>
    <xf numFmtId="0" fontId="22" fillId="0" borderId="36" xfId="2" applyFont="1" applyBorder="1"/>
    <xf numFmtId="2" fontId="49" fillId="23" borderId="28" xfId="0" applyNumberFormat="1" applyFont="1" applyFill="1" applyBorder="1" applyAlignment="1">
      <alignment horizontal="center"/>
    </xf>
    <xf numFmtId="2" fontId="49" fillId="23" borderId="29" xfId="0" applyNumberFormat="1" applyFont="1" applyFill="1" applyBorder="1" applyAlignment="1">
      <alignment horizontal="center"/>
    </xf>
    <xf numFmtId="2" fontId="49" fillId="23" borderId="30" xfId="0" applyNumberFormat="1" applyFont="1" applyFill="1" applyBorder="1" applyAlignment="1">
      <alignment horizontal="center"/>
    </xf>
    <xf numFmtId="0" fontId="49" fillId="0" borderId="0" xfId="0" applyFont="1" applyAlignment="1">
      <alignment horizontal="center"/>
    </xf>
    <xf numFmtId="0" fontId="49" fillId="24" borderId="28" xfId="0" applyFont="1" applyFill="1" applyBorder="1" applyAlignment="1">
      <alignment horizontal="center" vertical="center"/>
    </xf>
    <xf numFmtId="0" fontId="49" fillId="24" borderId="30" xfId="0" applyFont="1" applyFill="1" applyBorder="1" applyAlignment="1">
      <alignment horizontal="center" vertical="center"/>
    </xf>
    <xf numFmtId="2" fontId="49" fillId="23" borderId="48" xfId="0" applyNumberFormat="1" applyFont="1" applyFill="1" applyBorder="1" applyAlignment="1">
      <alignment horizontal="center" vertical="center" wrapText="1"/>
    </xf>
    <xf numFmtId="2" fontId="49" fillId="23" borderId="49" xfId="0" applyNumberFormat="1" applyFont="1" applyFill="1" applyBorder="1" applyAlignment="1">
      <alignment horizontal="center" vertical="center" wrapText="1"/>
    </xf>
    <xf numFmtId="2" fontId="49" fillId="23" borderId="44" xfId="0" applyNumberFormat="1" applyFont="1" applyFill="1" applyBorder="1" applyAlignment="1">
      <alignment horizontal="center" vertical="center" wrapText="1"/>
    </xf>
    <xf numFmtId="0" fontId="49" fillId="24" borderId="0" xfId="0" applyFont="1" applyFill="1" applyAlignment="1">
      <alignment horizontal="center" vertical="center"/>
    </xf>
    <xf numFmtId="2" fontId="49" fillId="23" borderId="7" xfId="0" applyNumberFormat="1" applyFont="1" applyFill="1" applyBorder="1" applyAlignment="1">
      <alignment horizontal="center" vertical="center" wrapText="1" shrinkToFit="1"/>
    </xf>
    <xf numFmtId="2" fontId="49" fillId="23" borderId="10" xfId="0" applyNumberFormat="1" applyFont="1" applyFill="1" applyBorder="1" applyAlignment="1">
      <alignment horizontal="center" vertical="center" wrapText="1" shrinkToFit="1"/>
    </xf>
    <xf numFmtId="2" fontId="49" fillId="23" borderId="37" xfId="0" applyNumberFormat="1" applyFont="1" applyFill="1" applyBorder="1" applyAlignment="1">
      <alignment horizontal="center" vertical="center" wrapText="1" shrinkToFit="1"/>
    </xf>
    <xf numFmtId="2" fontId="0" fillId="23" borderId="111" xfId="0" applyNumberFormat="1" applyFill="1" applyBorder="1" applyAlignment="1">
      <alignment horizontal="center"/>
    </xf>
    <xf numFmtId="2" fontId="0" fillId="23" borderId="112" xfId="0" applyNumberFormat="1" applyFill="1" applyBorder="1" applyAlignment="1">
      <alignment horizontal="center"/>
    </xf>
    <xf numFmtId="0" fontId="49" fillId="23" borderId="28" xfId="0" applyFont="1" applyFill="1" applyBorder="1" applyAlignment="1">
      <alignment horizontal="center"/>
    </xf>
    <xf numFmtId="0" fontId="49" fillId="23" borderId="29" xfId="0" applyFont="1" applyFill="1" applyBorder="1" applyAlignment="1">
      <alignment horizontal="center"/>
    </xf>
    <xf numFmtId="0" fontId="49" fillId="23" borderId="30" xfId="0" applyFont="1" applyFill="1" applyBorder="1" applyAlignment="1">
      <alignment horizontal="center"/>
    </xf>
    <xf numFmtId="2" fontId="49" fillId="23" borderId="10" xfId="0" applyNumberFormat="1" applyFont="1" applyFill="1" applyBorder="1" applyAlignment="1">
      <alignment horizontal="center"/>
    </xf>
    <xf numFmtId="2" fontId="49" fillId="23" borderId="0" xfId="0" applyNumberFormat="1" applyFont="1" applyFill="1" applyAlignment="1">
      <alignment horizontal="center"/>
    </xf>
    <xf numFmtId="0" fontId="50" fillId="21" borderId="10" xfId="0" applyFont="1" applyFill="1" applyBorder="1" applyAlignment="1">
      <alignment horizontal="center"/>
    </xf>
    <xf numFmtId="0" fontId="50" fillId="21" borderId="0" xfId="0" applyFont="1" applyFill="1" applyAlignment="1">
      <alignment horizontal="center"/>
    </xf>
    <xf numFmtId="0" fontId="49" fillId="5" borderId="28" xfId="0" applyFont="1" applyFill="1" applyBorder="1" applyAlignment="1">
      <alignment horizontal="center"/>
    </xf>
    <xf numFmtId="0" fontId="49" fillId="5" borderId="29" xfId="0" applyFont="1" applyFill="1" applyBorder="1" applyAlignment="1">
      <alignment horizontal="center"/>
    </xf>
    <xf numFmtId="0" fontId="49" fillId="5" borderId="30" xfId="0" applyFont="1" applyFill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0" fontId="49" fillId="24" borderId="29" xfId="0" applyFont="1" applyFill="1" applyBorder="1" applyAlignment="1">
      <alignment horizontal="center" vertical="center"/>
    </xf>
    <xf numFmtId="164" fontId="0" fillId="14" borderId="34" xfId="0" applyNumberFormat="1" applyFill="1" applyBorder="1" applyAlignment="1">
      <alignment horizontal="center"/>
    </xf>
    <xf numFmtId="164" fontId="0" fillId="14" borderId="35" xfId="0" applyNumberFormat="1" applyFill="1" applyBorder="1" applyAlignment="1">
      <alignment horizontal="center"/>
    </xf>
    <xf numFmtId="164" fontId="0" fillId="14" borderId="36" xfId="0" applyNumberFormat="1" applyFill="1" applyBorder="1" applyAlignment="1">
      <alignment horizontal="center"/>
    </xf>
  </cellXfs>
  <cellStyles count="4">
    <cellStyle name="Normal_2-9 Tubing spaceout" xfId="2" xr:uid="{ED7ED72B-733B-4F33-955E-752F71C0613F}"/>
    <cellStyle name="Normal_Spaceout calc_drw 7-4" xfId="3" xr:uid="{90E99761-CB28-419F-9E15-7C7E640420BD}"/>
    <cellStyle name="Обычный" xfId="0" builtinId="0"/>
    <cellStyle name="Финансовый" xfId="1" builtinId="3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2</xdr:row>
      <xdr:rowOff>0</xdr:rowOff>
    </xdr:from>
    <xdr:to>
      <xdr:col>2</xdr:col>
      <xdr:colOff>304800</xdr:colOff>
      <xdr:row>4</xdr:row>
      <xdr:rowOff>47625</xdr:rowOff>
    </xdr:to>
    <xdr:pic>
      <xdr:nvPicPr>
        <xdr:cNvPr id="44034" name="Picture 1">
          <a:extLst>
            <a:ext uri="{FF2B5EF4-FFF2-40B4-BE49-F238E27FC236}">
              <a16:creationId xmlns:a16="http://schemas.microsoft.com/office/drawing/2014/main" id="{4A8893A3-AF6F-1F6D-7935-5B27148AE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361950"/>
          <a:ext cx="5524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276225</xdr:colOff>
      <xdr:row>10</xdr:row>
      <xdr:rowOff>76200</xdr:rowOff>
    </xdr:from>
    <xdr:to>
      <xdr:col>19</xdr:col>
      <xdr:colOff>28575</xdr:colOff>
      <xdr:row>20</xdr:row>
      <xdr:rowOff>76654</xdr:rowOff>
    </xdr:to>
    <xdr:pic>
      <xdr:nvPicPr>
        <xdr:cNvPr id="44036" name="Picture 1">
          <a:extLst>
            <a:ext uri="{FF2B5EF4-FFF2-40B4-BE49-F238E27FC236}">
              <a16:creationId xmlns:a16="http://schemas.microsoft.com/office/drawing/2014/main" id="{4D428325-15E2-4E79-D728-4D92A4EB5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1952625"/>
          <a:ext cx="5934075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213540</xdr:colOff>
      <xdr:row>6</xdr:row>
      <xdr:rowOff>51672</xdr:rowOff>
    </xdr:from>
    <xdr:to>
      <xdr:col>27</xdr:col>
      <xdr:colOff>324081</xdr:colOff>
      <xdr:row>24</xdr:row>
      <xdr:rowOff>64747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A3D692-04D3-0BF6-8D2C-1B561BD2A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74867" y="1265477"/>
          <a:ext cx="6494259" cy="3148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</xdr:colOff>
      <xdr:row>19</xdr:row>
      <xdr:rowOff>81867</xdr:rowOff>
    </xdr:from>
    <xdr:to>
      <xdr:col>18</xdr:col>
      <xdr:colOff>55384</xdr:colOff>
      <xdr:row>21</xdr:row>
      <xdr:rowOff>81704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6F09B65-61B4-BED5-71EA-9523030182BA}"/>
            </a:ext>
          </a:extLst>
        </xdr:cNvPr>
        <xdr:cNvSpPr txBox="1">
          <a:spLocks noChangeArrowheads="1"/>
        </xdr:cNvSpPr>
      </xdr:nvSpPr>
      <xdr:spPr bwMode="auto">
        <a:xfrm>
          <a:off x="3495675" y="3852497"/>
          <a:ext cx="1169654" cy="408764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9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Position Locator NoGo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 ft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above PBR top</a:t>
          </a:r>
        </a:p>
      </xdr:txBody>
    </xdr:sp>
    <xdr:clientData/>
  </xdr:twoCellAnchor>
  <xdr:twoCellAnchor>
    <xdr:from>
      <xdr:col>12</xdr:col>
      <xdr:colOff>28575</xdr:colOff>
      <xdr:row>20</xdr:row>
      <xdr:rowOff>85725</xdr:rowOff>
    </xdr:from>
    <xdr:to>
      <xdr:col>15</xdr:col>
      <xdr:colOff>28575</xdr:colOff>
      <xdr:row>21</xdr:row>
      <xdr:rowOff>209550</xdr:rowOff>
    </xdr:to>
    <xdr:sp macro="" textlink="">
      <xdr:nvSpPr>
        <xdr:cNvPr id="43979" name="Line 2">
          <a:extLst>
            <a:ext uri="{FF2B5EF4-FFF2-40B4-BE49-F238E27FC236}">
              <a16:creationId xmlns:a16="http://schemas.microsoft.com/office/drawing/2014/main" id="{4FBF89C1-4048-716A-BCF5-550825984BAC}"/>
            </a:ext>
          </a:extLst>
        </xdr:cNvPr>
        <xdr:cNvSpPr>
          <a:spLocks noChangeShapeType="1"/>
        </xdr:cNvSpPr>
      </xdr:nvSpPr>
      <xdr:spPr bwMode="auto">
        <a:xfrm flipH="1">
          <a:off x="3105150" y="4076700"/>
          <a:ext cx="428625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28575</xdr:colOff>
      <xdr:row>45</xdr:row>
      <xdr:rowOff>85725</xdr:rowOff>
    </xdr:from>
    <xdr:to>
      <xdr:col>17</xdr:col>
      <xdr:colOff>361950</xdr:colOff>
      <xdr:row>45</xdr:row>
      <xdr:rowOff>85725</xdr:rowOff>
    </xdr:to>
    <xdr:sp macro="" textlink="">
      <xdr:nvSpPr>
        <xdr:cNvPr id="43980" name="Line 3">
          <a:extLst>
            <a:ext uri="{FF2B5EF4-FFF2-40B4-BE49-F238E27FC236}">
              <a16:creationId xmlns:a16="http://schemas.microsoft.com/office/drawing/2014/main" id="{DE71FE03-689F-96A1-9E79-2D2750BC9B3C}"/>
            </a:ext>
          </a:extLst>
        </xdr:cNvPr>
        <xdr:cNvSpPr>
          <a:spLocks noChangeShapeType="1"/>
        </xdr:cNvSpPr>
      </xdr:nvSpPr>
      <xdr:spPr bwMode="auto">
        <a:xfrm flipV="1">
          <a:off x="4324350" y="8905875"/>
          <a:ext cx="3333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428625</xdr:colOff>
      <xdr:row>46</xdr:row>
      <xdr:rowOff>104775</xdr:rowOff>
    </xdr:from>
    <xdr:to>
      <xdr:col>17</xdr:col>
      <xdr:colOff>333375</xdr:colOff>
      <xdr:row>49</xdr:row>
      <xdr:rowOff>57150</xdr:rowOff>
    </xdr:to>
    <xdr:sp macro="" textlink="">
      <xdr:nvSpPr>
        <xdr:cNvPr id="43981" name="Line 4">
          <a:extLst>
            <a:ext uri="{FF2B5EF4-FFF2-40B4-BE49-F238E27FC236}">
              <a16:creationId xmlns:a16="http://schemas.microsoft.com/office/drawing/2014/main" id="{3C481C2F-F230-B64F-E243-980B9CBBC67A}"/>
            </a:ext>
          </a:extLst>
        </xdr:cNvPr>
        <xdr:cNvSpPr>
          <a:spLocks noChangeShapeType="1"/>
        </xdr:cNvSpPr>
      </xdr:nvSpPr>
      <xdr:spPr bwMode="auto">
        <a:xfrm flipV="1">
          <a:off x="4295775" y="9086850"/>
          <a:ext cx="333375" cy="447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457200</xdr:colOff>
      <xdr:row>49</xdr:row>
      <xdr:rowOff>95250</xdr:rowOff>
    </xdr:from>
    <xdr:to>
      <xdr:col>31</xdr:col>
      <xdr:colOff>371475</xdr:colOff>
      <xdr:row>49</xdr:row>
      <xdr:rowOff>95250</xdr:rowOff>
    </xdr:to>
    <xdr:sp macro="" textlink="">
      <xdr:nvSpPr>
        <xdr:cNvPr id="43982" name="Line 6">
          <a:extLst>
            <a:ext uri="{FF2B5EF4-FFF2-40B4-BE49-F238E27FC236}">
              <a16:creationId xmlns:a16="http://schemas.microsoft.com/office/drawing/2014/main" id="{D3893409-D9E2-3ABE-2A0C-1FFF19A78468}"/>
            </a:ext>
          </a:extLst>
        </xdr:cNvPr>
        <xdr:cNvSpPr>
          <a:spLocks noChangeShapeType="1"/>
        </xdr:cNvSpPr>
      </xdr:nvSpPr>
      <xdr:spPr bwMode="auto">
        <a:xfrm flipH="1" flipV="1">
          <a:off x="7248525" y="9572625"/>
          <a:ext cx="4762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31</xdr:col>
      <xdr:colOff>342900</xdr:colOff>
      <xdr:row>37</xdr:row>
      <xdr:rowOff>9525</xdr:rowOff>
    </xdr:from>
    <xdr:to>
      <xdr:col>31</xdr:col>
      <xdr:colOff>342900</xdr:colOff>
      <xdr:row>49</xdr:row>
      <xdr:rowOff>95250</xdr:rowOff>
    </xdr:to>
    <xdr:sp macro="" textlink="">
      <xdr:nvSpPr>
        <xdr:cNvPr id="43983" name="Line 7">
          <a:extLst>
            <a:ext uri="{FF2B5EF4-FFF2-40B4-BE49-F238E27FC236}">
              <a16:creationId xmlns:a16="http://schemas.microsoft.com/office/drawing/2014/main" id="{51C71CB2-6468-C84B-496F-3723C4A761E9}"/>
            </a:ext>
          </a:extLst>
        </xdr:cNvPr>
        <xdr:cNvSpPr>
          <a:spLocks noChangeShapeType="1"/>
        </xdr:cNvSpPr>
      </xdr:nvSpPr>
      <xdr:spPr bwMode="auto">
        <a:xfrm>
          <a:off x="7696200" y="7458075"/>
          <a:ext cx="0" cy="2114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55562</xdr:colOff>
      <xdr:row>25</xdr:row>
      <xdr:rowOff>94029</xdr:rowOff>
    </xdr:from>
    <xdr:to>
      <xdr:col>17</xdr:col>
      <xdr:colOff>323906</xdr:colOff>
      <xdr:row>27</xdr:row>
      <xdr:rowOff>116675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2D2B9069-ADB3-AF92-C675-B6E6E0D32096}"/>
            </a:ext>
          </a:extLst>
        </xdr:cNvPr>
        <xdr:cNvSpPr txBox="1">
          <a:spLocks noChangeArrowheads="1"/>
        </xdr:cNvSpPr>
      </xdr:nvSpPr>
      <xdr:spPr bwMode="auto">
        <a:xfrm>
          <a:off x="3427412" y="5167679"/>
          <a:ext cx="1169654" cy="370742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8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Position EOT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2.3 ft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above Liner Packer</a:t>
          </a:r>
        </a:p>
      </xdr:txBody>
    </xdr:sp>
    <xdr:clientData/>
  </xdr:twoCellAnchor>
  <xdr:twoCellAnchor>
    <xdr:from>
      <xdr:col>10</xdr:col>
      <xdr:colOff>28575</xdr:colOff>
      <xdr:row>26</xdr:row>
      <xdr:rowOff>104775</xdr:rowOff>
    </xdr:from>
    <xdr:to>
      <xdr:col>14</xdr:col>
      <xdr:colOff>66675</xdr:colOff>
      <xdr:row>27</xdr:row>
      <xdr:rowOff>200025</xdr:rowOff>
    </xdr:to>
    <xdr:sp macro="" textlink="">
      <xdr:nvSpPr>
        <xdr:cNvPr id="43985" name="Line 2">
          <a:extLst>
            <a:ext uri="{FF2B5EF4-FFF2-40B4-BE49-F238E27FC236}">
              <a16:creationId xmlns:a16="http://schemas.microsoft.com/office/drawing/2014/main" id="{A01DF412-14ED-BB08-A21A-113BAD5AD9C1}"/>
            </a:ext>
          </a:extLst>
        </xdr:cNvPr>
        <xdr:cNvSpPr>
          <a:spLocks noChangeShapeType="1"/>
        </xdr:cNvSpPr>
      </xdr:nvSpPr>
      <xdr:spPr bwMode="auto">
        <a:xfrm flipH="1">
          <a:off x="3028950" y="5362575"/>
          <a:ext cx="438150" cy="2952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75568</xdr:colOff>
      <xdr:row>15</xdr:row>
      <xdr:rowOff>41269</xdr:rowOff>
    </xdr:from>
    <xdr:to>
      <xdr:col>18</xdr:col>
      <xdr:colOff>1399</xdr:colOff>
      <xdr:row>17</xdr:row>
      <xdr:rowOff>2567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0C951D26-2A10-C472-00BA-2016F1F17B01}"/>
            </a:ext>
          </a:extLst>
        </xdr:cNvPr>
        <xdr:cNvSpPr txBox="1">
          <a:spLocks noChangeArrowheads="1"/>
        </xdr:cNvSpPr>
      </xdr:nvSpPr>
      <xdr:spPr bwMode="auto">
        <a:xfrm>
          <a:off x="3451228" y="2943219"/>
          <a:ext cx="1169654" cy="40998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9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Prod Pkr Element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NOT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across any csg collar</a:t>
          </a:r>
        </a:p>
      </xdr:txBody>
    </xdr:sp>
    <xdr:clientData/>
  </xdr:twoCellAnchor>
  <xdr:twoCellAnchor>
    <xdr:from>
      <xdr:col>13</xdr:col>
      <xdr:colOff>28575</xdr:colOff>
      <xdr:row>16</xdr:row>
      <xdr:rowOff>123825</xdr:rowOff>
    </xdr:from>
    <xdr:to>
      <xdr:col>14</xdr:col>
      <xdr:colOff>104775</xdr:colOff>
      <xdr:row>17</xdr:row>
      <xdr:rowOff>0</xdr:rowOff>
    </xdr:to>
    <xdr:sp macro="" textlink="">
      <xdr:nvSpPr>
        <xdr:cNvPr id="43987" name="Line 2">
          <a:extLst>
            <a:ext uri="{FF2B5EF4-FFF2-40B4-BE49-F238E27FC236}">
              <a16:creationId xmlns:a16="http://schemas.microsoft.com/office/drawing/2014/main" id="{68DD3435-50E5-54CA-F969-76D71CDC01FF}"/>
            </a:ext>
          </a:extLst>
        </xdr:cNvPr>
        <xdr:cNvSpPr>
          <a:spLocks noChangeShapeType="1"/>
        </xdr:cNvSpPr>
      </xdr:nvSpPr>
      <xdr:spPr bwMode="auto">
        <a:xfrm flipH="1">
          <a:off x="3267075" y="3238500"/>
          <a:ext cx="238125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2</xdr:col>
      <xdr:colOff>238125</xdr:colOff>
      <xdr:row>2</xdr:row>
      <xdr:rowOff>266700</xdr:rowOff>
    </xdr:from>
    <xdr:to>
      <xdr:col>3</xdr:col>
      <xdr:colOff>523875</xdr:colOff>
      <xdr:row>6</xdr:row>
      <xdr:rowOff>142875</xdr:rowOff>
    </xdr:to>
    <xdr:pic>
      <xdr:nvPicPr>
        <xdr:cNvPr id="43988" name="Picture 2">
          <a:extLst>
            <a:ext uri="{FF2B5EF4-FFF2-40B4-BE49-F238E27FC236}">
              <a16:creationId xmlns:a16="http://schemas.microsoft.com/office/drawing/2014/main" id="{5E7C9C54-44C5-1BC6-7D2E-F2470F06A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35" t="33461" r="19444" b="30046"/>
        <a:stretch>
          <a:fillRect/>
        </a:stretch>
      </xdr:blipFill>
      <xdr:spPr bwMode="auto">
        <a:xfrm>
          <a:off x="962025" y="514350"/>
          <a:ext cx="8572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2</xdr:row>
      <xdr:rowOff>0</xdr:rowOff>
    </xdr:from>
    <xdr:to>
      <xdr:col>2</xdr:col>
      <xdr:colOff>304800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D3C862-3AD4-4A2C-885E-EFB5CD390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850" y="355600"/>
          <a:ext cx="584200" cy="51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276225</xdr:colOff>
      <xdr:row>10</xdr:row>
      <xdr:rowOff>76200</xdr:rowOff>
    </xdr:from>
    <xdr:to>
      <xdr:col>19</xdr:col>
      <xdr:colOff>28575</xdr:colOff>
      <xdr:row>20</xdr:row>
      <xdr:rowOff>64203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203F27D5-2B14-4A1E-AD3C-17B57AED4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1625" y="1930400"/>
          <a:ext cx="6242050" cy="1841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213540</xdr:colOff>
      <xdr:row>6</xdr:row>
      <xdr:rowOff>51672</xdr:rowOff>
    </xdr:from>
    <xdr:to>
      <xdr:col>27</xdr:col>
      <xdr:colOff>324081</xdr:colOff>
      <xdr:row>24</xdr:row>
      <xdr:rowOff>52296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257A9D-A74B-4DFD-BC4C-D0C188673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18640" y="1264522"/>
          <a:ext cx="6511341" cy="3156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BB1E-52AF-4F06-B2AD-035AA257054B}">
  <dimension ref="A1"/>
  <sheetViews>
    <sheetView workbookViewId="0"/>
  </sheetViews>
  <sheetFormatPr defaultRowHeight="12.75"/>
  <sheetData/>
  <phoneticPr fontId="8" type="noConversion"/>
  <pageMargins left="0.75" right="0.75" top="1" bottom="1" header="0.5" footer="0.5"/>
  <pageSetup orientation="portrait" r:id="rId1"/>
  <headerFooter alignWithMargins="0">
    <oddHeader>&amp;A&amp;L&amp;"Calibri"&amp;9&amp;K000000Classification: Internal&amp;1#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4BE5F-A30D-400D-ACA0-1229FCDF3186}">
  <sheetPr>
    <pageSetUpPr fitToPage="1"/>
  </sheetPr>
  <dimension ref="A1:Y435"/>
  <sheetViews>
    <sheetView showGridLines="0" defaultGridColor="0" topLeftCell="A350" colorId="10" zoomScale="110" zoomScaleNormal="110" zoomScaleSheetLayoutView="102" workbookViewId="0">
      <selection activeCell="H387" sqref="H387"/>
    </sheetView>
  </sheetViews>
  <sheetFormatPr defaultColWidth="11.42578125" defaultRowHeight="12.75"/>
  <cols>
    <col min="1" max="1" width="1.42578125" customWidth="1"/>
    <col min="2" max="2" width="10.85546875" style="1" customWidth="1"/>
    <col min="3" max="3" width="5.5703125" style="25" customWidth="1"/>
    <col min="4" max="5" width="8.5703125" style="9" customWidth="1"/>
    <col min="6" max="6" width="8.42578125" style="186" customWidth="1"/>
    <col min="7" max="7" width="10.5703125" style="186" customWidth="1"/>
    <col min="8" max="8" width="9.42578125" style="186" bestFit="1" customWidth="1"/>
    <col min="9" max="9" width="9.5703125" style="186" customWidth="1"/>
    <col min="10" max="10" width="10" style="186" customWidth="1"/>
    <col min="11" max="11" width="17.42578125" style="199" customWidth="1"/>
    <col min="12" max="12" width="13.42578125" style="14" customWidth="1"/>
    <col min="13" max="13" width="13.7109375" customWidth="1"/>
    <col min="14" max="17" width="11.42578125" customWidth="1"/>
    <col min="18" max="18" width="35.5703125" customWidth="1"/>
    <col min="19" max="19" width="11.42578125" customWidth="1"/>
  </cols>
  <sheetData>
    <row r="1" spans="1:20">
      <c r="B1"/>
      <c r="C1"/>
      <c r="D1"/>
      <c r="E1"/>
      <c r="F1"/>
      <c r="G1"/>
      <c r="H1"/>
      <c r="I1"/>
      <c r="J1"/>
      <c r="K1"/>
      <c r="L1"/>
    </row>
    <row r="2" spans="1:20" ht="15.75">
      <c r="A2" s="26"/>
      <c r="B2" s="10"/>
      <c r="C2" s="24"/>
      <c r="D2" s="21"/>
      <c r="E2" s="6"/>
      <c r="F2" s="243"/>
      <c r="G2" s="244"/>
      <c r="H2" s="243"/>
      <c r="I2" s="243" t="s">
        <v>71</v>
      </c>
      <c r="J2" s="195"/>
      <c r="K2" s="195"/>
      <c r="L2" s="257"/>
      <c r="M2" s="258"/>
      <c r="N2" s="23"/>
    </row>
    <row r="3" spans="1:20" ht="19.5">
      <c r="B3" s="11"/>
      <c r="C3" s="13"/>
      <c r="D3" s="19"/>
      <c r="E3" s="201"/>
      <c r="F3" s="240"/>
      <c r="G3" s="241"/>
      <c r="H3" s="246"/>
      <c r="I3" s="242"/>
      <c r="K3" s="196"/>
      <c r="L3" s="259" t="s">
        <v>224</v>
      </c>
      <c r="M3" s="181"/>
    </row>
    <row r="4" spans="1:20" ht="18">
      <c r="B4" s="11"/>
      <c r="C4" s="13"/>
      <c r="D4" s="19"/>
      <c r="E4" s="19"/>
      <c r="F4" s="183"/>
      <c r="G4" s="245"/>
      <c r="H4" s="247" t="s">
        <v>101</v>
      </c>
      <c r="I4" s="245"/>
      <c r="K4" s="196"/>
      <c r="L4" s="28"/>
      <c r="M4" s="27"/>
    </row>
    <row r="5" spans="1:20">
      <c r="B5" s="11"/>
      <c r="C5" s="13"/>
      <c r="D5" s="19"/>
      <c r="E5" s="19"/>
      <c r="F5" s="183"/>
      <c r="G5" s="188"/>
      <c r="H5" s="183"/>
      <c r="I5" s="188"/>
      <c r="K5" s="249" t="s">
        <v>109</v>
      </c>
      <c r="L5" s="256">
        <v>44267</v>
      </c>
      <c r="M5" s="27"/>
    </row>
    <row r="6" spans="1:20" ht="18">
      <c r="B6" s="17"/>
      <c r="C6" s="324"/>
      <c r="D6" s="224" t="s">
        <v>97</v>
      </c>
      <c r="E6" s="473" t="s">
        <v>66</v>
      </c>
      <c r="F6" s="474"/>
      <c r="G6" s="265" t="s">
        <v>0</v>
      </c>
      <c r="H6" s="266" t="s">
        <v>162</v>
      </c>
      <c r="K6" s="248" t="s">
        <v>157</v>
      </c>
      <c r="L6" s="250" t="s">
        <v>168</v>
      </c>
      <c r="M6" s="12"/>
    </row>
    <row r="7" spans="1:20">
      <c r="B7" s="29"/>
      <c r="C7" s="13"/>
      <c r="D7" s="224" t="s">
        <v>96</v>
      </c>
      <c r="E7" s="473" t="s">
        <v>78</v>
      </c>
      <c r="F7" s="474"/>
      <c r="G7" s="265" t="s">
        <v>1</v>
      </c>
      <c r="H7" s="267" t="s">
        <v>133</v>
      </c>
      <c r="I7" s="200"/>
      <c r="J7" s="25"/>
      <c r="K7" s="248" t="s">
        <v>143</v>
      </c>
      <c r="L7" s="250" t="s">
        <v>161</v>
      </c>
      <c r="M7" s="12"/>
    </row>
    <row r="8" spans="1:20">
      <c r="B8" s="11"/>
      <c r="C8" s="13"/>
      <c r="D8" s="224" t="s">
        <v>68</v>
      </c>
      <c r="E8" s="473" t="s">
        <v>79</v>
      </c>
      <c r="F8" s="474"/>
      <c r="G8" s="265"/>
      <c r="H8" s="266"/>
      <c r="I8" s="194"/>
      <c r="K8" s="196"/>
      <c r="L8" s="251"/>
      <c r="M8" s="12"/>
    </row>
    <row r="9" spans="1:20">
      <c r="B9" s="11"/>
      <c r="C9" s="13"/>
      <c r="D9" s="224" t="s">
        <v>67</v>
      </c>
      <c r="E9" s="475" t="s">
        <v>80</v>
      </c>
      <c r="F9" s="476"/>
      <c r="G9" s="265" t="s">
        <v>2</v>
      </c>
      <c r="H9" s="307">
        <v>124</v>
      </c>
      <c r="I9" s="192"/>
      <c r="J9" s="192"/>
      <c r="K9" s="249" t="s">
        <v>27</v>
      </c>
      <c r="L9" s="328">
        <v>12041.13</v>
      </c>
      <c r="M9" s="5" t="s">
        <v>30</v>
      </c>
    </row>
    <row r="10" spans="1:20">
      <c r="B10" s="11"/>
      <c r="C10" s="13"/>
      <c r="D10" s="224" t="s">
        <v>3</v>
      </c>
      <c r="E10" s="477">
        <v>26</v>
      </c>
      <c r="F10" s="478"/>
      <c r="G10" s="265" t="s">
        <v>4</v>
      </c>
      <c r="H10" s="317">
        <v>11.4</v>
      </c>
      <c r="I10" s="193"/>
      <c r="K10" s="249" t="s">
        <v>5</v>
      </c>
      <c r="L10" s="327">
        <v>21892</v>
      </c>
      <c r="M10" s="5" t="s">
        <v>30</v>
      </c>
    </row>
    <row r="11" spans="1:20">
      <c r="B11" s="11"/>
      <c r="C11" s="13"/>
      <c r="D11" s="224" t="s">
        <v>6</v>
      </c>
      <c r="E11" s="479" t="s">
        <v>82</v>
      </c>
      <c r="F11" s="480"/>
      <c r="G11" s="265" t="s">
        <v>7</v>
      </c>
      <c r="H11" s="268">
        <f>(65.45-H10)/65.45</f>
        <v>0.8258212375859435</v>
      </c>
      <c r="I11" s="193"/>
      <c r="K11" s="249" t="s">
        <v>74</v>
      </c>
      <c r="L11" s="327">
        <v>21877</v>
      </c>
      <c r="M11" s="5" t="s">
        <v>30</v>
      </c>
      <c r="O11" s="18"/>
    </row>
    <row r="12" spans="1:20">
      <c r="B12" s="11"/>
      <c r="C12" s="213"/>
      <c r="D12" s="224" t="s">
        <v>21</v>
      </c>
      <c r="E12" s="227">
        <f>F12/12</f>
        <v>0.39799999999999996</v>
      </c>
      <c r="F12" s="226">
        <v>4.7759999999999998</v>
      </c>
      <c r="G12" s="189"/>
      <c r="H12" s="225"/>
      <c r="I12" s="193"/>
      <c r="K12" s="249" t="s">
        <v>73</v>
      </c>
      <c r="L12" s="329">
        <f>F15+J15</f>
        <v>12060.779999999999</v>
      </c>
      <c r="M12" s="5" t="s">
        <v>30</v>
      </c>
      <c r="Q12" s="219"/>
    </row>
    <row r="13" spans="1:20">
      <c r="B13" s="2" t="s">
        <v>8</v>
      </c>
      <c r="C13" s="7"/>
      <c r="D13" s="3"/>
      <c r="E13" s="7" t="s">
        <v>9</v>
      </c>
      <c r="F13" s="184" t="s">
        <v>9</v>
      </c>
      <c r="G13" s="190" t="s">
        <v>22</v>
      </c>
      <c r="H13" s="190" t="s">
        <v>9</v>
      </c>
      <c r="I13" s="187" t="s">
        <v>10</v>
      </c>
      <c r="J13" s="184" t="s">
        <v>11</v>
      </c>
      <c r="K13" s="197" t="s">
        <v>12</v>
      </c>
      <c r="L13" s="460" t="s">
        <v>20</v>
      </c>
      <c r="M13" s="461"/>
    </row>
    <row r="14" spans="1:20" ht="14.1" customHeight="1">
      <c r="B14" s="4" t="s">
        <v>13</v>
      </c>
      <c r="C14" s="4" t="s">
        <v>24</v>
      </c>
      <c r="D14" s="8" t="s">
        <v>23</v>
      </c>
      <c r="E14" s="8" t="s">
        <v>15</v>
      </c>
      <c r="F14" s="185" t="s">
        <v>16</v>
      </c>
      <c r="G14" s="191" t="s">
        <v>16</v>
      </c>
      <c r="H14" s="191" t="s">
        <v>17</v>
      </c>
      <c r="I14" s="189" t="s">
        <v>16</v>
      </c>
      <c r="J14" s="185" t="s">
        <v>18</v>
      </c>
      <c r="K14" s="198" t="s">
        <v>19</v>
      </c>
      <c r="L14" s="462"/>
      <c r="M14" s="463"/>
    </row>
    <row r="15" spans="1:20" ht="17.100000000000001" customHeight="1">
      <c r="B15" s="494" t="s">
        <v>136</v>
      </c>
      <c r="C15" s="499" t="s">
        <v>164</v>
      </c>
      <c r="D15" s="500" t="s">
        <v>135</v>
      </c>
      <c r="E15" s="500"/>
      <c r="F15" s="209">
        <v>19.649999999999999</v>
      </c>
      <c r="G15" s="209">
        <f t="shared" ref="G15:G24" si="0">F15</f>
        <v>19.649999999999999</v>
      </c>
      <c r="H15" s="210" t="s">
        <v>25</v>
      </c>
      <c r="I15" s="209">
        <v>0</v>
      </c>
      <c r="J15" s="210">
        <f>IF(I15="","",$L$9-I15)</f>
        <v>12041.13</v>
      </c>
      <c r="K15" s="211">
        <f>$H$9+(I15*$E$10*$H$11/1000)</f>
        <v>124</v>
      </c>
      <c r="L15" s="467" t="s">
        <v>145</v>
      </c>
      <c r="M15" s="467"/>
      <c r="N15" s="18"/>
      <c r="T15" s="219"/>
    </row>
    <row r="16" spans="1:20" ht="17.850000000000001" customHeight="1">
      <c r="B16" s="494"/>
      <c r="C16" s="499"/>
      <c r="D16" s="501" t="s">
        <v>134</v>
      </c>
      <c r="E16" s="502"/>
      <c r="F16" s="209">
        <v>2.69</v>
      </c>
      <c r="G16" s="209">
        <f t="shared" si="0"/>
        <v>2.69</v>
      </c>
      <c r="H16" s="209" t="str">
        <f t="shared" ref="H16:H76" si="1">IF(F16="","OUT","IN")</f>
        <v>IN</v>
      </c>
      <c r="I16" s="209">
        <f>IF(H16="IN",I15+G16,I15)</f>
        <v>2.69</v>
      </c>
      <c r="J16" s="209">
        <f>IF(I16="","",$L$9-I16)</f>
        <v>12038.439999999999</v>
      </c>
      <c r="K16" s="211">
        <f>$H$9+(I16*$E$10*$H$11/1000)</f>
        <v>124.05775793735675</v>
      </c>
      <c r="L16" s="503" t="s">
        <v>163</v>
      </c>
      <c r="M16" s="503"/>
      <c r="N16" s="18"/>
    </row>
    <row r="17" spans="2:25" ht="18" customHeight="1">
      <c r="B17" s="494"/>
      <c r="C17" s="499"/>
      <c r="D17" s="500" t="s">
        <v>141</v>
      </c>
      <c r="E17" s="500"/>
      <c r="F17" s="209">
        <v>5.69</v>
      </c>
      <c r="G17" s="209">
        <f t="shared" si="0"/>
        <v>5.69</v>
      </c>
      <c r="H17" s="209" t="str">
        <f t="shared" si="1"/>
        <v>IN</v>
      </c>
      <c r="I17" s="209">
        <f>IF(H17="IN",I16+G17,I16)</f>
        <v>8.3800000000000008</v>
      </c>
      <c r="J17" s="209">
        <f>IF(I17="","",$L$9-I17)</f>
        <v>12032.75</v>
      </c>
      <c r="K17" s="211">
        <f>$H$9+(I17*$E$10*$H$11/1000)</f>
        <v>124.17992993124523</v>
      </c>
      <c r="L17" s="472"/>
      <c r="M17" s="472"/>
      <c r="N17" s="18"/>
    </row>
    <row r="18" spans="2:25" ht="13.5" customHeight="1">
      <c r="B18" s="213">
        <v>1</v>
      </c>
      <c r="C18" s="213"/>
      <c r="D18" s="214">
        <v>7</v>
      </c>
      <c r="E18" s="319">
        <v>386</v>
      </c>
      <c r="F18" s="373">
        <v>33.56</v>
      </c>
      <c r="G18" s="313">
        <f>F18-($E$12)</f>
        <v>33.161999999999999</v>
      </c>
      <c r="H18" s="215" t="str">
        <f t="shared" si="1"/>
        <v>IN</v>
      </c>
      <c r="I18" s="217">
        <f t="shared" ref="I18:I81" si="2">IF(H18="IN",I17+G18,I17)</f>
        <v>41.542000000000002</v>
      </c>
      <c r="J18" s="217">
        <f t="shared" ref="J18:J81" si="3">IF(I18="","",$L$9-I18)</f>
        <v>11999.588</v>
      </c>
      <c r="K18" s="381">
        <f t="shared" ref="K18:K81" si="4">$H$9+(I18*$E$10*$H$11/1000)</f>
        <v>124.89196291214668</v>
      </c>
      <c r="L18" s="314"/>
      <c r="M18" s="315"/>
      <c r="N18" s="18"/>
      <c r="P18" s="238"/>
      <c r="Q18" s="238"/>
      <c r="R18" s="18"/>
      <c r="W18" s="18"/>
    </row>
    <row r="19" spans="2:25" ht="13.5" customHeight="1">
      <c r="B19" s="213"/>
      <c r="C19" s="213"/>
      <c r="D19" s="504" t="s">
        <v>212</v>
      </c>
      <c r="E19" s="505"/>
      <c r="F19" s="215">
        <v>20.22</v>
      </c>
      <c r="G19" s="313">
        <f t="shared" ref="G19:G20" si="5">F19-($E$12)</f>
        <v>19.821999999999999</v>
      </c>
      <c r="H19" s="215" t="str">
        <f t="shared" si="1"/>
        <v>IN</v>
      </c>
      <c r="I19" s="217">
        <f t="shared" si="2"/>
        <v>61.364000000000004</v>
      </c>
      <c r="J19" s="217">
        <f t="shared" si="3"/>
        <v>11979.766</v>
      </c>
      <c r="K19" s="381">
        <f t="shared" si="4"/>
        <v>125.31756805500382</v>
      </c>
      <c r="L19" s="314"/>
      <c r="M19" s="315"/>
      <c r="N19" s="18"/>
      <c r="P19" s="238"/>
      <c r="Q19" s="238"/>
      <c r="R19" s="18"/>
      <c r="W19" s="18"/>
    </row>
    <row r="20" spans="2:25" ht="13.35" customHeight="1">
      <c r="B20" s="494" t="s">
        <v>138</v>
      </c>
      <c r="C20" s="495">
        <v>11703643</v>
      </c>
      <c r="D20" s="497" t="s">
        <v>141</v>
      </c>
      <c r="E20" s="497"/>
      <c r="F20" s="212">
        <v>6.21</v>
      </c>
      <c r="G20" s="410">
        <f t="shared" si="5"/>
        <v>5.8120000000000003</v>
      </c>
      <c r="H20" s="212" t="str">
        <f t="shared" si="1"/>
        <v>IN</v>
      </c>
      <c r="I20" s="212">
        <f t="shared" si="2"/>
        <v>67.176000000000002</v>
      </c>
      <c r="J20" s="212">
        <f t="shared" si="3"/>
        <v>11973.954</v>
      </c>
      <c r="K20" s="310">
        <f t="shared" si="4"/>
        <v>125.44235955385791</v>
      </c>
      <c r="L20" s="483" t="s">
        <v>144</v>
      </c>
      <c r="M20" s="483"/>
      <c r="N20" s="18"/>
      <c r="V20" s="219"/>
      <c r="W20" s="18"/>
    </row>
    <row r="21" spans="2:25" ht="13.35" customHeight="1">
      <c r="B21" s="494"/>
      <c r="C21" s="495"/>
      <c r="D21" s="496" t="s">
        <v>148</v>
      </c>
      <c r="E21" s="496"/>
      <c r="F21" s="212">
        <v>12</v>
      </c>
      <c r="G21" s="212">
        <f t="shared" si="0"/>
        <v>12</v>
      </c>
      <c r="H21" s="212" t="str">
        <f t="shared" si="1"/>
        <v>IN</v>
      </c>
      <c r="I21" s="212">
        <f t="shared" si="2"/>
        <v>79.176000000000002</v>
      </c>
      <c r="J21" s="209">
        <f t="shared" si="3"/>
        <v>11961.954</v>
      </c>
      <c r="K21" s="310">
        <f t="shared" si="4"/>
        <v>125.70001577998472</v>
      </c>
      <c r="L21" s="498" t="s">
        <v>165</v>
      </c>
      <c r="M21" s="498"/>
      <c r="N21" s="18"/>
      <c r="P21" s="238"/>
      <c r="Q21" s="238"/>
    </row>
    <row r="22" spans="2:25" ht="13.35" customHeight="1">
      <c r="B22" s="494"/>
      <c r="C22" s="495"/>
      <c r="D22" s="318" t="s">
        <v>149</v>
      </c>
      <c r="E22" s="318"/>
      <c r="F22" s="212">
        <v>3.68</v>
      </c>
      <c r="G22" s="212">
        <f t="shared" si="0"/>
        <v>3.68</v>
      </c>
      <c r="H22" s="212" t="str">
        <f t="shared" si="1"/>
        <v>IN</v>
      </c>
      <c r="I22" s="212">
        <f t="shared" si="2"/>
        <v>82.856000000000009</v>
      </c>
      <c r="J22" s="212">
        <f t="shared" si="3"/>
        <v>11958.273999999999</v>
      </c>
      <c r="K22" s="310">
        <f t="shared" si="4"/>
        <v>125.77903035599695</v>
      </c>
      <c r="L22" s="458" t="s">
        <v>166</v>
      </c>
      <c r="M22" s="459"/>
      <c r="N22" s="18"/>
      <c r="P22" s="239"/>
      <c r="Q22" s="239"/>
    </row>
    <row r="23" spans="2:25" ht="13.35" customHeight="1" thickBot="1">
      <c r="B23" s="494"/>
      <c r="C23" s="495"/>
      <c r="D23" s="318" t="s">
        <v>142</v>
      </c>
      <c r="E23" s="318"/>
      <c r="F23" s="212">
        <v>0.97</v>
      </c>
      <c r="G23" s="212">
        <f t="shared" si="0"/>
        <v>0.97</v>
      </c>
      <c r="H23" s="212" t="str">
        <f t="shared" si="1"/>
        <v>IN</v>
      </c>
      <c r="I23" s="212">
        <f t="shared" si="2"/>
        <v>83.826000000000008</v>
      </c>
      <c r="J23" s="212">
        <f t="shared" si="3"/>
        <v>11957.304</v>
      </c>
      <c r="K23" s="310">
        <f t="shared" si="4"/>
        <v>125.79985756760887</v>
      </c>
      <c r="L23" s="458" t="s">
        <v>167</v>
      </c>
      <c r="M23" s="459"/>
      <c r="N23" s="18"/>
      <c r="V23" s="18"/>
    </row>
    <row r="24" spans="2:25" ht="13.35" customHeight="1" thickBot="1">
      <c r="B24" s="494"/>
      <c r="C24" s="495"/>
      <c r="D24" s="497" t="s">
        <v>141</v>
      </c>
      <c r="E24" s="497"/>
      <c r="F24" s="212">
        <v>5.82</v>
      </c>
      <c r="G24" s="212">
        <f t="shared" si="0"/>
        <v>5.82</v>
      </c>
      <c r="H24" s="212" t="str">
        <f t="shared" si="1"/>
        <v>IN</v>
      </c>
      <c r="I24" s="212">
        <f t="shared" si="2"/>
        <v>89.646000000000015</v>
      </c>
      <c r="J24" s="212">
        <f t="shared" si="3"/>
        <v>11951.483999999999</v>
      </c>
      <c r="K24" s="310">
        <f t="shared" si="4"/>
        <v>125.92482083728036</v>
      </c>
      <c r="L24" s="468" t="s">
        <v>146</v>
      </c>
      <c r="M24" s="469"/>
      <c r="N24" s="18"/>
      <c r="O24" s="454" t="s">
        <v>98</v>
      </c>
      <c r="P24" s="455"/>
      <c r="R24" s="252" t="s">
        <v>137</v>
      </c>
      <c r="S24" s="262" t="s">
        <v>102</v>
      </c>
      <c r="V24" s="18"/>
    </row>
    <row r="25" spans="2:25" s="15" customFormat="1" ht="14.1" customHeight="1" thickBot="1">
      <c r="B25" s="213">
        <v>2</v>
      </c>
      <c r="C25" s="213"/>
      <c r="D25" s="214">
        <v>7</v>
      </c>
      <c r="E25" s="206">
        <v>387</v>
      </c>
      <c r="F25" s="373">
        <v>31.83</v>
      </c>
      <c r="G25" s="215">
        <f t="shared" ref="G25:G88" si="6">F25-($E$12)</f>
        <v>31.431999999999999</v>
      </c>
      <c r="H25" s="215" t="str">
        <f t="shared" si="1"/>
        <v>IN</v>
      </c>
      <c r="I25" s="217">
        <f t="shared" si="2"/>
        <v>121.07800000000002</v>
      </c>
      <c r="J25" s="217">
        <f t="shared" si="3"/>
        <v>11920.052</v>
      </c>
      <c r="K25" s="381">
        <f t="shared" si="4"/>
        <v>126.59970837891521</v>
      </c>
      <c r="L25" s="451"/>
      <c r="M25" s="451"/>
      <c r="N25" s="18"/>
      <c r="O25" s="456"/>
      <c r="P25" s="457"/>
      <c r="R25" s="253" t="s">
        <v>140</v>
      </c>
      <c r="S25" s="254">
        <v>2.74</v>
      </c>
    </row>
    <row r="26" spans="2:25" s="15" customFormat="1" ht="14.1" customHeight="1" thickBot="1">
      <c r="B26" s="213">
        <v>3</v>
      </c>
      <c r="C26" s="213"/>
      <c r="D26" s="214">
        <v>7</v>
      </c>
      <c r="E26" s="206">
        <v>385</v>
      </c>
      <c r="F26" s="373">
        <v>32.869999999999997</v>
      </c>
      <c r="G26" s="215">
        <f t="shared" si="6"/>
        <v>32.471999999999994</v>
      </c>
      <c r="H26" s="215" t="str">
        <f t="shared" ref="H26:H88" si="7">IF(F26="","OUT","IN")</f>
        <v>IN</v>
      </c>
      <c r="I26" s="217">
        <f t="shared" si="2"/>
        <v>153.55000000000001</v>
      </c>
      <c r="J26" s="217">
        <f t="shared" si="3"/>
        <v>11887.58</v>
      </c>
      <c r="K26" s="381">
        <f t="shared" si="4"/>
        <v>127.29692612681436</v>
      </c>
      <c r="L26" s="465" t="s">
        <v>31</v>
      </c>
      <c r="M26" s="466"/>
      <c r="N26" s="18"/>
      <c r="O26" s="236" t="s">
        <v>99</v>
      </c>
      <c r="P26" s="237" t="s">
        <v>100</v>
      </c>
      <c r="R26" s="253" t="s">
        <v>103</v>
      </c>
      <c r="S26" s="255">
        <v>6.86</v>
      </c>
      <c r="V26" s="223"/>
      <c r="X26" s="20"/>
      <c r="Y26" s="20"/>
    </row>
    <row r="27" spans="2:25" s="15" customFormat="1" ht="14.1" customHeight="1" thickBot="1">
      <c r="B27" s="213">
        <f t="shared" ref="B27:B89" si="8">B26+1</f>
        <v>4</v>
      </c>
      <c r="C27" s="213"/>
      <c r="D27" s="214">
        <v>7</v>
      </c>
      <c r="E27" s="206">
        <f t="shared" ref="E27:E89" si="9">E26-1</f>
        <v>384</v>
      </c>
      <c r="F27" s="373">
        <v>33.18</v>
      </c>
      <c r="G27" s="215">
        <f t="shared" si="6"/>
        <v>32.781999999999996</v>
      </c>
      <c r="H27" s="215" t="str">
        <f t="shared" si="1"/>
        <v>IN</v>
      </c>
      <c r="I27" s="217">
        <f t="shared" si="2"/>
        <v>186.33199999999999</v>
      </c>
      <c r="J27" s="217">
        <f t="shared" si="3"/>
        <v>11854.797999999999</v>
      </c>
      <c r="K27" s="381">
        <f t="shared" si="4"/>
        <v>128.00079999388845</v>
      </c>
      <c r="L27" s="261">
        <v>11935.25</v>
      </c>
      <c r="M27" s="261">
        <v>11971.95</v>
      </c>
      <c r="N27" s="18"/>
      <c r="O27" s="234">
        <f>J21-L27</f>
        <v>26.703999999999724</v>
      </c>
      <c r="P27" s="235">
        <f>M27-J21</f>
        <v>9.9960000000010041</v>
      </c>
      <c r="R27" s="253" t="s">
        <v>104</v>
      </c>
      <c r="S27" s="255">
        <v>8.86</v>
      </c>
      <c r="V27" s="223"/>
      <c r="W27"/>
      <c r="X27" s="20"/>
      <c r="Y27" s="20"/>
    </row>
    <row r="28" spans="2:25" s="15" customFormat="1" ht="14.1" customHeight="1" thickBot="1">
      <c r="B28" s="213">
        <f t="shared" si="8"/>
        <v>5</v>
      </c>
      <c r="C28" s="213"/>
      <c r="D28" s="214">
        <v>7</v>
      </c>
      <c r="E28" s="206">
        <f t="shared" si="9"/>
        <v>383</v>
      </c>
      <c r="F28" s="373">
        <v>33.54</v>
      </c>
      <c r="G28" s="215">
        <f t="shared" si="6"/>
        <v>33.141999999999996</v>
      </c>
      <c r="H28" s="215" t="str">
        <f t="shared" si="1"/>
        <v>IN</v>
      </c>
      <c r="I28" s="217">
        <f t="shared" si="2"/>
        <v>219.47399999999999</v>
      </c>
      <c r="J28" s="217">
        <f t="shared" si="3"/>
        <v>11821.655999999999</v>
      </c>
      <c r="K28" s="381">
        <f t="shared" si="4"/>
        <v>128.71240354774636</v>
      </c>
      <c r="L28" s="451"/>
      <c r="M28" s="451"/>
      <c r="N28" s="18"/>
      <c r="R28" s="253" t="s">
        <v>139</v>
      </c>
      <c r="S28" s="254">
        <v>14.72</v>
      </c>
    </row>
    <row r="29" spans="2:25" s="15" customFormat="1" ht="14.1" customHeight="1">
      <c r="B29" s="213">
        <f t="shared" si="8"/>
        <v>6</v>
      </c>
      <c r="C29" s="213"/>
      <c r="D29" s="214">
        <v>7</v>
      </c>
      <c r="E29" s="206">
        <f t="shared" si="9"/>
        <v>382</v>
      </c>
      <c r="F29" s="373">
        <v>31.67</v>
      </c>
      <c r="G29" s="215">
        <f t="shared" si="6"/>
        <v>31.272000000000002</v>
      </c>
      <c r="H29" s="215" t="str">
        <f t="shared" si="7"/>
        <v>IN</v>
      </c>
      <c r="I29" s="217">
        <f t="shared" si="2"/>
        <v>250.74599999999998</v>
      </c>
      <c r="J29" s="217">
        <f t="shared" si="3"/>
        <v>11790.384</v>
      </c>
      <c r="K29" s="381">
        <f t="shared" si="4"/>
        <v>129.38385567303285</v>
      </c>
      <c r="L29" s="228" t="s">
        <v>112</v>
      </c>
      <c r="M29" s="229">
        <f>J23+S25</f>
        <v>11960.044</v>
      </c>
      <c r="N29" s="470"/>
      <c r="O29" s="471"/>
      <c r="P29" s="471"/>
      <c r="R29" s="14"/>
      <c r="S29" s="14"/>
      <c r="V29"/>
    </row>
    <row r="30" spans="2:25" s="15" customFormat="1" ht="14.1" customHeight="1" thickBot="1">
      <c r="B30" s="213">
        <f t="shared" si="8"/>
        <v>7</v>
      </c>
      <c r="C30" s="213"/>
      <c r="D30" s="214">
        <v>7</v>
      </c>
      <c r="E30" s="206">
        <f t="shared" si="9"/>
        <v>381</v>
      </c>
      <c r="F30" s="373">
        <v>33.19</v>
      </c>
      <c r="G30" s="215">
        <f t="shared" si="6"/>
        <v>32.791999999999994</v>
      </c>
      <c r="H30" s="215" t="str">
        <f t="shared" si="7"/>
        <v>IN</v>
      </c>
      <c r="I30" s="217">
        <f t="shared" si="2"/>
        <v>283.53799999999995</v>
      </c>
      <c r="J30" s="217">
        <f t="shared" si="3"/>
        <v>11757.591999999999</v>
      </c>
      <c r="K30" s="381">
        <f t="shared" si="4"/>
        <v>130.08794425362873</v>
      </c>
      <c r="L30" s="230" t="s">
        <v>113</v>
      </c>
      <c r="M30" s="231">
        <f>J23+S28</f>
        <v>11972.023999999999</v>
      </c>
      <c r="N30" s="470"/>
      <c r="O30" s="471"/>
      <c r="P30" s="471"/>
      <c r="R30" s="464"/>
      <c r="S30" s="464"/>
      <c r="V30"/>
    </row>
    <row r="31" spans="2:25" s="15" customFormat="1" ht="14.1" customHeight="1" thickBot="1">
      <c r="B31" s="213">
        <f t="shared" si="8"/>
        <v>8</v>
      </c>
      <c r="C31" s="213"/>
      <c r="D31" s="214">
        <v>7</v>
      </c>
      <c r="E31" s="206">
        <f t="shared" si="9"/>
        <v>380</v>
      </c>
      <c r="F31" s="373">
        <v>33.520000000000003</v>
      </c>
      <c r="G31" s="215">
        <f t="shared" si="6"/>
        <v>33.122</v>
      </c>
      <c r="H31" s="215" t="str">
        <f t="shared" si="1"/>
        <v>IN</v>
      </c>
      <c r="I31" s="217">
        <f t="shared" si="2"/>
        <v>316.65999999999997</v>
      </c>
      <c r="J31" s="217">
        <f t="shared" si="3"/>
        <v>11724.47</v>
      </c>
      <c r="K31" s="381">
        <f t="shared" si="4"/>
        <v>130.79911838044308</v>
      </c>
      <c r="L31" s="230" t="s">
        <v>114</v>
      </c>
      <c r="M31" s="231">
        <f>J23+S26</f>
        <v>11964.164000000001</v>
      </c>
      <c r="N31" s="470"/>
      <c r="O31" s="471"/>
      <c r="P31" s="471"/>
      <c r="R31" s="252" t="s">
        <v>105</v>
      </c>
      <c r="S31" s="262" t="s">
        <v>102</v>
      </c>
      <c r="V31"/>
    </row>
    <row r="32" spans="2:25" s="16" customFormat="1" ht="13.35" customHeight="1" thickBot="1">
      <c r="B32" s="213">
        <f t="shared" si="8"/>
        <v>9</v>
      </c>
      <c r="C32" s="213"/>
      <c r="D32" s="214">
        <v>7</v>
      </c>
      <c r="E32" s="206">
        <f t="shared" si="9"/>
        <v>379</v>
      </c>
      <c r="F32" s="373">
        <v>33.21</v>
      </c>
      <c r="G32" s="215">
        <f t="shared" si="6"/>
        <v>32.811999999999998</v>
      </c>
      <c r="H32" s="215" t="str">
        <f t="shared" si="1"/>
        <v>IN</v>
      </c>
      <c r="I32" s="217">
        <f t="shared" si="2"/>
        <v>349.47199999999998</v>
      </c>
      <c r="J32" s="217">
        <f t="shared" si="3"/>
        <v>11691.657999999999</v>
      </c>
      <c r="K32" s="381">
        <f t="shared" si="4"/>
        <v>131.5036363880825</v>
      </c>
      <c r="L32" s="232" t="s">
        <v>115</v>
      </c>
      <c r="M32" s="233">
        <f>J23+S27</f>
        <v>11966.164000000001</v>
      </c>
      <c r="N32" s="470"/>
      <c r="O32" s="471"/>
      <c r="P32" s="471"/>
      <c r="R32" s="253" t="s">
        <v>106</v>
      </c>
      <c r="S32" s="254">
        <v>3.67</v>
      </c>
    </row>
    <row r="33" spans="2:19" s="16" customFormat="1" ht="13.35" customHeight="1" thickBot="1">
      <c r="B33" s="213">
        <f t="shared" si="8"/>
        <v>10</v>
      </c>
      <c r="C33" s="213"/>
      <c r="D33" s="214">
        <v>7</v>
      </c>
      <c r="E33" s="206">
        <f t="shared" si="9"/>
        <v>378</v>
      </c>
      <c r="F33" s="373">
        <v>33.049999999999997</v>
      </c>
      <c r="G33" s="215">
        <f t="shared" si="6"/>
        <v>32.651999999999994</v>
      </c>
      <c r="H33" s="215" t="str">
        <f t="shared" si="7"/>
        <v>IN</v>
      </c>
      <c r="I33" s="217">
        <f t="shared" si="2"/>
        <v>382.12399999999997</v>
      </c>
      <c r="J33" s="217">
        <f t="shared" si="3"/>
        <v>11659.005999999999</v>
      </c>
      <c r="K33" s="381">
        <f t="shared" si="4"/>
        <v>132.20471897937358</v>
      </c>
      <c r="L33" s="451"/>
      <c r="M33" s="451"/>
      <c r="N33" s="18"/>
      <c r="R33" s="253" t="s">
        <v>107</v>
      </c>
      <c r="S33" s="255">
        <v>15.95</v>
      </c>
    </row>
    <row r="34" spans="2:19" s="16" customFormat="1" ht="13.35" customHeight="1" thickBot="1">
      <c r="B34" s="213">
        <f t="shared" si="8"/>
        <v>11</v>
      </c>
      <c r="C34" s="213"/>
      <c r="D34" s="214">
        <v>7</v>
      </c>
      <c r="E34" s="206">
        <f t="shared" si="9"/>
        <v>377</v>
      </c>
      <c r="F34" s="373">
        <v>33.200000000000003</v>
      </c>
      <c r="G34" s="215">
        <f t="shared" si="6"/>
        <v>32.802</v>
      </c>
      <c r="H34" s="215" t="str">
        <f t="shared" si="7"/>
        <v>IN</v>
      </c>
      <c r="I34" s="217">
        <f t="shared" si="2"/>
        <v>414.92599999999999</v>
      </c>
      <c r="J34" s="217">
        <f t="shared" si="3"/>
        <v>11626.204</v>
      </c>
      <c r="K34" s="381">
        <f t="shared" si="4"/>
        <v>132.90902227349122</v>
      </c>
      <c r="L34" s="429"/>
      <c r="M34" s="429"/>
      <c r="N34" s="18"/>
      <c r="R34" s="253" t="s">
        <v>108</v>
      </c>
      <c r="S34" s="254">
        <v>11.17</v>
      </c>
    </row>
    <row r="35" spans="2:19" s="16" customFormat="1" ht="13.35" customHeight="1">
      <c r="B35" s="213">
        <f t="shared" si="8"/>
        <v>12</v>
      </c>
      <c r="C35" s="213"/>
      <c r="D35" s="214">
        <v>7</v>
      </c>
      <c r="E35" s="206">
        <f t="shared" si="9"/>
        <v>376</v>
      </c>
      <c r="F35" s="373">
        <v>33.700000000000003</v>
      </c>
      <c r="G35" s="215">
        <f t="shared" si="6"/>
        <v>33.302</v>
      </c>
      <c r="H35" s="215" t="str">
        <f t="shared" si="1"/>
        <v>IN</v>
      </c>
      <c r="I35" s="217">
        <f t="shared" si="2"/>
        <v>448.22800000000001</v>
      </c>
      <c r="J35" s="217">
        <f t="shared" si="3"/>
        <v>11592.902</v>
      </c>
      <c r="K35" s="381">
        <f t="shared" si="4"/>
        <v>133.62406124369747</v>
      </c>
      <c r="L35" s="484" t="s">
        <v>222</v>
      </c>
      <c r="M35" s="485"/>
      <c r="N35" s="18"/>
      <c r="R35" s="264"/>
      <c r="S35" s="263"/>
    </row>
    <row r="36" spans="2:19" s="16" customFormat="1" ht="13.35" customHeight="1">
      <c r="B36" s="213">
        <f t="shared" si="8"/>
        <v>13</v>
      </c>
      <c r="C36" s="213"/>
      <c r="D36" s="214">
        <v>7</v>
      </c>
      <c r="E36" s="206">
        <f t="shared" si="9"/>
        <v>375</v>
      </c>
      <c r="F36" s="373">
        <v>33.04</v>
      </c>
      <c r="G36" s="215">
        <f t="shared" si="6"/>
        <v>32.641999999999996</v>
      </c>
      <c r="H36" s="215" t="str">
        <f t="shared" si="1"/>
        <v>IN</v>
      </c>
      <c r="I36" s="217">
        <f t="shared" si="2"/>
        <v>480.87</v>
      </c>
      <c r="J36" s="217">
        <f t="shared" si="3"/>
        <v>11560.259999999998</v>
      </c>
      <c r="K36" s="381">
        <f t="shared" si="4"/>
        <v>134.32492912146677</v>
      </c>
      <c r="L36" s="486"/>
      <c r="M36" s="487"/>
      <c r="N36" s="18"/>
      <c r="P36"/>
    </row>
    <row r="37" spans="2:19" s="16" customFormat="1" ht="13.35" customHeight="1">
      <c r="B37" s="213">
        <f t="shared" si="8"/>
        <v>14</v>
      </c>
      <c r="C37" s="213"/>
      <c r="D37" s="214">
        <v>7</v>
      </c>
      <c r="E37" s="206">
        <f t="shared" si="9"/>
        <v>374</v>
      </c>
      <c r="F37" s="373">
        <v>33.01</v>
      </c>
      <c r="G37" s="215">
        <f t="shared" si="6"/>
        <v>32.611999999999995</v>
      </c>
      <c r="H37" s="215" t="str">
        <f t="shared" si="7"/>
        <v>IN</v>
      </c>
      <c r="I37" s="217">
        <f t="shared" si="2"/>
        <v>513.48199999999997</v>
      </c>
      <c r="J37" s="217">
        <f t="shared" si="3"/>
        <v>11527.647999999999</v>
      </c>
      <c r="K37" s="381">
        <f t="shared" si="4"/>
        <v>135.02515285867074</v>
      </c>
      <c r="L37" s="486"/>
      <c r="M37" s="487"/>
      <c r="N37" s="18"/>
      <c r="P37"/>
    </row>
    <row r="38" spans="2:19" s="16" customFormat="1" ht="13.35" customHeight="1">
      <c r="B38" s="213">
        <f t="shared" si="8"/>
        <v>15</v>
      </c>
      <c r="C38" s="213"/>
      <c r="D38" s="214">
        <v>7</v>
      </c>
      <c r="E38" s="206">
        <f t="shared" si="9"/>
        <v>373</v>
      </c>
      <c r="F38" s="373">
        <v>32.5</v>
      </c>
      <c r="G38" s="215">
        <f t="shared" si="6"/>
        <v>32.101999999999997</v>
      </c>
      <c r="H38" s="215" t="str">
        <f t="shared" si="7"/>
        <v>IN</v>
      </c>
      <c r="I38" s="217">
        <f t="shared" si="2"/>
        <v>545.58399999999995</v>
      </c>
      <c r="J38" s="217">
        <f t="shared" si="3"/>
        <v>11495.545999999998</v>
      </c>
      <c r="K38" s="381">
        <f t="shared" si="4"/>
        <v>135.71442620626433</v>
      </c>
      <c r="L38" s="486"/>
      <c r="M38" s="487"/>
      <c r="N38" s="18"/>
    </row>
    <row r="39" spans="2:19" s="16" customFormat="1" ht="13.35" customHeight="1" thickBot="1">
      <c r="B39" s="213">
        <f t="shared" si="8"/>
        <v>16</v>
      </c>
      <c r="C39" s="213"/>
      <c r="D39" s="214">
        <v>7</v>
      </c>
      <c r="E39" s="206">
        <f t="shared" si="9"/>
        <v>372</v>
      </c>
      <c r="F39" s="373">
        <v>33.35</v>
      </c>
      <c r="G39" s="215">
        <f t="shared" si="6"/>
        <v>32.951999999999998</v>
      </c>
      <c r="H39" s="215" t="str">
        <f t="shared" si="1"/>
        <v>IN</v>
      </c>
      <c r="I39" s="217">
        <f t="shared" si="2"/>
        <v>578.53599999999994</v>
      </c>
      <c r="J39" s="217">
        <f t="shared" si="3"/>
        <v>11462.593999999999</v>
      </c>
      <c r="K39" s="381">
        <f t="shared" si="4"/>
        <v>136.42195020320855</v>
      </c>
      <c r="L39" s="488"/>
      <c r="M39" s="489"/>
      <c r="N39" s="18"/>
    </row>
    <row r="40" spans="2:19" s="16" customFormat="1" ht="13.35" customHeight="1">
      <c r="B40" s="213">
        <f t="shared" si="8"/>
        <v>17</v>
      </c>
      <c r="C40" s="213"/>
      <c r="D40" s="214">
        <v>7</v>
      </c>
      <c r="E40" s="206">
        <f t="shared" si="9"/>
        <v>371</v>
      </c>
      <c r="F40" s="373">
        <v>32.75</v>
      </c>
      <c r="G40" s="215">
        <f t="shared" si="6"/>
        <v>32.351999999999997</v>
      </c>
      <c r="H40" s="215" t="str">
        <f t="shared" si="1"/>
        <v>IN</v>
      </c>
      <c r="I40" s="217">
        <f t="shared" si="2"/>
        <v>610.88799999999992</v>
      </c>
      <c r="J40" s="217">
        <f t="shared" si="3"/>
        <v>11430.241999999998</v>
      </c>
      <c r="K40" s="381">
        <f t="shared" si="4"/>
        <v>137.11659138884644</v>
      </c>
      <c r="L40" s="429"/>
      <c r="M40" s="429"/>
      <c r="N40" s="18"/>
    </row>
    <row r="41" spans="2:19" s="16" customFormat="1" ht="13.35" customHeight="1" thickBot="1">
      <c r="B41" s="213">
        <f t="shared" si="8"/>
        <v>18</v>
      </c>
      <c r="C41" s="213"/>
      <c r="D41" s="214">
        <v>7</v>
      </c>
      <c r="E41" s="206">
        <f t="shared" si="9"/>
        <v>370</v>
      </c>
      <c r="F41" s="373">
        <v>33.340000000000003</v>
      </c>
      <c r="G41" s="215">
        <f t="shared" si="6"/>
        <v>32.942</v>
      </c>
      <c r="H41" s="215" t="str">
        <f t="shared" si="7"/>
        <v>IN</v>
      </c>
      <c r="I41" s="217">
        <f t="shared" si="2"/>
        <v>643.82999999999993</v>
      </c>
      <c r="J41" s="217">
        <f t="shared" si="3"/>
        <v>11397.3</v>
      </c>
      <c r="K41" s="381">
        <f t="shared" si="4"/>
        <v>137.82390067226891</v>
      </c>
      <c r="L41" s="429"/>
      <c r="M41" s="429"/>
      <c r="N41" s="18"/>
      <c r="Q41"/>
    </row>
    <row r="42" spans="2:19" s="16" customFormat="1" ht="13.35" customHeight="1">
      <c r="B42" s="213">
        <f t="shared" si="8"/>
        <v>19</v>
      </c>
      <c r="C42" s="213"/>
      <c r="D42" s="214">
        <v>7</v>
      </c>
      <c r="E42" s="206">
        <f t="shared" si="9"/>
        <v>369</v>
      </c>
      <c r="F42" s="373">
        <v>33.74</v>
      </c>
      <c r="G42" s="215">
        <f t="shared" si="6"/>
        <v>33.341999999999999</v>
      </c>
      <c r="H42" s="215" t="str">
        <f t="shared" si="7"/>
        <v>IN</v>
      </c>
      <c r="I42" s="217">
        <f t="shared" si="2"/>
        <v>677.17199999999991</v>
      </c>
      <c r="J42" s="217">
        <f t="shared" si="3"/>
        <v>11363.957999999999</v>
      </c>
      <c r="K42" s="381">
        <f t="shared" si="4"/>
        <v>138.53979849656227</v>
      </c>
      <c r="L42" s="490" t="s">
        <v>116</v>
      </c>
      <c r="M42" s="491"/>
      <c r="N42" s="18"/>
    </row>
    <row r="43" spans="2:19" s="16" customFormat="1" ht="13.35" customHeight="1" thickBot="1">
      <c r="B43" s="213">
        <f t="shared" si="8"/>
        <v>20</v>
      </c>
      <c r="C43" s="213"/>
      <c r="D43" s="214">
        <v>7</v>
      </c>
      <c r="E43" s="206">
        <f t="shared" si="9"/>
        <v>368</v>
      </c>
      <c r="F43" s="373">
        <v>33.29</v>
      </c>
      <c r="G43" s="215">
        <f t="shared" si="6"/>
        <v>32.891999999999996</v>
      </c>
      <c r="H43" s="215" t="str">
        <f t="shared" si="1"/>
        <v>IN</v>
      </c>
      <c r="I43" s="217">
        <f t="shared" si="2"/>
        <v>710.06399999999985</v>
      </c>
      <c r="J43" s="217">
        <f t="shared" si="3"/>
        <v>11331.065999999999</v>
      </c>
      <c r="K43" s="381">
        <f t="shared" si="4"/>
        <v>139.24603421237586</v>
      </c>
      <c r="L43" s="492" t="s">
        <v>117</v>
      </c>
      <c r="M43" s="493"/>
      <c r="N43" s="18"/>
    </row>
    <row r="44" spans="2:19" s="16" customFormat="1" ht="13.35" customHeight="1">
      <c r="B44" s="213">
        <f t="shared" si="8"/>
        <v>21</v>
      </c>
      <c r="C44" s="213"/>
      <c r="D44" s="214">
        <v>7</v>
      </c>
      <c r="E44" s="206">
        <f t="shared" si="9"/>
        <v>367</v>
      </c>
      <c r="F44" s="373">
        <v>33.54</v>
      </c>
      <c r="G44" s="215">
        <f t="shared" si="6"/>
        <v>33.141999999999996</v>
      </c>
      <c r="H44" s="215" t="str">
        <f t="shared" si="1"/>
        <v>IN</v>
      </c>
      <c r="I44" s="217">
        <f t="shared" si="2"/>
        <v>743.2059999999999</v>
      </c>
      <c r="J44" s="217">
        <f t="shared" si="3"/>
        <v>11297.923999999999</v>
      </c>
      <c r="K44" s="381">
        <f t="shared" si="4"/>
        <v>139.95763776623377</v>
      </c>
      <c r="L44" s="429"/>
      <c r="M44" s="429"/>
      <c r="N44" s="18"/>
    </row>
    <row r="45" spans="2:19" s="16" customFormat="1" ht="13.35" customHeight="1">
      <c r="B45" s="213">
        <f t="shared" si="8"/>
        <v>22</v>
      </c>
      <c r="C45" s="213"/>
      <c r="D45" s="214">
        <v>7</v>
      </c>
      <c r="E45" s="206">
        <f t="shared" si="9"/>
        <v>366</v>
      </c>
      <c r="F45" s="373">
        <v>33.46</v>
      </c>
      <c r="G45" s="215">
        <f t="shared" si="6"/>
        <v>33.061999999999998</v>
      </c>
      <c r="H45" s="215" t="str">
        <f t="shared" si="7"/>
        <v>IN</v>
      </c>
      <c r="I45" s="217">
        <f t="shared" si="2"/>
        <v>776.26799999999992</v>
      </c>
      <c r="J45" s="217">
        <f t="shared" si="3"/>
        <v>11264.861999999999</v>
      </c>
      <c r="K45" s="381">
        <f t="shared" si="4"/>
        <v>140.66752361191749</v>
      </c>
      <c r="L45" s="429"/>
      <c r="M45" s="429"/>
      <c r="N45" s="18"/>
    </row>
    <row r="46" spans="2:19" s="16" customFormat="1" ht="13.35" customHeight="1">
      <c r="B46" s="213">
        <f t="shared" si="8"/>
        <v>23</v>
      </c>
      <c r="C46" s="213"/>
      <c r="D46" s="214">
        <v>7</v>
      </c>
      <c r="E46" s="206">
        <f t="shared" si="9"/>
        <v>365</v>
      </c>
      <c r="F46" s="373">
        <v>33.950000000000003</v>
      </c>
      <c r="G46" s="215">
        <f t="shared" si="6"/>
        <v>33.552</v>
      </c>
      <c r="H46" s="215" t="str">
        <f t="shared" si="7"/>
        <v>IN</v>
      </c>
      <c r="I46" s="217">
        <f t="shared" si="2"/>
        <v>809.81999999999994</v>
      </c>
      <c r="J46" s="217">
        <f t="shared" si="3"/>
        <v>11231.31</v>
      </c>
      <c r="K46" s="381">
        <f t="shared" si="4"/>
        <v>141.38793042016806</v>
      </c>
      <c r="L46" s="429"/>
      <c r="M46" s="429"/>
      <c r="N46" s="18"/>
    </row>
    <row r="47" spans="2:19" s="16" customFormat="1" ht="13.35" customHeight="1">
      <c r="B47" s="213">
        <f t="shared" si="8"/>
        <v>24</v>
      </c>
      <c r="C47" s="213"/>
      <c r="D47" s="214">
        <v>7</v>
      </c>
      <c r="E47" s="206">
        <f t="shared" si="9"/>
        <v>364</v>
      </c>
      <c r="F47" s="373">
        <v>33.590000000000003</v>
      </c>
      <c r="G47" s="215">
        <f t="shared" si="6"/>
        <v>33.192</v>
      </c>
      <c r="H47" s="215" t="str">
        <f t="shared" si="1"/>
        <v>IN</v>
      </c>
      <c r="I47" s="217">
        <f t="shared" si="2"/>
        <v>843.01199999999994</v>
      </c>
      <c r="J47" s="217">
        <f t="shared" si="3"/>
        <v>11198.117999999999</v>
      </c>
      <c r="K47" s="381">
        <f t="shared" si="4"/>
        <v>142.10060754163484</v>
      </c>
      <c r="L47" s="429"/>
      <c r="M47" s="429"/>
      <c r="N47" s="18"/>
    </row>
    <row r="48" spans="2:19" s="16" customFormat="1" ht="13.35" customHeight="1">
      <c r="B48" s="213">
        <f t="shared" si="8"/>
        <v>25</v>
      </c>
      <c r="C48" s="213"/>
      <c r="D48" s="214">
        <v>7</v>
      </c>
      <c r="E48" s="206">
        <f t="shared" si="9"/>
        <v>363</v>
      </c>
      <c r="F48" s="373">
        <v>32.880000000000003</v>
      </c>
      <c r="G48" s="215">
        <f t="shared" si="6"/>
        <v>32.481999999999999</v>
      </c>
      <c r="H48" s="215" t="str">
        <f t="shared" si="1"/>
        <v>IN</v>
      </c>
      <c r="I48" s="217">
        <f t="shared" si="2"/>
        <v>875.49399999999991</v>
      </c>
      <c r="J48" s="217">
        <f t="shared" si="3"/>
        <v>11165.635999999999</v>
      </c>
      <c r="K48" s="381">
        <f t="shared" si="4"/>
        <v>142.79804000305577</v>
      </c>
      <c r="L48" s="429"/>
      <c r="M48" s="429"/>
      <c r="N48" s="18"/>
    </row>
    <row r="49" spans="2:14" s="16" customFormat="1" ht="13.35" customHeight="1">
      <c r="B49" s="213">
        <f t="shared" si="8"/>
        <v>26</v>
      </c>
      <c r="C49" s="213"/>
      <c r="D49" s="214">
        <v>7</v>
      </c>
      <c r="E49" s="206">
        <f t="shared" si="9"/>
        <v>362</v>
      </c>
      <c r="F49" s="373">
        <v>31.5</v>
      </c>
      <c r="G49" s="215">
        <f t="shared" si="6"/>
        <v>31.102</v>
      </c>
      <c r="H49" s="215" t="str">
        <f t="shared" si="7"/>
        <v>IN</v>
      </c>
      <c r="I49" s="217">
        <f t="shared" si="2"/>
        <v>906.59599999999989</v>
      </c>
      <c r="J49" s="217">
        <f t="shared" si="3"/>
        <v>11134.534</v>
      </c>
      <c r="K49" s="381">
        <f t="shared" si="4"/>
        <v>143.46584199847211</v>
      </c>
      <c r="L49" s="429"/>
      <c r="M49" s="429"/>
      <c r="N49" s="18"/>
    </row>
    <row r="50" spans="2:14" s="16" customFormat="1" ht="13.35" customHeight="1">
      <c r="B50" s="213">
        <f t="shared" si="8"/>
        <v>27</v>
      </c>
      <c r="C50" s="213"/>
      <c r="D50" s="214">
        <v>7</v>
      </c>
      <c r="E50" s="206">
        <f t="shared" si="9"/>
        <v>361</v>
      </c>
      <c r="F50" s="373">
        <v>33.450000000000003</v>
      </c>
      <c r="G50" s="215">
        <f t="shared" si="6"/>
        <v>33.052</v>
      </c>
      <c r="H50" s="215" t="str">
        <f t="shared" si="7"/>
        <v>IN</v>
      </c>
      <c r="I50" s="217">
        <f t="shared" si="2"/>
        <v>939.64799999999991</v>
      </c>
      <c r="J50" s="217">
        <f t="shared" si="3"/>
        <v>11101.482</v>
      </c>
      <c r="K50" s="381">
        <f t="shared" si="4"/>
        <v>144.17551313063407</v>
      </c>
      <c r="L50" s="429"/>
      <c r="M50" s="429"/>
      <c r="N50" s="18"/>
    </row>
    <row r="51" spans="2:14" s="16" customFormat="1" ht="13.35" customHeight="1">
      <c r="B51" s="213">
        <f t="shared" si="8"/>
        <v>28</v>
      </c>
      <c r="C51" s="213"/>
      <c r="D51" s="214">
        <v>7</v>
      </c>
      <c r="E51" s="206">
        <f t="shared" si="9"/>
        <v>360</v>
      </c>
      <c r="F51" s="373">
        <v>33.06</v>
      </c>
      <c r="G51" s="215">
        <f t="shared" si="6"/>
        <v>32.661999999999999</v>
      </c>
      <c r="H51" s="215" t="str">
        <f t="shared" si="1"/>
        <v>IN</v>
      </c>
      <c r="I51" s="217">
        <f t="shared" si="2"/>
        <v>972.31</v>
      </c>
      <c r="J51" s="217">
        <f t="shared" si="3"/>
        <v>11068.82</v>
      </c>
      <c r="K51" s="381">
        <f t="shared" si="4"/>
        <v>144.87681043544691</v>
      </c>
      <c r="L51" s="429"/>
      <c r="M51" s="429"/>
      <c r="N51" s="18"/>
    </row>
    <row r="52" spans="2:14" s="16" customFormat="1" ht="13.35" customHeight="1">
      <c r="B52" s="213">
        <f t="shared" si="8"/>
        <v>29</v>
      </c>
      <c r="C52" s="213"/>
      <c r="D52" s="214">
        <v>7</v>
      </c>
      <c r="E52" s="206">
        <f t="shared" si="9"/>
        <v>359</v>
      </c>
      <c r="F52" s="373">
        <v>33.049999999999997</v>
      </c>
      <c r="G52" s="215">
        <f t="shared" si="6"/>
        <v>32.651999999999994</v>
      </c>
      <c r="H52" s="215" t="str">
        <f t="shared" si="1"/>
        <v>IN</v>
      </c>
      <c r="I52" s="217">
        <f t="shared" si="2"/>
        <v>1004.962</v>
      </c>
      <c r="J52" s="217">
        <f t="shared" si="3"/>
        <v>11036.168</v>
      </c>
      <c r="K52" s="381">
        <f t="shared" si="4"/>
        <v>145.57789302673797</v>
      </c>
      <c r="L52" s="429"/>
      <c r="M52" s="429"/>
      <c r="N52" s="18"/>
    </row>
    <row r="53" spans="2:14" s="16" customFormat="1" ht="13.35" customHeight="1">
      <c r="B53" s="213">
        <f t="shared" si="8"/>
        <v>30</v>
      </c>
      <c r="C53" s="213"/>
      <c r="D53" s="214">
        <v>7</v>
      </c>
      <c r="E53" s="206">
        <f t="shared" si="9"/>
        <v>358</v>
      </c>
      <c r="F53" s="373">
        <v>33.29</v>
      </c>
      <c r="G53" s="215">
        <f t="shared" si="6"/>
        <v>32.891999999999996</v>
      </c>
      <c r="H53" s="215" t="str">
        <f t="shared" si="7"/>
        <v>IN</v>
      </c>
      <c r="I53" s="217">
        <f t="shared" si="2"/>
        <v>1037.854</v>
      </c>
      <c r="J53" s="217">
        <f t="shared" si="3"/>
        <v>11003.276</v>
      </c>
      <c r="K53" s="381">
        <f t="shared" si="4"/>
        <v>146.28412874255156</v>
      </c>
      <c r="L53" s="429"/>
      <c r="M53" s="429"/>
      <c r="N53" s="18"/>
    </row>
    <row r="54" spans="2:14" s="16" customFormat="1" ht="13.35" customHeight="1">
      <c r="B54" s="213">
        <f t="shared" si="8"/>
        <v>31</v>
      </c>
      <c r="C54" s="213"/>
      <c r="D54" s="214">
        <v>7</v>
      </c>
      <c r="E54" s="206">
        <f t="shared" si="9"/>
        <v>357</v>
      </c>
      <c r="F54" s="373">
        <v>33.200000000000003</v>
      </c>
      <c r="G54" s="215">
        <f t="shared" si="6"/>
        <v>32.802</v>
      </c>
      <c r="H54" s="215" t="str">
        <f t="shared" si="7"/>
        <v>IN</v>
      </c>
      <c r="I54" s="217">
        <f t="shared" si="2"/>
        <v>1070.6559999999999</v>
      </c>
      <c r="J54" s="217">
        <f t="shared" si="3"/>
        <v>10970.473999999998</v>
      </c>
      <c r="K54" s="381">
        <f t="shared" si="4"/>
        <v>146.98843203666922</v>
      </c>
      <c r="L54" s="429"/>
      <c r="M54" s="429"/>
      <c r="N54" s="18"/>
    </row>
    <row r="55" spans="2:14" s="16" customFormat="1" ht="13.35" customHeight="1">
      <c r="B55" s="213">
        <f t="shared" si="8"/>
        <v>32</v>
      </c>
      <c r="C55" s="213"/>
      <c r="D55" s="214">
        <v>7</v>
      </c>
      <c r="E55" s="206">
        <f t="shared" si="9"/>
        <v>356</v>
      </c>
      <c r="F55" s="373">
        <v>33.520000000000003</v>
      </c>
      <c r="G55" s="215">
        <f t="shared" si="6"/>
        <v>33.122</v>
      </c>
      <c r="H55" s="215" t="str">
        <f t="shared" si="1"/>
        <v>IN</v>
      </c>
      <c r="I55" s="217">
        <f t="shared" si="2"/>
        <v>1103.778</v>
      </c>
      <c r="J55" s="217">
        <f t="shared" si="3"/>
        <v>10937.351999999999</v>
      </c>
      <c r="K55" s="381">
        <f t="shared" si="4"/>
        <v>147.69960616348357</v>
      </c>
      <c r="L55" s="429"/>
      <c r="M55" s="429"/>
      <c r="N55" s="18"/>
    </row>
    <row r="56" spans="2:14" s="16" customFormat="1" ht="13.35" customHeight="1">
      <c r="B56" s="213">
        <f t="shared" si="8"/>
        <v>33</v>
      </c>
      <c r="C56" s="213"/>
      <c r="D56" s="214">
        <v>7</v>
      </c>
      <c r="E56" s="206">
        <f t="shared" si="9"/>
        <v>355</v>
      </c>
      <c r="F56" s="373">
        <v>33</v>
      </c>
      <c r="G56" s="215">
        <f t="shared" si="6"/>
        <v>32.601999999999997</v>
      </c>
      <c r="H56" s="215" t="str">
        <f t="shared" si="1"/>
        <v>IN</v>
      </c>
      <c r="I56" s="217">
        <f t="shared" si="2"/>
        <v>1136.3800000000001</v>
      </c>
      <c r="J56" s="217">
        <f t="shared" si="3"/>
        <v>10904.75</v>
      </c>
      <c r="K56" s="381">
        <f t="shared" si="4"/>
        <v>148.39961518716578</v>
      </c>
      <c r="L56" s="429"/>
      <c r="M56" s="429"/>
      <c r="N56" s="18"/>
    </row>
    <row r="57" spans="2:14" s="16" customFormat="1" ht="13.35" customHeight="1">
      <c r="B57" s="213">
        <f t="shared" si="8"/>
        <v>34</v>
      </c>
      <c r="C57" s="213"/>
      <c r="D57" s="214">
        <v>7</v>
      </c>
      <c r="E57" s="206">
        <f t="shared" si="9"/>
        <v>354</v>
      </c>
      <c r="F57" s="373">
        <v>33.75</v>
      </c>
      <c r="G57" s="215">
        <f t="shared" si="6"/>
        <v>33.351999999999997</v>
      </c>
      <c r="H57" s="215" t="str">
        <f t="shared" si="7"/>
        <v>IN</v>
      </c>
      <c r="I57" s="217">
        <f t="shared" si="2"/>
        <v>1169.7320000000002</v>
      </c>
      <c r="J57" s="217">
        <f t="shared" si="3"/>
        <v>10871.397999999999</v>
      </c>
      <c r="K57" s="381">
        <f t="shared" si="4"/>
        <v>149.1157277249809</v>
      </c>
      <c r="L57" s="429"/>
      <c r="M57" s="429"/>
      <c r="N57" s="18"/>
    </row>
    <row r="58" spans="2:14" s="16" customFormat="1" ht="13.35" customHeight="1">
      <c r="B58" s="213">
        <f t="shared" si="8"/>
        <v>35</v>
      </c>
      <c r="C58" s="213"/>
      <c r="D58" s="214">
        <v>7</v>
      </c>
      <c r="E58" s="206">
        <f t="shared" si="9"/>
        <v>353</v>
      </c>
      <c r="F58" s="373">
        <v>32.81</v>
      </c>
      <c r="G58" s="215">
        <f t="shared" si="6"/>
        <v>32.411999999999999</v>
      </c>
      <c r="H58" s="215" t="str">
        <f t="shared" si="7"/>
        <v>IN</v>
      </c>
      <c r="I58" s="217">
        <f t="shared" si="2"/>
        <v>1202.1440000000002</v>
      </c>
      <c r="J58" s="217">
        <f t="shared" si="3"/>
        <v>10838.985999999999</v>
      </c>
      <c r="K58" s="381">
        <f t="shared" si="4"/>
        <v>149.81165719174942</v>
      </c>
      <c r="L58" s="429"/>
      <c r="M58" s="429"/>
      <c r="N58" s="18"/>
    </row>
    <row r="59" spans="2:14" s="16" customFormat="1" ht="13.35" customHeight="1">
      <c r="B59" s="213">
        <f t="shared" si="8"/>
        <v>36</v>
      </c>
      <c r="C59" s="213"/>
      <c r="D59" s="214">
        <v>7</v>
      </c>
      <c r="E59" s="206">
        <f t="shared" si="9"/>
        <v>352</v>
      </c>
      <c r="F59" s="373">
        <v>33.19</v>
      </c>
      <c r="G59" s="215">
        <f t="shared" si="6"/>
        <v>32.791999999999994</v>
      </c>
      <c r="H59" s="215" t="str">
        <f t="shared" si="1"/>
        <v>IN</v>
      </c>
      <c r="I59" s="217">
        <f t="shared" si="2"/>
        <v>1234.9360000000001</v>
      </c>
      <c r="J59" s="217">
        <f t="shared" si="3"/>
        <v>10806.194</v>
      </c>
      <c r="K59" s="381">
        <f t="shared" si="4"/>
        <v>150.5157457723453</v>
      </c>
      <c r="L59" s="429"/>
      <c r="M59" s="429"/>
      <c r="N59" s="18"/>
    </row>
    <row r="60" spans="2:14" s="16" customFormat="1" ht="13.35" customHeight="1">
      <c r="B60" s="213">
        <f t="shared" si="8"/>
        <v>37</v>
      </c>
      <c r="C60" s="213"/>
      <c r="D60" s="214">
        <v>7</v>
      </c>
      <c r="E60" s="206">
        <f t="shared" si="9"/>
        <v>351</v>
      </c>
      <c r="F60" s="373">
        <v>33.049999999999997</v>
      </c>
      <c r="G60" s="215">
        <f t="shared" si="6"/>
        <v>32.651999999999994</v>
      </c>
      <c r="H60" s="215" t="str">
        <f t="shared" si="1"/>
        <v>IN</v>
      </c>
      <c r="I60" s="217">
        <f t="shared" si="2"/>
        <v>1267.5880000000002</v>
      </c>
      <c r="J60" s="217">
        <f t="shared" si="3"/>
        <v>10773.541999999999</v>
      </c>
      <c r="K60" s="381">
        <f t="shared" si="4"/>
        <v>151.21682836363638</v>
      </c>
      <c r="L60" s="429"/>
      <c r="M60" s="429"/>
      <c r="N60" s="18"/>
    </row>
    <row r="61" spans="2:14" s="16" customFormat="1" ht="13.35" customHeight="1">
      <c r="B61" s="213">
        <f t="shared" si="8"/>
        <v>38</v>
      </c>
      <c r="C61" s="213"/>
      <c r="D61" s="214">
        <v>7</v>
      </c>
      <c r="E61" s="206">
        <f t="shared" si="9"/>
        <v>350</v>
      </c>
      <c r="F61" s="373">
        <v>31.37</v>
      </c>
      <c r="G61" s="215">
        <f t="shared" si="6"/>
        <v>30.972000000000001</v>
      </c>
      <c r="H61" s="215" t="str">
        <f t="shared" si="7"/>
        <v>IN</v>
      </c>
      <c r="I61" s="217">
        <f t="shared" si="2"/>
        <v>1298.5600000000002</v>
      </c>
      <c r="J61" s="217">
        <f t="shared" si="3"/>
        <v>10742.57</v>
      </c>
      <c r="K61" s="381">
        <f t="shared" si="4"/>
        <v>151.88183908326968</v>
      </c>
      <c r="L61" s="400"/>
      <c r="M61" s="400"/>
      <c r="N61" s="18"/>
    </row>
    <row r="62" spans="2:14" s="16" customFormat="1" ht="13.35" customHeight="1">
      <c r="B62" s="213">
        <f t="shared" si="8"/>
        <v>39</v>
      </c>
      <c r="C62" s="213"/>
      <c r="D62" s="214">
        <v>7</v>
      </c>
      <c r="E62" s="206">
        <f t="shared" si="9"/>
        <v>349</v>
      </c>
      <c r="F62" s="373">
        <v>33.15</v>
      </c>
      <c r="G62" s="215">
        <f t="shared" si="6"/>
        <v>32.751999999999995</v>
      </c>
      <c r="H62" s="215" t="str">
        <f t="shared" si="7"/>
        <v>IN</v>
      </c>
      <c r="I62" s="217">
        <f t="shared" si="2"/>
        <v>1331.3120000000001</v>
      </c>
      <c r="J62" s="217">
        <f t="shared" si="3"/>
        <v>10709.817999999999</v>
      </c>
      <c r="K62" s="381">
        <f t="shared" si="4"/>
        <v>152.58506880977845</v>
      </c>
      <c r="L62" s="403" t="s">
        <v>219</v>
      </c>
      <c r="M62" s="404"/>
      <c r="N62" s="18"/>
    </row>
    <row r="63" spans="2:14" s="16" customFormat="1" ht="13.35" customHeight="1">
      <c r="B63" s="213">
        <f t="shared" si="8"/>
        <v>40</v>
      </c>
      <c r="C63" s="213"/>
      <c r="D63" s="214">
        <v>7</v>
      </c>
      <c r="E63" s="206">
        <f t="shared" si="9"/>
        <v>348</v>
      </c>
      <c r="F63" s="373">
        <v>33.26</v>
      </c>
      <c r="G63" s="215">
        <f t="shared" si="6"/>
        <v>32.861999999999995</v>
      </c>
      <c r="H63" s="215" t="str">
        <f t="shared" si="1"/>
        <v>IN</v>
      </c>
      <c r="I63" s="217">
        <f t="shared" si="2"/>
        <v>1364.1740000000002</v>
      </c>
      <c r="J63" s="217">
        <f t="shared" si="3"/>
        <v>10676.955999999998</v>
      </c>
      <c r="K63" s="381">
        <f t="shared" si="4"/>
        <v>153.29066038502674</v>
      </c>
      <c r="L63" s="405" t="s">
        <v>220</v>
      </c>
      <c r="M63" s="406"/>
      <c r="N63" s="18"/>
    </row>
    <row r="64" spans="2:14" s="16" customFormat="1" ht="13.35" customHeight="1">
      <c r="B64" s="213">
        <f t="shared" si="8"/>
        <v>41</v>
      </c>
      <c r="C64" s="213"/>
      <c r="D64" s="214">
        <v>7</v>
      </c>
      <c r="E64" s="206">
        <f t="shared" si="9"/>
        <v>347</v>
      </c>
      <c r="F64" s="373">
        <v>33.47</v>
      </c>
      <c r="G64" s="215">
        <f t="shared" si="6"/>
        <v>33.071999999999996</v>
      </c>
      <c r="H64" s="215" t="str">
        <f t="shared" si="1"/>
        <v>IN</v>
      </c>
      <c r="I64" s="217">
        <f t="shared" si="2"/>
        <v>1397.2460000000001</v>
      </c>
      <c r="J64" s="217">
        <f t="shared" si="3"/>
        <v>10643.883999999998</v>
      </c>
      <c r="K64" s="381">
        <f t="shared" si="4"/>
        <v>154.00076094423224</v>
      </c>
      <c r="L64" s="405" t="s">
        <v>221</v>
      </c>
      <c r="M64" s="406"/>
      <c r="N64" s="18"/>
    </row>
    <row r="65" spans="2:14" s="16" customFormat="1" ht="13.35" customHeight="1">
      <c r="B65" s="213">
        <f t="shared" si="8"/>
        <v>42</v>
      </c>
      <c r="C65" s="213"/>
      <c r="D65" s="214">
        <v>7</v>
      </c>
      <c r="E65" s="206">
        <f t="shared" si="9"/>
        <v>346</v>
      </c>
      <c r="F65" s="373">
        <v>33.08</v>
      </c>
      <c r="G65" s="215">
        <f t="shared" si="6"/>
        <v>32.681999999999995</v>
      </c>
      <c r="H65" s="215" t="str">
        <f t="shared" si="7"/>
        <v>IN</v>
      </c>
      <c r="I65" s="217">
        <f t="shared" si="2"/>
        <v>1429.9280000000001</v>
      </c>
      <c r="J65" s="217">
        <f t="shared" si="3"/>
        <v>10611.201999999999</v>
      </c>
      <c r="K65" s="381">
        <f t="shared" si="4"/>
        <v>154.70248767608862</v>
      </c>
      <c r="L65" s="401"/>
      <c r="M65" s="402"/>
      <c r="N65" s="18"/>
    </row>
    <row r="66" spans="2:14" s="16" customFormat="1" ht="13.35" customHeight="1">
      <c r="B66" s="213">
        <f t="shared" si="8"/>
        <v>43</v>
      </c>
      <c r="C66" s="213"/>
      <c r="D66" s="214">
        <v>7</v>
      </c>
      <c r="E66" s="206">
        <f t="shared" si="9"/>
        <v>345</v>
      </c>
      <c r="F66" s="373">
        <v>33.43</v>
      </c>
      <c r="G66" s="215">
        <f t="shared" si="6"/>
        <v>33.031999999999996</v>
      </c>
      <c r="H66" s="215" t="str">
        <f t="shared" si="7"/>
        <v>IN</v>
      </c>
      <c r="I66" s="217">
        <f t="shared" si="2"/>
        <v>1462.96</v>
      </c>
      <c r="J66" s="217">
        <f t="shared" si="3"/>
        <v>10578.169999999998</v>
      </c>
      <c r="K66" s="381">
        <f t="shared" si="4"/>
        <v>155.41172938120704</v>
      </c>
      <c r="L66" s="429"/>
      <c r="M66" s="429"/>
      <c r="N66" s="18"/>
    </row>
    <row r="67" spans="2:14" s="16" customFormat="1" ht="13.35" customHeight="1">
      <c r="B67" s="213">
        <f t="shared" si="8"/>
        <v>44</v>
      </c>
      <c r="C67" s="213"/>
      <c r="D67" s="214">
        <v>7</v>
      </c>
      <c r="E67" s="206">
        <f t="shared" si="9"/>
        <v>344</v>
      </c>
      <c r="F67" s="373">
        <v>32.51</v>
      </c>
      <c r="G67" s="215">
        <f t="shared" si="6"/>
        <v>32.111999999999995</v>
      </c>
      <c r="H67" s="215" t="str">
        <f t="shared" si="1"/>
        <v>IN</v>
      </c>
      <c r="I67" s="217">
        <f t="shared" si="2"/>
        <v>1495.0720000000001</v>
      </c>
      <c r="J67" s="217">
        <f t="shared" si="3"/>
        <v>10546.057999999999</v>
      </c>
      <c r="K67" s="381">
        <f t="shared" si="4"/>
        <v>156.10121744232239</v>
      </c>
      <c r="L67" s="429"/>
      <c r="M67" s="429"/>
      <c r="N67" s="18"/>
    </row>
    <row r="68" spans="2:14" s="16" customFormat="1" ht="13.35" customHeight="1">
      <c r="B68" s="213">
        <f t="shared" si="8"/>
        <v>45</v>
      </c>
      <c r="C68" s="213"/>
      <c r="D68" s="214">
        <v>7</v>
      </c>
      <c r="E68" s="206">
        <f t="shared" si="9"/>
        <v>343</v>
      </c>
      <c r="F68" s="373">
        <v>33.14</v>
      </c>
      <c r="G68" s="215">
        <f t="shared" si="6"/>
        <v>32.741999999999997</v>
      </c>
      <c r="H68" s="215" t="str">
        <f t="shared" si="1"/>
        <v>IN</v>
      </c>
      <c r="I68" s="217">
        <f t="shared" si="2"/>
        <v>1527.8140000000001</v>
      </c>
      <c r="J68" s="217">
        <f t="shared" si="3"/>
        <v>10513.315999999999</v>
      </c>
      <c r="K68" s="381">
        <f t="shared" si="4"/>
        <v>156.8042324553094</v>
      </c>
      <c r="L68" s="429"/>
      <c r="M68" s="429"/>
      <c r="N68" s="18"/>
    </row>
    <row r="69" spans="2:14" s="16" customFormat="1" ht="13.35" customHeight="1">
      <c r="B69" s="213">
        <f t="shared" si="8"/>
        <v>46</v>
      </c>
      <c r="C69" s="213"/>
      <c r="D69" s="214">
        <v>7</v>
      </c>
      <c r="E69" s="206">
        <f t="shared" si="9"/>
        <v>342</v>
      </c>
      <c r="F69" s="373">
        <v>31.44</v>
      </c>
      <c r="G69" s="215">
        <f t="shared" si="6"/>
        <v>31.042000000000002</v>
      </c>
      <c r="H69" s="215" t="str">
        <f t="shared" si="7"/>
        <v>IN</v>
      </c>
      <c r="I69" s="217">
        <f t="shared" si="2"/>
        <v>1558.856</v>
      </c>
      <c r="J69" s="217">
        <f t="shared" si="3"/>
        <v>10482.273999999999</v>
      </c>
      <c r="K69" s="381">
        <f t="shared" si="4"/>
        <v>157.47074616959512</v>
      </c>
      <c r="L69" s="429"/>
      <c r="M69" s="429"/>
      <c r="N69" s="18"/>
    </row>
    <row r="70" spans="2:14" s="16" customFormat="1" ht="13.35" customHeight="1">
      <c r="B70" s="213">
        <f t="shared" si="8"/>
        <v>47</v>
      </c>
      <c r="C70" s="213"/>
      <c r="D70" s="214">
        <v>7</v>
      </c>
      <c r="E70" s="206">
        <f t="shared" si="9"/>
        <v>341</v>
      </c>
      <c r="F70" s="373">
        <v>33.85</v>
      </c>
      <c r="G70" s="215">
        <f t="shared" si="6"/>
        <v>33.451999999999998</v>
      </c>
      <c r="H70" s="215" t="str">
        <f t="shared" si="7"/>
        <v>IN</v>
      </c>
      <c r="I70" s="217">
        <f t="shared" si="2"/>
        <v>1592.308</v>
      </c>
      <c r="J70" s="217">
        <f t="shared" si="3"/>
        <v>10448.822</v>
      </c>
      <c r="K70" s="381">
        <f t="shared" si="4"/>
        <v>158.18900584262798</v>
      </c>
      <c r="L70" s="451"/>
      <c r="M70" s="451"/>
      <c r="N70" s="18"/>
    </row>
    <row r="71" spans="2:14" s="16" customFormat="1" ht="13.35" customHeight="1">
      <c r="B71" s="213">
        <f t="shared" si="8"/>
        <v>48</v>
      </c>
      <c r="C71" s="213"/>
      <c r="D71" s="214">
        <v>7</v>
      </c>
      <c r="E71" s="206">
        <f t="shared" si="9"/>
        <v>340</v>
      </c>
      <c r="F71" s="373">
        <v>31.65</v>
      </c>
      <c r="G71" s="215">
        <f t="shared" si="6"/>
        <v>31.251999999999999</v>
      </c>
      <c r="H71" s="215" t="str">
        <f t="shared" si="1"/>
        <v>IN</v>
      </c>
      <c r="I71" s="217">
        <f t="shared" si="2"/>
        <v>1623.56</v>
      </c>
      <c r="J71" s="217">
        <f t="shared" si="3"/>
        <v>10417.57</v>
      </c>
      <c r="K71" s="381">
        <f t="shared" si="4"/>
        <v>158.8600285408709</v>
      </c>
      <c r="L71" s="451"/>
      <c r="M71" s="451"/>
      <c r="N71" s="18"/>
    </row>
    <row r="72" spans="2:14" s="16" customFormat="1" ht="13.35" customHeight="1">
      <c r="B72" s="213">
        <f t="shared" si="8"/>
        <v>49</v>
      </c>
      <c r="C72" s="213"/>
      <c r="D72" s="214">
        <v>7</v>
      </c>
      <c r="E72" s="206">
        <f t="shared" si="9"/>
        <v>339</v>
      </c>
      <c r="F72" s="373">
        <v>33.39</v>
      </c>
      <c r="G72" s="215">
        <f t="shared" si="6"/>
        <v>32.991999999999997</v>
      </c>
      <c r="H72" s="215" t="str">
        <f t="shared" si="1"/>
        <v>IN</v>
      </c>
      <c r="I72" s="217">
        <f t="shared" si="2"/>
        <v>1656.5519999999999</v>
      </c>
      <c r="J72" s="217">
        <f t="shared" si="3"/>
        <v>10384.578</v>
      </c>
      <c r="K72" s="381">
        <f t="shared" si="4"/>
        <v>159.5684113919022</v>
      </c>
      <c r="L72" s="451"/>
      <c r="M72" s="451"/>
      <c r="N72" s="18"/>
    </row>
    <row r="73" spans="2:14" s="16" customFormat="1" ht="13.35" customHeight="1">
      <c r="B73" s="213">
        <f t="shared" si="8"/>
        <v>50</v>
      </c>
      <c r="C73" s="213"/>
      <c r="D73" s="214">
        <v>7</v>
      </c>
      <c r="E73" s="206">
        <f t="shared" si="9"/>
        <v>338</v>
      </c>
      <c r="F73" s="373">
        <v>32.700000000000003</v>
      </c>
      <c r="G73" s="215">
        <f t="shared" si="6"/>
        <v>32.302</v>
      </c>
      <c r="H73" s="215" t="str">
        <f t="shared" si="7"/>
        <v>IN</v>
      </c>
      <c r="I73" s="217">
        <f t="shared" si="2"/>
        <v>1688.8539999999998</v>
      </c>
      <c r="J73" s="217">
        <f t="shared" si="3"/>
        <v>10352.276</v>
      </c>
      <c r="K73" s="381">
        <f t="shared" si="4"/>
        <v>160.26197900993125</v>
      </c>
      <c r="L73" s="451"/>
      <c r="M73" s="451"/>
      <c r="N73" s="18"/>
    </row>
    <row r="74" spans="2:14" s="16" customFormat="1" ht="13.35" customHeight="1">
      <c r="B74" s="213">
        <f t="shared" si="8"/>
        <v>51</v>
      </c>
      <c r="C74" s="213"/>
      <c r="D74" s="214">
        <v>7</v>
      </c>
      <c r="E74" s="206">
        <f t="shared" si="9"/>
        <v>337</v>
      </c>
      <c r="F74" s="373">
        <v>32.97</v>
      </c>
      <c r="G74" s="215">
        <f t="shared" si="6"/>
        <v>32.571999999999996</v>
      </c>
      <c r="H74" s="215" t="str">
        <f t="shared" si="7"/>
        <v>IN</v>
      </c>
      <c r="I74" s="217">
        <f t="shared" si="2"/>
        <v>1721.4259999999997</v>
      </c>
      <c r="J74" s="217">
        <f t="shared" si="3"/>
        <v>10319.704</v>
      </c>
      <c r="K74" s="381">
        <f t="shared" si="4"/>
        <v>160.96134389304814</v>
      </c>
      <c r="L74" s="451"/>
      <c r="M74" s="451"/>
      <c r="N74" s="18"/>
    </row>
    <row r="75" spans="2:14" s="16" customFormat="1" ht="13.35" customHeight="1">
      <c r="B75" s="213">
        <f t="shared" si="8"/>
        <v>52</v>
      </c>
      <c r="C75" s="213"/>
      <c r="D75" s="214">
        <v>7</v>
      </c>
      <c r="E75" s="206">
        <f t="shared" si="9"/>
        <v>336</v>
      </c>
      <c r="F75" s="373">
        <v>33.200000000000003</v>
      </c>
      <c r="G75" s="215">
        <f t="shared" si="6"/>
        <v>32.802</v>
      </c>
      <c r="H75" s="215" t="str">
        <f t="shared" si="1"/>
        <v>IN</v>
      </c>
      <c r="I75" s="217">
        <f t="shared" si="2"/>
        <v>1754.2279999999996</v>
      </c>
      <c r="J75" s="217">
        <f t="shared" si="3"/>
        <v>10286.902</v>
      </c>
      <c r="K75" s="381">
        <f t="shared" si="4"/>
        <v>161.66564718716577</v>
      </c>
      <c r="L75" s="482"/>
      <c r="M75" s="482"/>
      <c r="N75" s="18"/>
    </row>
    <row r="76" spans="2:14" s="16" customFormat="1" ht="13.35" customHeight="1">
      <c r="B76" s="213">
        <f t="shared" si="8"/>
        <v>53</v>
      </c>
      <c r="C76" s="213"/>
      <c r="D76" s="214">
        <v>7</v>
      </c>
      <c r="E76" s="206">
        <f t="shared" si="9"/>
        <v>335</v>
      </c>
      <c r="F76" s="373">
        <v>32.76</v>
      </c>
      <c r="G76" s="215">
        <f t="shared" si="6"/>
        <v>32.361999999999995</v>
      </c>
      <c r="H76" s="215" t="str">
        <f t="shared" si="1"/>
        <v>IN</v>
      </c>
      <c r="I76" s="217">
        <f t="shared" si="2"/>
        <v>1786.5899999999997</v>
      </c>
      <c r="J76" s="217">
        <f t="shared" si="3"/>
        <v>10254.539999999999</v>
      </c>
      <c r="K76" s="381">
        <f t="shared" si="4"/>
        <v>162.36050308632542</v>
      </c>
      <c r="L76" s="451"/>
      <c r="M76" s="451"/>
      <c r="N76" s="18"/>
    </row>
    <row r="77" spans="2:14" s="16" customFormat="1" ht="13.35" customHeight="1">
      <c r="B77" s="213">
        <f t="shared" si="8"/>
        <v>54</v>
      </c>
      <c r="C77" s="213"/>
      <c r="D77" s="214">
        <v>7</v>
      </c>
      <c r="E77" s="206">
        <f t="shared" si="9"/>
        <v>334</v>
      </c>
      <c r="F77" s="373">
        <v>33.19</v>
      </c>
      <c r="G77" s="215">
        <f t="shared" si="6"/>
        <v>32.791999999999994</v>
      </c>
      <c r="H77" s="215" t="str">
        <f t="shared" si="7"/>
        <v>IN</v>
      </c>
      <c r="I77" s="217">
        <f t="shared" si="2"/>
        <v>1819.3819999999996</v>
      </c>
      <c r="J77" s="217">
        <f t="shared" si="3"/>
        <v>10221.748</v>
      </c>
      <c r="K77" s="381">
        <f t="shared" si="4"/>
        <v>163.0645916669213</v>
      </c>
      <c r="L77" s="451"/>
      <c r="M77" s="451"/>
      <c r="N77" s="18"/>
    </row>
    <row r="78" spans="2:14" s="16" customFormat="1" ht="13.35" customHeight="1">
      <c r="B78" s="374">
        <f t="shared" si="8"/>
        <v>55</v>
      </c>
      <c r="C78" s="374"/>
      <c r="D78" s="375">
        <v>7</v>
      </c>
      <c r="E78" s="376">
        <f t="shared" si="9"/>
        <v>333</v>
      </c>
      <c r="F78" s="409">
        <v>33.53</v>
      </c>
      <c r="G78" s="377">
        <f t="shared" si="6"/>
        <v>33.131999999999998</v>
      </c>
      <c r="H78" s="377" t="s">
        <v>25</v>
      </c>
      <c r="I78" s="377">
        <f t="shared" si="2"/>
        <v>1819.3819999999996</v>
      </c>
      <c r="J78" s="377">
        <f t="shared" si="3"/>
        <v>10221.748</v>
      </c>
      <c r="K78" s="378">
        <f t="shared" si="4"/>
        <v>163.0645916669213</v>
      </c>
      <c r="L78" s="481" t="s">
        <v>205</v>
      </c>
      <c r="M78" s="481"/>
      <c r="N78" s="18"/>
    </row>
    <row r="79" spans="2:14" s="16" customFormat="1" ht="13.35" customHeight="1">
      <c r="B79" s="213">
        <f t="shared" si="8"/>
        <v>56</v>
      </c>
      <c r="C79" s="213"/>
      <c r="D79" s="214">
        <v>7</v>
      </c>
      <c r="E79" s="206">
        <f t="shared" si="9"/>
        <v>332</v>
      </c>
      <c r="F79" s="373">
        <v>33.049999999999997</v>
      </c>
      <c r="G79" s="215">
        <f t="shared" si="6"/>
        <v>32.651999999999994</v>
      </c>
      <c r="H79" s="215" t="str">
        <f t="shared" si="7"/>
        <v>IN</v>
      </c>
      <c r="I79" s="217">
        <f t="shared" si="2"/>
        <v>1852.0339999999997</v>
      </c>
      <c r="J79" s="217">
        <f t="shared" si="3"/>
        <v>10189.096</v>
      </c>
      <c r="K79" s="381">
        <f t="shared" si="4"/>
        <v>163.76567425821236</v>
      </c>
      <c r="L79" s="451"/>
      <c r="M79" s="451"/>
      <c r="N79" s="18"/>
    </row>
    <row r="80" spans="2:14" s="16" customFormat="1" ht="13.35" customHeight="1">
      <c r="B80" s="213">
        <f t="shared" si="8"/>
        <v>57</v>
      </c>
      <c r="C80" s="213"/>
      <c r="D80" s="214">
        <v>7</v>
      </c>
      <c r="E80" s="206">
        <f t="shared" si="9"/>
        <v>331</v>
      </c>
      <c r="F80" s="373">
        <v>33.380000000000003</v>
      </c>
      <c r="G80" s="215">
        <f t="shared" si="6"/>
        <v>32.981999999999999</v>
      </c>
      <c r="H80" s="215" t="str">
        <f t="shared" si="7"/>
        <v>IN</v>
      </c>
      <c r="I80" s="217">
        <f t="shared" si="2"/>
        <v>1885.0159999999996</v>
      </c>
      <c r="J80" s="217">
        <f t="shared" si="3"/>
        <v>10156.114</v>
      </c>
      <c r="K80" s="381">
        <f t="shared" si="4"/>
        <v>164.47384239572193</v>
      </c>
      <c r="L80" s="451"/>
      <c r="M80" s="451"/>
      <c r="N80" s="18"/>
    </row>
    <row r="81" spans="2:14" s="16" customFormat="1" ht="13.35" customHeight="1">
      <c r="B81" s="213">
        <f t="shared" si="8"/>
        <v>58</v>
      </c>
      <c r="C81" s="213"/>
      <c r="D81" s="214">
        <v>7</v>
      </c>
      <c r="E81" s="206">
        <f t="shared" si="9"/>
        <v>330</v>
      </c>
      <c r="F81" s="373">
        <v>32.880000000000003</v>
      </c>
      <c r="G81" s="215">
        <f t="shared" si="6"/>
        <v>32.481999999999999</v>
      </c>
      <c r="H81" s="215" t="str">
        <f t="shared" si="7"/>
        <v>IN</v>
      </c>
      <c r="I81" s="217">
        <f t="shared" si="2"/>
        <v>1917.4979999999996</v>
      </c>
      <c r="J81" s="217">
        <f t="shared" si="3"/>
        <v>10123.632</v>
      </c>
      <c r="K81" s="381">
        <f t="shared" si="4"/>
        <v>165.17127485714286</v>
      </c>
      <c r="L81" s="451"/>
      <c r="M81" s="451"/>
      <c r="N81" s="18"/>
    </row>
    <row r="82" spans="2:14" s="16" customFormat="1" ht="13.35" customHeight="1">
      <c r="B82" s="213">
        <f t="shared" si="8"/>
        <v>59</v>
      </c>
      <c r="C82" s="213"/>
      <c r="D82" s="214">
        <v>7</v>
      </c>
      <c r="E82" s="206">
        <f t="shared" si="9"/>
        <v>329</v>
      </c>
      <c r="F82" s="373">
        <v>33.18</v>
      </c>
      <c r="G82" s="215">
        <f t="shared" si="6"/>
        <v>32.781999999999996</v>
      </c>
      <c r="H82" s="215" t="str">
        <f t="shared" si="7"/>
        <v>IN</v>
      </c>
      <c r="I82" s="217">
        <f t="shared" ref="I82:I145" si="10">IF(H82="IN",I81+G82,I81)</f>
        <v>1950.2799999999995</v>
      </c>
      <c r="J82" s="217">
        <f t="shared" ref="J82:J145" si="11">IF(I82="","",$L$9-I82)</f>
        <v>10090.85</v>
      </c>
      <c r="K82" s="381">
        <f t="shared" ref="K82:K145" si="12">$H$9+(I82*$E$10*$H$11/1000)</f>
        <v>165.87514872421696</v>
      </c>
      <c r="L82" s="429"/>
      <c r="M82" s="429"/>
      <c r="N82" s="18"/>
    </row>
    <row r="83" spans="2:14" s="16" customFormat="1" ht="13.35" customHeight="1">
      <c r="B83" s="213">
        <f t="shared" si="8"/>
        <v>60</v>
      </c>
      <c r="C83" s="213"/>
      <c r="D83" s="214">
        <v>7</v>
      </c>
      <c r="E83" s="206">
        <f t="shared" si="9"/>
        <v>328</v>
      </c>
      <c r="F83" s="373">
        <v>33.64</v>
      </c>
      <c r="G83" s="215">
        <f t="shared" si="6"/>
        <v>33.241999999999997</v>
      </c>
      <c r="H83" s="215" t="str">
        <f t="shared" si="7"/>
        <v>IN</v>
      </c>
      <c r="I83" s="217">
        <f t="shared" si="10"/>
        <v>1983.5219999999995</v>
      </c>
      <c r="J83" s="217">
        <f t="shared" si="11"/>
        <v>10057.608</v>
      </c>
      <c r="K83" s="381">
        <f t="shared" si="12"/>
        <v>166.58889941329258</v>
      </c>
      <c r="L83" s="451"/>
      <c r="M83" s="451"/>
      <c r="N83" s="18"/>
    </row>
    <row r="84" spans="2:14" s="16" customFormat="1" ht="13.35" customHeight="1">
      <c r="B84" s="213">
        <f t="shared" si="8"/>
        <v>61</v>
      </c>
      <c r="C84" s="213"/>
      <c r="D84" s="214">
        <v>7</v>
      </c>
      <c r="E84" s="206">
        <f t="shared" si="9"/>
        <v>327</v>
      </c>
      <c r="F84" s="373">
        <v>33.75</v>
      </c>
      <c r="G84" s="215">
        <f t="shared" si="6"/>
        <v>33.351999999999997</v>
      </c>
      <c r="H84" s="215" t="str">
        <f t="shared" si="7"/>
        <v>IN</v>
      </c>
      <c r="I84" s="217">
        <f t="shared" si="10"/>
        <v>2016.8739999999996</v>
      </c>
      <c r="J84" s="217">
        <f t="shared" si="11"/>
        <v>10024.255999999999</v>
      </c>
      <c r="K84" s="381">
        <f t="shared" si="12"/>
        <v>167.3050119511077</v>
      </c>
      <c r="L84" s="451"/>
      <c r="M84" s="451"/>
      <c r="N84" s="18"/>
    </row>
    <row r="85" spans="2:14" s="16" customFormat="1" ht="13.35" customHeight="1">
      <c r="B85" s="213">
        <f t="shared" si="8"/>
        <v>62</v>
      </c>
      <c r="C85" s="213"/>
      <c r="D85" s="214">
        <v>7</v>
      </c>
      <c r="E85" s="206">
        <f t="shared" si="9"/>
        <v>326</v>
      </c>
      <c r="F85" s="373">
        <v>31</v>
      </c>
      <c r="G85" s="215">
        <f t="shared" si="6"/>
        <v>30.602</v>
      </c>
      <c r="H85" s="215" t="str">
        <f t="shared" si="7"/>
        <v>IN</v>
      </c>
      <c r="I85" s="217">
        <f t="shared" si="10"/>
        <v>2047.4759999999997</v>
      </c>
      <c r="J85" s="217">
        <f t="shared" si="11"/>
        <v>9993.6539999999986</v>
      </c>
      <c r="K85" s="381">
        <f t="shared" si="12"/>
        <v>167.96207827043543</v>
      </c>
      <c r="L85" s="451"/>
      <c r="M85" s="451"/>
      <c r="N85" s="18"/>
    </row>
    <row r="86" spans="2:14" s="16" customFormat="1" ht="13.35" customHeight="1">
      <c r="B86" s="213">
        <f t="shared" si="8"/>
        <v>63</v>
      </c>
      <c r="C86" s="213"/>
      <c r="D86" s="214">
        <v>7</v>
      </c>
      <c r="E86" s="206">
        <f t="shared" si="9"/>
        <v>325</v>
      </c>
      <c r="F86" s="373">
        <v>33.4</v>
      </c>
      <c r="G86" s="215">
        <f t="shared" si="6"/>
        <v>33.001999999999995</v>
      </c>
      <c r="H86" s="215" t="str">
        <f t="shared" si="7"/>
        <v>IN</v>
      </c>
      <c r="I86" s="217">
        <f t="shared" si="10"/>
        <v>2080.4779999999996</v>
      </c>
      <c r="J86" s="217">
        <f t="shared" si="11"/>
        <v>9960.652</v>
      </c>
      <c r="K86" s="381">
        <f t="shared" si="12"/>
        <v>168.67067583498854</v>
      </c>
      <c r="L86" s="451"/>
      <c r="M86" s="451"/>
      <c r="N86" s="18"/>
    </row>
    <row r="87" spans="2:14" s="16" customFormat="1" ht="13.35" customHeight="1">
      <c r="B87" s="213">
        <f t="shared" si="8"/>
        <v>64</v>
      </c>
      <c r="C87" s="213"/>
      <c r="D87" s="214">
        <v>7</v>
      </c>
      <c r="E87" s="206">
        <f t="shared" si="9"/>
        <v>324</v>
      </c>
      <c r="F87" s="215">
        <v>33.96</v>
      </c>
      <c r="G87" s="215">
        <f t="shared" si="6"/>
        <v>33.561999999999998</v>
      </c>
      <c r="H87" s="215" t="str">
        <f t="shared" si="7"/>
        <v>IN</v>
      </c>
      <c r="I87" s="217">
        <f t="shared" si="10"/>
        <v>2114.0399999999995</v>
      </c>
      <c r="J87" s="217">
        <f t="shared" si="11"/>
        <v>9927.09</v>
      </c>
      <c r="K87" s="381">
        <f t="shared" si="12"/>
        <v>169.39129735676087</v>
      </c>
      <c r="L87" s="451"/>
      <c r="M87" s="451"/>
      <c r="N87" s="18"/>
    </row>
    <row r="88" spans="2:14" s="16" customFormat="1" ht="13.35" customHeight="1">
      <c r="B88" s="213">
        <f t="shared" si="8"/>
        <v>65</v>
      </c>
      <c r="C88" s="213"/>
      <c r="D88" s="214">
        <v>7</v>
      </c>
      <c r="E88" s="206">
        <f t="shared" si="9"/>
        <v>323</v>
      </c>
      <c r="F88" s="215">
        <v>33.130000000000003</v>
      </c>
      <c r="G88" s="215">
        <f t="shared" si="6"/>
        <v>32.731999999999999</v>
      </c>
      <c r="H88" s="215" t="str">
        <f t="shared" si="7"/>
        <v>IN</v>
      </c>
      <c r="I88" s="217">
        <f t="shared" si="10"/>
        <v>2146.7719999999995</v>
      </c>
      <c r="J88" s="217">
        <f t="shared" si="11"/>
        <v>9894.3580000000002</v>
      </c>
      <c r="K88" s="381">
        <f t="shared" si="12"/>
        <v>170.09409765622613</v>
      </c>
      <c r="L88" s="451"/>
      <c r="M88" s="451"/>
      <c r="N88" s="18"/>
    </row>
    <row r="89" spans="2:14" s="16" customFormat="1" ht="13.35" customHeight="1">
      <c r="B89" s="213">
        <f t="shared" si="8"/>
        <v>66</v>
      </c>
      <c r="C89" s="213"/>
      <c r="D89" s="214">
        <v>7</v>
      </c>
      <c r="E89" s="206">
        <f t="shared" si="9"/>
        <v>322</v>
      </c>
      <c r="F89" s="215">
        <v>33.54</v>
      </c>
      <c r="G89" s="215">
        <f t="shared" ref="G89:G152" si="13">F89-($E$12)</f>
        <v>33.141999999999996</v>
      </c>
      <c r="H89" s="215" t="str">
        <f t="shared" ref="H89:H153" si="14">IF(F89="","OUT","IN")</f>
        <v>IN</v>
      </c>
      <c r="I89" s="217">
        <f t="shared" si="10"/>
        <v>2179.9139999999993</v>
      </c>
      <c r="J89" s="217">
        <f t="shared" si="11"/>
        <v>9861.2160000000003</v>
      </c>
      <c r="K89" s="381">
        <f t="shared" si="12"/>
        <v>170.80570121008401</v>
      </c>
      <c r="L89" s="451"/>
      <c r="M89" s="451"/>
      <c r="N89" s="18"/>
    </row>
    <row r="90" spans="2:14" s="16" customFormat="1" ht="13.35" customHeight="1">
      <c r="B90" s="213">
        <f t="shared" ref="B90:B154" si="15">B89+1</f>
        <v>67</v>
      </c>
      <c r="C90" s="213"/>
      <c r="D90" s="214">
        <v>7</v>
      </c>
      <c r="E90" s="206">
        <f t="shared" ref="E90:E148" si="16">E89-1</f>
        <v>321</v>
      </c>
      <c r="F90" s="215">
        <v>31.46</v>
      </c>
      <c r="G90" s="215">
        <f t="shared" si="13"/>
        <v>31.062000000000001</v>
      </c>
      <c r="H90" s="215" t="str">
        <f t="shared" si="14"/>
        <v>IN</v>
      </c>
      <c r="I90" s="217">
        <f t="shared" si="10"/>
        <v>2210.9759999999992</v>
      </c>
      <c r="J90" s="217">
        <f t="shared" si="11"/>
        <v>9830.1540000000005</v>
      </c>
      <c r="K90" s="381">
        <f t="shared" si="12"/>
        <v>171.47264435141329</v>
      </c>
      <c r="L90" s="451"/>
      <c r="M90" s="451"/>
      <c r="N90" s="18"/>
    </row>
    <row r="91" spans="2:14" s="16" customFormat="1" ht="13.35" customHeight="1">
      <c r="B91" s="213">
        <f t="shared" si="15"/>
        <v>68</v>
      </c>
      <c r="C91" s="213"/>
      <c r="D91" s="214">
        <v>7</v>
      </c>
      <c r="E91" s="206">
        <f t="shared" si="16"/>
        <v>320</v>
      </c>
      <c r="F91" s="215">
        <v>32.97</v>
      </c>
      <c r="G91" s="215">
        <f t="shared" si="13"/>
        <v>32.571999999999996</v>
      </c>
      <c r="H91" s="215" t="str">
        <f t="shared" si="14"/>
        <v>IN</v>
      </c>
      <c r="I91" s="217">
        <f t="shared" si="10"/>
        <v>2243.5479999999993</v>
      </c>
      <c r="J91" s="217">
        <f t="shared" si="11"/>
        <v>9797.5820000000003</v>
      </c>
      <c r="K91" s="381">
        <f t="shared" si="12"/>
        <v>172.17200923453015</v>
      </c>
      <c r="L91" s="451"/>
      <c r="M91" s="451"/>
      <c r="N91" s="18"/>
    </row>
    <row r="92" spans="2:14" s="16" customFormat="1" ht="13.35" customHeight="1">
      <c r="B92" s="213">
        <f t="shared" si="15"/>
        <v>69</v>
      </c>
      <c r="C92" s="213"/>
      <c r="D92" s="214">
        <v>7</v>
      </c>
      <c r="E92" s="206">
        <f t="shared" si="16"/>
        <v>319</v>
      </c>
      <c r="F92" s="215">
        <v>32.94</v>
      </c>
      <c r="G92" s="215">
        <f t="shared" si="13"/>
        <v>32.541999999999994</v>
      </c>
      <c r="H92" s="215" t="str">
        <f t="shared" si="14"/>
        <v>IN</v>
      </c>
      <c r="I92" s="217">
        <f t="shared" si="10"/>
        <v>2276.0899999999992</v>
      </c>
      <c r="J92" s="217">
        <f t="shared" si="11"/>
        <v>9765.0400000000009</v>
      </c>
      <c r="K92" s="381">
        <f t="shared" si="12"/>
        <v>172.87072997708174</v>
      </c>
      <c r="L92" s="451"/>
      <c r="M92" s="451"/>
      <c r="N92" s="18"/>
    </row>
    <row r="93" spans="2:14" s="16" customFormat="1" ht="13.35" customHeight="1">
      <c r="B93" s="213">
        <f t="shared" si="15"/>
        <v>70</v>
      </c>
      <c r="C93" s="213"/>
      <c r="D93" s="214">
        <v>7</v>
      </c>
      <c r="E93" s="206">
        <f t="shared" si="16"/>
        <v>318</v>
      </c>
      <c r="F93" s="215">
        <v>33.229999999999997</v>
      </c>
      <c r="G93" s="215">
        <f t="shared" si="13"/>
        <v>32.831999999999994</v>
      </c>
      <c r="H93" s="215" t="str">
        <f t="shared" si="14"/>
        <v>IN</v>
      </c>
      <c r="I93" s="217">
        <f t="shared" si="10"/>
        <v>2308.9219999999991</v>
      </c>
      <c r="J93" s="217">
        <f t="shared" si="11"/>
        <v>9732.2080000000005</v>
      </c>
      <c r="K93" s="381">
        <f t="shared" si="12"/>
        <v>173.5756774117647</v>
      </c>
      <c r="L93" s="451"/>
      <c r="M93" s="451"/>
      <c r="N93" s="18"/>
    </row>
    <row r="94" spans="2:14" s="16" customFormat="1" ht="13.35" customHeight="1">
      <c r="B94" s="213">
        <f t="shared" si="15"/>
        <v>71</v>
      </c>
      <c r="C94" s="213"/>
      <c r="D94" s="214">
        <v>7</v>
      </c>
      <c r="E94" s="206">
        <f t="shared" si="16"/>
        <v>317</v>
      </c>
      <c r="F94" s="215">
        <v>33.159999999999997</v>
      </c>
      <c r="G94" s="215">
        <f t="shared" si="13"/>
        <v>32.761999999999993</v>
      </c>
      <c r="H94" s="215" t="str">
        <f t="shared" si="14"/>
        <v>IN</v>
      </c>
      <c r="I94" s="217">
        <f t="shared" si="10"/>
        <v>2341.6839999999993</v>
      </c>
      <c r="J94" s="217">
        <f t="shared" si="11"/>
        <v>9699.4459999999999</v>
      </c>
      <c r="K94" s="381">
        <f t="shared" si="12"/>
        <v>174.27912185179525</v>
      </c>
      <c r="L94" s="451"/>
      <c r="M94" s="451"/>
      <c r="N94" s="18"/>
    </row>
    <row r="95" spans="2:14" s="16" customFormat="1" ht="13.35" customHeight="1">
      <c r="B95" s="213">
        <f t="shared" si="15"/>
        <v>72</v>
      </c>
      <c r="C95" s="216"/>
      <c r="D95" s="214">
        <v>7</v>
      </c>
      <c r="E95" s="206">
        <f t="shared" si="16"/>
        <v>316</v>
      </c>
      <c r="F95" s="215">
        <v>33.24</v>
      </c>
      <c r="G95" s="215">
        <f t="shared" si="13"/>
        <v>32.841999999999999</v>
      </c>
      <c r="H95" s="215" t="str">
        <f t="shared" si="14"/>
        <v>IN</v>
      </c>
      <c r="I95" s="217">
        <f t="shared" si="10"/>
        <v>2374.5259999999994</v>
      </c>
      <c r="J95" s="217">
        <f t="shared" si="11"/>
        <v>9666.6039999999994</v>
      </c>
      <c r="K95" s="381">
        <f t="shared" si="12"/>
        <v>174.984284</v>
      </c>
      <c r="L95" s="451"/>
      <c r="M95" s="451"/>
      <c r="N95" s="18"/>
    </row>
    <row r="96" spans="2:14" s="16" customFormat="1" ht="13.35" customHeight="1">
      <c r="B96" s="213">
        <f t="shared" si="15"/>
        <v>73</v>
      </c>
      <c r="C96" s="216"/>
      <c r="D96" s="214">
        <v>7</v>
      </c>
      <c r="E96" s="206">
        <f t="shared" si="16"/>
        <v>315</v>
      </c>
      <c r="F96" s="215">
        <v>30.91</v>
      </c>
      <c r="G96" s="215">
        <f t="shared" si="13"/>
        <v>30.512</v>
      </c>
      <c r="H96" s="215" t="str">
        <f t="shared" si="14"/>
        <v>IN</v>
      </c>
      <c r="I96" s="217">
        <f t="shared" si="10"/>
        <v>2405.0379999999996</v>
      </c>
      <c r="J96" s="217">
        <f t="shared" si="11"/>
        <v>9636.0920000000006</v>
      </c>
      <c r="K96" s="381">
        <f t="shared" si="12"/>
        <v>175.63941789763177</v>
      </c>
      <c r="L96" s="451"/>
      <c r="M96" s="451"/>
      <c r="N96" s="18"/>
    </row>
    <row r="97" spans="2:14" s="16" customFormat="1" ht="13.35" customHeight="1">
      <c r="B97" s="213">
        <f t="shared" si="15"/>
        <v>74</v>
      </c>
      <c r="C97" s="216"/>
      <c r="D97" s="214">
        <v>7</v>
      </c>
      <c r="E97" s="206">
        <f t="shared" si="16"/>
        <v>314</v>
      </c>
      <c r="F97" s="215">
        <v>32.630000000000003</v>
      </c>
      <c r="G97" s="215">
        <f t="shared" si="13"/>
        <v>32.231999999999999</v>
      </c>
      <c r="H97" s="215" t="str">
        <f t="shared" si="14"/>
        <v>IN</v>
      </c>
      <c r="I97" s="217">
        <f t="shared" si="10"/>
        <v>2437.2699999999995</v>
      </c>
      <c r="J97" s="217">
        <f t="shared" si="11"/>
        <v>9603.86</v>
      </c>
      <c r="K97" s="381">
        <f t="shared" si="12"/>
        <v>176.33148252100841</v>
      </c>
      <c r="L97" s="451"/>
      <c r="M97" s="451"/>
      <c r="N97" s="18"/>
    </row>
    <row r="98" spans="2:14" s="16" customFormat="1" ht="13.35" customHeight="1">
      <c r="B98" s="213">
        <f t="shared" si="15"/>
        <v>75</v>
      </c>
      <c r="C98" s="216"/>
      <c r="D98" s="214">
        <v>7</v>
      </c>
      <c r="E98" s="206">
        <f t="shared" si="16"/>
        <v>313</v>
      </c>
      <c r="F98" s="215">
        <v>33.06</v>
      </c>
      <c r="G98" s="215">
        <f t="shared" si="13"/>
        <v>32.661999999999999</v>
      </c>
      <c r="H98" s="215" t="str">
        <f t="shared" si="14"/>
        <v>IN</v>
      </c>
      <c r="I98" s="217">
        <f t="shared" si="10"/>
        <v>2469.9319999999993</v>
      </c>
      <c r="J98" s="217">
        <f t="shared" si="11"/>
        <v>9571.1980000000003</v>
      </c>
      <c r="K98" s="381">
        <f t="shared" si="12"/>
        <v>177.03277982582122</v>
      </c>
      <c r="L98" s="451"/>
      <c r="M98" s="451"/>
      <c r="N98" s="18"/>
    </row>
    <row r="99" spans="2:14" s="16" customFormat="1">
      <c r="B99" s="213">
        <f t="shared" si="15"/>
        <v>76</v>
      </c>
      <c r="C99" s="216"/>
      <c r="D99" s="214">
        <v>7</v>
      </c>
      <c r="E99" s="206">
        <f t="shared" si="16"/>
        <v>312</v>
      </c>
      <c r="F99" s="215">
        <v>33.04</v>
      </c>
      <c r="G99" s="215">
        <f t="shared" si="13"/>
        <v>32.641999999999996</v>
      </c>
      <c r="H99" s="215" t="str">
        <f t="shared" si="14"/>
        <v>IN</v>
      </c>
      <c r="I99" s="217">
        <f t="shared" si="10"/>
        <v>2502.5739999999992</v>
      </c>
      <c r="J99" s="217">
        <f t="shared" si="11"/>
        <v>9538.5560000000005</v>
      </c>
      <c r="K99" s="381">
        <f t="shared" si="12"/>
        <v>177.73364770359052</v>
      </c>
      <c r="L99" s="451"/>
      <c r="M99" s="451"/>
      <c r="N99" s="18"/>
    </row>
    <row r="100" spans="2:14" s="16" customFormat="1">
      <c r="B100" s="213">
        <f t="shared" si="15"/>
        <v>77</v>
      </c>
      <c r="C100" s="216"/>
      <c r="D100" s="214">
        <v>7</v>
      </c>
      <c r="E100" s="206">
        <f t="shared" si="16"/>
        <v>311</v>
      </c>
      <c r="F100" s="215">
        <v>33.299999999999997</v>
      </c>
      <c r="G100" s="215">
        <f t="shared" si="13"/>
        <v>32.901999999999994</v>
      </c>
      <c r="H100" s="215" t="str">
        <f t="shared" si="14"/>
        <v>IN</v>
      </c>
      <c r="I100" s="217">
        <f t="shared" si="10"/>
        <v>2535.4759999999992</v>
      </c>
      <c r="J100" s="217">
        <f t="shared" si="11"/>
        <v>9505.6540000000005</v>
      </c>
      <c r="K100" s="381">
        <f t="shared" si="12"/>
        <v>178.44009813292587</v>
      </c>
      <c r="L100" s="451"/>
      <c r="M100" s="451"/>
      <c r="N100" s="18"/>
    </row>
    <row r="101" spans="2:14" s="16" customFormat="1">
      <c r="B101" s="213">
        <f t="shared" si="15"/>
        <v>78</v>
      </c>
      <c r="C101" s="216"/>
      <c r="D101" s="214">
        <v>7</v>
      </c>
      <c r="E101" s="206">
        <f t="shared" si="16"/>
        <v>310</v>
      </c>
      <c r="F101" s="215">
        <v>33.5</v>
      </c>
      <c r="G101" s="215">
        <f t="shared" si="13"/>
        <v>33.101999999999997</v>
      </c>
      <c r="H101" s="215" t="str">
        <f t="shared" si="14"/>
        <v>IN</v>
      </c>
      <c r="I101" s="217">
        <f t="shared" si="10"/>
        <v>2568.5779999999991</v>
      </c>
      <c r="J101" s="217">
        <f t="shared" si="11"/>
        <v>9472.5519999999997</v>
      </c>
      <c r="K101" s="381">
        <f t="shared" si="12"/>
        <v>179.1508428326967</v>
      </c>
      <c r="L101" s="451"/>
      <c r="M101" s="451"/>
      <c r="N101" s="18"/>
    </row>
    <row r="102" spans="2:14" s="16" customFormat="1">
      <c r="B102" s="213">
        <f t="shared" si="15"/>
        <v>79</v>
      </c>
      <c r="C102" s="216"/>
      <c r="D102" s="214">
        <v>7</v>
      </c>
      <c r="E102" s="206">
        <f t="shared" si="16"/>
        <v>309</v>
      </c>
      <c r="F102" s="215">
        <v>33.19</v>
      </c>
      <c r="G102" s="215">
        <f t="shared" si="13"/>
        <v>32.791999999999994</v>
      </c>
      <c r="H102" s="215" t="str">
        <f t="shared" si="14"/>
        <v>IN</v>
      </c>
      <c r="I102" s="217">
        <f t="shared" si="10"/>
        <v>2601.369999999999</v>
      </c>
      <c r="J102" s="217">
        <f t="shared" si="11"/>
        <v>9439.76</v>
      </c>
      <c r="K102" s="381">
        <f t="shared" si="12"/>
        <v>179.85493141329255</v>
      </c>
      <c r="L102" s="451"/>
      <c r="M102" s="451"/>
      <c r="N102" s="18"/>
    </row>
    <row r="103" spans="2:14" s="16" customFormat="1">
      <c r="B103" s="213">
        <f t="shared" si="15"/>
        <v>80</v>
      </c>
      <c r="C103" s="216"/>
      <c r="D103" s="214">
        <v>7</v>
      </c>
      <c r="E103" s="206">
        <f t="shared" si="16"/>
        <v>308</v>
      </c>
      <c r="F103" s="215">
        <v>32.119999999999997</v>
      </c>
      <c r="G103" s="215">
        <f t="shared" si="13"/>
        <v>31.721999999999998</v>
      </c>
      <c r="H103" s="215" t="str">
        <f t="shared" si="14"/>
        <v>IN</v>
      </c>
      <c r="I103" s="217">
        <f t="shared" si="10"/>
        <v>2633.0919999999992</v>
      </c>
      <c r="J103" s="217">
        <f t="shared" si="11"/>
        <v>9408.0380000000005</v>
      </c>
      <c r="K103" s="381">
        <f t="shared" si="12"/>
        <v>180.53604564705881</v>
      </c>
      <c r="L103" s="451"/>
      <c r="M103" s="451"/>
      <c r="N103" s="18"/>
    </row>
    <row r="104" spans="2:14" s="16" customFormat="1">
      <c r="B104" s="213">
        <f t="shared" si="15"/>
        <v>81</v>
      </c>
      <c r="C104" s="216"/>
      <c r="D104" s="214">
        <v>7</v>
      </c>
      <c r="E104" s="206">
        <f t="shared" si="16"/>
        <v>307</v>
      </c>
      <c r="F104" s="215">
        <v>32.72</v>
      </c>
      <c r="G104" s="215">
        <f t="shared" si="13"/>
        <v>32.321999999999996</v>
      </c>
      <c r="H104" s="215" t="str">
        <f t="shared" si="14"/>
        <v>IN</v>
      </c>
      <c r="I104" s="217">
        <f t="shared" si="10"/>
        <v>2665.4139999999993</v>
      </c>
      <c r="J104" s="217">
        <f t="shared" si="11"/>
        <v>9375.7160000000003</v>
      </c>
      <c r="K104" s="381">
        <f t="shared" si="12"/>
        <v>181.23004269213138</v>
      </c>
      <c r="L104" s="451"/>
      <c r="M104" s="451"/>
      <c r="N104" s="18"/>
    </row>
    <row r="105" spans="2:14" s="16" customFormat="1">
      <c r="B105" s="213">
        <f t="shared" si="15"/>
        <v>82</v>
      </c>
      <c r="C105" s="216"/>
      <c r="D105" s="214">
        <v>7</v>
      </c>
      <c r="E105" s="206">
        <f t="shared" si="16"/>
        <v>306</v>
      </c>
      <c r="F105" s="215">
        <v>33.19</v>
      </c>
      <c r="G105" s="215">
        <f t="shared" si="13"/>
        <v>32.791999999999994</v>
      </c>
      <c r="H105" s="215" t="str">
        <f t="shared" si="14"/>
        <v>IN</v>
      </c>
      <c r="I105" s="217">
        <f t="shared" si="10"/>
        <v>2698.2059999999992</v>
      </c>
      <c r="J105" s="217">
        <f t="shared" si="11"/>
        <v>9342.9239999999991</v>
      </c>
      <c r="K105" s="381">
        <f t="shared" si="12"/>
        <v>181.93413127272726</v>
      </c>
      <c r="L105" s="451"/>
      <c r="M105" s="451"/>
      <c r="N105" s="18"/>
    </row>
    <row r="106" spans="2:14" s="16" customFormat="1">
      <c r="B106" s="213">
        <f t="shared" si="15"/>
        <v>83</v>
      </c>
      <c r="C106" s="216"/>
      <c r="D106" s="214">
        <v>7</v>
      </c>
      <c r="E106" s="206">
        <f t="shared" si="16"/>
        <v>305</v>
      </c>
      <c r="F106" s="215">
        <v>33.5</v>
      </c>
      <c r="G106" s="215">
        <f t="shared" si="13"/>
        <v>33.101999999999997</v>
      </c>
      <c r="H106" s="215" t="str">
        <f t="shared" si="14"/>
        <v>IN</v>
      </c>
      <c r="I106" s="217">
        <f t="shared" si="10"/>
        <v>2731.3079999999991</v>
      </c>
      <c r="J106" s="217">
        <f t="shared" si="11"/>
        <v>9309.8220000000001</v>
      </c>
      <c r="K106" s="381">
        <f t="shared" si="12"/>
        <v>182.64487597249808</v>
      </c>
      <c r="L106" s="451"/>
      <c r="M106" s="451"/>
      <c r="N106" s="18"/>
    </row>
    <row r="107" spans="2:14" s="16" customFormat="1">
      <c r="B107" s="213">
        <f t="shared" si="15"/>
        <v>84</v>
      </c>
      <c r="C107" s="216"/>
      <c r="D107" s="214">
        <v>7</v>
      </c>
      <c r="E107" s="206">
        <f t="shared" si="16"/>
        <v>304</v>
      </c>
      <c r="F107" s="215">
        <v>33.1</v>
      </c>
      <c r="G107" s="215">
        <f t="shared" si="13"/>
        <v>32.701999999999998</v>
      </c>
      <c r="H107" s="215" t="str">
        <f t="shared" si="14"/>
        <v>IN</v>
      </c>
      <c r="I107" s="217">
        <f t="shared" si="10"/>
        <v>2764.0099999999993</v>
      </c>
      <c r="J107" s="217">
        <f t="shared" si="11"/>
        <v>9277.119999999999</v>
      </c>
      <c r="K107" s="381">
        <f t="shared" si="12"/>
        <v>183.34703213139801</v>
      </c>
      <c r="L107" s="451"/>
      <c r="M107" s="451"/>
      <c r="N107" s="18"/>
    </row>
    <row r="108" spans="2:14" s="16" customFormat="1">
      <c r="B108" s="213">
        <f t="shared" si="15"/>
        <v>85</v>
      </c>
      <c r="C108" s="216"/>
      <c r="D108" s="214">
        <v>7</v>
      </c>
      <c r="E108" s="206">
        <f t="shared" si="16"/>
        <v>303</v>
      </c>
      <c r="F108" s="215">
        <v>33.1</v>
      </c>
      <c r="G108" s="215">
        <f t="shared" si="13"/>
        <v>32.701999999999998</v>
      </c>
      <c r="H108" s="215" t="str">
        <f t="shared" si="14"/>
        <v>IN</v>
      </c>
      <c r="I108" s="217">
        <f t="shared" si="10"/>
        <v>2796.7119999999995</v>
      </c>
      <c r="J108" s="217">
        <f t="shared" si="11"/>
        <v>9244.4179999999997</v>
      </c>
      <c r="K108" s="381">
        <f t="shared" si="12"/>
        <v>184.04918829029793</v>
      </c>
      <c r="L108" s="451"/>
      <c r="M108" s="451"/>
      <c r="N108" s="18"/>
    </row>
    <row r="109" spans="2:14" s="16" customFormat="1">
      <c r="B109" s="213">
        <f t="shared" si="15"/>
        <v>86</v>
      </c>
      <c r="C109" s="216"/>
      <c r="D109" s="214">
        <v>7</v>
      </c>
      <c r="E109" s="206">
        <f t="shared" si="16"/>
        <v>302</v>
      </c>
      <c r="F109" s="215">
        <v>33.1</v>
      </c>
      <c r="G109" s="215">
        <f t="shared" si="13"/>
        <v>32.701999999999998</v>
      </c>
      <c r="H109" s="215" t="str">
        <f t="shared" si="14"/>
        <v>IN</v>
      </c>
      <c r="I109" s="217">
        <f t="shared" si="10"/>
        <v>2829.4139999999998</v>
      </c>
      <c r="J109" s="217">
        <f t="shared" si="11"/>
        <v>9211.7160000000003</v>
      </c>
      <c r="K109" s="381">
        <f t="shared" si="12"/>
        <v>184.75134444919786</v>
      </c>
      <c r="L109" s="451"/>
      <c r="M109" s="451"/>
      <c r="N109" s="18"/>
    </row>
    <row r="110" spans="2:14" s="16" customFormat="1">
      <c r="B110" s="213">
        <f t="shared" si="15"/>
        <v>87</v>
      </c>
      <c r="C110" s="216"/>
      <c r="D110" s="214">
        <v>7</v>
      </c>
      <c r="E110" s="206">
        <f t="shared" si="16"/>
        <v>301</v>
      </c>
      <c r="F110" s="215">
        <v>33.39</v>
      </c>
      <c r="G110" s="215">
        <f t="shared" si="13"/>
        <v>32.991999999999997</v>
      </c>
      <c r="H110" s="215" t="str">
        <f t="shared" si="14"/>
        <v>IN</v>
      </c>
      <c r="I110" s="217">
        <f t="shared" si="10"/>
        <v>2862.4059999999999</v>
      </c>
      <c r="J110" s="217">
        <f t="shared" si="11"/>
        <v>9178.7239999999983</v>
      </c>
      <c r="K110" s="381">
        <f t="shared" si="12"/>
        <v>185.45972730022919</v>
      </c>
      <c r="L110" s="451"/>
      <c r="M110" s="451"/>
      <c r="N110" s="18"/>
    </row>
    <row r="111" spans="2:14" s="16" customFormat="1">
      <c r="B111" s="213">
        <f t="shared" si="15"/>
        <v>88</v>
      </c>
      <c r="C111" s="216"/>
      <c r="D111" s="214">
        <v>7</v>
      </c>
      <c r="E111" s="206">
        <f t="shared" si="16"/>
        <v>300</v>
      </c>
      <c r="F111" s="215">
        <v>34.14</v>
      </c>
      <c r="G111" s="215">
        <f t="shared" si="13"/>
        <v>33.741999999999997</v>
      </c>
      <c r="H111" s="215" t="str">
        <f t="shared" si="14"/>
        <v>IN</v>
      </c>
      <c r="I111" s="217">
        <f t="shared" si="10"/>
        <v>2896.1480000000001</v>
      </c>
      <c r="J111" s="217">
        <f t="shared" si="11"/>
        <v>9144.982</v>
      </c>
      <c r="K111" s="381">
        <f t="shared" si="12"/>
        <v>186.18421366539343</v>
      </c>
      <c r="L111" s="451"/>
      <c r="M111" s="451"/>
      <c r="N111" s="18"/>
    </row>
    <row r="112" spans="2:14" s="16" customFormat="1">
      <c r="B112" s="213">
        <f t="shared" si="15"/>
        <v>89</v>
      </c>
      <c r="C112" s="213"/>
      <c r="D112" s="214">
        <v>7</v>
      </c>
      <c r="E112" s="206">
        <f t="shared" si="16"/>
        <v>299</v>
      </c>
      <c r="F112" s="215">
        <v>34.74</v>
      </c>
      <c r="G112" s="215">
        <f t="shared" si="13"/>
        <v>34.341999999999999</v>
      </c>
      <c r="H112" s="215" t="str">
        <f t="shared" si="14"/>
        <v>IN</v>
      </c>
      <c r="I112" s="217">
        <f t="shared" si="10"/>
        <v>2930.4900000000002</v>
      </c>
      <c r="J112" s="217">
        <f t="shared" si="11"/>
        <v>9110.64</v>
      </c>
      <c r="K112" s="381">
        <f t="shared" si="12"/>
        <v>186.92158284186402</v>
      </c>
      <c r="L112" s="451"/>
      <c r="M112" s="451"/>
      <c r="N112" s="18"/>
    </row>
    <row r="113" spans="2:14" s="16" customFormat="1" ht="13.35" customHeight="1">
      <c r="B113" s="213">
        <f t="shared" si="15"/>
        <v>90</v>
      </c>
      <c r="C113" s="213"/>
      <c r="D113" s="214">
        <v>7</v>
      </c>
      <c r="E113" s="206">
        <f t="shared" si="16"/>
        <v>298</v>
      </c>
      <c r="F113" s="215">
        <v>36.47</v>
      </c>
      <c r="G113" s="215">
        <f t="shared" si="13"/>
        <v>36.071999999999996</v>
      </c>
      <c r="H113" s="215" t="str">
        <f t="shared" si="14"/>
        <v>IN</v>
      </c>
      <c r="I113" s="217">
        <f t="shared" si="10"/>
        <v>2966.5620000000004</v>
      </c>
      <c r="J113" s="217">
        <f t="shared" si="11"/>
        <v>9074.5679999999993</v>
      </c>
      <c r="K113" s="381">
        <f t="shared" si="12"/>
        <v>187.69609745760124</v>
      </c>
      <c r="L113" s="451"/>
      <c r="M113" s="451"/>
      <c r="N113" s="18"/>
    </row>
    <row r="114" spans="2:14" s="16" customFormat="1" ht="13.35" customHeight="1">
      <c r="B114" s="213">
        <f t="shared" si="15"/>
        <v>91</v>
      </c>
      <c r="C114" s="213"/>
      <c r="D114" s="214">
        <v>7</v>
      </c>
      <c r="E114" s="206">
        <f t="shared" si="16"/>
        <v>297</v>
      </c>
      <c r="F114" s="215">
        <v>36.58</v>
      </c>
      <c r="G114" s="215">
        <f t="shared" si="13"/>
        <v>36.181999999999995</v>
      </c>
      <c r="H114" s="215" t="str">
        <f t="shared" si="14"/>
        <v>IN</v>
      </c>
      <c r="I114" s="217">
        <f t="shared" si="10"/>
        <v>3002.7440000000001</v>
      </c>
      <c r="J114" s="217">
        <f t="shared" si="11"/>
        <v>9038.3859999999986</v>
      </c>
      <c r="K114" s="381">
        <f t="shared" si="12"/>
        <v>188.47297392207793</v>
      </c>
      <c r="L114" s="451"/>
      <c r="M114" s="451"/>
      <c r="N114" s="18"/>
    </row>
    <row r="115" spans="2:14" s="16" customFormat="1" ht="13.35" customHeight="1">
      <c r="B115" s="213">
        <f t="shared" si="15"/>
        <v>92</v>
      </c>
      <c r="C115" s="213"/>
      <c r="D115" s="214">
        <v>7</v>
      </c>
      <c r="E115" s="206">
        <f t="shared" si="16"/>
        <v>296</v>
      </c>
      <c r="F115" s="215">
        <v>35.69</v>
      </c>
      <c r="G115" s="215">
        <f t="shared" si="13"/>
        <v>35.291999999999994</v>
      </c>
      <c r="H115" s="215" t="str">
        <f t="shared" si="14"/>
        <v>IN</v>
      </c>
      <c r="I115" s="217">
        <f t="shared" si="10"/>
        <v>3038.0360000000001</v>
      </c>
      <c r="J115" s="217">
        <f t="shared" si="11"/>
        <v>9003.0939999999991</v>
      </c>
      <c r="K115" s="381">
        <f t="shared" si="12"/>
        <v>189.23074088311688</v>
      </c>
      <c r="L115" s="451"/>
      <c r="M115" s="451"/>
      <c r="N115" s="18"/>
    </row>
    <row r="116" spans="2:14" s="16" customFormat="1" ht="13.35" customHeight="1">
      <c r="B116" s="213">
        <f t="shared" si="15"/>
        <v>93</v>
      </c>
      <c r="C116" s="213"/>
      <c r="D116" s="214">
        <v>7</v>
      </c>
      <c r="E116" s="206">
        <f t="shared" si="16"/>
        <v>295</v>
      </c>
      <c r="F116" s="215">
        <v>36</v>
      </c>
      <c r="G116" s="215">
        <f t="shared" si="13"/>
        <v>35.601999999999997</v>
      </c>
      <c r="H116" s="215" t="str">
        <f t="shared" si="14"/>
        <v>IN</v>
      </c>
      <c r="I116" s="217">
        <f t="shared" si="10"/>
        <v>3073.6379999999999</v>
      </c>
      <c r="J116" s="217">
        <f t="shared" si="11"/>
        <v>8967.4919999999984</v>
      </c>
      <c r="K116" s="381">
        <f t="shared" si="12"/>
        <v>189.99516396333081</v>
      </c>
      <c r="L116" s="451"/>
      <c r="M116" s="451"/>
      <c r="N116" s="18"/>
    </row>
    <row r="117" spans="2:14" s="16" customFormat="1" ht="13.35" customHeight="1">
      <c r="B117" s="213">
        <f t="shared" si="15"/>
        <v>94</v>
      </c>
      <c r="C117" s="216"/>
      <c r="D117" s="214">
        <v>7</v>
      </c>
      <c r="E117" s="206">
        <f t="shared" si="16"/>
        <v>294</v>
      </c>
      <c r="F117" s="215">
        <v>34.79</v>
      </c>
      <c r="G117" s="215">
        <f t="shared" si="13"/>
        <v>34.391999999999996</v>
      </c>
      <c r="H117" s="215" t="str">
        <f t="shared" si="14"/>
        <v>IN</v>
      </c>
      <c r="I117" s="217">
        <f t="shared" si="10"/>
        <v>3108.0299999999997</v>
      </c>
      <c r="J117" s="217">
        <f t="shared" si="11"/>
        <v>8933.0999999999985</v>
      </c>
      <c r="K117" s="381">
        <f t="shared" si="12"/>
        <v>190.73360670741022</v>
      </c>
      <c r="L117" s="451"/>
      <c r="M117" s="451"/>
      <c r="N117" s="18"/>
    </row>
    <row r="118" spans="2:14" s="16" customFormat="1" ht="13.35" customHeight="1">
      <c r="B118" s="213">
        <f t="shared" si="15"/>
        <v>95</v>
      </c>
      <c r="C118" s="216"/>
      <c r="D118" s="214">
        <v>7</v>
      </c>
      <c r="E118" s="206">
        <f t="shared" si="16"/>
        <v>293</v>
      </c>
      <c r="F118" s="215">
        <v>34.090000000000003</v>
      </c>
      <c r="G118" s="215">
        <f t="shared" si="13"/>
        <v>33.692</v>
      </c>
      <c r="H118" s="215" t="str">
        <f t="shared" si="14"/>
        <v>IN</v>
      </c>
      <c r="I118" s="217">
        <f t="shared" si="10"/>
        <v>3141.7219999999998</v>
      </c>
      <c r="J118" s="217">
        <f t="shared" si="11"/>
        <v>8899.4079999999994</v>
      </c>
      <c r="K118" s="381">
        <f t="shared" si="12"/>
        <v>191.45701950496561</v>
      </c>
      <c r="L118" s="451"/>
      <c r="M118" s="451"/>
      <c r="N118" s="18"/>
    </row>
    <row r="119" spans="2:14" s="16" customFormat="1" ht="13.35" customHeight="1">
      <c r="B119" s="213">
        <f t="shared" si="15"/>
        <v>96</v>
      </c>
      <c r="C119" s="216"/>
      <c r="D119" s="214">
        <v>7</v>
      </c>
      <c r="E119" s="206">
        <f t="shared" si="16"/>
        <v>292</v>
      </c>
      <c r="F119" s="215">
        <v>35.1</v>
      </c>
      <c r="G119" s="215">
        <f t="shared" si="13"/>
        <v>34.701999999999998</v>
      </c>
      <c r="H119" s="215" t="str">
        <f t="shared" si="14"/>
        <v>IN</v>
      </c>
      <c r="I119" s="217">
        <f t="shared" si="10"/>
        <v>3176.424</v>
      </c>
      <c r="J119" s="217">
        <f t="shared" si="11"/>
        <v>8864.7059999999983</v>
      </c>
      <c r="K119" s="381">
        <f t="shared" si="12"/>
        <v>192.20211836822003</v>
      </c>
      <c r="L119" s="451"/>
      <c r="M119" s="451"/>
      <c r="N119" s="18"/>
    </row>
    <row r="120" spans="2:14" s="16" customFormat="1" ht="13.35" customHeight="1">
      <c r="B120" s="213">
        <f t="shared" si="15"/>
        <v>97</v>
      </c>
      <c r="C120" s="216"/>
      <c r="D120" s="214">
        <v>7</v>
      </c>
      <c r="E120" s="206">
        <f t="shared" si="16"/>
        <v>291</v>
      </c>
      <c r="F120" s="215">
        <v>33.1</v>
      </c>
      <c r="G120" s="215">
        <f t="shared" si="13"/>
        <v>32.701999999999998</v>
      </c>
      <c r="H120" s="215" t="str">
        <f t="shared" si="14"/>
        <v>IN</v>
      </c>
      <c r="I120" s="217">
        <f t="shared" si="10"/>
        <v>3209.1260000000002</v>
      </c>
      <c r="J120" s="217">
        <f t="shared" si="11"/>
        <v>8832.003999999999</v>
      </c>
      <c r="K120" s="381">
        <f t="shared" si="12"/>
        <v>192.90427452711995</v>
      </c>
      <c r="L120" s="451"/>
      <c r="M120" s="451"/>
      <c r="N120" s="18"/>
    </row>
    <row r="121" spans="2:14" s="16" customFormat="1">
      <c r="B121" s="213">
        <f t="shared" si="15"/>
        <v>98</v>
      </c>
      <c r="C121" s="216"/>
      <c r="D121" s="214">
        <v>7</v>
      </c>
      <c r="E121" s="206">
        <f t="shared" si="16"/>
        <v>290</v>
      </c>
      <c r="F121" s="215">
        <v>35.32</v>
      </c>
      <c r="G121" s="215">
        <f t="shared" si="13"/>
        <v>34.921999999999997</v>
      </c>
      <c r="H121" s="215" t="str">
        <f t="shared" si="14"/>
        <v>IN</v>
      </c>
      <c r="I121" s="217">
        <f t="shared" si="10"/>
        <v>3244.0480000000002</v>
      </c>
      <c r="J121" s="217">
        <f t="shared" si="11"/>
        <v>8797.0819999999985</v>
      </c>
      <c r="K121" s="381">
        <f t="shared" si="12"/>
        <v>193.65409708785333</v>
      </c>
      <c r="L121" s="451"/>
      <c r="M121" s="451"/>
      <c r="N121" s="18"/>
    </row>
    <row r="122" spans="2:14" s="16" customFormat="1">
      <c r="B122" s="213">
        <f t="shared" si="15"/>
        <v>99</v>
      </c>
      <c r="C122" s="216"/>
      <c r="D122" s="214">
        <v>7</v>
      </c>
      <c r="E122" s="206">
        <f t="shared" si="16"/>
        <v>289</v>
      </c>
      <c r="F122" s="373">
        <v>35.82</v>
      </c>
      <c r="G122" s="215">
        <f t="shared" si="13"/>
        <v>35.421999999999997</v>
      </c>
      <c r="H122" s="215" t="str">
        <f t="shared" si="14"/>
        <v>IN</v>
      </c>
      <c r="I122" s="217">
        <f t="shared" si="10"/>
        <v>3279.4700000000003</v>
      </c>
      <c r="J122" s="217">
        <f t="shared" si="11"/>
        <v>8761.66</v>
      </c>
      <c r="K122" s="381">
        <f t="shared" si="12"/>
        <v>194.41465532467532</v>
      </c>
      <c r="L122" s="451"/>
      <c r="M122" s="451"/>
      <c r="N122" s="18"/>
    </row>
    <row r="123" spans="2:14" s="16" customFormat="1">
      <c r="B123" s="213">
        <f t="shared" si="15"/>
        <v>100</v>
      </c>
      <c r="C123" s="216"/>
      <c r="D123" s="214">
        <v>7</v>
      </c>
      <c r="E123" s="206">
        <f t="shared" si="16"/>
        <v>288</v>
      </c>
      <c r="F123" s="373">
        <v>34.21</v>
      </c>
      <c r="G123" s="215">
        <f t="shared" si="13"/>
        <v>33.811999999999998</v>
      </c>
      <c r="H123" s="215" t="str">
        <f t="shared" si="14"/>
        <v>IN</v>
      </c>
      <c r="I123" s="217">
        <f t="shared" si="10"/>
        <v>3313.2820000000002</v>
      </c>
      <c r="J123" s="217">
        <f t="shared" si="11"/>
        <v>8727.8479999999981</v>
      </c>
      <c r="K123" s="381">
        <f t="shared" si="12"/>
        <v>195.14064468449197</v>
      </c>
      <c r="L123" s="451"/>
      <c r="M123" s="451"/>
      <c r="N123" s="18"/>
    </row>
    <row r="124" spans="2:14" s="16" customFormat="1">
      <c r="B124" s="213">
        <f t="shared" si="15"/>
        <v>101</v>
      </c>
      <c r="C124" s="216"/>
      <c r="D124" s="214">
        <v>7</v>
      </c>
      <c r="E124" s="206">
        <f t="shared" si="16"/>
        <v>287</v>
      </c>
      <c r="F124" s="373">
        <v>33.51</v>
      </c>
      <c r="G124" s="215">
        <f t="shared" si="13"/>
        <v>33.111999999999995</v>
      </c>
      <c r="H124" s="215" t="str">
        <f t="shared" si="14"/>
        <v>IN</v>
      </c>
      <c r="I124" s="217">
        <f t="shared" si="10"/>
        <v>3346.3940000000002</v>
      </c>
      <c r="J124" s="217">
        <f t="shared" si="11"/>
        <v>8694.735999999999</v>
      </c>
      <c r="K124" s="381">
        <f t="shared" si="12"/>
        <v>195.85160409778456</v>
      </c>
      <c r="L124" s="451"/>
      <c r="M124" s="451"/>
      <c r="N124" s="18"/>
    </row>
    <row r="125" spans="2:14" s="16" customFormat="1">
      <c r="B125" s="213">
        <f t="shared" si="15"/>
        <v>102</v>
      </c>
      <c r="C125" s="216"/>
      <c r="D125" s="214">
        <v>7</v>
      </c>
      <c r="E125" s="206">
        <f t="shared" si="16"/>
        <v>286</v>
      </c>
      <c r="F125" s="373">
        <v>37.17</v>
      </c>
      <c r="G125" s="215">
        <f t="shared" si="13"/>
        <v>36.771999999999998</v>
      </c>
      <c r="H125" s="215" t="str">
        <f t="shared" si="14"/>
        <v>IN</v>
      </c>
      <c r="I125" s="217">
        <f t="shared" si="10"/>
        <v>3383.1660000000002</v>
      </c>
      <c r="J125" s="217">
        <f t="shared" si="11"/>
        <v>8657.9639999999999</v>
      </c>
      <c r="K125" s="381">
        <f t="shared" si="12"/>
        <v>196.64114866004584</v>
      </c>
      <c r="L125" s="451"/>
      <c r="M125" s="451"/>
      <c r="N125" s="18"/>
    </row>
    <row r="126" spans="2:14" s="16" customFormat="1">
      <c r="B126" s="213">
        <f t="shared" si="15"/>
        <v>103</v>
      </c>
      <c r="C126" s="216"/>
      <c r="D126" s="214">
        <v>7</v>
      </c>
      <c r="E126" s="206">
        <f t="shared" si="16"/>
        <v>285</v>
      </c>
      <c r="F126" s="373">
        <v>35.130000000000003</v>
      </c>
      <c r="G126" s="215">
        <f t="shared" si="13"/>
        <v>34.731999999999999</v>
      </c>
      <c r="H126" s="215" t="str">
        <f t="shared" si="14"/>
        <v>IN</v>
      </c>
      <c r="I126" s="217">
        <f t="shared" si="10"/>
        <v>3417.8980000000001</v>
      </c>
      <c r="J126" s="217">
        <f t="shared" si="11"/>
        <v>8623.232</v>
      </c>
      <c r="K126" s="381">
        <f t="shared" si="12"/>
        <v>197.38689166386555</v>
      </c>
      <c r="L126" s="451"/>
      <c r="M126" s="451"/>
      <c r="N126" s="18"/>
    </row>
    <row r="127" spans="2:14" s="16" customFormat="1">
      <c r="B127" s="213">
        <f t="shared" si="15"/>
        <v>104</v>
      </c>
      <c r="C127" s="213"/>
      <c r="D127" s="214">
        <v>7</v>
      </c>
      <c r="E127" s="206">
        <f t="shared" si="16"/>
        <v>284</v>
      </c>
      <c r="F127" s="373">
        <v>34.659999999999997</v>
      </c>
      <c r="G127" s="215">
        <f t="shared" si="13"/>
        <v>34.261999999999993</v>
      </c>
      <c r="H127" s="215" t="str">
        <f t="shared" si="14"/>
        <v>IN</v>
      </c>
      <c r="I127" s="217">
        <f t="shared" si="10"/>
        <v>3452.1600000000003</v>
      </c>
      <c r="J127" s="217">
        <f t="shared" si="11"/>
        <v>8588.9699999999993</v>
      </c>
      <c r="K127" s="381">
        <f t="shared" si="12"/>
        <v>198.12254313216195</v>
      </c>
      <c r="L127" s="451"/>
      <c r="M127" s="451"/>
      <c r="N127" s="18"/>
    </row>
    <row r="128" spans="2:14" s="16" customFormat="1">
      <c r="B128" s="213">
        <f t="shared" si="15"/>
        <v>105</v>
      </c>
      <c r="C128" s="213"/>
      <c r="D128" s="214">
        <v>7</v>
      </c>
      <c r="E128" s="206">
        <f t="shared" si="16"/>
        <v>283</v>
      </c>
      <c r="F128" s="373">
        <v>33.67</v>
      </c>
      <c r="G128" s="215">
        <f t="shared" si="13"/>
        <v>33.271999999999998</v>
      </c>
      <c r="H128" s="215" t="str">
        <f t="shared" si="14"/>
        <v>IN</v>
      </c>
      <c r="I128" s="217">
        <f t="shared" si="10"/>
        <v>3485.4320000000002</v>
      </c>
      <c r="J128" s="217">
        <f t="shared" si="11"/>
        <v>8555.6979999999985</v>
      </c>
      <c r="K128" s="381">
        <f t="shared" si="12"/>
        <v>198.8369379618029</v>
      </c>
      <c r="L128" s="429"/>
      <c r="M128" s="429"/>
      <c r="N128" s="18"/>
    </row>
    <row r="129" spans="2:14" s="16" customFormat="1">
      <c r="B129" s="213">
        <f t="shared" si="15"/>
        <v>106</v>
      </c>
      <c r="C129" s="213"/>
      <c r="D129" s="214">
        <v>7</v>
      </c>
      <c r="E129" s="206">
        <f t="shared" si="16"/>
        <v>282</v>
      </c>
      <c r="F129" s="373">
        <v>37.659999999999997</v>
      </c>
      <c r="G129" s="215">
        <f t="shared" si="13"/>
        <v>37.261999999999993</v>
      </c>
      <c r="H129" s="215" t="str">
        <f t="shared" si="14"/>
        <v>IN</v>
      </c>
      <c r="I129" s="217">
        <f t="shared" si="10"/>
        <v>3522.6940000000004</v>
      </c>
      <c r="J129" s="217">
        <f t="shared" si="11"/>
        <v>8518.4359999999979</v>
      </c>
      <c r="K129" s="381">
        <f t="shared" si="12"/>
        <v>199.63700348663104</v>
      </c>
      <c r="L129" s="429"/>
      <c r="M129" s="429"/>
      <c r="N129" s="18"/>
    </row>
    <row r="130" spans="2:14" s="16" customFormat="1">
      <c r="B130" s="213">
        <f t="shared" si="15"/>
        <v>107</v>
      </c>
      <c r="C130" s="213"/>
      <c r="D130" s="214">
        <v>7</v>
      </c>
      <c r="E130" s="206">
        <f t="shared" si="16"/>
        <v>281</v>
      </c>
      <c r="F130" s="373">
        <v>33.409999999999997</v>
      </c>
      <c r="G130" s="215">
        <f t="shared" si="13"/>
        <v>33.011999999999993</v>
      </c>
      <c r="H130" s="215" t="str">
        <f t="shared" si="14"/>
        <v>IN</v>
      </c>
      <c r="I130" s="217">
        <f t="shared" si="10"/>
        <v>3555.7060000000006</v>
      </c>
      <c r="J130" s="217">
        <f t="shared" si="11"/>
        <v>8485.4239999999991</v>
      </c>
      <c r="K130" s="381">
        <f t="shared" si="12"/>
        <v>200.34581576470589</v>
      </c>
      <c r="L130" s="429"/>
      <c r="M130" s="429"/>
      <c r="N130" s="18"/>
    </row>
    <row r="131" spans="2:14" s="16" customFormat="1">
      <c r="B131" s="213">
        <f t="shared" si="15"/>
        <v>108</v>
      </c>
      <c r="C131" s="213"/>
      <c r="D131" s="214">
        <v>7</v>
      </c>
      <c r="E131" s="206">
        <f t="shared" si="16"/>
        <v>280</v>
      </c>
      <c r="F131" s="373">
        <v>33.049999999999997</v>
      </c>
      <c r="G131" s="215">
        <f t="shared" si="13"/>
        <v>32.651999999999994</v>
      </c>
      <c r="H131" s="215" t="str">
        <f t="shared" si="14"/>
        <v>IN</v>
      </c>
      <c r="I131" s="217">
        <f t="shared" si="10"/>
        <v>3588.3580000000006</v>
      </c>
      <c r="J131" s="217">
        <f t="shared" si="11"/>
        <v>8452.771999999999</v>
      </c>
      <c r="K131" s="381">
        <f t="shared" si="12"/>
        <v>201.04689835599697</v>
      </c>
      <c r="L131" s="429"/>
      <c r="M131" s="429"/>
      <c r="N131" s="18"/>
    </row>
    <row r="132" spans="2:14" s="16" customFormat="1">
      <c r="B132" s="213">
        <f t="shared" si="15"/>
        <v>109</v>
      </c>
      <c r="C132" s="216"/>
      <c r="D132" s="214">
        <v>7</v>
      </c>
      <c r="E132" s="206">
        <f t="shared" si="16"/>
        <v>279</v>
      </c>
      <c r="F132" s="373">
        <v>33.56</v>
      </c>
      <c r="G132" s="215">
        <f t="shared" si="13"/>
        <v>33.161999999999999</v>
      </c>
      <c r="H132" s="215" t="str">
        <f t="shared" si="14"/>
        <v>IN</v>
      </c>
      <c r="I132" s="217">
        <f t="shared" si="10"/>
        <v>3621.5200000000004</v>
      </c>
      <c r="J132" s="217">
        <f t="shared" si="11"/>
        <v>8419.6099999999988</v>
      </c>
      <c r="K132" s="381">
        <f t="shared" si="12"/>
        <v>201.7589313368984</v>
      </c>
      <c r="L132" s="429"/>
      <c r="M132" s="429"/>
      <c r="N132" s="18"/>
    </row>
    <row r="133" spans="2:14" s="16" customFormat="1">
      <c r="B133" s="213">
        <f t="shared" si="15"/>
        <v>110</v>
      </c>
      <c r="C133" s="216"/>
      <c r="D133" s="214">
        <v>7</v>
      </c>
      <c r="E133" s="206">
        <f t="shared" si="16"/>
        <v>278</v>
      </c>
      <c r="F133" s="373">
        <v>33.26</v>
      </c>
      <c r="G133" s="215">
        <f t="shared" si="13"/>
        <v>32.861999999999995</v>
      </c>
      <c r="H133" s="215" t="str">
        <f t="shared" si="14"/>
        <v>IN</v>
      </c>
      <c r="I133" s="217">
        <f t="shared" si="10"/>
        <v>3654.3820000000005</v>
      </c>
      <c r="J133" s="217">
        <f t="shared" si="11"/>
        <v>8386.7479999999996</v>
      </c>
      <c r="K133" s="381">
        <f t="shared" si="12"/>
        <v>202.46452291214669</v>
      </c>
      <c r="L133" s="451"/>
      <c r="M133" s="451"/>
      <c r="N133" s="18"/>
    </row>
    <row r="134" spans="2:14" s="16" customFormat="1" ht="13.35" customHeight="1">
      <c r="B134" s="213">
        <f t="shared" si="15"/>
        <v>111</v>
      </c>
      <c r="C134" s="216"/>
      <c r="D134" s="214">
        <v>7</v>
      </c>
      <c r="E134" s="206">
        <f t="shared" si="16"/>
        <v>277</v>
      </c>
      <c r="F134" s="373">
        <v>33.5</v>
      </c>
      <c r="G134" s="215">
        <f t="shared" si="13"/>
        <v>33.101999999999997</v>
      </c>
      <c r="H134" s="215" t="str">
        <f t="shared" si="14"/>
        <v>IN</v>
      </c>
      <c r="I134" s="217">
        <f t="shared" si="10"/>
        <v>3687.4840000000004</v>
      </c>
      <c r="J134" s="217">
        <f t="shared" si="11"/>
        <v>8353.6459999999988</v>
      </c>
      <c r="K134" s="381">
        <f t="shared" si="12"/>
        <v>203.17526761191749</v>
      </c>
      <c r="L134" s="451"/>
      <c r="M134" s="451"/>
      <c r="N134" s="18"/>
    </row>
    <row r="135" spans="2:14" s="16" customFormat="1" ht="13.35" customHeight="1">
      <c r="B135" s="213">
        <f t="shared" si="15"/>
        <v>112</v>
      </c>
      <c r="C135" s="216"/>
      <c r="D135" s="214">
        <v>7</v>
      </c>
      <c r="E135" s="206">
        <f t="shared" si="16"/>
        <v>276</v>
      </c>
      <c r="F135" s="373">
        <v>33.369999999999997</v>
      </c>
      <c r="G135" s="215">
        <f t="shared" si="13"/>
        <v>32.971999999999994</v>
      </c>
      <c r="H135" s="215" t="str">
        <f t="shared" si="14"/>
        <v>IN</v>
      </c>
      <c r="I135" s="217">
        <f t="shared" si="10"/>
        <v>3720.4560000000006</v>
      </c>
      <c r="J135" s="217">
        <f t="shared" si="11"/>
        <v>8320.6739999999991</v>
      </c>
      <c r="K135" s="381">
        <f t="shared" si="12"/>
        <v>203.88322103590528</v>
      </c>
      <c r="L135" s="451"/>
      <c r="M135" s="451"/>
      <c r="N135" s="18"/>
    </row>
    <row r="136" spans="2:14" s="16" customFormat="1">
      <c r="B136" s="213">
        <f t="shared" si="15"/>
        <v>113</v>
      </c>
      <c r="C136" s="216"/>
      <c r="D136" s="214">
        <v>7</v>
      </c>
      <c r="E136" s="206">
        <f t="shared" si="16"/>
        <v>275</v>
      </c>
      <c r="F136" s="373">
        <v>33.450000000000003</v>
      </c>
      <c r="G136" s="215">
        <f t="shared" si="13"/>
        <v>33.052</v>
      </c>
      <c r="H136" s="215" t="str">
        <f t="shared" si="14"/>
        <v>IN</v>
      </c>
      <c r="I136" s="217">
        <f t="shared" si="10"/>
        <v>3753.5080000000007</v>
      </c>
      <c r="J136" s="217">
        <f t="shared" si="11"/>
        <v>8287.6219999999994</v>
      </c>
      <c r="K136" s="381">
        <f t="shared" si="12"/>
        <v>204.59289216806724</v>
      </c>
      <c r="L136" s="451"/>
      <c r="M136" s="451"/>
      <c r="N136" s="18"/>
    </row>
    <row r="137" spans="2:14" s="16" customFormat="1">
      <c r="B137" s="213">
        <f t="shared" si="15"/>
        <v>114</v>
      </c>
      <c r="C137" s="216"/>
      <c r="D137" s="214">
        <v>7</v>
      </c>
      <c r="E137" s="206">
        <f t="shared" si="16"/>
        <v>274</v>
      </c>
      <c r="F137" s="373">
        <v>33.090000000000003</v>
      </c>
      <c r="G137" s="215">
        <f t="shared" si="13"/>
        <v>32.692</v>
      </c>
      <c r="H137" s="215" t="str">
        <f t="shared" si="14"/>
        <v>IN</v>
      </c>
      <c r="I137" s="217">
        <f t="shared" si="10"/>
        <v>3786.2000000000007</v>
      </c>
      <c r="J137" s="217">
        <f t="shared" si="11"/>
        <v>8254.9299999999985</v>
      </c>
      <c r="K137" s="381">
        <f t="shared" si="12"/>
        <v>205.29483361344541</v>
      </c>
      <c r="L137" s="451"/>
      <c r="M137" s="451"/>
      <c r="N137" s="18"/>
    </row>
    <row r="138" spans="2:14" s="16" customFormat="1">
      <c r="B138" s="213">
        <f t="shared" si="15"/>
        <v>115</v>
      </c>
      <c r="C138" s="213"/>
      <c r="D138" s="214">
        <v>7</v>
      </c>
      <c r="E138" s="206">
        <f t="shared" si="16"/>
        <v>273</v>
      </c>
      <c r="F138" s="373">
        <v>33.35</v>
      </c>
      <c r="G138" s="215">
        <f t="shared" si="13"/>
        <v>32.951999999999998</v>
      </c>
      <c r="H138" s="215" t="str">
        <f t="shared" si="14"/>
        <v>IN</v>
      </c>
      <c r="I138" s="217">
        <f t="shared" si="10"/>
        <v>3819.152000000001</v>
      </c>
      <c r="J138" s="217">
        <f t="shared" si="11"/>
        <v>8221.9779999999992</v>
      </c>
      <c r="K138" s="381">
        <f t="shared" si="12"/>
        <v>206.00235761038965</v>
      </c>
      <c r="L138" s="451"/>
      <c r="M138" s="451"/>
      <c r="N138" s="18"/>
    </row>
    <row r="139" spans="2:14" s="16" customFormat="1">
      <c r="B139" s="213">
        <f t="shared" si="15"/>
        <v>116</v>
      </c>
      <c r="C139" s="216"/>
      <c r="D139" s="214">
        <v>7</v>
      </c>
      <c r="E139" s="206">
        <f t="shared" si="16"/>
        <v>272</v>
      </c>
      <c r="F139" s="373">
        <v>34.869999999999997</v>
      </c>
      <c r="G139" s="215">
        <f t="shared" si="13"/>
        <v>34.471999999999994</v>
      </c>
      <c r="H139" s="215" t="str">
        <f t="shared" si="14"/>
        <v>IN</v>
      </c>
      <c r="I139" s="217">
        <f t="shared" si="10"/>
        <v>3853.6240000000012</v>
      </c>
      <c r="J139" s="217">
        <f t="shared" si="11"/>
        <v>8187.5059999999976</v>
      </c>
      <c r="K139" s="381">
        <f t="shared" si="12"/>
        <v>206.74251806264328</v>
      </c>
      <c r="L139" s="429"/>
      <c r="M139" s="429"/>
      <c r="N139" s="18"/>
    </row>
    <row r="140" spans="2:14" s="16" customFormat="1">
      <c r="B140" s="213">
        <f t="shared" si="15"/>
        <v>117</v>
      </c>
      <c r="C140" s="216"/>
      <c r="D140" s="214">
        <v>7</v>
      </c>
      <c r="E140" s="206">
        <f t="shared" si="16"/>
        <v>271</v>
      </c>
      <c r="F140" s="373">
        <v>32.19</v>
      </c>
      <c r="G140" s="215">
        <f t="shared" si="13"/>
        <v>31.791999999999998</v>
      </c>
      <c r="H140" s="215" t="str">
        <f t="shared" si="14"/>
        <v>IN</v>
      </c>
      <c r="I140" s="217">
        <f t="shared" si="10"/>
        <v>3885.4160000000011</v>
      </c>
      <c r="J140" s="217">
        <f t="shared" si="11"/>
        <v>8155.7139999999981</v>
      </c>
      <c r="K140" s="381">
        <f t="shared" si="12"/>
        <v>207.42513529106191</v>
      </c>
      <c r="L140" s="451"/>
      <c r="M140" s="451"/>
      <c r="N140" s="18"/>
    </row>
    <row r="141" spans="2:14" s="16" customFormat="1">
      <c r="B141" s="213">
        <f t="shared" si="15"/>
        <v>118</v>
      </c>
      <c r="C141" s="216"/>
      <c r="D141" s="214">
        <v>7</v>
      </c>
      <c r="E141" s="206">
        <f t="shared" si="16"/>
        <v>270</v>
      </c>
      <c r="F141" s="373">
        <v>36.83</v>
      </c>
      <c r="G141" s="215">
        <f t="shared" si="13"/>
        <v>36.431999999999995</v>
      </c>
      <c r="H141" s="215" t="str">
        <f t="shared" si="14"/>
        <v>IN</v>
      </c>
      <c r="I141" s="217">
        <f t="shared" si="10"/>
        <v>3921.8480000000009</v>
      </c>
      <c r="J141" s="217">
        <f t="shared" si="11"/>
        <v>8119.2819999999983</v>
      </c>
      <c r="K141" s="381">
        <f t="shared" si="12"/>
        <v>208.20737959358291</v>
      </c>
      <c r="L141" s="451"/>
      <c r="M141" s="451"/>
      <c r="N141" s="18"/>
    </row>
    <row r="142" spans="2:14" s="16" customFormat="1">
      <c r="B142" s="213">
        <f t="shared" si="15"/>
        <v>119</v>
      </c>
      <c r="C142" s="216"/>
      <c r="D142" s="214">
        <v>7</v>
      </c>
      <c r="E142" s="206">
        <f t="shared" si="16"/>
        <v>269</v>
      </c>
      <c r="F142" s="373">
        <v>34.81</v>
      </c>
      <c r="G142" s="215">
        <f t="shared" si="13"/>
        <v>34.411999999999999</v>
      </c>
      <c r="H142" s="215" t="str">
        <f t="shared" si="14"/>
        <v>IN</v>
      </c>
      <c r="I142" s="217">
        <f t="shared" si="10"/>
        <v>3956.2600000000007</v>
      </c>
      <c r="J142" s="217">
        <f t="shared" si="11"/>
        <v>8084.869999999999</v>
      </c>
      <c r="K142" s="381">
        <f t="shared" si="12"/>
        <v>208.94625176470589</v>
      </c>
      <c r="L142" s="451"/>
      <c r="M142" s="451"/>
      <c r="N142" s="18"/>
    </row>
    <row r="143" spans="2:14" s="16" customFormat="1">
      <c r="B143" s="213">
        <f t="shared" si="15"/>
        <v>120</v>
      </c>
      <c r="C143" s="216"/>
      <c r="D143" s="214">
        <v>7</v>
      </c>
      <c r="E143" s="206">
        <f t="shared" si="16"/>
        <v>268</v>
      </c>
      <c r="F143" s="373">
        <v>36.58</v>
      </c>
      <c r="G143" s="215">
        <f t="shared" si="13"/>
        <v>36.181999999999995</v>
      </c>
      <c r="H143" s="215" t="str">
        <f t="shared" si="14"/>
        <v>IN</v>
      </c>
      <c r="I143" s="217">
        <f t="shared" si="10"/>
        <v>3992.4420000000005</v>
      </c>
      <c r="J143" s="217">
        <f t="shared" si="11"/>
        <v>8048.6879999999983</v>
      </c>
      <c r="K143" s="381">
        <f t="shared" si="12"/>
        <v>209.72312822918258</v>
      </c>
      <c r="L143" s="451"/>
      <c r="M143" s="451"/>
      <c r="N143" s="18"/>
    </row>
    <row r="144" spans="2:14" s="16" customFormat="1">
      <c r="B144" s="213">
        <f t="shared" si="15"/>
        <v>121</v>
      </c>
      <c r="C144" s="216"/>
      <c r="D144" s="214">
        <v>7</v>
      </c>
      <c r="E144" s="206">
        <f t="shared" si="16"/>
        <v>267</v>
      </c>
      <c r="F144" s="373">
        <v>34.07</v>
      </c>
      <c r="G144" s="215">
        <f t="shared" si="13"/>
        <v>33.671999999999997</v>
      </c>
      <c r="H144" s="215" t="str">
        <f t="shared" si="14"/>
        <v>IN</v>
      </c>
      <c r="I144" s="217">
        <f t="shared" si="10"/>
        <v>4026.1140000000005</v>
      </c>
      <c r="J144" s="217">
        <f t="shared" si="11"/>
        <v>8015.0159999999987</v>
      </c>
      <c r="K144" s="381">
        <f t="shared" si="12"/>
        <v>210.44611159969443</v>
      </c>
      <c r="L144" s="451"/>
      <c r="M144" s="451"/>
      <c r="N144" s="18"/>
    </row>
    <row r="145" spans="2:14" s="16" customFormat="1">
      <c r="B145" s="213">
        <f t="shared" si="15"/>
        <v>122</v>
      </c>
      <c r="C145" s="216"/>
      <c r="D145" s="214">
        <v>7</v>
      </c>
      <c r="E145" s="206">
        <f t="shared" si="16"/>
        <v>266</v>
      </c>
      <c r="F145" s="373">
        <v>34.299999999999997</v>
      </c>
      <c r="G145" s="215">
        <f t="shared" si="13"/>
        <v>33.901999999999994</v>
      </c>
      <c r="H145" s="215" t="str">
        <f t="shared" si="14"/>
        <v>IN</v>
      </c>
      <c r="I145" s="217">
        <f t="shared" si="10"/>
        <v>4060.0160000000005</v>
      </c>
      <c r="J145" s="217">
        <f t="shared" si="11"/>
        <v>7981.1139999999987</v>
      </c>
      <c r="K145" s="381">
        <f t="shared" si="12"/>
        <v>211.17403338120704</v>
      </c>
      <c r="L145" s="451"/>
      <c r="M145" s="451"/>
      <c r="N145" s="18"/>
    </row>
    <row r="146" spans="2:14" s="16" customFormat="1">
      <c r="B146" s="213">
        <f t="shared" si="15"/>
        <v>123</v>
      </c>
      <c r="C146" s="216"/>
      <c r="D146" s="214">
        <v>7</v>
      </c>
      <c r="E146" s="206">
        <f t="shared" si="16"/>
        <v>265</v>
      </c>
      <c r="F146" s="373">
        <v>34.340000000000003</v>
      </c>
      <c r="G146" s="215">
        <f t="shared" si="13"/>
        <v>33.942</v>
      </c>
      <c r="H146" s="215" t="str">
        <f t="shared" si="14"/>
        <v>IN</v>
      </c>
      <c r="I146" s="217">
        <f t="shared" ref="I146:I209" si="17">IF(H146="IN",I145+G146,I145)</f>
        <v>4093.9580000000005</v>
      </c>
      <c r="J146" s="217">
        <f t="shared" ref="J146:J209" si="18">IF(I146="","",$L$9-I146)</f>
        <v>7947.1719999999987</v>
      </c>
      <c r="K146" s="381">
        <f t="shared" ref="K146:K209" si="19">$H$9+(I146*$E$10*$H$11/1000)</f>
        <v>211.90281401680673</v>
      </c>
      <c r="L146" s="451"/>
      <c r="M146" s="451"/>
      <c r="N146" s="18"/>
    </row>
    <row r="147" spans="2:14" s="16" customFormat="1">
      <c r="B147" s="213">
        <f t="shared" si="15"/>
        <v>124</v>
      </c>
      <c r="C147" s="216"/>
      <c r="D147" s="214">
        <v>7</v>
      </c>
      <c r="E147" s="206">
        <f t="shared" si="16"/>
        <v>264</v>
      </c>
      <c r="F147" s="373">
        <v>37.4</v>
      </c>
      <c r="G147" s="215">
        <f t="shared" si="13"/>
        <v>37.001999999999995</v>
      </c>
      <c r="H147" s="215" t="str">
        <f t="shared" si="14"/>
        <v>IN</v>
      </c>
      <c r="I147" s="217">
        <f t="shared" si="17"/>
        <v>4130.9600000000009</v>
      </c>
      <c r="J147" s="217">
        <f t="shared" si="18"/>
        <v>7910.1699999999983</v>
      </c>
      <c r="K147" s="381">
        <f t="shared" si="19"/>
        <v>212.69729699006876</v>
      </c>
      <c r="L147" s="308"/>
      <c r="M147" s="309"/>
      <c r="N147" s="18"/>
    </row>
    <row r="148" spans="2:14" s="16" customFormat="1">
      <c r="B148" s="213">
        <f t="shared" si="15"/>
        <v>125</v>
      </c>
      <c r="C148" s="216"/>
      <c r="D148" s="214">
        <v>7</v>
      </c>
      <c r="E148" s="206">
        <f t="shared" si="16"/>
        <v>263</v>
      </c>
      <c r="F148" s="373">
        <v>36.43</v>
      </c>
      <c r="G148" s="215">
        <f t="shared" si="13"/>
        <v>36.031999999999996</v>
      </c>
      <c r="H148" s="215" t="str">
        <f t="shared" si="14"/>
        <v>IN</v>
      </c>
      <c r="I148" s="217">
        <f t="shared" si="17"/>
        <v>4166.9920000000011</v>
      </c>
      <c r="J148" s="217">
        <f t="shared" si="18"/>
        <v>7874.1379999999981</v>
      </c>
      <c r="K148" s="381">
        <f t="shared" si="19"/>
        <v>213.4709527517189</v>
      </c>
      <c r="L148" s="520"/>
      <c r="M148" s="521"/>
      <c r="N148" s="18"/>
    </row>
    <row r="149" spans="2:14" s="16" customFormat="1">
      <c r="B149" s="213">
        <f t="shared" si="15"/>
        <v>126</v>
      </c>
      <c r="C149" s="216"/>
      <c r="D149" s="214">
        <v>7</v>
      </c>
      <c r="E149" s="206">
        <f t="shared" ref="E149:E154" si="20">E148-1</f>
        <v>262</v>
      </c>
      <c r="F149" s="373">
        <v>33.22</v>
      </c>
      <c r="G149" s="215">
        <f t="shared" si="13"/>
        <v>32.821999999999996</v>
      </c>
      <c r="H149" s="215" t="str">
        <f t="shared" si="14"/>
        <v>IN</v>
      </c>
      <c r="I149" s="217">
        <f t="shared" si="17"/>
        <v>4199.8140000000012</v>
      </c>
      <c r="J149" s="217">
        <f t="shared" si="18"/>
        <v>7841.315999999998</v>
      </c>
      <c r="K149" s="381">
        <f t="shared" si="19"/>
        <v>214.1756854728801</v>
      </c>
      <c r="L149" s="522"/>
      <c r="M149" s="523"/>
      <c r="N149" s="18"/>
    </row>
    <row r="150" spans="2:14" s="16" customFormat="1">
      <c r="B150" s="213">
        <f t="shared" si="15"/>
        <v>127</v>
      </c>
      <c r="C150" s="213"/>
      <c r="D150" s="214">
        <v>7</v>
      </c>
      <c r="E150" s="206">
        <f t="shared" si="20"/>
        <v>261</v>
      </c>
      <c r="F150" s="373">
        <v>34.72</v>
      </c>
      <c r="G150" s="215">
        <f t="shared" si="13"/>
        <v>34.321999999999996</v>
      </c>
      <c r="H150" s="215" t="str">
        <f t="shared" si="14"/>
        <v>IN</v>
      </c>
      <c r="I150" s="217">
        <f t="shared" si="17"/>
        <v>4234.1360000000013</v>
      </c>
      <c r="J150" s="217">
        <f t="shared" si="18"/>
        <v>7806.9939999999979</v>
      </c>
      <c r="K150" s="381">
        <f t="shared" si="19"/>
        <v>214.91262522230716</v>
      </c>
      <c r="L150" s="451"/>
      <c r="M150" s="451"/>
      <c r="N150" s="18"/>
    </row>
    <row r="151" spans="2:14">
      <c r="B151" s="213">
        <f t="shared" si="15"/>
        <v>128</v>
      </c>
      <c r="C151" s="213"/>
      <c r="D151" s="214">
        <v>7</v>
      </c>
      <c r="E151" s="206">
        <f t="shared" si="20"/>
        <v>260</v>
      </c>
      <c r="F151" s="373">
        <v>36.92</v>
      </c>
      <c r="G151" s="215">
        <f t="shared" si="13"/>
        <v>36.521999999999998</v>
      </c>
      <c r="H151" s="215" t="str">
        <f t="shared" si="14"/>
        <v>IN</v>
      </c>
      <c r="I151" s="217">
        <f t="shared" si="17"/>
        <v>4270.6580000000013</v>
      </c>
      <c r="J151" s="217">
        <f t="shared" si="18"/>
        <v>7770.4719999999979</v>
      </c>
      <c r="K151" s="381">
        <f t="shared" si="19"/>
        <v>215.69680194652409</v>
      </c>
      <c r="L151" s="451"/>
      <c r="M151" s="451"/>
      <c r="N151" s="18"/>
    </row>
    <row r="152" spans="2:14">
      <c r="B152" s="213">
        <f t="shared" si="15"/>
        <v>129</v>
      </c>
      <c r="C152" s="213"/>
      <c r="D152" s="214">
        <v>7</v>
      </c>
      <c r="E152" s="206">
        <f t="shared" si="20"/>
        <v>259</v>
      </c>
      <c r="F152" s="373">
        <v>35.049999999999997</v>
      </c>
      <c r="G152" s="215">
        <f t="shared" si="13"/>
        <v>34.651999999999994</v>
      </c>
      <c r="H152" s="215" t="str">
        <f t="shared" si="14"/>
        <v>IN</v>
      </c>
      <c r="I152" s="217">
        <f t="shared" si="17"/>
        <v>4305.3100000000013</v>
      </c>
      <c r="J152" s="217">
        <f t="shared" si="18"/>
        <v>7735.8199999999979</v>
      </c>
      <c r="K152" s="381">
        <f t="shared" si="19"/>
        <v>216.44082724216963</v>
      </c>
      <c r="L152" s="451"/>
      <c r="M152" s="451"/>
      <c r="N152" s="18"/>
    </row>
    <row r="153" spans="2:14">
      <c r="B153" s="213">
        <f t="shared" si="15"/>
        <v>130</v>
      </c>
      <c r="C153" s="213"/>
      <c r="D153" s="214">
        <v>7</v>
      </c>
      <c r="E153" s="206">
        <f t="shared" si="20"/>
        <v>258</v>
      </c>
      <c r="F153" s="373">
        <v>36.14</v>
      </c>
      <c r="G153" s="215">
        <f t="shared" ref="G153:G216" si="21">F153-($E$12)</f>
        <v>35.741999999999997</v>
      </c>
      <c r="H153" s="215" t="str">
        <f t="shared" si="14"/>
        <v>IN</v>
      </c>
      <c r="I153" s="217">
        <f t="shared" si="17"/>
        <v>4341.0520000000015</v>
      </c>
      <c r="J153" s="217">
        <f t="shared" si="18"/>
        <v>7700.0779999999977</v>
      </c>
      <c r="K153" s="381">
        <f t="shared" si="19"/>
        <v>217.20825631168836</v>
      </c>
      <c r="L153" s="451"/>
      <c r="M153" s="451"/>
      <c r="N153" s="18"/>
    </row>
    <row r="154" spans="2:14">
      <c r="B154" s="213">
        <f t="shared" si="15"/>
        <v>131</v>
      </c>
      <c r="C154" s="213"/>
      <c r="D154" s="214">
        <v>7</v>
      </c>
      <c r="E154" s="206">
        <f t="shared" si="20"/>
        <v>257</v>
      </c>
      <c r="F154" s="373">
        <v>35.33</v>
      </c>
      <c r="G154" s="215">
        <f t="shared" si="21"/>
        <v>34.931999999999995</v>
      </c>
      <c r="H154" s="215" t="str">
        <f t="shared" ref="H154:H213" si="22">IF(F154="","OUT","IN")</f>
        <v>IN</v>
      </c>
      <c r="I154" s="217">
        <f t="shared" si="17"/>
        <v>4375.9840000000013</v>
      </c>
      <c r="J154" s="217">
        <f t="shared" si="18"/>
        <v>7665.1459999999979</v>
      </c>
      <c r="K154" s="381">
        <f t="shared" si="19"/>
        <v>217.95829358594349</v>
      </c>
      <c r="L154" s="451"/>
      <c r="M154" s="451"/>
      <c r="N154" s="18"/>
    </row>
    <row r="155" spans="2:14">
      <c r="B155" s="213">
        <f t="shared" ref="B155:B218" si="23">B154+1</f>
        <v>132</v>
      </c>
      <c r="C155" s="213"/>
      <c r="D155" s="214">
        <v>7</v>
      </c>
      <c r="E155" s="206">
        <f t="shared" ref="E155:E218" si="24">E154-1</f>
        <v>256</v>
      </c>
      <c r="F155" s="373">
        <v>34.1</v>
      </c>
      <c r="G155" s="215">
        <f t="shared" si="21"/>
        <v>33.701999999999998</v>
      </c>
      <c r="H155" s="215" t="str">
        <f t="shared" si="22"/>
        <v>IN</v>
      </c>
      <c r="I155" s="217">
        <f t="shared" si="17"/>
        <v>4409.6860000000015</v>
      </c>
      <c r="J155" s="217">
        <f t="shared" si="18"/>
        <v>7631.4439999999977</v>
      </c>
      <c r="K155" s="381">
        <f t="shared" si="19"/>
        <v>218.68192109702068</v>
      </c>
      <c r="L155" s="451"/>
      <c r="M155" s="451"/>
      <c r="N155" s="18"/>
    </row>
    <row r="156" spans="2:14">
      <c r="B156" s="213">
        <f t="shared" si="23"/>
        <v>133</v>
      </c>
      <c r="C156" s="213"/>
      <c r="D156" s="214">
        <v>7</v>
      </c>
      <c r="E156" s="206">
        <f t="shared" si="24"/>
        <v>255</v>
      </c>
      <c r="F156" s="373">
        <v>35.369999999999997</v>
      </c>
      <c r="G156" s="215">
        <f t="shared" si="21"/>
        <v>34.971999999999994</v>
      </c>
      <c r="H156" s="215" t="str">
        <f t="shared" si="22"/>
        <v>IN</v>
      </c>
      <c r="I156" s="217">
        <f t="shared" si="17"/>
        <v>4444.6580000000013</v>
      </c>
      <c r="J156" s="217">
        <f t="shared" si="18"/>
        <v>7596.4719999999979</v>
      </c>
      <c r="K156" s="381">
        <f t="shared" si="19"/>
        <v>219.4328172253629</v>
      </c>
      <c r="L156" s="451"/>
      <c r="M156" s="451"/>
      <c r="N156" s="18"/>
    </row>
    <row r="157" spans="2:14">
      <c r="B157" s="213">
        <f t="shared" si="23"/>
        <v>134</v>
      </c>
      <c r="C157" s="213"/>
      <c r="D157" s="214">
        <v>7</v>
      </c>
      <c r="E157" s="206">
        <f t="shared" si="24"/>
        <v>254</v>
      </c>
      <c r="F157" s="373">
        <v>34.61</v>
      </c>
      <c r="G157" s="215">
        <f t="shared" si="21"/>
        <v>34.211999999999996</v>
      </c>
      <c r="H157" s="215" t="str">
        <f t="shared" si="22"/>
        <v>IN</v>
      </c>
      <c r="I157" s="217">
        <f t="shared" si="17"/>
        <v>4478.8700000000017</v>
      </c>
      <c r="J157" s="217">
        <f t="shared" si="18"/>
        <v>7562.2599999999975</v>
      </c>
      <c r="K157" s="381">
        <f t="shared" si="19"/>
        <v>220.16739512605045</v>
      </c>
      <c r="L157" s="451"/>
      <c r="M157" s="451"/>
      <c r="N157" s="18"/>
    </row>
    <row r="158" spans="2:14">
      <c r="B158" s="213">
        <f t="shared" si="23"/>
        <v>135</v>
      </c>
      <c r="C158" s="213"/>
      <c r="D158" s="214">
        <v>7</v>
      </c>
      <c r="E158" s="206">
        <f t="shared" si="24"/>
        <v>253</v>
      </c>
      <c r="F158" s="373">
        <v>32.659999999999997</v>
      </c>
      <c r="G158" s="215">
        <f t="shared" si="21"/>
        <v>32.261999999999993</v>
      </c>
      <c r="H158" s="215" t="str">
        <f t="shared" si="22"/>
        <v>IN</v>
      </c>
      <c r="I158" s="217">
        <f t="shared" si="17"/>
        <v>4511.1320000000014</v>
      </c>
      <c r="J158" s="217">
        <f t="shared" si="18"/>
        <v>7529.9979999999978</v>
      </c>
      <c r="K158" s="381">
        <f t="shared" si="19"/>
        <v>220.86010388999239</v>
      </c>
      <c r="L158" s="451"/>
      <c r="M158" s="451"/>
      <c r="N158" s="18"/>
    </row>
    <row r="159" spans="2:14">
      <c r="B159" s="213">
        <f t="shared" si="23"/>
        <v>136</v>
      </c>
      <c r="C159" s="213"/>
      <c r="D159" s="214">
        <v>7</v>
      </c>
      <c r="E159" s="206">
        <f t="shared" si="24"/>
        <v>252</v>
      </c>
      <c r="F159" s="215">
        <v>33.549999999999997</v>
      </c>
      <c r="G159" s="215">
        <f t="shared" si="21"/>
        <v>33.151999999999994</v>
      </c>
      <c r="H159" s="215" t="str">
        <f t="shared" si="22"/>
        <v>IN</v>
      </c>
      <c r="I159" s="217">
        <f t="shared" si="17"/>
        <v>4544.2840000000015</v>
      </c>
      <c r="J159" s="217">
        <f t="shared" si="18"/>
        <v>7496.8459999999977</v>
      </c>
      <c r="K159" s="381">
        <f t="shared" si="19"/>
        <v>221.57192215737206</v>
      </c>
      <c r="L159" s="451"/>
      <c r="M159" s="451"/>
      <c r="N159" s="18"/>
    </row>
    <row r="160" spans="2:14">
      <c r="B160" s="213">
        <f t="shared" si="23"/>
        <v>137</v>
      </c>
      <c r="C160" s="213"/>
      <c r="D160" s="214">
        <v>7</v>
      </c>
      <c r="E160" s="206">
        <f t="shared" si="24"/>
        <v>251</v>
      </c>
      <c r="F160" s="215">
        <v>33.49</v>
      </c>
      <c r="G160" s="215">
        <f t="shared" si="21"/>
        <v>33.091999999999999</v>
      </c>
      <c r="H160" s="215" t="str">
        <f t="shared" si="22"/>
        <v>IN</v>
      </c>
      <c r="I160" s="217">
        <f t="shared" si="17"/>
        <v>4577.3760000000011</v>
      </c>
      <c r="J160" s="217">
        <f t="shared" si="18"/>
        <v>7463.7539999999981</v>
      </c>
      <c r="K160" s="381">
        <f t="shared" si="19"/>
        <v>222.2824521436211</v>
      </c>
      <c r="L160" s="451"/>
      <c r="M160" s="451"/>
      <c r="N160" s="18"/>
    </row>
    <row r="161" spans="2:14">
      <c r="B161" s="213">
        <f t="shared" si="23"/>
        <v>138</v>
      </c>
      <c r="C161" s="213"/>
      <c r="D161" s="214">
        <v>7</v>
      </c>
      <c r="E161" s="206">
        <f t="shared" si="24"/>
        <v>250</v>
      </c>
      <c r="F161" s="215">
        <v>33.200000000000003</v>
      </c>
      <c r="G161" s="215">
        <f t="shared" si="21"/>
        <v>32.802</v>
      </c>
      <c r="H161" s="215" t="str">
        <f t="shared" si="22"/>
        <v>IN</v>
      </c>
      <c r="I161" s="217">
        <f t="shared" si="17"/>
        <v>4610.1780000000008</v>
      </c>
      <c r="J161" s="217">
        <f t="shared" si="18"/>
        <v>7430.9519999999984</v>
      </c>
      <c r="K161" s="381">
        <f t="shared" si="19"/>
        <v>222.98675543773874</v>
      </c>
      <c r="L161" s="451"/>
      <c r="M161" s="451"/>
      <c r="N161" s="18"/>
    </row>
    <row r="162" spans="2:14">
      <c r="B162" s="213">
        <f t="shared" si="23"/>
        <v>139</v>
      </c>
      <c r="C162" s="213"/>
      <c r="D162" s="214">
        <v>7</v>
      </c>
      <c r="E162" s="206">
        <f t="shared" si="24"/>
        <v>249</v>
      </c>
      <c r="F162" s="215">
        <v>33.159999999999997</v>
      </c>
      <c r="G162" s="215">
        <f t="shared" si="21"/>
        <v>32.761999999999993</v>
      </c>
      <c r="H162" s="215" t="str">
        <f t="shared" si="22"/>
        <v>IN</v>
      </c>
      <c r="I162" s="217">
        <f t="shared" si="17"/>
        <v>4642.9400000000005</v>
      </c>
      <c r="J162" s="217">
        <f t="shared" si="18"/>
        <v>7398.1899999999987</v>
      </c>
      <c r="K162" s="381">
        <f t="shared" si="19"/>
        <v>223.69019987776932</v>
      </c>
      <c r="L162" s="451"/>
      <c r="M162" s="451"/>
      <c r="N162" s="18"/>
    </row>
    <row r="163" spans="2:14">
      <c r="B163" s="213">
        <f t="shared" si="23"/>
        <v>140</v>
      </c>
      <c r="C163" s="213"/>
      <c r="D163" s="214">
        <v>7</v>
      </c>
      <c r="E163" s="206">
        <f t="shared" si="24"/>
        <v>248</v>
      </c>
      <c r="F163" s="215">
        <v>32.630000000000003</v>
      </c>
      <c r="G163" s="215">
        <f t="shared" si="21"/>
        <v>32.231999999999999</v>
      </c>
      <c r="H163" s="215" t="str">
        <f t="shared" si="22"/>
        <v>IN</v>
      </c>
      <c r="I163" s="217">
        <f t="shared" si="17"/>
        <v>4675.1720000000005</v>
      </c>
      <c r="J163" s="217">
        <f t="shared" si="18"/>
        <v>7365.9579999999987</v>
      </c>
      <c r="K163" s="381">
        <f t="shared" si="19"/>
        <v>224.38226450114593</v>
      </c>
      <c r="L163" s="451"/>
      <c r="M163" s="451"/>
      <c r="N163" s="18"/>
    </row>
    <row r="164" spans="2:14">
      <c r="B164" s="213">
        <f t="shared" si="23"/>
        <v>141</v>
      </c>
      <c r="C164" s="213"/>
      <c r="D164" s="214">
        <v>7</v>
      </c>
      <c r="E164" s="206">
        <f t="shared" si="24"/>
        <v>247</v>
      </c>
      <c r="F164" s="215">
        <v>33.18</v>
      </c>
      <c r="G164" s="215">
        <f t="shared" si="21"/>
        <v>32.781999999999996</v>
      </c>
      <c r="H164" s="215" t="str">
        <f t="shared" si="22"/>
        <v>IN</v>
      </c>
      <c r="I164" s="217">
        <f t="shared" si="17"/>
        <v>4707.9540000000006</v>
      </c>
      <c r="J164" s="217">
        <f t="shared" si="18"/>
        <v>7333.1759999999986</v>
      </c>
      <c r="K164" s="381">
        <f t="shared" si="19"/>
        <v>225.08613836822002</v>
      </c>
      <c r="L164" s="451"/>
      <c r="M164" s="451"/>
      <c r="N164" s="18"/>
    </row>
    <row r="165" spans="2:14">
      <c r="B165" s="213">
        <f t="shared" si="23"/>
        <v>142</v>
      </c>
      <c r="C165" s="213"/>
      <c r="D165" s="214">
        <v>7</v>
      </c>
      <c r="E165" s="206">
        <f t="shared" si="24"/>
        <v>246</v>
      </c>
      <c r="F165" s="215">
        <v>33.369999999999997</v>
      </c>
      <c r="G165" s="215">
        <f t="shared" si="21"/>
        <v>32.971999999999994</v>
      </c>
      <c r="H165" s="215" t="str">
        <f t="shared" si="22"/>
        <v>IN</v>
      </c>
      <c r="I165" s="217">
        <f t="shared" si="17"/>
        <v>4740.9260000000004</v>
      </c>
      <c r="J165" s="217">
        <f t="shared" si="18"/>
        <v>7300.2039999999988</v>
      </c>
      <c r="K165" s="381">
        <f t="shared" si="19"/>
        <v>225.79409179220781</v>
      </c>
      <c r="L165" s="451"/>
      <c r="M165" s="451"/>
      <c r="N165" s="18"/>
    </row>
    <row r="166" spans="2:14">
      <c r="B166" s="213">
        <f t="shared" si="23"/>
        <v>143</v>
      </c>
      <c r="C166" s="213"/>
      <c r="D166" s="214">
        <v>7</v>
      </c>
      <c r="E166" s="206">
        <f t="shared" si="24"/>
        <v>245</v>
      </c>
      <c r="F166" s="215">
        <v>32.700000000000003</v>
      </c>
      <c r="G166" s="215">
        <f t="shared" si="21"/>
        <v>32.302</v>
      </c>
      <c r="H166" s="215" t="str">
        <f t="shared" si="22"/>
        <v>IN</v>
      </c>
      <c r="I166" s="217">
        <f t="shared" si="17"/>
        <v>4773.2280000000001</v>
      </c>
      <c r="J166" s="217">
        <f t="shared" si="18"/>
        <v>7267.9019999999991</v>
      </c>
      <c r="K166" s="381">
        <f t="shared" si="19"/>
        <v>226.48765941023683</v>
      </c>
      <c r="L166" s="451"/>
      <c r="M166" s="451"/>
      <c r="N166" s="18"/>
    </row>
    <row r="167" spans="2:14">
      <c r="B167" s="213">
        <f t="shared" si="23"/>
        <v>144</v>
      </c>
      <c r="C167" s="213"/>
      <c r="D167" s="214">
        <v>7</v>
      </c>
      <c r="E167" s="206">
        <f t="shared" si="24"/>
        <v>244</v>
      </c>
      <c r="F167" s="215">
        <v>33.369999999999997</v>
      </c>
      <c r="G167" s="215">
        <f t="shared" si="21"/>
        <v>32.971999999999994</v>
      </c>
      <c r="H167" s="215" t="str">
        <f t="shared" si="22"/>
        <v>IN</v>
      </c>
      <c r="I167" s="217">
        <f t="shared" si="17"/>
        <v>4806.2</v>
      </c>
      <c r="J167" s="217">
        <f t="shared" si="18"/>
        <v>7234.9299999999994</v>
      </c>
      <c r="K167" s="381">
        <f t="shared" si="19"/>
        <v>227.19561283422459</v>
      </c>
      <c r="L167" s="451"/>
      <c r="M167" s="451"/>
      <c r="N167" s="18"/>
    </row>
    <row r="168" spans="2:14">
      <c r="B168" s="213">
        <f t="shared" si="23"/>
        <v>145</v>
      </c>
      <c r="C168" s="213"/>
      <c r="D168" s="214">
        <v>7</v>
      </c>
      <c r="E168" s="206">
        <f t="shared" si="24"/>
        <v>243</v>
      </c>
      <c r="F168" s="215">
        <v>33.01</v>
      </c>
      <c r="G168" s="215">
        <f t="shared" si="21"/>
        <v>32.611999999999995</v>
      </c>
      <c r="H168" s="215" t="str">
        <f t="shared" si="22"/>
        <v>IN</v>
      </c>
      <c r="I168" s="217">
        <f t="shared" si="17"/>
        <v>4838.8119999999999</v>
      </c>
      <c r="J168" s="217">
        <f t="shared" si="18"/>
        <v>7202.3179999999993</v>
      </c>
      <c r="K168" s="381">
        <f t="shared" si="19"/>
        <v>227.89583657142856</v>
      </c>
      <c r="L168" s="451"/>
      <c r="M168" s="451"/>
      <c r="N168" s="18"/>
    </row>
    <row r="169" spans="2:14">
      <c r="B169" s="213">
        <f t="shared" si="23"/>
        <v>146</v>
      </c>
      <c r="C169" s="213"/>
      <c r="D169" s="214">
        <v>7</v>
      </c>
      <c r="E169" s="206">
        <f t="shared" si="24"/>
        <v>242</v>
      </c>
      <c r="F169" s="215">
        <v>33.39</v>
      </c>
      <c r="G169" s="215">
        <f t="shared" si="21"/>
        <v>32.991999999999997</v>
      </c>
      <c r="H169" s="215" t="str">
        <f t="shared" si="22"/>
        <v>IN</v>
      </c>
      <c r="I169" s="217">
        <f t="shared" si="17"/>
        <v>4871.8040000000001</v>
      </c>
      <c r="J169" s="217">
        <f t="shared" si="18"/>
        <v>7169.3259999999991</v>
      </c>
      <c r="K169" s="381">
        <f t="shared" si="19"/>
        <v>228.60421942245989</v>
      </c>
      <c r="L169" s="451"/>
      <c r="M169" s="451"/>
      <c r="N169" s="18"/>
    </row>
    <row r="170" spans="2:14">
      <c r="B170" s="213">
        <f t="shared" si="23"/>
        <v>147</v>
      </c>
      <c r="C170" s="213"/>
      <c r="D170" s="214">
        <v>7</v>
      </c>
      <c r="E170" s="206">
        <f t="shared" si="24"/>
        <v>241</v>
      </c>
      <c r="F170" s="215">
        <v>33.04</v>
      </c>
      <c r="G170" s="215">
        <f t="shared" si="21"/>
        <v>32.641999999999996</v>
      </c>
      <c r="H170" s="215" t="str">
        <f t="shared" si="22"/>
        <v>IN</v>
      </c>
      <c r="I170" s="217">
        <f t="shared" si="17"/>
        <v>4904.4459999999999</v>
      </c>
      <c r="J170" s="217">
        <f t="shared" si="18"/>
        <v>7136.6839999999993</v>
      </c>
      <c r="K170" s="381">
        <f t="shared" si="19"/>
        <v>229.30508730022916</v>
      </c>
      <c r="L170" s="451"/>
      <c r="M170" s="451"/>
      <c r="N170" s="18"/>
    </row>
    <row r="171" spans="2:14">
      <c r="B171" s="213">
        <f t="shared" si="23"/>
        <v>148</v>
      </c>
      <c r="C171" s="213"/>
      <c r="D171" s="214">
        <v>7</v>
      </c>
      <c r="E171" s="206">
        <f t="shared" si="24"/>
        <v>240</v>
      </c>
      <c r="F171" s="215">
        <v>33.200000000000003</v>
      </c>
      <c r="G171" s="215">
        <f t="shared" si="21"/>
        <v>32.802</v>
      </c>
      <c r="H171" s="215" t="str">
        <f t="shared" si="22"/>
        <v>IN</v>
      </c>
      <c r="I171" s="217">
        <f t="shared" si="17"/>
        <v>4937.2479999999996</v>
      </c>
      <c r="J171" s="217">
        <f t="shared" si="18"/>
        <v>7103.8819999999996</v>
      </c>
      <c r="K171" s="381">
        <f t="shared" si="19"/>
        <v>230.00939059434683</v>
      </c>
      <c r="L171" s="451"/>
      <c r="M171" s="451"/>
      <c r="N171" s="18"/>
    </row>
    <row r="172" spans="2:14">
      <c r="B172" s="213">
        <f t="shared" si="23"/>
        <v>149</v>
      </c>
      <c r="C172" s="213"/>
      <c r="D172" s="214">
        <v>7</v>
      </c>
      <c r="E172" s="206">
        <f t="shared" si="24"/>
        <v>239</v>
      </c>
      <c r="F172" s="215">
        <v>33.1</v>
      </c>
      <c r="G172" s="215">
        <f t="shared" si="21"/>
        <v>32.701999999999998</v>
      </c>
      <c r="H172" s="215" t="str">
        <f t="shared" si="22"/>
        <v>IN</v>
      </c>
      <c r="I172" s="217">
        <f t="shared" si="17"/>
        <v>4969.95</v>
      </c>
      <c r="J172" s="217">
        <f t="shared" si="18"/>
        <v>7071.1799999999994</v>
      </c>
      <c r="K172" s="381">
        <f t="shared" si="19"/>
        <v>230.71154675324675</v>
      </c>
      <c r="L172" s="451"/>
      <c r="M172" s="451"/>
      <c r="N172" s="18"/>
    </row>
    <row r="173" spans="2:14">
      <c r="B173" s="213">
        <f t="shared" si="23"/>
        <v>150</v>
      </c>
      <c r="C173" s="213"/>
      <c r="D173" s="214">
        <v>7</v>
      </c>
      <c r="E173" s="206">
        <f t="shared" si="24"/>
        <v>238</v>
      </c>
      <c r="F173" s="215">
        <v>32.200000000000003</v>
      </c>
      <c r="G173" s="215">
        <f t="shared" si="21"/>
        <v>31.802000000000003</v>
      </c>
      <c r="H173" s="215" t="str">
        <f t="shared" si="22"/>
        <v>IN</v>
      </c>
      <c r="I173" s="217">
        <f t="shared" si="17"/>
        <v>5001.7519999999995</v>
      </c>
      <c r="J173" s="217">
        <f t="shared" si="18"/>
        <v>7039.3779999999997</v>
      </c>
      <c r="K173" s="381">
        <f t="shared" si="19"/>
        <v>231.39437869518716</v>
      </c>
      <c r="L173" s="451"/>
      <c r="M173" s="451"/>
      <c r="N173" s="18"/>
    </row>
    <row r="174" spans="2:14">
      <c r="B174" s="213">
        <f t="shared" si="23"/>
        <v>151</v>
      </c>
      <c r="C174" s="213"/>
      <c r="D174" s="214">
        <v>7</v>
      </c>
      <c r="E174" s="206">
        <f t="shared" si="24"/>
        <v>237</v>
      </c>
      <c r="F174" s="215">
        <v>33.4</v>
      </c>
      <c r="G174" s="215">
        <f t="shared" si="21"/>
        <v>33.001999999999995</v>
      </c>
      <c r="H174" s="215" t="str">
        <f t="shared" si="22"/>
        <v>IN</v>
      </c>
      <c r="I174" s="217">
        <f t="shared" si="17"/>
        <v>5034.7539999999999</v>
      </c>
      <c r="J174" s="217">
        <f t="shared" si="18"/>
        <v>7006.3759999999993</v>
      </c>
      <c r="K174" s="381">
        <f t="shared" si="19"/>
        <v>232.10297625974027</v>
      </c>
      <c r="L174" s="451"/>
      <c r="M174" s="451"/>
      <c r="N174" s="18"/>
    </row>
    <row r="175" spans="2:14">
      <c r="B175" s="213">
        <f t="shared" si="23"/>
        <v>152</v>
      </c>
      <c r="C175" s="213"/>
      <c r="D175" s="214">
        <v>7</v>
      </c>
      <c r="E175" s="206">
        <f t="shared" si="24"/>
        <v>236</v>
      </c>
      <c r="F175" s="215">
        <v>33.11</v>
      </c>
      <c r="G175" s="215">
        <f t="shared" si="21"/>
        <v>32.711999999999996</v>
      </c>
      <c r="H175" s="215" t="str">
        <f t="shared" si="22"/>
        <v>IN</v>
      </c>
      <c r="I175" s="217">
        <f t="shared" si="17"/>
        <v>5067.4660000000003</v>
      </c>
      <c r="J175" s="217">
        <f t="shared" si="18"/>
        <v>6973.6639999999989</v>
      </c>
      <c r="K175" s="381">
        <f t="shared" si="19"/>
        <v>232.80534713216196</v>
      </c>
      <c r="L175" s="451"/>
      <c r="M175" s="451"/>
      <c r="N175" s="18"/>
    </row>
    <row r="176" spans="2:14">
      <c r="B176" s="213">
        <f t="shared" si="23"/>
        <v>153</v>
      </c>
      <c r="C176" s="213"/>
      <c r="D176" s="214">
        <v>7</v>
      </c>
      <c r="E176" s="206">
        <f t="shared" si="24"/>
        <v>235</v>
      </c>
      <c r="F176" s="215">
        <v>33.64</v>
      </c>
      <c r="G176" s="215">
        <f t="shared" si="21"/>
        <v>33.241999999999997</v>
      </c>
      <c r="H176" s="215" t="str">
        <f t="shared" si="22"/>
        <v>IN</v>
      </c>
      <c r="I176" s="217">
        <f t="shared" si="17"/>
        <v>5100.7080000000005</v>
      </c>
      <c r="J176" s="217">
        <f t="shared" si="18"/>
        <v>6940.4219999999987</v>
      </c>
      <c r="K176" s="381">
        <f t="shared" si="19"/>
        <v>233.51909782123761</v>
      </c>
      <c r="L176" s="451"/>
      <c r="M176" s="451"/>
      <c r="N176" s="18"/>
    </row>
    <row r="177" spans="2:14">
      <c r="B177" s="213">
        <f t="shared" si="23"/>
        <v>154</v>
      </c>
      <c r="C177" s="213"/>
      <c r="D177" s="214">
        <v>7</v>
      </c>
      <c r="E177" s="206">
        <f t="shared" si="24"/>
        <v>234</v>
      </c>
      <c r="F177" s="215">
        <v>33.25</v>
      </c>
      <c r="G177" s="215">
        <f t="shared" si="21"/>
        <v>32.851999999999997</v>
      </c>
      <c r="H177" s="215" t="str">
        <f t="shared" si="22"/>
        <v>IN</v>
      </c>
      <c r="I177" s="217">
        <f t="shared" si="17"/>
        <v>5133.5600000000004</v>
      </c>
      <c r="J177" s="217">
        <f t="shared" si="18"/>
        <v>6907.5699999999988</v>
      </c>
      <c r="K177" s="381">
        <f t="shared" si="19"/>
        <v>234.22447468296411</v>
      </c>
      <c r="L177" s="451"/>
      <c r="M177" s="451"/>
      <c r="N177" s="18"/>
    </row>
    <row r="178" spans="2:14">
      <c r="B178" s="213">
        <f t="shared" si="23"/>
        <v>155</v>
      </c>
      <c r="C178" s="213"/>
      <c r="D178" s="214">
        <v>7</v>
      </c>
      <c r="E178" s="206">
        <f t="shared" si="24"/>
        <v>233</v>
      </c>
      <c r="F178" s="215">
        <v>33.32</v>
      </c>
      <c r="G178" s="215">
        <f t="shared" si="21"/>
        <v>32.921999999999997</v>
      </c>
      <c r="H178" s="215" t="str">
        <f t="shared" si="22"/>
        <v>IN</v>
      </c>
      <c r="I178" s="217">
        <f t="shared" si="17"/>
        <v>5166.482</v>
      </c>
      <c r="J178" s="217">
        <f t="shared" si="18"/>
        <v>6874.6479999999992</v>
      </c>
      <c r="K178" s="381">
        <f t="shared" si="19"/>
        <v>234.93135453934303</v>
      </c>
      <c r="L178" s="451"/>
      <c r="M178" s="451"/>
      <c r="N178" s="18"/>
    </row>
    <row r="179" spans="2:14">
      <c r="B179" s="213">
        <f t="shared" si="23"/>
        <v>156</v>
      </c>
      <c r="C179" s="213"/>
      <c r="D179" s="214">
        <v>7</v>
      </c>
      <c r="E179" s="206">
        <f t="shared" si="24"/>
        <v>232</v>
      </c>
      <c r="F179" s="215">
        <v>32.700000000000003</v>
      </c>
      <c r="G179" s="215">
        <f t="shared" si="21"/>
        <v>32.302</v>
      </c>
      <c r="H179" s="215" t="str">
        <f t="shared" si="22"/>
        <v>IN</v>
      </c>
      <c r="I179" s="217">
        <f t="shared" si="17"/>
        <v>5198.7839999999997</v>
      </c>
      <c r="J179" s="217">
        <f t="shared" si="18"/>
        <v>6842.3459999999995</v>
      </c>
      <c r="K179" s="381">
        <f t="shared" si="19"/>
        <v>235.62492215737205</v>
      </c>
      <c r="L179" s="451"/>
      <c r="M179" s="451"/>
      <c r="N179" s="18"/>
    </row>
    <row r="180" spans="2:14">
      <c r="B180" s="213">
        <f t="shared" si="23"/>
        <v>157</v>
      </c>
      <c r="C180" s="213"/>
      <c r="D180" s="214">
        <v>7</v>
      </c>
      <c r="E180" s="206">
        <f t="shared" si="24"/>
        <v>231</v>
      </c>
      <c r="F180" s="215">
        <v>31.76</v>
      </c>
      <c r="G180" s="215">
        <f t="shared" si="21"/>
        <v>31.362000000000002</v>
      </c>
      <c r="H180" s="215" t="str">
        <f t="shared" si="22"/>
        <v>IN</v>
      </c>
      <c r="I180" s="217">
        <f t="shared" si="17"/>
        <v>5230.1459999999997</v>
      </c>
      <c r="J180" s="217">
        <f t="shared" si="18"/>
        <v>6810.9839999999995</v>
      </c>
      <c r="K180" s="381">
        <f t="shared" si="19"/>
        <v>236.29830670435447</v>
      </c>
      <c r="L180" s="451"/>
      <c r="M180" s="451"/>
      <c r="N180" s="18"/>
    </row>
    <row r="181" spans="2:14">
      <c r="B181" s="213">
        <f t="shared" si="23"/>
        <v>158</v>
      </c>
      <c r="C181" s="213"/>
      <c r="D181" s="214">
        <v>7</v>
      </c>
      <c r="E181" s="206">
        <f t="shared" si="24"/>
        <v>230</v>
      </c>
      <c r="F181" s="215">
        <v>33.22</v>
      </c>
      <c r="G181" s="215">
        <f t="shared" si="21"/>
        <v>32.821999999999996</v>
      </c>
      <c r="H181" s="215" t="str">
        <f t="shared" si="22"/>
        <v>IN</v>
      </c>
      <c r="I181" s="217">
        <f t="shared" si="17"/>
        <v>5262.9679999999998</v>
      </c>
      <c r="J181" s="217">
        <f t="shared" si="18"/>
        <v>6778.1619999999994</v>
      </c>
      <c r="K181" s="381">
        <f t="shared" si="19"/>
        <v>237.00303942551568</v>
      </c>
      <c r="L181" s="451"/>
      <c r="M181" s="451"/>
      <c r="N181" s="18"/>
    </row>
    <row r="182" spans="2:14">
      <c r="B182" s="213">
        <f t="shared" si="23"/>
        <v>159</v>
      </c>
      <c r="C182" s="213"/>
      <c r="D182" s="214">
        <v>7</v>
      </c>
      <c r="E182" s="206">
        <f t="shared" si="24"/>
        <v>229</v>
      </c>
      <c r="F182" s="215">
        <v>33.5</v>
      </c>
      <c r="G182" s="215">
        <f t="shared" si="21"/>
        <v>33.101999999999997</v>
      </c>
      <c r="H182" s="215" t="str">
        <f t="shared" si="22"/>
        <v>IN</v>
      </c>
      <c r="I182" s="217">
        <f t="shared" si="17"/>
        <v>5296.07</v>
      </c>
      <c r="J182" s="217">
        <f t="shared" si="18"/>
        <v>6745.0599999999995</v>
      </c>
      <c r="K182" s="381">
        <f t="shared" si="19"/>
        <v>237.71378412528651</v>
      </c>
      <c r="L182" s="451"/>
      <c r="M182" s="451"/>
      <c r="N182" s="18"/>
    </row>
    <row r="183" spans="2:14">
      <c r="B183" s="213">
        <f t="shared" si="23"/>
        <v>160</v>
      </c>
      <c r="C183" s="213"/>
      <c r="D183" s="214">
        <v>7</v>
      </c>
      <c r="E183" s="206">
        <f t="shared" si="24"/>
        <v>228</v>
      </c>
      <c r="F183" s="215">
        <v>33.46</v>
      </c>
      <c r="G183" s="215">
        <f t="shared" si="21"/>
        <v>33.061999999999998</v>
      </c>
      <c r="H183" s="215" t="str">
        <f t="shared" si="22"/>
        <v>IN</v>
      </c>
      <c r="I183" s="217">
        <f t="shared" si="17"/>
        <v>5329.1319999999996</v>
      </c>
      <c r="J183" s="217">
        <f t="shared" si="18"/>
        <v>6711.9979999999996</v>
      </c>
      <c r="K183" s="381">
        <f t="shared" si="19"/>
        <v>238.4236699709702</v>
      </c>
      <c r="L183" s="451"/>
      <c r="M183" s="451"/>
      <c r="N183" s="18"/>
    </row>
    <row r="184" spans="2:14">
      <c r="B184" s="213">
        <f t="shared" si="23"/>
        <v>161</v>
      </c>
      <c r="C184" s="213"/>
      <c r="D184" s="214">
        <v>7</v>
      </c>
      <c r="E184" s="206">
        <f t="shared" si="24"/>
        <v>227</v>
      </c>
      <c r="F184" s="215">
        <v>33.56</v>
      </c>
      <c r="G184" s="215">
        <f t="shared" si="21"/>
        <v>33.161999999999999</v>
      </c>
      <c r="H184" s="215" t="str">
        <f t="shared" si="22"/>
        <v>IN</v>
      </c>
      <c r="I184" s="217">
        <f t="shared" si="17"/>
        <v>5362.2939999999999</v>
      </c>
      <c r="J184" s="217">
        <f t="shared" si="18"/>
        <v>6678.8359999999993</v>
      </c>
      <c r="K184" s="381">
        <f t="shared" si="19"/>
        <v>239.13570295187168</v>
      </c>
      <c r="L184" s="451"/>
      <c r="M184" s="451"/>
      <c r="N184" s="18"/>
    </row>
    <row r="185" spans="2:14">
      <c r="B185" s="213">
        <f t="shared" si="23"/>
        <v>162</v>
      </c>
      <c r="C185" s="213"/>
      <c r="D185" s="214">
        <v>7</v>
      </c>
      <c r="E185" s="206">
        <f t="shared" si="24"/>
        <v>226</v>
      </c>
      <c r="F185" s="215">
        <v>33.450000000000003</v>
      </c>
      <c r="G185" s="215">
        <f t="shared" si="21"/>
        <v>33.052</v>
      </c>
      <c r="H185" s="215" t="str">
        <f t="shared" si="22"/>
        <v>IN</v>
      </c>
      <c r="I185" s="217">
        <f t="shared" si="17"/>
        <v>5395.3459999999995</v>
      </c>
      <c r="J185" s="217">
        <f t="shared" si="18"/>
        <v>6645.7839999999997</v>
      </c>
      <c r="K185" s="381">
        <f t="shared" si="19"/>
        <v>239.84537408403361</v>
      </c>
      <c r="L185" s="451"/>
      <c r="M185" s="451"/>
      <c r="N185" s="18"/>
    </row>
    <row r="186" spans="2:14">
      <c r="B186" s="213">
        <f t="shared" si="23"/>
        <v>163</v>
      </c>
      <c r="C186" s="213"/>
      <c r="D186" s="214">
        <v>7</v>
      </c>
      <c r="E186" s="206">
        <f t="shared" si="24"/>
        <v>225</v>
      </c>
      <c r="F186" s="215">
        <v>33.14</v>
      </c>
      <c r="G186" s="215">
        <f t="shared" si="21"/>
        <v>32.741999999999997</v>
      </c>
      <c r="H186" s="215" t="str">
        <f t="shared" si="22"/>
        <v>IN</v>
      </c>
      <c r="I186" s="217">
        <f t="shared" si="17"/>
        <v>5428.0879999999997</v>
      </c>
      <c r="J186" s="217">
        <f t="shared" si="18"/>
        <v>6613.0419999999995</v>
      </c>
      <c r="K186" s="381">
        <f t="shared" si="19"/>
        <v>240.54838909702062</v>
      </c>
      <c r="L186" s="451"/>
      <c r="M186" s="451"/>
      <c r="N186" s="18"/>
    </row>
    <row r="187" spans="2:14">
      <c r="B187" s="213">
        <f t="shared" si="23"/>
        <v>164</v>
      </c>
      <c r="C187" s="213"/>
      <c r="D187" s="214">
        <v>7</v>
      </c>
      <c r="E187" s="206">
        <f t="shared" si="24"/>
        <v>224</v>
      </c>
      <c r="F187" s="215">
        <v>33.75</v>
      </c>
      <c r="G187" s="215">
        <f t="shared" si="21"/>
        <v>33.351999999999997</v>
      </c>
      <c r="H187" s="215" t="str">
        <f t="shared" si="22"/>
        <v>IN</v>
      </c>
      <c r="I187" s="217">
        <f t="shared" si="17"/>
        <v>5461.44</v>
      </c>
      <c r="J187" s="217">
        <f t="shared" si="18"/>
        <v>6579.69</v>
      </c>
      <c r="K187" s="381">
        <f t="shared" si="19"/>
        <v>241.26450163483577</v>
      </c>
      <c r="L187" s="451"/>
      <c r="M187" s="451"/>
      <c r="N187" s="18"/>
    </row>
    <row r="188" spans="2:14">
      <c r="B188" s="213">
        <f t="shared" si="23"/>
        <v>165</v>
      </c>
      <c r="C188" s="213"/>
      <c r="D188" s="214">
        <v>7</v>
      </c>
      <c r="E188" s="206">
        <f t="shared" si="24"/>
        <v>223</v>
      </c>
      <c r="F188" s="215">
        <v>33.15</v>
      </c>
      <c r="G188" s="215">
        <f t="shared" si="21"/>
        <v>32.751999999999995</v>
      </c>
      <c r="H188" s="215" t="str">
        <f t="shared" si="22"/>
        <v>IN</v>
      </c>
      <c r="I188" s="217">
        <f t="shared" si="17"/>
        <v>5494.192</v>
      </c>
      <c r="J188" s="217">
        <f t="shared" si="18"/>
        <v>6546.9379999999992</v>
      </c>
      <c r="K188" s="381">
        <f t="shared" si="19"/>
        <v>241.96773136134453</v>
      </c>
      <c r="L188" s="451"/>
      <c r="M188" s="451"/>
      <c r="N188" s="18"/>
    </row>
    <row r="189" spans="2:14">
      <c r="B189" s="213">
        <f t="shared" si="23"/>
        <v>166</v>
      </c>
      <c r="C189" s="213"/>
      <c r="D189" s="214">
        <v>7</v>
      </c>
      <c r="E189" s="206">
        <f t="shared" si="24"/>
        <v>222</v>
      </c>
      <c r="F189" s="215">
        <v>33.950000000000003</v>
      </c>
      <c r="G189" s="215">
        <f t="shared" si="21"/>
        <v>33.552</v>
      </c>
      <c r="H189" s="215" t="str">
        <f t="shared" si="22"/>
        <v>IN</v>
      </c>
      <c r="I189" s="217">
        <f t="shared" si="17"/>
        <v>5527.7439999999997</v>
      </c>
      <c r="J189" s="217">
        <f t="shared" si="18"/>
        <v>6513.3859999999995</v>
      </c>
      <c r="K189" s="381">
        <f t="shared" si="19"/>
        <v>242.68813816959511</v>
      </c>
      <c r="L189" s="451"/>
      <c r="M189" s="451"/>
      <c r="N189" s="18"/>
    </row>
    <row r="190" spans="2:14">
      <c r="B190" s="213">
        <f t="shared" si="23"/>
        <v>167</v>
      </c>
      <c r="C190" s="213"/>
      <c r="D190" s="214">
        <v>7</v>
      </c>
      <c r="E190" s="206">
        <f t="shared" si="24"/>
        <v>221</v>
      </c>
      <c r="F190" s="215">
        <v>33.479999999999997</v>
      </c>
      <c r="G190" s="215">
        <f t="shared" si="21"/>
        <v>33.081999999999994</v>
      </c>
      <c r="H190" s="215" t="str">
        <f t="shared" si="22"/>
        <v>IN</v>
      </c>
      <c r="I190" s="217">
        <f t="shared" si="17"/>
        <v>5560.826</v>
      </c>
      <c r="J190" s="217">
        <f t="shared" si="18"/>
        <v>6480.3039999999992</v>
      </c>
      <c r="K190" s="381">
        <f t="shared" si="19"/>
        <v>243.39845344232236</v>
      </c>
      <c r="L190" s="451"/>
      <c r="M190" s="451"/>
      <c r="N190" s="18"/>
    </row>
    <row r="191" spans="2:14">
      <c r="B191" s="213">
        <f t="shared" si="23"/>
        <v>168</v>
      </c>
      <c r="C191" s="213"/>
      <c r="D191" s="214">
        <v>7</v>
      </c>
      <c r="E191" s="206">
        <f t="shared" si="24"/>
        <v>220</v>
      </c>
      <c r="F191" s="215">
        <v>33.03</v>
      </c>
      <c r="G191" s="215">
        <f t="shared" si="21"/>
        <v>32.631999999999998</v>
      </c>
      <c r="H191" s="215" t="str">
        <f t="shared" si="22"/>
        <v>IN</v>
      </c>
      <c r="I191" s="217">
        <f t="shared" si="17"/>
        <v>5593.4579999999996</v>
      </c>
      <c r="J191" s="217">
        <f t="shared" si="18"/>
        <v>6447.6719999999996</v>
      </c>
      <c r="K191" s="381">
        <f t="shared" si="19"/>
        <v>244.0991066065699</v>
      </c>
      <c r="L191" s="451"/>
      <c r="M191" s="451"/>
      <c r="N191" s="18"/>
    </row>
    <row r="192" spans="2:14">
      <c r="B192" s="213">
        <f t="shared" si="23"/>
        <v>169</v>
      </c>
      <c r="C192" s="213"/>
      <c r="D192" s="214">
        <v>7</v>
      </c>
      <c r="E192" s="206">
        <f t="shared" si="24"/>
        <v>219</v>
      </c>
      <c r="F192" s="215">
        <v>32.51</v>
      </c>
      <c r="G192" s="215">
        <f t="shared" si="21"/>
        <v>32.111999999999995</v>
      </c>
      <c r="H192" s="215" t="str">
        <f t="shared" si="22"/>
        <v>IN</v>
      </c>
      <c r="I192" s="217">
        <f t="shared" si="17"/>
        <v>5625.57</v>
      </c>
      <c r="J192" s="217">
        <f t="shared" si="18"/>
        <v>6415.5599999999995</v>
      </c>
      <c r="K192" s="381">
        <f t="shared" si="19"/>
        <v>244.78859466768526</v>
      </c>
      <c r="L192" s="451"/>
      <c r="M192" s="451"/>
      <c r="N192" s="18"/>
    </row>
    <row r="193" spans="2:14">
      <c r="B193" s="213">
        <f t="shared" si="23"/>
        <v>170</v>
      </c>
      <c r="C193" s="213"/>
      <c r="D193" s="214">
        <v>7</v>
      </c>
      <c r="E193" s="206">
        <f t="shared" si="24"/>
        <v>218</v>
      </c>
      <c r="F193" s="215">
        <v>33.200000000000003</v>
      </c>
      <c r="G193" s="215">
        <f t="shared" si="21"/>
        <v>32.802</v>
      </c>
      <c r="H193" s="215" t="str">
        <f t="shared" si="22"/>
        <v>IN</v>
      </c>
      <c r="I193" s="217">
        <f t="shared" si="17"/>
        <v>5658.3719999999994</v>
      </c>
      <c r="J193" s="217">
        <f t="shared" si="18"/>
        <v>6382.7579999999998</v>
      </c>
      <c r="K193" s="381">
        <f t="shared" si="19"/>
        <v>245.4928979618029</v>
      </c>
      <c r="L193" s="451"/>
      <c r="M193" s="451"/>
      <c r="N193" s="18"/>
    </row>
    <row r="194" spans="2:14">
      <c r="B194" s="213">
        <f t="shared" si="23"/>
        <v>171</v>
      </c>
      <c r="C194" s="213"/>
      <c r="D194" s="214">
        <v>7</v>
      </c>
      <c r="E194" s="206">
        <f t="shared" si="24"/>
        <v>217</v>
      </c>
      <c r="F194" s="215">
        <v>33.020000000000003</v>
      </c>
      <c r="G194" s="215">
        <f t="shared" si="21"/>
        <v>32.622</v>
      </c>
      <c r="H194" s="215" t="str">
        <f t="shared" si="22"/>
        <v>IN</v>
      </c>
      <c r="I194" s="217">
        <f t="shared" si="17"/>
        <v>5690.9939999999997</v>
      </c>
      <c r="J194" s="217">
        <f t="shared" si="18"/>
        <v>6350.1359999999995</v>
      </c>
      <c r="K194" s="381">
        <f t="shared" si="19"/>
        <v>246.19333641252865</v>
      </c>
      <c r="L194" s="451"/>
      <c r="M194" s="451"/>
      <c r="N194" s="18"/>
    </row>
    <row r="195" spans="2:14">
      <c r="B195" s="213">
        <f t="shared" si="23"/>
        <v>172</v>
      </c>
      <c r="C195" s="213"/>
      <c r="D195" s="214">
        <v>7</v>
      </c>
      <c r="E195" s="206">
        <f t="shared" si="24"/>
        <v>216</v>
      </c>
      <c r="F195" s="373">
        <v>33.61</v>
      </c>
      <c r="G195" s="215">
        <f t="shared" si="21"/>
        <v>33.211999999999996</v>
      </c>
      <c r="H195" s="215" t="str">
        <f t="shared" si="22"/>
        <v>IN</v>
      </c>
      <c r="I195" s="217">
        <f t="shared" si="17"/>
        <v>5724.2060000000001</v>
      </c>
      <c r="J195" s="217">
        <f t="shared" si="18"/>
        <v>6316.9239999999991</v>
      </c>
      <c r="K195" s="381">
        <f t="shared" si="19"/>
        <v>246.90644296103898</v>
      </c>
      <c r="L195" s="451"/>
      <c r="M195" s="451"/>
      <c r="N195" s="18"/>
    </row>
    <row r="196" spans="2:14">
      <c r="B196" s="213">
        <f t="shared" si="23"/>
        <v>173</v>
      </c>
      <c r="C196" s="213"/>
      <c r="D196" s="214">
        <v>7</v>
      </c>
      <c r="E196" s="206">
        <f t="shared" si="24"/>
        <v>215</v>
      </c>
      <c r="F196" s="373">
        <v>33.21</v>
      </c>
      <c r="G196" s="215">
        <f t="shared" si="21"/>
        <v>32.811999999999998</v>
      </c>
      <c r="H196" s="215" t="str">
        <f t="shared" si="22"/>
        <v>IN</v>
      </c>
      <c r="I196" s="217">
        <f t="shared" si="17"/>
        <v>5757.018</v>
      </c>
      <c r="J196" s="217">
        <f t="shared" si="18"/>
        <v>6284.1119999999992</v>
      </c>
      <c r="K196" s="381">
        <f t="shared" si="19"/>
        <v>247.6109609686784</v>
      </c>
      <c r="L196" s="451"/>
      <c r="M196" s="451"/>
      <c r="N196" s="18"/>
    </row>
    <row r="197" spans="2:14">
      <c r="B197" s="213">
        <f t="shared" si="23"/>
        <v>174</v>
      </c>
      <c r="C197" s="213"/>
      <c r="D197" s="214">
        <v>7</v>
      </c>
      <c r="E197" s="206">
        <f t="shared" si="24"/>
        <v>214</v>
      </c>
      <c r="F197" s="373">
        <v>32.33</v>
      </c>
      <c r="G197" s="215">
        <f t="shared" si="21"/>
        <v>31.931999999999999</v>
      </c>
      <c r="H197" s="215" t="str">
        <f t="shared" si="22"/>
        <v>IN</v>
      </c>
      <c r="I197" s="217">
        <f t="shared" si="17"/>
        <v>5788.95</v>
      </c>
      <c r="J197" s="217">
        <f t="shared" si="18"/>
        <v>6252.1799999999994</v>
      </c>
      <c r="K197" s="381">
        <f t="shared" si="19"/>
        <v>248.29658418640184</v>
      </c>
      <c r="L197" s="451"/>
      <c r="M197" s="451"/>
      <c r="N197" s="18"/>
    </row>
    <row r="198" spans="2:14">
      <c r="B198" s="213">
        <f t="shared" si="23"/>
        <v>175</v>
      </c>
      <c r="C198" s="213"/>
      <c r="D198" s="214">
        <v>7</v>
      </c>
      <c r="E198" s="206">
        <f t="shared" si="24"/>
        <v>213</v>
      </c>
      <c r="F198" s="373">
        <v>31.28</v>
      </c>
      <c r="G198" s="215">
        <f t="shared" si="21"/>
        <v>30.882000000000001</v>
      </c>
      <c r="H198" s="215" t="str">
        <f t="shared" si="22"/>
        <v>IN</v>
      </c>
      <c r="I198" s="217">
        <f t="shared" si="17"/>
        <v>5819.8319999999994</v>
      </c>
      <c r="J198" s="217">
        <f t="shared" si="18"/>
        <v>6221.2979999999998</v>
      </c>
      <c r="K198" s="381">
        <f t="shared" si="19"/>
        <v>248.95966248433916</v>
      </c>
      <c r="L198" s="451"/>
      <c r="M198" s="451"/>
      <c r="N198" s="18"/>
    </row>
    <row r="199" spans="2:14">
      <c r="B199" s="213">
        <f t="shared" si="23"/>
        <v>176</v>
      </c>
      <c r="C199" s="213"/>
      <c r="D199" s="214">
        <v>7</v>
      </c>
      <c r="E199" s="206">
        <f t="shared" si="24"/>
        <v>212</v>
      </c>
      <c r="F199" s="215">
        <v>32.200000000000003</v>
      </c>
      <c r="G199" s="215">
        <f t="shared" si="21"/>
        <v>31.802000000000003</v>
      </c>
      <c r="H199" s="215" t="str">
        <f t="shared" si="22"/>
        <v>IN</v>
      </c>
      <c r="I199" s="217">
        <f t="shared" si="17"/>
        <v>5851.6339999999991</v>
      </c>
      <c r="J199" s="217">
        <f t="shared" si="18"/>
        <v>6189.4960000000001</v>
      </c>
      <c r="K199" s="381">
        <f t="shared" si="19"/>
        <v>249.64249442627957</v>
      </c>
      <c r="L199" s="451"/>
      <c r="M199" s="451"/>
      <c r="N199" s="18"/>
    </row>
    <row r="200" spans="2:14">
      <c r="B200" s="213">
        <f t="shared" si="23"/>
        <v>177</v>
      </c>
      <c r="C200" s="213"/>
      <c r="D200" s="214">
        <v>7</v>
      </c>
      <c r="E200" s="206">
        <f t="shared" si="24"/>
        <v>211</v>
      </c>
      <c r="F200" s="215">
        <v>31.73</v>
      </c>
      <c r="G200" s="215">
        <f t="shared" si="21"/>
        <v>31.332000000000001</v>
      </c>
      <c r="H200" s="215" t="str">
        <f t="shared" si="22"/>
        <v>IN</v>
      </c>
      <c r="I200" s="217">
        <f t="shared" si="17"/>
        <v>5882.9659999999994</v>
      </c>
      <c r="J200" s="217">
        <f t="shared" si="18"/>
        <v>6158.1639999999998</v>
      </c>
      <c r="K200" s="381">
        <f t="shared" si="19"/>
        <v>250.31523483269672</v>
      </c>
      <c r="L200" s="451"/>
      <c r="M200" s="451"/>
      <c r="N200" s="18"/>
    </row>
    <row r="201" spans="2:14">
      <c r="B201" s="213">
        <f t="shared" si="23"/>
        <v>178</v>
      </c>
      <c r="C201" s="213"/>
      <c r="D201" s="214">
        <v>7</v>
      </c>
      <c r="E201" s="206">
        <f t="shared" si="24"/>
        <v>210</v>
      </c>
      <c r="F201" s="215">
        <v>32.04</v>
      </c>
      <c r="G201" s="215">
        <f t="shared" si="21"/>
        <v>31.641999999999999</v>
      </c>
      <c r="H201" s="215" t="str">
        <f t="shared" si="22"/>
        <v>IN</v>
      </c>
      <c r="I201" s="217">
        <f t="shared" si="17"/>
        <v>5914.6079999999993</v>
      </c>
      <c r="J201" s="217">
        <f t="shared" si="18"/>
        <v>6126.5219999999999</v>
      </c>
      <c r="K201" s="381">
        <f t="shared" si="19"/>
        <v>250.99463135828876</v>
      </c>
      <c r="L201" s="451"/>
      <c r="M201" s="451"/>
      <c r="N201" s="18"/>
    </row>
    <row r="202" spans="2:14">
      <c r="B202" s="213">
        <f t="shared" si="23"/>
        <v>179</v>
      </c>
      <c r="C202" s="213"/>
      <c r="D202" s="214">
        <v>7</v>
      </c>
      <c r="E202" s="206">
        <f t="shared" si="24"/>
        <v>209</v>
      </c>
      <c r="F202" s="215">
        <v>33.14</v>
      </c>
      <c r="G202" s="215">
        <f t="shared" si="21"/>
        <v>32.741999999999997</v>
      </c>
      <c r="H202" s="215" t="str">
        <f t="shared" si="22"/>
        <v>IN</v>
      </c>
      <c r="I202" s="217">
        <f t="shared" si="17"/>
        <v>5947.3499999999995</v>
      </c>
      <c r="J202" s="217">
        <f t="shared" si="18"/>
        <v>6093.78</v>
      </c>
      <c r="K202" s="381">
        <f t="shared" si="19"/>
        <v>251.69764637127577</v>
      </c>
      <c r="L202" s="451"/>
      <c r="M202" s="451"/>
      <c r="N202" s="18"/>
    </row>
    <row r="203" spans="2:14">
      <c r="B203" s="213">
        <f t="shared" si="23"/>
        <v>180</v>
      </c>
      <c r="C203" s="213"/>
      <c r="D203" s="214">
        <v>7</v>
      </c>
      <c r="E203" s="206">
        <f t="shared" si="24"/>
        <v>208</v>
      </c>
      <c r="F203" s="215">
        <v>32.1</v>
      </c>
      <c r="G203" s="215">
        <f t="shared" si="21"/>
        <v>31.702000000000002</v>
      </c>
      <c r="H203" s="215" t="str">
        <f t="shared" si="22"/>
        <v>IN</v>
      </c>
      <c r="I203" s="217">
        <f t="shared" si="17"/>
        <v>5979.0519999999997</v>
      </c>
      <c r="J203" s="217">
        <f t="shared" si="18"/>
        <v>6062.0779999999995</v>
      </c>
      <c r="K203" s="381">
        <f t="shared" si="19"/>
        <v>252.37833117799846</v>
      </c>
      <c r="L203" s="451"/>
      <c r="M203" s="451"/>
      <c r="N203" s="18"/>
    </row>
    <row r="204" spans="2:14">
      <c r="B204" s="213">
        <f t="shared" si="23"/>
        <v>181</v>
      </c>
      <c r="C204" s="213"/>
      <c r="D204" s="214">
        <v>7</v>
      </c>
      <c r="E204" s="206">
        <f t="shared" si="24"/>
        <v>207</v>
      </c>
      <c r="F204" s="215">
        <v>31.81</v>
      </c>
      <c r="G204" s="215">
        <f t="shared" si="21"/>
        <v>31.411999999999999</v>
      </c>
      <c r="H204" s="215" t="str">
        <f t="shared" si="22"/>
        <v>IN</v>
      </c>
      <c r="I204" s="217">
        <f t="shared" si="17"/>
        <v>6010.4639999999999</v>
      </c>
      <c r="J204" s="217">
        <f t="shared" si="18"/>
        <v>6030.6659999999993</v>
      </c>
      <c r="K204" s="381">
        <f t="shared" si="19"/>
        <v>253.05278929258978</v>
      </c>
      <c r="L204" s="451"/>
      <c r="M204" s="451"/>
      <c r="N204" s="18"/>
    </row>
    <row r="205" spans="2:14">
      <c r="B205" s="213">
        <f t="shared" si="23"/>
        <v>182</v>
      </c>
      <c r="C205" s="213"/>
      <c r="D205" s="214">
        <v>7</v>
      </c>
      <c r="E205" s="206">
        <f t="shared" si="24"/>
        <v>206</v>
      </c>
      <c r="F205" s="215">
        <v>33.200000000000003</v>
      </c>
      <c r="G205" s="215">
        <f t="shared" si="21"/>
        <v>32.802</v>
      </c>
      <c r="H205" s="215" t="str">
        <f t="shared" si="22"/>
        <v>IN</v>
      </c>
      <c r="I205" s="217">
        <f t="shared" si="17"/>
        <v>6043.2659999999996</v>
      </c>
      <c r="J205" s="217">
        <f t="shared" si="18"/>
        <v>5997.8639999999996</v>
      </c>
      <c r="K205" s="381">
        <f t="shared" si="19"/>
        <v>253.75709258670742</v>
      </c>
      <c r="L205" s="451"/>
      <c r="M205" s="451"/>
      <c r="N205" s="18"/>
    </row>
    <row r="206" spans="2:14">
      <c r="B206" s="213">
        <f t="shared" si="23"/>
        <v>183</v>
      </c>
      <c r="C206" s="213"/>
      <c r="D206" s="214">
        <v>7</v>
      </c>
      <c r="E206" s="206">
        <f t="shared" si="24"/>
        <v>205</v>
      </c>
      <c r="F206" s="215">
        <v>32.520000000000003</v>
      </c>
      <c r="G206" s="215">
        <f t="shared" si="21"/>
        <v>32.122</v>
      </c>
      <c r="H206" s="215" t="str">
        <f t="shared" si="22"/>
        <v>IN</v>
      </c>
      <c r="I206" s="217">
        <f t="shared" si="17"/>
        <v>6075.3879999999999</v>
      </c>
      <c r="J206" s="217">
        <f t="shared" si="18"/>
        <v>5965.7419999999993</v>
      </c>
      <c r="K206" s="381">
        <f t="shared" si="19"/>
        <v>254.44679536134453</v>
      </c>
      <c r="L206" s="451"/>
      <c r="M206" s="451"/>
      <c r="N206" s="18"/>
    </row>
    <row r="207" spans="2:14">
      <c r="B207" s="213">
        <f t="shared" si="23"/>
        <v>184</v>
      </c>
      <c r="C207" s="213"/>
      <c r="D207" s="214">
        <v>7</v>
      </c>
      <c r="E207" s="206">
        <f t="shared" si="24"/>
        <v>204</v>
      </c>
      <c r="F207" s="215">
        <v>33.22</v>
      </c>
      <c r="G207" s="215">
        <f t="shared" si="21"/>
        <v>32.821999999999996</v>
      </c>
      <c r="H207" s="215" t="str">
        <f t="shared" si="22"/>
        <v>IN</v>
      </c>
      <c r="I207" s="217">
        <f t="shared" si="17"/>
        <v>6108.21</v>
      </c>
      <c r="J207" s="217">
        <f t="shared" si="18"/>
        <v>5932.9199999999992</v>
      </c>
      <c r="K207" s="381">
        <f t="shared" si="19"/>
        <v>255.15152808250573</v>
      </c>
      <c r="L207" s="451"/>
      <c r="M207" s="451"/>
      <c r="N207" s="18"/>
    </row>
    <row r="208" spans="2:14">
      <c r="B208" s="213">
        <f t="shared" si="23"/>
        <v>185</v>
      </c>
      <c r="C208" s="216"/>
      <c r="D208" s="214">
        <v>7</v>
      </c>
      <c r="E208" s="206">
        <f t="shared" si="24"/>
        <v>203</v>
      </c>
      <c r="F208" s="215">
        <v>33.159999999999997</v>
      </c>
      <c r="G208" s="215">
        <f t="shared" si="21"/>
        <v>32.761999999999993</v>
      </c>
      <c r="H208" s="215" t="str">
        <f t="shared" si="22"/>
        <v>IN</v>
      </c>
      <c r="I208" s="217">
        <f t="shared" si="17"/>
        <v>6140.9719999999998</v>
      </c>
      <c r="J208" s="217">
        <f t="shared" si="18"/>
        <v>5900.1579999999994</v>
      </c>
      <c r="K208" s="381">
        <f t="shared" si="19"/>
        <v>255.85497252253629</v>
      </c>
      <c r="L208" s="451"/>
      <c r="M208" s="451"/>
      <c r="N208" s="18"/>
    </row>
    <row r="209" spans="2:14">
      <c r="B209" s="213">
        <f t="shared" si="23"/>
        <v>186</v>
      </c>
      <c r="C209" s="216"/>
      <c r="D209" s="214">
        <v>7</v>
      </c>
      <c r="E209" s="206">
        <f t="shared" si="24"/>
        <v>202</v>
      </c>
      <c r="F209" s="215">
        <v>33.85</v>
      </c>
      <c r="G209" s="215">
        <f t="shared" si="21"/>
        <v>33.451999999999998</v>
      </c>
      <c r="H209" s="215" t="str">
        <f t="shared" si="22"/>
        <v>IN</v>
      </c>
      <c r="I209" s="217">
        <f t="shared" si="17"/>
        <v>6174.424</v>
      </c>
      <c r="J209" s="217">
        <f t="shared" si="18"/>
        <v>5866.7059999999992</v>
      </c>
      <c r="K209" s="381">
        <f t="shared" si="19"/>
        <v>256.57323219556918</v>
      </c>
      <c r="L209" s="451"/>
      <c r="M209" s="451"/>
      <c r="N209" s="18"/>
    </row>
    <row r="210" spans="2:14">
      <c r="B210" s="213">
        <f t="shared" si="23"/>
        <v>187</v>
      </c>
      <c r="C210" s="216"/>
      <c r="D210" s="214">
        <v>7</v>
      </c>
      <c r="E210" s="206">
        <f t="shared" si="24"/>
        <v>201</v>
      </c>
      <c r="F210" s="215">
        <v>33.07</v>
      </c>
      <c r="G210" s="215">
        <f t="shared" si="21"/>
        <v>32.671999999999997</v>
      </c>
      <c r="H210" s="215" t="str">
        <f t="shared" si="22"/>
        <v>IN</v>
      </c>
      <c r="I210" s="217">
        <f t="shared" ref="I210:I273" si="25">IF(H210="IN",I209+G210,I209)</f>
        <v>6207.0959999999995</v>
      </c>
      <c r="J210" s="217">
        <f t="shared" ref="J210:J273" si="26">IF(I210="","",$L$9-I210)</f>
        <v>5834.0339999999997</v>
      </c>
      <c r="K210" s="381">
        <f t="shared" ref="K210:K273" si="27">$H$9+(I210*$E$10*$H$11/1000)</f>
        <v>257.27474421390372</v>
      </c>
      <c r="L210" s="451"/>
      <c r="M210" s="451"/>
      <c r="N210" s="18"/>
    </row>
    <row r="211" spans="2:14">
      <c r="B211" s="213">
        <f t="shared" si="23"/>
        <v>188</v>
      </c>
      <c r="C211" s="216"/>
      <c r="D211" s="214">
        <v>7</v>
      </c>
      <c r="E211" s="206">
        <f t="shared" si="24"/>
        <v>200</v>
      </c>
      <c r="F211" s="215">
        <v>33.35</v>
      </c>
      <c r="G211" s="215">
        <f t="shared" si="21"/>
        <v>32.951999999999998</v>
      </c>
      <c r="H211" s="215" t="str">
        <f t="shared" si="22"/>
        <v>IN</v>
      </c>
      <c r="I211" s="217">
        <f t="shared" si="25"/>
        <v>6240.0479999999998</v>
      </c>
      <c r="J211" s="217">
        <f t="shared" si="26"/>
        <v>5801.0819999999994</v>
      </c>
      <c r="K211" s="381">
        <f t="shared" si="27"/>
        <v>257.98226821084802</v>
      </c>
      <c r="L211" s="451"/>
      <c r="M211" s="451"/>
      <c r="N211" s="18"/>
    </row>
    <row r="212" spans="2:14">
      <c r="B212" s="213">
        <f t="shared" si="23"/>
        <v>189</v>
      </c>
      <c r="C212" s="216"/>
      <c r="D212" s="214">
        <v>7</v>
      </c>
      <c r="E212" s="206">
        <f t="shared" si="24"/>
        <v>199</v>
      </c>
      <c r="F212" s="215">
        <v>33.200000000000003</v>
      </c>
      <c r="G212" s="215">
        <f t="shared" si="21"/>
        <v>32.802</v>
      </c>
      <c r="H212" s="215" t="str">
        <f t="shared" si="22"/>
        <v>IN</v>
      </c>
      <c r="I212" s="217">
        <f t="shared" si="25"/>
        <v>6272.8499999999995</v>
      </c>
      <c r="J212" s="217">
        <f t="shared" si="26"/>
        <v>5768.28</v>
      </c>
      <c r="K212" s="381">
        <f t="shared" si="27"/>
        <v>258.68657150496563</v>
      </c>
      <c r="L212" s="451"/>
      <c r="M212" s="451"/>
      <c r="N212" s="18"/>
    </row>
    <row r="213" spans="2:14">
      <c r="B213" s="213">
        <f t="shared" si="23"/>
        <v>190</v>
      </c>
      <c r="C213" s="216"/>
      <c r="D213" s="214">
        <v>7</v>
      </c>
      <c r="E213" s="206">
        <f t="shared" si="24"/>
        <v>198</v>
      </c>
      <c r="F213" s="215">
        <v>33.67</v>
      </c>
      <c r="G213" s="215">
        <f t="shared" si="21"/>
        <v>33.271999999999998</v>
      </c>
      <c r="H213" s="215" t="str">
        <f t="shared" si="22"/>
        <v>IN</v>
      </c>
      <c r="I213" s="217">
        <f t="shared" si="25"/>
        <v>6306.1219999999994</v>
      </c>
      <c r="J213" s="217">
        <f t="shared" si="26"/>
        <v>5735.0079999999998</v>
      </c>
      <c r="K213" s="381">
        <f t="shared" si="27"/>
        <v>259.40096633460655</v>
      </c>
      <c r="L213" s="451"/>
      <c r="M213" s="451"/>
      <c r="N213" s="18"/>
    </row>
    <row r="214" spans="2:14">
      <c r="B214" s="374">
        <f t="shared" si="23"/>
        <v>191</v>
      </c>
      <c r="C214" s="374"/>
      <c r="D214" s="375">
        <v>7</v>
      </c>
      <c r="E214" s="376">
        <f t="shared" si="24"/>
        <v>197</v>
      </c>
      <c r="F214" s="377">
        <v>33.340000000000003</v>
      </c>
      <c r="G214" s="377">
        <f t="shared" si="21"/>
        <v>32.942</v>
      </c>
      <c r="H214" s="377" t="s">
        <v>25</v>
      </c>
      <c r="I214" s="377">
        <f t="shared" si="25"/>
        <v>6306.1219999999994</v>
      </c>
      <c r="J214" s="377">
        <f t="shared" si="26"/>
        <v>5735.0079999999998</v>
      </c>
      <c r="K214" s="378">
        <f t="shared" si="27"/>
        <v>259.40096633460655</v>
      </c>
      <c r="L214" s="481" t="s">
        <v>205</v>
      </c>
      <c r="M214" s="481"/>
      <c r="N214" s="18"/>
    </row>
    <row r="215" spans="2:14">
      <c r="B215" s="213">
        <f t="shared" si="23"/>
        <v>192</v>
      </c>
      <c r="C215" s="213"/>
      <c r="D215" s="214">
        <v>7</v>
      </c>
      <c r="E215" s="206">
        <f t="shared" si="24"/>
        <v>196</v>
      </c>
      <c r="F215" s="215">
        <v>33.07</v>
      </c>
      <c r="G215" s="215">
        <f t="shared" si="21"/>
        <v>32.671999999999997</v>
      </c>
      <c r="H215" s="215" t="str">
        <f t="shared" ref="H215:H217" si="28">IF(F215="","OUT","IN")</f>
        <v>IN</v>
      </c>
      <c r="I215" s="217">
        <f t="shared" si="25"/>
        <v>6338.793999999999</v>
      </c>
      <c r="J215" s="217">
        <f t="shared" si="26"/>
        <v>5702.3360000000002</v>
      </c>
      <c r="K215" s="381">
        <f t="shared" si="27"/>
        <v>260.10247835294115</v>
      </c>
      <c r="L215" s="451"/>
      <c r="M215" s="451"/>
      <c r="N215" s="18"/>
    </row>
    <row r="216" spans="2:14">
      <c r="B216" s="213">
        <f t="shared" si="23"/>
        <v>193</v>
      </c>
      <c r="C216" s="213"/>
      <c r="D216" s="214">
        <v>7</v>
      </c>
      <c r="E216" s="206">
        <f t="shared" si="24"/>
        <v>195</v>
      </c>
      <c r="F216" s="215">
        <v>32.81</v>
      </c>
      <c r="G216" s="215">
        <f t="shared" si="21"/>
        <v>32.411999999999999</v>
      </c>
      <c r="H216" s="215" t="str">
        <f t="shared" si="28"/>
        <v>IN</v>
      </c>
      <c r="I216" s="217">
        <f t="shared" si="25"/>
        <v>6371.2059999999992</v>
      </c>
      <c r="J216" s="217">
        <f t="shared" si="26"/>
        <v>5669.924</v>
      </c>
      <c r="K216" s="381">
        <f t="shared" si="27"/>
        <v>260.79840781970972</v>
      </c>
      <c r="L216" s="451"/>
      <c r="M216" s="451"/>
      <c r="N216" s="18"/>
    </row>
    <row r="217" spans="2:14">
      <c r="B217" s="213">
        <f t="shared" si="23"/>
        <v>194</v>
      </c>
      <c r="C217" s="213"/>
      <c r="D217" s="214">
        <v>7</v>
      </c>
      <c r="E217" s="206">
        <f t="shared" si="24"/>
        <v>194</v>
      </c>
      <c r="F217" s="215">
        <v>33.299999999999997</v>
      </c>
      <c r="G217" s="215">
        <f t="shared" ref="G217:G280" si="29">F217-($E$12)</f>
        <v>32.901999999999994</v>
      </c>
      <c r="H217" s="215" t="str">
        <f t="shared" si="28"/>
        <v>IN</v>
      </c>
      <c r="I217" s="217">
        <f t="shared" si="25"/>
        <v>6404.1079999999993</v>
      </c>
      <c r="J217" s="217">
        <f t="shared" si="26"/>
        <v>5637.0219999999999</v>
      </c>
      <c r="K217" s="381">
        <f t="shared" si="27"/>
        <v>261.50485824904507</v>
      </c>
      <c r="L217" s="451"/>
      <c r="M217" s="451"/>
      <c r="N217" s="18"/>
    </row>
    <row r="218" spans="2:14">
      <c r="B218" s="213">
        <f t="shared" si="23"/>
        <v>195</v>
      </c>
      <c r="C218" s="213"/>
      <c r="D218" s="214">
        <v>7</v>
      </c>
      <c r="E218" s="206">
        <f t="shared" si="24"/>
        <v>193</v>
      </c>
      <c r="F218" s="215">
        <v>32.229999999999997</v>
      </c>
      <c r="G218" s="215">
        <f t="shared" si="29"/>
        <v>31.831999999999997</v>
      </c>
      <c r="H218" s="215" t="str">
        <f t="shared" ref="H218:H281" si="30">IF(F218="","OUT","IN")</f>
        <v>IN</v>
      </c>
      <c r="I218" s="217">
        <f t="shared" si="25"/>
        <v>6435.94</v>
      </c>
      <c r="J218" s="217">
        <f t="shared" si="26"/>
        <v>5605.19</v>
      </c>
      <c r="K218" s="381">
        <f t="shared" si="27"/>
        <v>262.18833433155078</v>
      </c>
      <c r="L218" s="451"/>
      <c r="M218" s="451"/>
      <c r="N218" s="18"/>
    </row>
    <row r="219" spans="2:14">
      <c r="B219" s="213">
        <f t="shared" ref="B219:B282" si="31">B218+1</f>
        <v>196</v>
      </c>
      <c r="C219" s="213"/>
      <c r="D219" s="214">
        <v>7</v>
      </c>
      <c r="E219" s="206">
        <f t="shared" ref="E219:E282" si="32">E218-1</f>
        <v>192</v>
      </c>
      <c r="F219" s="215">
        <v>33.950000000000003</v>
      </c>
      <c r="G219" s="215">
        <f t="shared" si="29"/>
        <v>33.552</v>
      </c>
      <c r="H219" s="215" t="str">
        <f t="shared" si="30"/>
        <v>IN</v>
      </c>
      <c r="I219" s="217">
        <f t="shared" si="25"/>
        <v>6469.4919999999993</v>
      </c>
      <c r="J219" s="217">
        <f t="shared" si="26"/>
        <v>5571.6379999999999</v>
      </c>
      <c r="K219" s="381">
        <f t="shared" si="27"/>
        <v>262.90874113980135</v>
      </c>
      <c r="L219" s="451"/>
      <c r="M219" s="451"/>
      <c r="N219" s="18"/>
    </row>
    <row r="220" spans="2:14">
      <c r="B220" s="213">
        <f t="shared" si="31"/>
        <v>197</v>
      </c>
      <c r="C220" s="213"/>
      <c r="D220" s="214">
        <v>7</v>
      </c>
      <c r="E220" s="206">
        <f t="shared" si="32"/>
        <v>191</v>
      </c>
      <c r="F220" s="215">
        <v>32.57</v>
      </c>
      <c r="G220" s="215">
        <f t="shared" si="29"/>
        <v>32.171999999999997</v>
      </c>
      <c r="H220" s="215" t="str">
        <f t="shared" si="30"/>
        <v>IN</v>
      </c>
      <c r="I220" s="217">
        <f t="shared" si="25"/>
        <v>6501.6639999999989</v>
      </c>
      <c r="J220" s="217">
        <f t="shared" si="26"/>
        <v>5539.4660000000003</v>
      </c>
      <c r="K220" s="381">
        <f t="shared" si="27"/>
        <v>263.59951748204736</v>
      </c>
      <c r="L220" s="451"/>
      <c r="M220" s="451"/>
      <c r="N220" s="18"/>
    </row>
    <row r="221" spans="2:14">
      <c r="B221" s="213">
        <f t="shared" si="31"/>
        <v>198</v>
      </c>
      <c r="C221" s="213"/>
      <c r="D221" s="214">
        <v>7</v>
      </c>
      <c r="E221" s="206">
        <f t="shared" si="32"/>
        <v>190</v>
      </c>
      <c r="F221" s="215">
        <v>33.549999999999997</v>
      </c>
      <c r="G221" s="215">
        <f t="shared" si="29"/>
        <v>33.151999999999994</v>
      </c>
      <c r="H221" s="215" t="str">
        <f t="shared" si="30"/>
        <v>IN</v>
      </c>
      <c r="I221" s="217">
        <f t="shared" si="25"/>
        <v>6534.8159999999989</v>
      </c>
      <c r="J221" s="217">
        <f t="shared" si="26"/>
        <v>5506.3140000000003</v>
      </c>
      <c r="K221" s="381">
        <f t="shared" si="27"/>
        <v>264.31133574942703</v>
      </c>
      <c r="L221" s="451"/>
      <c r="M221" s="451"/>
      <c r="N221" s="18"/>
    </row>
    <row r="222" spans="2:14">
      <c r="B222" s="213">
        <f t="shared" si="31"/>
        <v>199</v>
      </c>
      <c r="C222" s="216"/>
      <c r="D222" s="214">
        <v>7</v>
      </c>
      <c r="E222" s="206">
        <f t="shared" si="32"/>
        <v>189</v>
      </c>
      <c r="F222" s="215">
        <v>33.19</v>
      </c>
      <c r="G222" s="215">
        <f t="shared" si="29"/>
        <v>32.791999999999994</v>
      </c>
      <c r="H222" s="215" t="str">
        <f t="shared" si="30"/>
        <v>IN</v>
      </c>
      <c r="I222" s="217">
        <f t="shared" si="25"/>
        <v>6567.6079999999993</v>
      </c>
      <c r="J222" s="217">
        <f t="shared" si="26"/>
        <v>5473.5219999999999</v>
      </c>
      <c r="K222" s="381">
        <f t="shared" si="27"/>
        <v>265.01542433002294</v>
      </c>
      <c r="L222" s="451"/>
      <c r="M222" s="451"/>
      <c r="N222" s="18"/>
    </row>
    <row r="223" spans="2:14">
      <c r="B223" s="213">
        <f t="shared" si="31"/>
        <v>200</v>
      </c>
      <c r="C223" s="213"/>
      <c r="D223" s="214">
        <v>7</v>
      </c>
      <c r="E223" s="206">
        <f t="shared" si="32"/>
        <v>188</v>
      </c>
      <c r="F223" s="215">
        <v>33.03</v>
      </c>
      <c r="G223" s="215">
        <f t="shared" si="29"/>
        <v>32.631999999999998</v>
      </c>
      <c r="H223" s="215" t="str">
        <f t="shared" si="30"/>
        <v>IN</v>
      </c>
      <c r="I223" s="217">
        <f t="shared" si="25"/>
        <v>6600.2399999999989</v>
      </c>
      <c r="J223" s="217">
        <f t="shared" si="26"/>
        <v>5440.89</v>
      </c>
      <c r="K223" s="381">
        <f t="shared" si="27"/>
        <v>265.71607749427039</v>
      </c>
      <c r="L223" s="451"/>
      <c r="M223" s="451"/>
      <c r="N223" s="18"/>
    </row>
    <row r="224" spans="2:14">
      <c r="B224" s="213">
        <f t="shared" si="31"/>
        <v>201</v>
      </c>
      <c r="C224" s="213"/>
      <c r="D224" s="214">
        <v>7</v>
      </c>
      <c r="E224" s="206">
        <f t="shared" si="32"/>
        <v>187</v>
      </c>
      <c r="F224" s="215">
        <v>32.57</v>
      </c>
      <c r="G224" s="215">
        <f t="shared" si="29"/>
        <v>32.171999999999997</v>
      </c>
      <c r="H224" s="215" t="str">
        <f t="shared" si="30"/>
        <v>IN</v>
      </c>
      <c r="I224" s="217">
        <f t="shared" si="25"/>
        <v>6632.4119999999984</v>
      </c>
      <c r="J224" s="217">
        <f t="shared" si="26"/>
        <v>5408.7180000000008</v>
      </c>
      <c r="K224" s="381">
        <f t="shared" si="27"/>
        <v>266.4068538365164</v>
      </c>
      <c r="L224" s="451"/>
      <c r="M224" s="451"/>
      <c r="N224" s="18"/>
    </row>
    <row r="225" spans="2:14">
      <c r="B225" s="213">
        <f t="shared" si="31"/>
        <v>202</v>
      </c>
      <c r="C225" s="213"/>
      <c r="D225" s="214">
        <v>7</v>
      </c>
      <c r="E225" s="206">
        <f t="shared" si="32"/>
        <v>186</v>
      </c>
      <c r="F225" s="215">
        <v>33.19</v>
      </c>
      <c r="G225" s="215">
        <f t="shared" si="29"/>
        <v>32.791999999999994</v>
      </c>
      <c r="H225" s="215" t="str">
        <f t="shared" si="30"/>
        <v>IN</v>
      </c>
      <c r="I225" s="217">
        <f t="shared" si="25"/>
        <v>6665.2039999999988</v>
      </c>
      <c r="J225" s="217">
        <f t="shared" si="26"/>
        <v>5375.9260000000004</v>
      </c>
      <c r="K225" s="381">
        <f t="shared" si="27"/>
        <v>267.11094241711226</v>
      </c>
      <c r="L225" s="451"/>
      <c r="M225" s="451"/>
      <c r="N225" s="18"/>
    </row>
    <row r="226" spans="2:14">
      <c r="B226" s="213">
        <f t="shared" si="31"/>
        <v>203</v>
      </c>
      <c r="C226" s="213"/>
      <c r="D226" s="214">
        <v>7</v>
      </c>
      <c r="E226" s="206">
        <f t="shared" si="32"/>
        <v>185</v>
      </c>
      <c r="F226" s="215">
        <v>33.380000000000003</v>
      </c>
      <c r="G226" s="215">
        <f t="shared" si="29"/>
        <v>32.981999999999999</v>
      </c>
      <c r="H226" s="215" t="str">
        <f t="shared" si="30"/>
        <v>IN</v>
      </c>
      <c r="I226" s="217">
        <f t="shared" si="25"/>
        <v>6698.1859999999988</v>
      </c>
      <c r="J226" s="217">
        <f t="shared" si="26"/>
        <v>5342.9440000000004</v>
      </c>
      <c r="K226" s="381">
        <f t="shared" si="27"/>
        <v>267.81911055462183</v>
      </c>
      <c r="L226" s="451"/>
      <c r="M226" s="451"/>
      <c r="N226" s="18"/>
    </row>
    <row r="227" spans="2:14">
      <c r="B227" s="213">
        <f t="shared" si="31"/>
        <v>204</v>
      </c>
      <c r="C227" s="213"/>
      <c r="D227" s="214">
        <v>7</v>
      </c>
      <c r="E227" s="206">
        <f t="shared" si="32"/>
        <v>184</v>
      </c>
      <c r="F227" s="215">
        <v>33.380000000000003</v>
      </c>
      <c r="G227" s="215">
        <f t="shared" si="29"/>
        <v>32.981999999999999</v>
      </c>
      <c r="H227" s="215" t="str">
        <f t="shared" si="30"/>
        <v>IN</v>
      </c>
      <c r="I227" s="217">
        <f t="shared" si="25"/>
        <v>6731.1679999999988</v>
      </c>
      <c r="J227" s="217">
        <f t="shared" si="26"/>
        <v>5309.9620000000004</v>
      </c>
      <c r="K227" s="381">
        <f t="shared" si="27"/>
        <v>268.5272786921314</v>
      </c>
      <c r="L227" s="451"/>
      <c r="M227" s="451"/>
      <c r="N227" s="18"/>
    </row>
    <row r="228" spans="2:14">
      <c r="B228" s="213">
        <f t="shared" si="31"/>
        <v>205</v>
      </c>
      <c r="C228" s="213"/>
      <c r="D228" s="214">
        <v>7</v>
      </c>
      <c r="E228" s="206">
        <f t="shared" si="32"/>
        <v>183</v>
      </c>
      <c r="F228" s="215">
        <v>33.01</v>
      </c>
      <c r="G228" s="215">
        <f t="shared" si="29"/>
        <v>32.611999999999995</v>
      </c>
      <c r="H228" s="215" t="str">
        <f t="shared" si="30"/>
        <v>IN</v>
      </c>
      <c r="I228" s="217">
        <f t="shared" si="25"/>
        <v>6763.7799999999988</v>
      </c>
      <c r="J228" s="217">
        <f t="shared" si="26"/>
        <v>5277.35</v>
      </c>
      <c r="K228" s="381">
        <f t="shared" si="27"/>
        <v>269.22750242933535</v>
      </c>
      <c r="L228" s="451"/>
      <c r="M228" s="451"/>
      <c r="N228" s="18"/>
    </row>
    <row r="229" spans="2:14">
      <c r="B229" s="213">
        <f t="shared" si="31"/>
        <v>206</v>
      </c>
      <c r="C229" s="213"/>
      <c r="D229" s="214">
        <v>7</v>
      </c>
      <c r="E229" s="206">
        <f t="shared" si="32"/>
        <v>182</v>
      </c>
      <c r="F229" s="215">
        <v>33.049999999999997</v>
      </c>
      <c r="G229" s="215">
        <f t="shared" si="29"/>
        <v>32.651999999999994</v>
      </c>
      <c r="H229" s="215" t="str">
        <f t="shared" si="30"/>
        <v>IN</v>
      </c>
      <c r="I229" s="217">
        <f t="shared" si="25"/>
        <v>6796.4319999999989</v>
      </c>
      <c r="J229" s="217">
        <f t="shared" si="26"/>
        <v>5244.6980000000003</v>
      </c>
      <c r="K229" s="381">
        <f t="shared" si="27"/>
        <v>269.92858502062643</v>
      </c>
      <c r="L229" s="451"/>
      <c r="M229" s="451"/>
      <c r="N229" s="18"/>
    </row>
    <row r="230" spans="2:14">
      <c r="B230" s="213">
        <f t="shared" si="31"/>
        <v>207</v>
      </c>
      <c r="C230" s="213"/>
      <c r="D230" s="214">
        <v>7</v>
      </c>
      <c r="E230" s="206">
        <f t="shared" si="32"/>
        <v>181</v>
      </c>
      <c r="F230" s="215">
        <v>33.229999999999997</v>
      </c>
      <c r="G230" s="215">
        <f t="shared" si="29"/>
        <v>32.831999999999994</v>
      </c>
      <c r="H230" s="215" t="str">
        <f t="shared" si="30"/>
        <v>IN</v>
      </c>
      <c r="I230" s="217">
        <f t="shared" si="25"/>
        <v>6829.2639999999992</v>
      </c>
      <c r="J230" s="217">
        <f t="shared" si="26"/>
        <v>5211.866</v>
      </c>
      <c r="K230" s="381">
        <f t="shared" si="27"/>
        <v>270.63353245530936</v>
      </c>
      <c r="L230" s="451"/>
      <c r="M230" s="451"/>
      <c r="N230" s="18"/>
    </row>
    <row r="231" spans="2:14">
      <c r="B231" s="213">
        <f t="shared" si="31"/>
        <v>208</v>
      </c>
      <c r="C231" s="213"/>
      <c r="D231" s="214">
        <v>7</v>
      </c>
      <c r="E231" s="206">
        <f t="shared" si="32"/>
        <v>180</v>
      </c>
      <c r="F231" s="215">
        <v>33.4</v>
      </c>
      <c r="G231" s="215">
        <f t="shared" si="29"/>
        <v>33.001999999999995</v>
      </c>
      <c r="H231" s="215" t="str">
        <f t="shared" si="30"/>
        <v>IN</v>
      </c>
      <c r="I231" s="217">
        <f t="shared" si="25"/>
        <v>6862.2659999999996</v>
      </c>
      <c r="J231" s="217">
        <f t="shared" si="26"/>
        <v>5178.8639999999996</v>
      </c>
      <c r="K231" s="381">
        <f t="shared" si="27"/>
        <v>271.34213001986251</v>
      </c>
      <c r="L231" s="451"/>
      <c r="M231" s="451"/>
      <c r="N231" s="18"/>
    </row>
    <row r="232" spans="2:14">
      <c r="B232" s="213">
        <f t="shared" si="31"/>
        <v>209</v>
      </c>
      <c r="C232" s="213"/>
      <c r="D232" s="214">
        <v>7</v>
      </c>
      <c r="E232" s="206">
        <f t="shared" si="32"/>
        <v>179</v>
      </c>
      <c r="F232" s="215">
        <v>32.840000000000003</v>
      </c>
      <c r="G232" s="215">
        <f t="shared" si="29"/>
        <v>32.442</v>
      </c>
      <c r="H232" s="215" t="str">
        <f t="shared" si="30"/>
        <v>IN</v>
      </c>
      <c r="I232" s="217">
        <f t="shared" si="25"/>
        <v>6894.7079999999996</v>
      </c>
      <c r="J232" s="217">
        <f t="shared" si="26"/>
        <v>5146.4219999999996</v>
      </c>
      <c r="K232" s="381">
        <f t="shared" si="27"/>
        <v>272.03870362719636</v>
      </c>
      <c r="L232" s="451"/>
      <c r="M232" s="451"/>
      <c r="N232" s="18"/>
    </row>
    <row r="233" spans="2:14">
      <c r="B233" s="213">
        <f t="shared" si="31"/>
        <v>210</v>
      </c>
      <c r="C233" s="213"/>
      <c r="D233" s="214">
        <v>7</v>
      </c>
      <c r="E233" s="206">
        <f t="shared" si="32"/>
        <v>178</v>
      </c>
      <c r="F233" s="215">
        <v>33.200000000000003</v>
      </c>
      <c r="G233" s="215">
        <f t="shared" si="29"/>
        <v>32.802</v>
      </c>
      <c r="H233" s="215" t="str">
        <f t="shared" si="30"/>
        <v>IN</v>
      </c>
      <c r="I233" s="217">
        <f t="shared" si="25"/>
        <v>6927.5099999999993</v>
      </c>
      <c r="J233" s="217">
        <f t="shared" si="26"/>
        <v>5113.62</v>
      </c>
      <c r="K233" s="381">
        <f t="shared" si="27"/>
        <v>272.74300692131396</v>
      </c>
      <c r="L233" s="451"/>
      <c r="M233" s="451"/>
      <c r="N233" s="18"/>
    </row>
    <row r="234" spans="2:14">
      <c r="B234" s="213">
        <f t="shared" si="31"/>
        <v>211</v>
      </c>
      <c r="C234" s="213"/>
      <c r="D234" s="214">
        <v>7</v>
      </c>
      <c r="E234" s="206">
        <f t="shared" si="32"/>
        <v>177</v>
      </c>
      <c r="F234" s="215">
        <v>33.799999999999997</v>
      </c>
      <c r="G234" s="215">
        <f t="shared" si="29"/>
        <v>33.401999999999994</v>
      </c>
      <c r="H234" s="215" t="str">
        <f t="shared" si="30"/>
        <v>IN</v>
      </c>
      <c r="I234" s="217">
        <f t="shared" si="25"/>
        <v>6960.9119999999994</v>
      </c>
      <c r="J234" s="217">
        <f t="shared" si="26"/>
        <v>5080.2179999999998</v>
      </c>
      <c r="K234" s="381">
        <f t="shared" si="27"/>
        <v>273.46019302673795</v>
      </c>
      <c r="L234" s="451"/>
      <c r="M234" s="451"/>
      <c r="N234" s="18"/>
    </row>
    <row r="235" spans="2:14">
      <c r="B235" s="213">
        <f t="shared" si="31"/>
        <v>212</v>
      </c>
      <c r="C235" s="213"/>
      <c r="D235" s="214">
        <v>7</v>
      </c>
      <c r="E235" s="206">
        <f t="shared" si="32"/>
        <v>176</v>
      </c>
      <c r="F235" s="215">
        <v>33.380000000000003</v>
      </c>
      <c r="G235" s="215">
        <f t="shared" si="29"/>
        <v>32.981999999999999</v>
      </c>
      <c r="H235" s="215" t="str">
        <f t="shared" si="30"/>
        <v>IN</v>
      </c>
      <c r="I235" s="217">
        <f t="shared" si="25"/>
        <v>6993.8939999999993</v>
      </c>
      <c r="J235" s="217">
        <f t="shared" si="26"/>
        <v>5047.2359999999999</v>
      </c>
      <c r="K235" s="381">
        <f t="shared" si="27"/>
        <v>274.16836116424747</v>
      </c>
      <c r="L235" s="451"/>
      <c r="M235" s="451"/>
      <c r="N235" s="18"/>
    </row>
    <row r="236" spans="2:14">
      <c r="B236" s="213">
        <f t="shared" si="31"/>
        <v>213</v>
      </c>
      <c r="C236" s="213"/>
      <c r="D236" s="214">
        <v>7</v>
      </c>
      <c r="E236" s="206">
        <f t="shared" si="32"/>
        <v>175</v>
      </c>
      <c r="F236" s="215">
        <v>33.799999999999997</v>
      </c>
      <c r="G236" s="215">
        <f t="shared" si="29"/>
        <v>33.401999999999994</v>
      </c>
      <c r="H236" s="215" t="str">
        <f t="shared" si="30"/>
        <v>IN</v>
      </c>
      <c r="I236" s="217">
        <f t="shared" si="25"/>
        <v>7027.2959999999994</v>
      </c>
      <c r="J236" s="217">
        <f t="shared" si="26"/>
        <v>5013.8339999999998</v>
      </c>
      <c r="K236" s="381">
        <f t="shared" si="27"/>
        <v>274.88554726967152</v>
      </c>
      <c r="L236" s="451"/>
      <c r="M236" s="451"/>
      <c r="N236" s="18"/>
    </row>
    <row r="237" spans="2:14">
      <c r="B237" s="213">
        <f t="shared" si="31"/>
        <v>214</v>
      </c>
      <c r="C237" s="213"/>
      <c r="D237" s="214">
        <v>7</v>
      </c>
      <c r="E237" s="206">
        <f t="shared" si="32"/>
        <v>174</v>
      </c>
      <c r="F237" s="215">
        <v>32.840000000000003</v>
      </c>
      <c r="G237" s="215">
        <f t="shared" si="29"/>
        <v>32.442</v>
      </c>
      <c r="H237" s="215" t="str">
        <f t="shared" si="30"/>
        <v>IN</v>
      </c>
      <c r="I237" s="217">
        <f t="shared" si="25"/>
        <v>7059.7379999999994</v>
      </c>
      <c r="J237" s="217">
        <f t="shared" si="26"/>
        <v>4981.3919999999998</v>
      </c>
      <c r="K237" s="381">
        <f t="shared" si="27"/>
        <v>275.58212087700537</v>
      </c>
      <c r="L237" s="451"/>
      <c r="M237" s="451"/>
      <c r="N237" s="18"/>
    </row>
    <row r="238" spans="2:14">
      <c r="B238" s="213">
        <f t="shared" si="31"/>
        <v>215</v>
      </c>
      <c r="C238" s="213"/>
      <c r="D238" s="214">
        <v>7</v>
      </c>
      <c r="E238" s="206">
        <f t="shared" si="32"/>
        <v>173</v>
      </c>
      <c r="F238" s="215">
        <v>33.54</v>
      </c>
      <c r="G238" s="215">
        <f t="shared" si="29"/>
        <v>33.141999999999996</v>
      </c>
      <c r="H238" s="215" t="str">
        <f t="shared" si="30"/>
        <v>IN</v>
      </c>
      <c r="I238" s="217">
        <f t="shared" si="25"/>
        <v>7092.8799999999992</v>
      </c>
      <c r="J238" s="217">
        <f t="shared" si="26"/>
        <v>4948.25</v>
      </c>
      <c r="K238" s="381">
        <f t="shared" si="27"/>
        <v>276.29372443086322</v>
      </c>
      <c r="L238" s="451"/>
      <c r="M238" s="451"/>
      <c r="N238" s="18"/>
    </row>
    <row r="239" spans="2:14">
      <c r="B239" s="213">
        <f t="shared" si="31"/>
        <v>216</v>
      </c>
      <c r="C239" s="213"/>
      <c r="D239" s="214">
        <v>7</v>
      </c>
      <c r="E239" s="206">
        <f t="shared" si="32"/>
        <v>172</v>
      </c>
      <c r="F239" s="215">
        <v>33.049999999999997</v>
      </c>
      <c r="G239" s="215">
        <f t="shared" si="29"/>
        <v>32.651999999999994</v>
      </c>
      <c r="H239" s="215" t="str">
        <f t="shared" si="30"/>
        <v>IN</v>
      </c>
      <c r="I239" s="217">
        <f t="shared" si="25"/>
        <v>7125.5319999999992</v>
      </c>
      <c r="J239" s="217">
        <f t="shared" si="26"/>
        <v>4915.598</v>
      </c>
      <c r="K239" s="381">
        <f t="shared" si="27"/>
        <v>276.9948070221543</v>
      </c>
      <c r="L239" s="451"/>
      <c r="M239" s="451"/>
      <c r="N239" s="18"/>
    </row>
    <row r="240" spans="2:14">
      <c r="B240" s="213">
        <f t="shared" si="31"/>
        <v>217</v>
      </c>
      <c r="C240" s="213"/>
      <c r="D240" s="214">
        <v>7</v>
      </c>
      <c r="E240" s="206">
        <f t="shared" si="32"/>
        <v>171</v>
      </c>
      <c r="F240" s="215">
        <v>33.54</v>
      </c>
      <c r="G240" s="215">
        <f t="shared" si="29"/>
        <v>33.141999999999996</v>
      </c>
      <c r="H240" s="215" t="str">
        <f t="shared" si="30"/>
        <v>IN</v>
      </c>
      <c r="I240" s="217">
        <f t="shared" si="25"/>
        <v>7158.6739999999991</v>
      </c>
      <c r="J240" s="217">
        <f t="shared" si="26"/>
        <v>4882.4560000000001</v>
      </c>
      <c r="K240" s="381">
        <f t="shared" si="27"/>
        <v>277.70641057601222</v>
      </c>
      <c r="L240" s="451"/>
      <c r="M240" s="451"/>
      <c r="N240" s="18"/>
    </row>
    <row r="241" spans="2:14">
      <c r="B241" s="213">
        <f t="shared" si="31"/>
        <v>218</v>
      </c>
      <c r="C241" s="213"/>
      <c r="D241" s="214">
        <v>7</v>
      </c>
      <c r="E241" s="206">
        <f t="shared" si="32"/>
        <v>170</v>
      </c>
      <c r="F241" s="215">
        <v>33.06</v>
      </c>
      <c r="G241" s="215">
        <f t="shared" si="29"/>
        <v>32.661999999999999</v>
      </c>
      <c r="H241" s="215" t="str">
        <f t="shared" si="30"/>
        <v>IN</v>
      </c>
      <c r="I241" s="217">
        <f t="shared" si="25"/>
        <v>7191.3359999999993</v>
      </c>
      <c r="J241" s="217">
        <f t="shared" si="26"/>
        <v>4849.7939999999999</v>
      </c>
      <c r="K241" s="381">
        <f t="shared" si="27"/>
        <v>278.407707880825</v>
      </c>
      <c r="L241" s="451"/>
      <c r="M241" s="451"/>
      <c r="N241" s="18"/>
    </row>
    <row r="242" spans="2:14">
      <c r="B242" s="213">
        <f t="shared" si="31"/>
        <v>219</v>
      </c>
      <c r="C242" s="213"/>
      <c r="D242" s="214">
        <v>7</v>
      </c>
      <c r="E242" s="206">
        <f t="shared" si="32"/>
        <v>169</v>
      </c>
      <c r="F242" s="215">
        <v>33.380000000000003</v>
      </c>
      <c r="G242" s="215">
        <f t="shared" si="29"/>
        <v>32.981999999999999</v>
      </c>
      <c r="H242" s="215" t="str">
        <f t="shared" si="30"/>
        <v>IN</v>
      </c>
      <c r="I242" s="217">
        <f t="shared" si="25"/>
        <v>7224.3179999999993</v>
      </c>
      <c r="J242" s="217">
        <f t="shared" si="26"/>
        <v>4816.8119999999999</v>
      </c>
      <c r="K242" s="381">
        <f t="shared" si="27"/>
        <v>279.11587601833457</v>
      </c>
      <c r="L242" s="451"/>
      <c r="M242" s="451"/>
      <c r="N242" s="18"/>
    </row>
    <row r="243" spans="2:14">
      <c r="B243" s="213">
        <f t="shared" si="31"/>
        <v>220</v>
      </c>
      <c r="C243" s="213"/>
      <c r="D243" s="214">
        <v>7</v>
      </c>
      <c r="E243" s="206">
        <f t="shared" si="32"/>
        <v>168</v>
      </c>
      <c r="F243" s="215">
        <v>32.46</v>
      </c>
      <c r="G243" s="215">
        <f t="shared" si="29"/>
        <v>32.061999999999998</v>
      </c>
      <c r="H243" s="215" t="str">
        <f t="shared" si="30"/>
        <v>IN</v>
      </c>
      <c r="I243" s="217">
        <f t="shared" si="25"/>
        <v>7256.3799999999992</v>
      </c>
      <c r="J243" s="217">
        <f t="shared" si="26"/>
        <v>4784.75</v>
      </c>
      <c r="K243" s="381">
        <f t="shared" si="27"/>
        <v>279.80429051184109</v>
      </c>
      <c r="L243" s="451"/>
      <c r="M243" s="451"/>
      <c r="N243" s="18"/>
    </row>
    <row r="244" spans="2:14">
      <c r="B244" s="213">
        <f t="shared" si="31"/>
        <v>221</v>
      </c>
      <c r="C244" s="213"/>
      <c r="D244" s="214">
        <v>7</v>
      </c>
      <c r="E244" s="206">
        <f t="shared" si="32"/>
        <v>167</v>
      </c>
      <c r="F244" s="215">
        <v>32.479999999999997</v>
      </c>
      <c r="G244" s="215">
        <f t="shared" si="29"/>
        <v>32.081999999999994</v>
      </c>
      <c r="H244" s="215" t="str">
        <f t="shared" si="30"/>
        <v>IN</v>
      </c>
      <c r="I244" s="217">
        <f t="shared" si="25"/>
        <v>7288.4619999999995</v>
      </c>
      <c r="J244" s="217">
        <f t="shared" si="26"/>
        <v>4752.6679999999997</v>
      </c>
      <c r="K244" s="381">
        <f t="shared" si="27"/>
        <v>280.49313443239112</v>
      </c>
      <c r="L244" s="451"/>
      <c r="M244" s="451"/>
      <c r="N244" s="18"/>
    </row>
    <row r="245" spans="2:14">
      <c r="B245" s="213">
        <f t="shared" si="31"/>
        <v>222</v>
      </c>
      <c r="C245" s="213"/>
      <c r="D245" s="214">
        <v>7</v>
      </c>
      <c r="E245" s="206">
        <f t="shared" si="32"/>
        <v>166</v>
      </c>
      <c r="F245" s="215">
        <v>33.200000000000003</v>
      </c>
      <c r="G245" s="215">
        <f t="shared" si="29"/>
        <v>32.802</v>
      </c>
      <c r="H245" s="215" t="str">
        <f t="shared" si="30"/>
        <v>IN</v>
      </c>
      <c r="I245" s="217">
        <f t="shared" si="25"/>
        <v>7321.2639999999992</v>
      </c>
      <c r="J245" s="217">
        <f t="shared" si="26"/>
        <v>4719.866</v>
      </c>
      <c r="K245" s="381">
        <f t="shared" si="27"/>
        <v>281.19743772650878</v>
      </c>
      <c r="L245" s="451"/>
      <c r="M245" s="451"/>
      <c r="N245" s="18"/>
    </row>
    <row r="246" spans="2:14">
      <c r="B246" s="213">
        <f t="shared" si="31"/>
        <v>223</v>
      </c>
      <c r="C246" s="213"/>
      <c r="D246" s="214">
        <v>7</v>
      </c>
      <c r="E246" s="206">
        <f t="shared" si="32"/>
        <v>165</v>
      </c>
      <c r="F246" s="215">
        <v>33.020000000000003</v>
      </c>
      <c r="G246" s="215">
        <f t="shared" si="29"/>
        <v>32.622</v>
      </c>
      <c r="H246" s="215" t="str">
        <f t="shared" si="30"/>
        <v>IN</v>
      </c>
      <c r="I246" s="217">
        <f t="shared" si="25"/>
        <v>7353.8859999999995</v>
      </c>
      <c r="J246" s="217">
        <f t="shared" si="26"/>
        <v>4687.2439999999997</v>
      </c>
      <c r="K246" s="381">
        <f t="shared" si="27"/>
        <v>281.89787617723448</v>
      </c>
      <c r="L246" s="451"/>
      <c r="M246" s="451"/>
      <c r="N246" s="18"/>
    </row>
    <row r="247" spans="2:14">
      <c r="B247" s="213">
        <f t="shared" si="31"/>
        <v>224</v>
      </c>
      <c r="C247" s="213"/>
      <c r="D247" s="214">
        <v>7</v>
      </c>
      <c r="E247" s="206">
        <f t="shared" si="32"/>
        <v>164</v>
      </c>
      <c r="F247" s="215">
        <v>33.19</v>
      </c>
      <c r="G247" s="215">
        <f t="shared" si="29"/>
        <v>32.791999999999994</v>
      </c>
      <c r="H247" s="215" t="str">
        <f t="shared" si="30"/>
        <v>IN</v>
      </c>
      <c r="I247" s="217">
        <f t="shared" si="25"/>
        <v>7386.6779999999999</v>
      </c>
      <c r="J247" s="217">
        <f t="shared" si="26"/>
        <v>4654.4519999999993</v>
      </c>
      <c r="K247" s="381">
        <f t="shared" si="27"/>
        <v>282.60196475783039</v>
      </c>
      <c r="L247" s="451"/>
      <c r="M247" s="451"/>
      <c r="N247" s="18"/>
    </row>
    <row r="248" spans="2:14">
      <c r="B248" s="213">
        <f t="shared" si="31"/>
        <v>225</v>
      </c>
      <c r="C248" s="213"/>
      <c r="D248" s="214">
        <v>7</v>
      </c>
      <c r="E248" s="206">
        <f t="shared" si="32"/>
        <v>163</v>
      </c>
      <c r="F248" s="215">
        <v>33.520000000000003</v>
      </c>
      <c r="G248" s="215">
        <f t="shared" si="29"/>
        <v>33.122</v>
      </c>
      <c r="H248" s="215" t="str">
        <f t="shared" si="30"/>
        <v>IN</v>
      </c>
      <c r="I248" s="217">
        <f t="shared" si="25"/>
        <v>7419.8</v>
      </c>
      <c r="J248" s="217">
        <f t="shared" si="26"/>
        <v>4621.329999999999</v>
      </c>
      <c r="K248" s="381">
        <f t="shared" si="27"/>
        <v>283.31313888464479</v>
      </c>
      <c r="L248" s="451"/>
      <c r="M248" s="451"/>
      <c r="N248" s="18"/>
    </row>
    <row r="249" spans="2:14">
      <c r="B249" s="213">
        <f t="shared" si="31"/>
        <v>226</v>
      </c>
      <c r="C249" s="213"/>
      <c r="D249" s="214">
        <v>7</v>
      </c>
      <c r="E249" s="206">
        <f t="shared" si="32"/>
        <v>162</v>
      </c>
      <c r="F249" s="215">
        <v>33.130000000000003</v>
      </c>
      <c r="G249" s="215">
        <f t="shared" si="29"/>
        <v>32.731999999999999</v>
      </c>
      <c r="H249" s="215" t="str">
        <f t="shared" si="30"/>
        <v>IN</v>
      </c>
      <c r="I249" s="217">
        <f t="shared" si="25"/>
        <v>7452.5320000000002</v>
      </c>
      <c r="J249" s="217">
        <f t="shared" si="26"/>
        <v>4588.597999999999</v>
      </c>
      <c r="K249" s="381">
        <f t="shared" si="27"/>
        <v>284.01593918411004</v>
      </c>
      <c r="L249" s="451"/>
      <c r="M249" s="451"/>
      <c r="N249" s="18"/>
    </row>
    <row r="250" spans="2:14">
      <c r="B250" s="213">
        <f t="shared" si="31"/>
        <v>227</v>
      </c>
      <c r="C250" s="213"/>
      <c r="D250" s="214">
        <v>7</v>
      </c>
      <c r="E250" s="206">
        <f t="shared" si="32"/>
        <v>161</v>
      </c>
      <c r="F250" s="215">
        <v>33.369999999999997</v>
      </c>
      <c r="G250" s="215">
        <f t="shared" si="29"/>
        <v>32.971999999999994</v>
      </c>
      <c r="H250" s="215" t="str">
        <f t="shared" si="30"/>
        <v>IN</v>
      </c>
      <c r="I250" s="217">
        <f t="shared" si="25"/>
        <v>7485.5039999999999</v>
      </c>
      <c r="J250" s="217">
        <f t="shared" si="26"/>
        <v>4555.6259999999993</v>
      </c>
      <c r="K250" s="381">
        <f t="shared" si="27"/>
        <v>284.7238926080978</v>
      </c>
      <c r="L250" s="451"/>
      <c r="M250" s="451"/>
      <c r="N250" s="18"/>
    </row>
    <row r="251" spans="2:14">
      <c r="B251" s="213">
        <f t="shared" si="31"/>
        <v>228</v>
      </c>
      <c r="C251" s="213"/>
      <c r="D251" s="214">
        <v>7</v>
      </c>
      <c r="E251" s="206">
        <f t="shared" si="32"/>
        <v>160</v>
      </c>
      <c r="F251" s="215">
        <v>33.06</v>
      </c>
      <c r="G251" s="215">
        <f t="shared" si="29"/>
        <v>32.661999999999999</v>
      </c>
      <c r="H251" s="215" t="str">
        <f t="shared" si="30"/>
        <v>IN</v>
      </c>
      <c r="I251" s="217">
        <f t="shared" si="25"/>
        <v>7518.1660000000002</v>
      </c>
      <c r="J251" s="217">
        <f t="shared" si="26"/>
        <v>4522.963999999999</v>
      </c>
      <c r="K251" s="381">
        <f t="shared" si="27"/>
        <v>285.42518991291064</v>
      </c>
      <c r="L251" s="451"/>
      <c r="M251" s="451"/>
      <c r="N251" s="18"/>
    </row>
    <row r="252" spans="2:14">
      <c r="B252" s="213">
        <f t="shared" si="31"/>
        <v>229</v>
      </c>
      <c r="C252" s="213"/>
      <c r="D252" s="214">
        <v>7</v>
      </c>
      <c r="E252" s="206">
        <f t="shared" si="32"/>
        <v>159</v>
      </c>
      <c r="F252" s="215">
        <v>32.14</v>
      </c>
      <c r="G252" s="215">
        <f t="shared" si="29"/>
        <v>31.742000000000001</v>
      </c>
      <c r="H252" s="215" t="str">
        <f t="shared" si="30"/>
        <v>IN</v>
      </c>
      <c r="I252" s="217">
        <f t="shared" si="25"/>
        <v>7549.9080000000004</v>
      </c>
      <c r="J252" s="217">
        <f t="shared" si="26"/>
        <v>4491.2219999999988</v>
      </c>
      <c r="K252" s="381">
        <f t="shared" si="27"/>
        <v>286.10673357372042</v>
      </c>
      <c r="L252" s="451"/>
      <c r="M252" s="451"/>
      <c r="N252" s="18"/>
    </row>
    <row r="253" spans="2:14">
      <c r="B253" s="213">
        <f t="shared" si="31"/>
        <v>230</v>
      </c>
      <c r="C253" s="213"/>
      <c r="D253" s="214">
        <v>7</v>
      </c>
      <c r="E253" s="206">
        <f t="shared" si="32"/>
        <v>158</v>
      </c>
      <c r="F253" s="215">
        <v>33.53</v>
      </c>
      <c r="G253" s="215">
        <f t="shared" si="29"/>
        <v>33.131999999999998</v>
      </c>
      <c r="H253" s="215" t="str">
        <f t="shared" si="30"/>
        <v>IN</v>
      </c>
      <c r="I253" s="217">
        <f t="shared" si="25"/>
        <v>7583.04</v>
      </c>
      <c r="J253" s="217">
        <f t="shared" si="26"/>
        <v>4458.0899999999992</v>
      </c>
      <c r="K253" s="381">
        <f t="shared" si="27"/>
        <v>286.81812241405652</v>
      </c>
      <c r="L253" s="451"/>
      <c r="M253" s="451"/>
      <c r="N253" s="18"/>
    </row>
    <row r="254" spans="2:14">
      <c r="B254" s="213">
        <f t="shared" si="31"/>
        <v>231</v>
      </c>
      <c r="C254" s="213"/>
      <c r="D254" s="214">
        <v>7</v>
      </c>
      <c r="E254" s="206">
        <f t="shared" si="32"/>
        <v>157</v>
      </c>
      <c r="F254" s="215">
        <v>33.450000000000003</v>
      </c>
      <c r="G254" s="215">
        <f t="shared" si="29"/>
        <v>33.052</v>
      </c>
      <c r="H254" s="215" t="str">
        <f t="shared" si="30"/>
        <v>IN</v>
      </c>
      <c r="I254" s="217">
        <f t="shared" si="25"/>
        <v>7616.0919999999996</v>
      </c>
      <c r="J254" s="217">
        <f t="shared" si="26"/>
        <v>4425.0379999999996</v>
      </c>
      <c r="K254" s="381">
        <f t="shared" si="27"/>
        <v>287.5277935462185</v>
      </c>
      <c r="L254" s="451"/>
      <c r="M254" s="451"/>
      <c r="N254" s="18"/>
    </row>
    <row r="255" spans="2:14">
      <c r="B255" s="213">
        <f t="shared" si="31"/>
        <v>232</v>
      </c>
      <c r="C255" s="213"/>
      <c r="D255" s="214">
        <v>7</v>
      </c>
      <c r="E255" s="206">
        <f t="shared" si="32"/>
        <v>156</v>
      </c>
      <c r="F255" s="215">
        <v>33.08</v>
      </c>
      <c r="G255" s="215">
        <f t="shared" si="29"/>
        <v>32.681999999999995</v>
      </c>
      <c r="H255" s="215" t="str">
        <f t="shared" si="30"/>
        <v>IN</v>
      </c>
      <c r="I255" s="217">
        <f t="shared" si="25"/>
        <v>7648.7739999999994</v>
      </c>
      <c r="J255" s="217">
        <f t="shared" si="26"/>
        <v>4392.3559999999998</v>
      </c>
      <c r="K255" s="381">
        <f t="shared" si="27"/>
        <v>288.22952027807486</v>
      </c>
      <c r="L255" s="451"/>
      <c r="M255" s="451"/>
      <c r="N255" s="18"/>
    </row>
    <row r="256" spans="2:14">
      <c r="B256" s="213">
        <f t="shared" si="31"/>
        <v>233</v>
      </c>
      <c r="C256" s="213"/>
      <c r="D256" s="214">
        <v>7</v>
      </c>
      <c r="E256" s="206">
        <f t="shared" si="32"/>
        <v>155</v>
      </c>
      <c r="F256" s="215">
        <v>32.07</v>
      </c>
      <c r="G256" s="215">
        <f t="shared" si="29"/>
        <v>31.672000000000001</v>
      </c>
      <c r="H256" s="215" t="str">
        <f t="shared" si="30"/>
        <v>IN</v>
      </c>
      <c r="I256" s="217">
        <f t="shared" si="25"/>
        <v>7680.445999999999</v>
      </c>
      <c r="J256" s="217">
        <f t="shared" si="26"/>
        <v>4360.6840000000002</v>
      </c>
      <c r="K256" s="381">
        <f t="shared" si="27"/>
        <v>288.90956094423223</v>
      </c>
      <c r="L256" s="451"/>
      <c r="M256" s="451"/>
      <c r="N256" s="18"/>
    </row>
    <row r="257" spans="2:14">
      <c r="B257" s="213">
        <f t="shared" si="31"/>
        <v>234</v>
      </c>
      <c r="C257" s="213"/>
      <c r="D257" s="214">
        <v>7</v>
      </c>
      <c r="E257" s="206">
        <f t="shared" si="32"/>
        <v>154</v>
      </c>
      <c r="F257" s="215">
        <v>33.520000000000003</v>
      </c>
      <c r="G257" s="215">
        <f t="shared" si="29"/>
        <v>33.122</v>
      </c>
      <c r="H257" s="215" t="str">
        <f t="shared" si="30"/>
        <v>IN</v>
      </c>
      <c r="I257" s="217">
        <f t="shared" si="25"/>
        <v>7713.5679999999993</v>
      </c>
      <c r="J257" s="217">
        <f t="shared" si="26"/>
        <v>4327.5619999999999</v>
      </c>
      <c r="K257" s="381">
        <f t="shared" si="27"/>
        <v>289.62073507104662</v>
      </c>
      <c r="L257" s="451"/>
      <c r="M257" s="451"/>
      <c r="N257" s="18"/>
    </row>
    <row r="258" spans="2:14">
      <c r="B258" s="213">
        <f t="shared" si="31"/>
        <v>235</v>
      </c>
      <c r="C258" s="213"/>
      <c r="D258" s="214">
        <v>7</v>
      </c>
      <c r="E258" s="206">
        <f t="shared" si="32"/>
        <v>153</v>
      </c>
      <c r="F258" s="215">
        <v>33.53</v>
      </c>
      <c r="G258" s="215">
        <f t="shared" si="29"/>
        <v>33.131999999999998</v>
      </c>
      <c r="H258" s="215" t="str">
        <f t="shared" si="30"/>
        <v>IN</v>
      </c>
      <c r="I258" s="217">
        <f t="shared" si="25"/>
        <v>7746.6999999999989</v>
      </c>
      <c r="J258" s="217">
        <f t="shared" si="26"/>
        <v>4294.43</v>
      </c>
      <c r="K258" s="381">
        <f t="shared" si="27"/>
        <v>290.33212391138272</v>
      </c>
      <c r="L258" s="451"/>
      <c r="M258" s="451"/>
      <c r="N258" s="18"/>
    </row>
    <row r="259" spans="2:14">
      <c r="B259" s="213">
        <f t="shared" si="31"/>
        <v>236</v>
      </c>
      <c r="C259" s="213"/>
      <c r="D259" s="214">
        <v>7</v>
      </c>
      <c r="E259" s="206">
        <f t="shared" si="32"/>
        <v>152</v>
      </c>
      <c r="F259" s="215">
        <v>32.020000000000003</v>
      </c>
      <c r="G259" s="215">
        <f t="shared" si="29"/>
        <v>31.622000000000003</v>
      </c>
      <c r="H259" s="215" t="str">
        <f t="shared" si="30"/>
        <v>IN</v>
      </c>
      <c r="I259" s="217">
        <f t="shared" si="25"/>
        <v>7778.3219999999992</v>
      </c>
      <c r="J259" s="217">
        <f t="shared" si="26"/>
        <v>4262.808</v>
      </c>
      <c r="K259" s="381">
        <f t="shared" si="27"/>
        <v>291.01109100993119</v>
      </c>
      <c r="L259" s="451"/>
      <c r="M259" s="451"/>
      <c r="N259" s="18"/>
    </row>
    <row r="260" spans="2:14">
      <c r="B260" s="213">
        <f t="shared" si="31"/>
        <v>237</v>
      </c>
      <c r="C260" s="213"/>
      <c r="D260" s="214">
        <v>7</v>
      </c>
      <c r="E260" s="206">
        <f t="shared" si="32"/>
        <v>151</v>
      </c>
      <c r="F260" s="215">
        <v>33.549999999999997</v>
      </c>
      <c r="G260" s="215">
        <f t="shared" si="29"/>
        <v>33.151999999999994</v>
      </c>
      <c r="H260" s="215" t="str">
        <f t="shared" si="30"/>
        <v>IN</v>
      </c>
      <c r="I260" s="217">
        <f t="shared" si="25"/>
        <v>7811.4739999999993</v>
      </c>
      <c r="J260" s="217">
        <f t="shared" si="26"/>
        <v>4229.6559999999999</v>
      </c>
      <c r="K260" s="381">
        <f t="shared" si="27"/>
        <v>291.72290927731092</v>
      </c>
      <c r="L260" s="451"/>
      <c r="M260" s="451"/>
      <c r="N260" s="18"/>
    </row>
    <row r="261" spans="2:14">
      <c r="B261" s="213">
        <f t="shared" si="31"/>
        <v>238</v>
      </c>
      <c r="C261" s="213"/>
      <c r="D261" s="214">
        <v>7</v>
      </c>
      <c r="E261" s="206">
        <f t="shared" si="32"/>
        <v>150</v>
      </c>
      <c r="F261" s="215">
        <v>32.5</v>
      </c>
      <c r="G261" s="215">
        <f t="shared" si="29"/>
        <v>32.101999999999997</v>
      </c>
      <c r="H261" s="215" t="str">
        <f t="shared" si="30"/>
        <v>IN</v>
      </c>
      <c r="I261" s="217">
        <f t="shared" si="25"/>
        <v>7843.5759999999991</v>
      </c>
      <c r="J261" s="217">
        <f t="shared" si="26"/>
        <v>4197.5540000000001</v>
      </c>
      <c r="K261" s="381">
        <f t="shared" si="27"/>
        <v>292.41218262490452</v>
      </c>
      <c r="L261" s="451"/>
      <c r="M261" s="451"/>
      <c r="N261" s="18"/>
    </row>
    <row r="262" spans="2:14">
      <c r="B262" s="213">
        <f t="shared" si="31"/>
        <v>239</v>
      </c>
      <c r="C262" s="213"/>
      <c r="D262" s="214">
        <v>7</v>
      </c>
      <c r="E262" s="206">
        <f t="shared" si="32"/>
        <v>149</v>
      </c>
      <c r="F262" s="215">
        <v>31.22</v>
      </c>
      <c r="G262" s="215">
        <f t="shared" si="29"/>
        <v>30.821999999999999</v>
      </c>
      <c r="H262" s="215" t="str">
        <f t="shared" si="30"/>
        <v>IN</v>
      </c>
      <c r="I262" s="217">
        <f t="shared" si="25"/>
        <v>7874.3979999999992</v>
      </c>
      <c r="J262" s="217">
        <f t="shared" si="26"/>
        <v>4166.732</v>
      </c>
      <c r="K262" s="381">
        <f t="shared" si="27"/>
        <v>293.07397264171118</v>
      </c>
      <c r="L262" s="451"/>
      <c r="M262" s="451"/>
      <c r="N262" s="18"/>
    </row>
    <row r="263" spans="2:14">
      <c r="B263" s="213">
        <f t="shared" si="31"/>
        <v>240</v>
      </c>
      <c r="C263" s="213"/>
      <c r="D263" s="214">
        <v>7</v>
      </c>
      <c r="E263" s="206">
        <f t="shared" si="32"/>
        <v>148</v>
      </c>
      <c r="F263" s="215">
        <v>33.21</v>
      </c>
      <c r="G263" s="215">
        <f t="shared" si="29"/>
        <v>32.811999999999998</v>
      </c>
      <c r="H263" s="215" t="str">
        <f t="shared" si="30"/>
        <v>IN</v>
      </c>
      <c r="I263" s="217">
        <f t="shared" si="25"/>
        <v>7907.2099999999991</v>
      </c>
      <c r="J263" s="217">
        <f t="shared" si="26"/>
        <v>4133.92</v>
      </c>
      <c r="K263" s="381">
        <f t="shared" si="27"/>
        <v>293.7784906493506</v>
      </c>
      <c r="L263" s="451"/>
      <c r="M263" s="451"/>
      <c r="N263" s="18"/>
    </row>
    <row r="264" spans="2:14">
      <c r="B264" s="213">
        <f t="shared" si="31"/>
        <v>241</v>
      </c>
      <c r="C264" s="213"/>
      <c r="D264" s="214">
        <v>7</v>
      </c>
      <c r="E264" s="206">
        <f t="shared" si="32"/>
        <v>147</v>
      </c>
      <c r="F264" s="215">
        <v>33.340000000000003</v>
      </c>
      <c r="G264" s="215">
        <f t="shared" si="29"/>
        <v>32.942</v>
      </c>
      <c r="H264" s="215" t="str">
        <f t="shared" si="30"/>
        <v>IN</v>
      </c>
      <c r="I264" s="217">
        <f t="shared" si="25"/>
        <v>7940.1519999999991</v>
      </c>
      <c r="J264" s="217">
        <f t="shared" si="26"/>
        <v>4100.9780000000001</v>
      </c>
      <c r="K264" s="381">
        <f t="shared" si="27"/>
        <v>294.48579993277315</v>
      </c>
      <c r="L264" s="451"/>
      <c r="M264" s="451"/>
      <c r="N264" s="18"/>
    </row>
    <row r="265" spans="2:14">
      <c r="B265" s="213">
        <f t="shared" si="31"/>
        <v>242</v>
      </c>
      <c r="C265" s="213"/>
      <c r="D265" s="214">
        <v>7</v>
      </c>
      <c r="E265" s="206">
        <f t="shared" si="32"/>
        <v>146</v>
      </c>
      <c r="F265" s="215">
        <v>34.020000000000003</v>
      </c>
      <c r="G265" s="215">
        <f t="shared" si="29"/>
        <v>33.622</v>
      </c>
      <c r="H265" s="215" t="str">
        <f t="shared" si="30"/>
        <v>IN</v>
      </c>
      <c r="I265" s="217">
        <f t="shared" si="25"/>
        <v>7973.7739999999994</v>
      </c>
      <c r="J265" s="217">
        <f t="shared" si="26"/>
        <v>4067.3559999999998</v>
      </c>
      <c r="K265" s="381">
        <f t="shared" si="27"/>
        <v>295.20770973567608</v>
      </c>
      <c r="L265" s="451"/>
      <c r="M265" s="451"/>
      <c r="N265" s="18"/>
    </row>
    <row r="266" spans="2:14">
      <c r="B266" s="213">
        <f t="shared" si="31"/>
        <v>243</v>
      </c>
      <c r="C266" s="213"/>
      <c r="D266" s="214">
        <v>7</v>
      </c>
      <c r="E266" s="206">
        <f t="shared" si="32"/>
        <v>145</v>
      </c>
      <c r="F266" s="215">
        <v>35.75</v>
      </c>
      <c r="G266" s="215">
        <f t="shared" si="29"/>
        <v>35.351999999999997</v>
      </c>
      <c r="H266" s="215" t="str">
        <f t="shared" si="30"/>
        <v>IN</v>
      </c>
      <c r="I266" s="217">
        <f t="shared" si="25"/>
        <v>8009.1259999999993</v>
      </c>
      <c r="J266" s="217">
        <f t="shared" si="26"/>
        <v>4032.0039999999999</v>
      </c>
      <c r="K266" s="381">
        <f t="shared" si="27"/>
        <v>295.96676497784568</v>
      </c>
      <c r="L266" s="422"/>
      <c r="M266" s="423"/>
      <c r="N266" s="18"/>
    </row>
    <row r="267" spans="2:14">
      <c r="B267" s="213">
        <f t="shared" si="31"/>
        <v>244</v>
      </c>
      <c r="C267" s="213"/>
      <c r="D267" s="214">
        <v>7</v>
      </c>
      <c r="E267" s="206">
        <f t="shared" si="32"/>
        <v>144</v>
      </c>
      <c r="F267" s="215">
        <v>36.659999999999997</v>
      </c>
      <c r="G267" s="215">
        <f t="shared" si="29"/>
        <v>36.261999999999993</v>
      </c>
      <c r="H267" s="215" t="str">
        <f t="shared" si="30"/>
        <v>IN</v>
      </c>
      <c r="I267" s="217">
        <f t="shared" si="25"/>
        <v>8045.387999999999</v>
      </c>
      <c r="J267" s="217">
        <f t="shared" si="26"/>
        <v>3995.7420000000002</v>
      </c>
      <c r="K267" s="381">
        <f t="shared" si="27"/>
        <v>296.7453591504966</v>
      </c>
      <c r="L267" s="422"/>
      <c r="M267" s="423"/>
      <c r="N267" s="18"/>
    </row>
    <row r="268" spans="2:14">
      <c r="B268" s="213">
        <f t="shared" si="31"/>
        <v>245</v>
      </c>
      <c r="C268" s="213"/>
      <c r="D268" s="214">
        <v>7</v>
      </c>
      <c r="E268" s="206">
        <f t="shared" si="32"/>
        <v>143</v>
      </c>
      <c r="F268" s="215">
        <v>37.11</v>
      </c>
      <c r="G268" s="215">
        <f t="shared" si="29"/>
        <v>36.711999999999996</v>
      </c>
      <c r="H268" s="215" t="str">
        <f t="shared" si="30"/>
        <v>IN</v>
      </c>
      <c r="I268" s="217">
        <f t="shared" si="25"/>
        <v>8082.0999999999995</v>
      </c>
      <c r="J268" s="217">
        <f t="shared" si="26"/>
        <v>3959.0299999999997</v>
      </c>
      <c r="K268" s="381">
        <f t="shared" si="27"/>
        <v>297.53361543162714</v>
      </c>
      <c r="L268" s="422"/>
      <c r="M268" s="423"/>
      <c r="N268" s="18"/>
    </row>
    <row r="269" spans="2:14">
      <c r="B269" s="213">
        <f t="shared" si="31"/>
        <v>246</v>
      </c>
      <c r="C269" s="213"/>
      <c r="D269" s="214">
        <v>7</v>
      </c>
      <c r="E269" s="206">
        <f t="shared" si="32"/>
        <v>142</v>
      </c>
      <c r="F269" s="215">
        <v>33.56</v>
      </c>
      <c r="G269" s="215">
        <f t="shared" si="29"/>
        <v>33.161999999999999</v>
      </c>
      <c r="H269" s="215" t="str">
        <f t="shared" si="30"/>
        <v>IN</v>
      </c>
      <c r="I269" s="217">
        <f t="shared" si="25"/>
        <v>8115.2619999999997</v>
      </c>
      <c r="J269" s="217">
        <f t="shared" si="26"/>
        <v>3925.8679999999995</v>
      </c>
      <c r="K269" s="381">
        <f t="shared" si="27"/>
        <v>298.24564841252868</v>
      </c>
      <c r="L269" s="422"/>
      <c r="M269" s="423"/>
      <c r="N269" s="18"/>
    </row>
    <row r="270" spans="2:14">
      <c r="B270" s="213">
        <f t="shared" si="31"/>
        <v>247</v>
      </c>
      <c r="C270" s="213"/>
      <c r="D270" s="214">
        <v>7</v>
      </c>
      <c r="E270" s="206">
        <f t="shared" si="32"/>
        <v>141</v>
      </c>
      <c r="F270" s="215">
        <v>36.909999999999997</v>
      </c>
      <c r="G270" s="215">
        <f t="shared" si="29"/>
        <v>36.511999999999993</v>
      </c>
      <c r="H270" s="215" t="str">
        <f t="shared" si="30"/>
        <v>IN</v>
      </c>
      <c r="I270" s="217">
        <f t="shared" si="25"/>
        <v>8151.7739999999994</v>
      </c>
      <c r="J270" s="217">
        <f t="shared" si="26"/>
        <v>3889.3559999999998</v>
      </c>
      <c r="K270" s="381">
        <f t="shared" si="27"/>
        <v>299.0296104232238</v>
      </c>
      <c r="L270" s="422"/>
      <c r="M270" s="423"/>
      <c r="N270" s="18"/>
    </row>
    <row r="271" spans="2:14">
      <c r="B271" s="213">
        <f t="shared" si="31"/>
        <v>248</v>
      </c>
      <c r="C271" s="213"/>
      <c r="D271" s="214">
        <v>7</v>
      </c>
      <c r="E271" s="206">
        <f t="shared" si="32"/>
        <v>140</v>
      </c>
      <c r="F271" s="215">
        <v>32.92</v>
      </c>
      <c r="G271" s="215">
        <f t="shared" si="29"/>
        <v>32.521999999999998</v>
      </c>
      <c r="H271" s="215" t="str">
        <f t="shared" si="30"/>
        <v>IN</v>
      </c>
      <c r="I271" s="217">
        <f t="shared" si="25"/>
        <v>8184.2959999999994</v>
      </c>
      <c r="J271" s="217">
        <f t="shared" si="26"/>
        <v>3856.8339999999998</v>
      </c>
      <c r="K271" s="381">
        <f t="shared" si="27"/>
        <v>299.72790173873187</v>
      </c>
      <c r="L271" s="422"/>
      <c r="M271" s="423"/>
      <c r="N271" s="18"/>
    </row>
    <row r="272" spans="2:14">
      <c r="B272" s="213">
        <f t="shared" si="31"/>
        <v>249</v>
      </c>
      <c r="C272" s="213"/>
      <c r="D272" s="214">
        <v>7</v>
      </c>
      <c r="E272" s="206">
        <f t="shared" si="32"/>
        <v>139</v>
      </c>
      <c r="F272" s="215">
        <v>35.869999999999997</v>
      </c>
      <c r="G272" s="215">
        <f t="shared" si="29"/>
        <v>35.471999999999994</v>
      </c>
      <c r="H272" s="215" t="str">
        <f t="shared" si="30"/>
        <v>IN</v>
      </c>
      <c r="I272" s="217">
        <f t="shared" si="25"/>
        <v>8219.768</v>
      </c>
      <c r="J272" s="217">
        <f t="shared" si="26"/>
        <v>3821.3619999999992</v>
      </c>
      <c r="K272" s="381">
        <f t="shared" si="27"/>
        <v>300.48953354316268</v>
      </c>
      <c r="L272" s="422"/>
      <c r="M272" s="423"/>
      <c r="N272" s="18"/>
    </row>
    <row r="273" spans="2:14">
      <c r="B273" s="213">
        <f t="shared" si="31"/>
        <v>250</v>
      </c>
      <c r="C273" s="213"/>
      <c r="D273" s="214">
        <v>7</v>
      </c>
      <c r="E273" s="206">
        <f t="shared" si="32"/>
        <v>138</v>
      </c>
      <c r="F273" s="215">
        <v>35.24</v>
      </c>
      <c r="G273" s="215">
        <f t="shared" si="29"/>
        <v>34.841999999999999</v>
      </c>
      <c r="H273" s="215" t="str">
        <f t="shared" si="30"/>
        <v>IN</v>
      </c>
      <c r="I273" s="217">
        <f t="shared" si="25"/>
        <v>8254.61</v>
      </c>
      <c r="J273" s="217">
        <f t="shared" si="26"/>
        <v>3786.5199999999986</v>
      </c>
      <c r="K273" s="381">
        <f t="shared" si="27"/>
        <v>301.23763839572194</v>
      </c>
      <c r="L273" s="422"/>
      <c r="M273" s="423"/>
      <c r="N273" s="18"/>
    </row>
    <row r="274" spans="2:14">
      <c r="B274" s="213">
        <f t="shared" si="31"/>
        <v>251</v>
      </c>
      <c r="C274" s="213"/>
      <c r="D274" s="214">
        <v>7</v>
      </c>
      <c r="E274" s="206">
        <f t="shared" si="32"/>
        <v>137</v>
      </c>
      <c r="F274" s="215">
        <v>36.659999999999997</v>
      </c>
      <c r="G274" s="215">
        <f t="shared" si="29"/>
        <v>36.261999999999993</v>
      </c>
      <c r="H274" s="215" t="str">
        <f t="shared" si="30"/>
        <v>IN</v>
      </c>
      <c r="I274" s="217">
        <f t="shared" ref="I274:I337" si="33">IF(H274="IN",I273+G274,I273)</f>
        <v>8290.8720000000012</v>
      </c>
      <c r="J274" s="217">
        <f t="shared" ref="J274:J337" si="34">IF(I274="","",$L$9-I274)</f>
        <v>3750.257999999998</v>
      </c>
      <c r="K274" s="381">
        <f t="shared" ref="K274:K337" si="35">$H$9+(I274*$E$10*$H$11/1000)</f>
        <v>302.01623256837286</v>
      </c>
      <c r="L274" s="422"/>
      <c r="M274" s="423"/>
      <c r="N274" s="18"/>
    </row>
    <row r="275" spans="2:14">
      <c r="B275" s="213">
        <f t="shared" si="31"/>
        <v>252</v>
      </c>
      <c r="C275" s="213"/>
      <c r="D275" s="214">
        <v>7</v>
      </c>
      <c r="E275" s="206">
        <f t="shared" si="32"/>
        <v>136</v>
      </c>
      <c r="F275" s="215">
        <v>35.630000000000003</v>
      </c>
      <c r="G275" s="215">
        <f t="shared" si="29"/>
        <v>35.231999999999999</v>
      </c>
      <c r="H275" s="215" t="str">
        <f t="shared" si="30"/>
        <v>IN</v>
      </c>
      <c r="I275" s="217">
        <f t="shared" si="33"/>
        <v>8326.1040000000012</v>
      </c>
      <c r="J275" s="217">
        <f t="shared" si="34"/>
        <v>3715.025999999998</v>
      </c>
      <c r="K275" s="381">
        <f t="shared" si="35"/>
        <v>302.77271124828115</v>
      </c>
      <c r="L275" s="422"/>
      <c r="M275" s="423"/>
      <c r="N275" s="18"/>
    </row>
    <row r="276" spans="2:14">
      <c r="B276" s="213">
        <f t="shared" si="31"/>
        <v>253</v>
      </c>
      <c r="C276" s="213"/>
      <c r="D276" s="214">
        <v>7</v>
      </c>
      <c r="E276" s="206">
        <f t="shared" si="32"/>
        <v>135</v>
      </c>
      <c r="F276" s="215">
        <v>35.409999999999997</v>
      </c>
      <c r="G276" s="215">
        <f t="shared" si="29"/>
        <v>35.011999999999993</v>
      </c>
      <c r="H276" s="215" t="str">
        <f t="shared" si="30"/>
        <v>IN</v>
      </c>
      <c r="I276" s="217">
        <f t="shared" si="33"/>
        <v>8361.1160000000018</v>
      </c>
      <c r="J276" s="217">
        <f t="shared" si="34"/>
        <v>3680.0139999999974</v>
      </c>
      <c r="K276" s="381">
        <f t="shared" si="35"/>
        <v>303.52446623071057</v>
      </c>
      <c r="L276" s="422"/>
      <c r="M276" s="423"/>
      <c r="N276" s="18"/>
    </row>
    <row r="277" spans="2:14">
      <c r="B277" s="213">
        <f t="shared" si="31"/>
        <v>254</v>
      </c>
      <c r="C277" s="213"/>
      <c r="D277" s="214">
        <v>7</v>
      </c>
      <c r="E277" s="206">
        <f t="shared" si="32"/>
        <v>134</v>
      </c>
      <c r="F277" s="215">
        <v>36.31</v>
      </c>
      <c r="G277" s="215">
        <f t="shared" si="29"/>
        <v>35.911999999999999</v>
      </c>
      <c r="H277" s="215" t="str">
        <f t="shared" si="30"/>
        <v>IN</v>
      </c>
      <c r="I277" s="217">
        <f t="shared" si="33"/>
        <v>8397.0280000000021</v>
      </c>
      <c r="J277" s="217">
        <f t="shared" si="34"/>
        <v>3644.1019999999971</v>
      </c>
      <c r="K277" s="381">
        <f t="shared" si="35"/>
        <v>304.29554543009937</v>
      </c>
      <c r="L277" s="422"/>
      <c r="M277" s="423"/>
      <c r="N277" s="18"/>
    </row>
    <row r="278" spans="2:14">
      <c r="B278" s="213">
        <f t="shared" si="31"/>
        <v>255</v>
      </c>
      <c r="C278" s="213"/>
      <c r="D278" s="214">
        <v>7</v>
      </c>
      <c r="E278" s="206">
        <f t="shared" si="32"/>
        <v>133</v>
      </c>
      <c r="F278" s="215">
        <v>35.79</v>
      </c>
      <c r="G278" s="215">
        <f t="shared" si="29"/>
        <v>35.391999999999996</v>
      </c>
      <c r="H278" s="215" t="str">
        <f t="shared" si="30"/>
        <v>IN</v>
      </c>
      <c r="I278" s="217">
        <f t="shared" si="33"/>
        <v>8432.4200000000019</v>
      </c>
      <c r="J278" s="217">
        <f t="shared" si="34"/>
        <v>3608.7099999999973</v>
      </c>
      <c r="K278" s="381">
        <f t="shared" si="35"/>
        <v>305.05545952635606</v>
      </c>
      <c r="L278" s="422"/>
      <c r="M278" s="423"/>
      <c r="N278" s="18"/>
    </row>
    <row r="279" spans="2:14">
      <c r="B279" s="213">
        <f t="shared" si="31"/>
        <v>256</v>
      </c>
      <c r="C279" s="213"/>
      <c r="D279" s="214">
        <v>7</v>
      </c>
      <c r="E279" s="206">
        <f t="shared" si="32"/>
        <v>132</v>
      </c>
      <c r="F279" s="215">
        <v>36.17</v>
      </c>
      <c r="G279" s="215">
        <f t="shared" si="29"/>
        <v>35.771999999999998</v>
      </c>
      <c r="H279" s="215" t="str">
        <f t="shared" si="30"/>
        <v>IN</v>
      </c>
      <c r="I279" s="217">
        <f t="shared" si="33"/>
        <v>8468.1920000000027</v>
      </c>
      <c r="J279" s="217">
        <f t="shared" si="34"/>
        <v>3572.9379999999965</v>
      </c>
      <c r="K279" s="381">
        <f t="shared" si="35"/>
        <v>305.82353273644014</v>
      </c>
      <c r="L279" s="422"/>
      <c r="M279" s="423"/>
      <c r="N279" s="18"/>
    </row>
    <row r="280" spans="2:14">
      <c r="B280" s="213">
        <f t="shared" si="31"/>
        <v>257</v>
      </c>
      <c r="C280" s="213"/>
      <c r="D280" s="214">
        <v>7</v>
      </c>
      <c r="E280" s="206">
        <f t="shared" si="32"/>
        <v>131</v>
      </c>
      <c r="F280" s="215">
        <v>37.07</v>
      </c>
      <c r="G280" s="215">
        <f t="shared" si="29"/>
        <v>36.671999999999997</v>
      </c>
      <c r="H280" s="215" t="str">
        <f t="shared" si="30"/>
        <v>IN</v>
      </c>
      <c r="I280" s="217">
        <f t="shared" si="33"/>
        <v>8504.8640000000032</v>
      </c>
      <c r="J280" s="217">
        <f t="shared" si="34"/>
        <v>3536.265999999996</v>
      </c>
      <c r="K280" s="381">
        <f t="shared" si="35"/>
        <v>306.61093016348366</v>
      </c>
      <c r="L280" s="422"/>
      <c r="M280" s="423"/>
      <c r="N280" s="18"/>
    </row>
    <row r="281" spans="2:14">
      <c r="B281" s="213">
        <f t="shared" si="31"/>
        <v>258</v>
      </c>
      <c r="C281" s="213"/>
      <c r="D281" s="214">
        <v>7</v>
      </c>
      <c r="E281" s="206">
        <f t="shared" si="32"/>
        <v>130</v>
      </c>
      <c r="F281" s="215">
        <v>36.06</v>
      </c>
      <c r="G281" s="215">
        <f t="shared" ref="G281:G344" si="36">F281-($E$12)</f>
        <v>35.661999999999999</v>
      </c>
      <c r="H281" s="215" t="str">
        <f t="shared" si="30"/>
        <v>IN</v>
      </c>
      <c r="I281" s="217">
        <f t="shared" si="33"/>
        <v>8540.5260000000035</v>
      </c>
      <c r="J281" s="217">
        <f t="shared" si="34"/>
        <v>3500.6039999999957</v>
      </c>
      <c r="K281" s="381">
        <f t="shared" si="35"/>
        <v>307.37664152482819</v>
      </c>
      <c r="L281" s="422"/>
      <c r="M281" s="423"/>
      <c r="N281" s="18"/>
    </row>
    <row r="282" spans="2:14">
      <c r="B282" s="213">
        <f t="shared" si="31"/>
        <v>259</v>
      </c>
      <c r="C282" s="213"/>
      <c r="D282" s="214">
        <v>7</v>
      </c>
      <c r="E282" s="206">
        <f t="shared" si="32"/>
        <v>129</v>
      </c>
      <c r="F282" s="215">
        <v>33.32</v>
      </c>
      <c r="G282" s="215">
        <f t="shared" si="36"/>
        <v>32.921999999999997</v>
      </c>
      <c r="H282" s="215" t="str">
        <f t="shared" ref="H282:H346" si="37">IF(F282="","OUT","IN")</f>
        <v>IN</v>
      </c>
      <c r="I282" s="217">
        <f t="shared" si="33"/>
        <v>8573.448000000004</v>
      </c>
      <c r="J282" s="217">
        <f t="shared" si="34"/>
        <v>3467.6819999999952</v>
      </c>
      <c r="K282" s="381">
        <f t="shared" si="35"/>
        <v>308.08352138120711</v>
      </c>
      <c r="L282" s="422"/>
      <c r="M282" s="423"/>
      <c r="N282" s="18"/>
    </row>
    <row r="283" spans="2:14">
      <c r="B283" s="213">
        <f t="shared" ref="B283:B345" si="38">B282+1</f>
        <v>260</v>
      </c>
      <c r="C283" s="213"/>
      <c r="D283" s="214">
        <v>7</v>
      </c>
      <c r="E283" s="206">
        <f t="shared" ref="E283:E345" si="39">E282-1</f>
        <v>128</v>
      </c>
      <c r="F283" s="215">
        <v>33.14</v>
      </c>
      <c r="G283" s="215">
        <f t="shared" si="36"/>
        <v>32.741999999999997</v>
      </c>
      <c r="H283" s="215" t="str">
        <f t="shared" si="37"/>
        <v>IN</v>
      </c>
      <c r="I283" s="217">
        <f t="shared" si="33"/>
        <v>8606.1900000000041</v>
      </c>
      <c r="J283" s="217">
        <f t="shared" si="34"/>
        <v>3434.9399999999951</v>
      </c>
      <c r="K283" s="381">
        <f t="shared" si="35"/>
        <v>308.78653639419417</v>
      </c>
      <c r="L283" s="422"/>
      <c r="M283" s="423"/>
      <c r="N283" s="18"/>
    </row>
    <row r="284" spans="2:14">
      <c r="B284" s="213">
        <f t="shared" si="38"/>
        <v>261</v>
      </c>
      <c r="C284" s="213"/>
      <c r="D284" s="214">
        <v>7</v>
      </c>
      <c r="E284" s="206">
        <f t="shared" si="39"/>
        <v>127</v>
      </c>
      <c r="F284" s="215">
        <v>33.15</v>
      </c>
      <c r="G284" s="215">
        <f t="shared" si="36"/>
        <v>32.751999999999995</v>
      </c>
      <c r="H284" s="215" t="str">
        <f t="shared" si="37"/>
        <v>IN</v>
      </c>
      <c r="I284" s="217">
        <f t="shared" si="33"/>
        <v>8638.9420000000046</v>
      </c>
      <c r="J284" s="217">
        <f t="shared" si="34"/>
        <v>3402.1879999999946</v>
      </c>
      <c r="K284" s="381">
        <f t="shared" si="35"/>
        <v>309.48976612070294</v>
      </c>
      <c r="L284" s="422"/>
      <c r="M284" s="423"/>
      <c r="N284" s="18"/>
    </row>
    <row r="285" spans="2:14">
      <c r="B285" s="213">
        <f t="shared" si="38"/>
        <v>262</v>
      </c>
      <c r="C285" s="213"/>
      <c r="D285" s="214">
        <v>7</v>
      </c>
      <c r="E285" s="206">
        <f t="shared" si="39"/>
        <v>126</v>
      </c>
      <c r="F285" s="215">
        <v>33.200000000000003</v>
      </c>
      <c r="G285" s="215">
        <f t="shared" si="36"/>
        <v>32.802</v>
      </c>
      <c r="H285" s="215" t="str">
        <f t="shared" si="37"/>
        <v>IN</v>
      </c>
      <c r="I285" s="217">
        <f t="shared" si="33"/>
        <v>8671.7440000000042</v>
      </c>
      <c r="J285" s="217">
        <f t="shared" si="34"/>
        <v>3369.385999999995</v>
      </c>
      <c r="K285" s="381">
        <f t="shared" si="35"/>
        <v>310.19406941482055</v>
      </c>
      <c r="L285" s="422"/>
      <c r="M285" s="423"/>
      <c r="N285" s="18"/>
    </row>
    <row r="286" spans="2:14">
      <c r="B286" s="213">
        <f t="shared" si="38"/>
        <v>263</v>
      </c>
      <c r="C286" s="213"/>
      <c r="D286" s="214">
        <v>7</v>
      </c>
      <c r="E286" s="206">
        <f t="shared" si="39"/>
        <v>125</v>
      </c>
      <c r="F286" s="215">
        <v>33.11</v>
      </c>
      <c r="G286" s="215">
        <f t="shared" si="36"/>
        <v>32.711999999999996</v>
      </c>
      <c r="H286" s="215" t="str">
        <f t="shared" si="37"/>
        <v>IN</v>
      </c>
      <c r="I286" s="217">
        <f t="shared" si="33"/>
        <v>8704.4560000000038</v>
      </c>
      <c r="J286" s="217">
        <f t="shared" si="34"/>
        <v>3336.6739999999954</v>
      </c>
      <c r="K286" s="381">
        <f t="shared" si="35"/>
        <v>310.89644028724223</v>
      </c>
      <c r="L286" s="422"/>
      <c r="M286" s="423"/>
      <c r="N286" s="18"/>
    </row>
    <row r="287" spans="2:14">
      <c r="B287" s="213">
        <f t="shared" si="38"/>
        <v>264</v>
      </c>
      <c r="C287" s="213"/>
      <c r="D287" s="214">
        <v>7</v>
      </c>
      <c r="E287" s="206">
        <f t="shared" si="39"/>
        <v>124</v>
      </c>
      <c r="F287" s="215">
        <v>33.049999999999997</v>
      </c>
      <c r="G287" s="215">
        <f t="shared" si="36"/>
        <v>32.651999999999994</v>
      </c>
      <c r="H287" s="215" t="str">
        <f t="shared" si="37"/>
        <v>IN</v>
      </c>
      <c r="I287" s="217">
        <f t="shared" si="33"/>
        <v>8737.1080000000038</v>
      </c>
      <c r="J287" s="217">
        <f t="shared" si="34"/>
        <v>3304.0219999999954</v>
      </c>
      <c r="K287" s="381">
        <f t="shared" si="35"/>
        <v>311.59752287853331</v>
      </c>
      <c r="L287" s="422"/>
      <c r="M287" s="423"/>
      <c r="N287" s="18"/>
    </row>
    <row r="288" spans="2:14">
      <c r="B288" s="213">
        <f t="shared" si="38"/>
        <v>265</v>
      </c>
      <c r="C288" s="213"/>
      <c r="D288" s="214">
        <v>7</v>
      </c>
      <c r="E288" s="206">
        <f t="shared" si="39"/>
        <v>123</v>
      </c>
      <c r="F288" s="215">
        <v>33.28</v>
      </c>
      <c r="G288" s="215">
        <f t="shared" si="36"/>
        <v>32.881999999999998</v>
      </c>
      <c r="H288" s="215" t="str">
        <f t="shared" si="37"/>
        <v>IN</v>
      </c>
      <c r="I288" s="217">
        <f t="shared" si="33"/>
        <v>8769.9900000000034</v>
      </c>
      <c r="J288" s="217">
        <f t="shared" si="34"/>
        <v>3271.1399999999958</v>
      </c>
      <c r="K288" s="381">
        <f t="shared" si="35"/>
        <v>312.30354388082515</v>
      </c>
      <c r="L288" s="422"/>
      <c r="M288" s="423"/>
      <c r="N288" s="18"/>
    </row>
    <row r="289" spans="2:14">
      <c r="B289" s="213">
        <f t="shared" si="38"/>
        <v>266</v>
      </c>
      <c r="C289" s="213"/>
      <c r="D289" s="214">
        <v>7</v>
      </c>
      <c r="E289" s="206">
        <f t="shared" si="39"/>
        <v>122</v>
      </c>
      <c r="F289" s="215">
        <v>32.869999999999997</v>
      </c>
      <c r="G289" s="215">
        <f t="shared" si="36"/>
        <v>32.471999999999994</v>
      </c>
      <c r="H289" s="215" t="str">
        <f t="shared" si="37"/>
        <v>IN</v>
      </c>
      <c r="I289" s="217">
        <f t="shared" si="33"/>
        <v>8802.4620000000032</v>
      </c>
      <c r="J289" s="217">
        <f t="shared" si="34"/>
        <v>3238.667999999996</v>
      </c>
      <c r="K289" s="381">
        <f t="shared" si="35"/>
        <v>313.00076162872426</v>
      </c>
      <c r="L289" s="422"/>
      <c r="M289" s="423"/>
      <c r="N289" s="18"/>
    </row>
    <row r="290" spans="2:14">
      <c r="B290" s="213">
        <f t="shared" si="38"/>
        <v>267</v>
      </c>
      <c r="C290" s="213"/>
      <c r="D290" s="214">
        <v>7</v>
      </c>
      <c r="E290" s="206">
        <f t="shared" si="39"/>
        <v>121</v>
      </c>
      <c r="F290" s="215">
        <v>33.32</v>
      </c>
      <c r="G290" s="215">
        <f t="shared" si="36"/>
        <v>32.921999999999997</v>
      </c>
      <c r="H290" s="215" t="str">
        <f t="shared" si="37"/>
        <v>IN</v>
      </c>
      <c r="I290" s="217">
        <f t="shared" si="33"/>
        <v>8835.3840000000037</v>
      </c>
      <c r="J290" s="217">
        <f t="shared" si="34"/>
        <v>3205.7459999999955</v>
      </c>
      <c r="K290" s="381">
        <f t="shared" si="35"/>
        <v>313.70764148510318</v>
      </c>
      <c r="L290" s="422"/>
      <c r="M290" s="423"/>
      <c r="N290" s="18"/>
    </row>
    <row r="291" spans="2:14">
      <c r="B291" s="213">
        <f t="shared" si="38"/>
        <v>268</v>
      </c>
      <c r="C291" s="213"/>
      <c r="D291" s="214">
        <v>7</v>
      </c>
      <c r="E291" s="206">
        <f t="shared" si="39"/>
        <v>120</v>
      </c>
      <c r="F291" s="215">
        <v>39.450000000000003</v>
      </c>
      <c r="G291" s="215">
        <f t="shared" si="36"/>
        <v>39.052</v>
      </c>
      <c r="H291" s="215" t="str">
        <f t="shared" si="37"/>
        <v>IN</v>
      </c>
      <c r="I291" s="217">
        <f t="shared" si="33"/>
        <v>8874.4360000000033</v>
      </c>
      <c r="J291" s="217">
        <f t="shared" si="34"/>
        <v>3166.6939999999959</v>
      </c>
      <c r="K291" s="381">
        <f t="shared" si="35"/>
        <v>314.5461407303286</v>
      </c>
      <c r="L291" s="422"/>
      <c r="M291" s="423"/>
      <c r="N291" s="18"/>
    </row>
    <row r="292" spans="2:14">
      <c r="B292" s="213">
        <f t="shared" si="38"/>
        <v>269</v>
      </c>
      <c r="C292" s="213"/>
      <c r="D292" s="214">
        <v>7</v>
      </c>
      <c r="E292" s="206">
        <f t="shared" si="39"/>
        <v>119</v>
      </c>
      <c r="F292" s="215">
        <v>37.53</v>
      </c>
      <c r="G292" s="215">
        <f t="shared" si="36"/>
        <v>37.131999999999998</v>
      </c>
      <c r="H292" s="215" t="str">
        <f t="shared" si="37"/>
        <v>IN</v>
      </c>
      <c r="I292" s="217">
        <f t="shared" si="33"/>
        <v>8911.5680000000029</v>
      </c>
      <c r="J292" s="217">
        <f t="shared" si="34"/>
        <v>3129.5619999999963</v>
      </c>
      <c r="K292" s="381">
        <f t="shared" si="35"/>
        <v>315.34341497937362</v>
      </c>
      <c r="L292" s="422"/>
      <c r="M292" s="423"/>
      <c r="N292" s="18"/>
    </row>
    <row r="293" spans="2:14">
      <c r="B293" s="213">
        <f t="shared" si="38"/>
        <v>270</v>
      </c>
      <c r="C293" s="213"/>
      <c r="D293" s="214">
        <v>7</v>
      </c>
      <c r="E293" s="206">
        <f t="shared" si="39"/>
        <v>118</v>
      </c>
      <c r="F293" s="215">
        <v>35.71</v>
      </c>
      <c r="G293" s="215">
        <f t="shared" si="36"/>
        <v>35.311999999999998</v>
      </c>
      <c r="H293" s="215" t="str">
        <f t="shared" si="37"/>
        <v>IN</v>
      </c>
      <c r="I293" s="217">
        <f t="shared" si="33"/>
        <v>8946.8800000000028</v>
      </c>
      <c r="J293" s="217">
        <f t="shared" si="34"/>
        <v>3094.2499999999964</v>
      </c>
      <c r="K293" s="381">
        <f t="shared" si="35"/>
        <v>316.10161136745614</v>
      </c>
      <c r="L293" s="422"/>
      <c r="M293" s="423"/>
      <c r="N293" s="18"/>
    </row>
    <row r="294" spans="2:14">
      <c r="B294" s="213">
        <f t="shared" si="38"/>
        <v>271</v>
      </c>
      <c r="C294" s="213"/>
      <c r="D294" s="214">
        <v>7</v>
      </c>
      <c r="E294" s="206">
        <f t="shared" si="39"/>
        <v>117</v>
      </c>
      <c r="F294" s="215">
        <v>34.78</v>
      </c>
      <c r="G294" s="215">
        <f t="shared" si="36"/>
        <v>34.381999999999998</v>
      </c>
      <c r="H294" s="215" t="str">
        <f t="shared" si="37"/>
        <v>IN</v>
      </c>
      <c r="I294" s="217">
        <f t="shared" si="33"/>
        <v>8981.2620000000024</v>
      </c>
      <c r="J294" s="217">
        <f t="shared" si="34"/>
        <v>3059.8679999999968</v>
      </c>
      <c r="K294" s="381">
        <f t="shared" si="35"/>
        <v>316.83983939801379</v>
      </c>
      <c r="L294" s="422"/>
      <c r="M294" s="423"/>
      <c r="N294" s="18"/>
    </row>
    <row r="295" spans="2:14">
      <c r="B295" s="213">
        <f t="shared" si="38"/>
        <v>272</v>
      </c>
      <c r="C295" s="213"/>
      <c r="D295" s="214">
        <v>7</v>
      </c>
      <c r="E295" s="206">
        <f t="shared" si="39"/>
        <v>116</v>
      </c>
      <c r="F295" s="215">
        <v>35.69</v>
      </c>
      <c r="G295" s="215">
        <f t="shared" si="36"/>
        <v>35.291999999999994</v>
      </c>
      <c r="H295" s="215" t="str">
        <f t="shared" si="37"/>
        <v>IN</v>
      </c>
      <c r="I295" s="217">
        <f t="shared" si="33"/>
        <v>9016.5540000000019</v>
      </c>
      <c r="J295" s="217">
        <f t="shared" si="34"/>
        <v>3024.5759999999973</v>
      </c>
      <c r="K295" s="381">
        <f t="shared" si="35"/>
        <v>317.59760635905275</v>
      </c>
      <c r="L295" s="422"/>
      <c r="M295" s="423"/>
      <c r="N295" s="18"/>
    </row>
    <row r="296" spans="2:14">
      <c r="B296" s="213">
        <f t="shared" si="38"/>
        <v>273</v>
      </c>
      <c r="C296" s="213"/>
      <c r="D296" s="214">
        <v>7</v>
      </c>
      <c r="E296" s="206">
        <f t="shared" si="39"/>
        <v>115</v>
      </c>
      <c r="F296" s="215">
        <v>38.07</v>
      </c>
      <c r="G296" s="215">
        <f t="shared" si="36"/>
        <v>37.671999999999997</v>
      </c>
      <c r="H296" s="215" t="str">
        <f t="shared" si="37"/>
        <v>IN</v>
      </c>
      <c r="I296" s="217">
        <f t="shared" si="33"/>
        <v>9054.2260000000024</v>
      </c>
      <c r="J296" s="217">
        <f t="shared" si="34"/>
        <v>2986.9039999999968</v>
      </c>
      <c r="K296" s="381">
        <f t="shared" si="35"/>
        <v>318.40647513827355</v>
      </c>
      <c r="L296" s="422"/>
      <c r="M296" s="423"/>
      <c r="N296" s="18"/>
    </row>
    <row r="297" spans="2:14">
      <c r="B297" s="213">
        <f t="shared" si="38"/>
        <v>274</v>
      </c>
      <c r="C297" s="213"/>
      <c r="D297" s="214">
        <v>7</v>
      </c>
      <c r="E297" s="206">
        <f t="shared" si="39"/>
        <v>114</v>
      </c>
      <c r="F297" s="215">
        <v>35.729999999999997</v>
      </c>
      <c r="G297" s="215">
        <f t="shared" si="36"/>
        <v>35.331999999999994</v>
      </c>
      <c r="H297" s="215" t="str">
        <f t="shared" si="37"/>
        <v>IN</v>
      </c>
      <c r="I297" s="217">
        <f t="shared" si="33"/>
        <v>9089.5580000000027</v>
      </c>
      <c r="J297" s="217">
        <f t="shared" si="34"/>
        <v>2951.5719999999965</v>
      </c>
      <c r="K297" s="381">
        <f t="shared" si="35"/>
        <v>319.16510095339959</v>
      </c>
      <c r="L297" s="422"/>
      <c r="M297" s="423"/>
      <c r="N297" s="18"/>
    </row>
    <row r="298" spans="2:14">
      <c r="B298" s="213">
        <f t="shared" si="38"/>
        <v>275</v>
      </c>
      <c r="C298" s="213"/>
      <c r="D298" s="214">
        <v>7</v>
      </c>
      <c r="E298" s="206">
        <f t="shared" si="39"/>
        <v>113</v>
      </c>
      <c r="F298" s="215">
        <v>37.82</v>
      </c>
      <c r="G298" s="215">
        <f t="shared" si="36"/>
        <v>37.421999999999997</v>
      </c>
      <c r="H298" s="215" t="str">
        <f t="shared" si="37"/>
        <v>IN</v>
      </c>
      <c r="I298" s="217">
        <f t="shared" si="33"/>
        <v>9126.9800000000032</v>
      </c>
      <c r="J298" s="217">
        <f t="shared" si="34"/>
        <v>2914.149999999996</v>
      </c>
      <c r="K298" s="381">
        <f t="shared" si="35"/>
        <v>319.96860189457607</v>
      </c>
      <c r="L298" s="422"/>
      <c r="M298" s="423"/>
      <c r="N298" s="18"/>
    </row>
    <row r="299" spans="2:14">
      <c r="B299" s="213">
        <f t="shared" si="38"/>
        <v>276</v>
      </c>
      <c r="C299" s="213"/>
      <c r="D299" s="214">
        <v>7</v>
      </c>
      <c r="E299" s="206">
        <f t="shared" si="39"/>
        <v>112</v>
      </c>
      <c r="F299" s="215">
        <v>37.369999999999997</v>
      </c>
      <c r="G299" s="215">
        <f t="shared" si="36"/>
        <v>36.971999999999994</v>
      </c>
      <c r="H299" s="215" t="str">
        <f t="shared" si="37"/>
        <v>IN</v>
      </c>
      <c r="I299" s="217">
        <f t="shared" si="33"/>
        <v>9163.952000000003</v>
      </c>
      <c r="J299" s="217">
        <f t="shared" si="34"/>
        <v>2877.1779999999962</v>
      </c>
      <c r="K299" s="381">
        <f t="shared" si="35"/>
        <v>320.7624407272728</v>
      </c>
      <c r="L299" s="422"/>
      <c r="M299" s="423"/>
      <c r="N299" s="18"/>
    </row>
    <row r="300" spans="2:14">
      <c r="B300" s="213">
        <f t="shared" si="38"/>
        <v>277</v>
      </c>
      <c r="C300" s="213"/>
      <c r="D300" s="214">
        <v>7</v>
      </c>
      <c r="E300" s="206">
        <f t="shared" si="39"/>
        <v>111</v>
      </c>
      <c r="F300" s="215">
        <v>35.630000000000003</v>
      </c>
      <c r="G300" s="215">
        <f t="shared" si="36"/>
        <v>35.231999999999999</v>
      </c>
      <c r="H300" s="215" t="str">
        <f t="shared" si="37"/>
        <v>IN</v>
      </c>
      <c r="I300" s="217">
        <f t="shared" si="33"/>
        <v>9199.1840000000029</v>
      </c>
      <c r="J300" s="217">
        <f t="shared" si="34"/>
        <v>2841.9459999999963</v>
      </c>
      <c r="K300" s="381">
        <f t="shared" si="35"/>
        <v>321.5189194071811</v>
      </c>
      <c r="L300" s="422"/>
      <c r="M300" s="423"/>
      <c r="N300" s="18"/>
    </row>
    <row r="301" spans="2:14">
      <c r="B301" s="213">
        <f t="shared" si="38"/>
        <v>278</v>
      </c>
      <c r="C301" s="213"/>
      <c r="D301" s="214">
        <v>7</v>
      </c>
      <c r="E301" s="206">
        <f t="shared" si="39"/>
        <v>110</v>
      </c>
      <c r="F301" s="215">
        <v>37.049999999999997</v>
      </c>
      <c r="G301" s="215">
        <f t="shared" si="36"/>
        <v>36.651999999999994</v>
      </c>
      <c r="H301" s="215" t="str">
        <f t="shared" si="37"/>
        <v>IN</v>
      </c>
      <c r="I301" s="217">
        <f t="shared" si="33"/>
        <v>9235.836000000003</v>
      </c>
      <c r="J301" s="217">
        <f t="shared" si="34"/>
        <v>2805.2939999999962</v>
      </c>
      <c r="K301" s="381">
        <f t="shared" si="35"/>
        <v>322.3058874071811</v>
      </c>
      <c r="L301" s="422"/>
      <c r="M301" s="423"/>
      <c r="N301" s="18"/>
    </row>
    <row r="302" spans="2:14">
      <c r="B302" s="213">
        <f t="shared" si="38"/>
        <v>279</v>
      </c>
      <c r="C302" s="213"/>
      <c r="D302" s="214">
        <v>7</v>
      </c>
      <c r="E302" s="206">
        <f t="shared" si="39"/>
        <v>109</v>
      </c>
      <c r="F302" s="215">
        <v>38.81</v>
      </c>
      <c r="G302" s="215">
        <f t="shared" si="36"/>
        <v>38.411999999999999</v>
      </c>
      <c r="H302" s="215" t="str">
        <f t="shared" si="37"/>
        <v>IN</v>
      </c>
      <c r="I302" s="217">
        <f t="shared" si="33"/>
        <v>9274.2480000000032</v>
      </c>
      <c r="J302" s="217">
        <f t="shared" si="34"/>
        <v>2766.881999999996</v>
      </c>
      <c r="K302" s="381">
        <f t="shared" si="35"/>
        <v>323.13064498701306</v>
      </c>
      <c r="L302" s="422"/>
      <c r="M302" s="423"/>
      <c r="N302" s="18"/>
    </row>
    <row r="303" spans="2:14">
      <c r="B303" s="213">
        <f t="shared" si="38"/>
        <v>280</v>
      </c>
      <c r="C303" s="213"/>
      <c r="D303" s="214">
        <v>7</v>
      </c>
      <c r="E303" s="206">
        <f t="shared" si="39"/>
        <v>108</v>
      </c>
      <c r="F303" s="215">
        <v>37.07</v>
      </c>
      <c r="G303" s="215">
        <f t="shared" si="36"/>
        <v>36.671999999999997</v>
      </c>
      <c r="H303" s="215" t="str">
        <f t="shared" si="37"/>
        <v>IN</v>
      </c>
      <c r="I303" s="217">
        <f t="shared" si="33"/>
        <v>9310.9200000000037</v>
      </c>
      <c r="J303" s="217">
        <f t="shared" si="34"/>
        <v>2730.2099999999955</v>
      </c>
      <c r="K303" s="381">
        <f t="shared" si="35"/>
        <v>323.91804241405663</v>
      </c>
      <c r="L303" s="422"/>
      <c r="M303" s="423"/>
      <c r="N303" s="18"/>
    </row>
    <row r="304" spans="2:14">
      <c r="B304" s="213">
        <f t="shared" si="38"/>
        <v>281</v>
      </c>
      <c r="C304" s="213"/>
      <c r="D304" s="214">
        <v>7</v>
      </c>
      <c r="E304" s="206">
        <f t="shared" si="39"/>
        <v>107</v>
      </c>
      <c r="F304" s="215">
        <v>36.15</v>
      </c>
      <c r="G304" s="215">
        <f t="shared" si="36"/>
        <v>35.751999999999995</v>
      </c>
      <c r="H304" s="215" t="str">
        <f t="shared" si="37"/>
        <v>IN</v>
      </c>
      <c r="I304" s="217">
        <f t="shared" si="33"/>
        <v>9346.6720000000041</v>
      </c>
      <c r="J304" s="217">
        <f t="shared" si="34"/>
        <v>2694.4579999999951</v>
      </c>
      <c r="K304" s="381">
        <f t="shared" si="35"/>
        <v>324.68568619709708</v>
      </c>
      <c r="L304" s="422"/>
      <c r="M304" s="423"/>
      <c r="N304" s="18"/>
    </row>
    <row r="305" spans="2:14">
      <c r="B305" s="213">
        <f t="shared" si="38"/>
        <v>282</v>
      </c>
      <c r="C305" s="213"/>
      <c r="D305" s="214">
        <v>7</v>
      </c>
      <c r="E305" s="206">
        <f t="shared" si="39"/>
        <v>106</v>
      </c>
      <c r="F305" s="215">
        <v>36.200000000000003</v>
      </c>
      <c r="G305" s="215">
        <f t="shared" si="36"/>
        <v>35.802</v>
      </c>
      <c r="H305" s="215" t="str">
        <f t="shared" si="37"/>
        <v>IN</v>
      </c>
      <c r="I305" s="217">
        <f t="shared" si="33"/>
        <v>9382.4740000000038</v>
      </c>
      <c r="J305" s="217">
        <f t="shared" si="34"/>
        <v>2658.6559999999954</v>
      </c>
      <c r="K305" s="381">
        <f t="shared" si="35"/>
        <v>325.45440354774644</v>
      </c>
      <c r="L305" s="452"/>
      <c r="M305" s="453"/>
      <c r="N305" s="18"/>
    </row>
    <row r="306" spans="2:14">
      <c r="B306" s="213">
        <f t="shared" si="38"/>
        <v>283</v>
      </c>
      <c r="C306" s="213"/>
      <c r="D306" s="214">
        <v>7</v>
      </c>
      <c r="E306" s="206">
        <f t="shared" si="39"/>
        <v>105</v>
      </c>
      <c r="F306" s="215">
        <v>36.840000000000003</v>
      </c>
      <c r="G306" s="215">
        <f t="shared" si="36"/>
        <v>36.442</v>
      </c>
      <c r="H306" s="215" t="str">
        <f t="shared" si="37"/>
        <v>IN</v>
      </c>
      <c r="I306" s="217">
        <f t="shared" si="33"/>
        <v>9418.9160000000029</v>
      </c>
      <c r="J306" s="217">
        <f t="shared" si="34"/>
        <v>2622.2139999999963</v>
      </c>
      <c r="K306" s="381">
        <f t="shared" si="35"/>
        <v>326.2368625637892</v>
      </c>
      <c r="L306" s="308"/>
      <c r="M306" s="309"/>
      <c r="N306" s="18"/>
    </row>
    <row r="307" spans="2:14">
      <c r="B307" s="213">
        <f t="shared" si="38"/>
        <v>284</v>
      </c>
      <c r="C307" s="213"/>
      <c r="D307" s="214">
        <v>7</v>
      </c>
      <c r="E307" s="206">
        <f t="shared" si="39"/>
        <v>104</v>
      </c>
      <c r="F307" s="215">
        <v>36.619999999999997</v>
      </c>
      <c r="G307" s="215">
        <f t="shared" si="36"/>
        <v>36.221999999999994</v>
      </c>
      <c r="H307" s="215" t="str">
        <f t="shared" si="37"/>
        <v>IN</v>
      </c>
      <c r="I307" s="217">
        <f t="shared" si="33"/>
        <v>9455.1380000000026</v>
      </c>
      <c r="J307" s="217">
        <f t="shared" si="34"/>
        <v>2585.9919999999966</v>
      </c>
      <c r="K307" s="381">
        <f t="shared" si="35"/>
        <v>327.01459788235297</v>
      </c>
      <c r="L307" s="308"/>
      <c r="M307" s="309"/>
      <c r="N307" s="18"/>
    </row>
    <row r="308" spans="2:14">
      <c r="B308" s="213">
        <f t="shared" si="38"/>
        <v>285</v>
      </c>
      <c r="C308" s="213"/>
      <c r="D308" s="214">
        <v>7</v>
      </c>
      <c r="E308" s="206">
        <f t="shared" si="39"/>
        <v>103</v>
      </c>
      <c r="F308" s="215">
        <v>35.72</v>
      </c>
      <c r="G308" s="215">
        <f t="shared" si="36"/>
        <v>35.321999999999996</v>
      </c>
      <c r="H308" s="215" t="str">
        <f t="shared" si="37"/>
        <v>IN</v>
      </c>
      <c r="I308" s="217">
        <f t="shared" si="33"/>
        <v>9490.4600000000028</v>
      </c>
      <c r="J308" s="217">
        <f t="shared" si="34"/>
        <v>2550.6699999999964</v>
      </c>
      <c r="K308" s="381">
        <f t="shared" si="35"/>
        <v>327.77300898395731</v>
      </c>
      <c r="L308" s="308"/>
      <c r="M308" s="309"/>
      <c r="N308" s="18"/>
    </row>
    <row r="309" spans="2:14">
      <c r="B309" s="213">
        <f t="shared" si="38"/>
        <v>286</v>
      </c>
      <c r="C309" s="213"/>
      <c r="D309" s="214">
        <v>7</v>
      </c>
      <c r="E309" s="206">
        <f t="shared" si="39"/>
        <v>102</v>
      </c>
      <c r="F309" s="215">
        <v>34.96</v>
      </c>
      <c r="G309" s="215">
        <f t="shared" si="36"/>
        <v>34.561999999999998</v>
      </c>
      <c r="H309" s="215" t="str">
        <f t="shared" si="37"/>
        <v>IN</v>
      </c>
      <c r="I309" s="217">
        <f t="shared" si="33"/>
        <v>9525.0220000000027</v>
      </c>
      <c r="J309" s="217">
        <f t="shared" si="34"/>
        <v>2516.1079999999965</v>
      </c>
      <c r="K309" s="381">
        <f t="shared" si="35"/>
        <v>328.51510185790687</v>
      </c>
      <c r="L309" s="308"/>
      <c r="M309" s="309"/>
      <c r="N309" s="18"/>
    </row>
    <row r="310" spans="2:14">
      <c r="B310" s="213">
        <f t="shared" si="38"/>
        <v>287</v>
      </c>
      <c r="C310" s="213"/>
      <c r="D310" s="214">
        <v>7</v>
      </c>
      <c r="E310" s="206">
        <f t="shared" si="39"/>
        <v>101</v>
      </c>
      <c r="F310" s="215">
        <v>35.299999999999997</v>
      </c>
      <c r="G310" s="215">
        <f t="shared" si="36"/>
        <v>34.901999999999994</v>
      </c>
      <c r="H310" s="215" t="str">
        <f t="shared" si="37"/>
        <v>IN</v>
      </c>
      <c r="I310" s="217">
        <f t="shared" si="33"/>
        <v>9559.9240000000027</v>
      </c>
      <c r="J310" s="217">
        <f t="shared" si="34"/>
        <v>2481.2059999999965</v>
      </c>
      <c r="K310" s="381">
        <f t="shared" si="35"/>
        <v>329.26449499159673</v>
      </c>
      <c r="L310" s="308"/>
      <c r="M310" s="309"/>
      <c r="N310" s="18"/>
    </row>
    <row r="311" spans="2:14">
      <c r="B311" s="213">
        <f t="shared" si="38"/>
        <v>288</v>
      </c>
      <c r="C311" s="213"/>
      <c r="D311" s="214">
        <v>7</v>
      </c>
      <c r="E311" s="206">
        <f t="shared" si="39"/>
        <v>100</v>
      </c>
      <c r="F311" s="215">
        <v>37.21</v>
      </c>
      <c r="G311" s="215">
        <f t="shared" si="36"/>
        <v>36.811999999999998</v>
      </c>
      <c r="H311" s="215" t="str">
        <f t="shared" si="37"/>
        <v>IN</v>
      </c>
      <c r="I311" s="217">
        <f t="shared" si="33"/>
        <v>9596.7360000000026</v>
      </c>
      <c r="J311" s="217">
        <f t="shared" si="34"/>
        <v>2444.3939999999966</v>
      </c>
      <c r="K311" s="381">
        <f t="shared" si="35"/>
        <v>330.05489840794507</v>
      </c>
      <c r="L311" s="308"/>
      <c r="M311" s="309"/>
      <c r="N311" s="18"/>
    </row>
    <row r="312" spans="2:14">
      <c r="B312" s="213">
        <f t="shared" si="38"/>
        <v>289</v>
      </c>
      <c r="C312" s="213"/>
      <c r="D312" s="214">
        <v>7</v>
      </c>
      <c r="E312" s="206">
        <f t="shared" si="39"/>
        <v>99</v>
      </c>
      <c r="F312" s="215">
        <v>37.950000000000003</v>
      </c>
      <c r="G312" s="215">
        <f t="shared" si="36"/>
        <v>37.552</v>
      </c>
      <c r="H312" s="215" t="str">
        <f t="shared" si="37"/>
        <v>IN</v>
      </c>
      <c r="I312" s="217">
        <f t="shared" si="33"/>
        <v>9634.2880000000023</v>
      </c>
      <c r="J312" s="217">
        <f t="shared" si="34"/>
        <v>2406.8419999999969</v>
      </c>
      <c r="K312" s="381">
        <f t="shared" si="35"/>
        <v>330.86119062490457</v>
      </c>
      <c r="L312" s="451"/>
      <c r="M312" s="451"/>
      <c r="N312" s="18"/>
    </row>
    <row r="313" spans="2:14">
      <c r="B313" s="213">
        <f t="shared" si="38"/>
        <v>290</v>
      </c>
      <c r="C313" s="213"/>
      <c r="D313" s="214">
        <v>7</v>
      </c>
      <c r="E313" s="206">
        <f t="shared" si="39"/>
        <v>98</v>
      </c>
      <c r="F313" s="215">
        <v>37.119999999999997</v>
      </c>
      <c r="G313" s="215">
        <f t="shared" si="36"/>
        <v>36.721999999999994</v>
      </c>
      <c r="H313" s="215" t="str">
        <f t="shared" si="37"/>
        <v>IN</v>
      </c>
      <c r="I313" s="217">
        <f t="shared" si="33"/>
        <v>9671.010000000002</v>
      </c>
      <c r="J313" s="217">
        <f t="shared" si="34"/>
        <v>2370.1199999999972</v>
      </c>
      <c r="K313" s="381">
        <f t="shared" si="35"/>
        <v>331.64966161955698</v>
      </c>
      <c r="L313" s="429"/>
      <c r="M313" s="429"/>
      <c r="N313" s="18"/>
    </row>
    <row r="314" spans="2:14">
      <c r="B314" s="213">
        <f t="shared" si="38"/>
        <v>291</v>
      </c>
      <c r="C314" s="213"/>
      <c r="D314" s="214">
        <v>7</v>
      </c>
      <c r="E314" s="206">
        <f t="shared" si="39"/>
        <v>97</v>
      </c>
      <c r="F314" s="215">
        <v>36.869999999999997</v>
      </c>
      <c r="G314" s="215">
        <f t="shared" si="36"/>
        <v>36.471999999999994</v>
      </c>
      <c r="H314" s="215" t="str">
        <f t="shared" si="37"/>
        <v>IN</v>
      </c>
      <c r="I314" s="217">
        <f t="shared" si="33"/>
        <v>9707.4820000000018</v>
      </c>
      <c r="J314" s="217">
        <f t="shared" si="34"/>
        <v>2333.6479999999974</v>
      </c>
      <c r="K314" s="381">
        <f t="shared" si="35"/>
        <v>332.43276477616507</v>
      </c>
      <c r="L314" s="429"/>
      <c r="M314" s="429"/>
      <c r="N314" s="18"/>
    </row>
    <row r="315" spans="2:14">
      <c r="B315" s="213">
        <f t="shared" si="38"/>
        <v>292</v>
      </c>
      <c r="C315" s="213"/>
      <c r="D315" s="214">
        <v>7</v>
      </c>
      <c r="E315" s="206">
        <f t="shared" si="39"/>
        <v>96</v>
      </c>
      <c r="F315" s="215">
        <v>38.520000000000003</v>
      </c>
      <c r="G315" s="215">
        <f t="shared" si="36"/>
        <v>38.122</v>
      </c>
      <c r="H315" s="215" t="str">
        <f t="shared" si="37"/>
        <v>IN</v>
      </c>
      <c r="I315" s="217">
        <f t="shared" si="33"/>
        <v>9745.6040000000012</v>
      </c>
      <c r="J315" s="217">
        <f t="shared" si="34"/>
        <v>2295.525999999998</v>
      </c>
      <c r="K315" s="381">
        <f t="shared" si="35"/>
        <v>333.25129566386556</v>
      </c>
      <c r="L315" s="429"/>
      <c r="M315" s="429"/>
      <c r="N315" s="18"/>
    </row>
    <row r="316" spans="2:14">
      <c r="B316" s="213">
        <f t="shared" si="38"/>
        <v>293</v>
      </c>
      <c r="C316" s="213"/>
      <c r="D316" s="214">
        <v>7</v>
      </c>
      <c r="E316" s="206">
        <f t="shared" si="39"/>
        <v>95</v>
      </c>
      <c r="F316" s="215">
        <v>36.380000000000003</v>
      </c>
      <c r="G316" s="215">
        <f t="shared" si="36"/>
        <v>35.981999999999999</v>
      </c>
      <c r="H316" s="215" t="str">
        <f t="shared" si="37"/>
        <v>IN</v>
      </c>
      <c r="I316" s="217">
        <f t="shared" si="33"/>
        <v>9781.5860000000011</v>
      </c>
      <c r="J316" s="217">
        <f t="shared" si="34"/>
        <v>2259.5439999999981</v>
      </c>
      <c r="K316" s="381">
        <f t="shared" si="35"/>
        <v>334.02387785790683</v>
      </c>
      <c r="L316" s="451"/>
      <c r="M316" s="451"/>
      <c r="N316" s="18"/>
    </row>
    <row r="317" spans="2:14">
      <c r="B317" s="213">
        <f t="shared" si="38"/>
        <v>294</v>
      </c>
      <c r="C317" s="213"/>
      <c r="D317" s="214">
        <v>7</v>
      </c>
      <c r="E317" s="206">
        <f t="shared" si="39"/>
        <v>94</v>
      </c>
      <c r="F317" s="215">
        <v>35.58</v>
      </c>
      <c r="G317" s="215">
        <f t="shared" si="36"/>
        <v>35.181999999999995</v>
      </c>
      <c r="H317" s="215" t="str">
        <f t="shared" si="37"/>
        <v>IN</v>
      </c>
      <c r="I317" s="217">
        <f t="shared" si="33"/>
        <v>9816.7680000000018</v>
      </c>
      <c r="J317" s="217">
        <f t="shared" si="34"/>
        <v>2224.3619999999974</v>
      </c>
      <c r="K317" s="381">
        <f t="shared" si="35"/>
        <v>334.77928297020628</v>
      </c>
      <c r="L317" s="451"/>
      <c r="M317" s="451"/>
      <c r="N317" s="18"/>
    </row>
    <row r="318" spans="2:14">
      <c r="B318" s="213">
        <f t="shared" si="38"/>
        <v>295</v>
      </c>
      <c r="C318" s="213"/>
      <c r="D318" s="214">
        <v>7</v>
      </c>
      <c r="E318" s="206">
        <f t="shared" si="39"/>
        <v>93</v>
      </c>
      <c r="F318" s="215">
        <v>37.75</v>
      </c>
      <c r="G318" s="215">
        <f t="shared" si="36"/>
        <v>37.351999999999997</v>
      </c>
      <c r="H318" s="215" t="str">
        <f t="shared" si="37"/>
        <v>IN</v>
      </c>
      <c r="I318" s="217">
        <f t="shared" si="33"/>
        <v>9854.1200000000026</v>
      </c>
      <c r="J318" s="217">
        <f t="shared" si="34"/>
        <v>2187.0099999999966</v>
      </c>
      <c r="K318" s="381">
        <f t="shared" si="35"/>
        <v>335.58128091673041</v>
      </c>
      <c r="L318" s="429"/>
      <c r="M318" s="429"/>
      <c r="N318" s="18"/>
    </row>
    <row r="319" spans="2:14">
      <c r="B319" s="213">
        <f t="shared" si="38"/>
        <v>296</v>
      </c>
      <c r="C319" s="213"/>
      <c r="D319" s="214">
        <v>7</v>
      </c>
      <c r="E319" s="206">
        <f t="shared" si="39"/>
        <v>92</v>
      </c>
      <c r="F319" s="215">
        <v>37.78</v>
      </c>
      <c r="G319" s="215">
        <f t="shared" si="36"/>
        <v>37.381999999999998</v>
      </c>
      <c r="H319" s="215" t="str">
        <f t="shared" si="37"/>
        <v>IN</v>
      </c>
      <c r="I319" s="217">
        <f t="shared" si="33"/>
        <v>9891.5020000000022</v>
      </c>
      <c r="J319" s="217">
        <f t="shared" si="34"/>
        <v>2149.627999999997</v>
      </c>
      <c r="K319" s="381">
        <f t="shared" si="35"/>
        <v>336.38392300381975</v>
      </c>
      <c r="L319" s="429"/>
      <c r="M319" s="429"/>
      <c r="N319" s="18"/>
    </row>
    <row r="320" spans="2:14">
      <c r="B320" s="213">
        <f t="shared" si="38"/>
        <v>297</v>
      </c>
      <c r="C320" s="213"/>
      <c r="D320" s="214">
        <v>7</v>
      </c>
      <c r="E320" s="206">
        <f t="shared" si="39"/>
        <v>91</v>
      </c>
      <c r="F320" s="215">
        <v>36.9</v>
      </c>
      <c r="G320" s="215">
        <f t="shared" si="36"/>
        <v>36.501999999999995</v>
      </c>
      <c r="H320" s="215" t="str">
        <f t="shared" si="37"/>
        <v>IN</v>
      </c>
      <c r="I320" s="217">
        <f t="shared" si="33"/>
        <v>9928.0040000000026</v>
      </c>
      <c r="J320" s="217">
        <f t="shared" si="34"/>
        <v>2113.1259999999966</v>
      </c>
      <c r="K320" s="381">
        <f t="shared" si="35"/>
        <v>337.16767030099322</v>
      </c>
      <c r="L320" s="429"/>
      <c r="M320" s="429"/>
      <c r="N320" s="18"/>
    </row>
    <row r="321" spans="2:14">
      <c r="B321" s="213">
        <f t="shared" si="38"/>
        <v>298</v>
      </c>
      <c r="C321" s="213"/>
      <c r="D321" s="214">
        <v>7</v>
      </c>
      <c r="E321" s="206">
        <f t="shared" si="39"/>
        <v>90</v>
      </c>
      <c r="F321" s="215">
        <v>37.15</v>
      </c>
      <c r="G321" s="215">
        <f t="shared" si="36"/>
        <v>36.751999999999995</v>
      </c>
      <c r="H321" s="215" t="str">
        <f t="shared" si="37"/>
        <v>IN</v>
      </c>
      <c r="I321" s="217">
        <f t="shared" si="33"/>
        <v>9964.756000000003</v>
      </c>
      <c r="J321" s="217">
        <f t="shared" si="34"/>
        <v>2076.3739999999962</v>
      </c>
      <c r="K321" s="381">
        <f t="shared" si="35"/>
        <v>337.95678543621091</v>
      </c>
      <c r="L321" s="429"/>
      <c r="M321" s="429"/>
      <c r="N321" s="18"/>
    </row>
    <row r="322" spans="2:14">
      <c r="B322" s="213">
        <f t="shared" si="38"/>
        <v>299</v>
      </c>
      <c r="C322" s="213"/>
      <c r="D322" s="214">
        <v>7</v>
      </c>
      <c r="E322" s="206">
        <f t="shared" si="39"/>
        <v>89</v>
      </c>
      <c r="F322" s="215">
        <v>36.51</v>
      </c>
      <c r="G322" s="215">
        <f t="shared" si="36"/>
        <v>36.111999999999995</v>
      </c>
      <c r="H322" s="215" t="str">
        <f t="shared" si="37"/>
        <v>IN</v>
      </c>
      <c r="I322" s="217">
        <f t="shared" si="33"/>
        <v>10000.868000000002</v>
      </c>
      <c r="J322" s="217">
        <f t="shared" si="34"/>
        <v>2040.261999999997</v>
      </c>
      <c r="K322" s="381">
        <f t="shared" si="35"/>
        <v>338.73215890603518</v>
      </c>
      <c r="L322" s="429"/>
      <c r="M322" s="429"/>
      <c r="N322" s="18"/>
    </row>
    <row r="323" spans="2:14">
      <c r="B323" s="213">
        <f t="shared" si="38"/>
        <v>300</v>
      </c>
      <c r="C323" s="216"/>
      <c r="D323" s="214">
        <v>7</v>
      </c>
      <c r="E323" s="206">
        <f t="shared" si="39"/>
        <v>88</v>
      </c>
      <c r="F323" s="215">
        <v>38.03</v>
      </c>
      <c r="G323" s="215">
        <f t="shared" si="36"/>
        <v>37.631999999999998</v>
      </c>
      <c r="H323" s="215" t="str">
        <f t="shared" si="37"/>
        <v>IN</v>
      </c>
      <c r="I323" s="217">
        <f t="shared" si="33"/>
        <v>10038.500000000002</v>
      </c>
      <c r="J323" s="217">
        <f t="shared" si="34"/>
        <v>2002.6299999999974</v>
      </c>
      <c r="K323" s="381">
        <f t="shared" si="35"/>
        <v>339.5401688311689</v>
      </c>
      <c r="L323" s="429"/>
      <c r="M323" s="429"/>
      <c r="N323" s="18"/>
    </row>
    <row r="324" spans="2:14">
      <c r="B324" s="213">
        <f t="shared" si="38"/>
        <v>301</v>
      </c>
      <c r="C324" s="213"/>
      <c r="D324" s="214">
        <v>7</v>
      </c>
      <c r="E324" s="206">
        <f t="shared" si="39"/>
        <v>87</v>
      </c>
      <c r="F324" s="215">
        <v>36.22</v>
      </c>
      <c r="G324" s="215">
        <f t="shared" si="36"/>
        <v>35.821999999999996</v>
      </c>
      <c r="H324" s="215" t="str">
        <f t="shared" si="37"/>
        <v>IN</v>
      </c>
      <c r="I324" s="217">
        <f t="shared" si="33"/>
        <v>10074.322000000002</v>
      </c>
      <c r="J324" s="217">
        <f t="shared" si="34"/>
        <v>1966.8079999999973</v>
      </c>
      <c r="K324" s="381">
        <f t="shared" si="35"/>
        <v>340.30931560886177</v>
      </c>
      <c r="L324" s="429"/>
      <c r="M324" s="429"/>
      <c r="N324" s="18"/>
    </row>
    <row r="325" spans="2:14">
      <c r="B325" s="213">
        <f t="shared" si="38"/>
        <v>302</v>
      </c>
      <c r="C325" s="213"/>
      <c r="D325" s="214">
        <v>7</v>
      </c>
      <c r="E325" s="206">
        <f t="shared" si="39"/>
        <v>86</v>
      </c>
      <c r="F325" s="215">
        <v>35.72</v>
      </c>
      <c r="G325" s="215">
        <f t="shared" si="36"/>
        <v>35.321999999999996</v>
      </c>
      <c r="H325" s="215" t="str">
        <f t="shared" si="37"/>
        <v>IN</v>
      </c>
      <c r="I325" s="217">
        <f t="shared" si="33"/>
        <v>10109.644000000002</v>
      </c>
      <c r="J325" s="217">
        <f t="shared" si="34"/>
        <v>1931.4859999999971</v>
      </c>
      <c r="K325" s="381">
        <f t="shared" si="35"/>
        <v>341.06772671046605</v>
      </c>
      <c r="L325" s="429"/>
      <c r="M325" s="429"/>
      <c r="N325" s="18"/>
    </row>
    <row r="326" spans="2:14">
      <c r="B326" s="213">
        <f t="shared" si="38"/>
        <v>303</v>
      </c>
      <c r="C326" s="213"/>
      <c r="D326" s="214">
        <v>7</v>
      </c>
      <c r="E326" s="206">
        <f t="shared" si="39"/>
        <v>85</v>
      </c>
      <c r="F326" s="215">
        <v>36.43</v>
      </c>
      <c r="G326" s="215">
        <f t="shared" si="36"/>
        <v>36.031999999999996</v>
      </c>
      <c r="H326" s="215" t="str">
        <f t="shared" si="37"/>
        <v>IN</v>
      </c>
      <c r="I326" s="217">
        <f t="shared" si="33"/>
        <v>10145.676000000001</v>
      </c>
      <c r="J326" s="217">
        <f t="shared" si="34"/>
        <v>1895.4539999999979</v>
      </c>
      <c r="K326" s="381">
        <f t="shared" si="35"/>
        <v>341.84138247211615</v>
      </c>
      <c r="L326" s="429"/>
      <c r="M326" s="429"/>
      <c r="N326" s="18"/>
    </row>
    <row r="327" spans="2:14">
      <c r="B327" s="213">
        <f t="shared" si="38"/>
        <v>304</v>
      </c>
      <c r="C327" s="213"/>
      <c r="D327" s="214">
        <v>7</v>
      </c>
      <c r="E327" s="206">
        <f t="shared" si="39"/>
        <v>84</v>
      </c>
      <c r="F327" s="215">
        <v>35.96</v>
      </c>
      <c r="G327" s="215">
        <f t="shared" si="36"/>
        <v>35.561999999999998</v>
      </c>
      <c r="H327" s="215" t="str">
        <f t="shared" si="37"/>
        <v>IN</v>
      </c>
      <c r="I327" s="217">
        <f t="shared" si="33"/>
        <v>10181.238000000001</v>
      </c>
      <c r="J327" s="217">
        <f t="shared" si="34"/>
        <v>1859.891999999998</v>
      </c>
      <c r="K327" s="381">
        <f t="shared" si="35"/>
        <v>342.604946698243</v>
      </c>
      <c r="L327" s="429"/>
      <c r="M327" s="429"/>
      <c r="N327" s="18"/>
    </row>
    <row r="328" spans="2:14">
      <c r="B328" s="213">
        <f t="shared" si="38"/>
        <v>305</v>
      </c>
      <c r="C328" s="213"/>
      <c r="D328" s="214">
        <v>7</v>
      </c>
      <c r="E328" s="206">
        <f t="shared" si="39"/>
        <v>83</v>
      </c>
      <c r="F328" s="215">
        <v>37.700000000000003</v>
      </c>
      <c r="G328" s="215">
        <f t="shared" si="36"/>
        <v>37.302</v>
      </c>
      <c r="H328" s="215" t="str">
        <f t="shared" si="37"/>
        <v>IN</v>
      </c>
      <c r="I328" s="217">
        <f t="shared" si="33"/>
        <v>10218.540000000001</v>
      </c>
      <c r="J328" s="217">
        <f t="shared" si="34"/>
        <v>1822.5899999999983</v>
      </c>
      <c r="K328" s="381">
        <f t="shared" si="35"/>
        <v>343.40587107715817</v>
      </c>
      <c r="L328" s="429"/>
      <c r="M328" s="429"/>
      <c r="N328" s="18"/>
    </row>
    <row r="329" spans="2:14">
      <c r="B329" s="213">
        <f t="shared" si="38"/>
        <v>306</v>
      </c>
      <c r="C329" s="213"/>
      <c r="D329" s="214">
        <v>7</v>
      </c>
      <c r="E329" s="206">
        <f t="shared" si="39"/>
        <v>82</v>
      </c>
      <c r="F329" s="215">
        <v>39.82</v>
      </c>
      <c r="G329" s="215">
        <f t="shared" si="36"/>
        <v>39.421999999999997</v>
      </c>
      <c r="H329" s="215" t="str">
        <f t="shared" si="37"/>
        <v>IN</v>
      </c>
      <c r="I329" s="217">
        <f t="shared" si="33"/>
        <v>10257.962000000001</v>
      </c>
      <c r="J329" s="217">
        <f t="shared" si="34"/>
        <v>1783.1679999999978</v>
      </c>
      <c r="K329" s="381">
        <f t="shared" si="35"/>
        <v>344.25231472268911</v>
      </c>
      <c r="L329" s="311"/>
      <c r="M329" s="312"/>
      <c r="N329" s="18"/>
    </row>
    <row r="330" spans="2:14">
      <c r="B330" s="213">
        <f t="shared" si="38"/>
        <v>307</v>
      </c>
      <c r="C330" s="213"/>
      <c r="D330" s="214">
        <v>7</v>
      </c>
      <c r="E330" s="206">
        <f t="shared" si="39"/>
        <v>81</v>
      </c>
      <c r="F330" s="215">
        <v>34.299999999999997</v>
      </c>
      <c r="G330" s="215">
        <f t="shared" si="36"/>
        <v>33.901999999999994</v>
      </c>
      <c r="H330" s="215" t="str">
        <f t="shared" si="37"/>
        <v>IN</v>
      </c>
      <c r="I330" s="217">
        <f t="shared" si="33"/>
        <v>10291.864000000001</v>
      </c>
      <c r="J330" s="217">
        <f t="shared" si="34"/>
        <v>1749.2659999999978</v>
      </c>
      <c r="K330" s="381">
        <f t="shared" si="35"/>
        <v>344.98023650420168</v>
      </c>
      <c r="L330" s="311"/>
      <c r="M330" s="312"/>
      <c r="N330" s="18"/>
    </row>
    <row r="331" spans="2:14">
      <c r="B331" s="213">
        <f t="shared" si="38"/>
        <v>308</v>
      </c>
      <c r="C331" s="213"/>
      <c r="D331" s="214">
        <v>7</v>
      </c>
      <c r="E331" s="206">
        <f t="shared" si="39"/>
        <v>80</v>
      </c>
      <c r="F331" s="215">
        <v>32.76</v>
      </c>
      <c r="G331" s="215">
        <f t="shared" si="36"/>
        <v>32.361999999999995</v>
      </c>
      <c r="H331" s="215" t="str">
        <f t="shared" si="37"/>
        <v>IN</v>
      </c>
      <c r="I331" s="217">
        <f t="shared" si="33"/>
        <v>10324.226000000001</v>
      </c>
      <c r="J331" s="217">
        <f t="shared" si="34"/>
        <v>1716.9039999999986</v>
      </c>
      <c r="K331" s="381">
        <f t="shared" si="35"/>
        <v>345.6750924033613</v>
      </c>
      <c r="L331" s="311"/>
      <c r="M331" s="312"/>
      <c r="N331" s="18"/>
    </row>
    <row r="332" spans="2:14">
      <c r="B332" s="213">
        <f t="shared" si="38"/>
        <v>309</v>
      </c>
      <c r="C332" s="213"/>
      <c r="D332" s="214">
        <v>7</v>
      </c>
      <c r="E332" s="206">
        <f t="shared" si="39"/>
        <v>79</v>
      </c>
      <c r="F332" s="215">
        <v>34.26</v>
      </c>
      <c r="G332" s="215">
        <f t="shared" si="36"/>
        <v>33.861999999999995</v>
      </c>
      <c r="H332" s="215" t="str">
        <f t="shared" si="37"/>
        <v>IN</v>
      </c>
      <c r="I332" s="217">
        <f t="shared" si="33"/>
        <v>10358.088</v>
      </c>
      <c r="J332" s="217">
        <f t="shared" si="34"/>
        <v>1683.0419999999995</v>
      </c>
      <c r="K332" s="381">
        <f t="shared" si="35"/>
        <v>346.40215533078685</v>
      </c>
      <c r="L332" s="311"/>
      <c r="M332" s="312"/>
      <c r="N332" s="18"/>
    </row>
    <row r="333" spans="2:14">
      <c r="B333" s="213">
        <f t="shared" si="38"/>
        <v>310</v>
      </c>
      <c r="C333" s="213"/>
      <c r="D333" s="214">
        <v>7</v>
      </c>
      <c r="E333" s="206">
        <f t="shared" si="39"/>
        <v>78</v>
      </c>
      <c r="F333" s="215">
        <v>33.39</v>
      </c>
      <c r="G333" s="215">
        <f t="shared" si="36"/>
        <v>32.991999999999997</v>
      </c>
      <c r="H333" s="215" t="str">
        <f t="shared" si="37"/>
        <v>IN</v>
      </c>
      <c r="I333" s="217">
        <f t="shared" si="33"/>
        <v>10391.08</v>
      </c>
      <c r="J333" s="217">
        <f t="shared" si="34"/>
        <v>1650.0499999999993</v>
      </c>
      <c r="K333" s="381">
        <f t="shared" si="35"/>
        <v>347.11053818181824</v>
      </c>
      <c r="L333" s="311"/>
      <c r="M333" s="312"/>
      <c r="N333" s="18"/>
    </row>
    <row r="334" spans="2:14">
      <c r="B334" s="213">
        <f t="shared" si="38"/>
        <v>311</v>
      </c>
      <c r="C334" s="213"/>
      <c r="D334" s="214">
        <v>7</v>
      </c>
      <c r="E334" s="206">
        <f t="shared" si="39"/>
        <v>77</v>
      </c>
      <c r="F334" s="215">
        <v>34.94</v>
      </c>
      <c r="G334" s="215">
        <f t="shared" si="36"/>
        <v>34.541999999999994</v>
      </c>
      <c r="H334" s="215" t="str">
        <f t="shared" si="37"/>
        <v>IN</v>
      </c>
      <c r="I334" s="217">
        <f t="shared" si="33"/>
        <v>10425.621999999999</v>
      </c>
      <c r="J334" s="217">
        <f t="shared" si="34"/>
        <v>1615.5079999999998</v>
      </c>
      <c r="K334" s="381">
        <f t="shared" si="35"/>
        <v>347.85220162872417</v>
      </c>
      <c r="L334" s="311"/>
      <c r="M334" s="312"/>
      <c r="N334" s="18"/>
    </row>
    <row r="335" spans="2:14">
      <c r="B335" s="213">
        <f t="shared" si="38"/>
        <v>312</v>
      </c>
      <c r="C335" s="213"/>
      <c r="D335" s="214">
        <v>7</v>
      </c>
      <c r="E335" s="206">
        <f t="shared" si="39"/>
        <v>76</v>
      </c>
      <c r="F335" s="215">
        <v>35.590000000000003</v>
      </c>
      <c r="G335" s="215">
        <f t="shared" si="36"/>
        <v>35.192</v>
      </c>
      <c r="H335" s="215" t="str">
        <f t="shared" si="37"/>
        <v>IN</v>
      </c>
      <c r="I335" s="217">
        <f t="shared" si="33"/>
        <v>10460.813999999998</v>
      </c>
      <c r="J335" s="217">
        <f t="shared" si="34"/>
        <v>1580.3160000000007</v>
      </c>
      <c r="K335" s="381">
        <f t="shared" si="35"/>
        <v>348.60782145454544</v>
      </c>
      <c r="L335" s="311"/>
      <c r="M335" s="312"/>
      <c r="N335" s="18"/>
    </row>
    <row r="336" spans="2:14">
      <c r="B336" s="213">
        <f t="shared" si="38"/>
        <v>313</v>
      </c>
      <c r="C336" s="213"/>
      <c r="D336" s="214">
        <v>7</v>
      </c>
      <c r="E336" s="206">
        <f t="shared" si="39"/>
        <v>75</v>
      </c>
      <c r="F336" s="215">
        <v>32.24</v>
      </c>
      <c r="G336" s="215">
        <f t="shared" si="36"/>
        <v>31.842000000000002</v>
      </c>
      <c r="H336" s="215" t="str">
        <f t="shared" si="37"/>
        <v>IN</v>
      </c>
      <c r="I336" s="217">
        <f t="shared" si="33"/>
        <v>10492.655999999999</v>
      </c>
      <c r="J336" s="217">
        <f t="shared" si="34"/>
        <v>1548.4740000000002</v>
      </c>
      <c r="K336" s="381">
        <f t="shared" si="35"/>
        <v>349.29151225057296</v>
      </c>
      <c r="L336" s="311"/>
      <c r="M336" s="312"/>
      <c r="N336" s="18"/>
    </row>
    <row r="337" spans="1:21">
      <c r="B337" s="213">
        <f t="shared" si="38"/>
        <v>314</v>
      </c>
      <c r="C337" s="213"/>
      <c r="D337" s="214">
        <v>7</v>
      </c>
      <c r="E337" s="206">
        <f t="shared" si="39"/>
        <v>74</v>
      </c>
      <c r="F337" s="215">
        <v>35.450000000000003</v>
      </c>
      <c r="G337" s="215">
        <f t="shared" si="36"/>
        <v>35.052</v>
      </c>
      <c r="H337" s="215" t="str">
        <f t="shared" si="37"/>
        <v>IN</v>
      </c>
      <c r="I337" s="217">
        <f t="shared" si="33"/>
        <v>10527.707999999999</v>
      </c>
      <c r="J337" s="217">
        <f t="shared" si="34"/>
        <v>1513.4220000000005</v>
      </c>
      <c r="K337" s="381">
        <f t="shared" si="35"/>
        <v>350.04412608708935</v>
      </c>
      <c r="L337" s="311"/>
      <c r="M337" s="312"/>
      <c r="N337" s="18"/>
    </row>
    <row r="338" spans="1:21">
      <c r="B338" s="213">
        <f t="shared" si="38"/>
        <v>315</v>
      </c>
      <c r="C338" s="213"/>
      <c r="D338" s="214">
        <v>7</v>
      </c>
      <c r="E338" s="206">
        <f t="shared" si="39"/>
        <v>73</v>
      </c>
      <c r="F338" s="215">
        <v>37.15</v>
      </c>
      <c r="G338" s="215">
        <f t="shared" si="36"/>
        <v>36.751999999999995</v>
      </c>
      <c r="H338" s="215" t="str">
        <f t="shared" si="37"/>
        <v>IN</v>
      </c>
      <c r="I338" s="217">
        <f t="shared" ref="I338:I401" si="40">IF(H338="IN",I337+G338,I337)</f>
        <v>10564.46</v>
      </c>
      <c r="J338" s="217">
        <f t="shared" ref="J338:J401" si="41">IF(I338="","",$L$9-I338)</f>
        <v>1476.67</v>
      </c>
      <c r="K338" s="381">
        <f t="shared" ref="K338:K401" si="42">$H$9+(I338*$E$10*$H$11/1000)</f>
        <v>350.83324122230709</v>
      </c>
      <c r="L338" s="311"/>
      <c r="M338" s="312"/>
      <c r="N338" s="18"/>
    </row>
    <row r="339" spans="1:21">
      <c r="B339" s="213">
        <f t="shared" si="38"/>
        <v>316</v>
      </c>
      <c r="C339" s="213"/>
      <c r="D339" s="214">
        <v>7</v>
      </c>
      <c r="E339" s="206">
        <f t="shared" si="39"/>
        <v>72</v>
      </c>
      <c r="F339" s="215">
        <v>33.24</v>
      </c>
      <c r="G339" s="215">
        <f t="shared" si="36"/>
        <v>32.841999999999999</v>
      </c>
      <c r="H339" s="215" t="str">
        <f t="shared" si="37"/>
        <v>IN</v>
      </c>
      <c r="I339" s="217">
        <f t="shared" si="40"/>
        <v>10597.302</v>
      </c>
      <c r="J339" s="217">
        <f t="shared" si="41"/>
        <v>1443.8279999999995</v>
      </c>
      <c r="K339" s="381">
        <f t="shared" si="42"/>
        <v>351.5384033705119</v>
      </c>
      <c r="L339" s="311"/>
      <c r="M339" s="312"/>
      <c r="N339" s="18"/>
    </row>
    <row r="340" spans="1:21">
      <c r="B340" s="213">
        <f t="shared" si="38"/>
        <v>317</v>
      </c>
      <c r="C340" s="213"/>
      <c r="D340" s="214">
        <v>7</v>
      </c>
      <c r="E340" s="206">
        <f t="shared" si="39"/>
        <v>71</v>
      </c>
      <c r="F340" s="215">
        <v>34.68</v>
      </c>
      <c r="G340" s="215">
        <f t="shared" si="36"/>
        <v>34.281999999999996</v>
      </c>
      <c r="H340" s="215" t="str">
        <f t="shared" si="37"/>
        <v>IN</v>
      </c>
      <c r="I340" s="217">
        <f t="shared" si="40"/>
        <v>10631.583999999999</v>
      </c>
      <c r="J340" s="217">
        <f t="shared" si="41"/>
        <v>1409.5460000000003</v>
      </c>
      <c r="K340" s="381">
        <f t="shared" si="42"/>
        <v>352.27448426585175</v>
      </c>
      <c r="L340" s="311"/>
      <c r="M340" s="312"/>
      <c r="N340" s="18"/>
    </row>
    <row r="341" spans="1:21">
      <c r="B341" s="213">
        <f t="shared" si="38"/>
        <v>318</v>
      </c>
      <c r="C341" s="213"/>
      <c r="D341" s="214">
        <v>7</v>
      </c>
      <c r="E341" s="206">
        <f t="shared" si="39"/>
        <v>70</v>
      </c>
      <c r="F341" s="215">
        <v>35.520000000000003</v>
      </c>
      <c r="G341" s="215">
        <f t="shared" si="36"/>
        <v>35.122</v>
      </c>
      <c r="H341" s="215" t="str">
        <f t="shared" si="37"/>
        <v>IN</v>
      </c>
      <c r="I341" s="217">
        <f t="shared" si="40"/>
        <v>10666.705999999998</v>
      </c>
      <c r="J341" s="217">
        <f t="shared" si="41"/>
        <v>1374.4240000000009</v>
      </c>
      <c r="K341" s="381">
        <f t="shared" si="42"/>
        <v>353.02860109702061</v>
      </c>
      <c r="L341" s="506"/>
      <c r="M341" s="506"/>
      <c r="N341" s="18"/>
    </row>
    <row r="342" spans="1:21">
      <c r="B342" s="213">
        <f t="shared" si="38"/>
        <v>319</v>
      </c>
      <c r="C342" s="216"/>
      <c r="D342" s="331">
        <v>7</v>
      </c>
      <c r="E342" s="206">
        <f t="shared" si="39"/>
        <v>69</v>
      </c>
      <c r="F342" s="215">
        <v>34.35</v>
      </c>
      <c r="G342" s="215">
        <f t="shared" si="36"/>
        <v>33.951999999999998</v>
      </c>
      <c r="H342" s="215" t="str">
        <f t="shared" si="37"/>
        <v>IN</v>
      </c>
      <c r="I342" s="217">
        <f t="shared" si="40"/>
        <v>10700.657999999998</v>
      </c>
      <c r="J342" s="217">
        <f t="shared" si="41"/>
        <v>1340.4720000000016</v>
      </c>
      <c r="K342" s="381">
        <f t="shared" si="42"/>
        <v>353.75759644614209</v>
      </c>
      <c r="L342" s="428"/>
      <c r="M342" s="428"/>
      <c r="N342" s="18"/>
    </row>
    <row r="343" spans="1:21">
      <c r="B343" s="213">
        <f t="shared" si="38"/>
        <v>320</v>
      </c>
      <c r="C343" s="216"/>
      <c r="D343" s="331">
        <v>7</v>
      </c>
      <c r="E343" s="206">
        <f t="shared" si="39"/>
        <v>68</v>
      </c>
      <c r="F343" s="215">
        <v>35.15</v>
      </c>
      <c r="G343" s="215">
        <f t="shared" si="36"/>
        <v>34.751999999999995</v>
      </c>
      <c r="H343" s="215" t="str">
        <f t="shared" si="37"/>
        <v>IN</v>
      </c>
      <c r="I343" s="217">
        <f t="shared" si="40"/>
        <v>10735.409999999998</v>
      </c>
      <c r="J343" s="217">
        <f t="shared" si="41"/>
        <v>1305.7200000000012</v>
      </c>
      <c r="K343" s="381">
        <f t="shared" si="42"/>
        <v>354.50376887700531</v>
      </c>
      <c r="L343" s="428"/>
      <c r="M343" s="428"/>
      <c r="N343" s="18"/>
    </row>
    <row r="344" spans="1:21">
      <c r="B344" s="213">
        <f t="shared" si="38"/>
        <v>321</v>
      </c>
      <c r="C344" s="216"/>
      <c r="D344" s="331">
        <v>7</v>
      </c>
      <c r="E344" s="206">
        <f t="shared" si="39"/>
        <v>67</v>
      </c>
      <c r="F344" s="215">
        <v>36.79</v>
      </c>
      <c r="G344" s="215">
        <f t="shared" si="36"/>
        <v>36.391999999999996</v>
      </c>
      <c r="H344" s="215" t="str">
        <f t="shared" ref="H344:H345" si="43">IF(F344="","OUT","IN")</f>
        <v>IN</v>
      </c>
      <c r="I344" s="217">
        <f t="shared" si="40"/>
        <v>10771.801999999998</v>
      </c>
      <c r="J344" s="217">
        <f t="shared" si="41"/>
        <v>1269.3280000000013</v>
      </c>
      <c r="K344" s="381">
        <f t="shared" si="42"/>
        <v>355.28515432543924</v>
      </c>
      <c r="L344" s="308"/>
      <c r="M344" s="309"/>
      <c r="N344" s="18"/>
    </row>
    <row r="345" spans="1:21" ht="13.5" thickBot="1">
      <c r="B345" s="213">
        <f t="shared" si="38"/>
        <v>322</v>
      </c>
      <c r="C345" s="216"/>
      <c r="D345" s="331">
        <v>7</v>
      </c>
      <c r="E345" s="206">
        <f t="shared" si="39"/>
        <v>66</v>
      </c>
      <c r="F345" s="215">
        <v>34.17</v>
      </c>
      <c r="G345" s="215">
        <f t="shared" ref="G345:G346" si="44">F345-($E$12)</f>
        <v>33.771999999999998</v>
      </c>
      <c r="H345" s="215" t="str">
        <f t="shared" si="43"/>
        <v>IN</v>
      </c>
      <c r="I345" s="217">
        <f t="shared" si="40"/>
        <v>10805.573999999999</v>
      </c>
      <c r="J345" s="217">
        <f t="shared" si="41"/>
        <v>1235.5560000000005</v>
      </c>
      <c r="K345" s="381">
        <f t="shared" si="42"/>
        <v>356.0102848311688</v>
      </c>
      <c r="L345" s="308"/>
      <c r="M345" s="309"/>
      <c r="N345" s="18"/>
    </row>
    <row r="346" spans="1:21">
      <c r="A346" s="330"/>
      <c r="B346" s="448" t="s">
        <v>110</v>
      </c>
      <c r="C346" s="507">
        <v>11722362</v>
      </c>
      <c r="D346" s="508" t="s">
        <v>69</v>
      </c>
      <c r="E346" s="508"/>
      <c r="F346" s="209">
        <v>6.21</v>
      </c>
      <c r="G346" s="209">
        <f t="shared" si="44"/>
        <v>5.8120000000000003</v>
      </c>
      <c r="H346" s="334" t="str">
        <f t="shared" si="37"/>
        <v>IN</v>
      </c>
      <c r="I346" s="334">
        <f t="shared" si="40"/>
        <v>10811.385999999999</v>
      </c>
      <c r="J346" s="334">
        <f t="shared" si="41"/>
        <v>1229.7440000000006</v>
      </c>
      <c r="K346" s="372">
        <f t="shared" si="42"/>
        <v>356.13507633002291</v>
      </c>
      <c r="L346" s="509" t="s">
        <v>111</v>
      </c>
      <c r="M346" s="510"/>
      <c r="N346" s="18"/>
    </row>
    <row r="347" spans="1:21" s="326" customFormat="1" ht="12.95" customHeight="1">
      <c r="A347" s="330"/>
      <c r="B347" s="448"/>
      <c r="C347" s="507"/>
      <c r="D347" s="508" t="s">
        <v>70</v>
      </c>
      <c r="E347" s="508"/>
      <c r="F347" s="209">
        <v>5.62</v>
      </c>
      <c r="G347" s="209">
        <f>F347</f>
        <v>5.62</v>
      </c>
      <c r="H347" s="334" t="str">
        <f t="shared" ref="H347:H371" si="45">IF(F347="","OUT","IN")</f>
        <v>IN</v>
      </c>
      <c r="I347" s="334">
        <f t="shared" si="40"/>
        <v>10817.005999999999</v>
      </c>
      <c r="J347" s="334">
        <f t="shared" si="41"/>
        <v>1224.1239999999998</v>
      </c>
      <c r="K347" s="372">
        <f t="shared" si="42"/>
        <v>356.25574532925896</v>
      </c>
      <c r="L347" s="511" t="s">
        <v>204</v>
      </c>
      <c r="M347" s="512"/>
      <c r="N347" s="325"/>
      <c r="U347" s="325"/>
    </row>
    <row r="348" spans="1:21" s="326" customFormat="1" ht="12.95" customHeight="1">
      <c r="A348" s="330"/>
      <c r="B348" s="448"/>
      <c r="C348" s="507"/>
      <c r="D348" s="513" t="s">
        <v>28</v>
      </c>
      <c r="E348" s="513"/>
      <c r="F348" s="210">
        <v>8.4700000000000006</v>
      </c>
      <c r="G348" s="210">
        <f>F348</f>
        <v>8.4700000000000006</v>
      </c>
      <c r="H348" s="335" t="str">
        <f t="shared" si="45"/>
        <v>IN</v>
      </c>
      <c r="I348" s="335">
        <f t="shared" si="40"/>
        <v>10825.475999999999</v>
      </c>
      <c r="J348" s="335">
        <f t="shared" si="41"/>
        <v>1215.6540000000005</v>
      </c>
      <c r="K348" s="371">
        <f t="shared" si="42"/>
        <v>356.43760768220011</v>
      </c>
      <c r="L348" s="514" t="s">
        <v>218</v>
      </c>
      <c r="M348" s="515"/>
      <c r="N348" s="325"/>
      <c r="U348" s="325"/>
    </row>
    <row r="349" spans="1:21" s="326" customFormat="1" ht="12.95" customHeight="1">
      <c r="A349" s="330"/>
      <c r="B349" s="448"/>
      <c r="C349" s="507"/>
      <c r="D349" s="508" t="s">
        <v>70</v>
      </c>
      <c r="E349" s="508"/>
      <c r="F349" s="209">
        <v>11.61</v>
      </c>
      <c r="G349" s="209">
        <f>F349</f>
        <v>11.61</v>
      </c>
      <c r="H349" s="334" t="str">
        <f t="shared" si="45"/>
        <v>IN</v>
      </c>
      <c r="I349" s="334">
        <f t="shared" si="40"/>
        <v>10837.085999999999</v>
      </c>
      <c r="J349" s="334">
        <f t="shared" si="41"/>
        <v>1204.0439999999999</v>
      </c>
      <c r="K349" s="372">
        <f t="shared" si="42"/>
        <v>356.68689008097783</v>
      </c>
      <c r="L349" s="516" t="s">
        <v>217</v>
      </c>
      <c r="M349" s="517"/>
      <c r="N349" s="325"/>
    </row>
    <row r="350" spans="1:21" s="326" customFormat="1" ht="13.5" thickBot="1">
      <c r="A350" s="330"/>
      <c r="B350" s="448"/>
      <c r="C350" s="507"/>
      <c r="D350" s="508" t="s">
        <v>69</v>
      </c>
      <c r="E350" s="508"/>
      <c r="F350" s="209">
        <v>5.81</v>
      </c>
      <c r="G350" s="209">
        <f>F350</f>
        <v>5.81</v>
      </c>
      <c r="H350" s="334" t="str">
        <f t="shared" si="45"/>
        <v>IN</v>
      </c>
      <c r="I350" s="334">
        <f t="shared" si="40"/>
        <v>10842.895999999999</v>
      </c>
      <c r="J350" s="334">
        <f t="shared" si="41"/>
        <v>1198.2340000000004</v>
      </c>
      <c r="K350" s="372">
        <f t="shared" si="42"/>
        <v>356.81163863712754</v>
      </c>
      <c r="L350" s="518" t="s">
        <v>147</v>
      </c>
      <c r="M350" s="519"/>
      <c r="N350" s="325"/>
    </row>
    <row r="351" spans="1:21" s="326" customFormat="1">
      <c r="A351" s="330"/>
      <c r="B351" s="216">
        <f>B345+1</f>
        <v>323</v>
      </c>
      <c r="C351" s="216"/>
      <c r="D351" s="331">
        <v>7</v>
      </c>
      <c r="E351" s="332">
        <f>E345-1</f>
        <v>65</v>
      </c>
      <c r="F351" s="215">
        <v>36.65</v>
      </c>
      <c r="G351" s="217">
        <f t="shared" ref="G351:G416" si="46">F351-($E$12)</f>
        <v>36.251999999999995</v>
      </c>
      <c r="H351" s="215" t="str">
        <f t="shared" si="45"/>
        <v>IN</v>
      </c>
      <c r="I351" s="217">
        <f t="shared" si="40"/>
        <v>10879.147999999999</v>
      </c>
      <c r="J351" s="217">
        <f t="shared" si="41"/>
        <v>1161.982</v>
      </c>
      <c r="K351" s="381">
        <f t="shared" si="42"/>
        <v>357.5900180962567</v>
      </c>
      <c r="L351" s="428"/>
      <c r="M351" s="428"/>
      <c r="N351" s="325"/>
    </row>
    <row r="352" spans="1:21" s="326" customFormat="1">
      <c r="A352" s="330"/>
      <c r="B352" s="216">
        <f t="shared" ref="B352:B414" si="47">B351+1</f>
        <v>324</v>
      </c>
      <c r="C352" s="216"/>
      <c r="D352" s="331">
        <v>7</v>
      </c>
      <c r="E352" s="332">
        <f t="shared" ref="E352:E415" si="48">E351-1</f>
        <v>64</v>
      </c>
      <c r="F352" s="215">
        <v>35.47</v>
      </c>
      <c r="G352" s="217">
        <f t="shared" si="46"/>
        <v>35.071999999999996</v>
      </c>
      <c r="H352" s="215" t="str">
        <f t="shared" si="45"/>
        <v>IN</v>
      </c>
      <c r="I352" s="217">
        <f t="shared" si="40"/>
        <v>10914.22</v>
      </c>
      <c r="J352" s="217">
        <f t="shared" si="41"/>
        <v>1126.9099999999999</v>
      </c>
      <c r="K352" s="381">
        <f t="shared" si="42"/>
        <v>358.3430613598166</v>
      </c>
      <c r="L352" s="428"/>
      <c r="M352" s="428"/>
      <c r="N352" s="325"/>
    </row>
    <row r="353" spans="1:14" s="326" customFormat="1">
      <c r="A353" s="330"/>
      <c r="B353" s="216">
        <f t="shared" si="47"/>
        <v>325</v>
      </c>
      <c r="C353" s="216"/>
      <c r="D353" s="331">
        <v>7</v>
      </c>
      <c r="E353" s="332">
        <f t="shared" si="48"/>
        <v>63</v>
      </c>
      <c r="F353" s="215">
        <v>31.41</v>
      </c>
      <c r="G353" s="217">
        <f t="shared" si="46"/>
        <v>31.012</v>
      </c>
      <c r="H353" s="215" t="str">
        <f t="shared" si="45"/>
        <v>IN</v>
      </c>
      <c r="I353" s="217">
        <f t="shared" si="40"/>
        <v>10945.232</v>
      </c>
      <c r="J353" s="217">
        <f t="shared" si="41"/>
        <v>1095.8979999999992</v>
      </c>
      <c r="K353" s="381">
        <f t="shared" si="42"/>
        <v>359.00893093353704</v>
      </c>
      <c r="L353" s="428"/>
      <c r="M353" s="428"/>
      <c r="N353" s="325"/>
    </row>
    <row r="354" spans="1:14">
      <c r="A354" s="330"/>
      <c r="B354" s="216">
        <f t="shared" si="47"/>
        <v>326</v>
      </c>
      <c r="C354" s="216"/>
      <c r="D354" s="331">
        <v>7</v>
      </c>
      <c r="E354" s="332">
        <f>E353-1</f>
        <v>62</v>
      </c>
      <c r="F354" s="215">
        <v>33.200000000000003</v>
      </c>
      <c r="G354" s="217">
        <f t="shared" si="46"/>
        <v>32.802</v>
      </c>
      <c r="H354" s="215" t="str">
        <f t="shared" si="45"/>
        <v>IN</v>
      </c>
      <c r="I354" s="217">
        <f t="shared" si="40"/>
        <v>10978.034</v>
      </c>
      <c r="J354" s="217">
        <f t="shared" si="41"/>
        <v>1063.0959999999995</v>
      </c>
      <c r="K354" s="381">
        <f t="shared" si="42"/>
        <v>359.71323422765465</v>
      </c>
      <c r="L354" s="438"/>
      <c r="M354" s="439"/>
      <c r="N354" s="18"/>
    </row>
    <row r="355" spans="1:14">
      <c r="A355" s="330"/>
      <c r="B355" s="216">
        <f t="shared" si="47"/>
        <v>327</v>
      </c>
      <c r="C355" s="216"/>
      <c r="D355" s="331">
        <v>7</v>
      </c>
      <c r="E355" s="332">
        <f t="shared" si="48"/>
        <v>61</v>
      </c>
      <c r="F355" s="215">
        <v>33.020000000000003</v>
      </c>
      <c r="G355" s="217">
        <f t="shared" si="46"/>
        <v>32.622</v>
      </c>
      <c r="H355" s="215" t="str">
        <f t="shared" si="45"/>
        <v>IN</v>
      </c>
      <c r="I355" s="217">
        <f t="shared" si="40"/>
        <v>11010.655999999999</v>
      </c>
      <c r="J355" s="217">
        <f t="shared" si="41"/>
        <v>1030.4740000000002</v>
      </c>
      <c r="K355" s="381">
        <f t="shared" si="42"/>
        <v>360.41367267838041</v>
      </c>
      <c r="L355" s="438"/>
      <c r="M355" s="439"/>
      <c r="N355" s="18"/>
    </row>
    <row r="356" spans="1:14">
      <c r="A356" s="330"/>
      <c r="B356" s="216">
        <f t="shared" si="47"/>
        <v>328</v>
      </c>
      <c r="C356" s="216"/>
      <c r="D356" s="331">
        <v>7</v>
      </c>
      <c r="E356" s="332">
        <f t="shared" si="48"/>
        <v>60</v>
      </c>
      <c r="F356" s="215">
        <v>33.380000000000003</v>
      </c>
      <c r="G356" s="217">
        <f t="shared" si="46"/>
        <v>32.981999999999999</v>
      </c>
      <c r="H356" s="215" t="str">
        <f t="shared" si="45"/>
        <v>IN</v>
      </c>
      <c r="I356" s="217">
        <f t="shared" si="40"/>
        <v>11043.637999999999</v>
      </c>
      <c r="J356" s="217">
        <f t="shared" si="41"/>
        <v>997.49200000000019</v>
      </c>
      <c r="K356" s="381">
        <f t="shared" si="42"/>
        <v>361.12184081588998</v>
      </c>
      <c r="L356" s="438"/>
      <c r="M356" s="439"/>
      <c r="N356" s="18"/>
    </row>
    <row r="357" spans="1:14">
      <c r="A357" s="330"/>
      <c r="B357" s="216">
        <f t="shared" si="47"/>
        <v>329</v>
      </c>
      <c r="C357" s="216"/>
      <c r="D357" s="331">
        <v>7</v>
      </c>
      <c r="E357" s="332">
        <f t="shared" si="48"/>
        <v>59</v>
      </c>
      <c r="F357" s="215">
        <v>33.119999999999997</v>
      </c>
      <c r="G357" s="217">
        <f t="shared" si="46"/>
        <v>32.721999999999994</v>
      </c>
      <c r="H357" s="215" t="str">
        <f t="shared" si="45"/>
        <v>IN</v>
      </c>
      <c r="I357" s="217">
        <f t="shared" si="40"/>
        <v>11076.359999999999</v>
      </c>
      <c r="J357" s="217">
        <f t="shared" si="41"/>
        <v>964.77000000000044</v>
      </c>
      <c r="K357" s="381">
        <f t="shared" si="42"/>
        <v>361.82442640183342</v>
      </c>
      <c r="L357" s="438"/>
      <c r="M357" s="439"/>
      <c r="N357" s="18"/>
    </row>
    <row r="358" spans="1:14">
      <c r="A358" s="330"/>
      <c r="B358" s="216">
        <f t="shared" si="47"/>
        <v>330</v>
      </c>
      <c r="C358" s="216"/>
      <c r="D358" s="331">
        <v>7</v>
      </c>
      <c r="E358" s="332">
        <f t="shared" si="48"/>
        <v>58</v>
      </c>
      <c r="F358" s="215">
        <v>32.75</v>
      </c>
      <c r="G358" s="217">
        <f t="shared" si="46"/>
        <v>32.351999999999997</v>
      </c>
      <c r="H358" s="215" t="str">
        <f t="shared" si="45"/>
        <v>IN</v>
      </c>
      <c r="I358" s="217">
        <f t="shared" si="40"/>
        <v>11108.712</v>
      </c>
      <c r="J358" s="217">
        <f t="shared" si="41"/>
        <v>932.41799999999967</v>
      </c>
      <c r="K358" s="381">
        <f t="shared" si="42"/>
        <v>362.51906758747134</v>
      </c>
      <c r="L358" s="438"/>
      <c r="M358" s="439"/>
      <c r="N358" s="18"/>
    </row>
    <row r="359" spans="1:14">
      <c r="A359" s="330"/>
      <c r="B359" s="216">
        <f t="shared" si="47"/>
        <v>331</v>
      </c>
      <c r="C359" s="216"/>
      <c r="D359" s="331">
        <v>7</v>
      </c>
      <c r="E359" s="332">
        <f t="shared" si="48"/>
        <v>57</v>
      </c>
      <c r="F359" s="215">
        <v>33.11</v>
      </c>
      <c r="G359" s="217">
        <f t="shared" si="46"/>
        <v>32.711999999999996</v>
      </c>
      <c r="H359" s="215" t="str">
        <f t="shared" si="45"/>
        <v>IN</v>
      </c>
      <c r="I359" s="217">
        <f t="shared" si="40"/>
        <v>11141.423999999999</v>
      </c>
      <c r="J359" s="217">
        <f t="shared" si="41"/>
        <v>899.70600000000013</v>
      </c>
      <c r="K359" s="381">
        <f t="shared" si="42"/>
        <v>363.22143845989308</v>
      </c>
      <c r="L359" s="438"/>
      <c r="M359" s="439"/>
      <c r="N359" s="18"/>
    </row>
    <row r="360" spans="1:14">
      <c r="A360" s="330"/>
      <c r="B360" s="216">
        <f t="shared" si="47"/>
        <v>332</v>
      </c>
      <c r="C360" s="216"/>
      <c r="D360" s="331">
        <v>7</v>
      </c>
      <c r="E360" s="332">
        <f t="shared" si="48"/>
        <v>56</v>
      </c>
      <c r="F360" s="215">
        <v>31.9</v>
      </c>
      <c r="G360" s="217">
        <f t="shared" si="46"/>
        <v>31.501999999999999</v>
      </c>
      <c r="H360" s="215" t="str">
        <f t="shared" si="45"/>
        <v>IN</v>
      </c>
      <c r="I360" s="217">
        <f t="shared" si="40"/>
        <v>11172.925999999999</v>
      </c>
      <c r="J360" s="217">
        <f t="shared" si="41"/>
        <v>868.20399999999972</v>
      </c>
      <c r="K360" s="381">
        <f t="shared" si="42"/>
        <v>363.89782899618029</v>
      </c>
      <c r="L360" s="438"/>
      <c r="M360" s="439"/>
      <c r="N360" s="18"/>
    </row>
    <row r="361" spans="1:14">
      <c r="A361" s="330"/>
      <c r="B361" s="216">
        <f t="shared" si="47"/>
        <v>333</v>
      </c>
      <c r="C361" s="216"/>
      <c r="D361" s="331">
        <v>7</v>
      </c>
      <c r="E361" s="332">
        <f t="shared" si="48"/>
        <v>55</v>
      </c>
      <c r="F361" s="215">
        <v>32.85</v>
      </c>
      <c r="G361" s="217">
        <f t="shared" si="46"/>
        <v>32.451999999999998</v>
      </c>
      <c r="H361" s="215" t="str">
        <f t="shared" si="45"/>
        <v>IN</v>
      </c>
      <c r="I361" s="217">
        <f t="shared" si="40"/>
        <v>11205.377999999999</v>
      </c>
      <c r="J361" s="217">
        <f t="shared" si="41"/>
        <v>835.75200000000041</v>
      </c>
      <c r="K361" s="381">
        <f t="shared" si="42"/>
        <v>364.5946173170359</v>
      </c>
      <c r="L361" s="356"/>
      <c r="M361" s="357"/>
      <c r="N361" s="18"/>
    </row>
    <row r="362" spans="1:14">
      <c r="A362" s="330"/>
      <c r="B362" s="216">
        <f t="shared" si="47"/>
        <v>334</v>
      </c>
      <c r="C362" s="216"/>
      <c r="D362" s="331">
        <v>7</v>
      </c>
      <c r="E362" s="332">
        <f t="shared" si="48"/>
        <v>54</v>
      </c>
      <c r="F362" s="215">
        <v>33.630000000000003</v>
      </c>
      <c r="G362" s="217">
        <f t="shared" si="46"/>
        <v>33.231999999999999</v>
      </c>
      <c r="H362" s="215" t="str">
        <f t="shared" si="45"/>
        <v>IN</v>
      </c>
      <c r="I362" s="217">
        <f t="shared" si="40"/>
        <v>11238.609999999999</v>
      </c>
      <c r="J362" s="217">
        <f t="shared" si="41"/>
        <v>802.52000000000044</v>
      </c>
      <c r="K362" s="381">
        <f t="shared" si="42"/>
        <v>365.30815329258974</v>
      </c>
      <c r="L362" s="356"/>
      <c r="M362" s="357"/>
      <c r="N362" s="18"/>
    </row>
    <row r="363" spans="1:14">
      <c r="A363" s="330"/>
      <c r="B363" s="216">
        <f t="shared" si="47"/>
        <v>335</v>
      </c>
      <c r="C363" s="216"/>
      <c r="D363" s="331">
        <v>7</v>
      </c>
      <c r="E363" s="332">
        <f t="shared" si="48"/>
        <v>53</v>
      </c>
      <c r="F363" s="215">
        <v>32.590000000000003</v>
      </c>
      <c r="G363" s="217">
        <f t="shared" si="46"/>
        <v>32.192</v>
      </c>
      <c r="H363" s="215" t="str">
        <f t="shared" si="45"/>
        <v>IN</v>
      </c>
      <c r="I363" s="217">
        <f t="shared" si="40"/>
        <v>11270.801999999998</v>
      </c>
      <c r="J363" s="217">
        <f t="shared" si="41"/>
        <v>770.32800000000134</v>
      </c>
      <c r="K363" s="381">
        <f t="shared" si="42"/>
        <v>365.99935906187932</v>
      </c>
      <c r="L363" s="356"/>
      <c r="M363" s="357"/>
      <c r="N363" s="18"/>
    </row>
    <row r="364" spans="1:14">
      <c r="A364" s="330"/>
      <c r="B364" s="216">
        <f t="shared" si="47"/>
        <v>336</v>
      </c>
      <c r="C364" s="216"/>
      <c r="D364" s="331">
        <v>7</v>
      </c>
      <c r="E364" s="332">
        <f t="shared" si="48"/>
        <v>52</v>
      </c>
      <c r="F364" s="215">
        <v>32.08</v>
      </c>
      <c r="G364" s="217">
        <f t="shared" si="46"/>
        <v>31.681999999999999</v>
      </c>
      <c r="H364" s="215" t="str">
        <f t="shared" si="45"/>
        <v>IN</v>
      </c>
      <c r="I364" s="217">
        <f t="shared" si="40"/>
        <v>11302.483999999999</v>
      </c>
      <c r="J364" s="217">
        <f t="shared" si="41"/>
        <v>738.64600000000064</v>
      </c>
      <c r="K364" s="381">
        <f t="shared" si="42"/>
        <v>366.67961444155844</v>
      </c>
      <c r="L364" s="356"/>
      <c r="M364" s="357"/>
      <c r="N364" s="18"/>
    </row>
    <row r="365" spans="1:14">
      <c r="A365" s="330"/>
      <c r="B365" s="216">
        <f t="shared" si="47"/>
        <v>337</v>
      </c>
      <c r="C365" s="216"/>
      <c r="D365" s="331">
        <v>7</v>
      </c>
      <c r="E365" s="332">
        <f t="shared" si="48"/>
        <v>51</v>
      </c>
      <c r="F365" s="215">
        <v>33.21</v>
      </c>
      <c r="G365" s="217">
        <f t="shared" si="46"/>
        <v>32.811999999999998</v>
      </c>
      <c r="H365" s="215" t="str">
        <f t="shared" si="45"/>
        <v>IN</v>
      </c>
      <c r="I365" s="217">
        <f t="shared" si="40"/>
        <v>11335.295999999998</v>
      </c>
      <c r="J365" s="217">
        <f t="shared" si="41"/>
        <v>705.83400000000074</v>
      </c>
      <c r="K365" s="381">
        <f t="shared" si="42"/>
        <v>367.38413244919781</v>
      </c>
      <c r="L365" s="356"/>
      <c r="M365" s="357"/>
      <c r="N365" s="18"/>
    </row>
    <row r="366" spans="1:14">
      <c r="A366" s="330"/>
      <c r="B366" s="216">
        <f t="shared" si="47"/>
        <v>338</v>
      </c>
      <c r="C366" s="216"/>
      <c r="D366" s="331">
        <v>7</v>
      </c>
      <c r="E366" s="332">
        <f t="shared" si="48"/>
        <v>50</v>
      </c>
      <c r="F366" s="215">
        <v>33.54</v>
      </c>
      <c r="G366" s="217">
        <f t="shared" si="46"/>
        <v>33.141999999999996</v>
      </c>
      <c r="H366" s="215" t="str">
        <f t="shared" si="45"/>
        <v>IN</v>
      </c>
      <c r="I366" s="217">
        <f t="shared" si="40"/>
        <v>11368.437999999998</v>
      </c>
      <c r="J366" s="217">
        <f t="shared" si="41"/>
        <v>672.69200000000092</v>
      </c>
      <c r="K366" s="381">
        <f t="shared" si="42"/>
        <v>368.09573600305578</v>
      </c>
      <c r="L366" s="356"/>
      <c r="M366" s="357"/>
      <c r="N366" s="18"/>
    </row>
    <row r="367" spans="1:14">
      <c r="A367" s="330"/>
      <c r="B367" s="216">
        <f t="shared" si="47"/>
        <v>339</v>
      </c>
      <c r="C367" s="216"/>
      <c r="D367" s="331">
        <v>7</v>
      </c>
      <c r="E367" s="332">
        <f t="shared" si="48"/>
        <v>49</v>
      </c>
      <c r="F367" s="215">
        <v>32.54</v>
      </c>
      <c r="G367" s="217">
        <f t="shared" si="46"/>
        <v>32.141999999999996</v>
      </c>
      <c r="H367" s="215" t="str">
        <f t="shared" si="45"/>
        <v>IN</v>
      </c>
      <c r="I367" s="217">
        <f t="shared" si="40"/>
        <v>11400.579999999998</v>
      </c>
      <c r="J367" s="217">
        <f t="shared" si="41"/>
        <v>640.55000000000109</v>
      </c>
      <c r="K367" s="381">
        <f t="shared" si="42"/>
        <v>368.7858682047364</v>
      </c>
      <c r="L367" s="356"/>
      <c r="M367" s="357"/>
      <c r="N367" s="18"/>
    </row>
    <row r="368" spans="1:14">
      <c r="A368" s="330"/>
      <c r="B368" s="216">
        <f t="shared" si="47"/>
        <v>340</v>
      </c>
      <c r="C368" s="216"/>
      <c r="D368" s="331">
        <v>7</v>
      </c>
      <c r="E368" s="332">
        <f t="shared" si="48"/>
        <v>48</v>
      </c>
      <c r="F368" s="215">
        <v>32.64</v>
      </c>
      <c r="G368" s="217">
        <f t="shared" si="46"/>
        <v>32.241999999999997</v>
      </c>
      <c r="H368" s="215" t="str">
        <f t="shared" si="45"/>
        <v>IN</v>
      </c>
      <c r="I368" s="217">
        <f t="shared" si="40"/>
        <v>11432.821999999998</v>
      </c>
      <c r="J368" s="217">
        <f t="shared" si="41"/>
        <v>608.3080000000009</v>
      </c>
      <c r="K368" s="381">
        <f t="shared" si="42"/>
        <v>369.47814754163483</v>
      </c>
      <c r="L368" s="356"/>
      <c r="M368" s="357"/>
      <c r="N368" s="18"/>
    </row>
    <row r="369" spans="1:14">
      <c r="A369" s="330"/>
      <c r="B369" s="216">
        <f t="shared" si="47"/>
        <v>341</v>
      </c>
      <c r="C369" s="216"/>
      <c r="D369" s="331">
        <v>7</v>
      </c>
      <c r="E369" s="332">
        <f t="shared" si="48"/>
        <v>47</v>
      </c>
      <c r="F369" s="215">
        <v>33.01</v>
      </c>
      <c r="G369" s="217">
        <f t="shared" si="46"/>
        <v>32.611999999999995</v>
      </c>
      <c r="H369" s="215" t="str">
        <f t="shared" si="45"/>
        <v>IN</v>
      </c>
      <c r="I369" s="217">
        <f t="shared" si="40"/>
        <v>11465.433999999997</v>
      </c>
      <c r="J369" s="217">
        <f t="shared" si="41"/>
        <v>575.69600000000173</v>
      </c>
      <c r="K369" s="381">
        <f t="shared" si="42"/>
        <v>370.17837127883877</v>
      </c>
      <c r="L369" s="356"/>
      <c r="M369" s="357"/>
      <c r="N369" s="18"/>
    </row>
    <row r="370" spans="1:14">
      <c r="A370" s="330"/>
      <c r="B370" s="216">
        <f t="shared" si="47"/>
        <v>342</v>
      </c>
      <c r="C370" s="216"/>
      <c r="D370" s="331">
        <v>7</v>
      </c>
      <c r="E370" s="332">
        <f t="shared" si="48"/>
        <v>46</v>
      </c>
      <c r="F370" s="215">
        <v>33.5</v>
      </c>
      <c r="G370" s="217">
        <f t="shared" si="46"/>
        <v>33.101999999999997</v>
      </c>
      <c r="H370" s="215" t="str">
        <f t="shared" si="45"/>
        <v>IN</v>
      </c>
      <c r="I370" s="217">
        <f t="shared" si="40"/>
        <v>11498.535999999998</v>
      </c>
      <c r="J370" s="217">
        <f t="shared" si="41"/>
        <v>542.59400000000096</v>
      </c>
      <c r="K370" s="381">
        <f t="shared" si="42"/>
        <v>370.88911597860954</v>
      </c>
      <c r="L370" s="356"/>
      <c r="M370" s="357"/>
      <c r="N370" s="18"/>
    </row>
    <row r="371" spans="1:14">
      <c r="A371" s="330"/>
      <c r="B371" s="216">
        <f t="shared" si="47"/>
        <v>343</v>
      </c>
      <c r="C371" s="216"/>
      <c r="D371" s="331">
        <v>7</v>
      </c>
      <c r="E371" s="332">
        <f t="shared" si="48"/>
        <v>45</v>
      </c>
      <c r="F371" s="215">
        <v>34.04</v>
      </c>
      <c r="G371" s="217">
        <f t="shared" si="46"/>
        <v>33.641999999999996</v>
      </c>
      <c r="H371" s="215" t="str">
        <f t="shared" si="45"/>
        <v>IN</v>
      </c>
      <c r="I371" s="217">
        <f t="shared" si="40"/>
        <v>11532.177999999998</v>
      </c>
      <c r="J371" s="217">
        <f t="shared" si="41"/>
        <v>508.95200000000114</v>
      </c>
      <c r="K371" s="381">
        <f t="shared" si="42"/>
        <v>371.61145520855615</v>
      </c>
      <c r="L371" s="356"/>
      <c r="M371" s="357"/>
      <c r="N371" s="18"/>
    </row>
    <row r="372" spans="1:14">
      <c r="A372" s="330"/>
      <c r="B372" s="374">
        <f t="shared" si="47"/>
        <v>344</v>
      </c>
      <c r="C372" s="374"/>
      <c r="D372" s="375">
        <v>7</v>
      </c>
      <c r="E372" s="376">
        <f t="shared" si="48"/>
        <v>44</v>
      </c>
      <c r="F372" s="377"/>
      <c r="G372" s="377">
        <f t="shared" si="46"/>
        <v>-0.39799999999999996</v>
      </c>
      <c r="H372" s="377" t="s">
        <v>25</v>
      </c>
      <c r="I372" s="377">
        <f t="shared" si="40"/>
        <v>11532.177999999998</v>
      </c>
      <c r="J372" s="377">
        <f t="shared" si="41"/>
        <v>508.95200000000114</v>
      </c>
      <c r="K372" s="378">
        <f t="shared" si="42"/>
        <v>371.61145520855615</v>
      </c>
      <c r="L372" s="399" t="s">
        <v>215</v>
      </c>
      <c r="M372" s="380"/>
      <c r="N372" s="18"/>
    </row>
    <row r="373" spans="1:14">
      <c r="A373" s="330"/>
      <c r="B373" s="216">
        <f t="shared" si="47"/>
        <v>345</v>
      </c>
      <c r="C373" s="216"/>
      <c r="D373" s="331">
        <v>7</v>
      </c>
      <c r="E373" s="332">
        <f t="shared" si="48"/>
        <v>43</v>
      </c>
      <c r="F373" s="215">
        <v>32.4</v>
      </c>
      <c r="G373" s="217">
        <f t="shared" si="46"/>
        <v>32.001999999999995</v>
      </c>
      <c r="H373" s="217" t="s">
        <v>128</v>
      </c>
      <c r="I373" s="217">
        <f t="shared" si="40"/>
        <v>11564.179999999998</v>
      </c>
      <c r="J373" s="217">
        <f t="shared" si="41"/>
        <v>476.95000000000073</v>
      </c>
      <c r="K373" s="381">
        <f t="shared" si="42"/>
        <v>372.29858142093195</v>
      </c>
      <c r="L373" s="356"/>
      <c r="M373" s="357"/>
      <c r="N373" s="18"/>
    </row>
    <row r="374" spans="1:14">
      <c r="A374" s="330"/>
      <c r="B374" s="216">
        <f t="shared" si="47"/>
        <v>346</v>
      </c>
      <c r="C374" s="216"/>
      <c r="D374" s="331">
        <v>7</v>
      </c>
      <c r="E374" s="332">
        <f t="shared" si="48"/>
        <v>42</v>
      </c>
      <c r="F374" s="215">
        <v>35.71</v>
      </c>
      <c r="G374" s="217">
        <f t="shared" si="46"/>
        <v>35.311999999999998</v>
      </c>
      <c r="H374" s="217" t="s">
        <v>128</v>
      </c>
      <c r="I374" s="217">
        <f t="shared" si="40"/>
        <v>11599.491999999998</v>
      </c>
      <c r="J374" s="217">
        <f t="shared" si="41"/>
        <v>441.63800000000083</v>
      </c>
      <c r="K374" s="381">
        <f t="shared" si="42"/>
        <v>373.05677780901448</v>
      </c>
      <c r="L374" s="356"/>
      <c r="M374" s="357"/>
      <c r="N374" s="18"/>
    </row>
    <row r="375" spans="1:14">
      <c r="A375" s="330"/>
      <c r="B375" s="216">
        <f t="shared" si="47"/>
        <v>347</v>
      </c>
      <c r="C375" s="216"/>
      <c r="D375" s="331">
        <v>7</v>
      </c>
      <c r="E375" s="332">
        <f t="shared" si="48"/>
        <v>41</v>
      </c>
      <c r="F375" s="215">
        <v>34.19</v>
      </c>
      <c r="G375" s="217">
        <f t="shared" si="46"/>
        <v>33.791999999999994</v>
      </c>
      <c r="H375" s="217" t="s">
        <v>128</v>
      </c>
      <c r="I375" s="217">
        <f t="shared" si="40"/>
        <v>11633.283999999998</v>
      </c>
      <c r="J375" s="217">
        <f t="shared" si="41"/>
        <v>407.84600000000137</v>
      </c>
      <c r="K375" s="381">
        <f t="shared" si="42"/>
        <v>373.78233774178761</v>
      </c>
      <c r="L375" s="356"/>
      <c r="M375" s="357"/>
      <c r="N375" s="18"/>
    </row>
    <row r="376" spans="1:14">
      <c r="A376" s="330"/>
      <c r="B376" s="216">
        <f t="shared" si="47"/>
        <v>348</v>
      </c>
      <c r="C376" s="216"/>
      <c r="D376" s="331">
        <v>7</v>
      </c>
      <c r="E376" s="332">
        <f t="shared" si="48"/>
        <v>40</v>
      </c>
      <c r="F376" s="215">
        <v>32.97</v>
      </c>
      <c r="G376" s="217">
        <f t="shared" si="46"/>
        <v>32.571999999999996</v>
      </c>
      <c r="H376" s="217" t="s">
        <v>128</v>
      </c>
      <c r="I376" s="217">
        <f t="shared" si="40"/>
        <v>11665.855999999998</v>
      </c>
      <c r="J376" s="217">
        <f t="shared" si="41"/>
        <v>375.27400000000125</v>
      </c>
      <c r="K376" s="381">
        <f t="shared" si="42"/>
        <v>374.48170262490447</v>
      </c>
      <c r="L376" s="356"/>
      <c r="M376" s="357"/>
      <c r="N376" s="18"/>
    </row>
    <row r="377" spans="1:14">
      <c r="A377" s="330"/>
      <c r="B377" s="216">
        <f t="shared" si="47"/>
        <v>349</v>
      </c>
      <c r="C377" s="216"/>
      <c r="D377" s="331">
        <v>7</v>
      </c>
      <c r="E377" s="332">
        <f t="shared" si="48"/>
        <v>39</v>
      </c>
      <c r="F377" s="215">
        <v>36.840000000000003</v>
      </c>
      <c r="G377" s="217">
        <f t="shared" si="46"/>
        <v>36.442</v>
      </c>
      <c r="H377" s="217" t="s">
        <v>128</v>
      </c>
      <c r="I377" s="217">
        <f t="shared" si="40"/>
        <v>11702.297999999997</v>
      </c>
      <c r="J377" s="217">
        <f t="shared" si="41"/>
        <v>338.83200000000215</v>
      </c>
      <c r="K377" s="381">
        <f t="shared" si="42"/>
        <v>375.26416164094724</v>
      </c>
      <c r="L377" s="356"/>
      <c r="M377" s="357"/>
      <c r="N377" s="18"/>
    </row>
    <row r="378" spans="1:14">
      <c r="A378" s="330"/>
      <c r="B378" s="216">
        <f t="shared" si="47"/>
        <v>350</v>
      </c>
      <c r="C378" s="216"/>
      <c r="D378" s="331">
        <v>7</v>
      </c>
      <c r="E378" s="332">
        <f t="shared" si="48"/>
        <v>38</v>
      </c>
      <c r="F378" s="215">
        <v>36.22</v>
      </c>
      <c r="G378" s="217">
        <f t="shared" si="46"/>
        <v>35.821999999999996</v>
      </c>
      <c r="H378" s="217" t="s">
        <v>128</v>
      </c>
      <c r="I378" s="217">
        <f t="shared" si="40"/>
        <v>11738.119999999997</v>
      </c>
      <c r="J378" s="217">
        <f t="shared" si="41"/>
        <v>303.01000000000204</v>
      </c>
      <c r="K378" s="381">
        <f t="shared" si="42"/>
        <v>376.0333084186401</v>
      </c>
      <c r="L378" s="356"/>
      <c r="M378" s="357"/>
      <c r="N378" s="18"/>
    </row>
    <row r="379" spans="1:14">
      <c r="A379" s="330"/>
      <c r="B379" s="216">
        <f t="shared" si="47"/>
        <v>351</v>
      </c>
      <c r="C379" s="216"/>
      <c r="D379" s="331">
        <v>7</v>
      </c>
      <c r="E379" s="332">
        <f t="shared" si="48"/>
        <v>37</v>
      </c>
      <c r="F379" s="215">
        <v>34.85</v>
      </c>
      <c r="G379" s="217">
        <f t="shared" si="46"/>
        <v>34.451999999999998</v>
      </c>
      <c r="H379" s="217" t="s">
        <v>128</v>
      </c>
      <c r="I379" s="217">
        <f t="shared" si="40"/>
        <v>11772.571999999996</v>
      </c>
      <c r="J379" s="217">
        <f t="shared" si="41"/>
        <v>268.55800000000272</v>
      </c>
      <c r="K379" s="381">
        <f t="shared" si="42"/>
        <v>376.77303944385017</v>
      </c>
      <c r="L379" s="356"/>
      <c r="M379" s="357"/>
      <c r="N379" s="18"/>
    </row>
    <row r="380" spans="1:14">
      <c r="A380" s="330"/>
      <c r="B380" s="216">
        <f t="shared" si="47"/>
        <v>352</v>
      </c>
      <c r="C380" s="216"/>
      <c r="D380" s="331">
        <v>7</v>
      </c>
      <c r="E380" s="332">
        <f t="shared" si="48"/>
        <v>36</v>
      </c>
      <c r="F380" s="215">
        <v>34.729999999999997</v>
      </c>
      <c r="G380" s="217">
        <f t="shared" si="46"/>
        <v>34.331999999999994</v>
      </c>
      <c r="H380" s="217" t="s">
        <v>128</v>
      </c>
      <c r="I380" s="217">
        <f t="shared" si="40"/>
        <v>11806.903999999997</v>
      </c>
      <c r="J380" s="217">
        <f t="shared" si="41"/>
        <v>234.22600000000239</v>
      </c>
      <c r="K380" s="381">
        <f t="shared" si="42"/>
        <v>377.51019390679903</v>
      </c>
      <c r="L380" s="356"/>
      <c r="M380" s="357"/>
      <c r="N380" s="18"/>
    </row>
    <row r="381" spans="1:14">
      <c r="A381" s="330"/>
      <c r="B381" s="216">
        <f t="shared" si="47"/>
        <v>353</v>
      </c>
      <c r="C381" s="216"/>
      <c r="D381" s="331">
        <v>7</v>
      </c>
      <c r="E381" s="332">
        <f t="shared" si="48"/>
        <v>35</v>
      </c>
      <c r="F381" s="215">
        <v>33.64</v>
      </c>
      <c r="G381" s="217">
        <f t="shared" si="46"/>
        <v>33.241999999999997</v>
      </c>
      <c r="H381" s="217" t="s">
        <v>128</v>
      </c>
      <c r="I381" s="217">
        <f t="shared" si="40"/>
        <v>11840.145999999997</v>
      </c>
      <c r="J381" s="217">
        <f t="shared" si="41"/>
        <v>200.9840000000022</v>
      </c>
      <c r="K381" s="381">
        <f t="shared" si="42"/>
        <v>378.22394459587463</v>
      </c>
      <c r="L381" s="356"/>
      <c r="M381" s="357"/>
      <c r="N381" s="18"/>
    </row>
    <row r="382" spans="1:14">
      <c r="A382" s="330"/>
      <c r="B382" s="216">
        <f t="shared" si="47"/>
        <v>354</v>
      </c>
      <c r="C382" s="216"/>
      <c r="D382" s="331">
        <v>7</v>
      </c>
      <c r="E382" s="332">
        <f t="shared" si="48"/>
        <v>34</v>
      </c>
      <c r="F382" s="215">
        <v>35.4</v>
      </c>
      <c r="G382" s="217">
        <f t="shared" si="46"/>
        <v>35.001999999999995</v>
      </c>
      <c r="H382" s="217" t="s">
        <v>128</v>
      </c>
      <c r="I382" s="217">
        <f t="shared" si="40"/>
        <v>11875.147999999997</v>
      </c>
      <c r="J382" s="217">
        <f t="shared" si="41"/>
        <v>165.98200000000179</v>
      </c>
      <c r="K382" s="381">
        <f t="shared" si="42"/>
        <v>378.97548486478229</v>
      </c>
      <c r="L382" s="356"/>
      <c r="M382" s="357"/>
      <c r="N382" s="18"/>
    </row>
    <row r="383" spans="1:14">
      <c r="A383" s="330"/>
      <c r="B383" s="374">
        <f t="shared" si="47"/>
        <v>355</v>
      </c>
      <c r="C383" s="374"/>
      <c r="D383" s="375">
        <v>7</v>
      </c>
      <c r="E383" s="376">
        <f t="shared" si="48"/>
        <v>33</v>
      </c>
      <c r="F383" s="377">
        <v>32.24</v>
      </c>
      <c r="G383" s="377">
        <f t="shared" si="46"/>
        <v>31.842000000000002</v>
      </c>
      <c r="H383" s="377" t="s">
        <v>25</v>
      </c>
      <c r="I383" s="377">
        <f t="shared" si="40"/>
        <v>11875.147999999997</v>
      </c>
      <c r="J383" s="377">
        <f t="shared" si="41"/>
        <v>165.98200000000179</v>
      </c>
      <c r="K383" s="378">
        <f t="shared" si="42"/>
        <v>378.97548486478229</v>
      </c>
      <c r="L383" s="399" t="s">
        <v>206</v>
      </c>
      <c r="M383" s="380"/>
      <c r="N383" s="18"/>
    </row>
    <row r="384" spans="1:14">
      <c r="A384" s="330"/>
      <c r="B384" s="374">
        <f t="shared" si="47"/>
        <v>356</v>
      </c>
      <c r="C384" s="374"/>
      <c r="D384" s="375">
        <v>7</v>
      </c>
      <c r="E384" s="376">
        <f t="shared" si="48"/>
        <v>32</v>
      </c>
      <c r="F384" s="377">
        <v>37.64</v>
      </c>
      <c r="G384" s="377">
        <f t="shared" si="46"/>
        <v>37.241999999999997</v>
      </c>
      <c r="H384" s="377" t="s">
        <v>25</v>
      </c>
      <c r="I384" s="377">
        <f t="shared" si="40"/>
        <v>11875.147999999997</v>
      </c>
      <c r="J384" s="377">
        <f t="shared" si="41"/>
        <v>165.98200000000179</v>
      </c>
      <c r="K384" s="378">
        <f t="shared" si="42"/>
        <v>378.97548486478229</v>
      </c>
      <c r="L384" s="379"/>
      <c r="M384" s="380"/>
      <c r="N384" s="18"/>
    </row>
    <row r="385" spans="1:14">
      <c r="A385" s="330"/>
      <c r="B385" s="374">
        <f t="shared" si="47"/>
        <v>357</v>
      </c>
      <c r="C385" s="374"/>
      <c r="D385" s="375">
        <v>7</v>
      </c>
      <c r="E385" s="376">
        <f t="shared" si="48"/>
        <v>31</v>
      </c>
      <c r="F385" s="377">
        <v>35.299999999999997</v>
      </c>
      <c r="G385" s="377">
        <f t="shared" si="46"/>
        <v>34.901999999999994</v>
      </c>
      <c r="H385" s="377" t="s">
        <v>25</v>
      </c>
      <c r="I385" s="377">
        <f t="shared" si="40"/>
        <v>11875.147999999997</v>
      </c>
      <c r="J385" s="377">
        <f t="shared" si="41"/>
        <v>165.98200000000179</v>
      </c>
      <c r="K385" s="378">
        <f t="shared" si="42"/>
        <v>378.97548486478229</v>
      </c>
      <c r="L385" s="379"/>
      <c r="M385" s="380"/>
      <c r="N385" s="18"/>
    </row>
    <row r="386" spans="1:14">
      <c r="A386" s="330"/>
      <c r="B386" s="216">
        <f t="shared" si="47"/>
        <v>358</v>
      </c>
      <c r="C386" s="216"/>
      <c r="D386" s="331">
        <v>7</v>
      </c>
      <c r="E386" s="332">
        <f t="shared" si="48"/>
        <v>30</v>
      </c>
      <c r="F386" s="217">
        <v>32.51</v>
      </c>
      <c r="G386" s="217">
        <f t="shared" si="46"/>
        <v>32.111999999999995</v>
      </c>
      <c r="H386" s="217" t="s">
        <v>128</v>
      </c>
      <c r="I386" s="217">
        <f t="shared" si="40"/>
        <v>11907.259999999997</v>
      </c>
      <c r="J386" s="217">
        <f t="shared" si="41"/>
        <v>133.87000000000262</v>
      </c>
      <c r="K386" s="381">
        <f t="shared" si="42"/>
        <v>379.66497292589753</v>
      </c>
      <c r="L386" s="356"/>
      <c r="M386" s="357"/>
      <c r="N386" s="18"/>
    </row>
    <row r="387" spans="1:14">
      <c r="A387" s="330"/>
      <c r="B387" s="374">
        <f t="shared" si="47"/>
        <v>359</v>
      </c>
      <c r="C387" s="374"/>
      <c r="D387" s="375">
        <v>7</v>
      </c>
      <c r="E387" s="376">
        <f t="shared" si="48"/>
        <v>29</v>
      </c>
      <c r="F387" s="377">
        <v>35.44</v>
      </c>
      <c r="G387" s="377">
        <f t="shared" si="46"/>
        <v>35.041999999999994</v>
      </c>
      <c r="H387" s="377" t="s">
        <v>25</v>
      </c>
      <c r="I387" s="377">
        <f t="shared" si="40"/>
        <v>11907.259999999997</v>
      </c>
      <c r="J387" s="377">
        <f t="shared" si="41"/>
        <v>133.87000000000262</v>
      </c>
      <c r="K387" s="378">
        <f t="shared" si="42"/>
        <v>379.66497292589753</v>
      </c>
      <c r="L387" s="379"/>
      <c r="M387" s="380"/>
      <c r="N387" s="18"/>
    </row>
    <row r="388" spans="1:14">
      <c r="A388" s="330"/>
      <c r="B388" s="374">
        <f t="shared" si="47"/>
        <v>360</v>
      </c>
      <c r="C388" s="374"/>
      <c r="D388" s="375">
        <v>7</v>
      </c>
      <c r="E388" s="376">
        <f t="shared" si="48"/>
        <v>28</v>
      </c>
      <c r="F388" s="377">
        <v>34.72</v>
      </c>
      <c r="G388" s="377">
        <f t="shared" si="46"/>
        <v>34.321999999999996</v>
      </c>
      <c r="H388" s="377" t="s">
        <v>25</v>
      </c>
      <c r="I388" s="377">
        <f t="shared" si="40"/>
        <v>11907.259999999997</v>
      </c>
      <c r="J388" s="377">
        <f t="shared" si="41"/>
        <v>133.87000000000262</v>
      </c>
      <c r="K388" s="378">
        <f t="shared" si="42"/>
        <v>379.66497292589753</v>
      </c>
      <c r="L388" s="379"/>
      <c r="M388" s="380"/>
      <c r="N388" s="18"/>
    </row>
    <row r="389" spans="1:14">
      <c r="A389" s="330"/>
      <c r="B389" s="374">
        <f t="shared" si="47"/>
        <v>361</v>
      </c>
      <c r="C389" s="374"/>
      <c r="D389" s="375">
        <v>7</v>
      </c>
      <c r="E389" s="376">
        <f t="shared" si="48"/>
        <v>27</v>
      </c>
      <c r="F389" s="377">
        <v>32.35</v>
      </c>
      <c r="G389" s="377">
        <f t="shared" si="46"/>
        <v>31.952000000000002</v>
      </c>
      <c r="H389" s="377" t="s">
        <v>25</v>
      </c>
      <c r="I389" s="377">
        <f t="shared" si="40"/>
        <v>11907.259999999997</v>
      </c>
      <c r="J389" s="377">
        <f t="shared" si="41"/>
        <v>133.87000000000262</v>
      </c>
      <c r="K389" s="378">
        <f t="shared" si="42"/>
        <v>379.66497292589753</v>
      </c>
      <c r="L389" s="379"/>
      <c r="M389" s="380"/>
      <c r="N389" s="18"/>
    </row>
    <row r="390" spans="1:14">
      <c r="A390" s="330"/>
      <c r="B390" s="374">
        <f t="shared" si="47"/>
        <v>362</v>
      </c>
      <c r="C390" s="374"/>
      <c r="D390" s="375">
        <v>7</v>
      </c>
      <c r="E390" s="376">
        <f t="shared" si="48"/>
        <v>26</v>
      </c>
      <c r="F390" s="377">
        <v>33.979999999999997</v>
      </c>
      <c r="G390" s="377">
        <f t="shared" si="46"/>
        <v>33.581999999999994</v>
      </c>
      <c r="H390" s="377" t="s">
        <v>25</v>
      </c>
      <c r="I390" s="377">
        <f t="shared" si="40"/>
        <v>11907.259999999997</v>
      </c>
      <c r="J390" s="377">
        <f t="shared" si="41"/>
        <v>133.87000000000262</v>
      </c>
      <c r="K390" s="378">
        <f t="shared" si="42"/>
        <v>379.66497292589753</v>
      </c>
      <c r="L390" s="379"/>
      <c r="M390" s="380"/>
      <c r="N390" s="18"/>
    </row>
    <row r="391" spans="1:14">
      <c r="A391" s="330"/>
      <c r="B391" s="374">
        <f t="shared" si="47"/>
        <v>363</v>
      </c>
      <c r="C391" s="374"/>
      <c r="D391" s="375">
        <v>7</v>
      </c>
      <c r="E391" s="376">
        <f t="shared" si="48"/>
        <v>25</v>
      </c>
      <c r="F391" s="377">
        <v>35.6</v>
      </c>
      <c r="G391" s="377">
        <f t="shared" si="46"/>
        <v>35.201999999999998</v>
      </c>
      <c r="H391" s="377" t="s">
        <v>25</v>
      </c>
      <c r="I391" s="377">
        <f t="shared" si="40"/>
        <v>11907.259999999997</v>
      </c>
      <c r="J391" s="377">
        <f t="shared" si="41"/>
        <v>133.87000000000262</v>
      </c>
      <c r="K391" s="378">
        <f t="shared" si="42"/>
        <v>379.66497292589753</v>
      </c>
      <c r="L391" s="379"/>
      <c r="M391" s="380"/>
      <c r="N391" s="18"/>
    </row>
    <row r="392" spans="1:14">
      <c r="A392" s="330"/>
      <c r="B392" s="374">
        <f t="shared" si="47"/>
        <v>364</v>
      </c>
      <c r="C392" s="374"/>
      <c r="D392" s="375">
        <v>7</v>
      </c>
      <c r="E392" s="376">
        <f t="shared" si="48"/>
        <v>24</v>
      </c>
      <c r="F392" s="377">
        <v>34.42</v>
      </c>
      <c r="G392" s="377">
        <f t="shared" si="46"/>
        <v>34.021999999999998</v>
      </c>
      <c r="H392" s="377" t="s">
        <v>25</v>
      </c>
      <c r="I392" s="377">
        <f t="shared" si="40"/>
        <v>11907.259999999997</v>
      </c>
      <c r="J392" s="377">
        <f t="shared" si="41"/>
        <v>133.87000000000262</v>
      </c>
      <c r="K392" s="378">
        <f t="shared" si="42"/>
        <v>379.66497292589753</v>
      </c>
      <c r="L392" s="379"/>
      <c r="M392" s="380"/>
      <c r="N392" s="18"/>
    </row>
    <row r="393" spans="1:14">
      <c r="A393" s="330"/>
      <c r="B393" s="374">
        <f t="shared" si="47"/>
        <v>365</v>
      </c>
      <c r="C393" s="374"/>
      <c r="D393" s="375">
        <v>7</v>
      </c>
      <c r="E393" s="376">
        <f t="shared" si="48"/>
        <v>23</v>
      </c>
      <c r="F393" s="377">
        <v>35.950000000000003</v>
      </c>
      <c r="G393" s="377">
        <f t="shared" si="46"/>
        <v>35.552</v>
      </c>
      <c r="H393" s="377" t="s">
        <v>25</v>
      </c>
      <c r="I393" s="377">
        <f t="shared" si="40"/>
        <v>11907.259999999997</v>
      </c>
      <c r="J393" s="377">
        <f t="shared" si="41"/>
        <v>133.87000000000262</v>
      </c>
      <c r="K393" s="378">
        <f t="shared" si="42"/>
        <v>379.66497292589753</v>
      </c>
      <c r="L393" s="379"/>
      <c r="M393" s="380"/>
      <c r="N393" s="18"/>
    </row>
    <row r="394" spans="1:14">
      <c r="A394" s="330"/>
      <c r="B394" s="374">
        <f t="shared" si="47"/>
        <v>366</v>
      </c>
      <c r="C394" s="374"/>
      <c r="D394" s="375">
        <v>7</v>
      </c>
      <c r="E394" s="376">
        <f t="shared" si="48"/>
        <v>22</v>
      </c>
      <c r="F394" s="377">
        <v>35.36</v>
      </c>
      <c r="G394" s="377">
        <f t="shared" si="46"/>
        <v>34.961999999999996</v>
      </c>
      <c r="H394" s="377" t="s">
        <v>25</v>
      </c>
      <c r="I394" s="377">
        <f t="shared" si="40"/>
        <v>11907.259999999997</v>
      </c>
      <c r="J394" s="377">
        <f t="shared" si="41"/>
        <v>133.87000000000262</v>
      </c>
      <c r="K394" s="378">
        <f t="shared" si="42"/>
        <v>379.66497292589753</v>
      </c>
      <c r="L394" s="379"/>
      <c r="M394" s="380"/>
      <c r="N394" s="18"/>
    </row>
    <row r="395" spans="1:14">
      <c r="A395" s="330"/>
      <c r="B395" s="374">
        <f t="shared" si="47"/>
        <v>367</v>
      </c>
      <c r="C395" s="374"/>
      <c r="D395" s="375">
        <v>7</v>
      </c>
      <c r="E395" s="376">
        <f t="shared" si="48"/>
        <v>21</v>
      </c>
      <c r="F395" s="377">
        <v>35.78</v>
      </c>
      <c r="G395" s="377">
        <f t="shared" si="46"/>
        <v>35.381999999999998</v>
      </c>
      <c r="H395" s="377" t="s">
        <v>25</v>
      </c>
      <c r="I395" s="377">
        <f t="shared" si="40"/>
        <v>11907.259999999997</v>
      </c>
      <c r="J395" s="377">
        <f t="shared" si="41"/>
        <v>133.87000000000262</v>
      </c>
      <c r="K395" s="378">
        <f t="shared" si="42"/>
        <v>379.66497292589753</v>
      </c>
      <c r="L395" s="379"/>
      <c r="M395" s="380"/>
      <c r="N395" s="18"/>
    </row>
    <row r="396" spans="1:14">
      <c r="A396" s="330"/>
      <c r="B396" s="374">
        <f t="shared" si="47"/>
        <v>368</v>
      </c>
      <c r="C396" s="374"/>
      <c r="D396" s="375">
        <v>7</v>
      </c>
      <c r="E396" s="376">
        <f t="shared" si="48"/>
        <v>20</v>
      </c>
      <c r="F396" s="377">
        <v>34.299999999999997</v>
      </c>
      <c r="G396" s="377">
        <f t="shared" si="46"/>
        <v>33.901999999999994</v>
      </c>
      <c r="H396" s="377" t="s">
        <v>25</v>
      </c>
      <c r="I396" s="377">
        <f t="shared" si="40"/>
        <v>11907.259999999997</v>
      </c>
      <c r="J396" s="377">
        <f t="shared" si="41"/>
        <v>133.87000000000262</v>
      </c>
      <c r="K396" s="378">
        <f t="shared" si="42"/>
        <v>379.66497292589753</v>
      </c>
      <c r="L396" s="379"/>
      <c r="M396" s="380"/>
      <c r="N396" s="18"/>
    </row>
    <row r="397" spans="1:14">
      <c r="A397" s="330"/>
      <c r="B397" s="374">
        <f t="shared" si="47"/>
        <v>369</v>
      </c>
      <c r="C397" s="374"/>
      <c r="D397" s="375">
        <v>7</v>
      </c>
      <c r="E397" s="376">
        <f t="shared" si="48"/>
        <v>19</v>
      </c>
      <c r="F397" s="377">
        <v>34.090000000000003</v>
      </c>
      <c r="G397" s="377">
        <f t="shared" si="46"/>
        <v>33.692</v>
      </c>
      <c r="H397" s="377" t="s">
        <v>25</v>
      </c>
      <c r="I397" s="377">
        <f t="shared" si="40"/>
        <v>11907.259999999997</v>
      </c>
      <c r="J397" s="377">
        <f t="shared" si="41"/>
        <v>133.87000000000262</v>
      </c>
      <c r="K397" s="378">
        <f t="shared" si="42"/>
        <v>379.66497292589753</v>
      </c>
      <c r="L397" s="379"/>
      <c r="M397" s="380"/>
      <c r="N397" s="18"/>
    </row>
    <row r="398" spans="1:14">
      <c r="A398" s="330"/>
      <c r="B398" s="374">
        <f t="shared" si="47"/>
        <v>370</v>
      </c>
      <c r="C398" s="374"/>
      <c r="D398" s="375">
        <v>7</v>
      </c>
      <c r="E398" s="376">
        <f t="shared" si="48"/>
        <v>18</v>
      </c>
      <c r="F398" s="377">
        <v>36.630000000000003</v>
      </c>
      <c r="G398" s="377">
        <f t="shared" si="46"/>
        <v>36.231999999999999</v>
      </c>
      <c r="H398" s="377" t="s">
        <v>25</v>
      </c>
      <c r="I398" s="377">
        <f t="shared" si="40"/>
        <v>11907.259999999997</v>
      </c>
      <c r="J398" s="377">
        <f t="shared" si="41"/>
        <v>133.87000000000262</v>
      </c>
      <c r="K398" s="378">
        <f t="shared" si="42"/>
        <v>379.66497292589753</v>
      </c>
      <c r="L398" s="379"/>
      <c r="M398" s="380"/>
      <c r="N398" s="18"/>
    </row>
    <row r="399" spans="1:14">
      <c r="A399" s="330"/>
      <c r="B399" s="374">
        <f t="shared" si="47"/>
        <v>371</v>
      </c>
      <c r="C399" s="374"/>
      <c r="D399" s="375">
        <v>7</v>
      </c>
      <c r="E399" s="376">
        <f t="shared" si="48"/>
        <v>17</v>
      </c>
      <c r="F399" s="377">
        <v>36.22</v>
      </c>
      <c r="G399" s="377">
        <f t="shared" si="46"/>
        <v>35.821999999999996</v>
      </c>
      <c r="H399" s="377" t="s">
        <v>25</v>
      </c>
      <c r="I399" s="377">
        <f t="shared" si="40"/>
        <v>11907.259999999997</v>
      </c>
      <c r="J399" s="377">
        <f t="shared" si="41"/>
        <v>133.87000000000262</v>
      </c>
      <c r="K399" s="378">
        <f t="shared" si="42"/>
        <v>379.66497292589753</v>
      </c>
      <c r="L399" s="379"/>
      <c r="M399" s="380"/>
      <c r="N399" s="18"/>
    </row>
    <row r="400" spans="1:14">
      <c r="A400" s="330"/>
      <c r="B400" s="374">
        <f t="shared" si="47"/>
        <v>372</v>
      </c>
      <c r="C400" s="374"/>
      <c r="D400" s="375">
        <v>7</v>
      </c>
      <c r="E400" s="376">
        <f t="shared" si="48"/>
        <v>16</v>
      </c>
      <c r="F400" s="377">
        <v>36.89</v>
      </c>
      <c r="G400" s="377">
        <f t="shared" si="46"/>
        <v>36.491999999999997</v>
      </c>
      <c r="H400" s="377" t="s">
        <v>25</v>
      </c>
      <c r="I400" s="377">
        <f t="shared" si="40"/>
        <v>11907.259999999997</v>
      </c>
      <c r="J400" s="377">
        <f t="shared" si="41"/>
        <v>133.87000000000262</v>
      </c>
      <c r="K400" s="378">
        <f t="shared" si="42"/>
        <v>379.66497292589753</v>
      </c>
      <c r="L400" s="379"/>
      <c r="M400" s="380"/>
      <c r="N400" s="18"/>
    </row>
    <row r="401" spans="1:22">
      <c r="A401" s="330"/>
      <c r="B401" s="374">
        <f t="shared" si="47"/>
        <v>373</v>
      </c>
      <c r="C401" s="374"/>
      <c r="D401" s="375">
        <v>7</v>
      </c>
      <c r="E401" s="376">
        <f t="shared" si="48"/>
        <v>15</v>
      </c>
      <c r="F401" s="377">
        <v>35.119999999999997</v>
      </c>
      <c r="G401" s="377">
        <f t="shared" si="46"/>
        <v>34.721999999999994</v>
      </c>
      <c r="H401" s="377" t="s">
        <v>25</v>
      </c>
      <c r="I401" s="377">
        <f t="shared" si="40"/>
        <v>11907.259999999997</v>
      </c>
      <c r="J401" s="377">
        <f t="shared" si="41"/>
        <v>133.87000000000262</v>
      </c>
      <c r="K401" s="378">
        <f t="shared" si="42"/>
        <v>379.66497292589753</v>
      </c>
      <c r="L401" s="379"/>
      <c r="M401" s="380"/>
      <c r="N401" s="18"/>
    </row>
    <row r="402" spans="1:22">
      <c r="A402" s="330"/>
      <c r="B402" s="374">
        <f t="shared" si="47"/>
        <v>374</v>
      </c>
      <c r="C402" s="374"/>
      <c r="D402" s="375">
        <v>7</v>
      </c>
      <c r="E402" s="376">
        <f t="shared" si="48"/>
        <v>14</v>
      </c>
      <c r="F402" s="377">
        <v>35.57</v>
      </c>
      <c r="G402" s="377">
        <f t="shared" si="46"/>
        <v>35.171999999999997</v>
      </c>
      <c r="H402" s="377" t="s">
        <v>25</v>
      </c>
      <c r="I402" s="377">
        <f t="shared" ref="I402:I420" si="49">IF(H402="IN",I401+G402,I401)</f>
        <v>11907.259999999997</v>
      </c>
      <c r="J402" s="377">
        <f t="shared" ref="J402:J420" si="50">IF(I402="","",$L$9-I402)</f>
        <v>133.87000000000262</v>
      </c>
      <c r="K402" s="378">
        <f t="shared" ref="K402:K420" si="51">$H$9+(I402*$E$10*$H$11/1000)</f>
        <v>379.66497292589753</v>
      </c>
      <c r="L402" s="379"/>
      <c r="M402" s="380"/>
      <c r="N402" s="18"/>
    </row>
    <row r="403" spans="1:22">
      <c r="A403" s="330"/>
      <c r="B403" s="374">
        <f t="shared" si="47"/>
        <v>375</v>
      </c>
      <c r="C403" s="374"/>
      <c r="D403" s="375">
        <v>7</v>
      </c>
      <c r="E403" s="376">
        <f t="shared" si="48"/>
        <v>13</v>
      </c>
      <c r="F403" s="377">
        <v>34.07</v>
      </c>
      <c r="G403" s="377">
        <f t="shared" si="46"/>
        <v>33.671999999999997</v>
      </c>
      <c r="H403" s="377" t="s">
        <v>25</v>
      </c>
      <c r="I403" s="377">
        <f t="shared" si="49"/>
        <v>11907.259999999997</v>
      </c>
      <c r="J403" s="377">
        <f t="shared" si="50"/>
        <v>133.87000000000262</v>
      </c>
      <c r="K403" s="378">
        <f t="shared" si="51"/>
        <v>379.66497292589753</v>
      </c>
      <c r="L403" s="379"/>
      <c r="M403" s="380"/>
      <c r="N403" s="18"/>
    </row>
    <row r="404" spans="1:22">
      <c r="A404" s="330"/>
      <c r="B404" s="374">
        <f t="shared" si="47"/>
        <v>376</v>
      </c>
      <c r="C404" s="374"/>
      <c r="D404" s="375">
        <v>7</v>
      </c>
      <c r="E404" s="376">
        <f t="shared" si="48"/>
        <v>12</v>
      </c>
      <c r="F404" s="377">
        <v>36.67</v>
      </c>
      <c r="G404" s="377">
        <f t="shared" si="46"/>
        <v>36.271999999999998</v>
      </c>
      <c r="H404" s="377" t="s">
        <v>25</v>
      </c>
      <c r="I404" s="377">
        <f t="shared" si="49"/>
        <v>11907.259999999997</v>
      </c>
      <c r="J404" s="377">
        <f t="shared" si="50"/>
        <v>133.87000000000262</v>
      </c>
      <c r="K404" s="378">
        <f t="shared" si="51"/>
        <v>379.66497292589753</v>
      </c>
      <c r="L404" s="379"/>
      <c r="M404" s="380"/>
      <c r="N404" s="18"/>
    </row>
    <row r="405" spans="1:22">
      <c r="A405" s="330"/>
      <c r="B405" s="374">
        <f t="shared" si="47"/>
        <v>377</v>
      </c>
      <c r="C405" s="374"/>
      <c r="D405" s="375">
        <v>7</v>
      </c>
      <c r="E405" s="376">
        <f t="shared" si="48"/>
        <v>11</v>
      </c>
      <c r="F405" s="377">
        <v>33.42</v>
      </c>
      <c r="G405" s="377">
        <f t="shared" si="46"/>
        <v>33.021999999999998</v>
      </c>
      <c r="H405" s="377" t="s">
        <v>25</v>
      </c>
      <c r="I405" s="377">
        <f t="shared" si="49"/>
        <v>11907.259999999997</v>
      </c>
      <c r="J405" s="377">
        <f t="shared" si="50"/>
        <v>133.87000000000262</v>
      </c>
      <c r="K405" s="378">
        <f t="shared" si="51"/>
        <v>379.66497292589753</v>
      </c>
      <c r="L405" s="379"/>
      <c r="M405" s="380"/>
      <c r="N405" s="18"/>
    </row>
    <row r="406" spans="1:22">
      <c r="A406" s="330"/>
      <c r="B406" s="374">
        <f t="shared" si="47"/>
        <v>378</v>
      </c>
      <c r="C406" s="374"/>
      <c r="D406" s="375">
        <v>7</v>
      </c>
      <c r="E406" s="376">
        <f t="shared" si="48"/>
        <v>10</v>
      </c>
      <c r="F406" s="377">
        <v>32.78</v>
      </c>
      <c r="G406" s="377">
        <f t="shared" si="46"/>
        <v>32.381999999999998</v>
      </c>
      <c r="H406" s="377" t="s">
        <v>25</v>
      </c>
      <c r="I406" s="377">
        <f t="shared" si="49"/>
        <v>11907.259999999997</v>
      </c>
      <c r="J406" s="377">
        <f t="shared" si="50"/>
        <v>133.87000000000262</v>
      </c>
      <c r="K406" s="378">
        <f t="shared" si="51"/>
        <v>379.66497292589753</v>
      </c>
      <c r="L406" s="379"/>
      <c r="M406" s="380"/>
      <c r="N406" s="18"/>
    </row>
    <row r="407" spans="1:22">
      <c r="A407" s="330"/>
      <c r="B407" s="374">
        <f t="shared" si="47"/>
        <v>379</v>
      </c>
      <c r="C407" s="374"/>
      <c r="D407" s="375">
        <v>7</v>
      </c>
      <c r="E407" s="376">
        <f t="shared" si="48"/>
        <v>9</v>
      </c>
      <c r="F407" s="377">
        <v>36.67</v>
      </c>
      <c r="G407" s="377">
        <f t="shared" si="46"/>
        <v>36.271999999999998</v>
      </c>
      <c r="H407" s="377" t="s">
        <v>25</v>
      </c>
      <c r="I407" s="377">
        <f t="shared" si="49"/>
        <v>11907.259999999997</v>
      </c>
      <c r="J407" s="377">
        <f t="shared" si="50"/>
        <v>133.87000000000262</v>
      </c>
      <c r="K407" s="378">
        <f t="shared" si="51"/>
        <v>379.66497292589753</v>
      </c>
      <c r="L407" s="379"/>
      <c r="M407" s="380"/>
      <c r="N407" s="18"/>
    </row>
    <row r="408" spans="1:22">
      <c r="A408" s="330"/>
      <c r="B408" s="374">
        <f t="shared" si="47"/>
        <v>380</v>
      </c>
      <c r="C408" s="374"/>
      <c r="D408" s="375">
        <v>7</v>
      </c>
      <c r="E408" s="376">
        <f t="shared" si="48"/>
        <v>8</v>
      </c>
      <c r="F408" s="377">
        <v>36.5</v>
      </c>
      <c r="G408" s="377">
        <f t="shared" si="46"/>
        <v>36.101999999999997</v>
      </c>
      <c r="H408" s="377" t="s">
        <v>25</v>
      </c>
      <c r="I408" s="377">
        <f t="shared" si="49"/>
        <v>11907.259999999997</v>
      </c>
      <c r="J408" s="377">
        <f t="shared" si="50"/>
        <v>133.87000000000262</v>
      </c>
      <c r="K408" s="378">
        <f t="shared" si="51"/>
        <v>379.66497292589753</v>
      </c>
      <c r="L408" s="379"/>
      <c r="M408" s="380"/>
      <c r="N408" s="18"/>
    </row>
    <row r="409" spans="1:22">
      <c r="A409" s="330"/>
      <c r="B409" s="374">
        <f t="shared" si="47"/>
        <v>381</v>
      </c>
      <c r="C409" s="374"/>
      <c r="D409" s="375">
        <v>7</v>
      </c>
      <c r="E409" s="376">
        <f t="shared" si="48"/>
        <v>7</v>
      </c>
      <c r="F409" s="377">
        <v>35.46</v>
      </c>
      <c r="G409" s="377">
        <f t="shared" si="46"/>
        <v>35.061999999999998</v>
      </c>
      <c r="H409" s="377" t="s">
        <v>25</v>
      </c>
      <c r="I409" s="377">
        <f t="shared" si="49"/>
        <v>11907.259999999997</v>
      </c>
      <c r="J409" s="377">
        <f t="shared" si="50"/>
        <v>133.87000000000262</v>
      </c>
      <c r="K409" s="378">
        <f t="shared" si="51"/>
        <v>379.66497292589753</v>
      </c>
      <c r="L409" s="379"/>
      <c r="M409" s="380"/>
      <c r="N409" s="18"/>
    </row>
    <row r="410" spans="1:22">
      <c r="A410" s="330"/>
      <c r="B410" s="374">
        <f t="shared" si="47"/>
        <v>382</v>
      </c>
      <c r="C410" s="374"/>
      <c r="D410" s="375">
        <v>7</v>
      </c>
      <c r="E410" s="376">
        <f t="shared" si="48"/>
        <v>6</v>
      </c>
      <c r="F410" s="377">
        <v>33.78</v>
      </c>
      <c r="G410" s="377">
        <f t="shared" si="46"/>
        <v>33.381999999999998</v>
      </c>
      <c r="H410" s="377" t="s">
        <v>25</v>
      </c>
      <c r="I410" s="377">
        <f t="shared" si="49"/>
        <v>11907.259999999997</v>
      </c>
      <c r="J410" s="377">
        <f t="shared" si="50"/>
        <v>133.87000000000262</v>
      </c>
      <c r="K410" s="378">
        <f t="shared" si="51"/>
        <v>379.66497292589753</v>
      </c>
      <c r="L410" s="379"/>
      <c r="M410" s="380"/>
      <c r="N410" s="18"/>
    </row>
    <row r="411" spans="1:22">
      <c r="A411" s="330"/>
      <c r="B411" s="374">
        <f t="shared" si="47"/>
        <v>383</v>
      </c>
      <c r="C411" s="374"/>
      <c r="D411" s="375">
        <v>7</v>
      </c>
      <c r="E411" s="376">
        <f t="shared" si="48"/>
        <v>5</v>
      </c>
      <c r="F411" s="377">
        <v>34.29</v>
      </c>
      <c r="G411" s="377">
        <f t="shared" si="46"/>
        <v>33.891999999999996</v>
      </c>
      <c r="H411" s="377" t="s">
        <v>25</v>
      </c>
      <c r="I411" s="377">
        <f t="shared" si="49"/>
        <v>11907.259999999997</v>
      </c>
      <c r="J411" s="377">
        <f t="shared" si="50"/>
        <v>133.87000000000262</v>
      </c>
      <c r="K411" s="378">
        <f t="shared" si="51"/>
        <v>379.66497292589753</v>
      </c>
      <c r="L411" s="379"/>
      <c r="M411" s="380"/>
      <c r="N411" s="18"/>
    </row>
    <row r="412" spans="1:22">
      <c r="A412" s="330"/>
      <c r="B412" s="374">
        <f t="shared" si="47"/>
        <v>384</v>
      </c>
      <c r="C412" s="374"/>
      <c r="D412" s="375">
        <v>7</v>
      </c>
      <c r="E412" s="376">
        <f t="shared" si="48"/>
        <v>4</v>
      </c>
      <c r="F412" s="377">
        <v>34.47</v>
      </c>
      <c r="G412" s="377">
        <f t="shared" si="46"/>
        <v>34.071999999999996</v>
      </c>
      <c r="H412" s="377" t="s">
        <v>25</v>
      </c>
      <c r="I412" s="377">
        <f t="shared" si="49"/>
        <v>11907.259999999997</v>
      </c>
      <c r="J412" s="377">
        <f t="shared" si="50"/>
        <v>133.87000000000262</v>
      </c>
      <c r="K412" s="378">
        <f t="shared" si="51"/>
        <v>379.66497292589753</v>
      </c>
      <c r="L412" s="379"/>
      <c r="M412" s="380"/>
      <c r="N412" s="18"/>
    </row>
    <row r="413" spans="1:22" ht="13.35" customHeight="1">
      <c r="B413" s="374">
        <f t="shared" si="47"/>
        <v>385</v>
      </c>
      <c r="C413" s="374"/>
      <c r="D413" s="375">
        <v>7</v>
      </c>
      <c r="E413" s="376">
        <f t="shared" si="48"/>
        <v>3</v>
      </c>
      <c r="F413" s="377">
        <v>34.51</v>
      </c>
      <c r="G413" s="377">
        <f t="shared" si="46"/>
        <v>34.111999999999995</v>
      </c>
      <c r="H413" s="377" t="s">
        <v>25</v>
      </c>
      <c r="I413" s="377">
        <f t="shared" si="49"/>
        <v>11907.259999999997</v>
      </c>
      <c r="J413" s="377">
        <f t="shared" si="50"/>
        <v>133.87000000000262</v>
      </c>
      <c r="K413" s="378">
        <f t="shared" si="51"/>
        <v>379.66497292589753</v>
      </c>
      <c r="L413" s="379"/>
      <c r="M413" s="380"/>
      <c r="V413" s="18"/>
    </row>
    <row r="414" spans="1:22">
      <c r="B414" s="374">
        <f t="shared" si="47"/>
        <v>386</v>
      </c>
      <c r="C414" s="374"/>
      <c r="D414" s="375">
        <v>7</v>
      </c>
      <c r="E414" s="376">
        <f t="shared" si="48"/>
        <v>2</v>
      </c>
      <c r="F414" s="377">
        <v>37.56</v>
      </c>
      <c r="G414" s="377">
        <f t="shared" si="46"/>
        <v>37.161999999999999</v>
      </c>
      <c r="H414" s="377" t="s">
        <v>25</v>
      </c>
      <c r="I414" s="377">
        <f t="shared" si="49"/>
        <v>11907.259999999997</v>
      </c>
      <c r="J414" s="377">
        <f t="shared" si="50"/>
        <v>133.87000000000262</v>
      </c>
      <c r="K414" s="378">
        <f t="shared" si="51"/>
        <v>379.66497292589753</v>
      </c>
      <c r="L414" s="379"/>
      <c r="M414" s="380"/>
    </row>
    <row r="415" spans="1:22">
      <c r="B415" s="374">
        <f t="shared" ref="B415" si="52">B414+1</f>
        <v>387</v>
      </c>
      <c r="C415" s="374"/>
      <c r="D415" s="375">
        <v>7</v>
      </c>
      <c r="E415" s="376">
        <f t="shared" si="48"/>
        <v>1</v>
      </c>
      <c r="F415" s="377">
        <v>33.86</v>
      </c>
      <c r="G415" s="377">
        <f t="shared" si="46"/>
        <v>33.461999999999996</v>
      </c>
      <c r="H415" s="377" t="s">
        <v>25</v>
      </c>
      <c r="I415" s="377">
        <f t="shared" si="49"/>
        <v>11907.259999999997</v>
      </c>
      <c r="J415" s="377">
        <f t="shared" si="50"/>
        <v>133.87000000000262</v>
      </c>
      <c r="K415" s="378">
        <f t="shared" si="51"/>
        <v>379.66497292589753</v>
      </c>
      <c r="L415" s="379"/>
      <c r="M415" s="380"/>
    </row>
    <row r="416" spans="1:22">
      <c r="B416" s="425" t="s">
        <v>216</v>
      </c>
      <c r="C416" s="426"/>
      <c r="D416" s="427"/>
      <c r="E416" s="206"/>
      <c r="F416" s="215">
        <v>4.0199999999999996</v>
      </c>
      <c r="G416" s="217">
        <f t="shared" si="46"/>
        <v>3.6219999999999994</v>
      </c>
      <c r="H416" s="217" t="s">
        <v>128</v>
      </c>
      <c r="I416" s="217">
        <f t="shared" si="49"/>
        <v>11910.881999999996</v>
      </c>
      <c r="J416" s="217">
        <f t="shared" si="50"/>
        <v>130.24800000000323</v>
      </c>
      <c r="K416" s="381">
        <f t="shared" si="51"/>
        <v>379.74274216348351</v>
      </c>
      <c r="L416" s="449"/>
      <c r="M416" s="450"/>
    </row>
    <row r="417" spans="2:13">
      <c r="B417" s="425" t="s">
        <v>150</v>
      </c>
      <c r="C417" s="436"/>
      <c r="D417" s="437"/>
      <c r="E417" s="206"/>
      <c r="F417" s="215">
        <v>31.7</v>
      </c>
      <c r="G417" s="217">
        <f>F417</f>
        <v>31.7</v>
      </c>
      <c r="H417" s="217" t="s">
        <v>128</v>
      </c>
      <c r="I417" s="217">
        <f t="shared" si="49"/>
        <v>11942.581999999997</v>
      </c>
      <c r="J417" s="217">
        <f t="shared" si="50"/>
        <v>98.548000000002503</v>
      </c>
      <c r="K417" s="381">
        <f t="shared" si="51"/>
        <v>380.42338402750187</v>
      </c>
      <c r="L417" s="449"/>
      <c r="M417" s="450"/>
    </row>
    <row r="418" spans="2:13">
      <c r="B418" s="425" t="s">
        <v>150</v>
      </c>
      <c r="C418" s="436"/>
      <c r="D418" s="437"/>
      <c r="E418" s="206"/>
      <c r="F418" s="215">
        <v>31.68</v>
      </c>
      <c r="G418" s="217">
        <f>F418</f>
        <v>31.68</v>
      </c>
      <c r="H418" s="217" t="s">
        <v>128</v>
      </c>
      <c r="I418" s="217">
        <f t="shared" si="49"/>
        <v>11974.261999999997</v>
      </c>
      <c r="J418" s="217">
        <f t="shared" si="50"/>
        <v>66.868000000002212</v>
      </c>
      <c r="K418" s="381">
        <f t="shared" si="51"/>
        <v>381.10359646447665</v>
      </c>
      <c r="L418" s="449"/>
      <c r="M418" s="450"/>
    </row>
    <row r="419" spans="2:13">
      <c r="B419" s="425" t="s">
        <v>150</v>
      </c>
      <c r="C419" s="436"/>
      <c r="D419" s="437"/>
      <c r="E419" s="206"/>
      <c r="F419" s="215">
        <v>31.64</v>
      </c>
      <c r="G419" s="217">
        <f>F419</f>
        <v>31.64</v>
      </c>
      <c r="H419" s="217" t="s">
        <v>128</v>
      </c>
      <c r="I419" s="217">
        <f t="shared" si="49"/>
        <v>12005.901999999996</v>
      </c>
      <c r="J419" s="217">
        <f t="shared" si="50"/>
        <v>35.228000000002794</v>
      </c>
      <c r="K419" s="381">
        <f t="shared" si="51"/>
        <v>381.78295004736435</v>
      </c>
      <c r="L419" s="333"/>
      <c r="M419" s="333"/>
    </row>
    <row r="420" spans="2:13" ht="13.5" thickBot="1">
      <c r="B420" s="425" t="s">
        <v>150</v>
      </c>
      <c r="C420" s="436"/>
      <c r="D420" s="437"/>
      <c r="E420" s="206"/>
      <c r="F420" s="215">
        <v>31.73</v>
      </c>
      <c r="G420" s="217">
        <f>F420</f>
        <v>31.73</v>
      </c>
      <c r="H420" s="217" t="s">
        <v>128</v>
      </c>
      <c r="I420" s="217">
        <f t="shared" si="49"/>
        <v>12037.631999999996</v>
      </c>
      <c r="J420" s="217">
        <f t="shared" si="50"/>
        <v>3.4980000000032305</v>
      </c>
      <c r="K420" s="381">
        <f t="shared" si="51"/>
        <v>382.46423605194798</v>
      </c>
      <c r="L420" s="440" t="s">
        <v>225</v>
      </c>
      <c r="M420" s="441"/>
    </row>
    <row r="421" spans="2:13" ht="38.25">
      <c r="B421" s="442" t="s">
        <v>160</v>
      </c>
      <c r="C421" s="445" t="s">
        <v>129</v>
      </c>
      <c r="D421" s="446"/>
      <c r="E421" s="447"/>
      <c r="F421" s="297">
        <v>7.08</v>
      </c>
      <c r="G421" s="298">
        <f>F421-($E$12)</f>
        <v>6.6820000000000004</v>
      </c>
      <c r="H421" s="298" t="s">
        <v>29</v>
      </c>
      <c r="I421" s="299"/>
      <c r="J421" s="300"/>
      <c r="K421" s="365" t="s">
        <v>175</v>
      </c>
      <c r="L421" s="366"/>
      <c r="M421" s="367"/>
    </row>
    <row r="422" spans="2:13" ht="13.5" thickBot="1">
      <c r="B422" s="443"/>
      <c r="C422" s="430" t="s">
        <v>130</v>
      </c>
      <c r="D422" s="431"/>
      <c r="E422" s="432"/>
      <c r="F422" s="301">
        <v>98.79</v>
      </c>
      <c r="G422" s="302">
        <f>F422</f>
        <v>98.79</v>
      </c>
      <c r="H422" s="302" t="s">
        <v>29</v>
      </c>
      <c r="I422" s="303"/>
      <c r="J422" s="304"/>
      <c r="K422" s="368"/>
      <c r="L422" s="369"/>
      <c r="M422" s="370"/>
    </row>
    <row r="423" spans="2:13" ht="12.95" customHeight="1" thickBot="1">
      <c r="B423" s="444"/>
      <c r="C423" s="433" t="s">
        <v>131</v>
      </c>
      <c r="D423" s="434"/>
      <c r="E423" s="434"/>
      <c r="F423" s="435"/>
      <c r="G423" s="305"/>
      <c r="H423" s="305" t="s">
        <v>29</v>
      </c>
      <c r="I423" s="305"/>
      <c r="J423" s="306"/>
      <c r="K423" s="362"/>
      <c r="L423" s="363"/>
      <c r="M423" s="364"/>
    </row>
    <row r="424" spans="2:13">
      <c r="B424" s="13"/>
      <c r="C424" s="13"/>
      <c r="D424" s="294"/>
      <c r="E424" s="294"/>
      <c r="F424" s="295"/>
      <c r="K424" s="296"/>
      <c r="L424" s="424"/>
      <c r="M424" s="424"/>
    </row>
    <row r="425" spans="2:13">
      <c r="B425"/>
      <c r="C425"/>
      <c r="D425" s="22"/>
      <c r="E425"/>
      <c r="F425"/>
      <c r="G425" s="25"/>
      <c r="H425"/>
      <c r="I425"/>
      <c r="J425"/>
      <c r="K425"/>
      <c r="M425" s="14"/>
    </row>
    <row r="426" spans="2:13">
      <c r="B426"/>
      <c r="C426"/>
      <c r="D426" s="22"/>
      <c r="E426"/>
      <c r="F426"/>
      <c r="G426" s="25"/>
      <c r="H426"/>
      <c r="I426"/>
      <c r="J426"/>
      <c r="K426"/>
      <c r="M426" s="14"/>
    </row>
    <row r="427" spans="2:13">
      <c r="B427"/>
      <c r="C427"/>
      <c r="D427" s="22"/>
      <c r="E427"/>
      <c r="F427"/>
      <c r="G427" s="25"/>
      <c r="H427"/>
      <c r="I427"/>
      <c r="J427"/>
      <c r="K427" s="18"/>
      <c r="M427" s="14"/>
    </row>
    <row r="428" spans="2:13">
      <c r="B428"/>
      <c r="C428"/>
      <c r="D428" s="22"/>
      <c r="E428"/>
      <c r="F428"/>
      <c r="G428" s="25"/>
      <c r="H428"/>
      <c r="I428"/>
      <c r="J428"/>
      <c r="K428"/>
      <c r="M428" s="14"/>
    </row>
    <row r="429" spans="2:13">
      <c r="B429"/>
      <c r="C429"/>
      <c r="D429" s="22"/>
      <c r="E429"/>
      <c r="F429"/>
      <c r="G429" s="25"/>
      <c r="H429"/>
      <c r="I429"/>
      <c r="J429"/>
      <c r="K429"/>
      <c r="M429" s="14"/>
    </row>
    <row r="430" spans="2:13">
      <c r="B430"/>
      <c r="C430"/>
      <c r="D430" s="22"/>
      <c r="E430"/>
      <c r="F430"/>
      <c r="G430" s="25"/>
      <c r="H430"/>
      <c r="I430"/>
      <c r="J430"/>
      <c r="K430"/>
      <c r="M430" s="14"/>
    </row>
    <row r="431" spans="2:13">
      <c r="B431"/>
      <c r="C431"/>
      <c r="D431" s="22"/>
      <c r="E431"/>
      <c r="F431"/>
      <c r="G431" s="25"/>
      <c r="H431"/>
      <c r="I431"/>
      <c r="J431"/>
      <c r="K431"/>
      <c r="M431" s="14"/>
    </row>
    <row r="432" spans="2:13">
      <c r="B432"/>
      <c r="C432"/>
      <c r="D432" s="22"/>
      <c r="E432"/>
      <c r="F432"/>
      <c r="G432" s="25"/>
      <c r="H432"/>
      <c r="I432"/>
      <c r="J432"/>
      <c r="K432"/>
      <c r="M432" s="14"/>
    </row>
    <row r="433" spans="2:13">
      <c r="B433"/>
      <c r="C433"/>
      <c r="D433" s="22"/>
      <c r="E433"/>
      <c r="F433"/>
      <c r="G433" s="25"/>
      <c r="H433"/>
      <c r="I433"/>
      <c r="J433"/>
      <c r="K433"/>
      <c r="M433" s="14"/>
    </row>
    <row r="434" spans="2:13">
      <c r="B434"/>
      <c r="C434"/>
      <c r="D434" s="22"/>
      <c r="E434"/>
      <c r="F434"/>
      <c r="G434" s="25"/>
      <c r="H434"/>
      <c r="I434"/>
      <c r="J434"/>
      <c r="K434"/>
      <c r="M434" s="14"/>
    </row>
    <row r="435" spans="2:13">
      <c r="B435"/>
      <c r="C435"/>
      <c r="D435" s="22"/>
      <c r="E435"/>
      <c r="F435"/>
      <c r="G435" s="25"/>
      <c r="H435"/>
      <c r="I435"/>
      <c r="J435"/>
      <c r="K435"/>
      <c r="M435" s="14"/>
    </row>
  </sheetData>
  <mergeCells count="351">
    <mergeCell ref="L312:M312"/>
    <mergeCell ref="L320:M320"/>
    <mergeCell ref="L148:M148"/>
    <mergeCell ref="L149:M149"/>
    <mergeCell ref="L358:M358"/>
    <mergeCell ref="L359:M359"/>
    <mergeCell ref="L319:M319"/>
    <mergeCell ref="L326:M326"/>
    <mergeCell ref="L150:M150"/>
    <mergeCell ref="L152:M152"/>
    <mergeCell ref="L153:M153"/>
    <mergeCell ref="L154:M154"/>
    <mergeCell ref="L163:M163"/>
    <mergeCell ref="L164:M164"/>
    <mergeCell ref="L165:M165"/>
    <mergeCell ref="L172:M172"/>
    <mergeCell ref="L173:M173"/>
    <mergeCell ref="L174:M174"/>
    <mergeCell ref="L175:M175"/>
    <mergeCell ref="L176:M176"/>
    <mergeCell ref="L177:M177"/>
    <mergeCell ref="L166:M166"/>
    <mergeCell ref="L167:M167"/>
    <mergeCell ref="L168:M168"/>
    <mergeCell ref="L417:M417"/>
    <mergeCell ref="L418:M418"/>
    <mergeCell ref="B417:D417"/>
    <mergeCell ref="B418:D418"/>
    <mergeCell ref="L328:M328"/>
    <mergeCell ref="L327:M327"/>
    <mergeCell ref="L322:M322"/>
    <mergeCell ref="L323:M323"/>
    <mergeCell ref="L341:M341"/>
    <mergeCell ref="L325:M325"/>
    <mergeCell ref="L356:M356"/>
    <mergeCell ref="L357:M357"/>
    <mergeCell ref="C346:C350"/>
    <mergeCell ref="D346:E346"/>
    <mergeCell ref="L346:M346"/>
    <mergeCell ref="D347:E347"/>
    <mergeCell ref="L347:M347"/>
    <mergeCell ref="D348:E348"/>
    <mergeCell ref="L348:M348"/>
    <mergeCell ref="D349:E349"/>
    <mergeCell ref="L349:M349"/>
    <mergeCell ref="D350:E350"/>
    <mergeCell ref="L350:M350"/>
    <mergeCell ref="B20:B24"/>
    <mergeCell ref="C20:C24"/>
    <mergeCell ref="D21:E21"/>
    <mergeCell ref="D20:E20"/>
    <mergeCell ref="D24:E24"/>
    <mergeCell ref="B15:B17"/>
    <mergeCell ref="L21:M21"/>
    <mergeCell ref="C15:C17"/>
    <mergeCell ref="L34:M34"/>
    <mergeCell ref="L33:M33"/>
    <mergeCell ref="D17:E17"/>
    <mergeCell ref="D16:E16"/>
    <mergeCell ref="D15:E15"/>
    <mergeCell ref="L16:M16"/>
    <mergeCell ref="D19:E19"/>
    <mergeCell ref="L40:M40"/>
    <mergeCell ref="L41:M41"/>
    <mergeCell ref="L20:M20"/>
    <mergeCell ref="L25:M25"/>
    <mergeCell ref="L35:M39"/>
    <mergeCell ref="L23:M23"/>
    <mergeCell ref="L42:M42"/>
    <mergeCell ref="L52:M52"/>
    <mergeCell ref="L53:M53"/>
    <mergeCell ref="L49:M49"/>
    <mergeCell ref="L50:M50"/>
    <mergeCell ref="L51:M51"/>
    <mergeCell ref="L48:M48"/>
    <mergeCell ref="L43:M43"/>
    <mergeCell ref="L44:M44"/>
    <mergeCell ref="L45:M45"/>
    <mergeCell ref="L47:M47"/>
    <mergeCell ref="L46:M46"/>
    <mergeCell ref="L66:M66"/>
    <mergeCell ref="L67:M67"/>
    <mergeCell ref="L68:M68"/>
    <mergeCell ref="L57:M57"/>
    <mergeCell ref="L58:M58"/>
    <mergeCell ref="L59:M59"/>
    <mergeCell ref="L60:M60"/>
    <mergeCell ref="L54:M54"/>
    <mergeCell ref="L55:M55"/>
    <mergeCell ref="L56:M56"/>
    <mergeCell ref="L75:M75"/>
    <mergeCell ref="L76:M76"/>
    <mergeCell ref="L77:M77"/>
    <mergeCell ref="L78:M78"/>
    <mergeCell ref="L79:M79"/>
    <mergeCell ref="L80:M80"/>
    <mergeCell ref="L69:M69"/>
    <mergeCell ref="L70:M70"/>
    <mergeCell ref="L71:M71"/>
    <mergeCell ref="L72:M72"/>
    <mergeCell ref="L73:M73"/>
    <mergeCell ref="L74:M74"/>
    <mergeCell ref="L87:M87"/>
    <mergeCell ref="L88:M88"/>
    <mergeCell ref="L89:M89"/>
    <mergeCell ref="L90:M90"/>
    <mergeCell ref="L91:M91"/>
    <mergeCell ref="L92:M92"/>
    <mergeCell ref="L81:M81"/>
    <mergeCell ref="L82:M82"/>
    <mergeCell ref="L83:M83"/>
    <mergeCell ref="L84:M84"/>
    <mergeCell ref="L85:M85"/>
    <mergeCell ref="L86:M86"/>
    <mergeCell ref="L99:M99"/>
    <mergeCell ref="L100:M100"/>
    <mergeCell ref="L101:M101"/>
    <mergeCell ref="L102:M102"/>
    <mergeCell ref="L103:M103"/>
    <mergeCell ref="L104:M104"/>
    <mergeCell ref="L93:M93"/>
    <mergeCell ref="L94:M94"/>
    <mergeCell ref="L95:M95"/>
    <mergeCell ref="L96:M96"/>
    <mergeCell ref="L97:M97"/>
    <mergeCell ref="L98:M98"/>
    <mergeCell ref="L111:M111"/>
    <mergeCell ref="L112:M112"/>
    <mergeCell ref="L113:M113"/>
    <mergeCell ref="L114:M114"/>
    <mergeCell ref="L115:M115"/>
    <mergeCell ref="L116:M116"/>
    <mergeCell ref="L105:M105"/>
    <mergeCell ref="L106:M106"/>
    <mergeCell ref="L107:M107"/>
    <mergeCell ref="L108:M108"/>
    <mergeCell ref="L109:M109"/>
    <mergeCell ref="L110:M110"/>
    <mergeCell ref="L123:M123"/>
    <mergeCell ref="L124:M124"/>
    <mergeCell ref="L125:M125"/>
    <mergeCell ref="L126:M126"/>
    <mergeCell ref="L127:M127"/>
    <mergeCell ref="L128:M128"/>
    <mergeCell ref="L117:M117"/>
    <mergeCell ref="L118:M118"/>
    <mergeCell ref="L119:M119"/>
    <mergeCell ref="L120:M120"/>
    <mergeCell ref="L121:M121"/>
    <mergeCell ref="L122:M122"/>
    <mergeCell ref="L135:M135"/>
    <mergeCell ref="L136:M136"/>
    <mergeCell ref="L137:M137"/>
    <mergeCell ref="L138:M138"/>
    <mergeCell ref="L139:M139"/>
    <mergeCell ref="L140:M140"/>
    <mergeCell ref="L129:M129"/>
    <mergeCell ref="L130:M130"/>
    <mergeCell ref="L131:M131"/>
    <mergeCell ref="L132:M132"/>
    <mergeCell ref="L133:M133"/>
    <mergeCell ref="L134:M134"/>
    <mergeCell ref="L141:M141"/>
    <mergeCell ref="L142:M142"/>
    <mergeCell ref="L143:M143"/>
    <mergeCell ref="L144:M144"/>
    <mergeCell ref="L145:M145"/>
    <mergeCell ref="L146:M146"/>
    <mergeCell ref="L160:M160"/>
    <mergeCell ref="L161:M161"/>
    <mergeCell ref="L162:M162"/>
    <mergeCell ref="L155:M155"/>
    <mergeCell ref="L151:M151"/>
    <mergeCell ref="L156:M156"/>
    <mergeCell ref="L157:M157"/>
    <mergeCell ref="L158:M158"/>
    <mergeCell ref="L159:M159"/>
    <mergeCell ref="L169:M169"/>
    <mergeCell ref="L170:M170"/>
    <mergeCell ref="L171:M171"/>
    <mergeCell ref="L184:M184"/>
    <mergeCell ref="L185:M185"/>
    <mergeCell ref="L186:M186"/>
    <mergeCell ref="L187:M187"/>
    <mergeCell ref="L188:M188"/>
    <mergeCell ref="L189:M189"/>
    <mergeCell ref="L178:M178"/>
    <mergeCell ref="L179:M179"/>
    <mergeCell ref="L180:M180"/>
    <mergeCell ref="L181:M181"/>
    <mergeCell ref="L182:M182"/>
    <mergeCell ref="L183:M183"/>
    <mergeCell ref="L196:M196"/>
    <mergeCell ref="L197:M197"/>
    <mergeCell ref="L198:M198"/>
    <mergeCell ref="L199:M199"/>
    <mergeCell ref="L200:M200"/>
    <mergeCell ref="L201:M201"/>
    <mergeCell ref="L190:M190"/>
    <mergeCell ref="L191:M191"/>
    <mergeCell ref="L192:M192"/>
    <mergeCell ref="L193:M193"/>
    <mergeCell ref="L194:M194"/>
    <mergeCell ref="L195:M195"/>
    <mergeCell ref="L208:M208"/>
    <mergeCell ref="L209:M209"/>
    <mergeCell ref="L210:M210"/>
    <mergeCell ref="L211:M211"/>
    <mergeCell ref="L212:M212"/>
    <mergeCell ref="L213:M213"/>
    <mergeCell ref="L202:M202"/>
    <mergeCell ref="L203:M203"/>
    <mergeCell ref="L204:M204"/>
    <mergeCell ref="L205:M205"/>
    <mergeCell ref="L206:M206"/>
    <mergeCell ref="L207:M207"/>
    <mergeCell ref="L220:M220"/>
    <mergeCell ref="L221:M221"/>
    <mergeCell ref="L222:M222"/>
    <mergeCell ref="L223:M223"/>
    <mergeCell ref="L224:M224"/>
    <mergeCell ref="L225:M225"/>
    <mergeCell ref="L214:M214"/>
    <mergeCell ref="L215:M215"/>
    <mergeCell ref="L216:M216"/>
    <mergeCell ref="L217:M217"/>
    <mergeCell ref="L218:M218"/>
    <mergeCell ref="L219:M219"/>
    <mergeCell ref="L232:M232"/>
    <mergeCell ref="L233:M233"/>
    <mergeCell ref="L234:M234"/>
    <mergeCell ref="L235:M235"/>
    <mergeCell ref="L236:M236"/>
    <mergeCell ref="L237:M237"/>
    <mergeCell ref="L226:M226"/>
    <mergeCell ref="L227:M227"/>
    <mergeCell ref="L228:M228"/>
    <mergeCell ref="L229:M229"/>
    <mergeCell ref="L230:M230"/>
    <mergeCell ref="L231:M231"/>
    <mergeCell ref="L265:M265"/>
    <mergeCell ref="L266:M266"/>
    <mergeCell ref="L267:M267"/>
    <mergeCell ref="L268:M268"/>
    <mergeCell ref="L269:M269"/>
    <mergeCell ref="L270:M270"/>
    <mergeCell ref="L256:M256"/>
    <mergeCell ref="L257:M257"/>
    <mergeCell ref="L284:M284"/>
    <mergeCell ref="L271:M271"/>
    <mergeCell ref="L274:M274"/>
    <mergeCell ref="L273:M273"/>
    <mergeCell ref="L278:M278"/>
    <mergeCell ref="L279:M279"/>
    <mergeCell ref="L280:M280"/>
    <mergeCell ref="L275:M275"/>
    <mergeCell ref="L276:M276"/>
    <mergeCell ref="L272:M272"/>
    <mergeCell ref="L277:M277"/>
    <mergeCell ref="L246:M246"/>
    <mergeCell ref="L247:M247"/>
    <mergeCell ref="L248:M248"/>
    <mergeCell ref="L249:M249"/>
    <mergeCell ref="L238:M238"/>
    <mergeCell ref="L239:M239"/>
    <mergeCell ref="L240:M240"/>
    <mergeCell ref="L241:M241"/>
    <mergeCell ref="L242:M242"/>
    <mergeCell ref="L243:M243"/>
    <mergeCell ref="E6:F6"/>
    <mergeCell ref="E8:F8"/>
    <mergeCell ref="E9:F9"/>
    <mergeCell ref="E10:F10"/>
    <mergeCell ref="E11:F11"/>
    <mergeCell ref="E7:F7"/>
    <mergeCell ref="L281:M281"/>
    <mergeCell ref="L282:M282"/>
    <mergeCell ref="L283:M283"/>
    <mergeCell ref="L258:M258"/>
    <mergeCell ref="L259:M259"/>
    <mergeCell ref="L260:M260"/>
    <mergeCell ref="L261:M261"/>
    <mergeCell ref="L262:M262"/>
    <mergeCell ref="L263:M263"/>
    <mergeCell ref="L264:M264"/>
    <mergeCell ref="L250:M250"/>
    <mergeCell ref="L251:M251"/>
    <mergeCell ref="L252:M252"/>
    <mergeCell ref="L253:M253"/>
    <mergeCell ref="L254:M254"/>
    <mergeCell ref="L255:M255"/>
    <mergeCell ref="L244:M244"/>
    <mergeCell ref="L245:M245"/>
    <mergeCell ref="O24:P25"/>
    <mergeCell ref="L22:M22"/>
    <mergeCell ref="L13:M14"/>
    <mergeCell ref="R30:S30"/>
    <mergeCell ref="L28:M28"/>
    <mergeCell ref="L26:M26"/>
    <mergeCell ref="L15:M15"/>
    <mergeCell ref="L24:M24"/>
    <mergeCell ref="N29:P32"/>
    <mergeCell ref="L17:M17"/>
    <mergeCell ref="L286:M286"/>
    <mergeCell ref="L287:M287"/>
    <mergeCell ref="L292:M292"/>
    <mergeCell ref="L285:M285"/>
    <mergeCell ref="L288:M288"/>
    <mergeCell ref="L324:M324"/>
    <mergeCell ref="L317:M317"/>
    <mergeCell ref="L318:M318"/>
    <mergeCell ref="L314:M314"/>
    <mergeCell ref="L313:M313"/>
    <mergeCell ref="L316:M316"/>
    <mergeCell ref="L315:M315"/>
    <mergeCell ref="L300:M300"/>
    <mergeCell ref="L305:M305"/>
    <mergeCell ref="L304:M304"/>
    <mergeCell ref="L303:M303"/>
    <mergeCell ref="L289:M289"/>
    <mergeCell ref="L298:M298"/>
    <mergeCell ref="L293:M293"/>
    <mergeCell ref="L294:M294"/>
    <mergeCell ref="L299:M299"/>
    <mergeCell ref="L290:M290"/>
    <mergeCell ref="L291:M291"/>
    <mergeCell ref="L295:M295"/>
    <mergeCell ref="L302:M302"/>
    <mergeCell ref="L297:M297"/>
    <mergeCell ref="L296:M296"/>
    <mergeCell ref="L301:M301"/>
    <mergeCell ref="L424:M424"/>
    <mergeCell ref="B416:D416"/>
    <mergeCell ref="L351:M351"/>
    <mergeCell ref="L353:M353"/>
    <mergeCell ref="L352:M352"/>
    <mergeCell ref="L321:M321"/>
    <mergeCell ref="C422:E422"/>
    <mergeCell ref="C423:F423"/>
    <mergeCell ref="B419:D419"/>
    <mergeCell ref="L354:M354"/>
    <mergeCell ref="B420:D420"/>
    <mergeCell ref="L420:M420"/>
    <mergeCell ref="B421:B423"/>
    <mergeCell ref="C421:E421"/>
    <mergeCell ref="L360:M360"/>
    <mergeCell ref="B346:B350"/>
    <mergeCell ref="L416:M416"/>
    <mergeCell ref="L342:M342"/>
    <mergeCell ref="L343:M343"/>
    <mergeCell ref="L355:M355"/>
  </mergeCells>
  <phoneticPr fontId="8" type="noConversion"/>
  <printOptions horizontalCentered="1" verticalCentered="1"/>
  <pageMargins left="0.25" right="0.25" top="0.25" bottom="0.25" header="0" footer="0"/>
  <pageSetup scale="81" fitToHeight="8" orientation="portrait" r:id="rId1"/>
  <headerFooter alignWithMargins="0">
    <oddHeader>&amp;L&amp;"Calibri"&amp;9&amp;K000000Classification: Internal&amp;1#</oddHeader>
    <oddFooter>Page &amp;P</oddFooter>
  </headerFooter>
  <rowBreaks count="2" manualBreakCount="2">
    <brk id="59" max="16383" man="1"/>
    <brk id="32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D166-891B-4FA8-ABC6-D8CC1DE51925}">
  <dimension ref="A1:N389"/>
  <sheetViews>
    <sheetView zoomScale="110" zoomScaleNormal="110" workbookViewId="0">
      <selection activeCell="F4" sqref="F4:F17"/>
    </sheetView>
  </sheetViews>
  <sheetFormatPr defaultRowHeight="15.75"/>
  <cols>
    <col min="1" max="1" width="8.5703125" style="202" customWidth="1"/>
    <col min="2" max="2" width="8.5703125" style="182" customWidth="1"/>
    <col min="3" max="3" width="8.7109375" style="382"/>
    <col min="5" max="5" width="8.5703125" style="25" customWidth="1"/>
    <col min="6" max="6" width="9.140625" style="182" customWidth="1"/>
    <col min="8" max="8" width="8.85546875" customWidth="1"/>
    <col min="9" max="9" width="9.140625" customWidth="1"/>
    <col min="10" max="10" width="12.5703125" customWidth="1"/>
    <col min="11" max="11" width="8.85546875" customWidth="1"/>
    <col min="12" max="12" width="24.28515625" customWidth="1"/>
    <col min="13" max="13" width="12.28515625" customWidth="1"/>
    <col min="14" max="16" width="8.85546875" customWidth="1"/>
  </cols>
  <sheetData>
    <row r="1" spans="1:14">
      <c r="A1" s="203" t="s">
        <v>76</v>
      </c>
      <c r="B1" s="204"/>
      <c r="E1" s="283" t="s">
        <v>77</v>
      </c>
      <c r="F1" s="284"/>
      <c r="H1" s="526" t="s">
        <v>75</v>
      </c>
      <c r="I1" s="527"/>
      <c r="J1" s="528"/>
    </row>
    <row r="2" spans="1:14" ht="12.95" customHeight="1" thickBot="1">
      <c r="H2" s="286" t="s">
        <v>124</v>
      </c>
      <c r="I2" s="285" t="s">
        <v>125</v>
      </c>
      <c r="J2" s="287" t="s">
        <v>127</v>
      </c>
      <c r="L2" s="292"/>
      <c r="M2" s="293"/>
    </row>
    <row r="3" spans="1:14" ht="12.95" customHeight="1">
      <c r="A3" s="208">
        <v>387</v>
      </c>
      <c r="B3" s="373">
        <v>31.83</v>
      </c>
      <c r="D3" s="218"/>
      <c r="E3" s="218"/>
      <c r="F3" s="206"/>
      <c r="G3" s="205"/>
      <c r="H3" s="218"/>
      <c r="I3" s="320" t="s">
        <v>151</v>
      </c>
      <c r="J3" s="321">
        <v>42.29</v>
      </c>
      <c r="K3" s="322">
        <f>J3-(3.783/12)</f>
        <v>41.97475</v>
      </c>
      <c r="L3" s="222" t="s">
        <v>156</v>
      </c>
      <c r="M3" s="291" t="s">
        <v>118</v>
      </c>
      <c r="N3" s="269">
        <v>13.58</v>
      </c>
    </row>
    <row r="4" spans="1:14" ht="12.95" customHeight="1">
      <c r="A4" s="208">
        <f>A3-1</f>
        <v>386</v>
      </c>
      <c r="B4" s="373">
        <v>33.56</v>
      </c>
      <c r="C4" s="408" t="s">
        <v>223</v>
      </c>
      <c r="D4" s="407"/>
      <c r="E4" s="407"/>
      <c r="F4" s="206" t="s">
        <v>83</v>
      </c>
      <c r="G4" s="205">
        <v>3.21</v>
      </c>
      <c r="I4" s="320" t="s">
        <v>152</v>
      </c>
      <c r="J4" s="321">
        <v>41.09</v>
      </c>
      <c r="K4" s="322">
        <f>J4-(3.783/12)</f>
        <v>40.774750000000004</v>
      </c>
      <c r="L4" s="222" t="s">
        <v>156</v>
      </c>
      <c r="M4" s="271" t="s">
        <v>119</v>
      </c>
      <c r="N4" s="270">
        <v>7.08</v>
      </c>
    </row>
    <row r="5" spans="1:14" ht="13.5" customHeight="1" thickBot="1">
      <c r="A5" s="208">
        <f t="shared" ref="A5:A68" si="0">A4-1</f>
        <v>385</v>
      </c>
      <c r="B5" s="373">
        <v>32.869999999999997</v>
      </c>
      <c r="E5"/>
      <c r="F5" s="206" t="s">
        <v>84</v>
      </c>
      <c r="G5" s="205">
        <v>3.21</v>
      </c>
      <c r="I5" s="384"/>
      <c r="J5" s="385"/>
      <c r="K5" s="386"/>
      <c r="L5" s="387"/>
      <c r="M5" s="272" t="s">
        <v>120</v>
      </c>
      <c r="N5" s="273">
        <v>98.79</v>
      </c>
    </row>
    <row r="6" spans="1:14" ht="13.5" customHeight="1" thickBot="1">
      <c r="A6" s="208">
        <f t="shared" si="0"/>
        <v>384</v>
      </c>
      <c r="B6" s="373">
        <v>33.18</v>
      </c>
      <c r="E6"/>
      <c r="F6" s="206" t="s">
        <v>85</v>
      </c>
      <c r="G6" s="205">
        <v>3.22</v>
      </c>
      <c r="H6" s="218"/>
      <c r="I6" s="388"/>
      <c r="J6" s="389"/>
      <c r="K6" s="386"/>
      <c r="L6" s="390"/>
    </row>
    <row r="7" spans="1:14" ht="13.5" customHeight="1" thickBot="1">
      <c r="A7" s="208">
        <f t="shared" si="0"/>
        <v>383</v>
      </c>
      <c r="B7" s="373">
        <v>33.54</v>
      </c>
      <c r="E7"/>
      <c r="F7" s="206" t="s">
        <v>86</v>
      </c>
      <c r="G7" s="205">
        <v>3.22</v>
      </c>
      <c r="H7" s="218"/>
    </row>
    <row r="8" spans="1:14" ht="13.5" customHeight="1" thickBot="1">
      <c r="A8" s="208">
        <f t="shared" si="0"/>
        <v>382</v>
      </c>
      <c r="B8" s="373">
        <v>31.67</v>
      </c>
      <c r="E8"/>
      <c r="F8" s="206" t="s">
        <v>87</v>
      </c>
      <c r="G8" s="205">
        <v>6.15</v>
      </c>
      <c r="H8" s="218"/>
      <c r="N8" s="524" t="s">
        <v>121</v>
      </c>
    </row>
    <row r="9" spans="1:14" ht="13.5" customHeight="1" thickBot="1">
      <c r="A9" s="208">
        <f t="shared" si="0"/>
        <v>381</v>
      </c>
      <c r="B9" s="373">
        <v>33.19</v>
      </c>
      <c r="E9"/>
      <c r="F9" s="206" t="s">
        <v>88</v>
      </c>
      <c r="G9" s="205">
        <v>6.22</v>
      </c>
      <c r="H9" s="218"/>
      <c r="I9" s="526" t="s">
        <v>81</v>
      </c>
      <c r="J9" s="527"/>
      <c r="K9" s="528"/>
      <c r="M9" s="274"/>
      <c r="N9" s="525"/>
    </row>
    <row r="10" spans="1:14" ht="12.95" customHeight="1" thickBot="1">
      <c r="A10" s="208">
        <f t="shared" si="0"/>
        <v>380</v>
      </c>
      <c r="B10" s="373">
        <v>33.520000000000003</v>
      </c>
      <c r="E10"/>
      <c r="F10" s="206" t="s">
        <v>89</v>
      </c>
      <c r="G10" s="205">
        <v>8.61</v>
      </c>
      <c r="I10" s="286" t="s">
        <v>124</v>
      </c>
      <c r="J10" s="285" t="s">
        <v>125</v>
      </c>
      <c r="K10" s="287" t="s">
        <v>126</v>
      </c>
      <c r="M10" s="275" t="str">
        <f>I3</f>
        <v>LJ1</v>
      </c>
      <c r="N10" s="276">
        <f>K3</f>
        <v>41.97475</v>
      </c>
    </row>
    <row r="11" spans="1:14" ht="12.95" customHeight="1">
      <c r="A11" s="208">
        <f t="shared" si="0"/>
        <v>379</v>
      </c>
      <c r="B11" s="373">
        <v>33.21</v>
      </c>
      <c r="E11"/>
      <c r="F11" s="206" t="s">
        <v>90</v>
      </c>
      <c r="G11" s="205">
        <v>8.67</v>
      </c>
      <c r="I11" s="323" t="s">
        <v>153</v>
      </c>
      <c r="J11" s="397">
        <v>10.18</v>
      </c>
      <c r="K11" s="322">
        <f>J11-(3.783/12)</f>
        <v>9.864749999999999</v>
      </c>
      <c r="L11" s="387" t="s">
        <v>156</v>
      </c>
      <c r="M11" s="275" t="str">
        <f>I20</f>
        <v>LP J</v>
      </c>
      <c r="N11" s="277">
        <f>K20</f>
        <v>4.6847500000000002</v>
      </c>
    </row>
    <row r="12" spans="1:14" ht="12.95" customHeight="1">
      <c r="A12" s="208">
        <f t="shared" si="0"/>
        <v>378</v>
      </c>
      <c r="B12" s="373">
        <v>33.049999999999997</v>
      </c>
      <c r="E12"/>
      <c r="F12" s="206" t="s">
        <v>169</v>
      </c>
      <c r="G12" s="205">
        <v>15.2</v>
      </c>
      <c r="I12" s="288" t="s">
        <v>154</v>
      </c>
      <c r="J12" s="348">
        <v>10.56</v>
      </c>
      <c r="K12" s="289">
        <f>J12-(3.783/12)</f>
        <v>10.24475</v>
      </c>
      <c r="M12" s="278" t="str">
        <f>I22</f>
        <v>LP L</v>
      </c>
      <c r="N12" s="277">
        <f>K22</f>
        <v>2.7847500000000003</v>
      </c>
    </row>
    <row r="13" spans="1:14" ht="12.95" customHeight="1">
      <c r="A13" s="208">
        <f t="shared" si="0"/>
        <v>377</v>
      </c>
      <c r="B13" s="373">
        <v>33.200000000000003</v>
      </c>
      <c r="E13"/>
      <c r="F13" s="206" t="s">
        <v>170</v>
      </c>
      <c r="G13" s="205">
        <v>15.21</v>
      </c>
      <c r="H13" s="218"/>
      <c r="I13" s="391" t="s">
        <v>155</v>
      </c>
      <c r="J13" s="348">
        <v>10.55</v>
      </c>
      <c r="K13" s="289">
        <f t="shared" ref="K13:K23" si="1">J13-(3.783/12)</f>
        <v>10.23475</v>
      </c>
      <c r="M13" s="278" t="str">
        <f>I4</f>
        <v xml:space="preserve">LJ2 </v>
      </c>
      <c r="N13" s="277">
        <f>K4</f>
        <v>40.774750000000004</v>
      </c>
    </row>
    <row r="14" spans="1:14" ht="13.5" customHeight="1" thickBot="1">
      <c r="A14" s="208">
        <f t="shared" si="0"/>
        <v>376</v>
      </c>
      <c r="B14" s="373">
        <v>33.700000000000003</v>
      </c>
      <c r="E14"/>
      <c r="F14" s="206" t="s">
        <v>171</v>
      </c>
      <c r="G14" s="205">
        <v>15.21</v>
      </c>
      <c r="I14" s="288" t="s">
        <v>91</v>
      </c>
      <c r="J14" s="348">
        <v>10.57</v>
      </c>
      <c r="K14" s="289">
        <f t="shared" si="1"/>
        <v>10.25475</v>
      </c>
      <c r="M14" s="278" t="str">
        <f>M3</f>
        <v>Tubing Hanger +THRT:</v>
      </c>
      <c r="N14" s="277">
        <f>N3</f>
        <v>13.58</v>
      </c>
    </row>
    <row r="15" spans="1:14" ht="13.5" customHeight="1" thickBot="1">
      <c r="A15" s="208">
        <f t="shared" si="0"/>
        <v>375</v>
      </c>
      <c r="B15" s="373">
        <v>33.04</v>
      </c>
      <c r="E15"/>
      <c r="F15" s="206" t="s">
        <v>172</v>
      </c>
      <c r="G15" s="205">
        <v>20.2</v>
      </c>
      <c r="I15" s="391" t="s">
        <v>92</v>
      </c>
      <c r="J15" s="398">
        <v>6.17</v>
      </c>
      <c r="K15" s="386">
        <f t="shared" si="1"/>
        <v>5.8547500000000001</v>
      </c>
      <c r="L15" s="387"/>
      <c r="M15" s="279" t="s">
        <v>122</v>
      </c>
      <c r="N15" s="280">
        <f>SUM(N10:N14)</f>
        <v>103.79900000000001</v>
      </c>
    </row>
    <row r="16" spans="1:14" ht="13.5" customHeight="1" thickBot="1">
      <c r="A16" s="208">
        <f t="shared" si="0"/>
        <v>374</v>
      </c>
      <c r="B16" s="373">
        <v>33.01</v>
      </c>
      <c r="E16"/>
      <c r="F16" s="206" t="s">
        <v>173</v>
      </c>
      <c r="G16" s="205">
        <v>20.22</v>
      </c>
      <c r="I16" s="288" t="s">
        <v>93</v>
      </c>
      <c r="J16" s="348">
        <v>6.11</v>
      </c>
      <c r="K16" s="289">
        <f t="shared" si="1"/>
        <v>5.7947500000000005</v>
      </c>
      <c r="M16" s="281" t="s">
        <v>123</v>
      </c>
      <c r="N16" s="282">
        <f>N15-N5</f>
        <v>5.0090000000000003</v>
      </c>
    </row>
    <row r="17" spans="1:11" ht="12.95" customHeight="1">
      <c r="A17" s="208">
        <f t="shared" si="0"/>
        <v>373</v>
      </c>
      <c r="B17" s="373">
        <v>32.5</v>
      </c>
      <c r="E17"/>
      <c r="F17" s="206" t="s">
        <v>174</v>
      </c>
      <c r="G17" s="205">
        <v>20.22</v>
      </c>
      <c r="I17" s="288" t="s">
        <v>94</v>
      </c>
      <c r="J17" s="348">
        <v>5.81</v>
      </c>
      <c r="K17" s="289">
        <f t="shared" si="1"/>
        <v>5.4947499999999998</v>
      </c>
    </row>
    <row r="18" spans="1:11" ht="13.5" customHeight="1" thickBot="1">
      <c r="A18" s="208">
        <f t="shared" si="0"/>
        <v>372</v>
      </c>
      <c r="B18" s="373">
        <v>33.35</v>
      </c>
      <c r="E18"/>
      <c r="F18" s="206"/>
      <c r="G18" s="205"/>
      <c r="I18" s="290" t="s">
        <v>95</v>
      </c>
      <c r="J18" s="348">
        <v>5.48</v>
      </c>
      <c r="K18" s="289">
        <f t="shared" si="1"/>
        <v>5.1647500000000006</v>
      </c>
    </row>
    <row r="19" spans="1:11" ht="12.95" customHeight="1" thickBot="1">
      <c r="A19" s="208">
        <f t="shared" si="0"/>
        <v>371</v>
      </c>
      <c r="B19" s="373">
        <v>32.75</v>
      </c>
      <c r="E19"/>
      <c r="F19" s="206"/>
      <c r="G19" s="205"/>
      <c r="I19" s="290" t="s">
        <v>207</v>
      </c>
      <c r="J19" s="348">
        <v>5.25</v>
      </c>
      <c r="K19" s="289">
        <f t="shared" si="1"/>
        <v>4.9347500000000002</v>
      </c>
    </row>
    <row r="20" spans="1:11" ht="12.95" customHeight="1" thickBot="1">
      <c r="A20" s="208">
        <f t="shared" si="0"/>
        <v>370</v>
      </c>
      <c r="B20" s="373">
        <v>33.340000000000003</v>
      </c>
      <c r="E20"/>
      <c r="F20" s="206"/>
      <c r="G20" s="205"/>
      <c r="I20" s="290" t="s">
        <v>208</v>
      </c>
      <c r="J20" s="348">
        <v>5</v>
      </c>
      <c r="K20" s="289">
        <f t="shared" si="1"/>
        <v>4.6847500000000002</v>
      </c>
    </row>
    <row r="21" spans="1:11" ht="12.95" customHeight="1" thickBot="1">
      <c r="A21" s="208">
        <f t="shared" si="0"/>
        <v>369</v>
      </c>
      <c r="B21" s="373">
        <v>33.74</v>
      </c>
      <c r="E21"/>
      <c r="F21" s="206"/>
      <c r="G21" s="205"/>
      <c r="I21" s="290" t="s">
        <v>209</v>
      </c>
      <c r="J21" s="348">
        <v>3.52</v>
      </c>
      <c r="K21" s="289">
        <f t="shared" si="1"/>
        <v>3.2047500000000002</v>
      </c>
    </row>
    <row r="22" spans="1:11" ht="12.95" customHeight="1" thickBot="1">
      <c r="A22" s="208">
        <f t="shared" si="0"/>
        <v>368</v>
      </c>
      <c r="B22" s="373">
        <v>33.29</v>
      </c>
      <c r="E22"/>
      <c r="F22" s="25"/>
      <c r="G22" s="182"/>
      <c r="I22" s="290" t="s">
        <v>210</v>
      </c>
      <c r="J22" s="348">
        <v>3.1</v>
      </c>
      <c r="K22" s="289">
        <f t="shared" si="1"/>
        <v>2.7847500000000003</v>
      </c>
    </row>
    <row r="23" spans="1:11" ht="12.95" customHeight="1" thickBot="1">
      <c r="A23" s="208">
        <f t="shared" si="0"/>
        <v>367</v>
      </c>
      <c r="B23" s="373">
        <v>33.54</v>
      </c>
      <c r="E23"/>
      <c r="F23" s="25"/>
      <c r="G23" s="182"/>
      <c r="I23" s="290" t="s">
        <v>211</v>
      </c>
      <c r="J23" s="353">
        <v>3.16</v>
      </c>
      <c r="K23" s="289">
        <f t="shared" si="1"/>
        <v>2.8447500000000003</v>
      </c>
    </row>
    <row r="24" spans="1:11" ht="12.95" customHeight="1">
      <c r="A24" s="208">
        <f t="shared" si="0"/>
        <v>366</v>
      </c>
      <c r="B24" s="373">
        <v>33.46</v>
      </c>
      <c r="E24"/>
      <c r="F24" s="25"/>
      <c r="G24" s="182"/>
    </row>
    <row r="25" spans="1:11" ht="12.95" customHeight="1">
      <c r="A25" s="208">
        <f t="shared" si="0"/>
        <v>365</v>
      </c>
      <c r="B25" s="373">
        <v>33.950000000000003</v>
      </c>
      <c r="E25"/>
      <c r="F25" s="25"/>
      <c r="G25" s="182"/>
    </row>
    <row r="26" spans="1:11" ht="12.95" customHeight="1">
      <c r="A26" s="208">
        <f t="shared" si="0"/>
        <v>364</v>
      </c>
      <c r="B26" s="373">
        <v>33.590000000000003</v>
      </c>
      <c r="E26"/>
      <c r="F26" s="25"/>
      <c r="G26" s="182"/>
    </row>
    <row r="27" spans="1:11" ht="12.95" customHeight="1">
      <c r="A27" s="208">
        <f t="shared" si="0"/>
        <v>363</v>
      </c>
      <c r="B27" s="373">
        <v>32.880000000000003</v>
      </c>
      <c r="E27"/>
      <c r="F27" s="25"/>
      <c r="G27" s="182"/>
    </row>
    <row r="28" spans="1:11" ht="12.95" customHeight="1">
      <c r="A28" s="208">
        <f t="shared" si="0"/>
        <v>362</v>
      </c>
      <c r="B28" s="373">
        <v>31.5</v>
      </c>
      <c r="E28"/>
      <c r="F28" s="25"/>
      <c r="G28" s="182"/>
    </row>
    <row r="29" spans="1:11" ht="12.95" customHeight="1">
      <c r="A29" s="208">
        <f t="shared" si="0"/>
        <v>361</v>
      </c>
      <c r="B29" s="373">
        <v>33.450000000000003</v>
      </c>
      <c r="E29"/>
      <c r="F29" s="25"/>
      <c r="G29" s="182"/>
    </row>
    <row r="30" spans="1:11" ht="12.95" customHeight="1">
      <c r="A30" s="208">
        <f t="shared" si="0"/>
        <v>360</v>
      </c>
      <c r="B30" s="373">
        <v>33.06</v>
      </c>
      <c r="E30"/>
      <c r="F30" s="25"/>
      <c r="G30" s="182"/>
    </row>
    <row r="31" spans="1:11" ht="12.95" customHeight="1">
      <c r="A31" s="208">
        <f t="shared" si="0"/>
        <v>359</v>
      </c>
      <c r="B31" s="373">
        <v>33.049999999999997</v>
      </c>
      <c r="E31"/>
      <c r="F31" s="25"/>
      <c r="G31" s="182"/>
    </row>
    <row r="32" spans="1:11" ht="12.95" customHeight="1">
      <c r="A32" s="208">
        <f t="shared" si="0"/>
        <v>358</v>
      </c>
      <c r="B32" s="373">
        <v>33.29</v>
      </c>
      <c r="E32"/>
      <c r="F32" s="25"/>
      <c r="G32" s="182"/>
    </row>
    <row r="33" spans="1:7" ht="12.95" customHeight="1">
      <c r="A33" s="208">
        <f t="shared" si="0"/>
        <v>357</v>
      </c>
      <c r="B33" s="373">
        <v>33.200000000000003</v>
      </c>
      <c r="E33"/>
      <c r="F33" s="25"/>
      <c r="G33" s="182"/>
    </row>
    <row r="34" spans="1:7" ht="12.95" customHeight="1">
      <c r="A34" s="208">
        <f t="shared" si="0"/>
        <v>356</v>
      </c>
      <c r="B34" s="373">
        <v>33.520000000000003</v>
      </c>
      <c r="E34"/>
      <c r="F34" s="25"/>
      <c r="G34" s="182"/>
    </row>
    <row r="35" spans="1:7" ht="12.95" customHeight="1">
      <c r="A35" s="208">
        <f t="shared" si="0"/>
        <v>355</v>
      </c>
      <c r="B35" s="373">
        <v>33</v>
      </c>
      <c r="E35"/>
      <c r="F35" s="25"/>
      <c r="G35" s="182"/>
    </row>
    <row r="36" spans="1:7" ht="12.95" customHeight="1">
      <c r="A36" s="208">
        <f t="shared" si="0"/>
        <v>354</v>
      </c>
      <c r="B36" s="373">
        <v>33.75</v>
      </c>
      <c r="E36"/>
      <c r="F36" s="25"/>
      <c r="G36" s="182"/>
    </row>
    <row r="37" spans="1:7" ht="12.95" customHeight="1">
      <c r="A37" s="208">
        <f t="shared" si="0"/>
        <v>353</v>
      </c>
      <c r="B37" s="373">
        <v>32.81</v>
      </c>
      <c r="E37"/>
      <c r="F37" s="25"/>
      <c r="G37" s="182"/>
    </row>
    <row r="38" spans="1:7" ht="12.95" customHeight="1">
      <c r="A38" s="208">
        <f t="shared" si="0"/>
        <v>352</v>
      </c>
      <c r="B38" s="373">
        <v>33.19</v>
      </c>
      <c r="E38"/>
      <c r="F38" s="25"/>
      <c r="G38" s="182"/>
    </row>
    <row r="39" spans="1:7" ht="12.95" customHeight="1">
      <c r="A39" s="208">
        <f t="shared" si="0"/>
        <v>351</v>
      </c>
      <c r="B39" s="373">
        <v>33.049999999999997</v>
      </c>
      <c r="E39"/>
      <c r="F39" s="25"/>
      <c r="G39" s="182"/>
    </row>
    <row r="40" spans="1:7" ht="12.95" customHeight="1">
      <c r="A40" s="208">
        <f t="shared" si="0"/>
        <v>350</v>
      </c>
      <c r="B40" s="373">
        <v>31.37</v>
      </c>
      <c r="E40"/>
      <c r="F40" s="25"/>
      <c r="G40" s="182"/>
    </row>
    <row r="41" spans="1:7" ht="12.95" customHeight="1">
      <c r="A41" s="208">
        <f t="shared" si="0"/>
        <v>349</v>
      </c>
      <c r="B41" s="373">
        <v>33.15</v>
      </c>
      <c r="E41"/>
      <c r="F41" s="25"/>
      <c r="G41" s="182"/>
    </row>
    <row r="42" spans="1:7" ht="12.95" customHeight="1">
      <c r="A42" s="208">
        <f t="shared" si="0"/>
        <v>348</v>
      </c>
      <c r="B42" s="373">
        <v>33.26</v>
      </c>
      <c r="E42"/>
      <c r="F42" s="25"/>
      <c r="G42" s="182"/>
    </row>
    <row r="43" spans="1:7" ht="12.95" customHeight="1">
      <c r="A43" s="208">
        <f t="shared" si="0"/>
        <v>347</v>
      </c>
      <c r="B43" s="373">
        <v>33.47</v>
      </c>
      <c r="E43"/>
      <c r="F43" s="25"/>
      <c r="G43" s="182"/>
    </row>
    <row r="44" spans="1:7" ht="12.95" customHeight="1">
      <c r="A44" s="208">
        <f t="shared" si="0"/>
        <v>346</v>
      </c>
      <c r="B44" s="373">
        <v>33.08</v>
      </c>
      <c r="E44"/>
      <c r="F44" s="25"/>
      <c r="G44" s="182"/>
    </row>
    <row r="45" spans="1:7" ht="12.95" customHeight="1">
      <c r="A45" s="208">
        <f t="shared" si="0"/>
        <v>345</v>
      </c>
      <c r="B45" s="373">
        <v>33.43</v>
      </c>
      <c r="E45"/>
      <c r="F45" s="25"/>
      <c r="G45" s="182"/>
    </row>
    <row r="46" spans="1:7" ht="12.95" customHeight="1">
      <c r="A46" s="208">
        <f t="shared" si="0"/>
        <v>344</v>
      </c>
      <c r="B46" s="373">
        <v>32.51</v>
      </c>
      <c r="E46"/>
      <c r="F46" s="25"/>
      <c r="G46" s="182"/>
    </row>
    <row r="47" spans="1:7" ht="12.95" customHeight="1">
      <c r="A47" s="208">
        <f t="shared" si="0"/>
        <v>343</v>
      </c>
      <c r="B47" s="373">
        <v>33.14</v>
      </c>
      <c r="E47"/>
      <c r="F47" s="25"/>
      <c r="G47" s="182"/>
    </row>
    <row r="48" spans="1:7" ht="12.95" customHeight="1">
      <c r="A48" s="208">
        <f t="shared" si="0"/>
        <v>342</v>
      </c>
      <c r="B48" s="373">
        <v>31.44</v>
      </c>
      <c r="E48"/>
      <c r="F48" s="25"/>
      <c r="G48" s="182"/>
    </row>
    <row r="49" spans="1:7" ht="12.95" customHeight="1">
      <c r="A49" s="208">
        <f t="shared" si="0"/>
        <v>341</v>
      </c>
      <c r="B49" s="373">
        <v>33.85</v>
      </c>
      <c r="E49"/>
      <c r="F49" s="25"/>
      <c r="G49" s="182"/>
    </row>
    <row r="50" spans="1:7" ht="12.95" customHeight="1">
      <c r="A50" s="208">
        <f t="shared" si="0"/>
        <v>340</v>
      </c>
      <c r="B50" s="373">
        <v>31.65</v>
      </c>
      <c r="E50"/>
      <c r="F50" s="25"/>
      <c r="G50" s="182"/>
    </row>
    <row r="51" spans="1:7" ht="12.95" customHeight="1">
      <c r="A51" s="208">
        <f t="shared" si="0"/>
        <v>339</v>
      </c>
      <c r="B51" s="373">
        <v>33.39</v>
      </c>
      <c r="E51"/>
      <c r="F51" s="25"/>
      <c r="G51" s="182"/>
    </row>
    <row r="52" spans="1:7" ht="12.95" customHeight="1">
      <c r="A52" s="208">
        <f t="shared" si="0"/>
        <v>338</v>
      </c>
      <c r="B52" s="373">
        <v>32.700000000000003</v>
      </c>
      <c r="E52"/>
      <c r="F52" s="25"/>
      <c r="G52" s="182"/>
    </row>
    <row r="53" spans="1:7" ht="12.95" customHeight="1">
      <c r="A53" s="208">
        <f t="shared" si="0"/>
        <v>337</v>
      </c>
      <c r="B53" s="373">
        <v>32.97</v>
      </c>
      <c r="E53"/>
      <c r="F53" s="25"/>
      <c r="G53" s="182"/>
    </row>
    <row r="54" spans="1:7" ht="12.95" customHeight="1">
      <c r="A54" s="208">
        <f t="shared" si="0"/>
        <v>336</v>
      </c>
      <c r="B54" s="373">
        <v>33.200000000000003</v>
      </c>
      <c r="E54"/>
      <c r="F54" s="25"/>
      <c r="G54" s="182"/>
    </row>
    <row r="55" spans="1:7" ht="12.95" customHeight="1">
      <c r="A55" s="208">
        <f t="shared" si="0"/>
        <v>335</v>
      </c>
      <c r="B55" s="373">
        <v>32.76</v>
      </c>
      <c r="E55"/>
      <c r="F55" s="25"/>
      <c r="G55" s="182"/>
    </row>
    <row r="56" spans="1:7" ht="12.95" customHeight="1">
      <c r="A56" s="208">
        <f t="shared" si="0"/>
        <v>334</v>
      </c>
      <c r="B56" s="373">
        <v>33.19</v>
      </c>
      <c r="E56"/>
      <c r="F56" s="25"/>
      <c r="G56" s="182"/>
    </row>
    <row r="57" spans="1:7" ht="12.95" customHeight="1">
      <c r="A57" s="208">
        <f t="shared" si="0"/>
        <v>333</v>
      </c>
      <c r="B57" s="373">
        <v>33.53</v>
      </c>
      <c r="E57"/>
      <c r="F57" s="25"/>
      <c r="G57" s="182"/>
    </row>
    <row r="58" spans="1:7" ht="12.95" customHeight="1">
      <c r="A58" s="208">
        <f t="shared" si="0"/>
        <v>332</v>
      </c>
      <c r="B58" s="373">
        <v>33.049999999999997</v>
      </c>
      <c r="E58"/>
      <c r="F58" s="25"/>
      <c r="G58" s="182"/>
    </row>
    <row r="59" spans="1:7" ht="12.95" customHeight="1">
      <c r="A59" s="208">
        <f t="shared" si="0"/>
        <v>331</v>
      </c>
      <c r="B59" s="373">
        <v>33.380000000000003</v>
      </c>
      <c r="E59"/>
      <c r="F59" s="25"/>
      <c r="G59" s="182"/>
    </row>
    <row r="60" spans="1:7" ht="12.95" customHeight="1">
      <c r="A60" s="208">
        <f t="shared" si="0"/>
        <v>330</v>
      </c>
      <c r="B60" s="373">
        <v>32.880000000000003</v>
      </c>
      <c r="E60"/>
      <c r="F60" s="25"/>
      <c r="G60" s="182"/>
    </row>
    <row r="61" spans="1:7" ht="12.95" customHeight="1">
      <c r="A61" s="208">
        <f t="shared" si="0"/>
        <v>329</v>
      </c>
      <c r="B61" s="373">
        <v>33.18</v>
      </c>
      <c r="E61"/>
      <c r="F61" s="25"/>
      <c r="G61" s="182"/>
    </row>
    <row r="62" spans="1:7" ht="12.95" customHeight="1">
      <c r="A62" s="208">
        <f t="shared" si="0"/>
        <v>328</v>
      </c>
      <c r="B62" s="373">
        <v>33.64</v>
      </c>
      <c r="E62"/>
      <c r="F62" s="25"/>
      <c r="G62" s="182"/>
    </row>
    <row r="63" spans="1:7" ht="12.95" customHeight="1">
      <c r="A63" s="208">
        <f t="shared" si="0"/>
        <v>327</v>
      </c>
      <c r="B63" s="373">
        <v>33.75</v>
      </c>
      <c r="E63"/>
      <c r="F63" s="25"/>
      <c r="G63" s="182"/>
    </row>
    <row r="64" spans="1:7" ht="12.95" customHeight="1">
      <c r="A64" s="208">
        <f t="shared" si="0"/>
        <v>326</v>
      </c>
      <c r="B64" s="373">
        <v>31</v>
      </c>
      <c r="E64"/>
      <c r="F64" s="25"/>
      <c r="G64" s="182"/>
    </row>
    <row r="65" spans="1:7" ht="12.95" customHeight="1">
      <c r="A65" s="208">
        <f t="shared" si="0"/>
        <v>325</v>
      </c>
      <c r="B65" s="373">
        <v>33.4</v>
      </c>
      <c r="E65"/>
      <c r="F65" s="25"/>
      <c r="G65" s="182"/>
    </row>
    <row r="66" spans="1:7" ht="12.95" customHeight="1">
      <c r="A66" s="208">
        <f t="shared" si="0"/>
        <v>324</v>
      </c>
      <c r="B66" s="215">
        <v>33.96</v>
      </c>
      <c r="E66"/>
      <c r="F66" s="25"/>
      <c r="G66" s="182"/>
    </row>
    <row r="67" spans="1:7" ht="12.95" customHeight="1">
      <c r="A67" s="208">
        <f t="shared" si="0"/>
        <v>323</v>
      </c>
      <c r="B67" s="215">
        <v>33.130000000000003</v>
      </c>
      <c r="E67"/>
      <c r="F67" s="25"/>
      <c r="G67" s="182"/>
    </row>
    <row r="68" spans="1:7" ht="12.95" customHeight="1">
      <c r="A68" s="208">
        <f t="shared" si="0"/>
        <v>322</v>
      </c>
      <c r="B68" s="215">
        <v>33.54</v>
      </c>
      <c r="E68"/>
      <c r="F68" s="25"/>
      <c r="G68" s="182"/>
    </row>
    <row r="69" spans="1:7" ht="12.95" customHeight="1">
      <c r="A69" s="208">
        <f t="shared" ref="A69:A133" si="2">A68-1</f>
        <v>321</v>
      </c>
      <c r="B69" s="215">
        <v>31.46</v>
      </c>
      <c r="E69"/>
      <c r="F69" s="25"/>
      <c r="G69" s="182"/>
    </row>
    <row r="70" spans="1:7" ht="12.95" customHeight="1">
      <c r="A70" s="208">
        <f t="shared" si="2"/>
        <v>320</v>
      </c>
      <c r="B70" s="215">
        <v>32.97</v>
      </c>
      <c r="E70"/>
      <c r="F70" s="25"/>
      <c r="G70" s="182"/>
    </row>
    <row r="71" spans="1:7" ht="12.95" customHeight="1">
      <c r="A71" s="208">
        <f t="shared" si="2"/>
        <v>319</v>
      </c>
      <c r="B71" s="215">
        <v>32.94</v>
      </c>
      <c r="E71"/>
      <c r="F71" s="25"/>
      <c r="G71" s="182"/>
    </row>
    <row r="72" spans="1:7" ht="12.95" customHeight="1">
      <c r="A72" s="208">
        <f t="shared" si="2"/>
        <v>318</v>
      </c>
      <c r="B72" s="215">
        <v>33.229999999999997</v>
      </c>
      <c r="E72"/>
      <c r="F72" s="25"/>
      <c r="G72" s="182"/>
    </row>
    <row r="73" spans="1:7" ht="12.95" customHeight="1">
      <c r="A73" s="208">
        <f t="shared" si="2"/>
        <v>317</v>
      </c>
      <c r="B73" s="215">
        <v>33.159999999999997</v>
      </c>
      <c r="E73"/>
      <c r="F73" s="25"/>
      <c r="G73" s="182"/>
    </row>
    <row r="74" spans="1:7" ht="12.95" customHeight="1">
      <c r="A74" s="208">
        <f t="shared" si="2"/>
        <v>316</v>
      </c>
      <c r="B74" s="215">
        <v>33.24</v>
      </c>
      <c r="E74"/>
      <c r="F74" s="25"/>
      <c r="G74" s="182"/>
    </row>
    <row r="75" spans="1:7" ht="12.95" customHeight="1">
      <c r="A75" s="208">
        <f t="shared" si="2"/>
        <v>315</v>
      </c>
      <c r="B75" s="215">
        <v>30.91</v>
      </c>
      <c r="E75"/>
      <c r="F75" s="25"/>
      <c r="G75" s="182"/>
    </row>
    <row r="76" spans="1:7" ht="12.95" customHeight="1">
      <c r="A76" s="208">
        <f t="shared" si="2"/>
        <v>314</v>
      </c>
      <c r="B76" s="215">
        <v>32.630000000000003</v>
      </c>
      <c r="E76"/>
      <c r="F76" s="25"/>
      <c r="G76" s="182"/>
    </row>
    <row r="77" spans="1:7" ht="12.95" customHeight="1">
      <c r="A77" s="208">
        <f t="shared" si="2"/>
        <v>313</v>
      </c>
      <c r="B77" s="215">
        <v>33.06</v>
      </c>
      <c r="E77"/>
      <c r="F77" s="25"/>
      <c r="G77" s="182"/>
    </row>
    <row r="78" spans="1:7" ht="12.95" customHeight="1">
      <c r="A78" s="208">
        <f t="shared" si="2"/>
        <v>312</v>
      </c>
      <c r="B78" s="215">
        <v>33.04</v>
      </c>
      <c r="E78"/>
      <c r="F78" s="25"/>
      <c r="G78" s="182"/>
    </row>
    <row r="79" spans="1:7" ht="12.95" customHeight="1">
      <c r="A79" s="208">
        <f t="shared" si="2"/>
        <v>311</v>
      </c>
      <c r="B79" s="215">
        <v>33.299999999999997</v>
      </c>
      <c r="E79"/>
      <c r="F79" s="25"/>
      <c r="G79" s="182"/>
    </row>
    <row r="80" spans="1:7" ht="12.95" customHeight="1">
      <c r="A80" s="208">
        <f t="shared" si="2"/>
        <v>310</v>
      </c>
      <c r="B80" s="215">
        <v>33.5</v>
      </c>
      <c r="E80"/>
      <c r="F80" s="25"/>
      <c r="G80" s="182"/>
    </row>
    <row r="81" spans="1:7" ht="12.95" customHeight="1">
      <c r="A81" s="208">
        <f t="shared" si="2"/>
        <v>309</v>
      </c>
      <c r="B81" s="215">
        <v>33.19</v>
      </c>
      <c r="E81"/>
      <c r="F81" s="25"/>
      <c r="G81" s="182"/>
    </row>
    <row r="82" spans="1:7" ht="12.95" customHeight="1">
      <c r="A82" s="208">
        <f t="shared" si="2"/>
        <v>308</v>
      </c>
      <c r="B82" s="215">
        <v>32.119999999999997</v>
      </c>
      <c r="E82"/>
      <c r="F82" s="25"/>
      <c r="G82" s="182"/>
    </row>
    <row r="83" spans="1:7" ht="12.95" customHeight="1">
      <c r="A83" s="208">
        <f t="shared" si="2"/>
        <v>307</v>
      </c>
      <c r="B83" s="215">
        <v>32.72</v>
      </c>
      <c r="E83"/>
      <c r="F83" s="25"/>
      <c r="G83" s="182"/>
    </row>
    <row r="84" spans="1:7" ht="12.95" customHeight="1">
      <c r="A84" s="208">
        <f t="shared" si="2"/>
        <v>306</v>
      </c>
      <c r="B84" s="215">
        <v>33.19</v>
      </c>
      <c r="E84"/>
      <c r="F84" s="25"/>
      <c r="G84" s="182"/>
    </row>
    <row r="85" spans="1:7" ht="12.95" customHeight="1">
      <c r="A85" s="208">
        <f t="shared" si="2"/>
        <v>305</v>
      </c>
      <c r="B85" s="215">
        <v>33.5</v>
      </c>
      <c r="E85"/>
      <c r="F85" s="25"/>
      <c r="G85" s="182"/>
    </row>
    <row r="86" spans="1:7" ht="12.95" customHeight="1">
      <c r="A86" s="208">
        <f t="shared" si="2"/>
        <v>304</v>
      </c>
      <c r="B86" s="215">
        <v>33.1</v>
      </c>
      <c r="E86"/>
      <c r="F86" s="25"/>
      <c r="G86" s="182"/>
    </row>
    <row r="87" spans="1:7" ht="12.95" customHeight="1">
      <c r="A87" s="208">
        <f t="shared" si="2"/>
        <v>303</v>
      </c>
      <c r="B87" s="215">
        <v>33.1</v>
      </c>
      <c r="E87"/>
      <c r="F87" s="25"/>
      <c r="G87" s="182"/>
    </row>
    <row r="88" spans="1:7" ht="12.95" customHeight="1">
      <c r="A88" s="208">
        <f t="shared" si="2"/>
        <v>302</v>
      </c>
      <c r="B88" s="215">
        <v>33.1</v>
      </c>
      <c r="E88"/>
      <c r="F88" s="25"/>
      <c r="G88" s="182"/>
    </row>
    <row r="89" spans="1:7" ht="12.95" customHeight="1">
      <c r="A89" s="208">
        <f t="shared" si="2"/>
        <v>301</v>
      </c>
      <c r="B89" s="215">
        <v>33.39</v>
      </c>
      <c r="E89"/>
      <c r="F89" s="25"/>
      <c r="G89" s="182"/>
    </row>
    <row r="90" spans="1:7" ht="12.95" customHeight="1">
      <c r="A90" s="208">
        <f t="shared" si="2"/>
        <v>300</v>
      </c>
      <c r="B90" s="215">
        <v>34.14</v>
      </c>
      <c r="E90"/>
      <c r="F90" s="25"/>
      <c r="G90" s="182"/>
    </row>
    <row r="91" spans="1:7" ht="12.95" customHeight="1">
      <c r="A91" s="208">
        <f t="shared" si="2"/>
        <v>299</v>
      </c>
      <c r="B91" s="215">
        <v>34.74</v>
      </c>
      <c r="E91"/>
      <c r="F91" s="25"/>
      <c r="G91" s="182"/>
    </row>
    <row r="92" spans="1:7" ht="12.95" customHeight="1">
      <c r="A92" s="208">
        <f t="shared" si="2"/>
        <v>298</v>
      </c>
      <c r="B92" s="215">
        <v>36.47</v>
      </c>
      <c r="E92"/>
      <c r="F92" s="25"/>
      <c r="G92" s="182"/>
    </row>
    <row r="93" spans="1:7" ht="12.95" customHeight="1">
      <c r="A93" s="208">
        <f t="shared" si="2"/>
        <v>297</v>
      </c>
      <c r="B93" s="215">
        <v>36.58</v>
      </c>
      <c r="E93"/>
      <c r="F93" s="25"/>
      <c r="G93" s="182"/>
    </row>
    <row r="94" spans="1:7" ht="12.95" customHeight="1">
      <c r="A94" s="208">
        <f t="shared" si="2"/>
        <v>296</v>
      </c>
      <c r="B94" s="215">
        <v>35.69</v>
      </c>
      <c r="E94"/>
      <c r="F94" s="25"/>
      <c r="G94" s="182"/>
    </row>
    <row r="95" spans="1:7" ht="12.95" customHeight="1">
      <c r="A95" s="208">
        <f t="shared" si="2"/>
        <v>295</v>
      </c>
      <c r="B95" s="215">
        <v>36</v>
      </c>
      <c r="E95"/>
      <c r="F95" s="25"/>
      <c r="G95" s="182"/>
    </row>
    <row r="96" spans="1:7" ht="12.95" customHeight="1">
      <c r="A96" s="208">
        <f t="shared" si="2"/>
        <v>294</v>
      </c>
      <c r="B96" s="215">
        <v>34.79</v>
      </c>
      <c r="E96"/>
      <c r="F96" s="25"/>
      <c r="G96" s="182"/>
    </row>
    <row r="97" spans="1:7" ht="12.95" customHeight="1">
      <c r="A97" s="208">
        <f t="shared" si="2"/>
        <v>293</v>
      </c>
      <c r="B97" s="215">
        <v>34.090000000000003</v>
      </c>
      <c r="E97"/>
      <c r="F97" s="25"/>
      <c r="G97" s="182"/>
    </row>
    <row r="98" spans="1:7" ht="12.95" customHeight="1">
      <c r="A98" s="208">
        <f t="shared" si="2"/>
        <v>292</v>
      </c>
      <c r="B98" s="215">
        <v>35.1</v>
      </c>
      <c r="E98"/>
      <c r="F98" s="25"/>
      <c r="G98" s="182"/>
    </row>
    <row r="99" spans="1:7" ht="12.95" customHeight="1">
      <c r="A99" s="208">
        <f t="shared" si="2"/>
        <v>291</v>
      </c>
      <c r="B99" s="215">
        <v>33.1</v>
      </c>
      <c r="E99"/>
      <c r="F99" s="25"/>
      <c r="G99" s="182"/>
    </row>
    <row r="100" spans="1:7" ht="12.95" customHeight="1">
      <c r="A100" s="208">
        <f t="shared" si="2"/>
        <v>290</v>
      </c>
      <c r="B100" s="215">
        <v>35.32</v>
      </c>
      <c r="E100"/>
      <c r="F100" s="25"/>
      <c r="G100" s="182"/>
    </row>
    <row r="101" spans="1:7" ht="12.95" customHeight="1">
      <c r="A101" s="208">
        <f t="shared" si="2"/>
        <v>289</v>
      </c>
      <c r="B101" s="373">
        <v>35.82</v>
      </c>
      <c r="E101"/>
      <c r="F101" s="25"/>
      <c r="G101" s="182"/>
    </row>
    <row r="102" spans="1:7" ht="12.95" customHeight="1">
      <c r="A102" s="208">
        <f t="shared" si="2"/>
        <v>288</v>
      </c>
      <c r="B102" s="373">
        <v>34.21</v>
      </c>
      <c r="E102"/>
      <c r="F102" s="25"/>
      <c r="G102" s="182"/>
    </row>
    <row r="103" spans="1:7" ht="12.95" customHeight="1">
      <c r="A103" s="208">
        <f t="shared" si="2"/>
        <v>287</v>
      </c>
      <c r="B103" s="373">
        <v>33.51</v>
      </c>
      <c r="E103"/>
      <c r="F103" s="25"/>
      <c r="G103" s="182"/>
    </row>
    <row r="104" spans="1:7" ht="12.95" customHeight="1">
      <c r="A104" s="208">
        <f t="shared" si="2"/>
        <v>286</v>
      </c>
      <c r="B104" s="373">
        <v>37.17</v>
      </c>
      <c r="E104"/>
      <c r="F104" s="25"/>
      <c r="G104" s="182"/>
    </row>
    <row r="105" spans="1:7" ht="12.95" customHeight="1">
      <c r="A105" s="208">
        <f t="shared" si="2"/>
        <v>285</v>
      </c>
      <c r="B105" s="373">
        <v>35.130000000000003</v>
      </c>
      <c r="E105"/>
      <c r="F105" s="25"/>
      <c r="G105" s="182"/>
    </row>
    <row r="106" spans="1:7" ht="12.95" customHeight="1">
      <c r="A106" s="208">
        <f t="shared" si="2"/>
        <v>284</v>
      </c>
      <c r="B106" s="373">
        <v>34.659999999999997</v>
      </c>
      <c r="E106"/>
      <c r="F106" s="25"/>
      <c r="G106" s="182"/>
    </row>
    <row r="107" spans="1:7" ht="12.95" customHeight="1">
      <c r="A107" s="208">
        <f t="shared" si="2"/>
        <v>283</v>
      </c>
      <c r="B107" s="373">
        <v>33.67</v>
      </c>
      <c r="E107"/>
      <c r="F107" s="25"/>
      <c r="G107" s="182"/>
    </row>
    <row r="108" spans="1:7" ht="12.95" customHeight="1">
      <c r="A108" s="208">
        <f t="shared" si="2"/>
        <v>282</v>
      </c>
      <c r="B108" s="373">
        <v>37.659999999999997</v>
      </c>
      <c r="E108"/>
      <c r="F108" s="25"/>
      <c r="G108" s="182"/>
    </row>
    <row r="109" spans="1:7" ht="12.95" customHeight="1">
      <c r="A109" s="208">
        <f t="shared" si="2"/>
        <v>281</v>
      </c>
      <c r="B109" s="373">
        <v>33.409999999999997</v>
      </c>
      <c r="E109"/>
      <c r="F109" s="25"/>
      <c r="G109" s="182"/>
    </row>
    <row r="110" spans="1:7" ht="12.95" customHeight="1">
      <c r="A110" s="208">
        <f t="shared" si="2"/>
        <v>280</v>
      </c>
      <c r="B110" s="373">
        <v>33.049999999999997</v>
      </c>
      <c r="E110"/>
      <c r="F110" s="25"/>
      <c r="G110" s="182"/>
    </row>
    <row r="111" spans="1:7" ht="12.95" customHeight="1">
      <c r="A111" s="208">
        <f t="shared" si="2"/>
        <v>279</v>
      </c>
      <c r="B111" s="373">
        <v>33.56</v>
      </c>
      <c r="E111"/>
      <c r="F111" s="25"/>
      <c r="G111" s="182"/>
    </row>
    <row r="112" spans="1:7" ht="12.95" customHeight="1">
      <c r="A112" s="208">
        <f t="shared" si="2"/>
        <v>278</v>
      </c>
      <c r="B112" s="373">
        <v>33.26</v>
      </c>
      <c r="E112"/>
      <c r="F112" s="25"/>
      <c r="G112" s="182"/>
    </row>
    <row r="113" spans="1:7" ht="12.95" customHeight="1">
      <c r="A113" s="208">
        <f t="shared" si="2"/>
        <v>277</v>
      </c>
      <c r="B113" s="373">
        <v>33.5</v>
      </c>
      <c r="E113"/>
      <c r="F113" s="25"/>
      <c r="G113" s="182"/>
    </row>
    <row r="114" spans="1:7" ht="12.95" customHeight="1">
      <c r="A114" s="208">
        <f t="shared" si="2"/>
        <v>276</v>
      </c>
      <c r="B114" s="373">
        <v>33.369999999999997</v>
      </c>
      <c r="E114"/>
      <c r="F114" s="25"/>
      <c r="G114" s="182"/>
    </row>
    <row r="115" spans="1:7" ht="12.95" customHeight="1">
      <c r="A115" s="208">
        <f t="shared" si="2"/>
        <v>275</v>
      </c>
      <c r="B115" s="373">
        <v>33.450000000000003</v>
      </c>
      <c r="E115"/>
      <c r="F115" s="25"/>
      <c r="G115" s="182"/>
    </row>
    <row r="116" spans="1:7" ht="12.95" customHeight="1">
      <c r="A116" s="208">
        <f t="shared" si="2"/>
        <v>274</v>
      </c>
      <c r="B116" s="373">
        <v>33.090000000000003</v>
      </c>
      <c r="E116"/>
      <c r="F116" s="25"/>
      <c r="G116" s="182"/>
    </row>
    <row r="117" spans="1:7" ht="12.95" customHeight="1">
      <c r="A117" s="208">
        <f t="shared" si="2"/>
        <v>273</v>
      </c>
      <c r="B117" s="373">
        <v>33.35</v>
      </c>
      <c r="E117"/>
      <c r="F117" s="25"/>
      <c r="G117" s="182"/>
    </row>
    <row r="118" spans="1:7" ht="12.95" customHeight="1">
      <c r="A118" s="208">
        <f t="shared" si="2"/>
        <v>272</v>
      </c>
      <c r="B118" s="373">
        <v>34.869999999999997</v>
      </c>
      <c r="D118" s="218"/>
      <c r="E118"/>
      <c r="F118" s="25"/>
      <c r="G118" s="182"/>
    </row>
    <row r="119" spans="1:7" ht="12.95" customHeight="1">
      <c r="A119" s="208">
        <f t="shared" si="2"/>
        <v>271</v>
      </c>
      <c r="B119" s="373">
        <v>32.19</v>
      </c>
      <c r="E119"/>
      <c r="F119" s="25"/>
      <c r="G119" s="182"/>
    </row>
    <row r="120" spans="1:7" ht="12.95" customHeight="1">
      <c r="A120" s="208">
        <f t="shared" si="2"/>
        <v>270</v>
      </c>
      <c r="B120" s="373">
        <v>36.83</v>
      </c>
      <c r="E120"/>
      <c r="F120" s="25"/>
      <c r="G120" s="182"/>
    </row>
    <row r="121" spans="1:7" ht="12.95" customHeight="1">
      <c r="A121" s="208">
        <f t="shared" si="2"/>
        <v>269</v>
      </c>
      <c r="B121" s="373">
        <v>34.81</v>
      </c>
      <c r="E121"/>
      <c r="F121" s="25"/>
      <c r="G121" s="182"/>
    </row>
    <row r="122" spans="1:7" ht="12.95" customHeight="1">
      <c r="A122" s="208">
        <f t="shared" si="2"/>
        <v>268</v>
      </c>
      <c r="B122" s="373">
        <v>36.58</v>
      </c>
      <c r="E122"/>
      <c r="F122" s="25"/>
      <c r="G122" s="182"/>
    </row>
    <row r="123" spans="1:7" ht="12.95" customHeight="1">
      <c r="A123" s="208">
        <f t="shared" si="2"/>
        <v>267</v>
      </c>
      <c r="B123" s="373">
        <v>34.07</v>
      </c>
      <c r="E123"/>
      <c r="F123" s="25"/>
      <c r="G123" s="182"/>
    </row>
    <row r="124" spans="1:7" ht="12.95" customHeight="1">
      <c r="A124" s="208">
        <f t="shared" si="2"/>
        <v>266</v>
      </c>
      <c r="B124" s="373">
        <v>34.299999999999997</v>
      </c>
      <c r="E124"/>
      <c r="F124" s="25"/>
      <c r="G124" s="182"/>
    </row>
    <row r="125" spans="1:7" ht="12.95" customHeight="1">
      <c r="A125" s="208">
        <f t="shared" si="2"/>
        <v>265</v>
      </c>
      <c r="B125" s="373">
        <v>34.340000000000003</v>
      </c>
      <c r="E125"/>
      <c r="F125" s="25"/>
      <c r="G125" s="182"/>
    </row>
    <row r="126" spans="1:7" ht="12.95" customHeight="1">
      <c r="A126" s="208">
        <v>264</v>
      </c>
      <c r="B126" s="373">
        <v>37.4</v>
      </c>
      <c r="E126"/>
      <c r="F126" s="25"/>
      <c r="G126" s="182"/>
    </row>
    <row r="127" spans="1:7" ht="12.95" customHeight="1">
      <c r="A127" s="208">
        <v>263</v>
      </c>
      <c r="B127" s="373">
        <v>36.43</v>
      </c>
      <c r="E127"/>
      <c r="F127" s="25"/>
      <c r="G127" s="182"/>
    </row>
    <row r="128" spans="1:7" ht="12.95" customHeight="1">
      <c r="A128" s="208">
        <f t="shared" si="2"/>
        <v>262</v>
      </c>
      <c r="B128" s="373">
        <v>33.22</v>
      </c>
      <c r="E128"/>
      <c r="F128" s="25"/>
      <c r="G128" s="182"/>
    </row>
    <row r="129" spans="1:7" ht="12.95" customHeight="1">
      <c r="A129" s="208">
        <f t="shared" si="2"/>
        <v>261</v>
      </c>
      <c r="B129" s="373">
        <v>34.72</v>
      </c>
      <c r="E129"/>
      <c r="F129" s="25"/>
      <c r="G129" s="182"/>
    </row>
    <row r="130" spans="1:7" ht="12.95" customHeight="1">
      <c r="A130" s="208">
        <f t="shared" si="2"/>
        <v>260</v>
      </c>
      <c r="B130" s="373">
        <v>36.92</v>
      </c>
      <c r="E130"/>
      <c r="F130" s="25"/>
      <c r="G130" s="182"/>
    </row>
    <row r="131" spans="1:7" ht="12.95" customHeight="1">
      <c r="A131" s="208">
        <f t="shared" si="2"/>
        <v>259</v>
      </c>
      <c r="B131" s="373">
        <v>35.049999999999997</v>
      </c>
      <c r="E131"/>
      <c r="F131" s="25"/>
      <c r="G131" s="182"/>
    </row>
    <row r="132" spans="1:7" ht="12.95" customHeight="1">
      <c r="A132" s="208">
        <f t="shared" si="2"/>
        <v>258</v>
      </c>
      <c r="B132" s="373">
        <v>36.14</v>
      </c>
      <c r="E132"/>
      <c r="F132" s="25"/>
      <c r="G132" s="182"/>
    </row>
    <row r="133" spans="1:7" ht="12.95" customHeight="1">
      <c r="A133" s="208">
        <f t="shared" si="2"/>
        <v>257</v>
      </c>
      <c r="B133" s="373">
        <v>35.33</v>
      </c>
      <c r="E133"/>
      <c r="F133" s="25"/>
      <c r="G133" s="182"/>
    </row>
    <row r="134" spans="1:7" ht="12.95" customHeight="1">
      <c r="A134" s="208">
        <f t="shared" ref="A134:A197" si="3">A133-1</f>
        <v>256</v>
      </c>
      <c r="B134" s="373">
        <v>34.1</v>
      </c>
      <c r="E134"/>
      <c r="F134" s="25"/>
      <c r="G134" s="182"/>
    </row>
    <row r="135" spans="1:7" ht="12.95" customHeight="1">
      <c r="A135" s="208">
        <f t="shared" si="3"/>
        <v>255</v>
      </c>
      <c r="B135" s="373">
        <v>35.369999999999997</v>
      </c>
      <c r="E135"/>
      <c r="F135" s="25"/>
      <c r="G135" s="182"/>
    </row>
    <row r="136" spans="1:7" ht="12.95" customHeight="1">
      <c r="A136" s="208">
        <f t="shared" si="3"/>
        <v>254</v>
      </c>
      <c r="B136" s="373">
        <v>34.61</v>
      </c>
      <c r="E136"/>
      <c r="F136" s="25"/>
      <c r="G136" s="182"/>
    </row>
    <row r="137" spans="1:7" ht="12.95" customHeight="1">
      <c r="A137" s="208">
        <f t="shared" si="3"/>
        <v>253</v>
      </c>
      <c r="B137" s="373">
        <v>32.659999999999997</v>
      </c>
      <c r="E137"/>
      <c r="F137" s="25"/>
      <c r="G137" s="182"/>
    </row>
    <row r="138" spans="1:7" ht="12.95" customHeight="1">
      <c r="A138" s="208">
        <f t="shared" si="3"/>
        <v>252</v>
      </c>
      <c r="B138" s="215">
        <v>33.549999999999997</v>
      </c>
      <c r="E138"/>
      <c r="F138" s="25"/>
      <c r="G138" s="182"/>
    </row>
    <row r="139" spans="1:7" ht="12.95" customHeight="1">
      <c r="A139" s="208">
        <f t="shared" si="3"/>
        <v>251</v>
      </c>
      <c r="B139" s="215">
        <v>33.49</v>
      </c>
      <c r="E139"/>
      <c r="F139" s="25"/>
      <c r="G139" s="182"/>
    </row>
    <row r="140" spans="1:7" ht="12.95" customHeight="1">
      <c r="A140" s="208">
        <f t="shared" si="3"/>
        <v>250</v>
      </c>
      <c r="B140" s="215">
        <v>33.200000000000003</v>
      </c>
      <c r="E140"/>
      <c r="F140" s="25"/>
      <c r="G140" s="182"/>
    </row>
    <row r="141" spans="1:7" ht="12.95" customHeight="1">
      <c r="A141" s="208">
        <f t="shared" si="3"/>
        <v>249</v>
      </c>
      <c r="B141" s="215">
        <v>33.159999999999997</v>
      </c>
      <c r="E141"/>
      <c r="F141" s="25"/>
      <c r="G141" s="182"/>
    </row>
    <row r="142" spans="1:7" ht="12.95" customHeight="1">
      <c r="A142" s="208">
        <f t="shared" si="3"/>
        <v>248</v>
      </c>
      <c r="B142" s="215">
        <v>32.630000000000003</v>
      </c>
      <c r="E142"/>
      <c r="F142" s="25"/>
      <c r="G142" s="182"/>
    </row>
    <row r="143" spans="1:7" ht="12.95" customHeight="1">
      <c r="A143" s="208">
        <f t="shared" si="3"/>
        <v>247</v>
      </c>
      <c r="B143" s="215">
        <v>33.18</v>
      </c>
      <c r="E143"/>
      <c r="F143" s="25"/>
      <c r="G143" s="182"/>
    </row>
    <row r="144" spans="1:7" ht="12.95" customHeight="1">
      <c r="A144" s="208">
        <f t="shared" si="3"/>
        <v>246</v>
      </c>
      <c r="B144" s="215">
        <v>33.369999999999997</v>
      </c>
      <c r="E144"/>
      <c r="F144" s="25"/>
      <c r="G144" s="182"/>
    </row>
    <row r="145" spans="1:7" ht="12.95" customHeight="1">
      <c r="A145" s="208">
        <f t="shared" si="3"/>
        <v>245</v>
      </c>
      <c r="B145" s="215">
        <v>32.700000000000003</v>
      </c>
      <c r="E145"/>
      <c r="F145" s="25"/>
      <c r="G145" s="182"/>
    </row>
    <row r="146" spans="1:7" ht="12.95" customHeight="1">
      <c r="A146" s="208">
        <f t="shared" si="3"/>
        <v>244</v>
      </c>
      <c r="B146" s="215">
        <v>33.369999999999997</v>
      </c>
      <c r="E146"/>
      <c r="F146" s="25"/>
      <c r="G146" s="182"/>
    </row>
    <row r="147" spans="1:7" ht="12.95" customHeight="1">
      <c r="A147" s="208">
        <f t="shared" si="3"/>
        <v>243</v>
      </c>
      <c r="B147" s="215">
        <v>33.01</v>
      </c>
      <c r="E147"/>
      <c r="F147" s="25"/>
      <c r="G147" s="182"/>
    </row>
    <row r="148" spans="1:7" ht="12.95" customHeight="1">
      <c r="A148" s="208">
        <f t="shared" si="3"/>
        <v>242</v>
      </c>
      <c r="B148" s="215">
        <v>33.39</v>
      </c>
      <c r="E148"/>
      <c r="F148" s="25"/>
      <c r="G148" s="182"/>
    </row>
    <row r="149" spans="1:7" ht="12.95" customHeight="1">
      <c r="A149" s="208">
        <f t="shared" si="3"/>
        <v>241</v>
      </c>
      <c r="B149" s="215">
        <v>33.04</v>
      </c>
      <c r="E149"/>
      <c r="F149" s="25"/>
      <c r="G149" s="182"/>
    </row>
    <row r="150" spans="1:7" ht="12.95" customHeight="1">
      <c r="A150" s="208">
        <f t="shared" si="3"/>
        <v>240</v>
      </c>
      <c r="B150" s="215">
        <v>33.200000000000003</v>
      </c>
      <c r="E150"/>
      <c r="F150" s="25"/>
      <c r="G150" s="182"/>
    </row>
    <row r="151" spans="1:7" ht="12.95" customHeight="1">
      <c r="A151" s="208">
        <f t="shared" si="3"/>
        <v>239</v>
      </c>
      <c r="B151" s="215">
        <v>33.1</v>
      </c>
      <c r="E151"/>
      <c r="F151" s="25"/>
      <c r="G151" s="182"/>
    </row>
    <row r="152" spans="1:7" ht="12.95" customHeight="1">
      <c r="A152" s="208">
        <f t="shared" si="3"/>
        <v>238</v>
      </c>
      <c r="B152" s="215">
        <v>32.200000000000003</v>
      </c>
      <c r="E152"/>
      <c r="F152" s="25"/>
      <c r="G152" s="182"/>
    </row>
    <row r="153" spans="1:7" ht="12.95" customHeight="1">
      <c r="A153" s="208">
        <f t="shared" si="3"/>
        <v>237</v>
      </c>
      <c r="B153" s="215">
        <v>33.4</v>
      </c>
      <c r="E153"/>
      <c r="F153" s="25"/>
      <c r="G153" s="182"/>
    </row>
    <row r="154" spans="1:7" ht="12.95" customHeight="1">
      <c r="A154" s="208">
        <f t="shared" si="3"/>
        <v>236</v>
      </c>
      <c r="B154" s="215">
        <v>33.11</v>
      </c>
      <c r="E154"/>
      <c r="F154" s="25"/>
      <c r="G154" s="182"/>
    </row>
    <row r="155" spans="1:7" ht="12.95" customHeight="1">
      <c r="A155" s="208">
        <f t="shared" si="3"/>
        <v>235</v>
      </c>
      <c r="B155" s="215">
        <v>33.64</v>
      </c>
      <c r="E155"/>
      <c r="F155" s="25"/>
      <c r="G155" s="182"/>
    </row>
    <row r="156" spans="1:7" ht="12.95" customHeight="1">
      <c r="A156" s="208">
        <f t="shared" si="3"/>
        <v>234</v>
      </c>
      <c r="B156" s="215">
        <v>33.25</v>
      </c>
      <c r="E156"/>
      <c r="F156" s="25"/>
      <c r="G156" s="182"/>
    </row>
    <row r="157" spans="1:7" ht="12.95" customHeight="1">
      <c r="A157" s="208">
        <f t="shared" si="3"/>
        <v>233</v>
      </c>
      <c r="B157" s="215">
        <v>33.32</v>
      </c>
      <c r="E157"/>
      <c r="F157" s="25"/>
      <c r="G157" s="182"/>
    </row>
    <row r="158" spans="1:7" ht="12.95" customHeight="1">
      <c r="A158" s="208">
        <f t="shared" si="3"/>
        <v>232</v>
      </c>
      <c r="B158" s="215">
        <v>32.700000000000003</v>
      </c>
      <c r="E158"/>
      <c r="F158" s="25"/>
      <c r="G158" s="182"/>
    </row>
    <row r="159" spans="1:7" ht="12.95" customHeight="1">
      <c r="A159" s="208">
        <f t="shared" si="3"/>
        <v>231</v>
      </c>
      <c r="B159" s="215">
        <v>31.76</v>
      </c>
      <c r="E159"/>
      <c r="F159" s="25"/>
      <c r="G159" s="182"/>
    </row>
    <row r="160" spans="1:7" ht="12.95" customHeight="1">
      <c r="A160" s="208">
        <f t="shared" si="3"/>
        <v>230</v>
      </c>
      <c r="B160" s="215">
        <v>33.22</v>
      </c>
      <c r="E160"/>
      <c r="F160" s="25"/>
      <c r="G160" s="182"/>
    </row>
    <row r="161" spans="1:7" ht="12.95" customHeight="1">
      <c r="A161" s="208">
        <f t="shared" si="3"/>
        <v>229</v>
      </c>
      <c r="B161" s="215">
        <v>33.5</v>
      </c>
      <c r="E161"/>
      <c r="F161" s="25"/>
      <c r="G161" s="182"/>
    </row>
    <row r="162" spans="1:7" ht="12.95" customHeight="1">
      <c r="A162" s="208">
        <f t="shared" si="3"/>
        <v>228</v>
      </c>
      <c r="B162" s="215">
        <v>33.46</v>
      </c>
      <c r="E162"/>
      <c r="F162" s="25"/>
      <c r="G162" s="182"/>
    </row>
    <row r="163" spans="1:7" ht="12.95" customHeight="1">
      <c r="A163" s="208">
        <f t="shared" si="3"/>
        <v>227</v>
      </c>
      <c r="B163" s="215">
        <v>33.56</v>
      </c>
      <c r="E163"/>
      <c r="F163" s="25"/>
      <c r="G163" s="182"/>
    </row>
    <row r="164" spans="1:7" ht="12.95" customHeight="1">
      <c r="A164" s="208">
        <f t="shared" si="3"/>
        <v>226</v>
      </c>
      <c r="B164" s="215">
        <v>33.450000000000003</v>
      </c>
      <c r="E164"/>
      <c r="F164" s="25"/>
      <c r="G164" s="182"/>
    </row>
    <row r="165" spans="1:7" ht="12.95" customHeight="1">
      <c r="A165" s="208">
        <f t="shared" si="3"/>
        <v>225</v>
      </c>
      <c r="B165" s="215">
        <v>33.14</v>
      </c>
      <c r="E165"/>
      <c r="F165" s="25"/>
      <c r="G165" s="182"/>
    </row>
    <row r="166" spans="1:7" ht="12.95" customHeight="1">
      <c r="A166" s="208">
        <f t="shared" si="3"/>
        <v>224</v>
      </c>
      <c r="B166" s="215">
        <v>33.75</v>
      </c>
      <c r="E166"/>
      <c r="F166" s="25"/>
      <c r="G166" s="182"/>
    </row>
    <row r="167" spans="1:7" ht="12.95" customHeight="1">
      <c r="A167" s="208">
        <f t="shared" si="3"/>
        <v>223</v>
      </c>
      <c r="B167" s="215">
        <v>33.15</v>
      </c>
      <c r="E167"/>
      <c r="F167" s="25"/>
      <c r="G167" s="182"/>
    </row>
    <row r="168" spans="1:7" ht="12.95" customHeight="1">
      <c r="A168" s="208">
        <f t="shared" si="3"/>
        <v>222</v>
      </c>
      <c r="B168" s="215">
        <v>33.950000000000003</v>
      </c>
      <c r="E168"/>
      <c r="F168" s="25"/>
      <c r="G168" s="182"/>
    </row>
    <row r="169" spans="1:7" ht="12.95" customHeight="1">
      <c r="A169" s="208">
        <f t="shared" si="3"/>
        <v>221</v>
      </c>
      <c r="B169" s="215">
        <v>33.479999999999997</v>
      </c>
      <c r="E169"/>
      <c r="F169" s="25"/>
      <c r="G169" s="182"/>
    </row>
    <row r="170" spans="1:7" ht="12.95" customHeight="1">
      <c r="A170" s="208">
        <f t="shared" si="3"/>
        <v>220</v>
      </c>
      <c r="B170" s="215">
        <v>33.03</v>
      </c>
      <c r="E170"/>
      <c r="F170" s="25"/>
      <c r="G170" s="182"/>
    </row>
    <row r="171" spans="1:7" ht="12.95" customHeight="1">
      <c r="A171" s="208">
        <f t="shared" si="3"/>
        <v>219</v>
      </c>
      <c r="B171" s="215">
        <v>32.51</v>
      </c>
      <c r="E171"/>
      <c r="F171" s="25"/>
      <c r="G171" s="182"/>
    </row>
    <row r="172" spans="1:7" ht="12.95" customHeight="1">
      <c r="A172" s="208">
        <f t="shared" si="3"/>
        <v>218</v>
      </c>
      <c r="B172" s="215">
        <v>33.200000000000003</v>
      </c>
      <c r="E172"/>
      <c r="F172" s="25"/>
      <c r="G172" s="182"/>
    </row>
    <row r="173" spans="1:7" ht="12.95" customHeight="1">
      <c r="A173" s="208">
        <f t="shared" si="3"/>
        <v>217</v>
      </c>
      <c r="B173" s="215">
        <v>33.020000000000003</v>
      </c>
      <c r="E173"/>
      <c r="F173" s="25"/>
      <c r="G173" s="182"/>
    </row>
    <row r="174" spans="1:7" ht="12.95" customHeight="1">
      <c r="A174" s="208">
        <f t="shared" si="3"/>
        <v>216</v>
      </c>
      <c r="B174" s="373">
        <v>33.61</v>
      </c>
      <c r="E174"/>
      <c r="F174" s="25"/>
      <c r="G174" s="182"/>
    </row>
    <row r="175" spans="1:7" ht="12.95" customHeight="1">
      <c r="A175" s="208">
        <f t="shared" si="3"/>
        <v>215</v>
      </c>
      <c r="B175" s="373">
        <v>33.21</v>
      </c>
      <c r="E175"/>
      <c r="F175" s="25"/>
      <c r="G175" s="182"/>
    </row>
    <row r="176" spans="1:7" ht="12.95" customHeight="1">
      <c r="A176" s="208">
        <f t="shared" si="3"/>
        <v>214</v>
      </c>
      <c r="B176" s="373">
        <v>32.33</v>
      </c>
      <c r="E176"/>
      <c r="F176" s="25"/>
      <c r="G176" s="182"/>
    </row>
    <row r="177" spans="1:7" ht="12.95" customHeight="1">
      <c r="A177" s="208">
        <f t="shared" si="3"/>
        <v>213</v>
      </c>
      <c r="B177" s="373">
        <v>31.28</v>
      </c>
      <c r="E177"/>
      <c r="F177" s="25"/>
      <c r="G177" s="182"/>
    </row>
    <row r="178" spans="1:7" ht="12.95" customHeight="1">
      <c r="A178" s="208">
        <f t="shared" si="3"/>
        <v>212</v>
      </c>
      <c r="B178" s="215">
        <v>32.200000000000003</v>
      </c>
      <c r="E178"/>
      <c r="F178" s="25"/>
      <c r="G178" s="182"/>
    </row>
    <row r="179" spans="1:7" ht="12.95" customHeight="1">
      <c r="A179" s="208">
        <f t="shared" si="3"/>
        <v>211</v>
      </c>
      <c r="B179" s="215">
        <v>31.73</v>
      </c>
      <c r="E179"/>
      <c r="F179" s="25"/>
      <c r="G179" s="182"/>
    </row>
    <row r="180" spans="1:7" ht="12.95" customHeight="1">
      <c r="A180" s="208">
        <f t="shared" si="3"/>
        <v>210</v>
      </c>
      <c r="B180" s="215">
        <v>32.04</v>
      </c>
      <c r="E180"/>
      <c r="F180" s="25"/>
      <c r="G180" s="182"/>
    </row>
    <row r="181" spans="1:7" ht="12.95" customHeight="1">
      <c r="A181" s="208">
        <f t="shared" si="3"/>
        <v>209</v>
      </c>
      <c r="B181" s="215">
        <v>33.14</v>
      </c>
      <c r="E181"/>
      <c r="F181" s="25"/>
      <c r="G181" s="182"/>
    </row>
    <row r="182" spans="1:7" ht="12.95" customHeight="1">
      <c r="A182" s="208">
        <f t="shared" si="3"/>
        <v>208</v>
      </c>
      <c r="B182" s="215">
        <v>32.1</v>
      </c>
      <c r="E182"/>
      <c r="F182" s="25"/>
      <c r="G182" s="182"/>
    </row>
    <row r="183" spans="1:7" ht="12.95" customHeight="1">
      <c r="A183" s="208">
        <f t="shared" si="3"/>
        <v>207</v>
      </c>
      <c r="B183" s="215">
        <v>31.81</v>
      </c>
      <c r="E183"/>
      <c r="F183" s="25"/>
      <c r="G183" s="182"/>
    </row>
    <row r="184" spans="1:7" ht="12.95" customHeight="1">
      <c r="A184" s="208">
        <f t="shared" si="3"/>
        <v>206</v>
      </c>
      <c r="B184" s="215">
        <v>33.200000000000003</v>
      </c>
      <c r="E184"/>
      <c r="F184" s="25"/>
      <c r="G184" s="182"/>
    </row>
    <row r="185" spans="1:7" ht="12.95" customHeight="1">
      <c r="A185" s="208">
        <f t="shared" si="3"/>
        <v>205</v>
      </c>
      <c r="B185" s="215">
        <v>32.520000000000003</v>
      </c>
      <c r="E185"/>
      <c r="F185" s="25"/>
      <c r="G185" s="182"/>
    </row>
    <row r="186" spans="1:7" ht="12.95" customHeight="1">
      <c r="A186" s="208">
        <f t="shared" si="3"/>
        <v>204</v>
      </c>
      <c r="B186" s="215">
        <v>33.22</v>
      </c>
      <c r="E186"/>
      <c r="F186" s="25"/>
      <c r="G186" s="182"/>
    </row>
    <row r="187" spans="1:7" ht="12.95" customHeight="1">
      <c r="A187" s="208">
        <f t="shared" si="3"/>
        <v>203</v>
      </c>
      <c r="B187" s="215">
        <v>33.159999999999997</v>
      </c>
      <c r="E187"/>
      <c r="F187" s="25"/>
      <c r="G187" s="182"/>
    </row>
    <row r="188" spans="1:7" ht="12.95" customHeight="1">
      <c r="A188" s="208">
        <f t="shared" si="3"/>
        <v>202</v>
      </c>
      <c r="B188" s="215">
        <v>33.85</v>
      </c>
      <c r="E188"/>
      <c r="F188" s="25"/>
      <c r="G188" s="182"/>
    </row>
    <row r="189" spans="1:7" ht="12.95" customHeight="1">
      <c r="A189" s="208">
        <f t="shared" si="3"/>
        <v>201</v>
      </c>
      <c r="B189" s="215">
        <v>33.07</v>
      </c>
      <c r="E189"/>
      <c r="F189" s="25"/>
      <c r="G189" s="182"/>
    </row>
    <row r="190" spans="1:7" ht="12.95" customHeight="1">
      <c r="A190" s="208">
        <f t="shared" si="3"/>
        <v>200</v>
      </c>
      <c r="B190" s="215">
        <v>33.35</v>
      </c>
      <c r="E190"/>
      <c r="F190" s="25"/>
      <c r="G190" s="182"/>
    </row>
    <row r="191" spans="1:7" ht="12.95" customHeight="1">
      <c r="A191" s="208">
        <f t="shared" si="3"/>
        <v>199</v>
      </c>
      <c r="B191" s="215">
        <v>33.200000000000003</v>
      </c>
      <c r="E191"/>
      <c r="F191" s="25"/>
      <c r="G191" s="182"/>
    </row>
    <row r="192" spans="1:7" ht="12.95" customHeight="1">
      <c r="A192" s="208">
        <f t="shared" si="3"/>
        <v>198</v>
      </c>
      <c r="B192" s="215">
        <v>33.67</v>
      </c>
      <c r="E192"/>
      <c r="F192" s="25"/>
      <c r="G192" s="182"/>
    </row>
    <row r="193" spans="1:7" ht="12.95" customHeight="1">
      <c r="A193" s="208">
        <f t="shared" si="3"/>
        <v>197</v>
      </c>
      <c r="B193" s="377">
        <v>33.340000000000003</v>
      </c>
      <c r="C193" s="383" t="s">
        <v>206</v>
      </c>
      <c r="E193"/>
      <c r="F193" s="25"/>
      <c r="G193" s="182"/>
    </row>
    <row r="194" spans="1:7" ht="12.95" customHeight="1">
      <c r="A194" s="208">
        <f t="shared" si="3"/>
        <v>196</v>
      </c>
      <c r="B194" s="215">
        <v>33.07</v>
      </c>
      <c r="E194"/>
      <c r="F194" s="25"/>
      <c r="G194" s="182"/>
    </row>
    <row r="195" spans="1:7" ht="12.95" customHeight="1">
      <c r="A195" s="208">
        <f t="shared" si="3"/>
        <v>195</v>
      </c>
      <c r="B195" s="215">
        <v>32.81</v>
      </c>
      <c r="E195"/>
      <c r="F195" s="25"/>
      <c r="G195" s="182"/>
    </row>
    <row r="196" spans="1:7" ht="12.95" customHeight="1">
      <c r="A196" s="208">
        <f t="shared" si="3"/>
        <v>194</v>
      </c>
      <c r="B196" s="215">
        <v>33.299999999999997</v>
      </c>
      <c r="E196"/>
      <c r="F196" s="25"/>
      <c r="G196" s="182"/>
    </row>
    <row r="197" spans="1:7" ht="12.95" customHeight="1">
      <c r="A197" s="208">
        <f t="shared" si="3"/>
        <v>193</v>
      </c>
      <c r="B197" s="215">
        <v>32.229999999999997</v>
      </c>
      <c r="E197"/>
      <c r="F197" s="25"/>
      <c r="G197" s="182"/>
    </row>
    <row r="198" spans="1:7" ht="12.95" customHeight="1">
      <c r="A198" s="208">
        <f t="shared" ref="A198:A261" si="4">A197-1</f>
        <v>192</v>
      </c>
      <c r="B198" s="215">
        <v>33.950000000000003</v>
      </c>
      <c r="E198"/>
      <c r="F198" s="25"/>
      <c r="G198" s="182"/>
    </row>
    <row r="199" spans="1:7" ht="12.95" customHeight="1">
      <c r="A199" s="208">
        <f t="shared" si="4"/>
        <v>191</v>
      </c>
      <c r="B199" s="215">
        <v>32.57</v>
      </c>
      <c r="E199"/>
      <c r="F199" s="25"/>
      <c r="G199" s="182"/>
    </row>
    <row r="200" spans="1:7" ht="12.95" customHeight="1">
      <c r="A200" s="208">
        <f t="shared" si="4"/>
        <v>190</v>
      </c>
      <c r="B200" s="215">
        <v>33.549999999999997</v>
      </c>
      <c r="E200"/>
      <c r="F200" s="25"/>
      <c r="G200" s="182"/>
    </row>
    <row r="201" spans="1:7" ht="12.95" customHeight="1">
      <c r="A201" s="208">
        <f t="shared" si="4"/>
        <v>189</v>
      </c>
      <c r="B201" s="215">
        <v>33.19</v>
      </c>
      <c r="E201"/>
      <c r="F201" s="25"/>
      <c r="G201" s="182"/>
    </row>
    <row r="202" spans="1:7" ht="12.95" customHeight="1">
      <c r="A202" s="208">
        <f t="shared" si="4"/>
        <v>188</v>
      </c>
      <c r="B202" s="215">
        <v>33.03</v>
      </c>
      <c r="E202"/>
      <c r="F202" s="25"/>
      <c r="G202" s="182"/>
    </row>
    <row r="203" spans="1:7" ht="12.95" customHeight="1">
      <c r="A203" s="208">
        <f t="shared" si="4"/>
        <v>187</v>
      </c>
      <c r="B203" s="215">
        <v>32.57</v>
      </c>
      <c r="E203"/>
      <c r="F203" s="25"/>
      <c r="G203" s="182"/>
    </row>
    <row r="204" spans="1:7" ht="12.95" customHeight="1">
      <c r="A204" s="208">
        <f t="shared" si="4"/>
        <v>186</v>
      </c>
      <c r="B204" s="215">
        <v>33.19</v>
      </c>
      <c r="E204"/>
      <c r="F204" s="25"/>
      <c r="G204" s="182"/>
    </row>
    <row r="205" spans="1:7" ht="12.95" customHeight="1">
      <c r="A205" s="208">
        <f t="shared" si="4"/>
        <v>185</v>
      </c>
      <c r="B205" s="215">
        <v>33.380000000000003</v>
      </c>
      <c r="E205"/>
      <c r="F205" s="25"/>
      <c r="G205" s="182"/>
    </row>
    <row r="206" spans="1:7" ht="12.95" customHeight="1">
      <c r="A206" s="208">
        <f t="shared" si="4"/>
        <v>184</v>
      </c>
      <c r="B206" s="215">
        <v>33.380000000000003</v>
      </c>
      <c r="E206"/>
      <c r="F206" s="25"/>
      <c r="G206" s="182"/>
    </row>
    <row r="207" spans="1:7" ht="12.95" customHeight="1">
      <c r="A207" s="208">
        <f t="shared" si="4"/>
        <v>183</v>
      </c>
      <c r="B207" s="215">
        <v>33.01</v>
      </c>
      <c r="E207"/>
      <c r="F207" s="25"/>
      <c r="G207" s="182"/>
    </row>
    <row r="208" spans="1:7" ht="12.95" customHeight="1">
      <c r="A208" s="208">
        <f t="shared" si="4"/>
        <v>182</v>
      </c>
      <c r="B208" s="215">
        <v>33.049999999999997</v>
      </c>
      <c r="E208"/>
      <c r="F208" s="25"/>
      <c r="G208" s="182"/>
    </row>
    <row r="209" spans="1:7" ht="12.95" customHeight="1">
      <c r="A209" s="208">
        <f t="shared" si="4"/>
        <v>181</v>
      </c>
      <c r="B209" s="215">
        <v>33.229999999999997</v>
      </c>
      <c r="E209"/>
      <c r="F209" s="25"/>
      <c r="G209" s="182"/>
    </row>
    <row r="210" spans="1:7" ht="12.95" customHeight="1">
      <c r="A210" s="208">
        <f t="shared" si="4"/>
        <v>180</v>
      </c>
      <c r="B210" s="215">
        <v>33.4</v>
      </c>
      <c r="E210"/>
      <c r="F210" s="25"/>
      <c r="G210" s="182"/>
    </row>
    <row r="211" spans="1:7" ht="12.95" customHeight="1">
      <c r="A211" s="208">
        <f t="shared" si="4"/>
        <v>179</v>
      </c>
      <c r="B211" s="215">
        <v>32.840000000000003</v>
      </c>
      <c r="E211"/>
      <c r="F211" s="25"/>
      <c r="G211" s="182"/>
    </row>
    <row r="212" spans="1:7" ht="12.95" customHeight="1">
      <c r="A212" s="208">
        <f t="shared" si="4"/>
        <v>178</v>
      </c>
      <c r="B212" s="215">
        <v>33.200000000000003</v>
      </c>
      <c r="E212"/>
      <c r="F212" s="25"/>
      <c r="G212" s="182"/>
    </row>
    <row r="213" spans="1:7" ht="12.95" customHeight="1">
      <c r="A213" s="208">
        <f t="shared" si="4"/>
        <v>177</v>
      </c>
      <c r="B213" s="215">
        <v>33.799999999999997</v>
      </c>
      <c r="E213"/>
      <c r="F213" s="25"/>
      <c r="G213" s="182"/>
    </row>
    <row r="214" spans="1:7" ht="12.95" customHeight="1">
      <c r="A214" s="208">
        <f t="shared" si="4"/>
        <v>176</v>
      </c>
      <c r="B214" s="215">
        <v>33.380000000000003</v>
      </c>
      <c r="E214"/>
      <c r="F214" s="25"/>
      <c r="G214" s="182"/>
    </row>
    <row r="215" spans="1:7" ht="12.95" customHeight="1">
      <c r="A215" s="208">
        <f t="shared" si="4"/>
        <v>175</v>
      </c>
      <c r="B215" s="215">
        <v>33.799999999999997</v>
      </c>
      <c r="E215"/>
      <c r="F215" s="25"/>
      <c r="G215" s="182"/>
    </row>
    <row r="216" spans="1:7" ht="12.95" customHeight="1">
      <c r="A216" s="208">
        <f t="shared" si="4"/>
        <v>174</v>
      </c>
      <c r="B216" s="215">
        <v>32.840000000000003</v>
      </c>
      <c r="E216"/>
      <c r="F216" s="25"/>
      <c r="G216" s="182"/>
    </row>
    <row r="217" spans="1:7" ht="12.95" customHeight="1">
      <c r="A217" s="208">
        <f t="shared" si="4"/>
        <v>173</v>
      </c>
      <c r="B217" s="215">
        <v>33.54</v>
      </c>
      <c r="E217"/>
      <c r="F217" s="25"/>
      <c r="G217" s="182"/>
    </row>
    <row r="218" spans="1:7" ht="12.95" customHeight="1">
      <c r="A218" s="208">
        <f t="shared" si="4"/>
        <v>172</v>
      </c>
      <c r="B218" s="215">
        <v>33.049999999999997</v>
      </c>
      <c r="E218"/>
      <c r="F218" s="25"/>
      <c r="G218" s="182"/>
    </row>
    <row r="219" spans="1:7" ht="12.95" customHeight="1">
      <c r="A219" s="208">
        <f t="shared" si="4"/>
        <v>171</v>
      </c>
      <c r="B219" s="215">
        <v>33.54</v>
      </c>
      <c r="E219"/>
      <c r="F219" s="25"/>
      <c r="G219" s="182"/>
    </row>
    <row r="220" spans="1:7" ht="12.95" customHeight="1">
      <c r="A220" s="208">
        <f t="shared" si="4"/>
        <v>170</v>
      </c>
      <c r="B220" s="215">
        <v>33.06</v>
      </c>
      <c r="E220"/>
      <c r="F220" s="25"/>
      <c r="G220" s="182"/>
    </row>
    <row r="221" spans="1:7" ht="12.95" customHeight="1">
      <c r="A221" s="208">
        <f t="shared" si="4"/>
        <v>169</v>
      </c>
      <c r="B221" s="215">
        <v>33.380000000000003</v>
      </c>
      <c r="E221"/>
      <c r="F221" s="25"/>
      <c r="G221" s="182"/>
    </row>
    <row r="222" spans="1:7" ht="12.95" customHeight="1">
      <c r="A222" s="208">
        <f t="shared" si="4"/>
        <v>168</v>
      </c>
      <c r="B222" s="215">
        <v>32.46</v>
      </c>
      <c r="E222"/>
      <c r="F222" s="25"/>
      <c r="G222" s="182"/>
    </row>
    <row r="223" spans="1:7" ht="12.95" customHeight="1">
      <c r="A223" s="208">
        <f t="shared" si="4"/>
        <v>167</v>
      </c>
      <c r="B223" s="215">
        <v>32.479999999999997</v>
      </c>
      <c r="E223"/>
      <c r="F223" s="25"/>
      <c r="G223" s="182"/>
    </row>
    <row r="224" spans="1:7" ht="12.95" customHeight="1">
      <c r="A224" s="208">
        <f t="shared" si="4"/>
        <v>166</v>
      </c>
      <c r="B224" s="215">
        <v>33.200000000000003</v>
      </c>
      <c r="E224"/>
      <c r="F224" s="25"/>
      <c r="G224" s="182"/>
    </row>
    <row r="225" spans="1:7" ht="12.95" customHeight="1">
      <c r="A225" s="208">
        <f t="shared" si="4"/>
        <v>165</v>
      </c>
      <c r="B225" s="215">
        <v>33.020000000000003</v>
      </c>
      <c r="E225"/>
      <c r="F225" s="25"/>
      <c r="G225" s="182"/>
    </row>
    <row r="226" spans="1:7" ht="12.95" customHeight="1">
      <c r="A226" s="208">
        <f t="shared" si="4"/>
        <v>164</v>
      </c>
      <c r="B226" s="215">
        <v>33.19</v>
      </c>
      <c r="E226"/>
      <c r="F226" s="25"/>
      <c r="G226" s="182"/>
    </row>
    <row r="227" spans="1:7" ht="12.95" customHeight="1">
      <c r="A227" s="208">
        <f t="shared" si="4"/>
        <v>163</v>
      </c>
      <c r="B227" s="215">
        <v>33.520000000000003</v>
      </c>
      <c r="E227"/>
      <c r="F227" s="25"/>
      <c r="G227" s="182"/>
    </row>
    <row r="228" spans="1:7" ht="12.95" customHeight="1">
      <c r="A228" s="208">
        <f t="shared" si="4"/>
        <v>162</v>
      </c>
      <c r="B228" s="215">
        <v>33.130000000000003</v>
      </c>
      <c r="E228"/>
      <c r="F228" s="25"/>
      <c r="G228" s="182"/>
    </row>
    <row r="229" spans="1:7" ht="12.95" customHeight="1">
      <c r="A229" s="208">
        <f t="shared" si="4"/>
        <v>161</v>
      </c>
      <c r="B229" s="215">
        <v>33.369999999999997</v>
      </c>
      <c r="E229"/>
      <c r="F229" s="25"/>
      <c r="G229" s="182"/>
    </row>
    <row r="230" spans="1:7" ht="12.95" customHeight="1">
      <c r="A230" s="208">
        <f t="shared" si="4"/>
        <v>160</v>
      </c>
      <c r="B230" s="215">
        <v>33.06</v>
      </c>
      <c r="E230"/>
      <c r="F230" s="25"/>
      <c r="G230" s="182"/>
    </row>
    <row r="231" spans="1:7" ht="12.95" customHeight="1">
      <c r="A231" s="208">
        <f t="shared" si="4"/>
        <v>159</v>
      </c>
      <c r="B231" s="215">
        <v>32.14</v>
      </c>
      <c r="E231"/>
      <c r="F231" s="25"/>
      <c r="G231" s="182"/>
    </row>
    <row r="232" spans="1:7" ht="12.95" customHeight="1">
      <c r="A232" s="208">
        <f t="shared" si="4"/>
        <v>158</v>
      </c>
      <c r="B232" s="215">
        <v>33.53</v>
      </c>
      <c r="E232"/>
      <c r="F232" s="25"/>
      <c r="G232" s="182"/>
    </row>
    <row r="233" spans="1:7" ht="12.95" customHeight="1">
      <c r="A233" s="208">
        <f t="shared" si="4"/>
        <v>157</v>
      </c>
      <c r="B233" s="215">
        <v>33.450000000000003</v>
      </c>
      <c r="D233" s="218"/>
      <c r="E233" s="218"/>
      <c r="F233" s="25"/>
      <c r="G233" s="182"/>
    </row>
    <row r="234" spans="1:7" ht="12.95" customHeight="1">
      <c r="A234" s="208">
        <f t="shared" si="4"/>
        <v>156</v>
      </c>
      <c r="B234" s="215">
        <v>33.08</v>
      </c>
      <c r="D234" s="218"/>
      <c r="E234" s="218"/>
      <c r="F234" s="25"/>
      <c r="G234" s="182"/>
    </row>
    <row r="235" spans="1:7" ht="12.95" customHeight="1">
      <c r="A235" s="208">
        <f t="shared" si="4"/>
        <v>155</v>
      </c>
      <c r="B235" s="215">
        <v>32.07</v>
      </c>
      <c r="E235"/>
      <c r="F235" s="25"/>
      <c r="G235" s="182"/>
    </row>
    <row r="236" spans="1:7" ht="12.95" customHeight="1">
      <c r="A236" s="208">
        <f t="shared" si="4"/>
        <v>154</v>
      </c>
      <c r="B236" s="215">
        <v>33.520000000000003</v>
      </c>
      <c r="E236"/>
      <c r="F236" s="25"/>
      <c r="G236" s="182"/>
    </row>
    <row r="237" spans="1:7" ht="12.95" customHeight="1">
      <c r="A237" s="208">
        <f t="shared" si="4"/>
        <v>153</v>
      </c>
      <c r="B237" s="215">
        <v>33.53</v>
      </c>
      <c r="D237" s="218"/>
      <c r="E237" s="218"/>
      <c r="F237" s="25"/>
      <c r="G237" s="182"/>
    </row>
    <row r="238" spans="1:7" ht="12.95" customHeight="1">
      <c r="A238" s="208">
        <f t="shared" si="4"/>
        <v>152</v>
      </c>
      <c r="B238" s="215">
        <v>32.020000000000003</v>
      </c>
      <c r="D238" s="218"/>
      <c r="E238" s="218"/>
      <c r="F238" s="25"/>
      <c r="G238" s="182"/>
    </row>
    <row r="239" spans="1:7" ht="12.95" customHeight="1">
      <c r="A239" s="208">
        <f t="shared" si="4"/>
        <v>151</v>
      </c>
      <c r="B239" s="215">
        <v>33.549999999999997</v>
      </c>
      <c r="E239"/>
      <c r="F239" s="25"/>
      <c r="G239" s="182"/>
    </row>
    <row r="240" spans="1:7" ht="12.95" customHeight="1">
      <c r="A240" s="208">
        <f t="shared" si="4"/>
        <v>150</v>
      </c>
      <c r="B240" s="215">
        <v>32.5</v>
      </c>
      <c r="E240"/>
      <c r="F240" s="25"/>
      <c r="G240" s="182"/>
    </row>
    <row r="241" spans="1:7" ht="12.95" customHeight="1">
      <c r="A241" s="208">
        <f t="shared" si="4"/>
        <v>149</v>
      </c>
      <c r="B241" s="215">
        <v>31.22</v>
      </c>
      <c r="E241"/>
      <c r="F241" s="25"/>
      <c r="G241" s="182"/>
    </row>
    <row r="242" spans="1:7" ht="12.95" customHeight="1">
      <c r="A242" s="208">
        <f t="shared" si="4"/>
        <v>148</v>
      </c>
      <c r="B242" s="215">
        <v>33.21</v>
      </c>
      <c r="E242"/>
      <c r="F242" s="25"/>
      <c r="G242" s="182"/>
    </row>
    <row r="243" spans="1:7" ht="12.95" customHeight="1">
      <c r="A243" s="208">
        <f t="shared" si="4"/>
        <v>147</v>
      </c>
      <c r="B243" s="215">
        <v>33.340000000000003</v>
      </c>
      <c r="E243"/>
      <c r="F243" s="25"/>
      <c r="G243" s="182"/>
    </row>
    <row r="244" spans="1:7" ht="12.95" customHeight="1">
      <c r="A244" s="208">
        <f t="shared" si="4"/>
        <v>146</v>
      </c>
      <c r="B244" s="215">
        <v>34.020000000000003</v>
      </c>
      <c r="E244"/>
      <c r="F244" s="25"/>
      <c r="G244" s="182"/>
    </row>
    <row r="245" spans="1:7" ht="12.95" customHeight="1">
      <c r="A245" s="208">
        <f t="shared" si="4"/>
        <v>145</v>
      </c>
      <c r="B245" s="215">
        <v>35.75</v>
      </c>
      <c r="E245"/>
      <c r="F245" s="25"/>
      <c r="G245" s="182"/>
    </row>
    <row r="246" spans="1:7" ht="12.95" customHeight="1">
      <c r="A246" s="208">
        <f t="shared" si="4"/>
        <v>144</v>
      </c>
      <c r="B246" s="215">
        <v>36.659999999999997</v>
      </c>
      <c r="E246"/>
      <c r="F246" s="25"/>
      <c r="G246" s="182"/>
    </row>
    <row r="247" spans="1:7" ht="12.95" customHeight="1">
      <c r="A247" s="208">
        <f t="shared" si="4"/>
        <v>143</v>
      </c>
      <c r="B247" s="215">
        <v>37.11</v>
      </c>
      <c r="E247"/>
      <c r="F247" s="25"/>
      <c r="G247" s="182"/>
    </row>
    <row r="248" spans="1:7" ht="12.95" customHeight="1">
      <c r="A248" s="208">
        <f t="shared" si="4"/>
        <v>142</v>
      </c>
      <c r="B248" s="215">
        <v>33.56</v>
      </c>
      <c r="E248"/>
      <c r="F248" s="25"/>
      <c r="G248" s="182"/>
    </row>
    <row r="249" spans="1:7" ht="12.95" customHeight="1">
      <c r="A249" s="208">
        <f t="shared" si="4"/>
        <v>141</v>
      </c>
      <c r="B249" s="215">
        <v>36.909999999999997</v>
      </c>
      <c r="E249"/>
      <c r="F249" s="25"/>
      <c r="G249" s="182"/>
    </row>
    <row r="250" spans="1:7" ht="12.95" customHeight="1">
      <c r="A250" s="208">
        <f t="shared" si="4"/>
        <v>140</v>
      </c>
      <c r="B250" s="215">
        <v>32.92</v>
      </c>
      <c r="E250"/>
      <c r="F250" s="25"/>
      <c r="G250" s="182"/>
    </row>
    <row r="251" spans="1:7" ht="12.95" customHeight="1">
      <c r="A251" s="208">
        <f t="shared" si="4"/>
        <v>139</v>
      </c>
      <c r="B251" s="215">
        <v>35.869999999999997</v>
      </c>
      <c r="E251"/>
      <c r="F251" s="25"/>
      <c r="G251" s="182"/>
    </row>
    <row r="252" spans="1:7" ht="12.95" customHeight="1">
      <c r="A252" s="208">
        <f t="shared" si="4"/>
        <v>138</v>
      </c>
      <c r="B252" s="215">
        <v>35.24</v>
      </c>
      <c r="E252"/>
      <c r="F252" s="25"/>
      <c r="G252" s="182"/>
    </row>
    <row r="253" spans="1:7" ht="12.95" customHeight="1">
      <c r="A253" s="208">
        <f t="shared" si="4"/>
        <v>137</v>
      </c>
      <c r="B253" s="215">
        <v>36.659999999999997</v>
      </c>
      <c r="E253"/>
      <c r="F253" s="25"/>
      <c r="G253" s="182"/>
    </row>
    <row r="254" spans="1:7" ht="12.95" customHeight="1">
      <c r="A254" s="208">
        <f t="shared" si="4"/>
        <v>136</v>
      </c>
      <c r="B254" s="215">
        <v>35.630000000000003</v>
      </c>
      <c r="E254"/>
      <c r="F254" s="25"/>
      <c r="G254" s="182"/>
    </row>
    <row r="255" spans="1:7" ht="12.95" customHeight="1">
      <c r="A255" s="208">
        <f t="shared" si="4"/>
        <v>135</v>
      </c>
      <c r="B255" s="215">
        <v>35.409999999999997</v>
      </c>
      <c r="E255"/>
      <c r="F255" s="25"/>
      <c r="G255" s="182"/>
    </row>
    <row r="256" spans="1:7" ht="12.95" customHeight="1">
      <c r="A256" s="208">
        <f t="shared" si="4"/>
        <v>134</v>
      </c>
      <c r="B256" s="215">
        <v>36.31</v>
      </c>
      <c r="E256"/>
      <c r="F256" s="25"/>
      <c r="G256" s="182"/>
    </row>
    <row r="257" spans="1:7" ht="12.95" customHeight="1">
      <c r="A257" s="208">
        <f t="shared" si="4"/>
        <v>133</v>
      </c>
      <c r="B257" s="215">
        <v>35.79</v>
      </c>
      <c r="E257"/>
      <c r="F257" s="25"/>
      <c r="G257" s="182"/>
    </row>
    <row r="258" spans="1:7" ht="12.95" customHeight="1">
      <c r="A258" s="208">
        <f t="shared" si="4"/>
        <v>132</v>
      </c>
      <c r="B258" s="215">
        <v>36.17</v>
      </c>
      <c r="E258"/>
      <c r="F258" s="25"/>
      <c r="G258" s="182"/>
    </row>
    <row r="259" spans="1:7" ht="12.95" customHeight="1">
      <c r="A259" s="208">
        <f t="shared" si="4"/>
        <v>131</v>
      </c>
      <c r="B259" s="215">
        <v>37.07</v>
      </c>
      <c r="E259"/>
      <c r="F259" s="25"/>
      <c r="G259" s="182"/>
    </row>
    <row r="260" spans="1:7" ht="12.95" customHeight="1">
      <c r="A260" s="208">
        <f t="shared" si="4"/>
        <v>130</v>
      </c>
      <c r="B260" s="215">
        <v>36.06</v>
      </c>
      <c r="E260"/>
      <c r="F260" s="25"/>
      <c r="G260" s="182"/>
    </row>
    <row r="261" spans="1:7" ht="12.95" customHeight="1">
      <c r="A261" s="208">
        <f t="shared" si="4"/>
        <v>129</v>
      </c>
      <c r="B261" s="215">
        <v>33.32</v>
      </c>
      <c r="E261"/>
      <c r="F261" s="25"/>
      <c r="G261" s="182"/>
    </row>
    <row r="262" spans="1:7" ht="12.95" customHeight="1">
      <c r="A262" s="208">
        <f t="shared" ref="A262:A325" si="5">A261-1</f>
        <v>128</v>
      </c>
      <c r="B262" s="215">
        <v>33.14</v>
      </c>
      <c r="E262"/>
      <c r="F262" s="25"/>
      <c r="G262" s="182"/>
    </row>
    <row r="263" spans="1:7" ht="12.95" customHeight="1">
      <c r="A263" s="208">
        <f t="shared" si="5"/>
        <v>127</v>
      </c>
      <c r="B263" s="215">
        <v>33.15</v>
      </c>
      <c r="E263"/>
      <c r="F263" s="25"/>
      <c r="G263" s="182"/>
    </row>
    <row r="264" spans="1:7" ht="12.95" customHeight="1">
      <c r="A264" s="208">
        <f t="shared" si="5"/>
        <v>126</v>
      </c>
      <c r="B264" s="215">
        <v>33.200000000000003</v>
      </c>
      <c r="E264"/>
      <c r="F264" s="25"/>
      <c r="G264" s="182"/>
    </row>
    <row r="265" spans="1:7" ht="12.95" customHeight="1">
      <c r="A265" s="208">
        <f t="shared" si="5"/>
        <v>125</v>
      </c>
      <c r="B265" s="215">
        <v>33.11</v>
      </c>
      <c r="E265"/>
      <c r="F265" s="25"/>
      <c r="G265" s="182"/>
    </row>
    <row r="266" spans="1:7" ht="12.95" customHeight="1">
      <c r="A266" s="208">
        <f t="shared" si="5"/>
        <v>124</v>
      </c>
      <c r="B266" s="215">
        <v>33.049999999999997</v>
      </c>
      <c r="E266"/>
      <c r="F266" s="25"/>
      <c r="G266" s="182"/>
    </row>
    <row r="267" spans="1:7" ht="12.95" customHeight="1">
      <c r="A267" s="208">
        <f t="shared" si="5"/>
        <v>123</v>
      </c>
      <c r="B267" s="215">
        <v>33.28</v>
      </c>
      <c r="E267"/>
      <c r="F267" s="25"/>
      <c r="G267" s="182"/>
    </row>
    <row r="268" spans="1:7" ht="12.95" customHeight="1">
      <c r="A268" s="208">
        <f t="shared" si="5"/>
        <v>122</v>
      </c>
      <c r="B268" s="215">
        <v>32.869999999999997</v>
      </c>
      <c r="E268"/>
      <c r="F268" s="25"/>
      <c r="G268" s="182"/>
    </row>
    <row r="269" spans="1:7" ht="12.95" customHeight="1">
      <c r="A269" s="208">
        <f t="shared" si="5"/>
        <v>121</v>
      </c>
      <c r="B269" s="215">
        <v>33.32</v>
      </c>
      <c r="E269"/>
      <c r="F269" s="25"/>
      <c r="G269" s="182"/>
    </row>
    <row r="270" spans="1:7" ht="12.95" customHeight="1">
      <c r="A270" s="208">
        <f t="shared" si="5"/>
        <v>120</v>
      </c>
      <c r="B270" s="215">
        <v>39.450000000000003</v>
      </c>
      <c r="E270"/>
      <c r="F270" s="25"/>
      <c r="G270" s="182"/>
    </row>
    <row r="271" spans="1:7" ht="12.95" customHeight="1">
      <c r="A271" s="208">
        <f t="shared" si="5"/>
        <v>119</v>
      </c>
      <c r="B271" s="215">
        <v>37.53</v>
      </c>
      <c r="E271"/>
      <c r="F271" s="25"/>
      <c r="G271" s="182"/>
    </row>
    <row r="272" spans="1:7" ht="12.95" customHeight="1">
      <c r="A272" s="208">
        <f t="shared" si="5"/>
        <v>118</v>
      </c>
      <c r="B272" s="215">
        <v>35.71</v>
      </c>
      <c r="E272"/>
      <c r="F272" s="25"/>
      <c r="G272" s="182"/>
    </row>
    <row r="273" spans="1:7" ht="12.95" customHeight="1">
      <c r="A273" s="208">
        <f t="shared" si="5"/>
        <v>117</v>
      </c>
      <c r="B273" s="215">
        <v>34.78</v>
      </c>
      <c r="E273"/>
      <c r="F273" s="25"/>
      <c r="G273" s="182"/>
    </row>
    <row r="274" spans="1:7" ht="12.95" customHeight="1">
      <c r="A274" s="208">
        <f t="shared" si="5"/>
        <v>116</v>
      </c>
      <c r="B274" s="215">
        <v>35.69</v>
      </c>
      <c r="E274"/>
      <c r="F274" s="25"/>
      <c r="G274" s="182"/>
    </row>
    <row r="275" spans="1:7" ht="12.95" customHeight="1">
      <c r="A275" s="208">
        <f t="shared" si="5"/>
        <v>115</v>
      </c>
      <c r="B275" s="215">
        <v>38.07</v>
      </c>
      <c r="E275"/>
      <c r="F275" s="25"/>
      <c r="G275" s="182"/>
    </row>
    <row r="276" spans="1:7" ht="12.95" customHeight="1">
      <c r="A276" s="208">
        <f t="shared" si="5"/>
        <v>114</v>
      </c>
      <c r="B276" s="215">
        <v>35.729999999999997</v>
      </c>
      <c r="E276"/>
      <c r="F276" s="25"/>
      <c r="G276" s="182"/>
    </row>
    <row r="277" spans="1:7" ht="12.95" customHeight="1">
      <c r="A277" s="208">
        <f t="shared" si="5"/>
        <v>113</v>
      </c>
      <c r="B277" s="215">
        <v>37.82</v>
      </c>
      <c r="E277"/>
      <c r="F277" s="25"/>
      <c r="G277" s="182"/>
    </row>
    <row r="278" spans="1:7" ht="12.95" customHeight="1">
      <c r="A278" s="208">
        <f t="shared" si="5"/>
        <v>112</v>
      </c>
      <c r="B278" s="215">
        <v>37.369999999999997</v>
      </c>
      <c r="E278"/>
      <c r="F278" s="25"/>
      <c r="G278" s="182"/>
    </row>
    <row r="279" spans="1:7" ht="12.95" customHeight="1">
      <c r="A279" s="208">
        <f t="shared" si="5"/>
        <v>111</v>
      </c>
      <c r="B279" s="215">
        <v>35.630000000000003</v>
      </c>
      <c r="E279"/>
      <c r="F279" s="25"/>
      <c r="G279" s="182"/>
    </row>
    <row r="280" spans="1:7" ht="12.95" customHeight="1">
      <c r="A280" s="208">
        <f t="shared" si="5"/>
        <v>110</v>
      </c>
      <c r="B280" s="215">
        <v>37.049999999999997</v>
      </c>
      <c r="E280"/>
      <c r="F280" s="25"/>
      <c r="G280" s="182"/>
    </row>
    <row r="281" spans="1:7" ht="12.95" customHeight="1">
      <c r="A281" s="208">
        <f t="shared" si="5"/>
        <v>109</v>
      </c>
      <c r="B281" s="215">
        <v>38.81</v>
      </c>
      <c r="E281"/>
      <c r="F281" s="25"/>
      <c r="G281" s="182"/>
    </row>
    <row r="282" spans="1:7" ht="12.95" customHeight="1">
      <c r="A282" s="208">
        <f t="shared" si="5"/>
        <v>108</v>
      </c>
      <c r="B282" s="215">
        <v>37.07</v>
      </c>
      <c r="E282"/>
      <c r="F282" s="25"/>
      <c r="G282" s="182"/>
    </row>
    <row r="283" spans="1:7" ht="12.95" customHeight="1">
      <c r="A283" s="208">
        <f t="shared" si="5"/>
        <v>107</v>
      </c>
      <c r="B283" s="215">
        <v>36.15</v>
      </c>
      <c r="E283"/>
      <c r="F283" s="25"/>
      <c r="G283" s="182"/>
    </row>
    <row r="284" spans="1:7" ht="12.95" customHeight="1">
      <c r="A284" s="208">
        <f t="shared" si="5"/>
        <v>106</v>
      </c>
      <c r="B284" s="215">
        <v>36.200000000000003</v>
      </c>
      <c r="E284"/>
      <c r="F284" s="25"/>
      <c r="G284" s="182"/>
    </row>
    <row r="285" spans="1:7" ht="12.95" customHeight="1">
      <c r="A285" s="208">
        <f t="shared" si="5"/>
        <v>105</v>
      </c>
      <c r="B285" s="215">
        <v>36.840000000000003</v>
      </c>
      <c r="E285"/>
      <c r="F285" s="25"/>
      <c r="G285" s="182"/>
    </row>
    <row r="286" spans="1:7" ht="12.95" customHeight="1">
      <c r="A286" s="208">
        <f t="shared" si="5"/>
        <v>104</v>
      </c>
      <c r="B286" s="215">
        <v>36.619999999999997</v>
      </c>
      <c r="E286"/>
      <c r="F286" s="25"/>
      <c r="G286" s="182"/>
    </row>
    <row r="287" spans="1:7" ht="12.95" customHeight="1">
      <c r="A287" s="208">
        <f t="shared" si="5"/>
        <v>103</v>
      </c>
      <c r="B287" s="215">
        <v>35.72</v>
      </c>
      <c r="E287"/>
      <c r="F287" s="25"/>
      <c r="G287" s="182"/>
    </row>
    <row r="288" spans="1:7" ht="12.95" customHeight="1">
      <c r="A288" s="208">
        <f t="shared" si="5"/>
        <v>102</v>
      </c>
      <c r="B288" s="215">
        <v>34.96</v>
      </c>
      <c r="D288" s="23"/>
      <c r="E288"/>
      <c r="F288" s="25"/>
      <c r="G288" s="182"/>
    </row>
    <row r="289" spans="1:7" ht="12.95" customHeight="1">
      <c r="A289" s="208">
        <f t="shared" si="5"/>
        <v>101</v>
      </c>
      <c r="B289" s="215">
        <v>35.299999999999997</v>
      </c>
      <c r="D289" s="23"/>
      <c r="E289"/>
      <c r="F289" s="25"/>
      <c r="G289" s="182"/>
    </row>
    <row r="290" spans="1:7" ht="12.95" customHeight="1">
      <c r="A290" s="208">
        <f t="shared" si="5"/>
        <v>100</v>
      </c>
      <c r="B290" s="215">
        <v>37.21</v>
      </c>
      <c r="D290" s="23"/>
      <c r="E290"/>
      <c r="F290" s="25"/>
      <c r="G290" s="182"/>
    </row>
    <row r="291" spans="1:7" ht="12.95" customHeight="1">
      <c r="A291" s="208">
        <f t="shared" si="5"/>
        <v>99</v>
      </c>
      <c r="B291" s="215">
        <v>37.950000000000003</v>
      </c>
      <c r="E291"/>
      <c r="F291" s="25"/>
      <c r="G291" s="182"/>
    </row>
    <row r="292" spans="1:7" ht="12.95" customHeight="1">
      <c r="A292" s="208">
        <f t="shared" si="5"/>
        <v>98</v>
      </c>
      <c r="B292" s="215">
        <v>37.119999999999997</v>
      </c>
      <c r="E292"/>
      <c r="F292" s="25"/>
      <c r="G292" s="182"/>
    </row>
    <row r="293" spans="1:7" ht="12.95" customHeight="1">
      <c r="A293" s="208">
        <f t="shared" si="5"/>
        <v>97</v>
      </c>
      <c r="B293" s="215">
        <v>36.869999999999997</v>
      </c>
      <c r="E293"/>
      <c r="F293" s="25"/>
      <c r="G293" s="182"/>
    </row>
    <row r="294" spans="1:7" ht="12.95" customHeight="1">
      <c r="A294" s="208">
        <f t="shared" si="5"/>
        <v>96</v>
      </c>
      <c r="B294" s="215">
        <v>38.520000000000003</v>
      </c>
      <c r="E294"/>
      <c r="F294" s="25"/>
      <c r="G294" s="182"/>
    </row>
    <row r="295" spans="1:7" ht="12.95" customHeight="1">
      <c r="A295" s="208">
        <f t="shared" si="5"/>
        <v>95</v>
      </c>
      <c r="B295" s="215">
        <v>36.380000000000003</v>
      </c>
      <c r="E295"/>
      <c r="F295" s="25"/>
      <c r="G295" s="182"/>
    </row>
    <row r="296" spans="1:7" ht="12.95" customHeight="1">
      <c r="A296" s="208">
        <f t="shared" si="5"/>
        <v>94</v>
      </c>
      <c r="B296" s="215">
        <v>35.58</v>
      </c>
      <c r="E296"/>
      <c r="F296" s="25"/>
      <c r="G296" s="182"/>
    </row>
    <row r="297" spans="1:7" ht="12.95" customHeight="1">
      <c r="A297" s="208">
        <f t="shared" si="5"/>
        <v>93</v>
      </c>
      <c r="B297" s="215">
        <v>37.75</v>
      </c>
      <c r="E297"/>
      <c r="F297" s="25"/>
      <c r="G297" s="182"/>
    </row>
    <row r="298" spans="1:7" ht="12.95" customHeight="1">
      <c r="A298" s="208">
        <f t="shared" si="5"/>
        <v>92</v>
      </c>
      <c r="B298" s="215">
        <v>37.78</v>
      </c>
      <c r="E298"/>
      <c r="F298" s="25"/>
      <c r="G298" s="182"/>
    </row>
    <row r="299" spans="1:7" ht="12.95" customHeight="1">
      <c r="A299" s="208">
        <f t="shared" si="5"/>
        <v>91</v>
      </c>
      <c r="B299" s="215">
        <v>36.9</v>
      </c>
      <c r="E299"/>
      <c r="F299" s="25"/>
      <c r="G299" s="182"/>
    </row>
    <row r="300" spans="1:7" ht="12.95" customHeight="1">
      <c r="A300" s="208">
        <f t="shared" si="5"/>
        <v>90</v>
      </c>
      <c r="B300" s="215">
        <v>37.15</v>
      </c>
      <c r="E300"/>
      <c r="F300" s="25"/>
      <c r="G300" s="182"/>
    </row>
    <row r="301" spans="1:7" ht="12.95" customHeight="1">
      <c r="A301" s="208">
        <f t="shared" si="5"/>
        <v>89</v>
      </c>
      <c r="B301" s="215">
        <v>36.51</v>
      </c>
      <c r="E301"/>
      <c r="F301" s="25"/>
      <c r="G301" s="182"/>
    </row>
    <row r="302" spans="1:7" ht="12.95" customHeight="1">
      <c r="A302" s="208">
        <f t="shared" si="5"/>
        <v>88</v>
      </c>
      <c r="B302" s="215">
        <v>38.03</v>
      </c>
      <c r="E302"/>
      <c r="F302" s="25"/>
      <c r="G302" s="182"/>
    </row>
    <row r="303" spans="1:7" ht="12.95" customHeight="1">
      <c r="A303" s="208">
        <f t="shared" si="5"/>
        <v>87</v>
      </c>
      <c r="B303" s="215">
        <v>36.22</v>
      </c>
      <c r="E303"/>
      <c r="F303" s="25"/>
      <c r="G303" s="182"/>
    </row>
    <row r="304" spans="1:7" ht="12.95" customHeight="1">
      <c r="A304" s="208">
        <f t="shared" si="5"/>
        <v>86</v>
      </c>
      <c r="B304" s="215">
        <v>35.72</v>
      </c>
      <c r="D304" s="218"/>
      <c r="E304"/>
      <c r="F304" s="25"/>
      <c r="G304" s="182"/>
    </row>
    <row r="305" spans="1:7" ht="12.95" customHeight="1">
      <c r="A305" s="208">
        <f t="shared" si="5"/>
        <v>85</v>
      </c>
      <c r="B305" s="215">
        <v>36.43</v>
      </c>
      <c r="E305"/>
      <c r="F305" s="25"/>
      <c r="G305" s="182"/>
    </row>
    <row r="306" spans="1:7" ht="12.95" customHeight="1">
      <c r="A306" s="208">
        <f t="shared" si="5"/>
        <v>84</v>
      </c>
      <c r="B306" s="215">
        <v>35.96</v>
      </c>
      <c r="E306"/>
      <c r="F306" s="25"/>
      <c r="G306" s="182"/>
    </row>
    <row r="307" spans="1:7" ht="12.95" customHeight="1">
      <c r="A307" s="208">
        <f t="shared" si="5"/>
        <v>83</v>
      </c>
      <c r="B307" s="215">
        <v>37.700000000000003</v>
      </c>
      <c r="E307"/>
      <c r="F307" s="25"/>
      <c r="G307" s="182"/>
    </row>
    <row r="308" spans="1:7" ht="12.95" customHeight="1">
      <c r="A308" s="208">
        <f t="shared" si="5"/>
        <v>82</v>
      </c>
      <c r="B308" s="215">
        <v>39.82</v>
      </c>
      <c r="E308"/>
      <c r="F308" s="25"/>
      <c r="G308" s="182"/>
    </row>
    <row r="309" spans="1:7" ht="12.95" customHeight="1">
      <c r="A309" s="208">
        <f t="shared" si="5"/>
        <v>81</v>
      </c>
      <c r="B309" s="215">
        <v>34.299999999999997</v>
      </c>
      <c r="E309"/>
      <c r="F309" s="25"/>
      <c r="G309" s="182"/>
    </row>
    <row r="310" spans="1:7" ht="12.95" customHeight="1">
      <c r="A310" s="208">
        <f t="shared" si="5"/>
        <v>80</v>
      </c>
      <c r="B310" s="215">
        <v>32.76</v>
      </c>
      <c r="E310"/>
      <c r="F310" s="25"/>
      <c r="G310" s="182"/>
    </row>
    <row r="311" spans="1:7" ht="12.95" customHeight="1">
      <c r="A311" s="208">
        <f t="shared" si="5"/>
        <v>79</v>
      </c>
      <c r="B311" s="215">
        <v>34.26</v>
      </c>
      <c r="E311"/>
      <c r="F311" s="25"/>
      <c r="G311" s="182"/>
    </row>
    <row r="312" spans="1:7" ht="12.95" customHeight="1">
      <c r="A312" s="208">
        <f t="shared" si="5"/>
        <v>78</v>
      </c>
      <c r="B312" s="215">
        <v>33.39</v>
      </c>
      <c r="E312"/>
      <c r="F312" s="25"/>
      <c r="G312" s="182"/>
    </row>
    <row r="313" spans="1:7" ht="12.95" customHeight="1">
      <c r="A313" s="208">
        <f t="shared" si="5"/>
        <v>77</v>
      </c>
      <c r="B313" s="215">
        <v>34.94</v>
      </c>
      <c r="E313"/>
      <c r="F313" s="25"/>
      <c r="G313" s="182"/>
    </row>
    <row r="314" spans="1:7" ht="12.95" customHeight="1">
      <c r="A314" s="208">
        <f t="shared" si="5"/>
        <v>76</v>
      </c>
      <c r="B314" s="215">
        <v>35.590000000000003</v>
      </c>
      <c r="E314"/>
      <c r="F314" s="25"/>
      <c r="G314" s="182"/>
    </row>
    <row r="315" spans="1:7" ht="12.95" customHeight="1">
      <c r="A315" s="208">
        <f t="shared" si="5"/>
        <v>75</v>
      </c>
      <c r="B315" s="215">
        <v>32.24</v>
      </c>
      <c r="E315"/>
      <c r="F315" s="25"/>
      <c r="G315" s="182"/>
    </row>
    <row r="316" spans="1:7" ht="12.95" customHeight="1">
      <c r="A316" s="208">
        <f t="shared" si="5"/>
        <v>74</v>
      </c>
      <c r="B316" s="215">
        <v>35.450000000000003</v>
      </c>
      <c r="E316"/>
      <c r="F316"/>
    </row>
    <row r="317" spans="1:7" ht="12.95" customHeight="1">
      <c r="A317" s="208">
        <f t="shared" si="5"/>
        <v>73</v>
      </c>
      <c r="B317" s="215">
        <v>37.15</v>
      </c>
      <c r="E317"/>
      <c r="F317"/>
    </row>
    <row r="318" spans="1:7" ht="12.95" customHeight="1">
      <c r="A318" s="208">
        <f t="shared" si="5"/>
        <v>72</v>
      </c>
      <c r="B318" s="215">
        <v>33.24</v>
      </c>
      <c r="E318"/>
      <c r="F318"/>
    </row>
    <row r="319" spans="1:7" ht="12.95" customHeight="1">
      <c r="A319" s="208">
        <f t="shared" si="5"/>
        <v>71</v>
      </c>
      <c r="B319" s="215">
        <v>34.68</v>
      </c>
      <c r="E319"/>
      <c r="F319"/>
    </row>
    <row r="320" spans="1:7" ht="12.95" customHeight="1">
      <c r="A320" s="208">
        <f t="shared" si="5"/>
        <v>70</v>
      </c>
      <c r="B320" s="215">
        <v>35.520000000000003</v>
      </c>
      <c r="E320"/>
      <c r="F320"/>
    </row>
    <row r="321" spans="1:6" ht="12.95" customHeight="1">
      <c r="A321" s="208">
        <f t="shared" si="5"/>
        <v>69</v>
      </c>
      <c r="B321" s="215">
        <v>34.35</v>
      </c>
      <c r="E321"/>
      <c r="F321"/>
    </row>
    <row r="322" spans="1:6" ht="12.95" customHeight="1">
      <c r="A322" s="208">
        <f t="shared" si="5"/>
        <v>68</v>
      </c>
      <c r="B322" s="215">
        <v>35.15</v>
      </c>
      <c r="D322" s="330"/>
      <c r="E322" s="330"/>
      <c r="F322" s="330"/>
    </row>
    <row r="323" spans="1:6" ht="12.95" customHeight="1">
      <c r="A323" s="208">
        <f t="shared" si="5"/>
        <v>67</v>
      </c>
      <c r="B323" s="215">
        <v>36.79</v>
      </c>
      <c r="D323" s="330"/>
      <c r="E323" s="330"/>
      <c r="F323" s="330"/>
    </row>
    <row r="324" spans="1:6" ht="12.95" customHeight="1">
      <c r="A324" s="208">
        <f t="shared" si="5"/>
        <v>66</v>
      </c>
      <c r="B324" s="215">
        <v>34.17</v>
      </c>
    </row>
    <row r="325" spans="1:6" ht="12.95" customHeight="1">
      <c r="A325" s="208">
        <f t="shared" si="5"/>
        <v>65</v>
      </c>
      <c r="B325" s="215">
        <v>36.65</v>
      </c>
    </row>
    <row r="326" spans="1:6" ht="12.95" customHeight="1">
      <c r="A326" s="208">
        <f t="shared" ref="A326:A389" si="6">A325-1</f>
        <v>64</v>
      </c>
      <c r="B326" s="215">
        <v>35.47</v>
      </c>
    </row>
    <row r="327" spans="1:6" ht="12.95" customHeight="1">
      <c r="A327" s="208">
        <f t="shared" si="6"/>
        <v>63</v>
      </c>
      <c r="B327" s="215">
        <v>31.41</v>
      </c>
    </row>
    <row r="328" spans="1:6" ht="12.95" customHeight="1">
      <c r="A328" s="208">
        <f t="shared" si="6"/>
        <v>62</v>
      </c>
      <c r="B328" s="215">
        <v>33.200000000000003</v>
      </c>
    </row>
    <row r="329" spans="1:6" ht="12.95" customHeight="1">
      <c r="A329" s="208">
        <f t="shared" si="6"/>
        <v>61</v>
      </c>
      <c r="B329" s="215">
        <v>33.020000000000003</v>
      </c>
    </row>
    <row r="330" spans="1:6" ht="12.95" customHeight="1">
      <c r="A330" s="208">
        <f t="shared" si="6"/>
        <v>60</v>
      </c>
      <c r="B330" s="215">
        <v>33.380000000000003</v>
      </c>
    </row>
    <row r="331" spans="1:6" ht="12.95" customHeight="1">
      <c r="A331" s="208">
        <f t="shared" si="6"/>
        <v>59</v>
      </c>
      <c r="B331" s="215">
        <v>33.119999999999997</v>
      </c>
    </row>
    <row r="332" spans="1:6" ht="12.95" customHeight="1">
      <c r="A332" s="208">
        <f t="shared" si="6"/>
        <v>58</v>
      </c>
      <c r="B332" s="215">
        <v>32.75</v>
      </c>
    </row>
    <row r="333" spans="1:6" ht="12.95" customHeight="1">
      <c r="A333" s="208">
        <f t="shared" si="6"/>
        <v>57</v>
      </c>
      <c r="B333" s="215">
        <v>33.11</v>
      </c>
    </row>
    <row r="334" spans="1:6" ht="12.95" customHeight="1">
      <c r="A334" s="208">
        <f t="shared" si="6"/>
        <v>56</v>
      </c>
      <c r="B334" s="215">
        <v>31.9</v>
      </c>
    </row>
    <row r="335" spans="1:6" ht="12.95" customHeight="1">
      <c r="A335" s="208">
        <f t="shared" si="6"/>
        <v>55</v>
      </c>
      <c r="B335" s="215">
        <v>32.85</v>
      </c>
    </row>
    <row r="336" spans="1:6" ht="12.95" customHeight="1">
      <c r="A336" s="208">
        <f t="shared" si="6"/>
        <v>54</v>
      </c>
      <c r="B336" s="215">
        <v>33.630000000000003</v>
      </c>
    </row>
    <row r="337" spans="1:3" ht="12.95" customHeight="1">
      <c r="A337" s="208">
        <f t="shared" si="6"/>
        <v>53</v>
      </c>
      <c r="B337" s="215">
        <v>32.590000000000003</v>
      </c>
    </row>
    <row r="338" spans="1:3" ht="12.95" customHeight="1">
      <c r="A338" s="208">
        <f t="shared" si="6"/>
        <v>52</v>
      </c>
      <c r="B338" s="215">
        <v>32.08</v>
      </c>
    </row>
    <row r="339" spans="1:3" ht="12.95" customHeight="1">
      <c r="A339" s="208">
        <f t="shared" si="6"/>
        <v>51</v>
      </c>
      <c r="B339" s="215">
        <v>33.21</v>
      </c>
    </row>
    <row r="340" spans="1:3" ht="12.95" customHeight="1">
      <c r="A340" s="208">
        <f t="shared" si="6"/>
        <v>50</v>
      </c>
      <c r="B340" s="215">
        <v>33.54</v>
      </c>
    </row>
    <row r="341" spans="1:3" ht="12.95" customHeight="1">
      <c r="A341" s="208">
        <f t="shared" si="6"/>
        <v>49</v>
      </c>
      <c r="B341" s="215">
        <v>32.54</v>
      </c>
    </row>
    <row r="342" spans="1:3" ht="12.95" customHeight="1">
      <c r="A342" s="208">
        <f t="shared" si="6"/>
        <v>48</v>
      </c>
      <c r="B342" s="215">
        <v>32.64</v>
      </c>
    </row>
    <row r="343" spans="1:3" ht="12.95" customHeight="1">
      <c r="A343" s="208">
        <f t="shared" si="6"/>
        <v>47</v>
      </c>
      <c r="B343" s="215">
        <v>33.01</v>
      </c>
    </row>
    <row r="344" spans="1:3" ht="12.95" customHeight="1">
      <c r="A344" s="208">
        <f t="shared" si="6"/>
        <v>46</v>
      </c>
      <c r="B344" s="215">
        <v>33.5</v>
      </c>
    </row>
    <row r="345" spans="1:3" ht="12.95" customHeight="1">
      <c r="A345" s="208">
        <f t="shared" si="6"/>
        <v>45</v>
      </c>
      <c r="B345" s="215">
        <v>34.04</v>
      </c>
    </row>
    <row r="346" spans="1:3" ht="12.95" customHeight="1">
      <c r="A346" s="208">
        <f t="shared" si="6"/>
        <v>44</v>
      </c>
      <c r="B346" s="377"/>
      <c r="C346" s="382" t="s">
        <v>214</v>
      </c>
    </row>
    <row r="347" spans="1:3" ht="12.95" customHeight="1">
      <c r="A347" s="208">
        <f t="shared" si="6"/>
        <v>43</v>
      </c>
      <c r="B347" s="215">
        <v>32.4</v>
      </c>
    </row>
    <row r="348" spans="1:3" ht="12.95" customHeight="1">
      <c r="A348" s="208">
        <f t="shared" si="6"/>
        <v>42</v>
      </c>
      <c r="B348" s="215">
        <v>35.71</v>
      </c>
    </row>
    <row r="349" spans="1:3" ht="12.95" customHeight="1">
      <c r="A349" s="208">
        <f t="shared" si="6"/>
        <v>41</v>
      </c>
      <c r="B349" s="215">
        <v>34.19</v>
      </c>
    </row>
    <row r="350" spans="1:3" ht="12.95" customHeight="1">
      <c r="A350" s="208">
        <f t="shared" si="6"/>
        <v>40</v>
      </c>
      <c r="B350" s="215">
        <v>32.97</v>
      </c>
    </row>
    <row r="351" spans="1:3" ht="12.95" customHeight="1">
      <c r="A351" s="208">
        <f t="shared" si="6"/>
        <v>39</v>
      </c>
      <c r="B351" s="215">
        <v>36.840000000000003</v>
      </c>
    </row>
    <row r="352" spans="1:3" ht="12.95" customHeight="1">
      <c r="A352" s="208">
        <f t="shared" si="6"/>
        <v>38</v>
      </c>
      <c r="B352" s="215">
        <v>36.22</v>
      </c>
    </row>
    <row r="353" spans="1:2" ht="12.95" customHeight="1">
      <c r="A353" s="208">
        <f t="shared" si="6"/>
        <v>37</v>
      </c>
      <c r="B353" s="215">
        <v>34.85</v>
      </c>
    </row>
    <row r="354" spans="1:2" ht="12.95" customHeight="1">
      <c r="A354" s="208">
        <f t="shared" si="6"/>
        <v>36</v>
      </c>
      <c r="B354" s="215">
        <v>34.729999999999997</v>
      </c>
    </row>
    <row r="355" spans="1:2" ht="12.95" customHeight="1">
      <c r="A355" s="208">
        <f t="shared" si="6"/>
        <v>35</v>
      </c>
      <c r="B355" s="215">
        <v>33.64</v>
      </c>
    </row>
    <row r="356" spans="1:2" ht="12.95" customHeight="1">
      <c r="A356" s="208">
        <f t="shared" si="6"/>
        <v>34</v>
      </c>
      <c r="B356" s="215">
        <v>35.4</v>
      </c>
    </row>
    <row r="357" spans="1:2" ht="12.95" customHeight="1">
      <c r="A357" s="208">
        <f t="shared" si="6"/>
        <v>33</v>
      </c>
      <c r="B357" s="217">
        <v>32.24</v>
      </c>
    </row>
    <row r="358" spans="1:2" ht="12.95" customHeight="1">
      <c r="A358" s="208">
        <f t="shared" si="6"/>
        <v>32</v>
      </c>
      <c r="B358" s="217">
        <v>37.64</v>
      </c>
    </row>
    <row r="359" spans="1:2" ht="12.95" customHeight="1">
      <c r="A359" s="208">
        <f t="shared" si="6"/>
        <v>31</v>
      </c>
      <c r="B359" s="217">
        <v>35.299999999999997</v>
      </c>
    </row>
    <row r="360" spans="1:2" ht="12.95" customHeight="1">
      <c r="A360" s="208">
        <f t="shared" si="6"/>
        <v>30</v>
      </c>
      <c r="B360" s="217">
        <v>32.51</v>
      </c>
    </row>
    <row r="361" spans="1:2" ht="12.95" customHeight="1">
      <c r="A361" s="208">
        <f t="shared" si="6"/>
        <v>29</v>
      </c>
      <c r="B361" s="217">
        <v>35.44</v>
      </c>
    </row>
    <row r="362" spans="1:2" ht="12.95" customHeight="1">
      <c r="A362" s="208">
        <f t="shared" si="6"/>
        <v>28</v>
      </c>
      <c r="B362" s="217">
        <v>34.72</v>
      </c>
    </row>
    <row r="363" spans="1:2" ht="12.95" customHeight="1">
      <c r="A363" s="208">
        <f t="shared" si="6"/>
        <v>27</v>
      </c>
      <c r="B363" s="217">
        <v>32.35</v>
      </c>
    </row>
    <row r="364" spans="1:2" ht="12.95" customHeight="1">
      <c r="A364" s="208">
        <f t="shared" si="6"/>
        <v>26</v>
      </c>
      <c r="B364" s="217">
        <v>33.979999999999997</v>
      </c>
    </row>
    <row r="365" spans="1:2" ht="12.95" customHeight="1">
      <c r="A365" s="208">
        <f t="shared" si="6"/>
        <v>25</v>
      </c>
      <c r="B365" s="217">
        <v>35.6</v>
      </c>
    </row>
    <row r="366" spans="1:2" ht="12.95" customHeight="1">
      <c r="A366" s="208">
        <f t="shared" si="6"/>
        <v>24</v>
      </c>
      <c r="B366" s="217">
        <v>34.42</v>
      </c>
    </row>
    <row r="367" spans="1:2" ht="12.95" customHeight="1">
      <c r="A367" s="208">
        <f t="shared" si="6"/>
        <v>23</v>
      </c>
      <c r="B367" s="217">
        <v>35.950000000000003</v>
      </c>
    </row>
    <row r="368" spans="1:2" ht="12.95" customHeight="1">
      <c r="A368" s="208">
        <f t="shared" si="6"/>
        <v>22</v>
      </c>
      <c r="B368" s="217">
        <v>35.36</v>
      </c>
    </row>
    <row r="369" spans="1:2" ht="12.95" customHeight="1">
      <c r="A369" s="208">
        <f t="shared" si="6"/>
        <v>21</v>
      </c>
      <c r="B369" s="217">
        <v>35.78</v>
      </c>
    </row>
    <row r="370" spans="1:2" ht="12.95" customHeight="1">
      <c r="A370" s="208">
        <f t="shared" si="6"/>
        <v>20</v>
      </c>
      <c r="B370" s="217">
        <v>34.299999999999997</v>
      </c>
    </row>
    <row r="371" spans="1:2" ht="12.95" customHeight="1">
      <c r="A371" s="208">
        <f t="shared" si="6"/>
        <v>19</v>
      </c>
      <c r="B371" s="217">
        <v>34.090000000000003</v>
      </c>
    </row>
    <row r="372" spans="1:2" ht="12.95" customHeight="1">
      <c r="A372" s="208">
        <f t="shared" si="6"/>
        <v>18</v>
      </c>
      <c r="B372" s="217">
        <v>36.630000000000003</v>
      </c>
    </row>
    <row r="373" spans="1:2" ht="12.95" customHeight="1">
      <c r="A373" s="208">
        <f t="shared" si="6"/>
        <v>17</v>
      </c>
      <c r="B373" s="217">
        <v>36.22</v>
      </c>
    </row>
    <row r="374" spans="1:2" ht="12.95" customHeight="1">
      <c r="A374" s="208">
        <f t="shared" si="6"/>
        <v>16</v>
      </c>
      <c r="B374" s="217">
        <v>36.89</v>
      </c>
    </row>
    <row r="375" spans="1:2" ht="12.95" customHeight="1">
      <c r="A375" s="208">
        <f t="shared" si="6"/>
        <v>15</v>
      </c>
      <c r="B375" s="217">
        <v>35.119999999999997</v>
      </c>
    </row>
    <row r="376" spans="1:2" ht="12.95" customHeight="1">
      <c r="A376" s="208">
        <f t="shared" si="6"/>
        <v>14</v>
      </c>
      <c r="B376" s="217">
        <v>35.57</v>
      </c>
    </row>
    <row r="377" spans="1:2" ht="12.95" customHeight="1">
      <c r="A377" s="208">
        <f t="shared" si="6"/>
        <v>13</v>
      </c>
      <c r="B377" s="217">
        <v>34.07</v>
      </c>
    </row>
    <row r="378" spans="1:2" ht="12.95" customHeight="1">
      <c r="A378" s="208">
        <f t="shared" si="6"/>
        <v>12</v>
      </c>
      <c r="B378" s="217">
        <v>36.67</v>
      </c>
    </row>
    <row r="379" spans="1:2" ht="12.95" customHeight="1">
      <c r="A379" s="208">
        <f t="shared" si="6"/>
        <v>11</v>
      </c>
      <c r="B379" s="217">
        <v>33.42</v>
      </c>
    </row>
    <row r="380" spans="1:2" ht="12.95" customHeight="1">
      <c r="A380" s="208">
        <f t="shared" si="6"/>
        <v>10</v>
      </c>
      <c r="B380" s="217">
        <v>32.78</v>
      </c>
    </row>
    <row r="381" spans="1:2" ht="12.95" customHeight="1">
      <c r="A381" s="208">
        <f t="shared" si="6"/>
        <v>9</v>
      </c>
      <c r="B381" s="217">
        <v>36.67</v>
      </c>
    </row>
    <row r="382" spans="1:2" ht="12.95" customHeight="1">
      <c r="A382" s="208">
        <f t="shared" si="6"/>
        <v>8</v>
      </c>
      <c r="B382" s="217">
        <v>36.5</v>
      </c>
    </row>
    <row r="383" spans="1:2" ht="12.95" customHeight="1">
      <c r="A383" s="208">
        <f t="shared" si="6"/>
        <v>7</v>
      </c>
      <c r="B383" s="217">
        <v>35.46</v>
      </c>
    </row>
    <row r="384" spans="1:2" ht="12.95" customHeight="1">
      <c r="A384" s="208">
        <f t="shared" si="6"/>
        <v>6</v>
      </c>
      <c r="B384" s="217">
        <v>33.78</v>
      </c>
    </row>
    <row r="385" spans="1:2" ht="12.95" customHeight="1">
      <c r="A385" s="208">
        <f t="shared" si="6"/>
        <v>5</v>
      </c>
      <c r="B385" s="217">
        <v>34.29</v>
      </c>
    </row>
    <row r="386" spans="1:2" ht="12.95" customHeight="1">
      <c r="A386" s="208">
        <f t="shared" si="6"/>
        <v>4</v>
      </c>
      <c r="B386" s="217">
        <v>34.47</v>
      </c>
    </row>
    <row r="387" spans="1:2" ht="12.95" customHeight="1">
      <c r="A387" s="208">
        <f t="shared" si="6"/>
        <v>3</v>
      </c>
      <c r="B387" s="217">
        <v>34.51</v>
      </c>
    </row>
    <row r="388" spans="1:2" ht="12.95" customHeight="1">
      <c r="A388" s="208">
        <f t="shared" si="6"/>
        <v>2</v>
      </c>
      <c r="B388" s="217">
        <v>37.56</v>
      </c>
    </row>
    <row r="389" spans="1:2" ht="12.95" customHeight="1">
      <c r="A389" s="208">
        <f t="shared" si="6"/>
        <v>1</v>
      </c>
      <c r="B389" s="217">
        <v>33.86</v>
      </c>
    </row>
  </sheetData>
  <autoFilter ref="F3:G3" xr:uid="{ADBCD166-891B-4FA8-ABC6-D8CC1DE51925}">
    <sortState xmlns:xlrd2="http://schemas.microsoft.com/office/spreadsheetml/2017/richdata2" ref="F4:G23">
      <sortCondition ref="G3"/>
    </sortState>
  </autoFilter>
  <sortState xmlns:xlrd2="http://schemas.microsoft.com/office/spreadsheetml/2017/richdata2" ref="F4:G18">
    <sortCondition ref="G4:G18"/>
  </sortState>
  <mergeCells count="3">
    <mergeCell ref="N8:N9"/>
    <mergeCell ref="I9:K9"/>
    <mergeCell ref="H1:J1"/>
  </mergeCells>
  <phoneticPr fontId="8" type="noConversion"/>
  <conditionalFormatting sqref="I3:J8 I9">
    <cfRule type="expression" dxfId="1" priority="3" stopIfTrue="1">
      <formula>"$O7=in"</formula>
    </cfRule>
  </conditionalFormatting>
  <conditionalFormatting sqref="I11:J18 J19:J22 I19:I23">
    <cfRule type="expression" dxfId="0" priority="2" stopIfTrue="1">
      <formula>"$O7=in"</formula>
    </cfRule>
  </conditionalFormatting>
  <pageMargins left="0.7" right="0.7" top="0.75" bottom="0.75" header="0.3" footer="0.3"/>
  <pageSetup orientation="portrait" r:id="rId1"/>
  <headerFooter>
    <oddHeader>&amp;L&amp;"Calibri"&amp;9&amp;K000000Classification: Internal&amp;1#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C348-B293-487C-A927-C45EFBB42056}">
  <dimension ref="B1:AL397"/>
  <sheetViews>
    <sheetView showGridLines="0" topLeftCell="A12" zoomScaleNormal="100" zoomScaleSheetLayoutView="85" workbookViewId="0">
      <selection activeCell="AH12" sqref="AH12"/>
    </sheetView>
  </sheetViews>
  <sheetFormatPr defaultColWidth="9.42578125" defaultRowHeight="11.25"/>
  <cols>
    <col min="1" max="1" width="9.42578125" style="30"/>
    <col min="2" max="2" width="1.42578125" style="30" customWidth="1"/>
    <col min="3" max="3" width="8.5703125" style="30" customWidth="1"/>
    <col min="4" max="4" width="10.5703125" style="31" customWidth="1"/>
    <col min="5" max="5" width="1.5703125" style="30" customWidth="1"/>
    <col min="6" max="7" width="2.42578125" style="30" customWidth="1"/>
    <col min="8" max="9" width="0.5703125" style="30" customWidth="1"/>
    <col min="10" max="10" width="7.42578125" style="31" customWidth="1"/>
    <col min="11" max="12" width="0.5703125" style="30" customWidth="1"/>
    <col min="13" max="14" width="2.42578125" style="30" customWidth="1"/>
    <col min="15" max="15" width="1.5703125" style="32" customWidth="1"/>
    <col min="16" max="16" width="5.42578125" style="30" customWidth="1"/>
    <col min="17" max="17" width="6.42578125" style="31" customWidth="1"/>
    <col min="18" max="18" width="5.42578125" style="30" customWidth="1"/>
    <col min="19" max="19" width="1.5703125" style="30" customWidth="1"/>
    <col min="20" max="21" width="2.42578125" style="30" customWidth="1"/>
    <col min="22" max="23" width="0.5703125" style="30" customWidth="1"/>
    <col min="24" max="24" width="7.42578125" style="31" customWidth="1"/>
    <col min="25" max="26" width="0.5703125" style="30" customWidth="1"/>
    <col min="27" max="28" width="2.42578125" style="30" customWidth="1"/>
    <col min="29" max="29" width="1.5703125" style="32" customWidth="1"/>
    <col min="30" max="30" width="9.42578125" style="30"/>
    <col min="31" max="31" width="8.42578125" style="31" customWidth="1"/>
    <col min="32" max="32" width="9.5703125" style="30" customWidth="1"/>
    <col min="33" max="34" width="10.42578125" style="30" customWidth="1"/>
    <col min="35" max="35" width="8.5703125" style="30" customWidth="1"/>
    <col min="36" max="36" width="1.42578125" style="30" customWidth="1"/>
    <col min="37" max="16384" width="9.42578125" style="30"/>
  </cols>
  <sheetData>
    <row r="1" spans="2:36" ht="12" thickBot="1"/>
    <row r="2" spans="2:36" ht="7.5" customHeight="1">
      <c r="B2" s="33"/>
      <c r="C2" s="34"/>
      <c r="D2" s="35"/>
      <c r="E2" s="34"/>
      <c r="F2" s="34"/>
      <c r="G2" s="34"/>
      <c r="H2" s="34"/>
      <c r="I2" s="34"/>
      <c r="J2" s="35"/>
      <c r="K2" s="34"/>
      <c r="L2" s="34"/>
      <c r="M2" s="34"/>
      <c r="N2" s="34"/>
      <c r="O2" s="34"/>
      <c r="P2" s="34"/>
      <c r="Q2" s="35"/>
      <c r="R2" s="34"/>
      <c r="S2" s="34"/>
      <c r="T2" s="34"/>
      <c r="U2" s="34"/>
      <c r="V2" s="34"/>
      <c r="W2" s="34"/>
      <c r="X2" s="35"/>
      <c r="Y2" s="34"/>
      <c r="Z2" s="34"/>
      <c r="AA2" s="34"/>
      <c r="AB2" s="34"/>
      <c r="AC2" s="34"/>
      <c r="AD2" s="34"/>
      <c r="AE2" s="35"/>
      <c r="AF2" s="34"/>
      <c r="AG2" s="34"/>
      <c r="AH2" s="34"/>
      <c r="AI2" s="34"/>
      <c r="AJ2" s="36"/>
    </row>
    <row r="3" spans="2:36" ht="21.75" customHeight="1">
      <c r="B3" s="37"/>
      <c r="C3" s="30" t="s">
        <v>32</v>
      </c>
      <c r="O3" s="30"/>
      <c r="X3" s="38" t="s">
        <v>33</v>
      </c>
      <c r="AC3" s="30"/>
      <c r="AJ3" s="39"/>
    </row>
    <row r="4" spans="2:36" ht="6.75" customHeight="1">
      <c r="B4" s="37"/>
      <c r="O4" s="30"/>
      <c r="AC4" s="30"/>
      <c r="AJ4" s="39"/>
    </row>
    <row r="5" spans="2:36" ht="15">
      <c r="B5" s="37"/>
      <c r="AE5" s="40" t="s">
        <v>72</v>
      </c>
      <c r="AF5" s="41"/>
      <c r="AG5" s="42"/>
      <c r="AH5" s="42"/>
      <c r="AI5" s="43"/>
      <c r="AJ5" s="39"/>
    </row>
    <row r="6" spans="2:36" s="56" customFormat="1" ht="15">
      <c r="B6" s="44"/>
      <c r="C6" s="45"/>
      <c r="D6" s="46"/>
      <c r="E6" s="47"/>
      <c r="F6" s="47"/>
      <c r="G6" s="47"/>
      <c r="H6" s="47"/>
      <c r="I6" s="48"/>
      <c r="J6" s="49" t="s">
        <v>34</v>
      </c>
      <c r="K6" s="47"/>
      <c r="L6" s="47"/>
      <c r="M6" s="47"/>
      <c r="N6" s="47"/>
      <c r="O6" s="47"/>
      <c r="P6" s="47"/>
      <c r="Q6" s="46"/>
      <c r="R6" s="47"/>
      <c r="S6" s="47"/>
      <c r="T6" s="47"/>
      <c r="U6" s="47"/>
      <c r="V6" s="47"/>
      <c r="W6" s="50"/>
      <c r="X6" s="51"/>
      <c r="Y6" s="47"/>
      <c r="Z6" s="47"/>
      <c r="AA6" s="47"/>
      <c r="AB6" s="47"/>
      <c r="AC6" s="47"/>
      <c r="AD6" s="47"/>
      <c r="AE6" s="42" t="s">
        <v>35</v>
      </c>
      <c r="AF6" s="52" t="s">
        <v>36</v>
      </c>
      <c r="AG6" s="53"/>
      <c r="AH6" s="53"/>
      <c r="AI6" s="54"/>
      <c r="AJ6" s="55"/>
    </row>
    <row r="7" spans="2:36" s="56" customFormat="1" ht="15.75">
      <c r="B7" s="44"/>
      <c r="C7" s="57"/>
      <c r="D7" s="58"/>
      <c r="E7" s="57"/>
      <c r="F7" s="57"/>
      <c r="G7" s="57"/>
      <c r="H7" s="57"/>
      <c r="I7" s="57"/>
      <c r="J7" s="49" t="s">
        <v>37</v>
      </c>
      <c r="K7" s="57"/>
      <c r="L7" s="57"/>
      <c r="M7" s="57"/>
      <c r="N7" s="57"/>
      <c r="O7" s="57"/>
      <c r="P7" s="57"/>
      <c r="Q7" s="59" t="s">
        <v>26</v>
      </c>
      <c r="R7" s="57"/>
      <c r="S7" s="57"/>
      <c r="T7" s="57"/>
      <c r="U7" s="57"/>
      <c r="V7" s="57"/>
      <c r="W7" s="60"/>
      <c r="X7" s="61"/>
      <c r="Y7" s="57"/>
      <c r="Z7" s="57"/>
      <c r="AA7" s="57"/>
      <c r="AB7" s="57"/>
      <c r="AC7" s="57"/>
      <c r="AD7" s="57"/>
      <c r="AE7" s="205">
        <v>3.21</v>
      </c>
      <c r="AF7" s="180">
        <f>AE7-(4.776/12)</f>
        <v>2.8119999999999998</v>
      </c>
      <c r="AG7" s="63" t="s">
        <v>25</v>
      </c>
      <c r="AH7" s="206" t="s">
        <v>83</v>
      </c>
      <c r="AI7" s="62">
        <f>IF(AG7="IN",AF7,0)</f>
        <v>0</v>
      </c>
      <c r="AJ7" s="55"/>
    </row>
    <row r="8" spans="2:36" s="56" customFormat="1" ht="16.5" thickBot="1">
      <c r="B8" s="44"/>
      <c r="C8" s="47"/>
      <c r="D8" s="64"/>
      <c r="E8" s="65"/>
      <c r="F8" s="66"/>
      <c r="G8" s="66"/>
      <c r="H8" s="66"/>
      <c r="I8" s="67"/>
      <c r="J8" s="68"/>
      <c r="K8" s="66"/>
      <c r="L8" s="66"/>
      <c r="M8" s="66"/>
      <c r="N8" s="66"/>
      <c r="O8" s="69"/>
      <c r="P8" s="66"/>
      <c r="Q8" s="64"/>
      <c r="R8" s="66"/>
      <c r="S8" s="65"/>
      <c r="T8" s="66"/>
      <c r="U8" s="66"/>
      <c r="V8" s="66"/>
      <c r="W8" s="70"/>
      <c r="X8" s="71" t="s">
        <v>38</v>
      </c>
      <c r="Y8" s="66"/>
      <c r="Z8" s="66"/>
      <c r="AA8" s="66"/>
      <c r="AB8" s="66"/>
      <c r="AC8" s="69"/>
      <c r="AD8" s="66"/>
      <c r="AE8" s="205">
        <v>3.21</v>
      </c>
      <c r="AF8" s="180">
        <f t="shared" ref="AF8:AF21" si="0">AE8-(4.776/12)</f>
        <v>2.8119999999999998</v>
      </c>
      <c r="AG8" s="63" t="s">
        <v>25</v>
      </c>
      <c r="AH8" s="206" t="s">
        <v>84</v>
      </c>
      <c r="AI8" s="62">
        <f t="shared" ref="AI8:AI21" si="1">IF(AG8="IN",AF8,0)</f>
        <v>0</v>
      </c>
      <c r="AJ8" s="55"/>
    </row>
    <row r="9" spans="2:36" s="56" customFormat="1" ht="17.25" thickTop="1" thickBot="1">
      <c r="B9" s="44"/>
      <c r="C9" s="47"/>
      <c r="D9" s="46"/>
      <c r="E9" s="72"/>
      <c r="F9" s="73"/>
      <c r="G9" s="73"/>
      <c r="H9" s="73"/>
      <c r="I9" s="74"/>
      <c r="J9" s="68" t="s">
        <v>39</v>
      </c>
      <c r="K9" s="73"/>
      <c r="L9" s="73"/>
      <c r="M9" s="73"/>
      <c r="N9" s="73"/>
      <c r="O9" s="75"/>
      <c r="P9" s="47"/>
      <c r="Q9" s="46"/>
      <c r="R9" s="47"/>
      <c r="S9" s="72"/>
      <c r="T9" s="47"/>
      <c r="U9" s="47"/>
      <c r="V9" s="47"/>
      <c r="W9" s="50"/>
      <c r="X9" s="51" t="s">
        <v>29</v>
      </c>
      <c r="Y9" s="47"/>
      <c r="Z9" s="47"/>
      <c r="AA9" s="47"/>
      <c r="AB9" s="47"/>
      <c r="AC9" s="75"/>
      <c r="AD9" s="47"/>
      <c r="AE9" s="205">
        <v>3.22</v>
      </c>
      <c r="AF9" s="180">
        <f t="shared" si="0"/>
        <v>2.8220000000000001</v>
      </c>
      <c r="AG9" s="63" t="s">
        <v>25</v>
      </c>
      <c r="AH9" s="206" t="s">
        <v>85</v>
      </c>
      <c r="AI9" s="62">
        <f t="shared" si="1"/>
        <v>0</v>
      </c>
      <c r="AJ9" s="55"/>
    </row>
    <row r="10" spans="2:36" s="56" customFormat="1" ht="17.25" thickTop="1" thickBot="1">
      <c r="B10" s="44"/>
      <c r="C10" s="57"/>
      <c r="D10" s="58"/>
      <c r="E10" s="76"/>
      <c r="F10" s="77"/>
      <c r="G10" s="78"/>
      <c r="H10" s="78"/>
      <c r="I10" s="78"/>
      <c r="J10" s="79" t="s">
        <v>40</v>
      </c>
      <c r="K10" s="78"/>
      <c r="L10" s="78"/>
      <c r="M10" s="78"/>
      <c r="N10" s="80"/>
      <c r="O10" s="81"/>
      <c r="P10" s="57"/>
      <c r="Q10" s="59" t="s">
        <v>41</v>
      </c>
      <c r="R10" s="57"/>
      <c r="S10" s="82"/>
      <c r="T10" s="47"/>
      <c r="U10" s="47"/>
      <c r="V10" s="47"/>
      <c r="W10" s="50"/>
      <c r="X10" s="51" t="s">
        <v>37</v>
      </c>
      <c r="Y10" s="47"/>
      <c r="Z10" s="47"/>
      <c r="AA10" s="47"/>
      <c r="AB10" s="47"/>
      <c r="AC10" s="81"/>
      <c r="AD10" s="57"/>
      <c r="AE10" s="205">
        <v>3.22</v>
      </c>
      <c r="AF10" s="180">
        <f t="shared" si="0"/>
        <v>2.8220000000000001</v>
      </c>
      <c r="AG10" s="63" t="s">
        <v>25</v>
      </c>
      <c r="AH10" s="206" t="s">
        <v>86</v>
      </c>
      <c r="AI10" s="62">
        <f t="shared" si="1"/>
        <v>0</v>
      </c>
      <c r="AJ10" s="55"/>
    </row>
    <row r="11" spans="2:36" s="56" customFormat="1" ht="17.25" thickTop="1" thickBot="1">
      <c r="B11" s="44"/>
      <c r="C11" s="47"/>
      <c r="D11" s="46"/>
      <c r="E11" s="47"/>
      <c r="F11" s="72"/>
      <c r="G11" s="47"/>
      <c r="H11" s="47"/>
      <c r="I11" s="83"/>
      <c r="J11" s="84" t="s">
        <v>42</v>
      </c>
      <c r="K11" s="47"/>
      <c r="L11" s="47"/>
      <c r="M11" s="47"/>
      <c r="N11" s="75"/>
      <c r="O11" s="47"/>
      <c r="P11" s="47"/>
      <c r="Q11" s="46"/>
      <c r="R11" s="47"/>
      <c r="S11" s="47"/>
      <c r="T11" s="72"/>
      <c r="U11" s="47"/>
      <c r="V11" s="47"/>
      <c r="W11" s="50"/>
      <c r="X11" s="85"/>
      <c r="Y11" s="47"/>
      <c r="Z11" s="47"/>
      <c r="AA11" s="47"/>
      <c r="AB11" s="75"/>
      <c r="AC11" s="47"/>
      <c r="AD11" s="47"/>
      <c r="AE11" s="205">
        <v>6.15</v>
      </c>
      <c r="AF11" s="180">
        <f t="shared" si="0"/>
        <v>5.7520000000000007</v>
      </c>
      <c r="AG11" s="63" t="s">
        <v>25</v>
      </c>
      <c r="AH11" s="206" t="s">
        <v>87</v>
      </c>
      <c r="AI11" s="62">
        <f t="shared" si="1"/>
        <v>0</v>
      </c>
      <c r="AJ11" s="55"/>
    </row>
    <row r="12" spans="2:36" s="56" customFormat="1" ht="16.5" thickTop="1">
      <c r="B12" s="44"/>
      <c r="C12" s="47"/>
      <c r="D12" s="46"/>
      <c r="E12" s="47"/>
      <c r="F12" s="72"/>
      <c r="G12" s="47"/>
      <c r="H12" s="47"/>
      <c r="I12" s="47"/>
      <c r="J12" s="86"/>
      <c r="K12" s="47"/>
      <c r="L12" s="47"/>
      <c r="M12" s="47"/>
      <c r="N12" s="75"/>
      <c r="O12" s="47"/>
      <c r="P12" s="47"/>
      <c r="Q12" s="46"/>
      <c r="R12" s="47"/>
      <c r="S12" s="47"/>
      <c r="T12" s="72"/>
      <c r="U12" s="47"/>
      <c r="V12" s="47"/>
      <c r="W12" s="50"/>
      <c r="X12" s="87"/>
      <c r="Y12" s="47"/>
      <c r="Z12" s="47"/>
      <c r="AA12" s="47"/>
      <c r="AB12" s="75"/>
      <c r="AC12" s="47"/>
      <c r="AD12" s="47"/>
      <c r="AE12" s="205">
        <v>6.22</v>
      </c>
      <c r="AF12" s="180">
        <f t="shared" si="0"/>
        <v>5.8220000000000001</v>
      </c>
      <c r="AG12" s="63" t="s">
        <v>25</v>
      </c>
      <c r="AH12" s="206" t="s">
        <v>88</v>
      </c>
      <c r="AI12" s="62">
        <f t="shared" si="1"/>
        <v>0</v>
      </c>
      <c r="AJ12" s="55"/>
    </row>
    <row r="13" spans="2:36" s="56" customFormat="1" ht="15.75">
      <c r="B13" s="44"/>
      <c r="C13" s="47"/>
      <c r="D13" s="46"/>
      <c r="E13" s="47"/>
      <c r="F13" s="72"/>
      <c r="G13" s="47"/>
      <c r="H13" s="47"/>
      <c r="I13" s="47"/>
      <c r="J13" s="88" t="s">
        <v>43</v>
      </c>
      <c r="K13" s="47"/>
      <c r="L13" s="47"/>
      <c r="M13" s="47"/>
      <c r="N13" s="75"/>
      <c r="O13" s="47"/>
      <c r="P13" s="47"/>
      <c r="Q13" s="46"/>
      <c r="R13" s="47"/>
      <c r="S13" s="47"/>
      <c r="T13" s="72"/>
      <c r="U13" s="47"/>
      <c r="V13" s="47"/>
      <c r="W13" s="89"/>
      <c r="X13" s="87"/>
      <c r="Y13" s="47"/>
      <c r="Z13" s="47"/>
      <c r="AA13" s="47"/>
      <c r="AB13" s="75"/>
      <c r="AC13" s="47"/>
      <c r="AD13" s="47"/>
      <c r="AE13" s="205">
        <v>8.61</v>
      </c>
      <c r="AF13" s="180">
        <f t="shared" si="0"/>
        <v>8.2119999999999997</v>
      </c>
      <c r="AG13" s="63" t="s">
        <v>25</v>
      </c>
      <c r="AH13" s="206" t="s">
        <v>89</v>
      </c>
      <c r="AI13" s="62">
        <f t="shared" si="1"/>
        <v>0</v>
      </c>
      <c r="AJ13" s="55"/>
    </row>
    <row r="14" spans="2:36" s="56" customFormat="1" ht="16.5" thickBot="1">
      <c r="B14" s="44"/>
      <c r="C14" s="47"/>
      <c r="D14" s="46"/>
      <c r="E14" s="47"/>
      <c r="F14" s="72"/>
      <c r="G14" s="47"/>
      <c r="H14" s="47"/>
      <c r="I14" s="47"/>
      <c r="J14" s="90"/>
      <c r="K14" s="47"/>
      <c r="L14" s="47"/>
      <c r="M14" s="47"/>
      <c r="N14" s="75"/>
      <c r="O14" s="47"/>
      <c r="P14" s="47"/>
      <c r="Q14" s="46"/>
      <c r="R14" s="47"/>
      <c r="S14" s="47"/>
      <c r="T14" s="72"/>
      <c r="U14" s="47"/>
      <c r="V14" s="47"/>
      <c r="W14" s="89"/>
      <c r="X14" s="87"/>
      <c r="Y14" s="47"/>
      <c r="Z14" s="47"/>
      <c r="AA14" s="47"/>
      <c r="AB14" s="75"/>
      <c r="AC14" s="47"/>
      <c r="AD14" s="47"/>
      <c r="AE14" s="205">
        <v>8.67</v>
      </c>
      <c r="AF14" s="180">
        <f t="shared" si="0"/>
        <v>8.2720000000000002</v>
      </c>
      <c r="AG14" s="63" t="s">
        <v>25</v>
      </c>
      <c r="AH14" s="206" t="s">
        <v>90</v>
      </c>
      <c r="AI14" s="62">
        <f t="shared" si="1"/>
        <v>0</v>
      </c>
      <c r="AJ14" s="55"/>
    </row>
    <row r="15" spans="2:36" s="56" customFormat="1" ht="17.25" thickTop="1" thickBot="1">
      <c r="B15" s="44"/>
      <c r="C15" s="47"/>
      <c r="D15" s="46"/>
      <c r="E15" s="47"/>
      <c r="F15" s="72"/>
      <c r="G15" s="47"/>
      <c r="H15" s="47"/>
      <c r="I15" s="89"/>
      <c r="J15" s="91"/>
      <c r="K15" s="47"/>
      <c r="L15" s="47"/>
      <c r="M15" s="47"/>
      <c r="N15" s="75"/>
      <c r="O15" s="47"/>
      <c r="P15" s="47"/>
      <c r="Q15" s="46"/>
      <c r="R15" s="47"/>
      <c r="S15" s="47"/>
      <c r="T15" s="72"/>
      <c r="U15" s="47"/>
      <c r="V15" s="47"/>
      <c r="W15" s="89"/>
      <c r="X15" s="92"/>
      <c r="Y15" s="47"/>
      <c r="Z15" s="47"/>
      <c r="AA15" s="47"/>
      <c r="AB15" s="75"/>
      <c r="AC15" s="47"/>
      <c r="AD15" s="47"/>
      <c r="AE15" s="205">
        <v>15.2</v>
      </c>
      <c r="AF15" s="180">
        <f t="shared" si="0"/>
        <v>14.802</v>
      </c>
      <c r="AG15" s="63" t="s">
        <v>25</v>
      </c>
      <c r="AH15" s="206" t="s">
        <v>169</v>
      </c>
      <c r="AI15" s="62">
        <f t="shared" si="1"/>
        <v>0</v>
      </c>
      <c r="AJ15" s="55"/>
    </row>
    <row r="16" spans="2:36" s="56" customFormat="1" ht="17.25" thickTop="1" thickBot="1">
      <c r="B16" s="44"/>
      <c r="C16" s="47"/>
      <c r="D16" s="46"/>
      <c r="E16" s="47"/>
      <c r="F16" s="72"/>
      <c r="G16" s="47"/>
      <c r="H16" s="93"/>
      <c r="I16" s="94"/>
      <c r="J16" s="95"/>
      <c r="K16" s="96"/>
      <c r="L16" s="97"/>
      <c r="M16" s="47"/>
      <c r="N16" s="75"/>
      <c r="O16" s="47"/>
      <c r="P16" s="47"/>
      <c r="Q16" s="46"/>
      <c r="R16" s="47"/>
      <c r="S16" s="47"/>
      <c r="T16" s="72"/>
      <c r="U16" s="47"/>
      <c r="V16" s="47"/>
      <c r="W16" s="89"/>
      <c r="X16" s="95"/>
      <c r="Y16" s="47"/>
      <c r="Z16" s="47"/>
      <c r="AA16" s="47"/>
      <c r="AB16" s="75"/>
      <c r="AC16" s="47"/>
      <c r="AD16" s="47"/>
      <c r="AE16" s="417">
        <v>15.21</v>
      </c>
      <c r="AF16" s="418">
        <f t="shared" si="0"/>
        <v>14.812000000000001</v>
      </c>
      <c r="AG16" s="419" t="s">
        <v>128</v>
      </c>
      <c r="AH16" s="420" t="s">
        <v>170</v>
      </c>
      <c r="AI16" s="421">
        <f t="shared" si="1"/>
        <v>14.812000000000001</v>
      </c>
      <c r="AJ16" s="55"/>
    </row>
    <row r="17" spans="2:36" s="56" customFormat="1" ht="17.25" thickTop="1" thickBot="1">
      <c r="B17" s="44"/>
      <c r="C17" s="98" t="s">
        <v>44</v>
      </c>
      <c r="D17" s="98"/>
      <c r="E17" s="99"/>
      <c r="F17" s="57"/>
      <c r="G17" s="100"/>
      <c r="H17" s="101"/>
      <c r="I17" s="94"/>
      <c r="J17" s="95"/>
      <c r="K17" s="102"/>
      <c r="L17" s="103"/>
      <c r="M17" s="101"/>
      <c r="N17" s="75"/>
      <c r="O17" s="47"/>
      <c r="P17" s="47"/>
      <c r="Q17" s="46"/>
      <c r="R17" s="47"/>
      <c r="S17" s="47"/>
      <c r="T17" s="72"/>
      <c r="U17" s="47"/>
      <c r="V17" s="93"/>
      <c r="W17" s="94"/>
      <c r="X17" s="95"/>
      <c r="Y17" s="104"/>
      <c r="Z17" s="97"/>
      <c r="AA17" s="47"/>
      <c r="AB17" s="75"/>
      <c r="AC17" s="47"/>
      <c r="AD17" s="47"/>
      <c r="AE17" s="205">
        <v>15.21</v>
      </c>
      <c r="AF17" s="180">
        <f t="shared" si="0"/>
        <v>14.812000000000001</v>
      </c>
      <c r="AG17" s="63" t="s">
        <v>25</v>
      </c>
      <c r="AH17" s="206" t="s">
        <v>171</v>
      </c>
      <c r="AI17" s="62">
        <f t="shared" si="1"/>
        <v>0</v>
      </c>
      <c r="AJ17" s="55"/>
    </row>
    <row r="18" spans="2:36" s="56" customFormat="1" ht="17.25" thickTop="1" thickBot="1">
      <c r="B18" s="44"/>
      <c r="C18" s="105"/>
      <c r="D18" s="105"/>
      <c r="E18" s="106"/>
      <c r="F18" s="66"/>
      <c r="G18" s="47"/>
      <c r="H18" s="107"/>
      <c r="I18" s="108"/>
      <c r="J18" s="95"/>
      <c r="K18" s="109"/>
      <c r="L18" s="107"/>
      <c r="M18" s="47"/>
      <c r="N18" s="75"/>
      <c r="O18" s="47"/>
      <c r="P18" s="47"/>
      <c r="Q18" s="46"/>
      <c r="R18" s="47"/>
      <c r="S18" s="47"/>
      <c r="T18" s="72"/>
      <c r="U18" s="100"/>
      <c r="V18" s="101"/>
      <c r="W18" s="94"/>
      <c r="X18" s="95"/>
      <c r="Y18" s="102"/>
      <c r="Z18" s="103"/>
      <c r="AA18" s="101"/>
      <c r="AB18" s="75"/>
      <c r="AC18" s="47"/>
      <c r="AD18" s="47"/>
      <c r="AE18" s="205">
        <v>20.2</v>
      </c>
      <c r="AF18" s="180">
        <f t="shared" si="0"/>
        <v>19.802</v>
      </c>
      <c r="AG18" s="63" t="s">
        <v>25</v>
      </c>
      <c r="AH18" s="206" t="s">
        <v>172</v>
      </c>
      <c r="AI18" s="62">
        <f t="shared" si="1"/>
        <v>0</v>
      </c>
      <c r="AJ18" s="110"/>
    </row>
    <row r="19" spans="2:36" s="56" customFormat="1" ht="17.25" thickTop="1" thickBot="1">
      <c r="B19" s="44"/>
      <c r="C19" s="47"/>
      <c r="D19" s="46"/>
      <c r="E19" s="47"/>
      <c r="F19" s="72"/>
      <c r="H19" s="47"/>
      <c r="I19" s="89"/>
      <c r="J19" s="111"/>
      <c r="K19" s="47"/>
      <c r="N19" s="75"/>
      <c r="O19" s="47"/>
      <c r="P19" s="47"/>
      <c r="Q19" s="46"/>
      <c r="R19" s="47"/>
      <c r="S19" s="47"/>
      <c r="T19" s="72"/>
      <c r="U19" s="47"/>
      <c r="V19" s="107"/>
      <c r="W19" s="108"/>
      <c r="X19" s="95"/>
      <c r="Y19" s="109"/>
      <c r="Z19" s="107"/>
      <c r="AA19" s="47"/>
      <c r="AB19" s="75"/>
      <c r="AC19" s="47"/>
      <c r="AD19" s="47"/>
      <c r="AE19" s="205">
        <v>20.22</v>
      </c>
      <c r="AF19" s="180">
        <f t="shared" si="0"/>
        <v>19.821999999999999</v>
      </c>
      <c r="AG19" s="63" t="s">
        <v>25</v>
      </c>
      <c r="AH19" s="206" t="s">
        <v>173</v>
      </c>
      <c r="AI19" s="62">
        <f t="shared" si="1"/>
        <v>0</v>
      </c>
      <c r="AJ19" s="110"/>
    </row>
    <row r="20" spans="2:36" s="56" customFormat="1" ht="17.25" thickTop="1" thickBot="1">
      <c r="B20" s="44"/>
      <c r="C20" s="47"/>
      <c r="D20" s="112"/>
      <c r="E20" s="47"/>
      <c r="F20" s="113"/>
      <c r="G20" s="47"/>
      <c r="H20" s="47"/>
      <c r="I20" s="89"/>
      <c r="J20" s="111"/>
      <c r="K20" s="47"/>
      <c r="L20" s="47"/>
      <c r="M20" s="47"/>
      <c r="N20" s="114"/>
      <c r="O20" s="47"/>
      <c r="P20" s="47"/>
      <c r="Q20" s="46"/>
      <c r="R20" s="47"/>
      <c r="S20" s="47"/>
      <c r="T20" s="113"/>
      <c r="U20" s="47"/>
      <c r="V20" s="47"/>
      <c r="W20" s="89"/>
      <c r="X20" s="95"/>
      <c r="Y20" s="115"/>
      <c r="Z20" s="47"/>
      <c r="AA20" s="47"/>
      <c r="AB20" s="114"/>
      <c r="AC20" s="45"/>
      <c r="AE20" s="392">
        <v>20.22</v>
      </c>
      <c r="AF20" s="393">
        <f t="shared" si="0"/>
        <v>19.821999999999999</v>
      </c>
      <c r="AG20" s="394" t="s">
        <v>213</v>
      </c>
      <c r="AH20" s="395" t="s">
        <v>174</v>
      </c>
      <c r="AI20" s="396">
        <f t="shared" si="1"/>
        <v>0</v>
      </c>
      <c r="AJ20" s="110"/>
    </row>
    <row r="21" spans="2:36" s="56" customFormat="1" ht="17.25" thickTop="1" thickBot="1">
      <c r="B21" s="44"/>
      <c r="C21" s="47"/>
      <c r="D21" s="112"/>
      <c r="E21" s="47"/>
      <c r="F21" s="75"/>
      <c r="G21" s="47"/>
      <c r="H21" s="47"/>
      <c r="I21" s="47"/>
      <c r="J21" s="116" t="s">
        <v>45</v>
      </c>
      <c r="K21" s="47"/>
      <c r="L21" s="47"/>
      <c r="M21" s="47"/>
      <c r="N21" s="72"/>
      <c r="O21" s="47"/>
      <c r="P21" s="47"/>
      <c r="Q21" s="46"/>
      <c r="R21" s="47"/>
      <c r="S21" s="47"/>
      <c r="T21" s="75"/>
      <c r="U21" s="47"/>
      <c r="V21" s="47"/>
      <c r="W21" s="89"/>
      <c r="X21" s="95"/>
      <c r="Y21" s="47"/>
      <c r="Z21" s="47"/>
      <c r="AA21" s="75"/>
      <c r="AB21" s="47"/>
      <c r="AC21" s="45"/>
      <c r="AE21" s="417">
        <v>32.51</v>
      </c>
      <c r="AF21" s="418">
        <f t="shared" si="0"/>
        <v>32.111999999999995</v>
      </c>
      <c r="AG21" s="419" t="s">
        <v>128</v>
      </c>
      <c r="AH21" s="420" t="s">
        <v>229</v>
      </c>
      <c r="AI21" s="421">
        <f t="shared" si="1"/>
        <v>32.111999999999995</v>
      </c>
      <c r="AJ21" s="110"/>
    </row>
    <row r="22" spans="2:36" s="56" customFormat="1" ht="17.25" thickTop="1" thickBot="1">
      <c r="B22" s="44"/>
      <c r="C22" s="47"/>
      <c r="D22" s="59" t="s">
        <v>46</v>
      </c>
      <c r="E22" s="57"/>
      <c r="F22" s="99"/>
      <c r="G22" s="57"/>
      <c r="H22" s="117"/>
      <c r="I22" s="118"/>
      <c r="J22" s="91"/>
      <c r="K22" s="119"/>
      <c r="L22" s="117"/>
      <c r="M22" s="47"/>
      <c r="N22" s="72"/>
      <c r="O22" s="47"/>
      <c r="P22" s="47"/>
      <c r="R22" s="47"/>
      <c r="S22" s="47"/>
      <c r="T22" s="120"/>
      <c r="U22" s="47"/>
      <c r="V22" s="47"/>
      <c r="W22" s="89"/>
      <c r="X22" s="91"/>
      <c r="Y22" s="47"/>
      <c r="Z22" s="47"/>
      <c r="AA22" s="75"/>
      <c r="AB22" s="47"/>
      <c r="AC22" s="47"/>
      <c r="AD22" s="47"/>
      <c r="AE22" s="205"/>
      <c r="AF22" s="180"/>
      <c r="AG22" s="63"/>
      <c r="AH22" s="206"/>
      <c r="AI22" s="62"/>
      <c r="AJ22" s="110"/>
    </row>
    <row r="23" spans="2:36" s="56" customFormat="1" ht="17.25" customHeight="1" thickTop="1" thickBot="1">
      <c r="B23" s="44"/>
      <c r="C23" s="47"/>
      <c r="D23" s="59"/>
      <c r="E23" s="57"/>
      <c r="F23" s="99"/>
      <c r="G23" s="57"/>
      <c r="H23" s="47"/>
      <c r="I23" s="89"/>
      <c r="J23" s="95"/>
      <c r="K23" s="47"/>
      <c r="L23" s="47"/>
      <c r="M23" s="121"/>
      <c r="N23" s="57"/>
      <c r="O23" s="57"/>
      <c r="P23" s="57"/>
      <c r="Q23" s="59"/>
      <c r="R23" s="57"/>
      <c r="S23" s="57"/>
      <c r="T23" s="99"/>
      <c r="U23" s="57"/>
      <c r="V23" s="117"/>
      <c r="W23" s="122"/>
      <c r="X23" s="95"/>
      <c r="Y23" s="123"/>
      <c r="Z23" s="117"/>
      <c r="AA23" s="75"/>
      <c r="AB23" s="47"/>
      <c r="AC23" s="47"/>
      <c r="AD23" s="47"/>
      <c r="AE23" s="205"/>
      <c r="AF23" s="180"/>
      <c r="AG23" s="63"/>
      <c r="AH23" s="206"/>
      <c r="AI23" s="62"/>
      <c r="AJ23" s="110"/>
    </row>
    <row r="24" spans="2:36" s="56" customFormat="1" ht="16.5" thickTop="1">
      <c r="B24" s="44"/>
      <c r="C24" s="47"/>
      <c r="D24" s="112"/>
      <c r="E24" s="47"/>
      <c r="F24" s="120"/>
      <c r="G24" s="47"/>
      <c r="H24" s="124"/>
      <c r="I24" s="125"/>
      <c r="J24" s="111"/>
      <c r="L24" s="124"/>
      <c r="M24" s="75"/>
      <c r="N24" s="47"/>
      <c r="O24" s="47"/>
      <c r="P24" s="47"/>
      <c r="Q24" s="112" t="s">
        <v>47</v>
      </c>
      <c r="R24" s="47"/>
      <c r="S24" s="47"/>
      <c r="T24" s="120"/>
      <c r="U24" s="47"/>
      <c r="V24" s="124"/>
      <c r="W24" s="125"/>
      <c r="X24" s="95"/>
      <c r="Z24" s="124"/>
      <c r="AA24" s="75"/>
      <c r="AB24" s="47"/>
      <c r="AC24" s="47"/>
      <c r="AD24" s="47"/>
      <c r="AE24" s="205"/>
      <c r="AF24" s="180"/>
      <c r="AG24" s="63"/>
      <c r="AH24" s="206"/>
      <c r="AI24" s="62"/>
      <c r="AJ24" s="110"/>
    </row>
    <row r="25" spans="2:36" s="56" customFormat="1" ht="15.75">
      <c r="B25" s="44"/>
      <c r="C25" s="47"/>
      <c r="D25" s="112"/>
      <c r="E25" s="47"/>
      <c r="F25" s="120"/>
      <c r="G25" s="47"/>
      <c r="H25" s="124"/>
      <c r="I25" s="125"/>
      <c r="J25" s="95"/>
      <c r="K25" s="47"/>
      <c r="L25" s="124"/>
      <c r="M25" s="75"/>
      <c r="N25" s="47"/>
      <c r="O25" s="47"/>
      <c r="P25" s="47"/>
      <c r="Q25" s="46"/>
      <c r="R25" s="47"/>
      <c r="S25" s="47"/>
      <c r="T25" s="120"/>
      <c r="U25" s="47"/>
      <c r="V25" s="124"/>
      <c r="W25" s="125"/>
      <c r="X25" s="95"/>
      <c r="Y25" s="47"/>
      <c r="Z25" s="124"/>
      <c r="AA25" s="75"/>
      <c r="AB25" s="47"/>
      <c r="AC25" s="47"/>
      <c r="AD25" s="47"/>
      <c r="AE25" s="205"/>
      <c r="AF25" s="180"/>
      <c r="AG25" s="63"/>
      <c r="AH25" s="206"/>
      <c r="AI25" s="62"/>
      <c r="AJ25" s="110"/>
    </row>
    <row r="26" spans="2:36" s="56" customFormat="1" ht="15.75">
      <c r="B26" s="44"/>
      <c r="C26" s="47"/>
      <c r="D26" s="112"/>
      <c r="E26" s="47"/>
      <c r="F26" s="120"/>
      <c r="G26" s="47"/>
      <c r="H26" s="124"/>
      <c r="I26" s="125"/>
      <c r="J26" s="95"/>
      <c r="K26" s="47"/>
      <c r="L26" s="124"/>
      <c r="M26" s="75"/>
      <c r="N26" s="47"/>
      <c r="O26" s="47"/>
      <c r="P26" s="47"/>
      <c r="Q26" s="46"/>
      <c r="R26" s="47"/>
      <c r="S26" s="47"/>
      <c r="T26" s="120"/>
      <c r="U26" s="47"/>
      <c r="V26" s="124"/>
      <c r="W26" s="125"/>
      <c r="X26" s="95"/>
      <c r="Y26" s="47"/>
      <c r="Z26" s="124"/>
      <c r="AA26" s="75"/>
      <c r="AB26" s="47"/>
      <c r="AC26" s="47"/>
      <c r="AD26" s="47"/>
      <c r="AE26" s="205"/>
      <c r="AF26" s="180"/>
      <c r="AG26" s="63"/>
      <c r="AH26" s="206"/>
      <c r="AI26" s="62"/>
      <c r="AJ26" s="110"/>
    </row>
    <row r="27" spans="2:36" s="56" customFormat="1" ht="15.75">
      <c r="B27" s="44"/>
      <c r="C27" s="47"/>
      <c r="D27" s="112"/>
      <c r="E27" s="47"/>
      <c r="F27" s="120"/>
      <c r="G27" s="47"/>
      <c r="H27" s="124"/>
      <c r="I27" s="125"/>
      <c r="J27" s="95"/>
      <c r="K27" s="47"/>
      <c r="L27" s="124"/>
      <c r="M27" s="75"/>
      <c r="N27" s="47"/>
      <c r="O27" s="47"/>
      <c r="P27" s="47"/>
      <c r="Q27" s="46"/>
      <c r="R27" s="47"/>
      <c r="S27" s="47"/>
      <c r="T27" s="120"/>
      <c r="U27" s="47"/>
      <c r="V27" s="124"/>
      <c r="W27" s="125"/>
      <c r="X27" s="95"/>
      <c r="Y27" s="47"/>
      <c r="Z27" s="124"/>
      <c r="AA27" s="75"/>
      <c r="AB27" s="47"/>
      <c r="AC27" s="47"/>
      <c r="AD27" s="47"/>
      <c r="AE27" s="205"/>
      <c r="AF27" s="180"/>
      <c r="AG27" s="63"/>
      <c r="AH27" s="206"/>
      <c r="AI27" s="62"/>
      <c r="AJ27" s="110"/>
    </row>
    <row r="28" spans="2:36" s="56" customFormat="1" ht="15.75">
      <c r="B28" s="44"/>
      <c r="C28" s="47"/>
      <c r="D28" s="59" t="s">
        <v>48</v>
      </c>
      <c r="E28" s="57"/>
      <c r="F28" s="99"/>
      <c r="G28" s="57"/>
      <c r="H28" s="124"/>
      <c r="I28" s="125"/>
      <c r="J28" s="95"/>
      <c r="K28" s="47"/>
      <c r="L28" s="124"/>
      <c r="M28" s="75"/>
      <c r="N28" s="47"/>
      <c r="O28" s="47"/>
      <c r="P28" s="47"/>
      <c r="Q28" s="46"/>
      <c r="R28" s="47"/>
      <c r="S28" s="47"/>
      <c r="T28" s="120"/>
      <c r="U28" s="47"/>
      <c r="V28" s="124"/>
      <c r="W28" s="125"/>
      <c r="X28" s="95"/>
      <c r="Y28" s="47"/>
      <c r="Z28" s="124"/>
      <c r="AA28" s="75"/>
      <c r="AB28" s="47"/>
      <c r="AC28" s="47"/>
      <c r="AD28" s="47"/>
      <c r="AE28" s="205"/>
      <c r="AF28" s="180"/>
      <c r="AG28" s="63"/>
      <c r="AH28" s="206"/>
      <c r="AI28" s="62"/>
      <c r="AJ28" s="110"/>
    </row>
    <row r="29" spans="2:36" s="56" customFormat="1" ht="16.5" thickBot="1">
      <c r="B29" s="44"/>
      <c r="C29" s="47"/>
      <c r="D29" s="59" t="s">
        <v>49</v>
      </c>
      <c r="E29" s="57"/>
      <c r="F29" s="99"/>
      <c r="G29" s="57"/>
      <c r="H29" s="126"/>
      <c r="I29" s="127"/>
      <c r="J29" s="46"/>
      <c r="K29" s="127"/>
      <c r="L29" s="126"/>
      <c r="M29" s="75"/>
      <c r="N29" s="47"/>
      <c r="O29" s="47"/>
      <c r="P29" s="47"/>
      <c r="Q29" s="46"/>
      <c r="R29" s="47"/>
      <c r="S29" s="47"/>
      <c r="T29" s="120"/>
      <c r="U29" s="47"/>
      <c r="V29" s="126"/>
      <c r="W29" s="127"/>
      <c r="X29" s="95"/>
      <c r="Y29" s="127"/>
      <c r="Z29" s="126"/>
      <c r="AA29" s="75"/>
      <c r="AB29" s="47"/>
      <c r="AC29" s="47"/>
      <c r="AD29" s="47"/>
      <c r="AE29" s="205"/>
      <c r="AF29" s="180"/>
      <c r="AG29" s="63"/>
      <c r="AH29" s="206"/>
      <c r="AI29" s="62"/>
      <c r="AJ29" s="110"/>
    </row>
    <row r="30" spans="2:36" s="56" customFormat="1" ht="16.5" thickTop="1">
      <c r="B30" s="44"/>
      <c r="C30" s="47"/>
      <c r="D30" s="46"/>
      <c r="E30" s="47"/>
      <c r="F30" s="120"/>
      <c r="G30" s="47"/>
      <c r="H30" s="128"/>
      <c r="I30" s="129"/>
      <c r="J30" s="85"/>
      <c r="L30" s="128"/>
      <c r="M30" s="75"/>
      <c r="N30" s="47"/>
      <c r="O30" s="47"/>
      <c r="P30" s="47"/>
      <c r="Q30" s="46"/>
      <c r="R30" s="47"/>
      <c r="S30" s="47"/>
      <c r="T30" s="120"/>
      <c r="U30" s="47"/>
      <c r="V30" s="128"/>
      <c r="W30" s="129"/>
      <c r="X30" s="85"/>
      <c r="Z30" s="128"/>
      <c r="AA30" s="75"/>
      <c r="AB30" s="47"/>
      <c r="AC30" s="47"/>
      <c r="AD30" s="47"/>
      <c r="AE30" s="205"/>
      <c r="AF30" s="180"/>
      <c r="AG30" s="63"/>
      <c r="AH30" s="206"/>
      <c r="AI30" s="62"/>
      <c r="AJ30" s="110"/>
    </row>
    <row r="31" spans="2:36" s="56" customFormat="1" ht="15.75">
      <c r="B31" s="44"/>
      <c r="C31" s="47"/>
      <c r="D31" s="46"/>
      <c r="E31" s="47"/>
      <c r="F31" s="75"/>
      <c r="G31" s="47"/>
      <c r="H31" s="128"/>
      <c r="I31" s="130"/>
      <c r="J31" s="85"/>
      <c r="K31" s="131"/>
      <c r="L31" s="128"/>
      <c r="M31" s="75"/>
      <c r="N31" s="47"/>
      <c r="O31" s="47"/>
      <c r="P31" s="47"/>
      <c r="Q31" s="46"/>
      <c r="R31" s="47"/>
      <c r="S31" s="47"/>
      <c r="T31" s="75"/>
      <c r="U31" s="47"/>
      <c r="V31" s="128"/>
      <c r="W31" s="130"/>
      <c r="X31" s="85"/>
      <c r="Y31" s="131"/>
      <c r="Z31" s="128"/>
      <c r="AA31" s="75"/>
      <c r="AB31" s="47"/>
      <c r="AC31" s="47"/>
      <c r="AD31" s="47"/>
      <c r="AE31" s="205"/>
      <c r="AF31" s="180"/>
      <c r="AG31" s="63"/>
      <c r="AH31" s="206"/>
      <c r="AI31" s="62"/>
      <c r="AJ31" s="110"/>
    </row>
    <row r="32" spans="2:36" s="56" customFormat="1" ht="15.75">
      <c r="B32" s="44"/>
      <c r="C32" s="47"/>
      <c r="D32" s="46"/>
      <c r="E32" s="47"/>
      <c r="F32" s="75"/>
      <c r="G32" s="47"/>
      <c r="H32" s="132"/>
      <c r="I32" s="133"/>
      <c r="J32" s="85"/>
      <c r="L32" s="132"/>
      <c r="M32" s="75"/>
      <c r="N32" s="47"/>
      <c r="O32" s="47"/>
      <c r="P32" s="47"/>
      <c r="Q32" s="46"/>
      <c r="R32" s="47"/>
      <c r="S32" s="47"/>
      <c r="T32" s="75"/>
      <c r="U32" s="47"/>
      <c r="V32" s="132"/>
      <c r="W32" s="133"/>
      <c r="X32" s="85"/>
      <c r="Z32" s="132"/>
      <c r="AA32" s="75"/>
      <c r="AB32" s="47"/>
      <c r="AC32" s="47"/>
      <c r="AD32" s="47"/>
      <c r="AE32" s="205"/>
      <c r="AF32" s="180"/>
      <c r="AG32" s="63"/>
      <c r="AH32" s="206"/>
      <c r="AI32" s="62"/>
      <c r="AJ32" s="110"/>
    </row>
    <row r="33" spans="2:38" s="56" customFormat="1" ht="15">
      <c r="B33" s="44"/>
      <c r="C33" s="47"/>
      <c r="D33" s="46"/>
      <c r="E33" s="47"/>
      <c r="F33" s="75"/>
      <c r="G33" s="47"/>
      <c r="H33" s="47"/>
      <c r="I33" s="75"/>
      <c r="J33" s="85"/>
      <c r="K33" s="47"/>
      <c r="L33" s="47"/>
      <c r="M33" s="75"/>
      <c r="N33" s="47"/>
      <c r="O33" s="47"/>
      <c r="P33" s="47"/>
      <c r="Q33" s="46"/>
      <c r="R33" s="47"/>
      <c r="S33" s="47"/>
      <c r="T33" s="75"/>
      <c r="U33" s="47"/>
      <c r="V33" s="47"/>
      <c r="W33" s="75"/>
      <c r="X33" s="85"/>
      <c r="Y33" s="47"/>
      <c r="Z33" s="47"/>
      <c r="AA33" s="75"/>
      <c r="AB33" s="47"/>
      <c r="AC33" s="47"/>
      <c r="AD33" s="47"/>
      <c r="AE33" s="134"/>
      <c r="AF33" s="220"/>
      <c r="AG33" s="221"/>
      <c r="AH33" s="207"/>
      <c r="AI33" s="135"/>
      <c r="AJ33" s="110"/>
    </row>
    <row r="34" spans="2:38" s="56" customFormat="1" ht="15">
      <c r="B34" s="44"/>
      <c r="C34" s="47"/>
      <c r="D34" s="46"/>
      <c r="E34" s="47"/>
      <c r="F34" s="47"/>
      <c r="G34" s="47"/>
      <c r="H34" s="47"/>
      <c r="I34" s="75"/>
      <c r="J34" s="136"/>
      <c r="K34" s="47"/>
      <c r="L34" s="47"/>
      <c r="M34" s="47"/>
      <c r="N34" s="47"/>
      <c r="O34" s="47"/>
      <c r="P34" s="47"/>
      <c r="Q34" s="46"/>
      <c r="R34" s="47"/>
      <c r="S34" s="47"/>
      <c r="T34" s="47"/>
      <c r="U34" s="47"/>
      <c r="V34" s="47"/>
      <c r="W34" s="75"/>
      <c r="X34" s="136"/>
      <c r="Y34" s="47"/>
      <c r="Z34" s="47"/>
      <c r="AA34" s="47"/>
      <c r="AB34" s="47"/>
      <c r="AC34" s="47"/>
      <c r="AD34" s="47"/>
      <c r="AE34" s="134"/>
      <c r="AF34" s="220"/>
      <c r="AG34" s="221"/>
      <c r="AH34" s="207"/>
      <c r="AI34" s="135"/>
      <c r="AJ34" s="55"/>
      <c r="AL34" s="56" t="s">
        <v>14</v>
      </c>
    </row>
    <row r="35" spans="2:38" s="56" customFormat="1" ht="15.75" thickBot="1">
      <c r="B35" s="44"/>
      <c r="C35" s="47"/>
      <c r="D35" s="46"/>
      <c r="E35" s="47"/>
      <c r="F35" s="47"/>
      <c r="G35" s="47"/>
      <c r="H35" s="47"/>
      <c r="I35" s="47"/>
      <c r="J35" s="46"/>
      <c r="K35" s="47"/>
      <c r="L35" s="47"/>
      <c r="M35" s="47"/>
      <c r="N35" s="47"/>
      <c r="O35" s="47"/>
      <c r="P35" s="47"/>
      <c r="Q35" s="46"/>
      <c r="R35" s="47"/>
      <c r="S35" s="47"/>
      <c r="T35" s="47"/>
      <c r="U35" s="47"/>
      <c r="V35" s="47"/>
      <c r="W35" s="47"/>
      <c r="X35" s="46"/>
      <c r="Y35" s="47"/>
      <c r="Z35" s="47"/>
      <c r="AA35" s="47"/>
      <c r="AB35" s="47"/>
      <c r="AC35" s="47"/>
      <c r="AD35" s="47"/>
      <c r="AE35" s="134"/>
      <c r="AF35" s="220"/>
      <c r="AG35" s="221"/>
      <c r="AH35" s="207"/>
      <c r="AI35" s="135"/>
      <c r="AJ35" s="55"/>
    </row>
    <row r="36" spans="2:38" s="56" customFormat="1" ht="15.75" thickBot="1">
      <c r="B36" s="44"/>
      <c r="C36" s="47"/>
      <c r="D36" s="46"/>
      <c r="E36" s="137"/>
      <c r="F36" s="138"/>
      <c r="G36" s="138"/>
      <c r="H36" s="138"/>
      <c r="I36" s="138"/>
      <c r="J36" s="139" t="s">
        <v>50</v>
      </c>
      <c r="K36" s="138"/>
      <c r="L36" s="138"/>
      <c r="M36" s="138"/>
      <c r="N36" s="138"/>
      <c r="O36" s="140"/>
      <c r="P36" s="47"/>
      <c r="Q36" s="46"/>
      <c r="R36" s="47"/>
      <c r="S36" s="137"/>
      <c r="T36" s="138"/>
      <c r="U36" s="138"/>
      <c r="V36" s="138"/>
      <c r="W36" s="138"/>
      <c r="X36" s="139" t="s">
        <v>51</v>
      </c>
      <c r="Y36" s="138"/>
      <c r="Z36" s="138"/>
      <c r="AA36" s="138"/>
      <c r="AB36" s="138"/>
      <c r="AC36" s="140"/>
      <c r="AD36" s="47"/>
      <c r="AE36" s="134"/>
      <c r="AF36" s="220"/>
      <c r="AG36" s="221"/>
      <c r="AH36" s="207"/>
      <c r="AI36" s="135"/>
      <c r="AJ36" s="55"/>
    </row>
    <row r="37" spans="2:38" s="56" customFormat="1" ht="15">
      <c r="B37" s="44"/>
      <c r="C37" s="47"/>
      <c r="D37" s="46"/>
      <c r="E37" s="47"/>
      <c r="F37" s="47"/>
      <c r="G37" s="47"/>
      <c r="H37" s="47"/>
      <c r="I37" s="47"/>
      <c r="J37" s="112"/>
      <c r="K37" s="47"/>
      <c r="L37" s="47"/>
      <c r="M37" s="47"/>
      <c r="N37" s="47"/>
      <c r="O37" s="47"/>
      <c r="P37" s="47"/>
      <c r="Q37" s="46"/>
      <c r="R37" s="47"/>
      <c r="S37" s="47"/>
      <c r="T37" s="47"/>
      <c r="U37" s="47"/>
      <c r="V37" s="47"/>
      <c r="W37" s="47"/>
      <c r="X37" s="112"/>
      <c r="Y37" s="47"/>
      <c r="Z37" s="47"/>
      <c r="AA37" s="47"/>
      <c r="AB37" s="47"/>
      <c r="AC37" s="47"/>
      <c r="AD37" s="47"/>
      <c r="AE37" s="141"/>
      <c r="AF37" s="142">
        <f>SUM(AI7:AI36)</f>
        <v>46.923999999999992</v>
      </c>
      <c r="AG37" s="143" t="s">
        <v>52</v>
      </c>
      <c r="AH37" s="143"/>
      <c r="AI37" s="144"/>
      <c r="AJ37" s="55"/>
    </row>
    <row r="38" spans="2:38" s="56" customFormat="1" ht="15">
      <c r="B38" s="44"/>
      <c r="C38" s="47"/>
      <c r="D38" s="46"/>
      <c r="E38" s="47"/>
      <c r="F38" s="47"/>
      <c r="G38" s="47"/>
      <c r="H38" s="47"/>
      <c r="I38" s="47"/>
      <c r="J38" s="112"/>
      <c r="K38" s="47"/>
      <c r="L38" s="47"/>
      <c r="M38" s="47"/>
      <c r="N38" s="47"/>
      <c r="O38" s="47"/>
      <c r="P38" s="47"/>
      <c r="Q38" s="46"/>
      <c r="R38" s="47"/>
      <c r="S38" s="47"/>
      <c r="T38" s="47"/>
      <c r="U38" s="47"/>
      <c r="V38" s="47"/>
      <c r="W38" s="47"/>
      <c r="X38" s="112"/>
      <c r="Y38" s="47"/>
      <c r="Z38" s="47"/>
      <c r="AA38" s="47"/>
      <c r="AB38" s="47"/>
      <c r="AC38" s="47"/>
      <c r="AD38" s="47"/>
      <c r="AE38" s="30"/>
      <c r="AF38" s="30"/>
      <c r="AG38" s="30"/>
      <c r="AH38" s="30"/>
      <c r="AI38" s="30"/>
      <c r="AJ38" s="55"/>
    </row>
    <row r="39" spans="2:38" s="56" customFormat="1" ht="15">
      <c r="B39" s="44"/>
      <c r="C39" s="46" t="s">
        <v>53</v>
      </c>
      <c r="D39" s="46"/>
      <c r="E39" s="47"/>
      <c r="F39" s="47"/>
      <c r="G39" s="47"/>
      <c r="H39" s="47"/>
      <c r="I39" s="47"/>
      <c r="J39" s="112"/>
      <c r="K39" s="47"/>
      <c r="L39" s="47"/>
      <c r="M39" s="47"/>
      <c r="N39" s="47"/>
      <c r="O39" s="47"/>
      <c r="P39" s="47"/>
      <c r="Q39" s="46"/>
      <c r="R39" s="47"/>
      <c r="S39" s="47"/>
      <c r="T39" s="47"/>
      <c r="U39" s="47"/>
      <c r="V39" s="47"/>
      <c r="W39" s="47"/>
      <c r="X39" s="112"/>
      <c r="Y39" s="47"/>
      <c r="Z39" s="47"/>
      <c r="AA39" s="47"/>
      <c r="AB39" s="47"/>
      <c r="AC39" s="47"/>
      <c r="AD39" s="47"/>
      <c r="AE39" s="30"/>
      <c r="AF39" s="30"/>
      <c r="AG39" s="30"/>
      <c r="AH39" s="30"/>
      <c r="AI39" s="30"/>
      <c r="AJ39" s="55"/>
    </row>
    <row r="40" spans="2:38" ht="12">
      <c r="B40" s="37"/>
      <c r="C40" s="260">
        <v>19.97</v>
      </c>
      <c r="D40" s="316" t="s">
        <v>132</v>
      </c>
      <c r="E40" s="146"/>
      <c r="F40" s="146"/>
      <c r="G40" s="146"/>
      <c r="H40" s="146"/>
      <c r="I40" s="146"/>
      <c r="J40" s="147"/>
      <c r="K40" s="146"/>
      <c r="L40" s="146"/>
      <c r="M40" s="146"/>
      <c r="N40" s="146"/>
      <c r="O40" s="148"/>
      <c r="P40" s="146"/>
      <c r="Q40" s="149"/>
      <c r="R40" s="32"/>
      <c r="S40" s="32"/>
      <c r="T40" s="32"/>
      <c r="U40" s="32"/>
      <c r="V40" s="32"/>
      <c r="W40" s="32"/>
      <c r="X40" s="150"/>
      <c r="Y40" s="32"/>
      <c r="Z40" s="32"/>
      <c r="AA40" s="32"/>
      <c r="AB40" s="32"/>
      <c r="AD40" s="32"/>
      <c r="AE40" s="30"/>
      <c r="AJ40" s="39"/>
    </row>
    <row r="41" spans="2:38" ht="12.75">
      <c r="B41" s="37"/>
      <c r="C41" s="151">
        <v>31.84</v>
      </c>
      <c r="D41" s="152" t="s">
        <v>230</v>
      </c>
      <c r="Q41" s="153"/>
      <c r="R41" s="154"/>
      <c r="X41" s="30"/>
      <c r="AC41" s="30"/>
      <c r="AE41" s="30"/>
      <c r="AJ41" s="39"/>
    </row>
    <row r="42" spans="2:38" ht="12.75">
      <c r="B42" s="37"/>
      <c r="C42" s="151">
        <v>31.68</v>
      </c>
      <c r="D42" s="152" t="s">
        <v>158</v>
      </c>
      <c r="Q42" s="153"/>
      <c r="R42" s="154"/>
      <c r="X42" s="30"/>
      <c r="AC42" s="30"/>
      <c r="AE42" s="30"/>
      <c r="AJ42" s="39"/>
    </row>
    <row r="43" spans="2:38" ht="12.75">
      <c r="B43" s="37"/>
      <c r="C43" s="151">
        <v>31.7</v>
      </c>
      <c r="D43" s="152" t="s">
        <v>158</v>
      </c>
      <c r="Q43" s="153"/>
      <c r="R43" s="154"/>
      <c r="X43" s="30"/>
      <c r="AC43" s="30"/>
      <c r="AE43" s="30"/>
      <c r="AJ43" s="39"/>
    </row>
    <row r="44" spans="2:38" ht="12.75">
      <c r="B44" s="37"/>
      <c r="C44" s="151">
        <v>3.62</v>
      </c>
      <c r="D44" s="152" t="s">
        <v>159</v>
      </c>
      <c r="Q44" s="153"/>
      <c r="R44" s="154"/>
      <c r="X44" s="30"/>
      <c r="AC44" s="30"/>
      <c r="AE44" s="30"/>
      <c r="AJ44" s="39"/>
    </row>
    <row r="45" spans="2:38" ht="15" thickBot="1">
      <c r="B45" s="37"/>
      <c r="C45" s="155">
        <v>37.24</v>
      </c>
      <c r="D45" s="152" t="s">
        <v>227</v>
      </c>
      <c r="Q45" s="153"/>
      <c r="R45" s="154"/>
      <c r="T45" s="46" t="s">
        <v>53</v>
      </c>
      <c r="X45" s="160" t="s">
        <v>54</v>
      </c>
      <c r="AC45" s="30"/>
      <c r="AE45" s="30"/>
      <c r="AJ45" s="39"/>
    </row>
    <row r="46" spans="2:38" ht="12.75">
      <c r="B46" s="37"/>
      <c r="C46" s="161">
        <f>SUM(C40:C45)</f>
        <v>156.05000000000001</v>
      </c>
      <c r="D46" s="162" t="s">
        <v>55</v>
      </c>
      <c r="E46" s="163"/>
      <c r="F46" s="163"/>
      <c r="G46" s="163"/>
      <c r="H46" s="163"/>
      <c r="I46" s="163"/>
      <c r="J46" s="164"/>
      <c r="K46" s="163"/>
      <c r="L46" s="163"/>
      <c r="M46" s="163"/>
      <c r="N46" s="163"/>
      <c r="O46" s="163"/>
      <c r="P46" s="163"/>
      <c r="Q46" s="165"/>
      <c r="R46" s="154"/>
      <c r="S46" s="529">
        <f>C46</f>
        <v>156.05000000000001</v>
      </c>
      <c r="T46" s="530"/>
      <c r="U46" s="531"/>
      <c r="V46" s="532" t="s">
        <v>56</v>
      </c>
      <c r="W46" s="533"/>
      <c r="X46" s="533"/>
      <c r="Y46" s="533"/>
      <c r="Z46" s="533"/>
      <c r="AA46" s="533"/>
      <c r="AB46" s="533"/>
      <c r="AC46" s="533"/>
      <c r="AD46" s="533"/>
      <c r="AE46" s="534"/>
      <c r="AJ46" s="39"/>
    </row>
    <row r="47" spans="2:38" ht="12.75">
      <c r="B47" s="37"/>
      <c r="C47" s="166"/>
      <c r="D47" s="30"/>
      <c r="Q47" s="30"/>
      <c r="R47" s="154"/>
      <c r="S47" s="535">
        <f>C50</f>
        <v>105.47200000000001</v>
      </c>
      <c r="T47" s="536"/>
      <c r="U47" s="537"/>
      <c r="V47" s="538" t="s">
        <v>57</v>
      </c>
      <c r="W47" s="539"/>
      <c r="X47" s="539"/>
      <c r="Y47" s="539"/>
      <c r="Z47" s="539"/>
      <c r="AA47" s="539"/>
      <c r="AB47" s="539"/>
      <c r="AC47" s="539"/>
      <c r="AD47" s="539"/>
      <c r="AE47" s="540"/>
      <c r="AJ47" s="39"/>
    </row>
    <row r="48" spans="2:38" ht="12.75">
      <c r="B48" s="37"/>
      <c r="C48" s="167">
        <v>98.79</v>
      </c>
      <c r="D48" s="145" t="s">
        <v>58</v>
      </c>
      <c r="E48" s="146"/>
      <c r="F48" s="146"/>
      <c r="G48" s="146"/>
      <c r="H48" s="146"/>
      <c r="I48" s="146"/>
      <c r="J48" s="147"/>
      <c r="K48" s="146"/>
      <c r="L48" s="146"/>
      <c r="M48" s="146"/>
      <c r="N48" s="146"/>
      <c r="O48" s="148"/>
      <c r="P48" s="146"/>
      <c r="Q48" s="149"/>
      <c r="R48" s="154"/>
      <c r="S48" s="541">
        <v>3</v>
      </c>
      <c r="T48" s="542"/>
      <c r="U48" s="543"/>
      <c r="V48" s="538" t="s">
        <v>59</v>
      </c>
      <c r="W48" s="539"/>
      <c r="X48" s="539"/>
      <c r="Y48" s="539"/>
      <c r="Z48" s="539"/>
      <c r="AA48" s="539"/>
      <c r="AB48" s="539"/>
      <c r="AC48" s="539"/>
      <c r="AD48" s="539"/>
      <c r="AE48" s="540"/>
      <c r="AJ48" s="39"/>
    </row>
    <row r="49" spans="2:36" ht="13.5" thickBot="1">
      <c r="B49" s="37"/>
      <c r="C49" s="168">
        <f>7.08-(4.776/12)</f>
        <v>6.6820000000000004</v>
      </c>
      <c r="D49" s="169" t="s">
        <v>60</v>
      </c>
      <c r="E49" s="156"/>
      <c r="F49" s="156"/>
      <c r="G49" s="156"/>
      <c r="H49" s="156"/>
      <c r="I49" s="156"/>
      <c r="J49" s="157"/>
      <c r="K49" s="156"/>
      <c r="L49" s="156"/>
      <c r="M49" s="156"/>
      <c r="N49" s="156"/>
      <c r="O49" s="158"/>
      <c r="P49" s="156"/>
      <c r="Q49" s="159"/>
      <c r="R49" s="154"/>
      <c r="S49" s="544">
        <f>S46-S47-S48</f>
        <v>47.578000000000003</v>
      </c>
      <c r="T49" s="545"/>
      <c r="U49" s="546"/>
      <c r="V49" s="547" t="s">
        <v>61</v>
      </c>
      <c r="W49" s="548"/>
      <c r="X49" s="548"/>
      <c r="Y49" s="548"/>
      <c r="Z49" s="548"/>
      <c r="AA49" s="548"/>
      <c r="AB49" s="548"/>
      <c r="AC49" s="548"/>
      <c r="AD49" s="548"/>
      <c r="AE49" s="549"/>
      <c r="AJ49" s="39"/>
    </row>
    <row r="50" spans="2:36" ht="12.75">
      <c r="B50" s="37"/>
      <c r="C50" s="161">
        <f>C48+C49</f>
        <v>105.47200000000001</v>
      </c>
      <c r="D50" s="162" t="s">
        <v>62</v>
      </c>
      <c r="E50" s="163"/>
      <c r="F50" s="163"/>
      <c r="G50" s="163"/>
      <c r="H50" s="163"/>
      <c r="I50" s="163"/>
      <c r="J50" s="164"/>
      <c r="K50" s="163"/>
      <c r="L50" s="163"/>
      <c r="M50" s="163"/>
      <c r="N50" s="163"/>
      <c r="O50" s="163"/>
      <c r="P50" s="163"/>
      <c r="Q50" s="165"/>
      <c r="R50" s="154"/>
      <c r="S50" s="550">
        <f>AF37</f>
        <v>46.923999999999992</v>
      </c>
      <c r="T50" s="551"/>
      <c r="U50" s="552"/>
      <c r="V50" s="553" t="s">
        <v>63</v>
      </c>
      <c r="W50" s="554"/>
      <c r="X50" s="554"/>
      <c r="Y50" s="554"/>
      <c r="Z50" s="554"/>
      <c r="AA50" s="554"/>
      <c r="AB50" s="554"/>
      <c r="AC50" s="554"/>
      <c r="AD50" s="554"/>
      <c r="AE50" s="555"/>
      <c r="AJ50" s="39"/>
    </row>
    <row r="51" spans="2:36" ht="12.75">
      <c r="B51" s="37"/>
      <c r="C51" s="170"/>
      <c r="D51" s="30"/>
      <c r="Q51" s="30"/>
      <c r="R51" s="154"/>
      <c r="S51" s="556">
        <f>S50-S49</f>
        <v>-0.65400000000001057</v>
      </c>
      <c r="T51" s="542"/>
      <c r="U51" s="543"/>
      <c r="V51" s="557" t="s">
        <v>64</v>
      </c>
      <c r="W51" s="558"/>
      <c r="X51" s="558"/>
      <c r="Y51" s="558"/>
      <c r="Z51" s="558"/>
      <c r="AA51" s="558"/>
      <c r="AB51" s="558"/>
      <c r="AC51" s="558"/>
      <c r="AD51" s="558"/>
      <c r="AE51" s="559"/>
      <c r="AJ51" s="39"/>
    </row>
    <row r="52" spans="2:36" ht="12.75">
      <c r="B52" s="37"/>
      <c r="C52" s="170"/>
      <c r="D52" s="30"/>
      <c r="Q52" s="30"/>
      <c r="R52" s="154"/>
      <c r="T52" s="31"/>
      <c r="X52" s="171" t="s">
        <v>65</v>
      </c>
      <c r="AB52" s="32"/>
      <c r="AC52" s="30"/>
      <c r="AD52" s="31"/>
      <c r="AE52" s="30"/>
      <c r="AJ52" s="39"/>
    </row>
    <row r="53" spans="2:36" ht="12.75">
      <c r="B53" s="37"/>
      <c r="C53" s="170"/>
      <c r="D53" s="30"/>
      <c r="Q53" s="30"/>
      <c r="R53" s="154"/>
      <c r="X53" s="30"/>
      <c r="AC53" s="30"/>
      <c r="AE53" s="30"/>
      <c r="AJ53" s="39"/>
    </row>
    <row r="54" spans="2:36" ht="12.75">
      <c r="B54" s="37"/>
      <c r="C54" s="170"/>
      <c r="D54" s="30"/>
      <c r="Q54" s="30"/>
      <c r="R54" s="154"/>
      <c r="X54" s="30"/>
      <c r="AC54" s="30"/>
      <c r="AE54" s="30"/>
      <c r="AJ54" s="39"/>
    </row>
    <row r="55" spans="2:36" ht="7.5" customHeight="1" thickBot="1">
      <c r="B55" s="172"/>
      <c r="C55" s="173"/>
      <c r="D55" s="174"/>
      <c r="E55" s="174"/>
      <c r="F55" s="174"/>
      <c r="G55" s="174"/>
      <c r="H55" s="174"/>
      <c r="I55" s="174"/>
      <c r="J55" s="175"/>
      <c r="K55" s="174"/>
      <c r="L55" s="174"/>
      <c r="M55" s="174"/>
      <c r="N55" s="174"/>
      <c r="O55" s="176"/>
      <c r="P55" s="174"/>
      <c r="Q55" s="174"/>
      <c r="R55" s="177"/>
      <c r="S55" s="174"/>
      <c r="T55" s="174"/>
      <c r="U55" s="174"/>
      <c r="V55" s="174"/>
      <c r="W55" s="174"/>
      <c r="X55" s="174"/>
      <c r="Y55" s="174"/>
      <c r="Z55" s="174"/>
      <c r="AA55" s="174"/>
      <c r="AB55" s="174"/>
      <c r="AC55" s="174"/>
      <c r="AD55" s="174"/>
      <c r="AE55" s="174"/>
      <c r="AF55" s="174"/>
      <c r="AG55" s="174"/>
      <c r="AH55" s="174"/>
      <c r="AI55" s="174"/>
      <c r="AJ55" s="178"/>
    </row>
    <row r="56" spans="2:36" ht="12.75">
      <c r="C56" s="170"/>
      <c r="D56" s="30"/>
      <c r="Q56" s="30"/>
      <c r="R56" s="154"/>
      <c r="X56" s="30"/>
      <c r="AC56" s="30"/>
      <c r="AD56" s="154"/>
      <c r="AE56" s="30"/>
    </row>
    <row r="57" spans="2:36" ht="12.75">
      <c r="D57" s="30"/>
      <c r="J57" s="30"/>
      <c r="O57" s="30"/>
      <c r="Q57" s="30"/>
      <c r="R57" s="154"/>
      <c r="X57" s="154"/>
      <c r="Y57" s="154"/>
      <c r="Z57" s="154"/>
      <c r="AA57" s="154"/>
      <c r="AB57" s="154"/>
      <c r="AC57" s="154"/>
      <c r="AD57" s="154"/>
      <c r="AE57" s="30"/>
    </row>
    <row r="58" spans="2:36" ht="12.75">
      <c r="D58" s="30"/>
      <c r="J58" s="30"/>
      <c r="O58" s="30"/>
      <c r="Q58" s="30"/>
      <c r="R58" s="154"/>
      <c r="X58" s="154"/>
      <c r="Y58" s="154"/>
      <c r="Z58" s="154"/>
      <c r="AA58" s="154"/>
      <c r="AB58" s="154"/>
      <c r="AC58" s="154"/>
      <c r="AD58" s="154"/>
      <c r="AE58" s="30"/>
    </row>
    <row r="59" spans="2:36" ht="12.75">
      <c r="D59" s="30"/>
      <c r="J59" s="30"/>
      <c r="O59" s="30"/>
      <c r="Q59" s="30"/>
      <c r="R59" s="154"/>
      <c r="X59" s="154"/>
      <c r="Y59" s="154"/>
      <c r="Z59" s="154"/>
      <c r="AA59" s="154"/>
      <c r="AB59" s="154"/>
      <c r="AC59" s="154"/>
      <c r="AD59" s="154"/>
      <c r="AE59" s="30"/>
    </row>
    <row r="60" spans="2:36" ht="12.75">
      <c r="D60" s="30"/>
      <c r="J60" s="30"/>
      <c r="O60" s="30"/>
      <c r="Q60" s="30"/>
      <c r="R60" s="154"/>
      <c r="X60" s="154"/>
      <c r="Y60" s="154"/>
      <c r="Z60" s="154"/>
      <c r="AA60" s="154"/>
      <c r="AB60" s="154"/>
      <c r="AC60" s="154"/>
      <c r="AD60" s="154"/>
    </row>
    <row r="61" spans="2:36" ht="12.75">
      <c r="D61" s="30"/>
      <c r="J61" s="30"/>
      <c r="O61" s="30"/>
      <c r="Q61" s="30"/>
      <c r="R61" s="154"/>
      <c r="X61" s="154"/>
      <c r="Y61" s="154"/>
      <c r="Z61" s="154"/>
      <c r="AA61" s="154"/>
      <c r="AB61" s="154"/>
      <c r="AC61" s="154"/>
      <c r="AD61" s="154"/>
    </row>
    <row r="62" spans="2:36" ht="12.75">
      <c r="D62" s="30"/>
      <c r="J62" s="30"/>
      <c r="O62" s="30"/>
      <c r="Q62" s="30"/>
      <c r="R62" s="154"/>
      <c r="X62" s="154"/>
      <c r="Y62" s="154"/>
      <c r="Z62" s="154"/>
      <c r="AA62" s="154"/>
      <c r="AB62" s="154"/>
      <c r="AC62" s="154"/>
      <c r="AD62" s="154"/>
    </row>
    <row r="63" spans="2:36" ht="12.75">
      <c r="O63" s="30"/>
      <c r="X63" s="154"/>
      <c r="Y63" s="154"/>
      <c r="Z63" s="154"/>
      <c r="AA63" s="154"/>
      <c r="AB63" s="154"/>
      <c r="AC63" s="154"/>
      <c r="AD63" s="154"/>
    </row>
    <row r="64" spans="2:36" ht="12.75">
      <c r="O64" s="30"/>
      <c r="X64" s="154"/>
      <c r="Y64" s="154"/>
      <c r="Z64" s="154"/>
      <c r="AA64" s="154"/>
      <c r="AB64" s="154"/>
      <c r="AC64" s="154"/>
      <c r="AD64" s="154"/>
    </row>
    <row r="65" spans="15:31" ht="12.75">
      <c r="O65" s="30"/>
      <c r="X65" s="154"/>
      <c r="Y65" s="154"/>
      <c r="Z65" s="154"/>
      <c r="AA65" s="154"/>
      <c r="AB65" s="154"/>
      <c r="AC65" s="154"/>
      <c r="AD65" s="154"/>
      <c r="AE65" s="154"/>
    </row>
    <row r="66" spans="15:31" ht="12.75">
      <c r="O66" s="30"/>
      <c r="X66" s="154"/>
      <c r="Y66" s="154"/>
      <c r="Z66" s="154"/>
      <c r="AA66" s="154"/>
      <c r="AB66" s="154"/>
      <c r="AC66" s="154"/>
      <c r="AD66" s="154"/>
      <c r="AE66" s="154"/>
    </row>
    <row r="67" spans="15:31" ht="12.75">
      <c r="O67" s="30"/>
      <c r="X67" s="154"/>
      <c r="Y67" s="154"/>
      <c r="Z67" s="154"/>
      <c r="AA67" s="154"/>
      <c r="AB67" s="154"/>
      <c r="AC67" s="154"/>
      <c r="AD67" s="154"/>
      <c r="AE67" s="154"/>
    </row>
    <row r="68" spans="15:31" ht="12.75">
      <c r="O68" s="30"/>
      <c r="X68" s="154"/>
      <c r="Y68" s="154"/>
      <c r="Z68" s="154"/>
      <c r="AA68" s="154"/>
      <c r="AB68" s="154"/>
      <c r="AC68" s="154"/>
      <c r="AD68" s="154"/>
      <c r="AE68" s="154"/>
    </row>
    <row r="69" spans="15:31" ht="12.75">
      <c r="O69" s="30"/>
      <c r="X69" s="154"/>
      <c r="Y69" s="154"/>
      <c r="Z69" s="154"/>
      <c r="AA69" s="154"/>
      <c r="AB69" s="154"/>
      <c r="AC69" s="154"/>
      <c r="AD69" s="154"/>
      <c r="AE69" s="154"/>
    </row>
    <row r="70" spans="15:31" ht="12.75">
      <c r="O70" s="30"/>
      <c r="X70" s="154"/>
      <c r="Y70" s="154"/>
      <c r="Z70" s="154"/>
      <c r="AA70" s="154"/>
      <c r="AB70" s="154"/>
      <c r="AC70" s="154"/>
      <c r="AD70" s="154"/>
      <c r="AE70" s="154"/>
    </row>
    <row r="71" spans="15:31" ht="12.75">
      <c r="O71" s="30"/>
      <c r="X71" s="154"/>
      <c r="Y71" s="154"/>
      <c r="Z71" s="154"/>
      <c r="AA71" s="154"/>
      <c r="AB71" s="154"/>
      <c r="AC71" s="154"/>
      <c r="AD71" s="154"/>
      <c r="AE71" s="154"/>
    </row>
    <row r="72" spans="15:31" ht="12.75">
      <c r="O72" s="30"/>
      <c r="X72" s="154"/>
      <c r="Y72" s="154"/>
      <c r="Z72" s="154"/>
      <c r="AA72" s="154"/>
      <c r="AB72" s="154"/>
      <c r="AC72" s="154"/>
      <c r="AD72" s="154"/>
      <c r="AE72" s="154"/>
    </row>
    <row r="73" spans="15:31" ht="12.75">
      <c r="O73" s="30"/>
      <c r="AA73" s="32"/>
      <c r="AC73" s="30"/>
      <c r="AE73" s="154"/>
    </row>
    <row r="74" spans="15:31" ht="12.75">
      <c r="O74" s="30"/>
      <c r="AA74" s="32"/>
      <c r="AE74" s="154"/>
    </row>
    <row r="75" spans="15:31" ht="12.75">
      <c r="O75" s="30"/>
      <c r="AA75" s="32"/>
      <c r="AC75" s="30"/>
      <c r="AE75" s="154"/>
    </row>
    <row r="76" spans="15:31" ht="12.75">
      <c r="O76" s="30"/>
      <c r="AC76" s="30"/>
      <c r="AE76" s="154"/>
    </row>
    <row r="77" spans="15:31" ht="12.75">
      <c r="O77" s="30"/>
      <c r="AC77" s="30"/>
      <c r="AE77" s="154"/>
    </row>
    <row r="78" spans="15:31" ht="12.75">
      <c r="O78" s="30"/>
      <c r="AC78" s="30"/>
      <c r="AD78" s="179"/>
      <c r="AE78" s="154"/>
    </row>
    <row r="79" spans="15:31" ht="12.75">
      <c r="O79" s="30"/>
      <c r="AC79" s="30"/>
      <c r="AD79" s="179"/>
      <c r="AE79" s="154"/>
    </row>
    <row r="80" spans="15:31" ht="12.75">
      <c r="O80" s="30"/>
      <c r="AC80" s="30"/>
      <c r="AD80" s="179"/>
      <c r="AE80" s="154"/>
    </row>
    <row r="81" spans="15:31" ht="12.75">
      <c r="O81" s="30"/>
      <c r="AC81" s="30"/>
      <c r="AD81" s="179"/>
      <c r="AE81" s="179"/>
    </row>
    <row r="82" spans="15:31" ht="12.75">
      <c r="O82" s="30"/>
      <c r="AC82" s="30"/>
      <c r="AD82" s="179"/>
    </row>
    <row r="83" spans="15:31" ht="12.75">
      <c r="O83" s="30"/>
      <c r="AC83" s="30"/>
      <c r="AD83" s="179"/>
    </row>
    <row r="84" spans="15:31" ht="12.75">
      <c r="O84" s="30"/>
      <c r="AC84" s="30"/>
      <c r="AD84" s="179"/>
    </row>
    <row r="85" spans="15:31" ht="12.75">
      <c r="O85" s="30"/>
      <c r="AC85" s="30"/>
      <c r="AD85" s="179"/>
    </row>
    <row r="86" spans="15:31" ht="12.75">
      <c r="O86" s="30"/>
      <c r="AC86" s="30"/>
      <c r="AD86" s="179"/>
    </row>
    <row r="87" spans="15:31" ht="12.75">
      <c r="O87" s="30"/>
      <c r="AC87" s="30"/>
      <c r="AD87" s="179"/>
    </row>
    <row r="88" spans="15:31" ht="12.75">
      <c r="O88" s="30"/>
      <c r="AC88" s="30"/>
      <c r="AD88" s="179"/>
    </row>
    <row r="89" spans="15:31" ht="12.75">
      <c r="O89" s="30"/>
      <c r="AC89" s="30"/>
      <c r="AD89" s="179"/>
    </row>
    <row r="90" spans="15:31" ht="12.75">
      <c r="O90" s="30"/>
      <c r="AC90" s="30"/>
      <c r="AD90" s="179"/>
    </row>
    <row r="91" spans="15:31" ht="12.75">
      <c r="O91" s="30"/>
      <c r="AC91" s="30"/>
      <c r="AD91" s="179"/>
    </row>
    <row r="92" spans="15:31" ht="12.75">
      <c r="O92" s="30"/>
      <c r="AC92" s="30"/>
      <c r="AD92" s="179"/>
    </row>
    <row r="93" spans="15:31" ht="12.75">
      <c r="O93" s="30"/>
      <c r="AC93" s="30"/>
      <c r="AD93" s="179"/>
    </row>
    <row r="94" spans="15:31" ht="12.75">
      <c r="O94" s="30"/>
      <c r="AC94" s="30"/>
      <c r="AD94" s="179"/>
    </row>
    <row r="95" spans="15:31">
      <c r="O95" s="30"/>
      <c r="AC95" s="30"/>
    </row>
    <row r="96" spans="15:31">
      <c r="O96" s="30"/>
      <c r="AC96" s="30"/>
    </row>
    <row r="97" spans="15:29">
      <c r="O97" s="30"/>
      <c r="AC97" s="30"/>
    </row>
    <row r="98" spans="15:29">
      <c r="O98" s="30"/>
      <c r="AC98" s="30"/>
    </row>
    <row r="99" spans="15:29">
      <c r="O99" s="30"/>
      <c r="AC99" s="30"/>
    </row>
    <row r="100" spans="15:29">
      <c r="O100" s="30"/>
      <c r="AC100" s="30"/>
    </row>
    <row r="101" spans="15:29">
      <c r="O101" s="30"/>
      <c r="AC101" s="30"/>
    </row>
    <row r="102" spans="15:29">
      <c r="O102" s="30"/>
      <c r="AC102" s="30"/>
    </row>
    <row r="103" spans="15:29">
      <c r="O103" s="30"/>
      <c r="AC103" s="30"/>
    </row>
    <row r="104" spans="15:29">
      <c r="O104" s="30"/>
      <c r="AC104" s="30"/>
    </row>
    <row r="105" spans="15:29">
      <c r="O105" s="30"/>
      <c r="AC105" s="30"/>
    </row>
    <row r="106" spans="15:29">
      <c r="O106" s="30"/>
      <c r="AC106" s="30"/>
    </row>
    <row r="107" spans="15:29">
      <c r="O107" s="30"/>
      <c r="AC107" s="30"/>
    </row>
    <row r="108" spans="15:29">
      <c r="O108" s="30"/>
      <c r="AC108" s="30"/>
    </row>
    <row r="109" spans="15:29">
      <c r="O109" s="30"/>
      <c r="AC109" s="30"/>
    </row>
    <row r="110" spans="15:29">
      <c r="O110" s="30"/>
      <c r="AC110" s="30"/>
    </row>
    <row r="111" spans="15:29">
      <c r="O111" s="30"/>
      <c r="AC111" s="30"/>
    </row>
    <row r="112" spans="15:29">
      <c r="O112" s="30"/>
      <c r="AC112" s="30"/>
    </row>
    <row r="113" spans="15:29">
      <c r="O113" s="30"/>
      <c r="AC113" s="30"/>
    </row>
    <row r="114" spans="15:29">
      <c r="O114" s="30"/>
      <c r="AC114" s="30"/>
    </row>
    <row r="115" spans="15:29">
      <c r="O115" s="30"/>
      <c r="AC115" s="30"/>
    </row>
    <row r="116" spans="15:29">
      <c r="O116" s="30"/>
      <c r="AC116" s="30"/>
    </row>
    <row r="117" spans="15:29">
      <c r="O117" s="30"/>
      <c r="AC117" s="30"/>
    </row>
    <row r="118" spans="15:29">
      <c r="O118" s="30"/>
      <c r="AC118" s="30"/>
    </row>
    <row r="119" spans="15:29">
      <c r="O119" s="30"/>
      <c r="AC119" s="30"/>
    </row>
    <row r="120" spans="15:29">
      <c r="O120" s="30"/>
      <c r="AC120" s="30"/>
    </row>
    <row r="121" spans="15:29">
      <c r="O121" s="30"/>
      <c r="AC121" s="30"/>
    </row>
    <row r="122" spans="15:29">
      <c r="O122" s="30"/>
      <c r="AC122" s="30"/>
    </row>
    <row r="123" spans="15:29">
      <c r="O123" s="30"/>
      <c r="AC123" s="30"/>
    </row>
    <row r="124" spans="15:29">
      <c r="O124" s="30"/>
      <c r="AC124" s="30"/>
    </row>
    <row r="125" spans="15:29">
      <c r="O125" s="30"/>
      <c r="AC125" s="30"/>
    </row>
    <row r="126" spans="15:29">
      <c r="O126" s="30"/>
      <c r="AC126" s="30"/>
    </row>
    <row r="127" spans="15:29">
      <c r="O127" s="30"/>
      <c r="AC127" s="30"/>
    </row>
    <row r="128" spans="15:29">
      <c r="O128" s="30"/>
      <c r="AC128" s="30"/>
    </row>
    <row r="129" spans="15:29">
      <c r="O129" s="30"/>
      <c r="AC129" s="30"/>
    </row>
    <row r="130" spans="15:29">
      <c r="O130" s="30"/>
      <c r="AC130" s="30"/>
    </row>
    <row r="131" spans="15:29">
      <c r="O131" s="30"/>
      <c r="AC131" s="30"/>
    </row>
    <row r="132" spans="15:29">
      <c r="O132" s="30"/>
      <c r="AC132" s="30"/>
    </row>
    <row r="133" spans="15:29">
      <c r="O133" s="30"/>
      <c r="AC133" s="30"/>
    </row>
    <row r="134" spans="15:29">
      <c r="O134" s="30"/>
      <c r="AC134" s="30"/>
    </row>
    <row r="135" spans="15:29">
      <c r="O135" s="30"/>
      <c r="AC135" s="30"/>
    </row>
    <row r="136" spans="15:29">
      <c r="O136" s="30"/>
      <c r="AC136" s="30"/>
    </row>
    <row r="137" spans="15:29">
      <c r="O137" s="30"/>
      <c r="AC137" s="30"/>
    </row>
    <row r="138" spans="15:29">
      <c r="O138" s="30"/>
      <c r="AC138" s="30"/>
    </row>
    <row r="139" spans="15:29">
      <c r="O139" s="30"/>
      <c r="AC139" s="30"/>
    </row>
    <row r="140" spans="15:29">
      <c r="O140" s="30"/>
      <c r="AC140" s="30"/>
    </row>
    <row r="141" spans="15:29">
      <c r="O141" s="30"/>
      <c r="AC141" s="30"/>
    </row>
    <row r="142" spans="15:29">
      <c r="O142" s="30"/>
      <c r="AC142" s="30"/>
    </row>
    <row r="143" spans="15:29">
      <c r="O143" s="30"/>
      <c r="AC143" s="30"/>
    </row>
    <row r="144" spans="15:29">
      <c r="O144" s="30"/>
      <c r="AC144" s="30"/>
    </row>
    <row r="145" spans="15:29">
      <c r="O145" s="30"/>
      <c r="AC145" s="30"/>
    </row>
    <row r="146" spans="15:29">
      <c r="O146" s="30"/>
      <c r="AC146" s="30"/>
    </row>
    <row r="147" spans="15:29">
      <c r="O147" s="30"/>
      <c r="AC147" s="30"/>
    </row>
    <row r="148" spans="15:29">
      <c r="O148" s="30"/>
      <c r="AC148" s="30"/>
    </row>
    <row r="149" spans="15:29">
      <c r="O149" s="30"/>
      <c r="AC149" s="30"/>
    </row>
    <row r="150" spans="15:29">
      <c r="O150" s="30"/>
      <c r="AC150" s="30"/>
    </row>
    <row r="151" spans="15:29">
      <c r="O151" s="30"/>
      <c r="AC151" s="30"/>
    </row>
    <row r="152" spans="15:29">
      <c r="O152" s="30"/>
      <c r="AC152" s="30"/>
    </row>
    <row r="153" spans="15:29">
      <c r="O153" s="30"/>
      <c r="AC153" s="30"/>
    </row>
    <row r="154" spans="15:29">
      <c r="O154" s="30"/>
      <c r="AC154" s="30"/>
    </row>
    <row r="155" spans="15:29">
      <c r="O155" s="30"/>
      <c r="AC155" s="30"/>
    </row>
    <row r="156" spans="15:29">
      <c r="O156" s="30"/>
      <c r="AC156" s="30"/>
    </row>
    <row r="157" spans="15:29">
      <c r="O157" s="30"/>
      <c r="AC157" s="30"/>
    </row>
    <row r="158" spans="15:29">
      <c r="O158" s="30"/>
      <c r="AC158" s="30"/>
    </row>
    <row r="159" spans="15:29">
      <c r="O159" s="30"/>
      <c r="AC159" s="30"/>
    </row>
    <row r="160" spans="15:29">
      <c r="O160" s="30"/>
      <c r="AC160" s="30"/>
    </row>
    <row r="161" spans="15:29">
      <c r="O161" s="30"/>
      <c r="AC161" s="30"/>
    </row>
    <row r="162" spans="15:29">
      <c r="O162" s="30"/>
      <c r="AC162" s="30"/>
    </row>
    <row r="163" spans="15:29">
      <c r="O163" s="30"/>
      <c r="AC163" s="30"/>
    </row>
    <row r="164" spans="15:29">
      <c r="O164" s="30"/>
      <c r="AC164" s="30"/>
    </row>
    <row r="165" spans="15:29">
      <c r="O165" s="30"/>
      <c r="AC165" s="30"/>
    </row>
    <row r="166" spans="15:29">
      <c r="O166" s="30"/>
      <c r="AC166" s="30"/>
    </row>
    <row r="167" spans="15:29">
      <c r="O167" s="30"/>
      <c r="AC167" s="30"/>
    </row>
    <row r="168" spans="15:29">
      <c r="O168" s="30"/>
      <c r="AC168" s="30"/>
    </row>
    <row r="169" spans="15:29">
      <c r="O169" s="30"/>
      <c r="AC169" s="30"/>
    </row>
    <row r="170" spans="15:29">
      <c r="O170" s="30"/>
      <c r="AC170" s="30"/>
    </row>
    <row r="171" spans="15:29">
      <c r="O171" s="30"/>
      <c r="AC171" s="30"/>
    </row>
    <row r="172" spans="15:29">
      <c r="O172" s="30"/>
      <c r="AC172" s="30"/>
    </row>
    <row r="173" spans="15:29">
      <c r="O173" s="30"/>
      <c r="AC173" s="30"/>
    </row>
    <row r="174" spans="15:29">
      <c r="O174" s="30"/>
      <c r="AC174" s="30"/>
    </row>
    <row r="175" spans="15:29">
      <c r="O175" s="30"/>
      <c r="AC175" s="30"/>
    </row>
    <row r="176" spans="15:29">
      <c r="O176" s="30"/>
      <c r="AC176" s="30"/>
    </row>
    <row r="177" spans="15:29">
      <c r="O177" s="30"/>
      <c r="AC177" s="30"/>
    </row>
    <row r="178" spans="15:29">
      <c r="O178" s="30"/>
      <c r="AC178" s="30"/>
    </row>
    <row r="179" spans="15:29">
      <c r="O179" s="30"/>
      <c r="AC179" s="30"/>
    </row>
    <row r="180" spans="15:29">
      <c r="O180" s="30"/>
      <c r="AC180" s="30"/>
    </row>
    <row r="181" spans="15:29">
      <c r="O181" s="30"/>
      <c r="AC181" s="30"/>
    </row>
    <row r="182" spans="15:29">
      <c r="O182" s="30"/>
      <c r="AC182" s="30"/>
    </row>
    <row r="183" spans="15:29">
      <c r="O183" s="30"/>
      <c r="AC183" s="30"/>
    </row>
    <row r="184" spans="15:29">
      <c r="O184" s="30"/>
      <c r="AC184" s="30"/>
    </row>
    <row r="185" spans="15:29">
      <c r="O185" s="30"/>
      <c r="AC185" s="30"/>
    </row>
    <row r="186" spans="15:29">
      <c r="O186" s="30"/>
      <c r="AC186" s="30"/>
    </row>
    <row r="187" spans="15:29">
      <c r="O187" s="30"/>
      <c r="AC187" s="30"/>
    </row>
    <row r="188" spans="15:29">
      <c r="O188" s="30"/>
      <c r="AC188" s="30"/>
    </row>
    <row r="189" spans="15:29">
      <c r="O189" s="30"/>
      <c r="AC189" s="30"/>
    </row>
    <row r="190" spans="15:29">
      <c r="O190" s="30"/>
      <c r="AC190" s="30"/>
    </row>
    <row r="191" spans="15:29">
      <c r="O191" s="30"/>
      <c r="AC191" s="30"/>
    </row>
    <row r="192" spans="15:29">
      <c r="O192" s="30"/>
      <c r="AC192" s="30"/>
    </row>
    <row r="193" spans="15:29">
      <c r="O193" s="30"/>
      <c r="AC193" s="30"/>
    </row>
    <row r="194" spans="15:29">
      <c r="O194" s="30"/>
      <c r="AC194" s="30"/>
    </row>
    <row r="195" spans="15:29">
      <c r="O195" s="30"/>
      <c r="AC195" s="30"/>
    </row>
    <row r="196" spans="15:29">
      <c r="O196" s="30"/>
      <c r="AC196" s="30"/>
    </row>
    <row r="197" spans="15:29">
      <c r="O197" s="30"/>
      <c r="AC197" s="30"/>
    </row>
    <row r="198" spans="15:29">
      <c r="O198" s="30"/>
      <c r="AC198" s="30"/>
    </row>
    <row r="199" spans="15:29">
      <c r="O199" s="30"/>
      <c r="AC199" s="30"/>
    </row>
    <row r="200" spans="15:29">
      <c r="O200" s="30"/>
      <c r="AC200" s="30"/>
    </row>
    <row r="201" spans="15:29">
      <c r="O201" s="30"/>
      <c r="AC201" s="30"/>
    </row>
    <row r="202" spans="15:29">
      <c r="O202" s="30"/>
      <c r="AC202" s="30"/>
    </row>
    <row r="203" spans="15:29">
      <c r="O203" s="30"/>
      <c r="AC203" s="30"/>
    </row>
    <row r="204" spans="15:29">
      <c r="O204" s="30"/>
      <c r="AC204" s="30"/>
    </row>
    <row r="205" spans="15:29">
      <c r="O205" s="30"/>
      <c r="AC205" s="30"/>
    </row>
    <row r="206" spans="15:29">
      <c r="O206" s="30"/>
      <c r="AC206" s="30"/>
    </row>
    <row r="207" spans="15:29">
      <c r="O207" s="30"/>
      <c r="AC207" s="30"/>
    </row>
    <row r="208" spans="15:29">
      <c r="O208" s="30"/>
      <c r="AC208" s="30"/>
    </row>
    <row r="209" spans="15:29">
      <c r="O209" s="30"/>
      <c r="AC209" s="30"/>
    </row>
    <row r="210" spans="15:29">
      <c r="O210" s="30"/>
      <c r="AC210" s="30"/>
    </row>
    <row r="211" spans="15:29">
      <c r="O211" s="30"/>
      <c r="AC211" s="30"/>
    </row>
    <row r="212" spans="15:29">
      <c r="O212" s="30"/>
      <c r="AC212" s="30"/>
    </row>
    <row r="213" spans="15:29">
      <c r="O213" s="30"/>
      <c r="AC213" s="30"/>
    </row>
    <row r="214" spans="15:29">
      <c r="O214" s="30"/>
      <c r="AC214" s="30"/>
    </row>
    <row r="215" spans="15:29">
      <c r="O215" s="30"/>
      <c r="AC215" s="30"/>
    </row>
    <row r="216" spans="15:29">
      <c r="O216" s="30"/>
      <c r="AC216" s="30"/>
    </row>
    <row r="217" spans="15:29">
      <c r="O217" s="30"/>
      <c r="AC217" s="30"/>
    </row>
    <row r="218" spans="15:29">
      <c r="O218" s="30"/>
      <c r="AC218" s="30"/>
    </row>
    <row r="219" spans="15:29">
      <c r="O219" s="30"/>
      <c r="AC219" s="30"/>
    </row>
    <row r="220" spans="15:29">
      <c r="O220" s="30"/>
      <c r="AC220" s="30"/>
    </row>
    <row r="221" spans="15:29">
      <c r="O221" s="30"/>
      <c r="AC221" s="30"/>
    </row>
    <row r="222" spans="15:29">
      <c r="O222" s="30"/>
      <c r="AC222" s="30"/>
    </row>
    <row r="223" spans="15:29">
      <c r="O223" s="30"/>
      <c r="AC223" s="30"/>
    </row>
    <row r="224" spans="15:29">
      <c r="O224" s="30"/>
      <c r="AC224" s="30"/>
    </row>
    <row r="225" spans="15:29">
      <c r="O225" s="30"/>
      <c r="AC225" s="30"/>
    </row>
    <row r="226" spans="15:29">
      <c r="O226" s="30"/>
      <c r="AC226" s="30"/>
    </row>
    <row r="227" spans="15:29">
      <c r="O227" s="30"/>
      <c r="AC227" s="30"/>
    </row>
    <row r="228" spans="15:29">
      <c r="O228" s="30"/>
      <c r="AC228" s="30"/>
    </row>
    <row r="229" spans="15:29">
      <c r="O229" s="30"/>
      <c r="AC229" s="30"/>
    </row>
    <row r="230" spans="15:29">
      <c r="O230" s="30"/>
      <c r="AC230" s="30"/>
    </row>
    <row r="231" spans="15:29">
      <c r="O231" s="30"/>
      <c r="AC231" s="30"/>
    </row>
    <row r="232" spans="15:29">
      <c r="O232" s="30"/>
      <c r="AC232" s="30"/>
    </row>
    <row r="233" spans="15:29">
      <c r="O233" s="30"/>
      <c r="AC233" s="30"/>
    </row>
    <row r="234" spans="15:29">
      <c r="O234" s="30"/>
      <c r="AC234" s="30"/>
    </row>
    <row r="235" spans="15:29">
      <c r="O235" s="30"/>
      <c r="AC235" s="30"/>
    </row>
    <row r="236" spans="15:29">
      <c r="O236" s="30"/>
      <c r="AC236" s="30"/>
    </row>
    <row r="237" spans="15:29">
      <c r="O237" s="30"/>
      <c r="AC237" s="30"/>
    </row>
    <row r="238" spans="15:29">
      <c r="O238" s="30"/>
      <c r="AC238" s="30"/>
    </row>
    <row r="239" spans="15:29">
      <c r="O239" s="30"/>
      <c r="AC239" s="30"/>
    </row>
    <row r="240" spans="15:29">
      <c r="O240" s="30"/>
      <c r="AC240" s="30"/>
    </row>
    <row r="241" spans="15:29">
      <c r="O241" s="30"/>
      <c r="AC241" s="30"/>
    </row>
    <row r="242" spans="15:29">
      <c r="O242" s="30"/>
      <c r="AC242" s="30"/>
    </row>
    <row r="243" spans="15:29">
      <c r="O243" s="30"/>
      <c r="AC243" s="30"/>
    </row>
    <row r="244" spans="15:29">
      <c r="O244" s="30"/>
      <c r="AC244" s="30"/>
    </row>
    <row r="245" spans="15:29">
      <c r="O245" s="30"/>
      <c r="AC245" s="30"/>
    </row>
    <row r="246" spans="15:29">
      <c r="O246" s="30"/>
      <c r="AC246" s="30"/>
    </row>
    <row r="247" spans="15:29">
      <c r="O247" s="30"/>
      <c r="AC247" s="30"/>
    </row>
    <row r="248" spans="15:29">
      <c r="O248" s="30"/>
      <c r="AC248" s="30"/>
    </row>
    <row r="249" spans="15:29">
      <c r="O249" s="30"/>
      <c r="AC249" s="30"/>
    </row>
    <row r="250" spans="15:29">
      <c r="O250" s="30"/>
      <c r="AC250" s="30"/>
    </row>
    <row r="251" spans="15:29">
      <c r="O251" s="30"/>
      <c r="AC251" s="30"/>
    </row>
    <row r="252" spans="15:29">
      <c r="O252" s="30"/>
      <c r="AC252" s="30"/>
    </row>
    <row r="253" spans="15:29">
      <c r="O253" s="30"/>
      <c r="AC253" s="30"/>
    </row>
    <row r="254" spans="15:29">
      <c r="O254" s="30"/>
      <c r="AC254" s="30"/>
    </row>
    <row r="255" spans="15:29">
      <c r="O255" s="30"/>
      <c r="AC255" s="30"/>
    </row>
    <row r="256" spans="15:29">
      <c r="O256" s="30"/>
      <c r="AC256" s="30"/>
    </row>
    <row r="257" spans="15:29">
      <c r="O257" s="30"/>
      <c r="AC257" s="30"/>
    </row>
    <row r="258" spans="15:29">
      <c r="O258" s="30"/>
      <c r="AC258" s="30"/>
    </row>
    <row r="259" spans="15:29">
      <c r="O259" s="30"/>
      <c r="AC259" s="30"/>
    </row>
    <row r="260" spans="15:29">
      <c r="O260" s="30"/>
      <c r="AC260" s="30"/>
    </row>
    <row r="261" spans="15:29">
      <c r="O261" s="30"/>
      <c r="AC261" s="30"/>
    </row>
    <row r="262" spans="15:29">
      <c r="O262" s="30"/>
      <c r="AC262" s="30"/>
    </row>
    <row r="263" spans="15:29">
      <c r="O263" s="30"/>
      <c r="AC263" s="30"/>
    </row>
    <row r="264" spans="15:29">
      <c r="O264" s="30"/>
      <c r="AC264" s="30"/>
    </row>
    <row r="265" spans="15:29">
      <c r="O265" s="30"/>
      <c r="AC265" s="30"/>
    </row>
    <row r="266" spans="15:29">
      <c r="O266" s="30"/>
      <c r="AC266" s="30"/>
    </row>
    <row r="267" spans="15:29">
      <c r="O267" s="30"/>
      <c r="AC267" s="30"/>
    </row>
    <row r="268" spans="15:29">
      <c r="O268" s="30"/>
      <c r="AC268" s="30"/>
    </row>
    <row r="269" spans="15:29">
      <c r="O269" s="30"/>
      <c r="AC269" s="30"/>
    </row>
    <row r="270" spans="15:29">
      <c r="O270" s="30"/>
      <c r="AC270" s="30"/>
    </row>
    <row r="271" spans="15:29">
      <c r="O271" s="30"/>
      <c r="AC271" s="30"/>
    </row>
    <row r="272" spans="15:29">
      <c r="O272" s="30"/>
      <c r="AC272" s="30"/>
    </row>
    <row r="273" spans="15:29">
      <c r="O273" s="30"/>
      <c r="AC273" s="30"/>
    </row>
    <row r="274" spans="15:29">
      <c r="O274" s="30"/>
      <c r="AC274" s="30"/>
    </row>
    <row r="275" spans="15:29">
      <c r="O275" s="30"/>
      <c r="AC275" s="30"/>
    </row>
    <row r="276" spans="15:29">
      <c r="O276" s="30"/>
      <c r="AC276" s="30"/>
    </row>
    <row r="277" spans="15:29">
      <c r="O277" s="30"/>
      <c r="AC277" s="30"/>
    </row>
    <row r="278" spans="15:29">
      <c r="O278" s="30"/>
      <c r="AC278" s="30"/>
    </row>
    <row r="279" spans="15:29">
      <c r="O279" s="30"/>
      <c r="AC279" s="30"/>
    </row>
    <row r="280" spans="15:29">
      <c r="O280" s="30"/>
      <c r="AC280" s="30"/>
    </row>
    <row r="281" spans="15:29">
      <c r="O281" s="30"/>
      <c r="AC281" s="30"/>
    </row>
    <row r="282" spans="15:29">
      <c r="O282" s="30"/>
      <c r="AC282" s="30"/>
    </row>
    <row r="283" spans="15:29">
      <c r="O283" s="30"/>
      <c r="AC283" s="30"/>
    </row>
    <row r="284" spans="15:29">
      <c r="O284" s="30"/>
      <c r="AC284" s="30"/>
    </row>
    <row r="285" spans="15:29">
      <c r="O285" s="30"/>
      <c r="AC285" s="30"/>
    </row>
    <row r="286" spans="15:29">
      <c r="O286" s="30"/>
      <c r="AC286" s="30"/>
    </row>
    <row r="287" spans="15:29">
      <c r="O287" s="30"/>
      <c r="AC287" s="30"/>
    </row>
    <row r="288" spans="15:29">
      <c r="O288" s="30"/>
      <c r="AC288" s="30"/>
    </row>
    <row r="289" spans="15:29">
      <c r="O289" s="30"/>
      <c r="AC289" s="30"/>
    </row>
    <row r="290" spans="15:29">
      <c r="O290" s="30"/>
      <c r="AC290" s="30"/>
    </row>
    <row r="291" spans="15:29">
      <c r="O291" s="30"/>
      <c r="AC291" s="30"/>
    </row>
    <row r="292" spans="15:29">
      <c r="O292" s="30"/>
      <c r="AC292" s="30"/>
    </row>
    <row r="293" spans="15:29">
      <c r="O293" s="30"/>
      <c r="AC293" s="30"/>
    </row>
    <row r="294" spans="15:29">
      <c r="O294" s="30"/>
      <c r="AC294" s="30"/>
    </row>
    <row r="295" spans="15:29">
      <c r="O295" s="30"/>
      <c r="AC295" s="30"/>
    </row>
    <row r="296" spans="15:29">
      <c r="O296" s="30"/>
      <c r="AC296" s="30"/>
    </row>
    <row r="297" spans="15:29">
      <c r="O297" s="30"/>
      <c r="AC297" s="30"/>
    </row>
    <row r="298" spans="15:29">
      <c r="O298" s="30"/>
      <c r="AC298" s="30"/>
    </row>
    <row r="299" spans="15:29">
      <c r="O299" s="30"/>
      <c r="AC299" s="30"/>
    </row>
    <row r="300" spans="15:29">
      <c r="O300" s="30"/>
      <c r="AC300" s="30"/>
    </row>
    <row r="301" spans="15:29">
      <c r="O301" s="30"/>
      <c r="AC301" s="30"/>
    </row>
    <row r="302" spans="15:29">
      <c r="O302" s="30"/>
      <c r="AC302" s="30"/>
    </row>
    <row r="303" spans="15:29">
      <c r="O303" s="30"/>
      <c r="AC303" s="30"/>
    </row>
    <row r="304" spans="15:29">
      <c r="O304" s="30"/>
      <c r="AC304" s="30"/>
    </row>
    <row r="305" spans="15:29">
      <c r="O305" s="30"/>
      <c r="AC305" s="30"/>
    </row>
    <row r="306" spans="15:29">
      <c r="O306" s="30"/>
      <c r="AC306" s="30"/>
    </row>
    <row r="307" spans="15:29">
      <c r="O307" s="30"/>
      <c r="AC307" s="30"/>
    </row>
    <row r="308" spans="15:29">
      <c r="O308" s="30"/>
      <c r="AC308" s="30"/>
    </row>
    <row r="309" spans="15:29">
      <c r="O309" s="30"/>
      <c r="AC309" s="30"/>
    </row>
    <row r="310" spans="15:29">
      <c r="O310" s="30"/>
      <c r="AC310" s="30"/>
    </row>
    <row r="311" spans="15:29">
      <c r="O311" s="30"/>
      <c r="AC311" s="30"/>
    </row>
    <row r="312" spans="15:29">
      <c r="O312" s="30"/>
      <c r="AC312" s="30"/>
    </row>
    <row r="313" spans="15:29">
      <c r="O313" s="30"/>
      <c r="AC313" s="30"/>
    </row>
    <row r="314" spans="15:29">
      <c r="O314" s="30"/>
      <c r="AC314" s="30"/>
    </row>
    <row r="315" spans="15:29">
      <c r="O315" s="30"/>
      <c r="AC315" s="30"/>
    </row>
    <row r="316" spans="15:29">
      <c r="O316" s="30"/>
      <c r="AC316" s="30"/>
    </row>
    <row r="317" spans="15:29">
      <c r="O317" s="30"/>
      <c r="AC317" s="30"/>
    </row>
    <row r="318" spans="15:29">
      <c r="O318" s="30"/>
      <c r="AC318" s="30"/>
    </row>
    <row r="319" spans="15:29">
      <c r="O319" s="30"/>
      <c r="AC319" s="30"/>
    </row>
    <row r="320" spans="15:29">
      <c r="O320" s="30"/>
      <c r="AC320" s="30"/>
    </row>
    <row r="321" spans="15:29">
      <c r="O321" s="30"/>
      <c r="AC321" s="30"/>
    </row>
    <row r="322" spans="15:29">
      <c r="O322" s="30"/>
      <c r="AC322" s="30"/>
    </row>
    <row r="323" spans="15:29">
      <c r="O323" s="30"/>
      <c r="AC323" s="30"/>
    </row>
    <row r="324" spans="15:29">
      <c r="O324" s="30"/>
      <c r="AC324" s="30"/>
    </row>
    <row r="325" spans="15:29">
      <c r="O325" s="30"/>
      <c r="AC325" s="30"/>
    </row>
    <row r="326" spans="15:29">
      <c r="O326" s="30"/>
      <c r="AC326" s="30"/>
    </row>
    <row r="327" spans="15:29">
      <c r="O327" s="30"/>
      <c r="AC327" s="30"/>
    </row>
    <row r="328" spans="15:29">
      <c r="O328" s="30"/>
      <c r="AC328" s="30"/>
    </row>
    <row r="329" spans="15:29">
      <c r="O329" s="30"/>
      <c r="AC329" s="30"/>
    </row>
    <row r="330" spans="15:29">
      <c r="O330" s="30"/>
      <c r="AC330" s="30"/>
    </row>
    <row r="331" spans="15:29">
      <c r="O331" s="30"/>
      <c r="AC331" s="30"/>
    </row>
    <row r="332" spans="15:29">
      <c r="O332" s="30"/>
      <c r="AC332" s="30"/>
    </row>
    <row r="333" spans="15:29">
      <c r="O333" s="30"/>
      <c r="AC333" s="30"/>
    </row>
    <row r="334" spans="15:29">
      <c r="O334" s="30"/>
      <c r="AC334" s="30"/>
    </row>
    <row r="335" spans="15:29">
      <c r="O335" s="30"/>
      <c r="AC335" s="30"/>
    </row>
    <row r="336" spans="15:29">
      <c r="O336" s="30"/>
      <c r="AC336" s="30"/>
    </row>
    <row r="337" spans="15:29">
      <c r="O337" s="30"/>
      <c r="AC337" s="30"/>
    </row>
    <row r="338" spans="15:29">
      <c r="O338" s="30"/>
      <c r="AC338" s="30"/>
    </row>
    <row r="339" spans="15:29">
      <c r="O339" s="30"/>
      <c r="AC339" s="30"/>
    </row>
    <row r="340" spans="15:29">
      <c r="O340" s="30"/>
      <c r="AC340" s="30"/>
    </row>
    <row r="341" spans="15:29">
      <c r="O341" s="30"/>
      <c r="AC341" s="30"/>
    </row>
    <row r="342" spans="15:29">
      <c r="O342" s="30"/>
      <c r="AC342" s="30"/>
    </row>
    <row r="343" spans="15:29">
      <c r="O343" s="30"/>
      <c r="AC343" s="30"/>
    </row>
    <row r="344" spans="15:29">
      <c r="O344" s="30"/>
      <c r="AC344" s="30"/>
    </row>
    <row r="345" spans="15:29">
      <c r="O345" s="30"/>
      <c r="AC345" s="30"/>
    </row>
    <row r="346" spans="15:29">
      <c r="O346" s="30"/>
      <c r="AC346" s="30"/>
    </row>
    <row r="347" spans="15:29">
      <c r="O347" s="30"/>
      <c r="AC347" s="30"/>
    </row>
    <row r="348" spans="15:29">
      <c r="O348" s="30"/>
      <c r="AC348" s="30"/>
    </row>
    <row r="349" spans="15:29">
      <c r="O349" s="30"/>
      <c r="AC349" s="30"/>
    </row>
    <row r="350" spans="15:29">
      <c r="O350" s="30"/>
      <c r="AC350" s="30"/>
    </row>
    <row r="351" spans="15:29">
      <c r="O351" s="30"/>
      <c r="AC351" s="30"/>
    </row>
    <row r="352" spans="15:29">
      <c r="O352" s="30"/>
      <c r="AC352" s="30"/>
    </row>
    <row r="353" spans="15:29">
      <c r="O353" s="30"/>
      <c r="AC353" s="30"/>
    </row>
    <row r="354" spans="15:29">
      <c r="O354" s="30"/>
      <c r="AC354" s="30"/>
    </row>
    <row r="355" spans="15:29">
      <c r="O355" s="30"/>
      <c r="AC355" s="30"/>
    </row>
    <row r="356" spans="15:29">
      <c r="O356" s="30"/>
      <c r="AC356" s="30"/>
    </row>
    <row r="357" spans="15:29">
      <c r="O357" s="30"/>
      <c r="AC357" s="30"/>
    </row>
    <row r="358" spans="15:29">
      <c r="O358" s="30"/>
      <c r="AC358" s="30"/>
    </row>
    <row r="359" spans="15:29">
      <c r="O359" s="30"/>
      <c r="AC359" s="30"/>
    </row>
    <row r="360" spans="15:29">
      <c r="O360" s="30"/>
      <c r="AC360" s="30"/>
    </row>
    <row r="361" spans="15:29">
      <c r="O361" s="30"/>
      <c r="AC361" s="30"/>
    </row>
    <row r="362" spans="15:29">
      <c r="O362" s="30"/>
      <c r="AC362" s="30"/>
    </row>
    <row r="363" spans="15:29">
      <c r="O363" s="30"/>
      <c r="AC363" s="30"/>
    </row>
    <row r="364" spans="15:29">
      <c r="O364" s="30"/>
      <c r="AC364" s="30"/>
    </row>
    <row r="365" spans="15:29">
      <c r="O365" s="30"/>
      <c r="AC365" s="30"/>
    </row>
    <row r="366" spans="15:29">
      <c r="O366" s="30"/>
      <c r="AC366" s="30"/>
    </row>
    <row r="367" spans="15:29">
      <c r="O367" s="30"/>
      <c r="AC367" s="30"/>
    </row>
    <row r="368" spans="15:29">
      <c r="O368" s="30"/>
      <c r="AC368" s="30"/>
    </row>
    <row r="369" spans="15:29">
      <c r="O369" s="30"/>
      <c r="AC369" s="30"/>
    </row>
    <row r="370" spans="15:29">
      <c r="O370" s="30"/>
      <c r="AC370" s="30"/>
    </row>
    <row r="371" spans="15:29">
      <c r="O371" s="30"/>
      <c r="AC371" s="30"/>
    </row>
    <row r="372" spans="15:29">
      <c r="O372" s="30"/>
      <c r="AC372" s="30"/>
    </row>
    <row r="373" spans="15:29">
      <c r="O373" s="30"/>
      <c r="AC373" s="30"/>
    </row>
    <row r="374" spans="15:29">
      <c r="O374" s="30"/>
      <c r="AC374" s="30"/>
    </row>
    <row r="375" spans="15:29">
      <c r="O375" s="30"/>
      <c r="AC375" s="30"/>
    </row>
    <row r="376" spans="15:29">
      <c r="O376" s="30"/>
      <c r="AC376" s="30"/>
    </row>
    <row r="377" spans="15:29">
      <c r="O377" s="30"/>
      <c r="AC377" s="30"/>
    </row>
    <row r="378" spans="15:29">
      <c r="O378" s="30"/>
      <c r="AC378" s="30"/>
    </row>
    <row r="379" spans="15:29">
      <c r="O379" s="30"/>
      <c r="AC379" s="30"/>
    </row>
    <row r="380" spans="15:29">
      <c r="O380" s="30"/>
      <c r="AC380" s="30"/>
    </row>
    <row r="381" spans="15:29">
      <c r="O381" s="30"/>
      <c r="AC381" s="30"/>
    </row>
    <row r="382" spans="15:29">
      <c r="O382" s="30"/>
      <c r="AC382" s="30"/>
    </row>
    <row r="383" spans="15:29">
      <c r="O383" s="30"/>
      <c r="AC383" s="30"/>
    </row>
    <row r="384" spans="15:29">
      <c r="O384" s="30"/>
      <c r="AC384" s="30"/>
    </row>
    <row r="385" spans="15:29">
      <c r="O385" s="30"/>
      <c r="AC385" s="30"/>
    </row>
    <row r="386" spans="15:29">
      <c r="AC386" s="30"/>
    </row>
    <row r="387" spans="15:29">
      <c r="AC387" s="30"/>
    </row>
    <row r="388" spans="15:29">
      <c r="AC388" s="30"/>
    </row>
    <row r="389" spans="15:29">
      <c r="AC389" s="30"/>
    </row>
    <row r="390" spans="15:29">
      <c r="AC390" s="30"/>
    </row>
    <row r="391" spans="15:29">
      <c r="AC391" s="30"/>
    </row>
    <row r="392" spans="15:29">
      <c r="AC392" s="30"/>
    </row>
    <row r="393" spans="15:29">
      <c r="AC393" s="30"/>
    </row>
    <row r="394" spans="15:29">
      <c r="AC394" s="30"/>
    </row>
    <row r="395" spans="15:29">
      <c r="AC395" s="30"/>
    </row>
    <row r="396" spans="15:29">
      <c r="AC396" s="30"/>
    </row>
    <row r="397" spans="15:29">
      <c r="AC397" s="30"/>
    </row>
  </sheetData>
  <mergeCells count="12">
    <mergeCell ref="S49:U49"/>
    <mergeCell ref="V49:AE49"/>
    <mergeCell ref="S50:U50"/>
    <mergeCell ref="V50:AE50"/>
    <mergeCell ref="S51:U51"/>
    <mergeCell ref="V51:AE51"/>
    <mergeCell ref="S46:U46"/>
    <mergeCell ref="V46:AE46"/>
    <mergeCell ref="S47:U47"/>
    <mergeCell ref="V47:AE47"/>
    <mergeCell ref="S48:U48"/>
    <mergeCell ref="V48:AE48"/>
  </mergeCells>
  <phoneticPr fontId="8" type="noConversion"/>
  <pageMargins left="0.7" right="0.7" top="0.75" bottom="0.75" header="0.3" footer="0.3"/>
  <pageSetup scale="54" orientation="portrait" r:id="rId1"/>
  <headerFooter>
    <oddHeader>&amp;L&amp;"Calibri"&amp;9&amp;K000000Classification: Internal&amp;1#</oddHeader>
  </headerFooter>
  <rowBreaks count="1" manualBreakCount="1">
    <brk id="55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F982-B5B5-4E74-8393-4A183EA696F3}">
  <dimension ref="A1:AH75"/>
  <sheetViews>
    <sheetView topLeftCell="A41" zoomScale="67" workbookViewId="0">
      <selection activeCell="B65" sqref="B65"/>
    </sheetView>
  </sheetViews>
  <sheetFormatPr defaultRowHeight="12.75"/>
  <sheetData>
    <row r="1" spans="1:34" ht="15">
      <c r="A1" s="578" t="s">
        <v>176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  <c r="Y1" s="579"/>
      <c r="Z1" s="579"/>
      <c r="AA1" s="579"/>
      <c r="AB1" s="579"/>
      <c r="AC1" s="579"/>
      <c r="AD1" s="579"/>
      <c r="AE1" s="579"/>
      <c r="AF1" s="579"/>
      <c r="AG1" s="579"/>
      <c r="AH1" s="579"/>
    </row>
    <row r="2" spans="1:34" ht="15">
      <c r="A2" s="580" t="s">
        <v>177</v>
      </c>
      <c r="B2" s="581"/>
      <c r="C2" s="581"/>
      <c r="D2" s="581"/>
      <c r="E2" s="581"/>
      <c r="F2" s="581"/>
      <c r="G2" s="581"/>
      <c r="H2" s="581"/>
      <c r="I2" s="581"/>
      <c r="J2" s="581"/>
      <c r="K2" s="581"/>
      <c r="L2" s="581"/>
      <c r="M2" s="581"/>
      <c r="N2" s="581"/>
      <c r="O2" s="581"/>
      <c r="P2" s="581"/>
      <c r="Q2" s="581"/>
      <c r="R2" s="581"/>
      <c r="S2" s="581"/>
      <c r="T2" s="581"/>
      <c r="U2" s="581"/>
      <c r="V2" s="581"/>
      <c r="W2" s="581"/>
      <c r="X2" s="581"/>
      <c r="Y2" s="581"/>
      <c r="Z2" s="581"/>
      <c r="AA2" s="581"/>
      <c r="AB2" s="581"/>
      <c r="AC2" s="581"/>
      <c r="AD2" s="581"/>
      <c r="AE2" s="581"/>
      <c r="AF2" s="581"/>
      <c r="AG2" s="581"/>
      <c r="AH2" s="581"/>
    </row>
    <row r="3" spans="1:34" s="355" customFormat="1" ht="15"/>
    <row r="4" spans="1:34" ht="15">
      <c r="A4" s="336">
        <v>36</v>
      </c>
      <c r="B4" s="186">
        <v>34.729999999999997</v>
      </c>
      <c r="D4" s="336">
        <v>72</v>
      </c>
      <c r="E4" s="186">
        <v>33.24</v>
      </c>
      <c r="G4" s="336">
        <v>108</v>
      </c>
      <c r="H4" s="186">
        <v>37.07</v>
      </c>
      <c r="J4" s="336">
        <v>144</v>
      </c>
      <c r="K4" s="186">
        <v>36.659999999999997</v>
      </c>
      <c r="L4" s="186"/>
      <c r="M4" s="336">
        <v>180</v>
      </c>
      <c r="N4" s="186">
        <v>33.4</v>
      </c>
      <c r="O4" s="186"/>
      <c r="P4" s="336">
        <v>216</v>
      </c>
      <c r="Q4" s="338">
        <v>33.61</v>
      </c>
      <c r="R4" s="186"/>
      <c r="S4" s="336">
        <v>252</v>
      </c>
      <c r="T4" s="186">
        <v>33.549999999999997</v>
      </c>
      <c r="U4" s="341"/>
      <c r="V4" s="336">
        <v>288</v>
      </c>
      <c r="W4" s="338">
        <v>34.21</v>
      </c>
      <c r="Y4" s="336">
        <v>324</v>
      </c>
      <c r="Z4" s="186">
        <v>33.96</v>
      </c>
      <c r="AB4" s="336">
        <v>360</v>
      </c>
      <c r="AC4" s="338">
        <v>33.06</v>
      </c>
      <c r="AD4" s="186"/>
      <c r="AE4" s="336">
        <v>396</v>
      </c>
      <c r="AG4" s="186"/>
      <c r="AH4" s="358"/>
    </row>
    <row r="5" spans="1:34" ht="15">
      <c r="A5" s="340">
        <v>35</v>
      </c>
      <c r="B5" s="186">
        <v>33.64</v>
      </c>
      <c r="D5" s="340">
        <v>71</v>
      </c>
      <c r="E5" s="186">
        <v>34.68</v>
      </c>
      <c r="G5" s="340">
        <v>107</v>
      </c>
      <c r="H5" s="186">
        <v>36.15</v>
      </c>
      <c r="J5" s="340">
        <v>143</v>
      </c>
      <c r="K5" s="186">
        <v>37.11</v>
      </c>
      <c r="L5" s="186"/>
      <c r="M5" s="340">
        <v>179</v>
      </c>
      <c r="N5" s="186">
        <v>32.840000000000003</v>
      </c>
      <c r="O5" s="186"/>
      <c r="P5" s="340">
        <v>215</v>
      </c>
      <c r="Q5" s="338">
        <v>33.21</v>
      </c>
      <c r="R5" s="186"/>
      <c r="S5" s="340">
        <v>251</v>
      </c>
      <c r="T5" s="186">
        <v>33.49</v>
      </c>
      <c r="U5" s="341"/>
      <c r="V5" s="340">
        <v>287</v>
      </c>
      <c r="W5" s="338">
        <v>33.51</v>
      </c>
      <c r="Y5" s="336">
        <v>323</v>
      </c>
      <c r="Z5" s="186">
        <v>33.130000000000003</v>
      </c>
      <c r="AB5" s="336">
        <v>359</v>
      </c>
      <c r="AC5" s="338">
        <v>33.049999999999997</v>
      </c>
      <c r="AD5" s="186"/>
      <c r="AE5" s="336">
        <v>395</v>
      </c>
      <c r="AF5" s="186"/>
      <c r="AG5" s="186"/>
      <c r="AH5" s="358"/>
    </row>
    <row r="6" spans="1:34" ht="15">
      <c r="A6" s="340">
        <v>34</v>
      </c>
      <c r="B6" s="186">
        <v>35.4</v>
      </c>
      <c r="D6" s="340">
        <v>70</v>
      </c>
      <c r="E6" s="186">
        <v>35.520000000000003</v>
      </c>
      <c r="G6" s="340">
        <v>106</v>
      </c>
      <c r="H6" s="186">
        <v>36.200000000000003</v>
      </c>
      <c r="J6" s="340">
        <v>142</v>
      </c>
      <c r="K6" s="186">
        <v>33.56</v>
      </c>
      <c r="L6" s="186"/>
      <c r="M6" s="340">
        <v>178</v>
      </c>
      <c r="N6" s="186">
        <v>33.200000000000003</v>
      </c>
      <c r="O6" s="186"/>
      <c r="P6" s="340">
        <v>214</v>
      </c>
      <c r="Q6" s="338">
        <v>32.33</v>
      </c>
      <c r="R6" s="186"/>
      <c r="S6" s="340">
        <v>250</v>
      </c>
      <c r="T6" s="186">
        <v>33.200000000000003</v>
      </c>
      <c r="U6" s="341"/>
      <c r="V6" s="336">
        <v>286</v>
      </c>
      <c r="W6" s="338">
        <v>37.130000000000003</v>
      </c>
      <c r="Y6" s="336">
        <v>322</v>
      </c>
      <c r="Z6" s="186">
        <v>33.54</v>
      </c>
      <c r="AB6" s="336">
        <v>358</v>
      </c>
      <c r="AC6" s="338">
        <v>33.29</v>
      </c>
      <c r="AD6" s="186"/>
      <c r="AE6" s="336">
        <v>394</v>
      </c>
      <c r="AF6" s="338"/>
      <c r="AG6" s="186"/>
      <c r="AH6" s="358"/>
    </row>
    <row r="7" spans="1:34" ht="15">
      <c r="A7" s="340">
        <v>33</v>
      </c>
      <c r="B7" s="186">
        <v>32.24</v>
      </c>
      <c r="D7" s="340">
        <v>69</v>
      </c>
      <c r="E7" s="186">
        <v>34.35</v>
      </c>
      <c r="G7" s="340">
        <v>105</v>
      </c>
      <c r="H7" s="186">
        <v>36.840000000000003</v>
      </c>
      <c r="J7" s="340">
        <v>141</v>
      </c>
      <c r="K7" s="186">
        <v>36.909999999999997</v>
      </c>
      <c r="L7" s="186"/>
      <c r="M7" s="340">
        <v>177</v>
      </c>
      <c r="N7" s="186">
        <v>33.799999999999997</v>
      </c>
      <c r="O7" s="186"/>
      <c r="P7" s="340">
        <v>213</v>
      </c>
      <c r="Q7" s="338">
        <v>31.28</v>
      </c>
      <c r="R7" s="186"/>
      <c r="S7" s="340">
        <v>249</v>
      </c>
      <c r="T7" s="186">
        <v>33.159999999999997</v>
      </c>
      <c r="U7" s="341"/>
      <c r="V7" s="340">
        <v>285</v>
      </c>
      <c r="W7" s="338">
        <v>35.130000000000003</v>
      </c>
      <c r="X7" s="339"/>
      <c r="Y7" s="336">
        <v>321</v>
      </c>
      <c r="Z7" s="186">
        <v>31.46</v>
      </c>
      <c r="AB7" s="340">
        <v>357</v>
      </c>
      <c r="AC7" s="338">
        <v>33.200000000000003</v>
      </c>
      <c r="AD7" s="186"/>
      <c r="AE7" s="336">
        <v>393</v>
      </c>
      <c r="AF7" s="338"/>
      <c r="AG7" s="186"/>
      <c r="AH7" s="358"/>
    </row>
    <row r="8" spans="1:34" ht="15">
      <c r="A8" s="340">
        <v>32</v>
      </c>
      <c r="B8" s="186">
        <v>37.64</v>
      </c>
      <c r="D8" s="340">
        <v>68</v>
      </c>
      <c r="E8" s="186">
        <v>35.15</v>
      </c>
      <c r="G8" s="340">
        <v>104</v>
      </c>
      <c r="H8" s="186">
        <v>36.619999999999997</v>
      </c>
      <c r="J8" s="340">
        <v>140</v>
      </c>
      <c r="K8" s="186">
        <v>32.92</v>
      </c>
      <c r="L8" s="186"/>
      <c r="M8" s="340">
        <v>176</v>
      </c>
      <c r="N8" s="186">
        <v>33.380000000000003</v>
      </c>
      <c r="O8" s="186"/>
      <c r="P8" s="340">
        <v>212</v>
      </c>
      <c r="Q8" s="186">
        <v>32.200000000000003</v>
      </c>
      <c r="R8" s="186"/>
      <c r="S8" s="340">
        <v>248</v>
      </c>
      <c r="T8" s="186">
        <v>32.630000000000003</v>
      </c>
      <c r="U8" s="341"/>
      <c r="V8" s="336">
        <v>284</v>
      </c>
      <c r="W8" s="338">
        <v>34.659999999999997</v>
      </c>
      <c r="X8" s="339"/>
      <c r="Y8" s="336">
        <v>320</v>
      </c>
      <c r="Z8" s="186">
        <v>32.97</v>
      </c>
      <c r="AB8" s="340">
        <v>356</v>
      </c>
      <c r="AC8" s="338">
        <v>33.520000000000003</v>
      </c>
      <c r="AD8" s="186"/>
      <c r="AE8" s="336">
        <v>392</v>
      </c>
      <c r="AF8" s="338"/>
      <c r="AG8" s="186"/>
      <c r="AH8" s="358"/>
    </row>
    <row r="9" spans="1:34" ht="15">
      <c r="A9" s="340">
        <v>31</v>
      </c>
      <c r="B9" s="186">
        <v>35.299999999999997</v>
      </c>
      <c r="D9" s="340">
        <v>67</v>
      </c>
      <c r="E9" s="186">
        <v>36.79</v>
      </c>
      <c r="G9" s="340">
        <v>103</v>
      </c>
      <c r="H9" s="186">
        <v>35.72</v>
      </c>
      <c r="J9" s="340">
        <v>139</v>
      </c>
      <c r="K9" s="186">
        <v>35.869999999999997</v>
      </c>
      <c r="L9" s="186"/>
      <c r="M9" s="340">
        <v>175</v>
      </c>
      <c r="N9" s="186">
        <v>33.799999999999997</v>
      </c>
      <c r="O9" s="186"/>
      <c r="P9" s="340">
        <v>211</v>
      </c>
      <c r="Q9" s="186">
        <v>31.73</v>
      </c>
      <c r="R9" s="186"/>
      <c r="S9" s="340">
        <v>247</v>
      </c>
      <c r="T9" s="186">
        <v>33.18</v>
      </c>
      <c r="U9" s="341"/>
      <c r="V9" s="340">
        <v>283</v>
      </c>
      <c r="W9" s="338">
        <v>33.67</v>
      </c>
      <c r="X9" s="339"/>
      <c r="Y9" s="336">
        <v>319</v>
      </c>
      <c r="Z9" s="186">
        <v>32.94</v>
      </c>
      <c r="AB9" s="340">
        <v>355</v>
      </c>
      <c r="AC9" s="338">
        <v>33</v>
      </c>
      <c r="AD9" s="186"/>
      <c r="AE9" s="336">
        <v>391</v>
      </c>
      <c r="AF9" s="338"/>
      <c r="AG9" s="186"/>
      <c r="AH9" s="358"/>
    </row>
    <row r="10" spans="1:34" ht="15">
      <c r="A10" s="340">
        <v>30</v>
      </c>
      <c r="B10" s="186">
        <v>32.51</v>
      </c>
      <c r="D10" s="340">
        <v>66</v>
      </c>
      <c r="E10" s="186">
        <v>34.17</v>
      </c>
      <c r="G10" s="340">
        <v>102</v>
      </c>
      <c r="H10" s="186">
        <v>34.96</v>
      </c>
      <c r="J10" s="340">
        <v>138</v>
      </c>
      <c r="K10" s="186">
        <v>35.24</v>
      </c>
      <c r="L10" s="186"/>
      <c r="M10" s="340">
        <v>174</v>
      </c>
      <c r="N10" s="186">
        <v>32.840000000000003</v>
      </c>
      <c r="O10" s="186"/>
      <c r="P10" s="340">
        <v>210</v>
      </c>
      <c r="Q10" s="186">
        <v>32.04</v>
      </c>
      <c r="R10" s="186"/>
      <c r="S10" s="340">
        <v>246</v>
      </c>
      <c r="T10" s="186">
        <v>33.369999999999997</v>
      </c>
      <c r="U10" s="341"/>
      <c r="V10" s="336">
        <v>282</v>
      </c>
      <c r="W10" s="338">
        <v>37.659999999999997</v>
      </c>
      <c r="X10" s="339"/>
      <c r="Y10" s="336">
        <v>318</v>
      </c>
      <c r="Z10" s="186">
        <v>33.229999999999997</v>
      </c>
      <c r="AB10" s="340">
        <v>354</v>
      </c>
      <c r="AC10" s="338">
        <v>33.75</v>
      </c>
      <c r="AD10" s="186"/>
      <c r="AE10" s="336">
        <v>390</v>
      </c>
      <c r="AF10" s="338"/>
      <c r="AG10" s="186"/>
      <c r="AH10" s="358"/>
    </row>
    <row r="11" spans="1:34" ht="15">
      <c r="A11" s="340">
        <v>29</v>
      </c>
      <c r="B11" s="186">
        <v>35.44</v>
      </c>
      <c r="D11" s="340">
        <v>65</v>
      </c>
      <c r="E11" s="186">
        <v>36.65</v>
      </c>
      <c r="G11" s="340">
        <v>101</v>
      </c>
      <c r="H11" s="186">
        <v>35.299999999999997</v>
      </c>
      <c r="J11" s="340">
        <v>137</v>
      </c>
      <c r="K11" s="186">
        <v>36.659999999999997</v>
      </c>
      <c r="L11" s="186"/>
      <c r="M11" s="340">
        <v>173</v>
      </c>
      <c r="N11" s="186">
        <v>33.54</v>
      </c>
      <c r="O11" s="186"/>
      <c r="P11" s="340">
        <v>209</v>
      </c>
      <c r="Q11" s="186">
        <v>33.14</v>
      </c>
      <c r="R11" s="186"/>
      <c r="S11" s="340">
        <v>245</v>
      </c>
      <c r="T11" s="186">
        <v>32.700000000000003</v>
      </c>
      <c r="U11" s="341"/>
      <c r="V11" s="340">
        <v>281</v>
      </c>
      <c r="W11" s="338">
        <v>33.409999999999997</v>
      </c>
      <c r="X11" s="339"/>
      <c r="Y11" s="336">
        <v>317</v>
      </c>
      <c r="Z11" s="186">
        <v>33.159999999999997</v>
      </c>
      <c r="AB11" s="340">
        <v>353</v>
      </c>
      <c r="AC11" s="338">
        <v>32.81</v>
      </c>
      <c r="AD11" s="186"/>
      <c r="AE11" s="336">
        <v>389</v>
      </c>
      <c r="AF11" s="338"/>
      <c r="AG11" s="186"/>
      <c r="AH11" s="358"/>
    </row>
    <row r="12" spans="1:34" ht="15">
      <c r="A12" s="340">
        <v>28</v>
      </c>
      <c r="B12" s="186">
        <v>34.72</v>
      </c>
      <c r="D12" s="340">
        <v>64</v>
      </c>
      <c r="E12" s="186">
        <v>35.47</v>
      </c>
      <c r="G12" s="340">
        <v>100</v>
      </c>
      <c r="H12" s="186">
        <v>37.21</v>
      </c>
      <c r="J12" s="340">
        <v>136</v>
      </c>
      <c r="K12" s="186">
        <v>35.630000000000003</v>
      </c>
      <c r="L12" s="186"/>
      <c r="M12" s="340">
        <v>172</v>
      </c>
      <c r="N12" s="186">
        <v>33.049999999999997</v>
      </c>
      <c r="O12" s="186"/>
      <c r="P12" s="340">
        <v>208</v>
      </c>
      <c r="Q12" s="186">
        <v>32.1</v>
      </c>
      <c r="R12" s="186"/>
      <c r="S12" s="340">
        <v>244</v>
      </c>
      <c r="T12" s="186">
        <v>33.369999999999997</v>
      </c>
      <c r="U12" s="341"/>
      <c r="V12" s="340">
        <v>280</v>
      </c>
      <c r="W12" s="338">
        <v>33.049999999999997</v>
      </c>
      <c r="X12" s="339"/>
      <c r="Y12" s="336">
        <v>316</v>
      </c>
      <c r="Z12" s="186">
        <v>33.24</v>
      </c>
      <c r="AB12" s="340">
        <v>352</v>
      </c>
      <c r="AC12" s="338">
        <v>33.19</v>
      </c>
      <c r="AD12" s="186"/>
      <c r="AE12" s="336">
        <v>388</v>
      </c>
      <c r="AF12" s="338"/>
      <c r="AG12" s="186"/>
      <c r="AH12" s="358"/>
    </row>
    <row r="13" spans="1:34" ht="15">
      <c r="A13" s="340">
        <v>27</v>
      </c>
      <c r="B13" s="186">
        <v>32.35</v>
      </c>
      <c r="D13" s="340">
        <v>63</v>
      </c>
      <c r="E13" s="186">
        <v>31.41</v>
      </c>
      <c r="G13" s="340">
        <v>99</v>
      </c>
      <c r="H13" s="186">
        <v>37.950000000000003</v>
      </c>
      <c r="J13" s="340">
        <v>135</v>
      </c>
      <c r="K13" s="186">
        <v>35.409999999999997</v>
      </c>
      <c r="L13" s="186"/>
      <c r="M13" s="340">
        <v>171</v>
      </c>
      <c r="N13" s="186">
        <v>33.54</v>
      </c>
      <c r="O13" s="186"/>
      <c r="P13" s="340">
        <v>207</v>
      </c>
      <c r="Q13" s="186">
        <v>31.81</v>
      </c>
      <c r="R13" s="186"/>
      <c r="S13" s="340">
        <v>243</v>
      </c>
      <c r="T13" s="186">
        <v>33.01</v>
      </c>
      <c r="U13" s="341"/>
      <c r="V13" s="340">
        <v>279</v>
      </c>
      <c r="W13" s="338">
        <v>33.56</v>
      </c>
      <c r="X13" s="339"/>
      <c r="Y13" s="336">
        <v>315</v>
      </c>
      <c r="Z13" s="186">
        <v>30.91</v>
      </c>
      <c r="AB13" s="340">
        <v>351</v>
      </c>
      <c r="AC13" s="338">
        <v>33.049999999999997</v>
      </c>
      <c r="AD13" s="186"/>
      <c r="AE13" s="336">
        <v>387</v>
      </c>
      <c r="AF13" s="338">
        <v>31.83</v>
      </c>
      <c r="AG13" s="186"/>
      <c r="AH13" s="358"/>
    </row>
    <row r="14" spans="1:34" ht="15">
      <c r="A14" s="340">
        <v>26</v>
      </c>
      <c r="B14" s="186">
        <v>33.979999999999997</v>
      </c>
      <c r="D14" s="340">
        <v>62</v>
      </c>
      <c r="E14" s="186">
        <v>33.200000000000003</v>
      </c>
      <c r="G14" s="340">
        <v>98</v>
      </c>
      <c r="H14" s="186">
        <v>37.119999999999997</v>
      </c>
      <c r="J14" s="340">
        <v>134</v>
      </c>
      <c r="K14" s="186">
        <v>36.31</v>
      </c>
      <c r="L14" s="186"/>
      <c r="M14" s="340">
        <v>170</v>
      </c>
      <c r="N14" s="186">
        <v>33.06</v>
      </c>
      <c r="O14" s="186"/>
      <c r="P14" s="340">
        <v>206</v>
      </c>
      <c r="Q14" s="186">
        <v>33.200000000000003</v>
      </c>
      <c r="R14" s="186"/>
      <c r="S14" s="340">
        <v>242</v>
      </c>
      <c r="T14" s="186">
        <v>33.39</v>
      </c>
      <c r="U14" s="341"/>
      <c r="V14" s="340">
        <v>278</v>
      </c>
      <c r="W14" s="338">
        <v>33.26</v>
      </c>
      <c r="X14" s="339"/>
      <c r="Y14" s="336">
        <v>314</v>
      </c>
      <c r="Z14" s="186">
        <v>32.630000000000003</v>
      </c>
      <c r="AB14" s="340">
        <v>350</v>
      </c>
      <c r="AC14" s="338">
        <v>31.37</v>
      </c>
      <c r="AD14" s="186"/>
      <c r="AE14" s="336">
        <v>386</v>
      </c>
      <c r="AF14" s="338">
        <v>33.56</v>
      </c>
      <c r="AG14" s="186"/>
      <c r="AH14" s="358"/>
    </row>
    <row r="15" spans="1:34" ht="15">
      <c r="A15" s="340">
        <v>25</v>
      </c>
      <c r="B15" s="186">
        <v>35.6</v>
      </c>
      <c r="D15" s="340">
        <v>61</v>
      </c>
      <c r="E15" s="186">
        <v>33.020000000000003</v>
      </c>
      <c r="G15" s="340">
        <v>97</v>
      </c>
      <c r="H15" s="186">
        <v>36.869999999999997</v>
      </c>
      <c r="J15" s="340">
        <v>133</v>
      </c>
      <c r="K15" s="186">
        <v>35.79</v>
      </c>
      <c r="L15" s="186"/>
      <c r="M15" s="340">
        <v>169</v>
      </c>
      <c r="N15" s="186">
        <v>33.380000000000003</v>
      </c>
      <c r="O15" s="186"/>
      <c r="P15" s="340">
        <v>205</v>
      </c>
      <c r="Q15" s="186">
        <v>32.520000000000003</v>
      </c>
      <c r="R15" s="186"/>
      <c r="S15" s="340">
        <v>241</v>
      </c>
      <c r="T15" s="186">
        <v>33.04</v>
      </c>
      <c r="U15" s="341"/>
      <c r="V15" s="340">
        <v>277</v>
      </c>
      <c r="W15" s="338">
        <v>33.5</v>
      </c>
      <c r="X15" s="339"/>
      <c r="Y15" s="336">
        <v>313</v>
      </c>
      <c r="Z15" s="186">
        <v>33.06</v>
      </c>
      <c r="AA15" s="186"/>
      <c r="AB15" s="340">
        <v>349</v>
      </c>
      <c r="AC15" s="338">
        <v>33.15</v>
      </c>
      <c r="AD15" s="186"/>
      <c r="AE15" s="336">
        <v>385</v>
      </c>
      <c r="AF15" s="338">
        <v>32.869999999999997</v>
      </c>
      <c r="AG15" s="186"/>
      <c r="AH15" s="349"/>
    </row>
    <row r="16" spans="1:34" ht="15">
      <c r="A16" s="340">
        <v>24</v>
      </c>
      <c r="B16" s="186">
        <v>34.42</v>
      </c>
      <c r="D16" s="340">
        <v>60</v>
      </c>
      <c r="E16" s="186">
        <v>33.380000000000003</v>
      </c>
      <c r="G16" s="340">
        <v>96</v>
      </c>
      <c r="H16" s="186">
        <v>38.520000000000003</v>
      </c>
      <c r="J16" s="340">
        <v>132</v>
      </c>
      <c r="K16" s="186">
        <v>36.17</v>
      </c>
      <c r="L16" s="186"/>
      <c r="M16" s="340">
        <v>168</v>
      </c>
      <c r="N16" s="186">
        <v>32.46</v>
      </c>
      <c r="O16" s="186"/>
      <c r="P16" s="340">
        <v>204</v>
      </c>
      <c r="Q16" s="186">
        <v>33.22</v>
      </c>
      <c r="R16" s="186"/>
      <c r="S16" s="340">
        <v>240</v>
      </c>
      <c r="T16" s="186">
        <v>33.200000000000003</v>
      </c>
      <c r="U16" s="341"/>
      <c r="V16" s="340">
        <v>276</v>
      </c>
      <c r="W16" s="338">
        <v>33.369999999999997</v>
      </c>
      <c r="X16" s="339"/>
      <c r="Y16" s="336">
        <v>312</v>
      </c>
      <c r="Z16" s="186">
        <v>33.04</v>
      </c>
      <c r="AA16" s="186"/>
      <c r="AB16" s="340">
        <v>348</v>
      </c>
      <c r="AC16" s="338">
        <v>33.26</v>
      </c>
      <c r="AD16" s="186"/>
      <c r="AE16" s="336">
        <v>384</v>
      </c>
      <c r="AF16" s="338">
        <v>33.18</v>
      </c>
      <c r="AG16" s="186"/>
      <c r="AH16" s="349"/>
    </row>
    <row r="17" spans="1:34" ht="15">
      <c r="A17" s="340">
        <v>23</v>
      </c>
      <c r="B17" s="186">
        <v>35.950000000000003</v>
      </c>
      <c r="D17" s="340">
        <v>59</v>
      </c>
      <c r="E17" s="186">
        <v>33.119999999999997</v>
      </c>
      <c r="G17" s="340">
        <v>95</v>
      </c>
      <c r="H17" s="186">
        <v>36.380000000000003</v>
      </c>
      <c r="J17" s="340">
        <v>131</v>
      </c>
      <c r="K17" s="186">
        <v>37.07</v>
      </c>
      <c r="L17" s="186"/>
      <c r="M17" s="340">
        <v>167</v>
      </c>
      <c r="N17" s="186">
        <v>32.479999999999997</v>
      </c>
      <c r="O17" s="186"/>
      <c r="P17" s="340">
        <v>203</v>
      </c>
      <c r="Q17" s="186">
        <v>33.159999999999997</v>
      </c>
      <c r="R17" s="186"/>
      <c r="S17" s="340">
        <v>239</v>
      </c>
      <c r="T17" s="186">
        <v>33.1</v>
      </c>
      <c r="U17" s="341"/>
      <c r="V17" s="340">
        <v>275</v>
      </c>
      <c r="W17" s="338">
        <v>33.450000000000003</v>
      </c>
      <c r="X17" s="339"/>
      <c r="Y17" s="340">
        <v>311</v>
      </c>
      <c r="Z17" s="186">
        <v>33.299999999999997</v>
      </c>
      <c r="AA17" s="186"/>
      <c r="AB17" s="340">
        <v>347</v>
      </c>
      <c r="AC17" s="338">
        <v>33.47</v>
      </c>
      <c r="AD17" s="186"/>
      <c r="AE17" s="336">
        <v>383</v>
      </c>
      <c r="AF17" s="338">
        <v>33.54</v>
      </c>
      <c r="AG17" s="186"/>
      <c r="AH17" s="349"/>
    </row>
    <row r="18" spans="1:34" ht="15">
      <c r="A18" s="340">
        <v>22</v>
      </c>
      <c r="B18" s="186">
        <v>35.36</v>
      </c>
      <c r="D18" s="340">
        <v>58</v>
      </c>
      <c r="E18" s="186">
        <v>32.75</v>
      </c>
      <c r="G18" s="340">
        <v>94</v>
      </c>
      <c r="H18" s="186">
        <v>35.58</v>
      </c>
      <c r="J18" s="340">
        <v>130</v>
      </c>
      <c r="K18" s="186">
        <v>36.06</v>
      </c>
      <c r="L18" s="186"/>
      <c r="M18" s="340">
        <v>166</v>
      </c>
      <c r="N18" s="186">
        <v>33.200000000000003</v>
      </c>
      <c r="O18" s="186"/>
      <c r="P18" s="340">
        <v>202</v>
      </c>
      <c r="Q18" s="186">
        <v>33.85</v>
      </c>
      <c r="R18" s="186"/>
      <c r="S18" s="340">
        <v>238</v>
      </c>
      <c r="T18" s="186">
        <v>32.200000000000003</v>
      </c>
      <c r="U18" s="341"/>
      <c r="V18" s="340">
        <v>274</v>
      </c>
      <c r="W18" s="338">
        <v>33.090000000000003</v>
      </c>
      <c r="X18" s="339"/>
      <c r="Y18" s="340">
        <v>310</v>
      </c>
      <c r="Z18" s="186">
        <v>33.5</v>
      </c>
      <c r="AA18" s="186"/>
      <c r="AB18" s="340">
        <v>346</v>
      </c>
      <c r="AC18" s="338">
        <v>33.08</v>
      </c>
      <c r="AD18" s="186"/>
      <c r="AE18" s="336">
        <v>382</v>
      </c>
      <c r="AF18" s="338">
        <v>31.67</v>
      </c>
      <c r="AG18" s="186"/>
      <c r="AH18" s="186"/>
    </row>
    <row r="19" spans="1:34" ht="15">
      <c r="A19" s="340">
        <v>21</v>
      </c>
      <c r="B19" s="186">
        <v>35.78</v>
      </c>
      <c r="D19" s="340">
        <v>57</v>
      </c>
      <c r="E19" s="186">
        <v>33.11</v>
      </c>
      <c r="G19" s="340">
        <v>93</v>
      </c>
      <c r="H19" s="186">
        <v>37.75</v>
      </c>
      <c r="J19" s="340">
        <v>129</v>
      </c>
      <c r="K19" s="186">
        <v>33.32</v>
      </c>
      <c r="L19" s="186"/>
      <c r="M19" s="340">
        <v>165</v>
      </c>
      <c r="N19" s="186">
        <v>33.020000000000003</v>
      </c>
      <c r="O19" s="186"/>
      <c r="P19" s="340">
        <v>201</v>
      </c>
      <c r="Q19" s="186">
        <v>33.07</v>
      </c>
      <c r="R19" s="186"/>
      <c r="S19" s="340">
        <v>237</v>
      </c>
      <c r="T19" s="186">
        <v>33.4</v>
      </c>
      <c r="U19" s="341"/>
      <c r="V19" s="340">
        <v>273</v>
      </c>
      <c r="W19" s="338">
        <v>33.35</v>
      </c>
      <c r="X19" s="339"/>
      <c r="Y19" s="340">
        <v>309</v>
      </c>
      <c r="Z19" s="186">
        <v>33.19</v>
      </c>
      <c r="AA19" s="186"/>
      <c r="AB19" s="340">
        <v>345</v>
      </c>
      <c r="AC19" s="338">
        <v>33.43</v>
      </c>
      <c r="AD19" s="186"/>
      <c r="AE19" s="336">
        <v>381</v>
      </c>
      <c r="AF19" s="338">
        <v>33.19</v>
      </c>
      <c r="AG19" s="186"/>
      <c r="AH19" s="186"/>
    </row>
    <row r="20" spans="1:34" ht="15">
      <c r="A20" s="340">
        <v>20</v>
      </c>
      <c r="B20" s="186">
        <v>34.299999999999997</v>
      </c>
      <c r="D20" s="340">
        <v>56</v>
      </c>
      <c r="E20" s="186">
        <v>31.9</v>
      </c>
      <c r="G20" s="340">
        <v>92</v>
      </c>
      <c r="H20" s="186">
        <v>37.78</v>
      </c>
      <c r="J20" s="340">
        <v>128</v>
      </c>
      <c r="K20" s="186">
        <v>33.14</v>
      </c>
      <c r="L20" s="186"/>
      <c r="M20" s="340">
        <v>164</v>
      </c>
      <c r="N20" s="186">
        <v>33.19</v>
      </c>
      <c r="O20" s="186"/>
      <c r="P20" s="340">
        <v>200</v>
      </c>
      <c r="Q20" s="186">
        <v>33.35</v>
      </c>
      <c r="R20" s="186"/>
      <c r="S20" s="340">
        <v>236</v>
      </c>
      <c r="T20" s="186">
        <v>33.11</v>
      </c>
      <c r="U20" s="341"/>
      <c r="V20" s="340">
        <v>272</v>
      </c>
      <c r="W20" s="338">
        <v>34.869999999999997</v>
      </c>
      <c r="X20" s="339"/>
      <c r="Y20" s="340">
        <v>308</v>
      </c>
      <c r="Z20" s="186">
        <v>32.119999999999997</v>
      </c>
      <c r="AA20" s="194"/>
      <c r="AB20" s="340">
        <v>344</v>
      </c>
      <c r="AC20" s="338">
        <v>32.51</v>
      </c>
      <c r="AD20" s="186"/>
      <c r="AE20" s="336">
        <v>380</v>
      </c>
      <c r="AF20" s="338">
        <v>33.520000000000003</v>
      </c>
      <c r="AG20" s="186"/>
      <c r="AH20" s="186"/>
    </row>
    <row r="21" spans="1:34" ht="15">
      <c r="A21" s="340">
        <v>19</v>
      </c>
      <c r="B21" s="186">
        <v>34.090000000000003</v>
      </c>
      <c r="D21" s="340">
        <v>55</v>
      </c>
      <c r="E21" s="186">
        <v>32.85</v>
      </c>
      <c r="G21" s="340">
        <v>91</v>
      </c>
      <c r="H21" s="186">
        <v>36.9</v>
      </c>
      <c r="J21" s="340">
        <v>127</v>
      </c>
      <c r="K21" s="186">
        <v>33.15</v>
      </c>
      <c r="L21" s="186"/>
      <c r="M21" s="340">
        <v>163</v>
      </c>
      <c r="N21" s="186">
        <v>33.520000000000003</v>
      </c>
      <c r="O21" s="186"/>
      <c r="P21" s="340">
        <v>199</v>
      </c>
      <c r="Q21" s="186">
        <v>33.200000000000003</v>
      </c>
      <c r="R21" s="186"/>
      <c r="S21" s="340">
        <v>235</v>
      </c>
      <c r="T21" s="186">
        <v>33.64</v>
      </c>
      <c r="U21" s="341"/>
      <c r="V21" s="340">
        <v>271</v>
      </c>
      <c r="W21" s="338">
        <v>32.19</v>
      </c>
      <c r="X21" s="339"/>
      <c r="Y21" s="340">
        <v>307</v>
      </c>
      <c r="Z21" s="186">
        <v>32.72</v>
      </c>
      <c r="AA21" s="194"/>
      <c r="AB21" s="340">
        <v>343</v>
      </c>
      <c r="AC21" s="338">
        <v>33.14</v>
      </c>
      <c r="AD21" s="186"/>
      <c r="AE21" s="336">
        <v>379</v>
      </c>
      <c r="AF21" s="338">
        <v>33.21</v>
      </c>
      <c r="AG21" s="186"/>
      <c r="AH21" s="186"/>
    </row>
    <row r="22" spans="1:34" ht="15">
      <c r="A22" s="340">
        <v>18</v>
      </c>
      <c r="B22" s="186">
        <v>36.630000000000003</v>
      </c>
      <c r="D22" s="340">
        <v>54</v>
      </c>
      <c r="E22" s="186">
        <v>33.630000000000003</v>
      </c>
      <c r="G22" s="340">
        <v>90</v>
      </c>
      <c r="H22" s="186">
        <v>37.15</v>
      </c>
      <c r="J22" s="340">
        <v>126</v>
      </c>
      <c r="K22" s="186">
        <v>33.200000000000003</v>
      </c>
      <c r="L22" s="186"/>
      <c r="M22" s="340">
        <v>162</v>
      </c>
      <c r="N22" s="186">
        <v>33.130000000000003</v>
      </c>
      <c r="O22" s="186"/>
      <c r="P22" s="340">
        <v>198</v>
      </c>
      <c r="Q22" s="186">
        <v>33.67</v>
      </c>
      <c r="R22" s="186"/>
      <c r="S22" s="340">
        <v>234</v>
      </c>
      <c r="T22" s="186">
        <v>33.25</v>
      </c>
      <c r="U22" s="341"/>
      <c r="V22" s="340">
        <v>270</v>
      </c>
      <c r="W22" s="338">
        <v>36.83</v>
      </c>
      <c r="X22" s="339"/>
      <c r="Y22" s="340">
        <v>306</v>
      </c>
      <c r="Z22" s="186">
        <v>33.19</v>
      </c>
      <c r="AA22" s="194"/>
      <c r="AB22" s="340">
        <v>342</v>
      </c>
      <c r="AC22" s="338">
        <v>31.44</v>
      </c>
      <c r="AD22" s="186"/>
      <c r="AE22" s="336">
        <v>378</v>
      </c>
      <c r="AF22" s="338">
        <v>33.049999999999997</v>
      </c>
      <c r="AG22" s="186"/>
      <c r="AH22" s="186"/>
    </row>
    <row r="23" spans="1:34" ht="15">
      <c r="A23" s="340">
        <v>17</v>
      </c>
      <c r="B23" s="186">
        <v>36.22</v>
      </c>
      <c r="D23" s="340">
        <v>53</v>
      </c>
      <c r="E23" s="186">
        <v>32.590000000000003</v>
      </c>
      <c r="G23" s="340">
        <v>89</v>
      </c>
      <c r="H23" s="186">
        <v>36.51</v>
      </c>
      <c r="J23" s="340">
        <v>125</v>
      </c>
      <c r="K23" s="186">
        <v>33.11</v>
      </c>
      <c r="L23" s="186"/>
      <c r="M23" s="340">
        <v>161</v>
      </c>
      <c r="N23" s="186">
        <v>33.369999999999997</v>
      </c>
      <c r="O23" s="186"/>
      <c r="P23" s="340">
        <v>197</v>
      </c>
      <c r="Q23" s="186">
        <v>33.340000000000003</v>
      </c>
      <c r="R23" s="186"/>
      <c r="S23" s="340">
        <v>233</v>
      </c>
      <c r="T23" s="186">
        <v>33.32</v>
      </c>
      <c r="U23" s="341"/>
      <c r="V23" s="340">
        <v>269</v>
      </c>
      <c r="W23" s="338">
        <v>34.81</v>
      </c>
      <c r="X23" s="339"/>
      <c r="Y23" s="340">
        <v>305</v>
      </c>
      <c r="Z23" s="186">
        <v>33.5</v>
      </c>
      <c r="AA23" s="194"/>
      <c r="AB23" s="340">
        <v>341</v>
      </c>
      <c r="AC23" s="338">
        <v>33.85</v>
      </c>
      <c r="AD23" s="186"/>
      <c r="AE23" s="336">
        <v>377</v>
      </c>
      <c r="AF23" s="338">
        <v>33.200000000000003</v>
      </c>
      <c r="AG23" s="186"/>
      <c r="AH23" s="186"/>
    </row>
    <row r="24" spans="1:34" ht="15">
      <c r="A24" s="340">
        <v>16</v>
      </c>
      <c r="B24" s="186">
        <v>36.89</v>
      </c>
      <c r="D24" s="340">
        <v>52</v>
      </c>
      <c r="E24" s="186">
        <v>32.08</v>
      </c>
      <c r="G24" s="340">
        <v>88</v>
      </c>
      <c r="H24" s="186">
        <v>38.03</v>
      </c>
      <c r="J24" s="340">
        <v>124</v>
      </c>
      <c r="K24" s="186">
        <v>33.049999999999997</v>
      </c>
      <c r="L24" s="186"/>
      <c r="M24" s="340">
        <v>160</v>
      </c>
      <c r="N24" s="186">
        <v>33.06</v>
      </c>
      <c r="O24" s="186"/>
      <c r="P24" s="340">
        <v>196</v>
      </c>
      <c r="Q24" s="186">
        <v>33.07</v>
      </c>
      <c r="R24" s="186"/>
      <c r="S24" s="340">
        <v>232</v>
      </c>
      <c r="T24" s="186">
        <v>32.700000000000003</v>
      </c>
      <c r="U24" s="341"/>
      <c r="V24" s="340">
        <v>268</v>
      </c>
      <c r="W24" s="338">
        <v>36.58</v>
      </c>
      <c r="X24" s="339"/>
      <c r="Y24" s="340">
        <v>304</v>
      </c>
      <c r="Z24" s="186">
        <v>33.1</v>
      </c>
      <c r="AA24" s="194"/>
      <c r="AB24" s="340">
        <v>340</v>
      </c>
      <c r="AC24" s="338">
        <v>31.65</v>
      </c>
      <c r="AD24" s="186"/>
      <c r="AE24" s="336">
        <v>376</v>
      </c>
      <c r="AF24" s="338">
        <v>33.700000000000003</v>
      </c>
      <c r="AG24" s="186"/>
      <c r="AH24" s="186"/>
    </row>
    <row r="25" spans="1:34" ht="15">
      <c r="A25" s="340">
        <v>15</v>
      </c>
      <c r="B25" s="186">
        <v>35.119999999999997</v>
      </c>
      <c r="D25" s="340">
        <v>51</v>
      </c>
      <c r="E25" s="186">
        <v>33.21</v>
      </c>
      <c r="G25" s="340">
        <v>87</v>
      </c>
      <c r="H25" s="186">
        <v>36.22</v>
      </c>
      <c r="J25" s="340">
        <v>123</v>
      </c>
      <c r="K25" s="186">
        <v>33.28</v>
      </c>
      <c r="L25" s="186"/>
      <c r="M25" s="340">
        <v>159</v>
      </c>
      <c r="N25" s="186">
        <v>32.14</v>
      </c>
      <c r="O25" s="186"/>
      <c r="P25" s="340">
        <v>195</v>
      </c>
      <c r="Q25" s="186">
        <v>32.81</v>
      </c>
      <c r="R25" s="186"/>
      <c r="S25" s="340">
        <v>231</v>
      </c>
      <c r="T25" s="186">
        <v>31.76</v>
      </c>
      <c r="U25" s="341"/>
      <c r="V25" s="340">
        <v>267</v>
      </c>
      <c r="W25" s="338">
        <v>34.07</v>
      </c>
      <c r="X25" s="339"/>
      <c r="Y25" s="340">
        <v>303</v>
      </c>
      <c r="Z25" s="186">
        <v>33.1</v>
      </c>
      <c r="AA25" s="194"/>
      <c r="AB25" s="340">
        <v>339</v>
      </c>
      <c r="AC25" s="338">
        <v>33.39</v>
      </c>
      <c r="AD25" s="186"/>
      <c r="AE25" s="336">
        <v>375</v>
      </c>
      <c r="AF25" s="338">
        <v>33.04</v>
      </c>
      <c r="AG25" s="186"/>
      <c r="AH25" s="186"/>
    </row>
    <row r="26" spans="1:34" ht="15">
      <c r="A26" s="340">
        <v>14</v>
      </c>
      <c r="B26" s="186">
        <v>35.57</v>
      </c>
      <c r="D26" s="340">
        <v>50</v>
      </c>
      <c r="E26" s="186">
        <v>33.54</v>
      </c>
      <c r="G26" s="340">
        <v>86</v>
      </c>
      <c r="H26" s="186">
        <v>35.72</v>
      </c>
      <c r="J26" s="340">
        <v>122</v>
      </c>
      <c r="K26" s="186">
        <v>32.869999999999997</v>
      </c>
      <c r="L26" s="186"/>
      <c r="M26" s="340">
        <v>158</v>
      </c>
      <c r="N26" s="186">
        <v>33.53</v>
      </c>
      <c r="O26" s="186"/>
      <c r="P26" s="340">
        <v>194</v>
      </c>
      <c r="Q26" s="186">
        <v>33.299999999999997</v>
      </c>
      <c r="R26" s="186"/>
      <c r="S26" s="340">
        <v>230</v>
      </c>
      <c r="T26" s="186">
        <v>33.22</v>
      </c>
      <c r="U26" s="341"/>
      <c r="V26" s="336">
        <v>266</v>
      </c>
      <c r="W26" s="338">
        <v>34.299999999999997</v>
      </c>
      <c r="X26" s="339"/>
      <c r="Y26" s="340">
        <v>302</v>
      </c>
      <c r="Z26" s="186">
        <v>33.1</v>
      </c>
      <c r="AA26" s="194"/>
      <c r="AB26" s="340">
        <v>338</v>
      </c>
      <c r="AC26" s="338">
        <v>32.700000000000003</v>
      </c>
      <c r="AD26" s="186"/>
      <c r="AE26" s="336">
        <v>374</v>
      </c>
      <c r="AF26" s="338">
        <v>33.01</v>
      </c>
      <c r="AG26" s="186"/>
      <c r="AH26" s="359">
        <v>410</v>
      </c>
    </row>
    <row r="27" spans="1:34" ht="15.75" thickBot="1">
      <c r="A27" s="340">
        <v>13</v>
      </c>
      <c r="B27" s="186">
        <v>34.07</v>
      </c>
      <c r="D27" s="340">
        <v>49</v>
      </c>
      <c r="E27" s="186">
        <v>32.54</v>
      </c>
      <c r="G27" s="340">
        <v>85</v>
      </c>
      <c r="H27" s="186">
        <v>36.43</v>
      </c>
      <c r="J27" s="340">
        <v>121</v>
      </c>
      <c r="K27" s="186">
        <v>33.32</v>
      </c>
      <c r="L27" s="186"/>
      <c r="M27" s="340">
        <v>157</v>
      </c>
      <c r="N27" s="186">
        <v>33.450000000000003</v>
      </c>
      <c r="O27" s="186"/>
      <c r="P27" s="340">
        <v>193</v>
      </c>
      <c r="Q27" s="186">
        <v>32.229999999999997</v>
      </c>
      <c r="R27" s="186"/>
      <c r="S27" s="340">
        <v>229</v>
      </c>
      <c r="T27" s="186">
        <v>33.5</v>
      </c>
      <c r="U27" s="341"/>
      <c r="V27" s="340">
        <v>265</v>
      </c>
      <c r="W27" s="338">
        <v>34.340000000000003</v>
      </c>
      <c r="X27" s="339"/>
      <c r="Y27" s="340">
        <v>301</v>
      </c>
      <c r="Z27" s="186">
        <v>33.39</v>
      </c>
      <c r="AA27" s="194"/>
      <c r="AB27" s="340">
        <v>337</v>
      </c>
      <c r="AC27" s="338">
        <v>32.97</v>
      </c>
      <c r="AD27" s="186"/>
      <c r="AE27" s="336">
        <v>373</v>
      </c>
      <c r="AF27" s="338">
        <v>32.5</v>
      </c>
      <c r="AG27" s="186"/>
      <c r="AH27" s="359">
        <v>409</v>
      </c>
    </row>
    <row r="28" spans="1:34" ht="15.75" thickBot="1">
      <c r="A28" s="340">
        <v>12</v>
      </c>
      <c r="B28" s="186">
        <v>36.67</v>
      </c>
      <c r="D28" s="340">
        <v>48</v>
      </c>
      <c r="E28" s="186">
        <v>32.64</v>
      </c>
      <c r="G28" s="340">
        <v>84</v>
      </c>
      <c r="H28" s="186">
        <v>35.96</v>
      </c>
      <c r="J28" s="340">
        <v>120</v>
      </c>
      <c r="K28" s="186">
        <v>39.450000000000003</v>
      </c>
      <c r="L28" s="186"/>
      <c r="M28" s="340">
        <v>156</v>
      </c>
      <c r="N28" s="186">
        <v>33.08</v>
      </c>
      <c r="O28" s="186"/>
      <c r="P28" s="340">
        <v>192</v>
      </c>
      <c r="Q28" s="186">
        <v>33.950000000000003</v>
      </c>
      <c r="R28" s="186"/>
      <c r="S28" s="340">
        <v>228</v>
      </c>
      <c r="T28" s="186">
        <v>33.46</v>
      </c>
      <c r="U28" s="341"/>
      <c r="V28" s="360">
        <v>264</v>
      </c>
      <c r="W28" s="361">
        <v>37.4</v>
      </c>
      <c r="X28" s="339"/>
      <c r="Y28" s="340">
        <v>300</v>
      </c>
      <c r="Z28" s="186">
        <v>34.14</v>
      </c>
      <c r="AA28" s="194"/>
      <c r="AB28" s="340">
        <v>336</v>
      </c>
      <c r="AC28" s="338">
        <v>33.200000000000003</v>
      </c>
      <c r="AD28" s="186"/>
      <c r="AE28" s="336">
        <v>372</v>
      </c>
      <c r="AF28" s="338">
        <v>33.35</v>
      </c>
      <c r="AG28" s="186"/>
      <c r="AH28" s="359">
        <v>408</v>
      </c>
    </row>
    <row r="29" spans="1:34" ht="15">
      <c r="A29" s="340">
        <v>11</v>
      </c>
      <c r="B29" s="186">
        <v>33.42</v>
      </c>
      <c r="D29" s="340">
        <v>47</v>
      </c>
      <c r="E29" s="186">
        <v>33.01</v>
      </c>
      <c r="G29" s="340">
        <v>83</v>
      </c>
      <c r="H29" s="186">
        <v>37.700000000000003</v>
      </c>
      <c r="J29" s="340">
        <v>119</v>
      </c>
      <c r="K29" s="186">
        <v>37.53</v>
      </c>
      <c r="L29" s="186"/>
      <c r="M29" s="340">
        <v>155</v>
      </c>
      <c r="N29" s="186">
        <v>32.07</v>
      </c>
      <c r="O29" s="186"/>
      <c r="P29" s="340">
        <v>191</v>
      </c>
      <c r="Q29" s="186">
        <v>32.57</v>
      </c>
      <c r="R29" s="186"/>
      <c r="S29" s="340">
        <v>227</v>
      </c>
      <c r="T29" s="186">
        <v>33.56</v>
      </c>
      <c r="U29" s="341"/>
      <c r="V29" s="340">
        <v>263</v>
      </c>
      <c r="W29" s="338">
        <v>36.43</v>
      </c>
      <c r="X29" s="339"/>
      <c r="Y29" s="340">
        <v>299</v>
      </c>
      <c r="Z29" s="186">
        <v>34.74</v>
      </c>
      <c r="AA29" s="194"/>
      <c r="AB29" s="336">
        <v>335</v>
      </c>
      <c r="AC29" s="338">
        <v>32.76</v>
      </c>
      <c r="AD29" s="186"/>
      <c r="AE29" s="336">
        <v>371</v>
      </c>
      <c r="AF29" s="338">
        <v>32.75</v>
      </c>
      <c r="AG29" s="186"/>
      <c r="AH29" s="359">
        <v>407</v>
      </c>
    </row>
    <row r="30" spans="1:34" ht="15">
      <c r="A30" s="340">
        <v>10</v>
      </c>
      <c r="B30" s="186">
        <v>32.78</v>
      </c>
      <c r="D30" s="340">
        <v>46</v>
      </c>
      <c r="E30" s="186">
        <v>33.5</v>
      </c>
      <c r="G30" s="340">
        <v>82</v>
      </c>
      <c r="H30" s="186">
        <v>39.82</v>
      </c>
      <c r="J30" s="340">
        <v>118</v>
      </c>
      <c r="K30" s="186">
        <v>35.71</v>
      </c>
      <c r="L30" s="186"/>
      <c r="M30" s="340">
        <v>154</v>
      </c>
      <c r="N30" s="186">
        <v>33.520000000000003</v>
      </c>
      <c r="O30" s="186"/>
      <c r="P30" s="340">
        <v>190</v>
      </c>
      <c r="Q30" s="186">
        <v>33.549999999999997</v>
      </c>
      <c r="R30" s="186"/>
      <c r="S30" s="340">
        <v>226</v>
      </c>
      <c r="T30" s="186">
        <v>33.450000000000003</v>
      </c>
      <c r="U30" s="341"/>
      <c r="V30" s="336">
        <v>262</v>
      </c>
      <c r="W30" s="338">
        <v>33.22</v>
      </c>
      <c r="X30" s="339"/>
      <c r="Y30" s="340">
        <v>298</v>
      </c>
      <c r="Z30" s="186">
        <v>36.47</v>
      </c>
      <c r="AA30" s="194"/>
      <c r="AB30" s="336">
        <v>334</v>
      </c>
      <c r="AC30" s="338">
        <v>33.19</v>
      </c>
      <c r="AD30" s="186"/>
      <c r="AE30" s="336">
        <v>370</v>
      </c>
      <c r="AF30" s="338">
        <v>33.340000000000003</v>
      </c>
      <c r="AG30" s="186"/>
      <c r="AH30" s="359">
        <v>406</v>
      </c>
    </row>
    <row r="31" spans="1:34" ht="15">
      <c r="A31" s="340">
        <v>9</v>
      </c>
      <c r="B31" s="186">
        <v>36.67</v>
      </c>
      <c r="D31" s="340">
        <v>45</v>
      </c>
      <c r="E31" s="186">
        <v>34.04</v>
      </c>
      <c r="G31" s="340">
        <v>81</v>
      </c>
      <c r="H31" s="186">
        <v>34.299999999999997</v>
      </c>
      <c r="J31" s="340">
        <v>117</v>
      </c>
      <c r="K31" s="186">
        <v>34.78</v>
      </c>
      <c r="L31" s="186"/>
      <c r="M31" s="340">
        <v>153</v>
      </c>
      <c r="N31" s="186">
        <v>33.53</v>
      </c>
      <c r="O31" s="186"/>
      <c r="P31" s="340">
        <v>189</v>
      </c>
      <c r="Q31" s="186">
        <v>33.19</v>
      </c>
      <c r="R31" s="186"/>
      <c r="S31" s="340">
        <v>225</v>
      </c>
      <c r="T31" s="186">
        <v>33.14</v>
      </c>
      <c r="U31" s="341"/>
      <c r="V31" s="340">
        <v>261</v>
      </c>
      <c r="W31" s="338">
        <v>34.72</v>
      </c>
      <c r="X31" s="339"/>
      <c r="Y31" s="340">
        <v>297</v>
      </c>
      <c r="Z31" s="186">
        <v>36.58</v>
      </c>
      <c r="AA31" s="194"/>
      <c r="AB31" s="336">
        <v>333</v>
      </c>
      <c r="AC31" s="338">
        <v>33.53</v>
      </c>
      <c r="AD31" s="186"/>
      <c r="AE31" s="336">
        <v>369</v>
      </c>
      <c r="AF31" s="338">
        <v>33.74</v>
      </c>
      <c r="AG31" s="186"/>
      <c r="AH31" s="359">
        <v>405</v>
      </c>
    </row>
    <row r="32" spans="1:34" ht="15">
      <c r="A32" s="340">
        <v>8</v>
      </c>
      <c r="B32" s="186">
        <v>36.5</v>
      </c>
      <c r="D32" s="340">
        <v>44</v>
      </c>
      <c r="E32" s="186"/>
      <c r="G32" s="340">
        <v>80</v>
      </c>
      <c r="H32" s="186">
        <v>32.76</v>
      </c>
      <c r="J32" s="340">
        <v>116</v>
      </c>
      <c r="K32" s="186">
        <v>35.69</v>
      </c>
      <c r="L32" s="186"/>
      <c r="M32" s="340">
        <v>152</v>
      </c>
      <c r="N32" s="186">
        <v>32.020000000000003</v>
      </c>
      <c r="O32" s="186"/>
      <c r="P32" s="340">
        <v>188</v>
      </c>
      <c r="Q32" s="186">
        <v>33.03</v>
      </c>
      <c r="R32" s="186"/>
      <c r="S32" s="340">
        <v>224</v>
      </c>
      <c r="T32" s="186">
        <v>33.75</v>
      </c>
      <c r="U32" s="341"/>
      <c r="V32" s="336">
        <v>260</v>
      </c>
      <c r="W32" s="338">
        <v>36.92</v>
      </c>
      <c r="X32" s="339"/>
      <c r="Y32" s="340">
        <v>296</v>
      </c>
      <c r="Z32" s="186">
        <v>35.69</v>
      </c>
      <c r="AA32" s="194"/>
      <c r="AB32" s="336">
        <v>332</v>
      </c>
      <c r="AC32" s="338">
        <v>33.049999999999997</v>
      </c>
      <c r="AD32" s="186"/>
      <c r="AE32" s="336">
        <v>368</v>
      </c>
      <c r="AF32" s="338">
        <v>33.29</v>
      </c>
      <c r="AG32" s="186"/>
      <c r="AH32" s="359">
        <v>404</v>
      </c>
    </row>
    <row r="33" spans="1:34" ht="15">
      <c r="A33" s="340">
        <v>7</v>
      </c>
      <c r="B33" s="186">
        <v>35.46</v>
      </c>
      <c r="D33" s="340">
        <v>43</v>
      </c>
      <c r="E33" s="186">
        <v>32.4</v>
      </c>
      <c r="G33" s="340">
        <v>79</v>
      </c>
      <c r="H33" s="186">
        <v>34.26</v>
      </c>
      <c r="J33" s="340">
        <v>115</v>
      </c>
      <c r="K33" s="186">
        <v>38.07</v>
      </c>
      <c r="L33" s="186"/>
      <c r="M33" s="340">
        <v>151</v>
      </c>
      <c r="N33" s="186">
        <v>33.549999999999997</v>
      </c>
      <c r="O33" s="186"/>
      <c r="P33" s="340">
        <v>187</v>
      </c>
      <c r="Q33" s="186">
        <v>32.57</v>
      </c>
      <c r="R33" s="186"/>
      <c r="S33" s="340">
        <v>223</v>
      </c>
      <c r="T33" s="186">
        <v>33.15</v>
      </c>
      <c r="U33" s="341"/>
      <c r="V33" s="340">
        <v>259</v>
      </c>
      <c r="W33" s="338">
        <v>35.049999999999997</v>
      </c>
      <c r="X33" s="339"/>
      <c r="Y33" s="340">
        <v>295</v>
      </c>
      <c r="Z33" s="186">
        <v>36</v>
      </c>
      <c r="AA33" s="194"/>
      <c r="AB33" s="336">
        <v>331</v>
      </c>
      <c r="AC33" s="338">
        <v>33.380000000000003</v>
      </c>
      <c r="AD33" s="186"/>
      <c r="AE33" s="336">
        <v>367</v>
      </c>
      <c r="AF33" s="338">
        <v>33.54</v>
      </c>
      <c r="AG33" s="186"/>
      <c r="AH33" s="359">
        <v>403</v>
      </c>
    </row>
    <row r="34" spans="1:34" ht="15">
      <c r="A34" s="340">
        <v>6</v>
      </c>
      <c r="B34" s="186">
        <v>33.78</v>
      </c>
      <c r="D34" s="340">
        <v>42</v>
      </c>
      <c r="E34" s="186">
        <v>35.71</v>
      </c>
      <c r="G34" s="340">
        <v>78</v>
      </c>
      <c r="H34" s="186">
        <v>33.39</v>
      </c>
      <c r="J34" s="340">
        <v>114</v>
      </c>
      <c r="K34" s="186">
        <v>35.729999999999997</v>
      </c>
      <c r="L34" s="186"/>
      <c r="M34" s="340">
        <v>150</v>
      </c>
      <c r="N34" s="186">
        <v>32.5</v>
      </c>
      <c r="O34" s="186"/>
      <c r="P34" s="340">
        <v>186</v>
      </c>
      <c r="Q34" s="186">
        <v>33.19</v>
      </c>
      <c r="R34" s="186"/>
      <c r="S34" s="340">
        <v>222</v>
      </c>
      <c r="T34" s="186">
        <v>33.950000000000003</v>
      </c>
      <c r="U34" s="341"/>
      <c r="V34" s="336">
        <v>258</v>
      </c>
      <c r="W34" s="338">
        <v>36.14</v>
      </c>
      <c r="X34" s="339"/>
      <c r="Y34" s="340">
        <v>294</v>
      </c>
      <c r="Z34" s="186">
        <v>34.79</v>
      </c>
      <c r="AA34" s="194"/>
      <c r="AB34" s="336">
        <v>330</v>
      </c>
      <c r="AC34" s="338">
        <v>32.880000000000003</v>
      </c>
      <c r="AD34" s="186"/>
      <c r="AE34" s="336">
        <v>366</v>
      </c>
      <c r="AF34" s="338">
        <v>33.46</v>
      </c>
      <c r="AG34" s="186"/>
      <c r="AH34" s="359">
        <v>402</v>
      </c>
    </row>
    <row r="35" spans="1:34" ht="15">
      <c r="A35" s="340">
        <v>5</v>
      </c>
      <c r="B35" s="186">
        <v>34.29</v>
      </c>
      <c r="D35" s="340">
        <v>41</v>
      </c>
      <c r="E35" s="186">
        <v>34.19</v>
      </c>
      <c r="G35" s="340">
        <v>77</v>
      </c>
      <c r="H35" s="186">
        <v>34.94</v>
      </c>
      <c r="J35" s="340">
        <v>113</v>
      </c>
      <c r="K35" s="186">
        <v>37.82</v>
      </c>
      <c r="L35" s="186"/>
      <c r="M35" s="340">
        <v>149</v>
      </c>
      <c r="N35" s="186">
        <v>31.22</v>
      </c>
      <c r="O35" s="186"/>
      <c r="P35" s="340">
        <v>185</v>
      </c>
      <c r="Q35" s="186">
        <v>33.380000000000003</v>
      </c>
      <c r="R35" s="186"/>
      <c r="S35" s="340">
        <v>221</v>
      </c>
      <c r="T35" s="186">
        <v>33.479999999999997</v>
      </c>
      <c r="U35" s="341"/>
      <c r="V35" s="340">
        <v>257</v>
      </c>
      <c r="W35" s="338">
        <v>35.33</v>
      </c>
      <c r="X35" s="339"/>
      <c r="Y35" s="340">
        <v>293</v>
      </c>
      <c r="Z35" s="186">
        <v>34.090000000000003</v>
      </c>
      <c r="AA35" s="194"/>
      <c r="AB35" s="336">
        <v>329</v>
      </c>
      <c r="AC35" s="338">
        <v>33.18</v>
      </c>
      <c r="AD35" s="186"/>
      <c r="AE35" s="336">
        <v>365</v>
      </c>
      <c r="AF35" s="338">
        <v>33.950000000000003</v>
      </c>
      <c r="AG35" s="186"/>
      <c r="AH35" s="359">
        <v>401</v>
      </c>
    </row>
    <row r="36" spans="1:34" ht="15">
      <c r="A36" s="340">
        <v>4</v>
      </c>
      <c r="B36" s="186">
        <v>34.47</v>
      </c>
      <c r="D36" s="340">
        <v>40</v>
      </c>
      <c r="E36" s="186">
        <v>32.97</v>
      </c>
      <c r="G36" s="340">
        <v>76</v>
      </c>
      <c r="H36" s="186">
        <v>35.590000000000003</v>
      </c>
      <c r="J36" s="340">
        <v>112</v>
      </c>
      <c r="K36" s="186">
        <v>37.369999999999997</v>
      </c>
      <c r="L36" s="186"/>
      <c r="M36" s="340">
        <v>148</v>
      </c>
      <c r="N36" s="186">
        <v>33.21</v>
      </c>
      <c r="O36" s="186"/>
      <c r="P36" s="340">
        <v>184</v>
      </c>
      <c r="Q36" s="186">
        <v>33.380000000000003</v>
      </c>
      <c r="R36" s="186"/>
      <c r="S36" s="340">
        <v>220</v>
      </c>
      <c r="T36" s="186">
        <v>33.03</v>
      </c>
      <c r="U36" s="341"/>
      <c r="V36" s="336">
        <v>256</v>
      </c>
      <c r="W36" s="338">
        <v>34.1</v>
      </c>
      <c r="X36" s="339"/>
      <c r="Y36" s="340">
        <v>292</v>
      </c>
      <c r="Z36" s="186">
        <v>35.1</v>
      </c>
      <c r="AA36" s="194"/>
      <c r="AB36" s="336">
        <v>328</v>
      </c>
      <c r="AC36" s="338">
        <v>33.64</v>
      </c>
      <c r="AD36" s="186"/>
      <c r="AE36" s="336">
        <v>364</v>
      </c>
      <c r="AF36" s="338">
        <v>33.590000000000003</v>
      </c>
      <c r="AG36" s="186"/>
      <c r="AH36" s="359">
        <v>400</v>
      </c>
    </row>
    <row r="37" spans="1:34" ht="15">
      <c r="A37" s="340">
        <v>3</v>
      </c>
      <c r="B37" s="186">
        <v>34.51</v>
      </c>
      <c r="D37" s="340">
        <v>39</v>
      </c>
      <c r="E37" s="186">
        <v>36.840000000000003</v>
      </c>
      <c r="G37" s="340">
        <v>75</v>
      </c>
      <c r="H37" s="186">
        <v>32.24</v>
      </c>
      <c r="J37" s="340">
        <v>111</v>
      </c>
      <c r="K37" s="186">
        <v>35.630000000000003</v>
      </c>
      <c r="L37" s="186"/>
      <c r="M37" s="336">
        <v>147</v>
      </c>
      <c r="N37" s="186">
        <v>33.340000000000003</v>
      </c>
      <c r="O37" s="186"/>
      <c r="P37" s="340">
        <v>183</v>
      </c>
      <c r="Q37" s="186">
        <v>33.01</v>
      </c>
      <c r="R37" s="186"/>
      <c r="S37" s="340">
        <v>219</v>
      </c>
      <c r="T37" s="186">
        <v>32.51</v>
      </c>
      <c r="U37" s="341"/>
      <c r="V37" s="340">
        <v>255</v>
      </c>
      <c r="W37" s="338">
        <v>35.369999999999997</v>
      </c>
      <c r="X37" s="339"/>
      <c r="Y37" s="336">
        <v>291</v>
      </c>
      <c r="Z37" s="186">
        <v>33.1</v>
      </c>
      <c r="AA37" s="194"/>
      <c r="AB37" s="336">
        <v>327</v>
      </c>
      <c r="AC37" s="338">
        <v>33.75</v>
      </c>
      <c r="AD37" s="186"/>
      <c r="AE37" s="336">
        <v>363</v>
      </c>
      <c r="AF37" s="338">
        <v>32.880000000000003</v>
      </c>
      <c r="AG37" s="186"/>
      <c r="AH37" s="359">
        <v>399</v>
      </c>
    </row>
    <row r="38" spans="1:34" ht="15">
      <c r="A38" s="340">
        <v>2</v>
      </c>
      <c r="B38" s="186">
        <v>37.56</v>
      </c>
      <c r="D38" s="340">
        <v>38</v>
      </c>
      <c r="E38" s="186">
        <v>36.22</v>
      </c>
      <c r="G38" s="340">
        <v>74</v>
      </c>
      <c r="H38" s="186">
        <v>35.450000000000003</v>
      </c>
      <c r="J38" s="340">
        <v>110</v>
      </c>
      <c r="K38" s="186">
        <v>37.049999999999997</v>
      </c>
      <c r="L38" s="186"/>
      <c r="M38" s="336">
        <v>146</v>
      </c>
      <c r="N38" s="186">
        <v>34.020000000000003</v>
      </c>
      <c r="O38" s="186"/>
      <c r="P38" s="340">
        <v>182</v>
      </c>
      <c r="Q38" s="186">
        <v>33.049999999999997</v>
      </c>
      <c r="R38" s="186"/>
      <c r="S38" s="340">
        <v>218</v>
      </c>
      <c r="T38" s="186">
        <v>33.200000000000003</v>
      </c>
      <c r="U38" s="337"/>
      <c r="V38" s="336">
        <v>254</v>
      </c>
      <c r="W38" s="338">
        <v>34.61</v>
      </c>
      <c r="X38" s="339"/>
      <c r="Y38" s="336">
        <v>290</v>
      </c>
      <c r="Z38" s="186">
        <v>35.32</v>
      </c>
      <c r="AA38" s="194"/>
      <c r="AB38" s="336">
        <v>326</v>
      </c>
      <c r="AC38" s="338">
        <v>31</v>
      </c>
      <c r="AD38" s="186"/>
      <c r="AE38" s="336">
        <v>362</v>
      </c>
      <c r="AF38" s="338">
        <v>31.5</v>
      </c>
      <c r="AG38" s="186"/>
      <c r="AH38" s="359">
        <v>398</v>
      </c>
    </row>
    <row r="39" spans="1:34" ht="15">
      <c r="A39" s="340">
        <v>1</v>
      </c>
      <c r="B39" s="186">
        <v>33.86</v>
      </c>
      <c r="D39" s="340">
        <v>37</v>
      </c>
      <c r="E39" s="186">
        <v>34.85</v>
      </c>
      <c r="G39" s="340">
        <v>73</v>
      </c>
      <c r="H39" s="186">
        <v>37.15</v>
      </c>
      <c r="J39" s="340">
        <v>109</v>
      </c>
      <c r="K39" s="186">
        <v>38.81</v>
      </c>
      <c r="L39" s="186"/>
      <c r="M39" s="340">
        <v>145</v>
      </c>
      <c r="N39" s="186">
        <v>35.75</v>
      </c>
      <c r="O39" s="186"/>
      <c r="P39" s="340">
        <v>181</v>
      </c>
      <c r="Q39" s="186">
        <v>33.229999999999997</v>
      </c>
      <c r="R39" s="186"/>
      <c r="S39" s="340">
        <v>217</v>
      </c>
      <c r="T39" s="186">
        <v>33.020000000000003</v>
      </c>
      <c r="U39" s="337"/>
      <c r="V39" s="340">
        <v>253</v>
      </c>
      <c r="W39" s="338">
        <v>32.659999999999997</v>
      </c>
      <c r="X39" s="339"/>
      <c r="Y39" s="336">
        <v>289</v>
      </c>
      <c r="Z39" s="338">
        <v>35.82</v>
      </c>
      <c r="AA39" s="194"/>
      <c r="AB39" s="336">
        <v>325</v>
      </c>
      <c r="AC39" s="338">
        <v>33.4</v>
      </c>
      <c r="AD39" s="186"/>
      <c r="AE39" s="336">
        <v>361</v>
      </c>
      <c r="AF39" s="338">
        <v>33.450000000000003</v>
      </c>
      <c r="AG39" s="186"/>
      <c r="AH39" s="359">
        <v>397</v>
      </c>
    </row>
    <row r="40" spans="1:34" ht="15.75" thickBot="1">
      <c r="A40" s="337"/>
      <c r="B40" s="186"/>
      <c r="D40" s="337"/>
      <c r="E40" s="186"/>
      <c r="G40" s="337"/>
      <c r="H40" s="186"/>
      <c r="J40" s="342"/>
      <c r="K40" s="186"/>
      <c r="L40" s="186"/>
      <c r="M40" s="343"/>
      <c r="N40" s="186"/>
      <c r="O40" s="186"/>
      <c r="Q40" s="342"/>
      <c r="R40" s="186"/>
      <c r="U40" s="341"/>
      <c r="V40" s="186"/>
      <c r="Z40" s="186"/>
      <c r="AC40" s="342"/>
      <c r="AD40" s="186"/>
      <c r="AG40" s="186"/>
    </row>
    <row r="41" spans="1:34" ht="15.75" thickBot="1">
      <c r="A41" s="344" t="s">
        <v>178</v>
      </c>
      <c r="B41" s="345">
        <f>SUM(B4:B39)</f>
        <v>1257.9199999999998</v>
      </c>
      <c r="D41" s="344" t="s">
        <v>178</v>
      </c>
      <c r="E41" s="345">
        <f>SUM(E4:E39)</f>
        <v>1184.7199999999998</v>
      </c>
      <c r="G41" s="344" t="s">
        <v>178</v>
      </c>
      <c r="H41" s="345">
        <f>SUM(H4:H40)</f>
        <v>1304.5400000000002</v>
      </c>
      <c r="J41" s="344" t="s">
        <v>178</v>
      </c>
      <c r="K41" s="345">
        <f>SUM(K4:K40)</f>
        <v>1279.45</v>
      </c>
      <c r="L41" s="186"/>
      <c r="M41" s="344" t="s">
        <v>178</v>
      </c>
      <c r="N41" s="345">
        <f>SUM(N4:N40)</f>
        <v>1194.19</v>
      </c>
      <c r="O41" s="186"/>
      <c r="P41" s="344" t="s">
        <v>178</v>
      </c>
      <c r="Q41" s="345">
        <f>SUM(Q4:Q39)</f>
        <v>1185.5400000000002</v>
      </c>
      <c r="S41" s="344" t="s">
        <v>178</v>
      </c>
      <c r="T41" s="345">
        <f>SUM(T4:T39)</f>
        <v>1194.1900000000003</v>
      </c>
      <c r="V41" s="344" t="s">
        <v>178</v>
      </c>
      <c r="W41" s="345">
        <f>SUM(W4:W39)</f>
        <v>1245.9499999999998</v>
      </c>
      <c r="Y41" s="344" t="s">
        <v>178</v>
      </c>
      <c r="Z41" s="345">
        <f>SUM(Z4:Z40)</f>
        <v>1213.3199999999997</v>
      </c>
      <c r="AB41" s="344" t="s">
        <v>178</v>
      </c>
      <c r="AC41" s="345">
        <f>SUM(AC4:AC39)</f>
        <v>1188.2900000000004</v>
      </c>
      <c r="AD41" s="186"/>
      <c r="AE41" s="344" t="s">
        <v>178</v>
      </c>
      <c r="AF41" s="345">
        <f>SUM(AF4:AF39)</f>
        <v>893.91000000000008</v>
      </c>
      <c r="AG41" s="186"/>
    </row>
    <row r="42" spans="1:34" ht="15">
      <c r="A42" s="337"/>
      <c r="B42" s="186"/>
      <c r="D42" s="337"/>
      <c r="E42" s="186"/>
      <c r="G42" s="337"/>
      <c r="H42" s="186"/>
      <c r="J42" s="342"/>
      <c r="K42" s="186"/>
      <c r="L42" s="186"/>
      <c r="M42" s="186"/>
      <c r="N42" s="186"/>
      <c r="O42" s="186"/>
      <c r="P42" s="186"/>
      <c r="Q42" s="186"/>
      <c r="S42" s="342"/>
      <c r="T42" s="186"/>
      <c r="W42" s="341"/>
      <c r="X42" s="186"/>
      <c r="AE42" s="342"/>
      <c r="AF42" s="186"/>
      <c r="AH42" s="342"/>
    </row>
    <row r="43" spans="1:34" ht="15.75" thickBot="1">
      <c r="A43" s="337"/>
      <c r="B43" s="186"/>
      <c r="D43" s="337"/>
      <c r="E43" s="186"/>
      <c r="G43" s="337"/>
      <c r="H43" s="186"/>
      <c r="J43" s="342"/>
      <c r="K43" s="186"/>
      <c r="L43" s="186"/>
      <c r="M43" s="186"/>
      <c r="N43" s="186"/>
      <c r="O43" s="186"/>
      <c r="P43" s="186"/>
      <c r="Q43" s="186"/>
      <c r="S43" s="342"/>
      <c r="T43" s="186"/>
      <c r="W43" s="341"/>
      <c r="X43" s="186"/>
      <c r="AE43" s="342"/>
      <c r="AF43" s="186"/>
      <c r="AH43" s="342"/>
    </row>
    <row r="44" spans="1:34" ht="15.75" thickBot="1">
      <c r="A44" s="337"/>
      <c r="B44" s="337"/>
      <c r="C44" s="337"/>
      <c r="D44" s="337"/>
      <c r="E44" s="337"/>
      <c r="F44" s="337"/>
      <c r="G44" s="337"/>
      <c r="H44" s="337"/>
      <c r="J44" s="342"/>
      <c r="K44" s="186"/>
      <c r="L44" s="186"/>
      <c r="M44" s="186"/>
      <c r="N44" s="186"/>
      <c r="O44" s="186"/>
      <c r="P44" s="186"/>
      <c r="Q44" s="186"/>
      <c r="S44" s="582" t="s">
        <v>179</v>
      </c>
      <c r="T44" s="583"/>
      <c r="U44" s="583"/>
      <c r="V44" s="583"/>
      <c r="W44" s="584"/>
      <c r="X44" s="585">
        <f>B41+E41+H41+K41+N41+Q41+T41+W41+Z41+AC41+AF41</f>
        <v>13142.02</v>
      </c>
      <c r="Y44" s="586"/>
      <c r="Z44" s="186"/>
      <c r="AA44" s="186"/>
      <c r="AB44" s="186"/>
      <c r="AE44" s="342"/>
      <c r="AF44" s="186"/>
      <c r="AH44" s="342"/>
    </row>
    <row r="45" spans="1:34" ht="15">
      <c r="A45" s="337"/>
      <c r="B45" s="337"/>
      <c r="C45" s="337"/>
      <c r="D45" s="337"/>
      <c r="E45" s="337"/>
      <c r="F45" s="337"/>
      <c r="G45" s="337"/>
      <c r="H45" s="337"/>
      <c r="J45" s="342"/>
      <c r="K45" s="186"/>
      <c r="L45" s="186"/>
      <c r="M45" s="186"/>
      <c r="N45" s="186"/>
      <c r="O45" s="186"/>
      <c r="P45" s="186"/>
      <c r="Q45" s="186"/>
      <c r="S45" s="337"/>
      <c r="T45" s="337"/>
      <c r="U45" s="337"/>
      <c r="V45" s="337"/>
      <c r="W45" s="337"/>
      <c r="X45" s="186"/>
      <c r="Y45" s="186"/>
      <c r="Z45" s="186"/>
      <c r="AA45" s="186"/>
      <c r="AB45" s="186"/>
      <c r="AE45" s="342"/>
      <c r="AF45" s="186"/>
      <c r="AH45" s="342"/>
    </row>
    <row r="46" spans="1:34" ht="15">
      <c r="A46" s="337"/>
      <c r="B46" s="337"/>
      <c r="C46" s="337"/>
      <c r="D46" s="337"/>
      <c r="E46" s="337"/>
      <c r="F46" s="337"/>
      <c r="G46" s="337"/>
      <c r="H46" s="337"/>
      <c r="J46" s="342"/>
      <c r="K46" s="186"/>
      <c r="L46" s="186"/>
      <c r="M46" s="186"/>
      <c r="N46" s="186"/>
      <c r="O46" s="186"/>
      <c r="P46" s="186"/>
      <c r="Q46" s="186"/>
      <c r="S46" s="337"/>
      <c r="T46" s="337"/>
      <c r="U46" s="337"/>
      <c r="V46" s="337"/>
      <c r="W46" s="337"/>
      <c r="X46" s="186"/>
      <c r="Y46" s="186"/>
      <c r="Z46" s="186"/>
      <c r="AA46" s="186"/>
      <c r="AB46" s="186"/>
      <c r="AE46" s="342"/>
      <c r="AF46" s="186"/>
      <c r="AH46" s="342"/>
    </row>
    <row r="47" spans="1:34" ht="15">
      <c r="A47" s="337"/>
      <c r="B47" s="337"/>
      <c r="C47" s="337"/>
      <c r="D47" s="337"/>
      <c r="E47" s="337"/>
      <c r="F47" s="337"/>
      <c r="G47" s="337"/>
      <c r="H47" s="337"/>
      <c r="J47" s="342"/>
      <c r="K47" s="186"/>
      <c r="L47" s="186"/>
      <c r="M47" s="186"/>
      <c r="N47" s="186"/>
      <c r="O47" s="186"/>
      <c r="P47" s="186"/>
      <c r="Q47" s="186"/>
      <c r="S47" s="337"/>
      <c r="T47" s="337"/>
      <c r="U47" s="337"/>
      <c r="V47" s="337"/>
      <c r="W47" s="337"/>
      <c r="X47" s="186"/>
      <c r="Y47" s="186"/>
      <c r="Z47" s="186"/>
      <c r="AA47" s="186"/>
      <c r="AB47" s="186"/>
      <c r="AE47" s="342"/>
      <c r="AF47" s="186"/>
      <c r="AH47" s="342"/>
    </row>
    <row r="48" spans="1:34" ht="15.75" thickBot="1">
      <c r="A48" s="337"/>
      <c r="B48" s="337"/>
      <c r="C48" s="337"/>
      <c r="D48" s="337"/>
      <c r="E48" s="337"/>
      <c r="F48" s="337"/>
      <c r="G48" s="337"/>
      <c r="H48" s="337"/>
      <c r="J48" s="342"/>
      <c r="K48" s="186"/>
      <c r="L48" s="186"/>
      <c r="M48" s="186"/>
      <c r="N48" s="186"/>
      <c r="O48" s="186"/>
      <c r="P48" s="186"/>
      <c r="Q48" s="186"/>
      <c r="S48" s="342"/>
      <c r="T48" s="186"/>
      <c r="W48" s="341"/>
      <c r="X48" s="186"/>
      <c r="AE48" s="342"/>
      <c r="AF48" s="186"/>
      <c r="AH48" s="342"/>
    </row>
    <row r="49" spans="1:34" ht="15.75" thickBot="1">
      <c r="A49" s="564" t="s">
        <v>180</v>
      </c>
      <c r="B49" s="565"/>
      <c r="C49" s="337"/>
      <c r="D49" s="564" t="s">
        <v>181</v>
      </c>
      <c r="E49" s="565"/>
      <c r="F49" s="342"/>
      <c r="G49" s="564" t="s">
        <v>182</v>
      </c>
      <c r="H49" s="565"/>
      <c r="I49" s="342"/>
      <c r="J49" s="342"/>
      <c r="K49" s="564" t="s">
        <v>183</v>
      </c>
      <c r="L49" s="587"/>
      <c r="M49" s="587"/>
      <c r="N49" s="565"/>
      <c r="O49" s="186"/>
      <c r="P49" s="186"/>
      <c r="Q49" s="186"/>
      <c r="S49" s="342"/>
      <c r="T49" s="186"/>
      <c r="W49" s="342"/>
      <c r="X49" s="342"/>
      <c r="Y49" s="342"/>
      <c r="Z49" s="342"/>
      <c r="AA49" s="342"/>
      <c r="AB49" s="342"/>
      <c r="AC49" s="342"/>
      <c r="AD49" s="342"/>
      <c r="AE49" s="342"/>
      <c r="AF49" s="342"/>
      <c r="AH49" s="342"/>
    </row>
    <row r="50" spans="1:34" ht="15.75" thickBot="1">
      <c r="A50" s="346" t="s">
        <v>184</v>
      </c>
      <c r="B50" s="347">
        <v>6.22</v>
      </c>
      <c r="D50" s="346" t="s">
        <v>184</v>
      </c>
      <c r="E50" s="348">
        <v>10.18</v>
      </c>
      <c r="G50" s="346" t="s">
        <v>185</v>
      </c>
      <c r="H50" s="347"/>
      <c r="J50" s="342"/>
      <c r="K50" s="186"/>
      <c r="L50" s="186"/>
      <c r="M50" s="186"/>
      <c r="N50" s="186"/>
      <c r="O50" s="186"/>
      <c r="P50" s="186"/>
      <c r="Q50" s="186"/>
      <c r="S50" s="342"/>
      <c r="T50" s="186"/>
      <c r="W50" s="341"/>
      <c r="X50" s="186"/>
      <c r="AE50" s="342"/>
      <c r="AF50" s="186"/>
      <c r="AH50" s="342"/>
    </row>
    <row r="51" spans="1:34" ht="15.75" thickBot="1">
      <c r="A51" s="346" t="s">
        <v>184</v>
      </c>
      <c r="B51" s="349">
        <v>6.15</v>
      </c>
      <c r="D51" s="346" t="s">
        <v>184</v>
      </c>
      <c r="E51" s="348">
        <v>10.56</v>
      </c>
      <c r="G51" s="340" t="s">
        <v>186</v>
      </c>
      <c r="H51" s="348"/>
      <c r="I51" s="186"/>
      <c r="J51" s="186"/>
      <c r="K51" s="570" t="s">
        <v>187</v>
      </c>
      <c r="L51" s="573" t="s">
        <v>188</v>
      </c>
      <c r="M51" s="574"/>
      <c r="N51" s="347"/>
      <c r="O51" s="186"/>
      <c r="P51" s="186"/>
      <c r="Q51" s="186"/>
      <c r="S51" s="342"/>
      <c r="T51" s="186"/>
      <c r="W51" s="341"/>
      <c r="X51" s="186"/>
      <c r="AE51" s="342"/>
      <c r="AF51" s="186"/>
      <c r="AH51" s="342"/>
    </row>
    <row r="52" spans="1:34" ht="15.75" thickBot="1">
      <c r="A52" s="346" t="s">
        <v>184</v>
      </c>
      <c r="B52" s="348">
        <v>8.61</v>
      </c>
      <c r="D52" s="346" t="s">
        <v>184</v>
      </c>
      <c r="E52" s="348">
        <v>10.55</v>
      </c>
      <c r="G52" s="340" t="s">
        <v>189</v>
      </c>
      <c r="H52" s="348"/>
      <c r="I52" s="186"/>
      <c r="J52" s="186"/>
      <c r="K52" s="571"/>
      <c r="L52" s="573" t="s">
        <v>190</v>
      </c>
      <c r="M52" s="574"/>
      <c r="N52" s="350"/>
      <c r="O52" s="186"/>
      <c r="P52" s="186"/>
      <c r="Q52" s="186"/>
      <c r="S52" s="342"/>
      <c r="T52" s="186"/>
      <c r="W52" s="341"/>
      <c r="X52" s="186"/>
      <c r="AE52" s="342"/>
      <c r="AF52" s="186"/>
      <c r="AH52" s="342"/>
    </row>
    <row r="53" spans="1:34" ht="15.75" thickBot="1">
      <c r="A53" s="346" t="s">
        <v>184</v>
      </c>
      <c r="B53" s="348">
        <v>8.67</v>
      </c>
      <c r="D53" s="346" t="s">
        <v>184</v>
      </c>
      <c r="E53" s="348">
        <v>10.57</v>
      </c>
      <c r="G53" s="340" t="s">
        <v>191</v>
      </c>
      <c r="H53" s="348"/>
      <c r="J53" s="342"/>
      <c r="K53" s="572"/>
      <c r="L53" s="575"/>
      <c r="M53" s="576"/>
      <c r="N53" s="577"/>
      <c r="O53" s="186"/>
      <c r="P53" s="186"/>
      <c r="Q53" s="186"/>
      <c r="S53" s="342"/>
      <c r="T53" s="186"/>
      <c r="W53" s="341"/>
      <c r="X53" s="186"/>
      <c r="AE53" s="342"/>
      <c r="AF53" s="186"/>
      <c r="AH53" s="342"/>
    </row>
    <row r="54" spans="1:34" ht="15.75" thickBot="1">
      <c r="A54" s="346" t="s">
        <v>184</v>
      </c>
      <c r="B54" s="348">
        <v>15.2</v>
      </c>
      <c r="C54" s="337"/>
      <c r="D54" s="346" t="s">
        <v>184</v>
      </c>
      <c r="E54" s="348">
        <v>6.17</v>
      </c>
      <c r="G54" s="340"/>
      <c r="H54" s="348"/>
      <c r="J54" s="342"/>
      <c r="K54" s="342"/>
      <c r="L54" s="342"/>
      <c r="M54" s="342"/>
      <c r="N54" s="342"/>
      <c r="O54" s="186"/>
      <c r="P54" s="186"/>
      <c r="Q54" s="186"/>
      <c r="S54" s="342"/>
      <c r="T54" s="186"/>
      <c r="W54" s="341"/>
      <c r="X54" s="186"/>
      <c r="AE54" s="342"/>
      <c r="AF54" s="186"/>
      <c r="AH54" s="342"/>
    </row>
    <row r="55" spans="1:34" ht="15.75" thickBot="1">
      <c r="A55" s="346" t="s">
        <v>184</v>
      </c>
      <c r="B55" s="348">
        <v>20.22</v>
      </c>
      <c r="D55" s="346" t="s">
        <v>184</v>
      </c>
      <c r="E55" s="348">
        <v>6.11</v>
      </c>
      <c r="G55" s="351"/>
      <c r="H55" s="350"/>
      <c r="J55" s="342"/>
      <c r="K55" s="566" t="s">
        <v>192</v>
      </c>
      <c r="L55" s="560" t="s">
        <v>193</v>
      </c>
      <c r="M55" s="562"/>
      <c r="N55" s="352"/>
      <c r="O55" s="186"/>
      <c r="P55" s="186"/>
      <c r="Q55" s="186"/>
      <c r="S55" s="342"/>
      <c r="T55" s="186"/>
      <c r="W55" s="341"/>
      <c r="X55" s="186"/>
      <c r="AE55" s="342"/>
      <c r="AF55" s="186"/>
      <c r="AH55" s="342"/>
    </row>
    <row r="56" spans="1:34" ht="15.75" thickBot="1">
      <c r="A56" s="337"/>
      <c r="B56" s="186"/>
      <c r="D56" s="346" t="s">
        <v>184</v>
      </c>
      <c r="E56" s="348">
        <v>5.81</v>
      </c>
      <c r="F56" s="186"/>
      <c r="G56" s="186"/>
      <c r="H56" s="186"/>
      <c r="I56" s="186"/>
      <c r="J56" s="342"/>
      <c r="K56" s="567"/>
      <c r="L56" s="560" t="s">
        <v>194</v>
      </c>
      <c r="M56" s="562"/>
      <c r="N56" s="352"/>
      <c r="O56" s="186"/>
      <c r="P56" s="186"/>
      <c r="Q56" s="186"/>
      <c r="S56" s="342"/>
      <c r="T56" s="186"/>
      <c r="W56" s="341"/>
      <c r="X56" s="186"/>
      <c r="AE56" s="342"/>
      <c r="AF56" s="186"/>
      <c r="AH56" s="342"/>
    </row>
    <row r="57" spans="1:34" ht="15.75" thickBot="1">
      <c r="A57" s="337"/>
      <c r="B57" s="186"/>
      <c r="D57" s="346" t="s">
        <v>184</v>
      </c>
      <c r="E57" s="348">
        <v>5.48</v>
      </c>
      <c r="G57" s="344" t="s">
        <v>178</v>
      </c>
      <c r="H57" s="345">
        <f>SUM(H50:H55)</f>
        <v>0</v>
      </c>
      <c r="J57" s="342"/>
      <c r="K57" s="567"/>
      <c r="L57" s="560" t="s">
        <v>195</v>
      </c>
      <c r="M57" s="562"/>
      <c r="N57" s="352"/>
      <c r="O57" s="186"/>
      <c r="P57" s="186"/>
      <c r="Q57" s="186"/>
      <c r="S57" s="342"/>
      <c r="T57" s="186"/>
      <c r="W57" s="341"/>
      <c r="X57" s="186"/>
      <c r="AE57" s="342"/>
      <c r="AF57" s="186"/>
      <c r="AH57" s="342"/>
    </row>
    <row r="58" spans="1:34" ht="15.75" thickBot="1">
      <c r="A58" s="337"/>
      <c r="B58" s="186"/>
      <c r="D58" s="346" t="s">
        <v>184</v>
      </c>
      <c r="E58" s="348">
        <v>5.25</v>
      </c>
      <c r="G58" s="337"/>
      <c r="H58" s="186"/>
      <c r="J58" s="342"/>
      <c r="K58" s="567"/>
      <c r="L58" s="560" t="s">
        <v>196</v>
      </c>
      <c r="M58" s="562"/>
      <c r="N58" s="352"/>
      <c r="O58" s="186"/>
      <c r="P58" s="186"/>
      <c r="Q58" s="186"/>
      <c r="S58" s="342"/>
      <c r="T58" s="186"/>
      <c r="W58" s="341"/>
      <c r="X58" s="186"/>
      <c r="AE58" s="342"/>
      <c r="AF58" s="186"/>
      <c r="AH58" s="342"/>
    </row>
    <row r="59" spans="1:34" ht="15.75" thickBot="1">
      <c r="A59" s="337"/>
      <c r="B59" s="186"/>
      <c r="D59" s="346" t="s">
        <v>184</v>
      </c>
      <c r="E59" s="348">
        <v>5</v>
      </c>
      <c r="G59" s="564" t="s">
        <v>181</v>
      </c>
      <c r="H59" s="565"/>
      <c r="J59" s="342"/>
      <c r="K59" s="568"/>
      <c r="L59" s="560" t="s">
        <v>197</v>
      </c>
      <c r="M59" s="562"/>
      <c r="N59" s="353"/>
      <c r="O59" s="186"/>
      <c r="P59" s="186"/>
      <c r="Q59" s="186"/>
      <c r="S59" s="342"/>
      <c r="T59" s="186"/>
      <c r="W59" s="341"/>
      <c r="X59" s="186"/>
      <c r="AE59" s="342"/>
      <c r="AF59" s="186"/>
      <c r="AH59" s="342"/>
    </row>
    <row r="60" spans="1:34" ht="15.75" thickBot="1">
      <c r="A60" s="337"/>
      <c r="B60" s="186"/>
      <c r="D60" s="346" t="s">
        <v>184</v>
      </c>
      <c r="E60" s="348">
        <v>3.52</v>
      </c>
      <c r="G60" s="346" t="s">
        <v>198</v>
      </c>
      <c r="H60" s="347"/>
      <c r="J60" s="342"/>
      <c r="K60" s="560"/>
      <c r="L60" s="561"/>
      <c r="M60" s="561"/>
      <c r="N60" s="562"/>
      <c r="O60" s="186"/>
      <c r="P60" s="186"/>
      <c r="Q60" s="186"/>
      <c r="S60" s="342"/>
      <c r="T60" s="186"/>
      <c r="W60" s="341"/>
      <c r="X60" s="186"/>
      <c r="AE60" s="342"/>
      <c r="AF60" s="186"/>
      <c r="AH60" s="342"/>
    </row>
    <row r="61" spans="1:34" ht="15.75" thickBot="1">
      <c r="A61" s="337"/>
      <c r="B61" s="186"/>
      <c r="D61" s="346" t="s">
        <v>184</v>
      </c>
      <c r="E61" s="348">
        <v>3.1</v>
      </c>
      <c r="G61" s="346" t="s">
        <v>199</v>
      </c>
      <c r="H61" s="348"/>
      <c r="J61" s="342"/>
      <c r="K61" s="186"/>
      <c r="L61" s="186"/>
      <c r="M61" s="186"/>
      <c r="N61" s="186"/>
      <c r="O61" s="186"/>
      <c r="P61" s="186"/>
      <c r="Q61" s="186"/>
      <c r="S61" s="342"/>
      <c r="T61" s="186"/>
      <c r="W61" s="341"/>
      <c r="X61" s="186"/>
      <c r="AE61" s="342"/>
      <c r="AF61" s="186"/>
      <c r="AH61" s="342"/>
    </row>
    <row r="62" spans="1:34" ht="15.75" thickBot="1">
      <c r="A62" s="337"/>
      <c r="B62" s="186"/>
      <c r="D62" s="346" t="s">
        <v>184</v>
      </c>
      <c r="E62" s="353">
        <v>3.16</v>
      </c>
      <c r="G62" s="346" t="s">
        <v>200</v>
      </c>
      <c r="H62" s="348"/>
      <c r="J62" s="342"/>
      <c r="K62" s="566" t="s">
        <v>201</v>
      </c>
      <c r="L62" s="561" t="s">
        <v>193</v>
      </c>
      <c r="M62" s="562"/>
      <c r="N62" s="352"/>
      <c r="O62" s="186"/>
      <c r="P62" s="186"/>
      <c r="Q62" s="186"/>
      <c r="S62" s="342"/>
      <c r="T62" s="186"/>
      <c r="W62" s="341"/>
      <c r="X62" s="186"/>
      <c r="AE62" s="342"/>
      <c r="AF62" s="186"/>
      <c r="AH62" s="342"/>
    </row>
    <row r="63" spans="1:34" ht="15.75" thickBot="1">
      <c r="A63" s="337"/>
      <c r="B63" s="186"/>
      <c r="D63" s="337"/>
      <c r="E63" s="18"/>
      <c r="G63" s="337"/>
      <c r="H63" s="186"/>
      <c r="J63" s="342"/>
      <c r="K63" s="567"/>
      <c r="L63" s="561" t="s">
        <v>194</v>
      </c>
      <c r="M63" s="562"/>
      <c r="N63" s="352"/>
      <c r="O63" s="186"/>
      <c r="P63" s="186"/>
      <c r="Q63" s="186"/>
      <c r="S63" s="342"/>
      <c r="T63" s="186"/>
      <c r="W63" s="341"/>
      <c r="X63" s="186"/>
      <c r="AE63" s="342"/>
      <c r="AF63" s="186"/>
      <c r="AH63" s="342"/>
    </row>
    <row r="64" spans="1:34" ht="15.75" thickBot="1">
      <c r="A64" s="337"/>
      <c r="B64" s="186"/>
      <c r="D64" s="337"/>
      <c r="E64" s="569" t="s">
        <v>202</v>
      </c>
      <c r="F64" s="569"/>
      <c r="G64" s="569"/>
      <c r="H64" s="569"/>
      <c r="I64" s="569"/>
      <c r="J64" s="342"/>
      <c r="K64" s="567"/>
      <c r="L64" s="561" t="s">
        <v>195</v>
      </c>
      <c r="M64" s="562"/>
      <c r="N64" s="352"/>
      <c r="O64" s="186"/>
      <c r="P64" s="186"/>
      <c r="Q64" s="186"/>
      <c r="S64" s="342"/>
      <c r="T64" s="186"/>
      <c r="W64" s="341"/>
      <c r="X64" s="186"/>
      <c r="AE64" s="342"/>
      <c r="AF64" s="186"/>
      <c r="AH64" s="342"/>
    </row>
    <row r="65" spans="1:34" ht="15.75" thickBot="1">
      <c r="A65" s="337"/>
      <c r="B65" s="186"/>
      <c r="D65" s="337"/>
      <c r="E65" s="186"/>
      <c r="G65" s="340" t="s">
        <v>186</v>
      </c>
      <c r="H65" s="348"/>
      <c r="J65" s="342"/>
      <c r="K65" s="567"/>
      <c r="L65" s="560" t="s">
        <v>196</v>
      </c>
      <c r="M65" s="561"/>
      <c r="N65" s="352"/>
      <c r="O65" s="186"/>
      <c r="P65" s="186"/>
      <c r="Q65" s="186"/>
      <c r="S65" s="342"/>
      <c r="T65" s="186"/>
      <c r="W65" s="341"/>
      <c r="X65" s="186"/>
      <c r="AE65" s="342"/>
      <c r="AF65" s="186"/>
      <c r="AH65" s="342"/>
    </row>
    <row r="66" spans="1:34" ht="15.75" thickBot="1">
      <c r="A66" s="337"/>
      <c r="B66" s="186"/>
      <c r="D66" s="337"/>
      <c r="E66" s="186"/>
      <c r="G66" s="340" t="s">
        <v>191</v>
      </c>
      <c r="H66" s="348"/>
      <c r="J66" s="342"/>
      <c r="K66" s="568"/>
      <c r="L66" s="560" t="s">
        <v>197</v>
      </c>
      <c r="M66" s="561"/>
      <c r="N66" s="353"/>
      <c r="O66" s="186"/>
      <c r="P66" s="186"/>
      <c r="Q66" s="186"/>
      <c r="S66" s="342"/>
      <c r="T66" s="186"/>
      <c r="W66" s="341"/>
      <c r="X66" s="186"/>
      <c r="AE66" s="342"/>
      <c r="AF66" s="186"/>
      <c r="AH66" s="342"/>
    </row>
    <row r="67" spans="1:34" ht="15.75" thickBot="1">
      <c r="A67" s="337"/>
      <c r="B67" s="186"/>
      <c r="D67" s="337"/>
      <c r="E67" s="186"/>
      <c r="G67" s="346" t="s">
        <v>200</v>
      </c>
      <c r="H67" s="348"/>
      <c r="J67" s="342"/>
      <c r="K67" s="560"/>
      <c r="L67" s="561"/>
      <c r="M67" s="561"/>
      <c r="N67" s="562"/>
      <c r="O67" s="186"/>
      <c r="P67" s="186"/>
      <c r="Q67" s="186"/>
      <c r="S67" s="342"/>
      <c r="T67" s="186"/>
      <c r="W67" s="341"/>
      <c r="X67" s="186"/>
      <c r="AE67" s="342"/>
      <c r="AF67" s="186"/>
      <c r="AH67" s="342"/>
    </row>
    <row r="68" spans="1:34" ht="15">
      <c r="A68" s="337"/>
      <c r="B68" s="18"/>
      <c r="D68" s="337"/>
      <c r="E68" s="563" t="s">
        <v>203</v>
      </c>
      <c r="F68" s="563"/>
      <c r="G68" s="563"/>
      <c r="H68" s="345">
        <f>(H65-0.32)+(H66-0.32)+(H62-0.32)</f>
        <v>-0.96</v>
      </c>
      <c r="J68" s="342"/>
      <c r="K68" s="186"/>
      <c r="L68" s="186"/>
      <c r="M68" s="186"/>
      <c r="N68" s="186"/>
      <c r="O68" s="186"/>
      <c r="P68" s="186"/>
      <c r="Q68" s="186"/>
      <c r="S68" s="342"/>
      <c r="T68" s="186"/>
      <c r="W68" s="341"/>
      <c r="X68" s="186"/>
      <c r="AE68" s="342"/>
      <c r="AF68" s="186"/>
      <c r="AH68" s="342"/>
    </row>
    <row r="69" spans="1:34" ht="15">
      <c r="A69" s="18"/>
      <c r="B69" s="18"/>
      <c r="D69" s="337"/>
      <c r="E69" s="186"/>
      <c r="G69" s="337"/>
      <c r="H69" s="186"/>
      <c r="J69" s="342"/>
      <c r="K69" s="186"/>
      <c r="L69" s="186"/>
      <c r="M69" s="186"/>
      <c r="N69" s="186"/>
      <c r="O69" s="186"/>
      <c r="P69" s="186"/>
      <c r="Q69" s="186"/>
      <c r="S69" s="342"/>
      <c r="T69" s="186"/>
      <c r="W69" s="341"/>
      <c r="X69" s="186"/>
      <c r="AE69" s="342"/>
      <c r="AF69" s="186"/>
      <c r="AH69" s="342"/>
    </row>
    <row r="70" spans="1:34" ht="15">
      <c r="A70" s="18"/>
      <c r="B70" s="18"/>
      <c r="D70" s="337"/>
      <c r="E70" s="186"/>
      <c r="G70" s="337"/>
      <c r="H70" s="186"/>
      <c r="J70" s="342"/>
      <c r="K70" s="186"/>
      <c r="L70" s="186"/>
      <c r="M70" s="186"/>
      <c r="N70" s="186"/>
      <c r="O70" s="186"/>
      <c r="P70" s="186"/>
      <c r="Q70" s="186"/>
      <c r="S70" s="342"/>
      <c r="T70" s="186"/>
      <c r="W70" s="341"/>
      <c r="X70" s="186"/>
      <c r="AE70" s="342"/>
      <c r="AF70" s="186"/>
      <c r="AH70" s="342"/>
    </row>
    <row r="71" spans="1:34" ht="15">
      <c r="A71" s="337"/>
      <c r="B71" s="186"/>
      <c r="D71" s="337"/>
      <c r="E71" s="186"/>
      <c r="G71" s="337"/>
      <c r="H71" s="186"/>
      <c r="J71" s="342"/>
      <c r="K71" s="186"/>
      <c r="L71" s="186"/>
      <c r="M71" s="186"/>
      <c r="N71" s="186"/>
      <c r="O71" s="186"/>
      <c r="P71" s="186"/>
      <c r="Q71" s="186"/>
      <c r="S71" s="342"/>
      <c r="T71" s="186"/>
      <c r="W71" s="341"/>
      <c r="X71" s="186"/>
      <c r="AE71" s="342"/>
      <c r="AF71" s="186"/>
      <c r="AH71" s="342"/>
    </row>
    <row r="72" spans="1:34" ht="15">
      <c r="A72" s="337"/>
      <c r="B72" s="186"/>
      <c r="D72" s="337"/>
      <c r="E72" s="186"/>
      <c r="G72" s="337"/>
      <c r="H72" s="186"/>
      <c r="J72" s="342"/>
      <c r="K72" s="186"/>
      <c r="L72" s="186"/>
      <c r="M72" s="186"/>
      <c r="N72" s="186"/>
      <c r="O72" s="186"/>
      <c r="P72" s="186"/>
      <c r="Q72" s="186"/>
      <c r="S72" s="342"/>
      <c r="T72" s="186"/>
      <c r="W72" s="341"/>
      <c r="X72" s="186"/>
      <c r="AE72" s="342"/>
      <c r="AF72" s="186"/>
      <c r="AH72" s="342"/>
    </row>
    <row r="73" spans="1:34" ht="15.75" thickBot="1">
      <c r="A73" s="337"/>
      <c r="B73" s="186"/>
      <c r="D73" s="337"/>
      <c r="E73" s="186"/>
      <c r="G73" s="337"/>
      <c r="H73" s="186"/>
      <c r="J73" s="342"/>
      <c r="K73" s="186"/>
      <c r="L73" s="186"/>
      <c r="M73" s="186"/>
      <c r="N73" s="186"/>
      <c r="O73" s="186"/>
      <c r="P73" s="186"/>
      <c r="Q73" s="186"/>
      <c r="S73" s="342"/>
      <c r="T73" s="186"/>
      <c r="W73" s="341"/>
      <c r="X73" s="186"/>
      <c r="AE73" s="342"/>
      <c r="AF73" s="186"/>
      <c r="AH73" s="342"/>
    </row>
    <row r="74" spans="1:34" ht="15.75" thickBot="1">
      <c r="A74" s="344" t="s">
        <v>178</v>
      </c>
      <c r="B74" s="345">
        <f>SUM(B50:B67)</f>
        <v>65.069999999999993</v>
      </c>
      <c r="D74" s="344" t="s">
        <v>178</v>
      </c>
      <c r="E74" s="345" t="e">
        <f>SUM(#REF!)</f>
        <v>#REF!</v>
      </c>
      <c r="G74" s="337"/>
      <c r="H74" s="354"/>
      <c r="I74" s="354"/>
      <c r="J74" s="337"/>
      <c r="K74" s="186"/>
      <c r="L74" s="186"/>
      <c r="M74" s="186"/>
      <c r="N74" s="342"/>
      <c r="O74" s="342"/>
      <c r="P74" s="337"/>
      <c r="Q74" s="186"/>
      <c r="R74" s="186"/>
      <c r="S74" s="186"/>
      <c r="T74" s="186"/>
      <c r="W74" s="341"/>
      <c r="X74" s="186"/>
      <c r="AE74" s="342"/>
      <c r="AF74" s="186"/>
      <c r="AH74" s="342"/>
    </row>
    <row r="75" spans="1:34" ht="15">
      <c r="A75" s="337"/>
      <c r="B75" s="186"/>
      <c r="D75" s="337"/>
      <c r="E75" s="186"/>
      <c r="G75" s="337"/>
      <c r="H75" s="354"/>
      <c r="I75" s="354"/>
      <c r="J75" s="337"/>
      <c r="K75" s="186"/>
      <c r="L75" s="186"/>
      <c r="M75" s="186"/>
      <c r="N75" s="342"/>
      <c r="O75" s="342"/>
      <c r="P75" s="337"/>
      <c r="Q75" s="186"/>
      <c r="R75" s="186"/>
      <c r="S75" s="342"/>
      <c r="T75" s="186"/>
      <c r="W75" s="341"/>
      <c r="X75" s="186"/>
      <c r="AE75" s="342"/>
      <c r="AF75" s="186"/>
      <c r="AH75" s="342"/>
    </row>
  </sheetData>
  <autoFilter ref="A3:AH3" xr:uid="{6668F982-B5B5-4E74-8393-4A183EA696F3}">
    <sortState xmlns:xlrd2="http://schemas.microsoft.com/office/spreadsheetml/2017/richdata2" ref="A4:AH39">
      <sortCondition descending="1" ref="A3"/>
    </sortState>
  </autoFilter>
  <mergeCells count="29">
    <mergeCell ref="A1:AH1"/>
    <mergeCell ref="A2:AH2"/>
    <mergeCell ref="S44:W44"/>
    <mergeCell ref="X44:Y44"/>
    <mergeCell ref="A49:B49"/>
    <mergeCell ref="D49:E49"/>
    <mergeCell ref="G49:H49"/>
    <mergeCell ref="K49:N49"/>
    <mergeCell ref="K51:K53"/>
    <mergeCell ref="L51:M51"/>
    <mergeCell ref="L52:M52"/>
    <mergeCell ref="L53:N53"/>
    <mergeCell ref="K55:K59"/>
    <mergeCell ref="L55:M55"/>
    <mergeCell ref="L56:M56"/>
    <mergeCell ref="L57:M57"/>
    <mergeCell ref="L58:M58"/>
    <mergeCell ref="K67:N67"/>
    <mergeCell ref="E68:G68"/>
    <mergeCell ref="G59:H59"/>
    <mergeCell ref="L59:M59"/>
    <mergeCell ref="K60:N60"/>
    <mergeCell ref="K62:K66"/>
    <mergeCell ref="L62:M62"/>
    <mergeCell ref="L63:M63"/>
    <mergeCell ref="E64:I64"/>
    <mergeCell ref="L64:M64"/>
    <mergeCell ref="L65:M65"/>
    <mergeCell ref="L66:M6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8210-9132-49EB-9851-387493234114}">
  <sheetPr>
    <pageSetUpPr fitToPage="1"/>
  </sheetPr>
  <dimension ref="A1:Y401"/>
  <sheetViews>
    <sheetView showGridLines="0" tabSelected="1" defaultGridColor="0" topLeftCell="A356" colorId="10" zoomScale="110" zoomScaleNormal="110" zoomScaleSheetLayoutView="102" workbookViewId="0">
      <selection activeCell="F392" sqref="F392"/>
    </sheetView>
  </sheetViews>
  <sheetFormatPr defaultColWidth="11.42578125" defaultRowHeight="12.75"/>
  <cols>
    <col min="1" max="1" width="1.42578125" customWidth="1"/>
    <col min="2" max="2" width="10.85546875" style="1" customWidth="1"/>
    <col min="3" max="3" width="5.5703125" style="25" customWidth="1"/>
    <col min="4" max="5" width="8.5703125" style="9" customWidth="1"/>
    <col min="6" max="6" width="8.42578125" style="186" customWidth="1"/>
    <col min="7" max="7" width="10.5703125" style="186" customWidth="1"/>
    <col min="8" max="8" width="9.42578125" style="186" bestFit="1" customWidth="1"/>
    <col min="9" max="9" width="9.5703125" style="186" customWidth="1"/>
    <col min="10" max="10" width="10" style="186" customWidth="1"/>
    <col min="11" max="11" width="17.42578125" style="199" customWidth="1"/>
    <col min="12" max="12" width="13.42578125" style="14" customWidth="1"/>
    <col min="13" max="13" width="13.7109375" customWidth="1"/>
    <col min="14" max="17" width="11.42578125" customWidth="1"/>
    <col min="18" max="18" width="35.5703125" customWidth="1"/>
    <col min="19" max="19" width="11.42578125" customWidth="1"/>
  </cols>
  <sheetData>
    <row r="1" spans="1:20">
      <c r="B1"/>
      <c r="C1"/>
      <c r="D1"/>
      <c r="E1"/>
      <c r="F1"/>
      <c r="G1"/>
      <c r="H1"/>
      <c r="I1"/>
      <c r="J1"/>
      <c r="K1"/>
      <c r="L1"/>
    </row>
    <row r="2" spans="1:20" ht="15.75">
      <c r="A2" s="26"/>
      <c r="B2" s="10"/>
      <c r="C2" s="24"/>
      <c r="D2" s="21"/>
      <c r="E2" s="6"/>
      <c r="F2" s="243"/>
      <c r="G2" s="244"/>
      <c r="H2" s="243"/>
      <c r="I2" s="243" t="s">
        <v>71</v>
      </c>
      <c r="J2" s="195"/>
      <c r="K2" s="195"/>
      <c r="L2" s="257"/>
      <c r="M2" s="258"/>
      <c r="N2" s="23"/>
    </row>
    <row r="3" spans="1:20" ht="19.5">
      <c r="B3" s="11"/>
      <c r="C3" s="13"/>
      <c r="D3" s="19"/>
      <c r="E3" s="201"/>
      <c r="F3" s="240"/>
      <c r="G3" s="241"/>
      <c r="H3" s="246"/>
      <c r="I3" s="242"/>
      <c r="K3" s="196"/>
      <c r="L3" s="259" t="s">
        <v>228</v>
      </c>
      <c r="M3" s="181"/>
    </row>
    <row r="4" spans="1:20" ht="18">
      <c r="B4" s="11"/>
      <c r="C4" s="13"/>
      <c r="D4" s="19"/>
      <c r="E4" s="19"/>
      <c r="F4" s="183"/>
      <c r="G4" s="245"/>
      <c r="H4" s="247" t="s">
        <v>101</v>
      </c>
      <c r="I4" s="245"/>
      <c r="K4" s="196"/>
      <c r="L4" s="28"/>
      <c r="M4" s="27"/>
    </row>
    <row r="5" spans="1:20">
      <c r="B5" s="11"/>
      <c r="C5" s="13"/>
      <c r="D5" s="19"/>
      <c r="E5" s="19"/>
      <c r="F5" s="183"/>
      <c r="G5" s="188"/>
      <c r="H5" s="183"/>
      <c r="I5" s="188"/>
      <c r="K5" s="249" t="s">
        <v>109</v>
      </c>
      <c r="L5" s="256">
        <v>44269</v>
      </c>
      <c r="M5" s="27"/>
    </row>
    <row r="6" spans="1:20" ht="18">
      <c r="B6" s="17"/>
      <c r="C6" s="324"/>
      <c r="D6" s="224" t="s">
        <v>97</v>
      </c>
      <c r="E6" s="473" t="s">
        <v>66</v>
      </c>
      <c r="F6" s="474"/>
      <c r="G6" s="265" t="s">
        <v>0</v>
      </c>
      <c r="H6" s="266" t="s">
        <v>162</v>
      </c>
      <c r="K6" s="248" t="s">
        <v>157</v>
      </c>
      <c r="L6" s="250" t="s">
        <v>168</v>
      </c>
      <c r="M6" s="12"/>
    </row>
    <row r="7" spans="1:20">
      <c r="B7" s="29"/>
      <c r="C7" s="13"/>
      <c r="D7" s="224" t="s">
        <v>96</v>
      </c>
      <c r="E7" s="473" t="s">
        <v>78</v>
      </c>
      <c r="F7" s="474"/>
      <c r="G7" s="265" t="s">
        <v>1</v>
      </c>
      <c r="H7" s="267" t="s">
        <v>133</v>
      </c>
      <c r="I7" s="200"/>
      <c r="J7" s="25"/>
      <c r="K7" s="248" t="s">
        <v>143</v>
      </c>
      <c r="L7" s="250" t="s">
        <v>161</v>
      </c>
      <c r="M7" s="12"/>
    </row>
    <row r="8" spans="1:20">
      <c r="B8" s="11"/>
      <c r="C8" s="13"/>
      <c r="D8" s="224" t="s">
        <v>68</v>
      </c>
      <c r="E8" s="473" t="s">
        <v>79</v>
      </c>
      <c r="F8" s="474"/>
      <c r="G8" s="265"/>
      <c r="H8" s="266"/>
      <c r="I8" s="194"/>
      <c r="K8" s="196"/>
      <c r="L8" s="251"/>
      <c r="M8" s="12"/>
    </row>
    <row r="9" spans="1:20">
      <c r="B9" s="11"/>
      <c r="C9" s="13"/>
      <c r="D9" s="224" t="s">
        <v>67</v>
      </c>
      <c r="E9" s="475" t="s">
        <v>80</v>
      </c>
      <c r="F9" s="476"/>
      <c r="G9" s="265" t="s">
        <v>2</v>
      </c>
      <c r="H9" s="307">
        <v>124</v>
      </c>
      <c r="I9" s="192"/>
      <c r="J9" s="192"/>
      <c r="K9" s="249" t="s">
        <v>27</v>
      </c>
      <c r="L9" s="328">
        <v>12041.13</v>
      </c>
      <c r="M9" s="5" t="s">
        <v>30</v>
      </c>
    </row>
    <row r="10" spans="1:20">
      <c r="B10" s="11"/>
      <c r="C10" s="13"/>
      <c r="D10" s="224" t="s">
        <v>3</v>
      </c>
      <c r="E10" s="477">
        <v>26</v>
      </c>
      <c r="F10" s="478"/>
      <c r="G10" s="265" t="s">
        <v>4</v>
      </c>
      <c r="H10" s="317">
        <v>11.4</v>
      </c>
      <c r="I10" s="193"/>
      <c r="K10" s="249" t="s">
        <v>5</v>
      </c>
      <c r="L10" s="327">
        <v>21892</v>
      </c>
      <c r="M10" s="5" t="s">
        <v>30</v>
      </c>
    </row>
    <row r="11" spans="1:20">
      <c r="B11" s="11"/>
      <c r="C11" s="13"/>
      <c r="D11" s="224" t="s">
        <v>6</v>
      </c>
      <c r="E11" s="479" t="s">
        <v>82</v>
      </c>
      <c r="F11" s="480"/>
      <c r="G11" s="265" t="s">
        <v>7</v>
      </c>
      <c r="H11" s="268">
        <f>(65.45-H10)/65.45</f>
        <v>0.8258212375859435</v>
      </c>
      <c r="I11" s="193"/>
      <c r="K11" s="249" t="s">
        <v>74</v>
      </c>
      <c r="L11" s="327">
        <v>21877</v>
      </c>
      <c r="M11" s="5" t="s">
        <v>30</v>
      </c>
      <c r="O11" s="18"/>
    </row>
    <row r="12" spans="1:20">
      <c r="B12" s="11"/>
      <c r="C12" s="213"/>
      <c r="D12" s="224" t="s">
        <v>21</v>
      </c>
      <c r="E12" s="227">
        <f>F12/12</f>
        <v>0.39799999999999996</v>
      </c>
      <c r="F12" s="226">
        <v>4.7759999999999998</v>
      </c>
      <c r="G12" s="189"/>
      <c r="H12" s="225"/>
      <c r="I12" s="193"/>
      <c r="K12" s="249" t="s">
        <v>73</v>
      </c>
      <c r="L12" s="329">
        <f>F16+J16</f>
        <v>12057.13</v>
      </c>
      <c r="M12" s="5" t="s">
        <v>30</v>
      </c>
      <c r="Q12" s="219"/>
    </row>
    <row r="13" spans="1:20">
      <c r="B13" s="2" t="s">
        <v>8</v>
      </c>
      <c r="C13" s="7"/>
      <c r="D13" s="3"/>
      <c r="E13" s="7" t="s">
        <v>9</v>
      </c>
      <c r="F13" s="184" t="s">
        <v>9</v>
      </c>
      <c r="G13" s="190" t="s">
        <v>22</v>
      </c>
      <c r="H13" s="190" t="s">
        <v>9</v>
      </c>
      <c r="I13" s="187" t="s">
        <v>10</v>
      </c>
      <c r="J13" s="184" t="s">
        <v>11</v>
      </c>
      <c r="K13" s="197" t="s">
        <v>12</v>
      </c>
      <c r="L13" s="460" t="s">
        <v>20</v>
      </c>
      <c r="M13" s="461"/>
    </row>
    <row r="14" spans="1:20" ht="14.1" customHeight="1">
      <c r="B14" s="4" t="s">
        <v>13</v>
      </c>
      <c r="C14" s="4" t="s">
        <v>24</v>
      </c>
      <c r="D14" s="8" t="s">
        <v>23</v>
      </c>
      <c r="E14" s="8" t="s">
        <v>15</v>
      </c>
      <c r="F14" s="185" t="s">
        <v>16</v>
      </c>
      <c r="G14" s="191" t="s">
        <v>16</v>
      </c>
      <c r="H14" s="191" t="s">
        <v>17</v>
      </c>
      <c r="I14" s="189" t="s">
        <v>16</v>
      </c>
      <c r="J14" s="185" t="s">
        <v>18</v>
      </c>
      <c r="K14" s="198" t="s">
        <v>19</v>
      </c>
      <c r="L14" s="462"/>
      <c r="M14" s="463"/>
    </row>
    <row r="15" spans="1:20" ht="14.1" customHeight="1">
      <c r="B15" s="411"/>
      <c r="C15" s="411"/>
      <c r="D15" s="588" t="s">
        <v>226</v>
      </c>
      <c r="E15" s="589"/>
      <c r="F15" s="590"/>
      <c r="G15" s="412">
        <v>3.65</v>
      </c>
      <c r="H15" s="412" t="s">
        <v>128</v>
      </c>
      <c r="I15" s="412">
        <v>3.65</v>
      </c>
      <c r="J15" s="412">
        <f>IF(I15="","",$L$9-I15)</f>
        <v>12037.48</v>
      </c>
      <c r="K15" s="413">
        <f t="shared" ref="K15" si="0">$H$9+(I15*$E$10*$H$11/1000)</f>
        <v>124.0783704354469</v>
      </c>
      <c r="L15" s="414"/>
      <c r="M15" s="416"/>
    </row>
    <row r="16" spans="1:20" ht="17.100000000000001" customHeight="1">
      <c r="B16" s="494" t="s">
        <v>136</v>
      </c>
      <c r="C16" s="499" t="s">
        <v>164</v>
      </c>
      <c r="D16" s="500" t="s">
        <v>135</v>
      </c>
      <c r="E16" s="500"/>
      <c r="F16" s="209">
        <v>19.649999999999999</v>
      </c>
      <c r="G16" s="209">
        <f t="shared" ref="G16:G25" si="1">F16</f>
        <v>19.649999999999999</v>
      </c>
      <c r="H16" s="210" t="s">
        <v>25</v>
      </c>
      <c r="I16" s="334">
        <v>3.65</v>
      </c>
      <c r="J16" s="210">
        <f>IF(I16="","",$L$9-I16)</f>
        <v>12037.48</v>
      </c>
      <c r="K16" s="211">
        <f>$H$9+(I16*$E$10*$H$11/1000)</f>
        <v>124.0783704354469</v>
      </c>
      <c r="L16" s="467" t="s">
        <v>145</v>
      </c>
      <c r="M16" s="467"/>
      <c r="N16" s="18"/>
      <c r="T16" s="219"/>
    </row>
    <row r="17" spans="2:25" ht="17.850000000000001" customHeight="1">
      <c r="B17" s="494"/>
      <c r="C17" s="499"/>
      <c r="D17" s="501" t="s">
        <v>134</v>
      </c>
      <c r="E17" s="502"/>
      <c r="F17" s="209">
        <v>2.69</v>
      </c>
      <c r="G17" s="209">
        <f t="shared" si="1"/>
        <v>2.69</v>
      </c>
      <c r="H17" s="209" t="str">
        <f t="shared" ref="H17:H80" si="2">IF(F17="","OUT","IN")</f>
        <v>IN</v>
      </c>
      <c r="I17" s="209">
        <f>IF(H17="IN",I16+G17,I16)</f>
        <v>6.34</v>
      </c>
      <c r="J17" s="209">
        <f>IF(I17="","",$L$9-I17)</f>
        <v>12034.789999999999</v>
      </c>
      <c r="K17" s="211">
        <f>$H$9+(I17*$E$10*$H$11/1000)</f>
        <v>124.13612837280367</v>
      </c>
      <c r="L17" s="503" t="s">
        <v>163</v>
      </c>
      <c r="M17" s="503"/>
      <c r="N17" s="18"/>
    </row>
    <row r="18" spans="2:25" ht="18" customHeight="1">
      <c r="B18" s="494"/>
      <c r="C18" s="499"/>
      <c r="D18" s="500" t="s">
        <v>141</v>
      </c>
      <c r="E18" s="500"/>
      <c r="F18" s="209">
        <v>5.69</v>
      </c>
      <c r="G18" s="209">
        <f t="shared" si="1"/>
        <v>5.69</v>
      </c>
      <c r="H18" s="209" t="str">
        <f t="shared" si="2"/>
        <v>IN</v>
      </c>
      <c r="I18" s="209">
        <f>IF(H18="IN",I17+G18,I17)</f>
        <v>12.030000000000001</v>
      </c>
      <c r="J18" s="209">
        <f>IF(I18="","",$L$9-I18)</f>
        <v>12029.099999999999</v>
      </c>
      <c r="K18" s="211">
        <f>$H$9+(I18*$E$10*$H$11/1000)</f>
        <v>124.25830036669213</v>
      </c>
      <c r="L18" s="472"/>
      <c r="M18" s="472"/>
      <c r="N18" s="18"/>
    </row>
    <row r="19" spans="2:25" ht="13.5" customHeight="1">
      <c r="B19" s="213">
        <v>1</v>
      </c>
      <c r="C19" s="213"/>
      <c r="D19" s="214">
        <v>7</v>
      </c>
      <c r="E19" s="319">
        <v>386</v>
      </c>
      <c r="F19" s="373">
        <v>33.56</v>
      </c>
      <c r="G19" s="313">
        <f>F19-($E$12)</f>
        <v>33.161999999999999</v>
      </c>
      <c r="H19" s="215" t="str">
        <f t="shared" si="2"/>
        <v>IN</v>
      </c>
      <c r="I19" s="217">
        <f t="shared" ref="I19:I82" si="3">IF(H19="IN",I18+G19,I18)</f>
        <v>45.192</v>
      </c>
      <c r="J19" s="217">
        <f t="shared" ref="J19:J82" si="4">IF(I19="","",$L$9-I19)</f>
        <v>11995.938</v>
      </c>
      <c r="K19" s="381">
        <f t="shared" ref="K19:K82" si="5">$H$9+(I19*$E$10*$H$11/1000)</f>
        <v>124.97033334759358</v>
      </c>
      <c r="L19" s="314"/>
      <c r="M19" s="315"/>
      <c r="N19" s="18"/>
      <c r="P19" s="238"/>
      <c r="Q19" s="238"/>
      <c r="R19" s="18"/>
      <c r="W19" s="18"/>
    </row>
    <row r="20" spans="2:25" ht="13.5" customHeight="1">
      <c r="B20" s="213"/>
      <c r="C20" s="213"/>
      <c r="D20" s="504" t="s">
        <v>212</v>
      </c>
      <c r="E20" s="505"/>
      <c r="F20" s="215">
        <v>20.22</v>
      </c>
      <c r="G20" s="313">
        <f t="shared" ref="G20:G21" si="6">F20-($E$12)</f>
        <v>19.821999999999999</v>
      </c>
      <c r="H20" s="215" t="str">
        <f t="shared" si="2"/>
        <v>IN</v>
      </c>
      <c r="I20" s="217">
        <f t="shared" si="3"/>
        <v>65.013999999999996</v>
      </c>
      <c r="J20" s="217">
        <f t="shared" si="4"/>
        <v>11976.116</v>
      </c>
      <c r="K20" s="381">
        <f t="shared" si="5"/>
        <v>125.39593849045073</v>
      </c>
      <c r="L20" s="314"/>
      <c r="M20" s="315"/>
      <c r="N20" s="18"/>
      <c r="P20" s="238"/>
      <c r="Q20" s="238"/>
      <c r="R20" s="18"/>
      <c r="W20" s="18"/>
    </row>
    <row r="21" spans="2:25" ht="13.35" customHeight="1">
      <c r="B21" s="494" t="s">
        <v>138</v>
      </c>
      <c r="C21" s="495">
        <v>11703643</v>
      </c>
      <c r="D21" s="497" t="s">
        <v>141</v>
      </c>
      <c r="E21" s="497"/>
      <c r="F21" s="212">
        <v>6.21</v>
      </c>
      <c r="G21" s="410">
        <f t="shared" si="6"/>
        <v>5.8120000000000003</v>
      </c>
      <c r="H21" s="212" t="str">
        <f t="shared" si="2"/>
        <v>IN</v>
      </c>
      <c r="I21" s="212">
        <f t="shared" si="3"/>
        <v>70.825999999999993</v>
      </c>
      <c r="J21" s="212">
        <f t="shared" si="4"/>
        <v>11970.304</v>
      </c>
      <c r="K21" s="310">
        <f t="shared" si="5"/>
        <v>125.52072998930481</v>
      </c>
      <c r="L21" s="483" t="s">
        <v>144</v>
      </c>
      <c r="M21" s="483"/>
      <c r="N21" s="18"/>
      <c r="V21" s="219"/>
      <c r="W21" s="18"/>
    </row>
    <row r="22" spans="2:25" ht="13.35" customHeight="1">
      <c r="B22" s="494"/>
      <c r="C22" s="495"/>
      <c r="D22" s="496" t="s">
        <v>148</v>
      </c>
      <c r="E22" s="496"/>
      <c r="F22" s="212">
        <v>12</v>
      </c>
      <c r="G22" s="212">
        <f t="shared" si="1"/>
        <v>12</v>
      </c>
      <c r="H22" s="212" t="str">
        <f t="shared" si="2"/>
        <v>IN</v>
      </c>
      <c r="I22" s="212">
        <f t="shared" si="3"/>
        <v>82.825999999999993</v>
      </c>
      <c r="J22" s="209">
        <f t="shared" si="4"/>
        <v>11958.304</v>
      </c>
      <c r="K22" s="310">
        <f t="shared" si="5"/>
        <v>125.77838621543162</v>
      </c>
      <c r="L22" s="498" t="s">
        <v>165</v>
      </c>
      <c r="M22" s="498"/>
      <c r="N22" s="18"/>
      <c r="P22" s="238"/>
      <c r="Q22" s="238"/>
    </row>
    <row r="23" spans="2:25" ht="13.35" customHeight="1">
      <c r="B23" s="494"/>
      <c r="C23" s="495"/>
      <c r="D23" s="318" t="s">
        <v>149</v>
      </c>
      <c r="E23" s="318"/>
      <c r="F23" s="212">
        <v>3.68</v>
      </c>
      <c r="G23" s="212">
        <f t="shared" si="1"/>
        <v>3.68</v>
      </c>
      <c r="H23" s="212" t="str">
        <f t="shared" si="2"/>
        <v>IN</v>
      </c>
      <c r="I23" s="212">
        <f t="shared" si="3"/>
        <v>86.506</v>
      </c>
      <c r="J23" s="212">
        <f t="shared" si="4"/>
        <v>11954.624</v>
      </c>
      <c r="K23" s="310">
        <f t="shared" si="5"/>
        <v>125.85740079144385</v>
      </c>
      <c r="L23" s="458" t="s">
        <v>166</v>
      </c>
      <c r="M23" s="459"/>
      <c r="N23" s="18"/>
      <c r="P23" s="239"/>
      <c r="Q23" s="239"/>
    </row>
    <row r="24" spans="2:25" ht="13.35" customHeight="1" thickBot="1">
      <c r="B24" s="494"/>
      <c r="C24" s="495"/>
      <c r="D24" s="318" t="s">
        <v>142</v>
      </c>
      <c r="E24" s="318"/>
      <c r="F24" s="212">
        <v>0.97</v>
      </c>
      <c r="G24" s="212">
        <f t="shared" si="1"/>
        <v>0.97</v>
      </c>
      <c r="H24" s="212" t="str">
        <f t="shared" si="2"/>
        <v>IN</v>
      </c>
      <c r="I24" s="212">
        <f t="shared" si="3"/>
        <v>87.475999999999999</v>
      </c>
      <c r="J24" s="212">
        <f t="shared" si="4"/>
        <v>11953.653999999999</v>
      </c>
      <c r="K24" s="310">
        <f t="shared" si="5"/>
        <v>125.87822800305577</v>
      </c>
      <c r="L24" s="458" t="s">
        <v>167</v>
      </c>
      <c r="M24" s="459"/>
      <c r="N24" s="18"/>
      <c r="V24" s="18"/>
    </row>
    <row r="25" spans="2:25" ht="13.35" customHeight="1" thickBot="1">
      <c r="B25" s="494"/>
      <c r="C25" s="495"/>
      <c r="D25" s="497" t="s">
        <v>141</v>
      </c>
      <c r="E25" s="497"/>
      <c r="F25" s="212">
        <v>5.82</v>
      </c>
      <c r="G25" s="212">
        <f t="shared" si="1"/>
        <v>5.82</v>
      </c>
      <c r="H25" s="212" t="str">
        <f t="shared" si="2"/>
        <v>IN</v>
      </c>
      <c r="I25" s="212">
        <f t="shared" si="3"/>
        <v>93.295999999999992</v>
      </c>
      <c r="J25" s="212">
        <f t="shared" si="4"/>
        <v>11947.833999999999</v>
      </c>
      <c r="K25" s="310">
        <f t="shared" si="5"/>
        <v>126.00319127272728</v>
      </c>
      <c r="L25" s="468" t="s">
        <v>146</v>
      </c>
      <c r="M25" s="469"/>
      <c r="N25" s="18"/>
      <c r="O25" s="454" t="s">
        <v>98</v>
      </c>
      <c r="P25" s="455"/>
      <c r="R25" s="252" t="s">
        <v>137</v>
      </c>
      <c r="S25" s="262" t="s">
        <v>102</v>
      </c>
      <c r="V25" s="18"/>
    </row>
    <row r="26" spans="2:25" s="15" customFormat="1" ht="14.1" customHeight="1" thickBot="1">
      <c r="B26" s="213">
        <v>2</v>
      </c>
      <c r="C26" s="213"/>
      <c r="D26" s="214">
        <v>7</v>
      </c>
      <c r="E26" s="206">
        <v>387</v>
      </c>
      <c r="F26" s="373">
        <v>31.83</v>
      </c>
      <c r="G26" s="215">
        <f t="shared" ref="G26:G89" si="7">F26-($E$12)</f>
        <v>31.431999999999999</v>
      </c>
      <c r="H26" s="215" t="str">
        <f t="shared" si="2"/>
        <v>IN</v>
      </c>
      <c r="I26" s="217">
        <f t="shared" si="3"/>
        <v>124.72799999999999</v>
      </c>
      <c r="J26" s="217">
        <f t="shared" si="4"/>
        <v>11916.402</v>
      </c>
      <c r="K26" s="381">
        <f t="shared" si="5"/>
        <v>126.67807881436211</v>
      </c>
      <c r="L26" s="451"/>
      <c r="M26" s="451"/>
      <c r="N26" s="18"/>
      <c r="O26" s="456"/>
      <c r="P26" s="457"/>
      <c r="R26" s="253" t="s">
        <v>140</v>
      </c>
      <c r="S26" s="254">
        <v>2.74</v>
      </c>
    </row>
    <row r="27" spans="2:25" s="15" customFormat="1" ht="14.1" customHeight="1" thickBot="1">
      <c r="B27" s="213">
        <v>3</v>
      </c>
      <c r="C27" s="213"/>
      <c r="D27" s="214">
        <v>7</v>
      </c>
      <c r="E27" s="206">
        <v>385</v>
      </c>
      <c r="F27" s="373">
        <v>32.869999999999997</v>
      </c>
      <c r="G27" s="215">
        <f t="shared" si="7"/>
        <v>32.471999999999994</v>
      </c>
      <c r="H27" s="215" t="str">
        <f t="shared" si="2"/>
        <v>IN</v>
      </c>
      <c r="I27" s="217">
        <f t="shared" si="3"/>
        <v>157.19999999999999</v>
      </c>
      <c r="J27" s="217">
        <f t="shared" si="4"/>
        <v>11883.929999999998</v>
      </c>
      <c r="K27" s="381">
        <f t="shared" si="5"/>
        <v>127.37529656226127</v>
      </c>
      <c r="L27" s="465" t="s">
        <v>31</v>
      </c>
      <c r="M27" s="466"/>
      <c r="N27" s="18"/>
      <c r="O27" s="236" t="s">
        <v>99</v>
      </c>
      <c r="P27" s="237" t="s">
        <v>100</v>
      </c>
      <c r="R27" s="253" t="s">
        <v>103</v>
      </c>
      <c r="S27" s="255">
        <v>6.86</v>
      </c>
      <c r="V27" s="223"/>
      <c r="X27" s="20"/>
      <c r="Y27" s="20"/>
    </row>
    <row r="28" spans="2:25" s="15" customFormat="1" ht="14.1" customHeight="1" thickBot="1">
      <c r="B28" s="213">
        <f t="shared" ref="B28:B91" si="8">B27+1</f>
        <v>4</v>
      </c>
      <c r="C28" s="213"/>
      <c r="D28" s="214">
        <v>7</v>
      </c>
      <c r="E28" s="206">
        <f t="shared" ref="E28:E91" si="9">E27-1</f>
        <v>384</v>
      </c>
      <c r="F28" s="373">
        <v>33.18</v>
      </c>
      <c r="G28" s="215">
        <f t="shared" si="7"/>
        <v>32.781999999999996</v>
      </c>
      <c r="H28" s="215" t="str">
        <f t="shared" si="2"/>
        <v>IN</v>
      </c>
      <c r="I28" s="217">
        <f t="shared" si="3"/>
        <v>189.98199999999997</v>
      </c>
      <c r="J28" s="217">
        <f t="shared" si="4"/>
        <v>11851.147999999999</v>
      </c>
      <c r="K28" s="381">
        <f t="shared" si="5"/>
        <v>128.07917042933536</v>
      </c>
      <c r="L28" s="261">
        <v>11935.25</v>
      </c>
      <c r="M28" s="261">
        <v>11971.95</v>
      </c>
      <c r="N28" s="18"/>
      <c r="O28" s="234">
        <f>J22-L28</f>
        <v>23.054000000000087</v>
      </c>
      <c r="P28" s="235">
        <f>M28-J22</f>
        <v>13.64600000000064</v>
      </c>
      <c r="R28" s="253" t="s">
        <v>104</v>
      </c>
      <c r="S28" s="255">
        <v>8.86</v>
      </c>
      <c r="V28" s="223"/>
      <c r="W28"/>
      <c r="X28" s="20"/>
      <c r="Y28" s="20"/>
    </row>
    <row r="29" spans="2:25" s="15" customFormat="1" ht="14.1" customHeight="1" thickBot="1">
      <c r="B29" s="213">
        <f t="shared" si="8"/>
        <v>5</v>
      </c>
      <c r="C29" s="213"/>
      <c r="D29" s="214">
        <v>7</v>
      </c>
      <c r="E29" s="206">
        <f t="shared" si="9"/>
        <v>383</v>
      </c>
      <c r="F29" s="373">
        <v>33.54</v>
      </c>
      <c r="G29" s="215">
        <f t="shared" si="7"/>
        <v>33.141999999999996</v>
      </c>
      <c r="H29" s="215" t="str">
        <f t="shared" si="2"/>
        <v>IN</v>
      </c>
      <c r="I29" s="217">
        <f t="shared" si="3"/>
        <v>223.12399999999997</v>
      </c>
      <c r="J29" s="217">
        <f t="shared" si="4"/>
        <v>11818.005999999999</v>
      </c>
      <c r="K29" s="381">
        <f t="shared" si="5"/>
        <v>128.79077398319328</v>
      </c>
      <c r="L29" s="451"/>
      <c r="M29" s="451"/>
      <c r="N29" s="18"/>
      <c r="R29" s="253" t="s">
        <v>139</v>
      </c>
      <c r="S29" s="254">
        <v>14.72</v>
      </c>
    </row>
    <row r="30" spans="2:25" s="15" customFormat="1" ht="14.1" customHeight="1">
      <c r="B30" s="213">
        <f t="shared" si="8"/>
        <v>6</v>
      </c>
      <c r="C30" s="213"/>
      <c r="D30" s="214">
        <v>7</v>
      </c>
      <c r="E30" s="206">
        <f t="shared" si="9"/>
        <v>382</v>
      </c>
      <c r="F30" s="373">
        <v>31.67</v>
      </c>
      <c r="G30" s="215">
        <f t="shared" si="7"/>
        <v>31.272000000000002</v>
      </c>
      <c r="H30" s="215" t="str">
        <f t="shared" si="2"/>
        <v>IN</v>
      </c>
      <c r="I30" s="217">
        <f t="shared" si="3"/>
        <v>254.39599999999996</v>
      </c>
      <c r="J30" s="217">
        <f t="shared" si="4"/>
        <v>11786.733999999999</v>
      </c>
      <c r="K30" s="381">
        <f t="shared" si="5"/>
        <v>129.46222610847974</v>
      </c>
      <c r="L30" s="228" t="s">
        <v>112</v>
      </c>
      <c r="M30" s="229">
        <f>J24+S26</f>
        <v>11956.393999999998</v>
      </c>
      <c r="N30" s="470"/>
      <c r="O30" s="471"/>
      <c r="P30" s="471"/>
      <c r="R30" s="14"/>
      <c r="S30" s="14"/>
      <c r="V30"/>
    </row>
    <row r="31" spans="2:25" s="15" customFormat="1" ht="14.1" customHeight="1" thickBot="1">
      <c r="B31" s="213">
        <f t="shared" si="8"/>
        <v>7</v>
      </c>
      <c r="C31" s="213"/>
      <c r="D31" s="214">
        <v>7</v>
      </c>
      <c r="E31" s="206">
        <f t="shared" si="9"/>
        <v>381</v>
      </c>
      <c r="F31" s="373">
        <v>33.19</v>
      </c>
      <c r="G31" s="215">
        <f t="shared" si="7"/>
        <v>32.791999999999994</v>
      </c>
      <c r="H31" s="215" t="str">
        <f t="shared" si="2"/>
        <v>IN</v>
      </c>
      <c r="I31" s="217">
        <f t="shared" si="3"/>
        <v>287.18799999999993</v>
      </c>
      <c r="J31" s="217">
        <f t="shared" si="4"/>
        <v>11753.941999999999</v>
      </c>
      <c r="K31" s="381">
        <f t="shared" si="5"/>
        <v>130.16631468907562</v>
      </c>
      <c r="L31" s="230" t="s">
        <v>113</v>
      </c>
      <c r="M31" s="231">
        <f>J24+S29</f>
        <v>11968.373999999998</v>
      </c>
      <c r="N31" s="470"/>
      <c r="O31" s="471"/>
      <c r="P31" s="471"/>
      <c r="R31" s="464"/>
      <c r="S31" s="464"/>
      <c r="V31"/>
    </row>
    <row r="32" spans="2:25" s="15" customFormat="1" ht="14.1" customHeight="1" thickBot="1">
      <c r="B32" s="213">
        <f t="shared" si="8"/>
        <v>8</v>
      </c>
      <c r="C32" s="213"/>
      <c r="D32" s="214">
        <v>7</v>
      </c>
      <c r="E32" s="206">
        <f t="shared" si="9"/>
        <v>380</v>
      </c>
      <c r="F32" s="373">
        <v>33.520000000000003</v>
      </c>
      <c r="G32" s="215">
        <f t="shared" si="7"/>
        <v>33.122</v>
      </c>
      <c r="H32" s="215" t="str">
        <f t="shared" si="2"/>
        <v>IN</v>
      </c>
      <c r="I32" s="217">
        <f t="shared" si="3"/>
        <v>320.30999999999995</v>
      </c>
      <c r="J32" s="217">
        <f t="shared" si="4"/>
        <v>11720.82</v>
      </c>
      <c r="K32" s="381">
        <f t="shared" si="5"/>
        <v>130.87748881588999</v>
      </c>
      <c r="L32" s="230" t="s">
        <v>114</v>
      </c>
      <c r="M32" s="231">
        <f>J24+S27</f>
        <v>11960.513999999999</v>
      </c>
      <c r="N32" s="470"/>
      <c r="O32" s="471"/>
      <c r="P32" s="471"/>
      <c r="R32" s="252" t="s">
        <v>105</v>
      </c>
      <c r="S32" s="262" t="s">
        <v>102</v>
      </c>
      <c r="V32"/>
    </row>
    <row r="33" spans="2:19" s="16" customFormat="1" ht="13.35" customHeight="1" thickBot="1">
      <c r="B33" s="213">
        <f t="shared" si="8"/>
        <v>9</v>
      </c>
      <c r="C33" s="213"/>
      <c r="D33" s="214">
        <v>7</v>
      </c>
      <c r="E33" s="206">
        <f t="shared" si="9"/>
        <v>379</v>
      </c>
      <c r="F33" s="373">
        <v>33.21</v>
      </c>
      <c r="G33" s="215">
        <f t="shared" si="7"/>
        <v>32.811999999999998</v>
      </c>
      <c r="H33" s="215" t="str">
        <f t="shared" si="2"/>
        <v>IN</v>
      </c>
      <c r="I33" s="217">
        <f t="shared" si="3"/>
        <v>353.12199999999996</v>
      </c>
      <c r="J33" s="217">
        <f t="shared" si="4"/>
        <v>11688.008</v>
      </c>
      <c r="K33" s="381">
        <f t="shared" si="5"/>
        <v>131.58200682352941</v>
      </c>
      <c r="L33" s="232" t="s">
        <v>115</v>
      </c>
      <c r="M33" s="233">
        <f>J24+S28</f>
        <v>11962.513999999999</v>
      </c>
      <c r="N33" s="470"/>
      <c r="O33" s="471"/>
      <c r="P33" s="471"/>
      <c r="R33" s="253" t="s">
        <v>106</v>
      </c>
      <c r="S33" s="254">
        <v>3.67</v>
      </c>
    </row>
    <row r="34" spans="2:19" s="16" customFormat="1" ht="13.35" customHeight="1" thickBot="1">
      <c r="B34" s="213">
        <f t="shared" si="8"/>
        <v>10</v>
      </c>
      <c r="C34" s="213"/>
      <c r="D34" s="214">
        <v>7</v>
      </c>
      <c r="E34" s="206">
        <f t="shared" si="9"/>
        <v>378</v>
      </c>
      <c r="F34" s="373">
        <v>33.049999999999997</v>
      </c>
      <c r="G34" s="215">
        <f t="shared" si="7"/>
        <v>32.651999999999994</v>
      </c>
      <c r="H34" s="215" t="str">
        <f t="shared" si="2"/>
        <v>IN</v>
      </c>
      <c r="I34" s="217">
        <f t="shared" si="3"/>
        <v>385.77399999999994</v>
      </c>
      <c r="J34" s="217">
        <f t="shared" si="4"/>
        <v>11655.356</v>
      </c>
      <c r="K34" s="381">
        <f t="shared" si="5"/>
        <v>132.28308941482047</v>
      </c>
      <c r="L34" s="451"/>
      <c r="M34" s="451"/>
      <c r="N34" s="18"/>
      <c r="R34" s="253" t="s">
        <v>107</v>
      </c>
      <c r="S34" s="255">
        <v>15.95</v>
      </c>
    </row>
    <row r="35" spans="2:19" s="16" customFormat="1" ht="13.35" customHeight="1" thickBot="1">
      <c r="B35" s="213">
        <f t="shared" si="8"/>
        <v>11</v>
      </c>
      <c r="C35" s="213"/>
      <c r="D35" s="214">
        <v>7</v>
      </c>
      <c r="E35" s="206">
        <f t="shared" si="9"/>
        <v>377</v>
      </c>
      <c r="F35" s="373">
        <v>33.200000000000003</v>
      </c>
      <c r="G35" s="215">
        <f t="shared" si="7"/>
        <v>32.802</v>
      </c>
      <c r="H35" s="215" t="str">
        <f t="shared" si="2"/>
        <v>IN</v>
      </c>
      <c r="I35" s="217">
        <f t="shared" si="3"/>
        <v>418.57599999999996</v>
      </c>
      <c r="J35" s="217">
        <f t="shared" si="4"/>
        <v>11622.554</v>
      </c>
      <c r="K35" s="381">
        <f t="shared" si="5"/>
        <v>132.98739270893813</v>
      </c>
      <c r="L35" s="429"/>
      <c r="M35" s="429"/>
      <c r="N35" s="18"/>
      <c r="R35" s="253" t="s">
        <v>108</v>
      </c>
      <c r="S35" s="254">
        <v>11.17</v>
      </c>
    </row>
    <row r="36" spans="2:19" s="16" customFormat="1" ht="13.35" customHeight="1">
      <c r="B36" s="213">
        <f t="shared" si="8"/>
        <v>12</v>
      </c>
      <c r="C36" s="213"/>
      <c r="D36" s="214">
        <v>7</v>
      </c>
      <c r="E36" s="206">
        <f t="shared" si="9"/>
        <v>376</v>
      </c>
      <c r="F36" s="373">
        <v>33.700000000000003</v>
      </c>
      <c r="G36" s="215">
        <f t="shared" si="7"/>
        <v>33.302</v>
      </c>
      <c r="H36" s="215" t="str">
        <f t="shared" si="2"/>
        <v>IN</v>
      </c>
      <c r="I36" s="217">
        <f t="shared" si="3"/>
        <v>451.87799999999999</v>
      </c>
      <c r="J36" s="217">
        <f t="shared" si="4"/>
        <v>11589.251999999999</v>
      </c>
      <c r="K36" s="381">
        <f t="shared" si="5"/>
        <v>133.70243167914438</v>
      </c>
      <c r="L36" s="484" t="s">
        <v>222</v>
      </c>
      <c r="M36" s="485"/>
      <c r="N36" s="18"/>
      <c r="R36" s="264"/>
      <c r="S36" s="263"/>
    </row>
    <row r="37" spans="2:19" s="16" customFormat="1" ht="13.35" customHeight="1">
      <c r="B37" s="213">
        <f t="shared" si="8"/>
        <v>13</v>
      </c>
      <c r="C37" s="213"/>
      <c r="D37" s="214">
        <v>7</v>
      </c>
      <c r="E37" s="206">
        <f t="shared" si="9"/>
        <v>375</v>
      </c>
      <c r="F37" s="373">
        <v>33.04</v>
      </c>
      <c r="G37" s="215">
        <f t="shared" si="7"/>
        <v>32.641999999999996</v>
      </c>
      <c r="H37" s="215" t="str">
        <f t="shared" si="2"/>
        <v>IN</v>
      </c>
      <c r="I37" s="217">
        <f t="shared" si="3"/>
        <v>484.52</v>
      </c>
      <c r="J37" s="217">
        <f t="shared" si="4"/>
        <v>11556.609999999999</v>
      </c>
      <c r="K37" s="381">
        <f t="shared" si="5"/>
        <v>134.40329955691368</v>
      </c>
      <c r="L37" s="486"/>
      <c r="M37" s="487"/>
      <c r="N37" s="18"/>
      <c r="P37"/>
    </row>
    <row r="38" spans="2:19" s="16" customFormat="1" ht="13.35" customHeight="1">
      <c r="B38" s="213">
        <f t="shared" si="8"/>
        <v>14</v>
      </c>
      <c r="C38" s="213"/>
      <c r="D38" s="214">
        <v>7</v>
      </c>
      <c r="E38" s="206">
        <f t="shared" si="9"/>
        <v>374</v>
      </c>
      <c r="F38" s="373">
        <v>33.01</v>
      </c>
      <c r="G38" s="215">
        <f t="shared" si="7"/>
        <v>32.611999999999995</v>
      </c>
      <c r="H38" s="215" t="str">
        <f t="shared" si="2"/>
        <v>IN</v>
      </c>
      <c r="I38" s="217">
        <f t="shared" si="3"/>
        <v>517.13199999999995</v>
      </c>
      <c r="J38" s="217">
        <f t="shared" si="4"/>
        <v>11523.998</v>
      </c>
      <c r="K38" s="381">
        <f t="shared" si="5"/>
        <v>135.10352329411765</v>
      </c>
      <c r="L38" s="486"/>
      <c r="M38" s="487"/>
      <c r="N38" s="18"/>
      <c r="P38"/>
    </row>
    <row r="39" spans="2:19" s="16" customFormat="1" ht="13.35" customHeight="1">
      <c r="B39" s="213">
        <f t="shared" si="8"/>
        <v>15</v>
      </c>
      <c r="C39" s="213"/>
      <c r="D39" s="214">
        <v>7</v>
      </c>
      <c r="E39" s="206">
        <f t="shared" si="9"/>
        <v>373</v>
      </c>
      <c r="F39" s="373">
        <v>32.5</v>
      </c>
      <c r="G39" s="215">
        <f t="shared" si="7"/>
        <v>32.101999999999997</v>
      </c>
      <c r="H39" s="215" t="str">
        <f t="shared" si="2"/>
        <v>IN</v>
      </c>
      <c r="I39" s="217">
        <f t="shared" si="3"/>
        <v>549.23399999999992</v>
      </c>
      <c r="J39" s="217">
        <f t="shared" si="4"/>
        <v>11491.895999999999</v>
      </c>
      <c r="K39" s="381">
        <f t="shared" si="5"/>
        <v>135.79279664171122</v>
      </c>
      <c r="L39" s="486"/>
      <c r="M39" s="487"/>
      <c r="N39" s="18"/>
    </row>
    <row r="40" spans="2:19" s="16" customFormat="1" ht="13.35" customHeight="1" thickBot="1">
      <c r="B40" s="213">
        <f t="shared" si="8"/>
        <v>16</v>
      </c>
      <c r="C40" s="213"/>
      <c r="D40" s="214">
        <v>7</v>
      </c>
      <c r="E40" s="206">
        <f t="shared" si="9"/>
        <v>372</v>
      </c>
      <c r="F40" s="373">
        <v>33.35</v>
      </c>
      <c r="G40" s="215">
        <f t="shared" si="7"/>
        <v>32.951999999999998</v>
      </c>
      <c r="H40" s="215" t="str">
        <f t="shared" si="2"/>
        <v>IN</v>
      </c>
      <c r="I40" s="217">
        <f t="shared" si="3"/>
        <v>582.18599999999992</v>
      </c>
      <c r="J40" s="217">
        <f t="shared" si="4"/>
        <v>11458.944</v>
      </c>
      <c r="K40" s="381">
        <f t="shared" si="5"/>
        <v>136.50032063865547</v>
      </c>
      <c r="L40" s="488"/>
      <c r="M40" s="489"/>
      <c r="N40" s="18"/>
    </row>
    <row r="41" spans="2:19" s="16" customFormat="1" ht="13.35" customHeight="1">
      <c r="B41" s="213">
        <f t="shared" si="8"/>
        <v>17</v>
      </c>
      <c r="C41" s="213"/>
      <c r="D41" s="214">
        <v>7</v>
      </c>
      <c r="E41" s="206">
        <f t="shared" si="9"/>
        <v>371</v>
      </c>
      <c r="F41" s="373">
        <v>32.75</v>
      </c>
      <c r="G41" s="215">
        <f t="shared" si="7"/>
        <v>32.351999999999997</v>
      </c>
      <c r="H41" s="215" t="str">
        <f t="shared" si="2"/>
        <v>IN</v>
      </c>
      <c r="I41" s="217">
        <f t="shared" si="3"/>
        <v>614.5379999999999</v>
      </c>
      <c r="J41" s="217">
        <f t="shared" si="4"/>
        <v>11426.591999999999</v>
      </c>
      <c r="K41" s="381">
        <f t="shared" si="5"/>
        <v>137.19496182429336</v>
      </c>
      <c r="L41" s="429"/>
      <c r="M41" s="429"/>
      <c r="N41" s="18"/>
    </row>
    <row r="42" spans="2:19" s="16" customFormat="1" ht="13.35" customHeight="1" thickBot="1">
      <c r="B42" s="213">
        <f t="shared" si="8"/>
        <v>18</v>
      </c>
      <c r="C42" s="213"/>
      <c r="D42" s="214">
        <v>7</v>
      </c>
      <c r="E42" s="206">
        <f t="shared" si="9"/>
        <v>370</v>
      </c>
      <c r="F42" s="373">
        <v>33.340000000000003</v>
      </c>
      <c r="G42" s="215">
        <f t="shared" si="7"/>
        <v>32.942</v>
      </c>
      <c r="H42" s="215" t="str">
        <f t="shared" si="2"/>
        <v>IN</v>
      </c>
      <c r="I42" s="217">
        <f t="shared" si="3"/>
        <v>647.4799999999999</v>
      </c>
      <c r="J42" s="217">
        <f t="shared" si="4"/>
        <v>11393.65</v>
      </c>
      <c r="K42" s="381">
        <f t="shared" si="5"/>
        <v>137.90227110771582</v>
      </c>
      <c r="L42" s="429"/>
      <c r="M42" s="429"/>
      <c r="N42" s="18"/>
      <c r="Q42"/>
    </row>
    <row r="43" spans="2:19" s="16" customFormat="1" ht="13.35" customHeight="1">
      <c r="B43" s="213">
        <f t="shared" si="8"/>
        <v>19</v>
      </c>
      <c r="C43" s="213"/>
      <c r="D43" s="214">
        <v>7</v>
      </c>
      <c r="E43" s="206">
        <f t="shared" si="9"/>
        <v>369</v>
      </c>
      <c r="F43" s="373">
        <v>33.74</v>
      </c>
      <c r="G43" s="215">
        <f t="shared" si="7"/>
        <v>33.341999999999999</v>
      </c>
      <c r="H43" s="215" t="str">
        <f t="shared" si="2"/>
        <v>IN</v>
      </c>
      <c r="I43" s="217">
        <f t="shared" si="3"/>
        <v>680.82199999999989</v>
      </c>
      <c r="J43" s="217">
        <f t="shared" si="4"/>
        <v>11360.307999999999</v>
      </c>
      <c r="K43" s="381">
        <f t="shared" si="5"/>
        <v>138.61816893200916</v>
      </c>
      <c r="L43" s="490" t="s">
        <v>116</v>
      </c>
      <c r="M43" s="491"/>
      <c r="N43" s="18"/>
    </row>
    <row r="44" spans="2:19" s="16" customFormat="1" ht="13.35" customHeight="1" thickBot="1">
      <c r="B44" s="213">
        <f t="shared" si="8"/>
        <v>20</v>
      </c>
      <c r="C44" s="213"/>
      <c r="D44" s="214">
        <v>7</v>
      </c>
      <c r="E44" s="206">
        <f t="shared" si="9"/>
        <v>368</v>
      </c>
      <c r="F44" s="373">
        <v>33.29</v>
      </c>
      <c r="G44" s="215">
        <f t="shared" si="7"/>
        <v>32.891999999999996</v>
      </c>
      <c r="H44" s="215" t="str">
        <f t="shared" si="2"/>
        <v>IN</v>
      </c>
      <c r="I44" s="217">
        <f t="shared" si="3"/>
        <v>713.71399999999994</v>
      </c>
      <c r="J44" s="217">
        <f t="shared" si="4"/>
        <v>11327.415999999999</v>
      </c>
      <c r="K44" s="381">
        <f t="shared" si="5"/>
        <v>139.32440464782277</v>
      </c>
      <c r="L44" s="492" t="s">
        <v>117</v>
      </c>
      <c r="M44" s="493"/>
      <c r="N44" s="18"/>
    </row>
    <row r="45" spans="2:19" s="16" customFormat="1" ht="13.35" customHeight="1">
      <c r="B45" s="213">
        <f t="shared" si="8"/>
        <v>21</v>
      </c>
      <c r="C45" s="213"/>
      <c r="D45" s="214">
        <v>7</v>
      </c>
      <c r="E45" s="206">
        <f t="shared" si="9"/>
        <v>367</v>
      </c>
      <c r="F45" s="373">
        <v>33.54</v>
      </c>
      <c r="G45" s="215">
        <f t="shared" si="7"/>
        <v>33.141999999999996</v>
      </c>
      <c r="H45" s="215" t="str">
        <f t="shared" si="2"/>
        <v>IN</v>
      </c>
      <c r="I45" s="217">
        <f t="shared" si="3"/>
        <v>746.85599999999999</v>
      </c>
      <c r="J45" s="217">
        <f t="shared" si="4"/>
        <v>11294.273999999999</v>
      </c>
      <c r="K45" s="381">
        <f t="shared" si="5"/>
        <v>140.03600820168066</v>
      </c>
      <c r="L45" s="429"/>
      <c r="M45" s="429"/>
      <c r="N45" s="18"/>
    </row>
    <row r="46" spans="2:19" s="16" customFormat="1" ht="13.35" customHeight="1">
      <c r="B46" s="213">
        <f t="shared" si="8"/>
        <v>22</v>
      </c>
      <c r="C46" s="213"/>
      <c r="D46" s="214">
        <v>7</v>
      </c>
      <c r="E46" s="206">
        <f t="shared" si="9"/>
        <v>366</v>
      </c>
      <c r="F46" s="373">
        <v>33.46</v>
      </c>
      <c r="G46" s="215">
        <f t="shared" si="7"/>
        <v>33.061999999999998</v>
      </c>
      <c r="H46" s="215" t="str">
        <f t="shared" si="2"/>
        <v>IN</v>
      </c>
      <c r="I46" s="217">
        <f t="shared" si="3"/>
        <v>779.91800000000001</v>
      </c>
      <c r="J46" s="217">
        <f t="shared" si="4"/>
        <v>11261.212</v>
      </c>
      <c r="K46" s="381">
        <f t="shared" si="5"/>
        <v>140.7458940473644</v>
      </c>
      <c r="L46" s="429"/>
      <c r="M46" s="429"/>
      <c r="N46" s="18"/>
    </row>
    <row r="47" spans="2:19" s="16" customFormat="1" ht="13.35" customHeight="1">
      <c r="B47" s="213">
        <f t="shared" si="8"/>
        <v>23</v>
      </c>
      <c r="C47" s="213"/>
      <c r="D47" s="214">
        <v>7</v>
      </c>
      <c r="E47" s="206">
        <f t="shared" si="9"/>
        <v>365</v>
      </c>
      <c r="F47" s="373">
        <v>33.950000000000003</v>
      </c>
      <c r="G47" s="215">
        <f t="shared" si="7"/>
        <v>33.552</v>
      </c>
      <c r="H47" s="215" t="str">
        <f t="shared" si="2"/>
        <v>IN</v>
      </c>
      <c r="I47" s="217">
        <f t="shared" si="3"/>
        <v>813.47</v>
      </c>
      <c r="J47" s="217">
        <f t="shared" si="4"/>
        <v>11227.66</v>
      </c>
      <c r="K47" s="381">
        <f t="shared" si="5"/>
        <v>141.46630085561497</v>
      </c>
      <c r="L47" s="429"/>
      <c r="M47" s="429"/>
      <c r="N47" s="18"/>
    </row>
    <row r="48" spans="2:19" s="16" customFormat="1" ht="13.35" customHeight="1">
      <c r="B48" s="213">
        <f t="shared" si="8"/>
        <v>24</v>
      </c>
      <c r="C48" s="213"/>
      <c r="D48" s="214">
        <v>7</v>
      </c>
      <c r="E48" s="206">
        <f t="shared" si="9"/>
        <v>364</v>
      </c>
      <c r="F48" s="373">
        <v>33.590000000000003</v>
      </c>
      <c r="G48" s="215">
        <f t="shared" si="7"/>
        <v>33.192</v>
      </c>
      <c r="H48" s="215" t="str">
        <f t="shared" si="2"/>
        <v>IN</v>
      </c>
      <c r="I48" s="217">
        <f t="shared" si="3"/>
        <v>846.66200000000003</v>
      </c>
      <c r="J48" s="217">
        <f t="shared" si="4"/>
        <v>11194.467999999999</v>
      </c>
      <c r="K48" s="381">
        <f t="shared" si="5"/>
        <v>142.17897797708173</v>
      </c>
      <c r="L48" s="429"/>
      <c r="M48" s="429"/>
      <c r="N48" s="18"/>
    </row>
    <row r="49" spans="2:14" s="16" customFormat="1" ht="13.35" customHeight="1">
      <c r="B49" s="213">
        <f t="shared" si="8"/>
        <v>25</v>
      </c>
      <c r="C49" s="213"/>
      <c r="D49" s="214">
        <v>7</v>
      </c>
      <c r="E49" s="206">
        <f t="shared" si="9"/>
        <v>363</v>
      </c>
      <c r="F49" s="373">
        <v>32.880000000000003</v>
      </c>
      <c r="G49" s="215">
        <f t="shared" si="7"/>
        <v>32.481999999999999</v>
      </c>
      <c r="H49" s="215" t="str">
        <f t="shared" si="2"/>
        <v>IN</v>
      </c>
      <c r="I49" s="217">
        <f t="shared" si="3"/>
        <v>879.14400000000001</v>
      </c>
      <c r="J49" s="217">
        <f t="shared" si="4"/>
        <v>11161.985999999999</v>
      </c>
      <c r="K49" s="381">
        <f t="shared" si="5"/>
        <v>142.87641043850266</v>
      </c>
      <c r="L49" s="429"/>
      <c r="M49" s="429"/>
      <c r="N49" s="18"/>
    </row>
    <row r="50" spans="2:14" s="16" customFormat="1" ht="13.35" customHeight="1">
      <c r="B50" s="213">
        <f t="shared" si="8"/>
        <v>26</v>
      </c>
      <c r="C50" s="213"/>
      <c r="D50" s="214">
        <v>7</v>
      </c>
      <c r="E50" s="206">
        <f t="shared" si="9"/>
        <v>362</v>
      </c>
      <c r="F50" s="373">
        <v>31.5</v>
      </c>
      <c r="G50" s="215">
        <f t="shared" si="7"/>
        <v>31.102</v>
      </c>
      <c r="H50" s="215" t="str">
        <f t="shared" si="2"/>
        <v>IN</v>
      </c>
      <c r="I50" s="217">
        <f t="shared" si="3"/>
        <v>910.24599999999998</v>
      </c>
      <c r="J50" s="217">
        <f t="shared" si="4"/>
        <v>11130.884</v>
      </c>
      <c r="K50" s="381">
        <f t="shared" si="5"/>
        <v>143.54421243391903</v>
      </c>
      <c r="L50" s="429"/>
      <c r="M50" s="429"/>
      <c r="N50" s="18"/>
    </row>
    <row r="51" spans="2:14" s="16" customFormat="1" ht="13.35" customHeight="1">
      <c r="B51" s="213">
        <f t="shared" si="8"/>
        <v>27</v>
      </c>
      <c r="C51" s="213"/>
      <c r="D51" s="214">
        <v>7</v>
      </c>
      <c r="E51" s="206">
        <f t="shared" si="9"/>
        <v>361</v>
      </c>
      <c r="F51" s="373">
        <v>33.450000000000003</v>
      </c>
      <c r="G51" s="215">
        <f t="shared" si="7"/>
        <v>33.052</v>
      </c>
      <c r="H51" s="215" t="str">
        <f t="shared" si="2"/>
        <v>IN</v>
      </c>
      <c r="I51" s="217">
        <f t="shared" si="3"/>
        <v>943.298</v>
      </c>
      <c r="J51" s="217">
        <f t="shared" si="4"/>
        <v>11097.831999999999</v>
      </c>
      <c r="K51" s="381">
        <f t="shared" si="5"/>
        <v>144.25388356608099</v>
      </c>
      <c r="L51" s="429"/>
      <c r="M51" s="429"/>
      <c r="N51" s="18"/>
    </row>
    <row r="52" spans="2:14" s="16" customFormat="1" ht="13.35" customHeight="1">
      <c r="B52" s="213">
        <f t="shared" si="8"/>
        <v>28</v>
      </c>
      <c r="C52" s="213"/>
      <c r="D52" s="214">
        <v>7</v>
      </c>
      <c r="E52" s="206">
        <f t="shared" si="9"/>
        <v>360</v>
      </c>
      <c r="F52" s="373">
        <v>33.06</v>
      </c>
      <c r="G52" s="215">
        <f t="shared" si="7"/>
        <v>32.661999999999999</v>
      </c>
      <c r="H52" s="215" t="str">
        <f t="shared" si="2"/>
        <v>IN</v>
      </c>
      <c r="I52" s="217">
        <f t="shared" si="3"/>
        <v>975.96</v>
      </c>
      <c r="J52" s="217">
        <f t="shared" si="4"/>
        <v>11065.169999999998</v>
      </c>
      <c r="K52" s="381">
        <f t="shared" si="5"/>
        <v>144.9551808708938</v>
      </c>
      <c r="L52" s="429"/>
      <c r="M52" s="429"/>
      <c r="N52" s="18"/>
    </row>
    <row r="53" spans="2:14" s="16" customFormat="1" ht="13.35" customHeight="1">
      <c r="B53" s="213">
        <f t="shared" si="8"/>
        <v>29</v>
      </c>
      <c r="C53" s="213"/>
      <c r="D53" s="214">
        <v>7</v>
      </c>
      <c r="E53" s="206">
        <f t="shared" si="9"/>
        <v>359</v>
      </c>
      <c r="F53" s="373">
        <v>33.049999999999997</v>
      </c>
      <c r="G53" s="215">
        <f t="shared" si="7"/>
        <v>32.651999999999994</v>
      </c>
      <c r="H53" s="215" t="str">
        <f t="shared" si="2"/>
        <v>IN</v>
      </c>
      <c r="I53" s="217">
        <f t="shared" si="3"/>
        <v>1008.6120000000001</v>
      </c>
      <c r="J53" s="217">
        <f t="shared" si="4"/>
        <v>11032.518</v>
      </c>
      <c r="K53" s="381">
        <f t="shared" si="5"/>
        <v>145.65626346218488</v>
      </c>
      <c r="L53" s="429"/>
      <c r="M53" s="429"/>
      <c r="N53" s="18"/>
    </row>
    <row r="54" spans="2:14" s="16" customFormat="1" ht="13.35" customHeight="1">
      <c r="B54" s="213">
        <f t="shared" si="8"/>
        <v>30</v>
      </c>
      <c r="C54" s="213"/>
      <c r="D54" s="214">
        <v>7</v>
      </c>
      <c r="E54" s="206">
        <f t="shared" si="9"/>
        <v>358</v>
      </c>
      <c r="F54" s="373">
        <v>33.29</v>
      </c>
      <c r="G54" s="215">
        <f t="shared" si="7"/>
        <v>32.891999999999996</v>
      </c>
      <c r="H54" s="215" t="str">
        <f t="shared" si="2"/>
        <v>IN</v>
      </c>
      <c r="I54" s="217">
        <f t="shared" si="3"/>
        <v>1041.5040000000001</v>
      </c>
      <c r="J54" s="217">
        <f t="shared" si="4"/>
        <v>10999.625999999998</v>
      </c>
      <c r="K54" s="381">
        <f t="shared" si="5"/>
        <v>146.36249917799847</v>
      </c>
      <c r="L54" s="429"/>
      <c r="M54" s="429"/>
      <c r="N54" s="18"/>
    </row>
    <row r="55" spans="2:14" s="16" customFormat="1" ht="13.35" customHeight="1">
      <c r="B55" s="213">
        <f t="shared" si="8"/>
        <v>31</v>
      </c>
      <c r="C55" s="213"/>
      <c r="D55" s="214">
        <v>7</v>
      </c>
      <c r="E55" s="206">
        <f t="shared" si="9"/>
        <v>357</v>
      </c>
      <c r="F55" s="373">
        <v>33.200000000000003</v>
      </c>
      <c r="G55" s="215">
        <f t="shared" si="7"/>
        <v>32.802</v>
      </c>
      <c r="H55" s="215" t="str">
        <f t="shared" si="2"/>
        <v>IN</v>
      </c>
      <c r="I55" s="217">
        <f t="shared" si="3"/>
        <v>1074.306</v>
      </c>
      <c r="J55" s="217">
        <f t="shared" si="4"/>
        <v>10966.823999999999</v>
      </c>
      <c r="K55" s="381">
        <f t="shared" si="5"/>
        <v>147.06680247211611</v>
      </c>
      <c r="L55" s="429"/>
      <c r="M55" s="429"/>
      <c r="N55" s="18"/>
    </row>
    <row r="56" spans="2:14" s="16" customFormat="1" ht="13.35" customHeight="1">
      <c r="B56" s="213">
        <f t="shared" si="8"/>
        <v>32</v>
      </c>
      <c r="C56" s="213"/>
      <c r="D56" s="214">
        <v>7</v>
      </c>
      <c r="E56" s="206">
        <f t="shared" si="9"/>
        <v>356</v>
      </c>
      <c r="F56" s="373">
        <v>33.520000000000003</v>
      </c>
      <c r="G56" s="215">
        <f t="shared" si="7"/>
        <v>33.122</v>
      </c>
      <c r="H56" s="215" t="str">
        <f t="shared" si="2"/>
        <v>IN</v>
      </c>
      <c r="I56" s="217">
        <f t="shared" si="3"/>
        <v>1107.4280000000001</v>
      </c>
      <c r="J56" s="217">
        <f t="shared" si="4"/>
        <v>10933.701999999999</v>
      </c>
      <c r="K56" s="381">
        <f t="shared" si="5"/>
        <v>147.77797659893048</v>
      </c>
      <c r="L56" s="429"/>
      <c r="M56" s="429"/>
      <c r="N56" s="18"/>
    </row>
    <row r="57" spans="2:14" s="16" customFormat="1" ht="13.35" customHeight="1">
      <c r="B57" s="213">
        <f t="shared" si="8"/>
        <v>33</v>
      </c>
      <c r="C57" s="213"/>
      <c r="D57" s="214">
        <v>7</v>
      </c>
      <c r="E57" s="206">
        <f t="shared" si="9"/>
        <v>355</v>
      </c>
      <c r="F57" s="373">
        <v>33</v>
      </c>
      <c r="G57" s="215">
        <f t="shared" si="7"/>
        <v>32.601999999999997</v>
      </c>
      <c r="H57" s="215" t="str">
        <f t="shared" si="2"/>
        <v>IN</v>
      </c>
      <c r="I57" s="217">
        <f t="shared" si="3"/>
        <v>1140.0300000000002</v>
      </c>
      <c r="J57" s="217">
        <f t="shared" si="4"/>
        <v>10901.099999999999</v>
      </c>
      <c r="K57" s="381">
        <f t="shared" si="5"/>
        <v>148.47798562261269</v>
      </c>
      <c r="L57" s="429"/>
      <c r="M57" s="429"/>
      <c r="N57" s="18"/>
    </row>
    <row r="58" spans="2:14" s="16" customFormat="1" ht="13.35" customHeight="1">
      <c r="B58" s="213">
        <f t="shared" si="8"/>
        <v>34</v>
      </c>
      <c r="C58" s="213"/>
      <c r="D58" s="214">
        <v>7</v>
      </c>
      <c r="E58" s="206">
        <f t="shared" si="9"/>
        <v>354</v>
      </c>
      <c r="F58" s="373">
        <v>33.75</v>
      </c>
      <c r="G58" s="215">
        <f t="shared" si="7"/>
        <v>33.351999999999997</v>
      </c>
      <c r="H58" s="215" t="str">
        <f t="shared" si="2"/>
        <v>IN</v>
      </c>
      <c r="I58" s="217">
        <f t="shared" si="3"/>
        <v>1173.3820000000003</v>
      </c>
      <c r="J58" s="217">
        <f t="shared" si="4"/>
        <v>10867.748</v>
      </c>
      <c r="K58" s="381">
        <f t="shared" si="5"/>
        <v>149.19409816042781</v>
      </c>
      <c r="L58" s="429"/>
      <c r="M58" s="429"/>
      <c r="N58" s="18"/>
    </row>
    <row r="59" spans="2:14" s="16" customFormat="1" ht="13.35" customHeight="1">
      <c r="B59" s="213">
        <f t="shared" si="8"/>
        <v>35</v>
      </c>
      <c r="C59" s="213"/>
      <c r="D59" s="214">
        <v>7</v>
      </c>
      <c r="E59" s="206">
        <f t="shared" si="9"/>
        <v>353</v>
      </c>
      <c r="F59" s="373">
        <v>32.81</v>
      </c>
      <c r="G59" s="215">
        <f t="shared" si="7"/>
        <v>32.411999999999999</v>
      </c>
      <c r="H59" s="215" t="str">
        <f t="shared" si="2"/>
        <v>IN</v>
      </c>
      <c r="I59" s="217">
        <f t="shared" si="3"/>
        <v>1205.7940000000003</v>
      </c>
      <c r="J59" s="217">
        <f t="shared" si="4"/>
        <v>10835.335999999999</v>
      </c>
      <c r="K59" s="381">
        <f t="shared" si="5"/>
        <v>149.89002762719633</v>
      </c>
      <c r="L59" s="429"/>
      <c r="M59" s="429"/>
      <c r="N59" s="18"/>
    </row>
    <row r="60" spans="2:14" s="16" customFormat="1" ht="13.35" customHeight="1">
      <c r="B60" s="213">
        <f t="shared" si="8"/>
        <v>36</v>
      </c>
      <c r="C60" s="213"/>
      <c r="D60" s="214">
        <v>7</v>
      </c>
      <c r="E60" s="206">
        <f t="shared" si="9"/>
        <v>352</v>
      </c>
      <c r="F60" s="373">
        <v>33.19</v>
      </c>
      <c r="G60" s="215">
        <f t="shared" si="7"/>
        <v>32.791999999999994</v>
      </c>
      <c r="H60" s="215" t="str">
        <f t="shared" si="2"/>
        <v>IN</v>
      </c>
      <c r="I60" s="217">
        <f t="shared" si="3"/>
        <v>1238.5860000000002</v>
      </c>
      <c r="J60" s="217">
        <f t="shared" si="4"/>
        <v>10802.543999999998</v>
      </c>
      <c r="K60" s="381">
        <f t="shared" si="5"/>
        <v>150.59411620779221</v>
      </c>
      <c r="L60" s="429"/>
      <c r="M60" s="429"/>
      <c r="N60" s="18"/>
    </row>
    <row r="61" spans="2:14" s="16" customFormat="1" ht="13.35" customHeight="1">
      <c r="B61" s="213">
        <f t="shared" si="8"/>
        <v>37</v>
      </c>
      <c r="C61" s="213"/>
      <c r="D61" s="214">
        <v>7</v>
      </c>
      <c r="E61" s="206">
        <f t="shared" si="9"/>
        <v>351</v>
      </c>
      <c r="F61" s="373">
        <v>33.049999999999997</v>
      </c>
      <c r="G61" s="215">
        <f t="shared" si="7"/>
        <v>32.651999999999994</v>
      </c>
      <c r="H61" s="215" t="str">
        <f t="shared" si="2"/>
        <v>IN</v>
      </c>
      <c r="I61" s="217">
        <f t="shared" si="3"/>
        <v>1271.2380000000003</v>
      </c>
      <c r="J61" s="217">
        <f t="shared" si="4"/>
        <v>10769.892</v>
      </c>
      <c r="K61" s="381">
        <f t="shared" si="5"/>
        <v>151.29519879908327</v>
      </c>
      <c r="L61" s="429"/>
      <c r="M61" s="429"/>
      <c r="N61" s="18"/>
    </row>
    <row r="62" spans="2:14" s="16" customFormat="1" ht="13.35" customHeight="1">
      <c r="B62" s="213">
        <f t="shared" si="8"/>
        <v>38</v>
      </c>
      <c r="C62" s="213"/>
      <c r="D62" s="214">
        <v>7</v>
      </c>
      <c r="E62" s="206">
        <f t="shared" si="9"/>
        <v>350</v>
      </c>
      <c r="F62" s="373">
        <v>31.37</v>
      </c>
      <c r="G62" s="215">
        <f t="shared" si="7"/>
        <v>30.972000000000001</v>
      </c>
      <c r="H62" s="215" t="str">
        <f t="shared" si="2"/>
        <v>IN</v>
      </c>
      <c r="I62" s="217">
        <f t="shared" si="3"/>
        <v>1302.2100000000003</v>
      </c>
      <c r="J62" s="217">
        <f t="shared" si="4"/>
        <v>10738.919999999998</v>
      </c>
      <c r="K62" s="381">
        <f t="shared" si="5"/>
        <v>151.96020951871657</v>
      </c>
      <c r="L62" s="400"/>
      <c r="M62" s="400"/>
      <c r="N62" s="18"/>
    </row>
    <row r="63" spans="2:14" s="16" customFormat="1" ht="13.35" customHeight="1">
      <c r="B63" s="213">
        <f t="shared" si="8"/>
        <v>39</v>
      </c>
      <c r="C63" s="213"/>
      <c r="D63" s="214">
        <v>7</v>
      </c>
      <c r="E63" s="206">
        <f t="shared" si="9"/>
        <v>349</v>
      </c>
      <c r="F63" s="373">
        <v>33.15</v>
      </c>
      <c r="G63" s="215">
        <f t="shared" si="7"/>
        <v>32.751999999999995</v>
      </c>
      <c r="H63" s="215" t="str">
        <f t="shared" si="2"/>
        <v>IN</v>
      </c>
      <c r="I63" s="217">
        <f t="shared" si="3"/>
        <v>1334.9620000000002</v>
      </c>
      <c r="J63" s="217">
        <f t="shared" si="4"/>
        <v>10706.168</v>
      </c>
      <c r="K63" s="381">
        <f t="shared" si="5"/>
        <v>152.66343924522536</v>
      </c>
      <c r="L63" s="403" t="s">
        <v>219</v>
      </c>
      <c r="M63" s="404"/>
      <c r="N63" s="18"/>
    </row>
    <row r="64" spans="2:14" s="16" customFormat="1" ht="13.35" customHeight="1">
      <c r="B64" s="213">
        <f t="shared" si="8"/>
        <v>40</v>
      </c>
      <c r="C64" s="213"/>
      <c r="D64" s="214">
        <v>7</v>
      </c>
      <c r="E64" s="206">
        <f t="shared" si="9"/>
        <v>348</v>
      </c>
      <c r="F64" s="373">
        <v>33.26</v>
      </c>
      <c r="G64" s="215">
        <f t="shared" si="7"/>
        <v>32.861999999999995</v>
      </c>
      <c r="H64" s="215" t="str">
        <f t="shared" si="2"/>
        <v>IN</v>
      </c>
      <c r="I64" s="217">
        <f t="shared" si="3"/>
        <v>1367.8240000000003</v>
      </c>
      <c r="J64" s="217">
        <f t="shared" si="4"/>
        <v>10673.305999999999</v>
      </c>
      <c r="K64" s="381">
        <f t="shared" si="5"/>
        <v>153.36903082047365</v>
      </c>
      <c r="L64" s="405" t="s">
        <v>220</v>
      </c>
      <c r="M64" s="406"/>
      <c r="N64" s="18"/>
    </row>
    <row r="65" spans="2:14" s="16" customFormat="1" ht="13.35" customHeight="1">
      <c r="B65" s="213">
        <f t="shared" si="8"/>
        <v>41</v>
      </c>
      <c r="C65" s="213"/>
      <c r="D65" s="214">
        <v>7</v>
      </c>
      <c r="E65" s="206">
        <f t="shared" si="9"/>
        <v>347</v>
      </c>
      <c r="F65" s="373">
        <v>33.47</v>
      </c>
      <c r="G65" s="215">
        <f t="shared" si="7"/>
        <v>33.071999999999996</v>
      </c>
      <c r="H65" s="215" t="str">
        <f t="shared" si="2"/>
        <v>IN</v>
      </c>
      <c r="I65" s="217">
        <f t="shared" si="3"/>
        <v>1400.8960000000002</v>
      </c>
      <c r="J65" s="217">
        <f t="shared" si="4"/>
        <v>10640.233999999999</v>
      </c>
      <c r="K65" s="381">
        <f t="shared" si="5"/>
        <v>154.07913137967915</v>
      </c>
      <c r="L65" s="405" t="s">
        <v>221</v>
      </c>
      <c r="M65" s="406"/>
      <c r="N65" s="18"/>
    </row>
    <row r="66" spans="2:14" s="16" customFormat="1" ht="13.35" customHeight="1">
      <c r="B66" s="213">
        <f t="shared" si="8"/>
        <v>42</v>
      </c>
      <c r="C66" s="213"/>
      <c r="D66" s="214">
        <v>7</v>
      </c>
      <c r="E66" s="206">
        <f t="shared" si="9"/>
        <v>346</v>
      </c>
      <c r="F66" s="373">
        <v>33.08</v>
      </c>
      <c r="G66" s="215">
        <f t="shared" si="7"/>
        <v>32.681999999999995</v>
      </c>
      <c r="H66" s="215" t="str">
        <f t="shared" si="2"/>
        <v>IN</v>
      </c>
      <c r="I66" s="217">
        <f t="shared" si="3"/>
        <v>1433.5780000000002</v>
      </c>
      <c r="J66" s="217">
        <f t="shared" si="4"/>
        <v>10607.552</v>
      </c>
      <c r="K66" s="381">
        <f t="shared" si="5"/>
        <v>154.78085811153554</v>
      </c>
      <c r="L66" s="401"/>
      <c r="M66" s="402"/>
      <c r="N66" s="18"/>
    </row>
    <row r="67" spans="2:14" s="16" customFormat="1" ht="13.35" customHeight="1">
      <c r="B67" s="213">
        <f t="shared" si="8"/>
        <v>43</v>
      </c>
      <c r="C67" s="213"/>
      <c r="D67" s="214">
        <v>7</v>
      </c>
      <c r="E67" s="206">
        <f t="shared" si="9"/>
        <v>345</v>
      </c>
      <c r="F67" s="373">
        <v>33.43</v>
      </c>
      <c r="G67" s="215">
        <f t="shared" si="7"/>
        <v>33.031999999999996</v>
      </c>
      <c r="H67" s="215" t="str">
        <f t="shared" si="2"/>
        <v>IN</v>
      </c>
      <c r="I67" s="217">
        <f t="shared" si="3"/>
        <v>1466.6100000000001</v>
      </c>
      <c r="J67" s="217">
        <f t="shared" si="4"/>
        <v>10574.519999999999</v>
      </c>
      <c r="K67" s="381">
        <f t="shared" si="5"/>
        <v>155.49009981665392</v>
      </c>
      <c r="L67" s="429"/>
      <c r="M67" s="429"/>
      <c r="N67" s="18"/>
    </row>
    <row r="68" spans="2:14" s="16" customFormat="1" ht="13.35" customHeight="1">
      <c r="B68" s="213">
        <f t="shared" si="8"/>
        <v>44</v>
      </c>
      <c r="C68" s="213"/>
      <c r="D68" s="214">
        <v>7</v>
      </c>
      <c r="E68" s="206">
        <f t="shared" si="9"/>
        <v>344</v>
      </c>
      <c r="F68" s="373">
        <v>32.51</v>
      </c>
      <c r="G68" s="215">
        <f t="shared" si="7"/>
        <v>32.111999999999995</v>
      </c>
      <c r="H68" s="215" t="str">
        <f t="shared" si="2"/>
        <v>IN</v>
      </c>
      <c r="I68" s="217">
        <f t="shared" si="3"/>
        <v>1498.7220000000002</v>
      </c>
      <c r="J68" s="217">
        <f t="shared" si="4"/>
        <v>10542.407999999999</v>
      </c>
      <c r="K68" s="381">
        <f t="shared" si="5"/>
        <v>156.17958787776928</v>
      </c>
      <c r="L68" s="429"/>
      <c r="M68" s="429"/>
      <c r="N68" s="18"/>
    </row>
    <row r="69" spans="2:14" s="16" customFormat="1" ht="13.35" customHeight="1">
      <c r="B69" s="213">
        <f t="shared" si="8"/>
        <v>45</v>
      </c>
      <c r="C69" s="213"/>
      <c r="D69" s="214">
        <v>7</v>
      </c>
      <c r="E69" s="206">
        <f t="shared" si="9"/>
        <v>343</v>
      </c>
      <c r="F69" s="373">
        <v>33.14</v>
      </c>
      <c r="G69" s="215">
        <f t="shared" si="7"/>
        <v>32.741999999999997</v>
      </c>
      <c r="H69" s="215" t="str">
        <f t="shared" si="2"/>
        <v>IN</v>
      </c>
      <c r="I69" s="217">
        <f t="shared" si="3"/>
        <v>1531.4640000000002</v>
      </c>
      <c r="J69" s="217">
        <f t="shared" si="4"/>
        <v>10509.665999999999</v>
      </c>
      <c r="K69" s="381">
        <f t="shared" si="5"/>
        <v>156.88260289075632</v>
      </c>
      <c r="L69" s="429"/>
      <c r="M69" s="429"/>
      <c r="N69" s="18"/>
    </row>
    <row r="70" spans="2:14" s="16" customFormat="1" ht="13.35" customHeight="1">
      <c r="B70" s="213">
        <f t="shared" si="8"/>
        <v>46</v>
      </c>
      <c r="C70" s="213"/>
      <c r="D70" s="214">
        <v>7</v>
      </c>
      <c r="E70" s="206">
        <f t="shared" si="9"/>
        <v>342</v>
      </c>
      <c r="F70" s="373">
        <v>31.44</v>
      </c>
      <c r="G70" s="215">
        <f t="shared" si="7"/>
        <v>31.042000000000002</v>
      </c>
      <c r="H70" s="215" t="str">
        <f t="shared" si="2"/>
        <v>IN</v>
      </c>
      <c r="I70" s="217">
        <f t="shared" si="3"/>
        <v>1562.5060000000001</v>
      </c>
      <c r="J70" s="217">
        <f t="shared" si="4"/>
        <v>10478.624</v>
      </c>
      <c r="K70" s="381">
        <f t="shared" si="5"/>
        <v>157.54911660504203</v>
      </c>
      <c r="L70" s="429"/>
      <c r="M70" s="429"/>
      <c r="N70" s="18"/>
    </row>
    <row r="71" spans="2:14" s="16" customFormat="1" ht="13.35" customHeight="1">
      <c r="B71" s="213">
        <f t="shared" si="8"/>
        <v>47</v>
      </c>
      <c r="C71" s="213"/>
      <c r="D71" s="214">
        <v>7</v>
      </c>
      <c r="E71" s="206">
        <f t="shared" si="9"/>
        <v>341</v>
      </c>
      <c r="F71" s="373">
        <v>33.85</v>
      </c>
      <c r="G71" s="215">
        <f t="shared" si="7"/>
        <v>33.451999999999998</v>
      </c>
      <c r="H71" s="215" t="str">
        <f t="shared" si="2"/>
        <v>IN</v>
      </c>
      <c r="I71" s="217">
        <f t="shared" si="3"/>
        <v>1595.9580000000001</v>
      </c>
      <c r="J71" s="217">
        <f t="shared" si="4"/>
        <v>10445.171999999999</v>
      </c>
      <c r="K71" s="381">
        <f t="shared" si="5"/>
        <v>158.26737627807486</v>
      </c>
      <c r="L71" s="451"/>
      <c r="M71" s="451"/>
      <c r="N71" s="18"/>
    </row>
    <row r="72" spans="2:14" s="16" customFormat="1" ht="13.35" customHeight="1">
      <c r="B72" s="213">
        <f t="shared" si="8"/>
        <v>48</v>
      </c>
      <c r="C72" s="213"/>
      <c r="D72" s="214">
        <v>7</v>
      </c>
      <c r="E72" s="206">
        <f t="shared" si="9"/>
        <v>340</v>
      </c>
      <c r="F72" s="373">
        <v>31.65</v>
      </c>
      <c r="G72" s="215">
        <f t="shared" si="7"/>
        <v>31.251999999999999</v>
      </c>
      <c r="H72" s="215" t="str">
        <f t="shared" si="2"/>
        <v>IN</v>
      </c>
      <c r="I72" s="217">
        <f t="shared" si="3"/>
        <v>1627.21</v>
      </c>
      <c r="J72" s="217">
        <f t="shared" si="4"/>
        <v>10413.919999999998</v>
      </c>
      <c r="K72" s="381">
        <f t="shared" si="5"/>
        <v>158.93839897631781</v>
      </c>
      <c r="L72" s="451"/>
      <c r="M72" s="451"/>
      <c r="N72" s="18"/>
    </row>
    <row r="73" spans="2:14" s="16" customFormat="1" ht="13.35" customHeight="1">
      <c r="B73" s="213">
        <f t="shared" si="8"/>
        <v>49</v>
      </c>
      <c r="C73" s="213"/>
      <c r="D73" s="214">
        <v>7</v>
      </c>
      <c r="E73" s="206">
        <f t="shared" si="9"/>
        <v>339</v>
      </c>
      <c r="F73" s="373">
        <v>33.39</v>
      </c>
      <c r="G73" s="215">
        <f t="shared" si="7"/>
        <v>32.991999999999997</v>
      </c>
      <c r="H73" s="215" t="str">
        <f t="shared" si="2"/>
        <v>IN</v>
      </c>
      <c r="I73" s="217">
        <f t="shared" si="3"/>
        <v>1660.202</v>
      </c>
      <c r="J73" s="217">
        <f t="shared" si="4"/>
        <v>10380.928</v>
      </c>
      <c r="K73" s="381">
        <f t="shared" si="5"/>
        <v>159.64678182734912</v>
      </c>
      <c r="L73" s="451"/>
      <c r="M73" s="451"/>
      <c r="N73" s="18"/>
    </row>
    <row r="74" spans="2:14" s="16" customFormat="1" ht="13.35" customHeight="1">
      <c r="B74" s="213">
        <f t="shared" si="8"/>
        <v>50</v>
      </c>
      <c r="C74" s="213"/>
      <c r="D74" s="214">
        <v>7</v>
      </c>
      <c r="E74" s="206">
        <f t="shared" si="9"/>
        <v>338</v>
      </c>
      <c r="F74" s="373">
        <v>32.700000000000003</v>
      </c>
      <c r="G74" s="215">
        <f t="shared" si="7"/>
        <v>32.302</v>
      </c>
      <c r="H74" s="215" t="str">
        <f t="shared" si="2"/>
        <v>IN</v>
      </c>
      <c r="I74" s="217">
        <f t="shared" si="3"/>
        <v>1692.5039999999999</v>
      </c>
      <c r="J74" s="217">
        <f t="shared" si="4"/>
        <v>10348.626</v>
      </c>
      <c r="K74" s="381">
        <f t="shared" si="5"/>
        <v>160.34034944537814</v>
      </c>
      <c r="L74" s="451"/>
      <c r="M74" s="451"/>
      <c r="N74" s="18"/>
    </row>
    <row r="75" spans="2:14" s="16" customFormat="1" ht="13.35" customHeight="1">
      <c r="B75" s="213">
        <f t="shared" si="8"/>
        <v>51</v>
      </c>
      <c r="C75" s="213"/>
      <c r="D75" s="214">
        <v>7</v>
      </c>
      <c r="E75" s="206">
        <f t="shared" si="9"/>
        <v>337</v>
      </c>
      <c r="F75" s="373">
        <v>32.97</v>
      </c>
      <c r="G75" s="215">
        <f t="shared" si="7"/>
        <v>32.571999999999996</v>
      </c>
      <c r="H75" s="215" t="str">
        <f t="shared" si="2"/>
        <v>IN</v>
      </c>
      <c r="I75" s="217">
        <f t="shared" si="3"/>
        <v>1725.0759999999998</v>
      </c>
      <c r="J75" s="217">
        <f t="shared" si="4"/>
        <v>10316.054</v>
      </c>
      <c r="K75" s="381">
        <f t="shared" si="5"/>
        <v>161.03971432849502</v>
      </c>
      <c r="L75" s="451"/>
      <c r="M75" s="451"/>
      <c r="N75" s="18"/>
    </row>
    <row r="76" spans="2:14" s="16" customFormat="1" ht="13.35" customHeight="1">
      <c r="B76" s="213">
        <f t="shared" si="8"/>
        <v>52</v>
      </c>
      <c r="C76" s="213"/>
      <c r="D76" s="214">
        <v>7</v>
      </c>
      <c r="E76" s="206">
        <f t="shared" si="9"/>
        <v>336</v>
      </c>
      <c r="F76" s="373">
        <v>33.200000000000003</v>
      </c>
      <c r="G76" s="215">
        <f t="shared" si="7"/>
        <v>32.802</v>
      </c>
      <c r="H76" s="215" t="str">
        <f t="shared" si="2"/>
        <v>IN</v>
      </c>
      <c r="I76" s="217">
        <f t="shared" si="3"/>
        <v>1757.8779999999997</v>
      </c>
      <c r="J76" s="217">
        <f t="shared" si="4"/>
        <v>10283.252</v>
      </c>
      <c r="K76" s="381">
        <f t="shared" si="5"/>
        <v>161.74401762261269</v>
      </c>
      <c r="L76" s="482"/>
      <c r="M76" s="482"/>
      <c r="N76" s="18"/>
    </row>
    <row r="77" spans="2:14" s="16" customFormat="1" ht="13.35" customHeight="1">
      <c r="B77" s="213">
        <f t="shared" si="8"/>
        <v>53</v>
      </c>
      <c r="C77" s="213"/>
      <c r="D77" s="214">
        <v>7</v>
      </c>
      <c r="E77" s="206">
        <f t="shared" si="9"/>
        <v>335</v>
      </c>
      <c r="F77" s="373">
        <v>32.76</v>
      </c>
      <c r="G77" s="215">
        <f t="shared" si="7"/>
        <v>32.361999999999995</v>
      </c>
      <c r="H77" s="215" t="str">
        <f t="shared" si="2"/>
        <v>IN</v>
      </c>
      <c r="I77" s="217">
        <f t="shared" si="3"/>
        <v>1790.2399999999998</v>
      </c>
      <c r="J77" s="217">
        <f t="shared" si="4"/>
        <v>10250.89</v>
      </c>
      <c r="K77" s="381">
        <f t="shared" si="5"/>
        <v>162.43887352177234</v>
      </c>
      <c r="L77" s="451"/>
      <c r="M77" s="451"/>
      <c r="N77" s="18"/>
    </row>
    <row r="78" spans="2:14" s="16" customFormat="1" ht="13.35" customHeight="1">
      <c r="B78" s="213">
        <f t="shared" si="8"/>
        <v>54</v>
      </c>
      <c r="C78" s="213"/>
      <c r="D78" s="214">
        <v>7</v>
      </c>
      <c r="E78" s="206">
        <f t="shared" si="9"/>
        <v>334</v>
      </c>
      <c r="F78" s="373">
        <v>33.19</v>
      </c>
      <c r="G78" s="215">
        <f t="shared" si="7"/>
        <v>32.791999999999994</v>
      </c>
      <c r="H78" s="215" t="str">
        <f t="shared" si="2"/>
        <v>IN</v>
      </c>
      <c r="I78" s="217">
        <f t="shared" si="3"/>
        <v>1823.0319999999997</v>
      </c>
      <c r="J78" s="217">
        <f t="shared" si="4"/>
        <v>10218.098</v>
      </c>
      <c r="K78" s="381">
        <f t="shared" si="5"/>
        <v>163.14296210236822</v>
      </c>
      <c r="L78" s="451"/>
      <c r="M78" s="451"/>
      <c r="N78" s="18"/>
    </row>
    <row r="79" spans="2:14" s="16" customFormat="1" ht="13.35" customHeight="1">
      <c r="B79" s="374">
        <f t="shared" si="8"/>
        <v>55</v>
      </c>
      <c r="C79" s="374"/>
      <c r="D79" s="375">
        <v>7</v>
      </c>
      <c r="E79" s="376">
        <f t="shared" si="9"/>
        <v>333</v>
      </c>
      <c r="F79" s="409">
        <v>33.53</v>
      </c>
      <c r="G79" s="377">
        <f t="shared" si="7"/>
        <v>33.131999999999998</v>
      </c>
      <c r="H79" s="377" t="s">
        <v>25</v>
      </c>
      <c r="I79" s="377">
        <f t="shared" si="3"/>
        <v>1823.0319999999997</v>
      </c>
      <c r="J79" s="377">
        <f t="shared" si="4"/>
        <v>10218.098</v>
      </c>
      <c r="K79" s="378">
        <f t="shared" si="5"/>
        <v>163.14296210236822</v>
      </c>
      <c r="L79" s="481" t="s">
        <v>205</v>
      </c>
      <c r="M79" s="481"/>
      <c r="N79" s="18"/>
    </row>
    <row r="80" spans="2:14" s="16" customFormat="1" ht="13.35" customHeight="1">
      <c r="B80" s="213">
        <f t="shared" si="8"/>
        <v>56</v>
      </c>
      <c r="C80" s="213"/>
      <c r="D80" s="214">
        <v>7</v>
      </c>
      <c r="E80" s="206">
        <f t="shared" si="9"/>
        <v>332</v>
      </c>
      <c r="F80" s="373">
        <v>33.049999999999997</v>
      </c>
      <c r="G80" s="215">
        <f t="shared" si="7"/>
        <v>32.651999999999994</v>
      </c>
      <c r="H80" s="215" t="str">
        <f t="shared" si="2"/>
        <v>IN</v>
      </c>
      <c r="I80" s="217">
        <f t="shared" si="3"/>
        <v>1855.6839999999997</v>
      </c>
      <c r="J80" s="217">
        <f t="shared" si="4"/>
        <v>10185.446</v>
      </c>
      <c r="K80" s="381">
        <f t="shared" si="5"/>
        <v>163.84404469365927</v>
      </c>
      <c r="L80" s="451"/>
      <c r="M80" s="451"/>
      <c r="N80" s="18"/>
    </row>
    <row r="81" spans="2:14" s="16" customFormat="1" ht="13.35" customHeight="1">
      <c r="B81" s="213">
        <f t="shared" si="8"/>
        <v>57</v>
      </c>
      <c r="C81" s="213"/>
      <c r="D81" s="214">
        <v>7</v>
      </c>
      <c r="E81" s="206">
        <f t="shared" si="9"/>
        <v>331</v>
      </c>
      <c r="F81" s="373">
        <v>33.380000000000003</v>
      </c>
      <c r="G81" s="215">
        <f t="shared" si="7"/>
        <v>32.981999999999999</v>
      </c>
      <c r="H81" s="215" t="str">
        <f t="shared" ref="H81:H144" si="10">IF(F81="","OUT","IN")</f>
        <v>IN</v>
      </c>
      <c r="I81" s="217">
        <f t="shared" si="3"/>
        <v>1888.6659999999997</v>
      </c>
      <c r="J81" s="217">
        <f t="shared" si="4"/>
        <v>10152.464</v>
      </c>
      <c r="K81" s="381">
        <f t="shared" si="5"/>
        <v>164.55221283116884</v>
      </c>
      <c r="L81" s="451"/>
      <c r="M81" s="451"/>
      <c r="N81" s="18"/>
    </row>
    <row r="82" spans="2:14" s="16" customFormat="1" ht="13.35" customHeight="1">
      <c r="B82" s="213">
        <f t="shared" si="8"/>
        <v>58</v>
      </c>
      <c r="C82" s="213"/>
      <c r="D82" s="214">
        <v>7</v>
      </c>
      <c r="E82" s="206">
        <f t="shared" si="9"/>
        <v>330</v>
      </c>
      <c r="F82" s="373">
        <v>32.880000000000003</v>
      </c>
      <c r="G82" s="215">
        <f t="shared" si="7"/>
        <v>32.481999999999999</v>
      </c>
      <c r="H82" s="215" t="str">
        <f t="shared" si="10"/>
        <v>IN</v>
      </c>
      <c r="I82" s="217">
        <f t="shared" si="3"/>
        <v>1921.1479999999997</v>
      </c>
      <c r="J82" s="217">
        <f t="shared" si="4"/>
        <v>10119.982</v>
      </c>
      <c r="K82" s="381">
        <f t="shared" si="5"/>
        <v>165.24964529258975</v>
      </c>
      <c r="L82" s="451"/>
      <c r="M82" s="451"/>
      <c r="N82" s="18"/>
    </row>
    <row r="83" spans="2:14" s="16" customFormat="1" ht="13.35" customHeight="1">
      <c r="B83" s="213">
        <f t="shared" si="8"/>
        <v>59</v>
      </c>
      <c r="C83" s="213"/>
      <c r="D83" s="214">
        <v>7</v>
      </c>
      <c r="E83" s="206">
        <f t="shared" si="9"/>
        <v>329</v>
      </c>
      <c r="F83" s="373">
        <v>33.18</v>
      </c>
      <c r="G83" s="215">
        <f t="shared" si="7"/>
        <v>32.781999999999996</v>
      </c>
      <c r="H83" s="215" t="str">
        <f t="shared" si="10"/>
        <v>IN</v>
      </c>
      <c r="I83" s="217">
        <f t="shared" ref="I83:I146" si="11">IF(H83="IN",I82+G83,I82)</f>
        <v>1953.9299999999996</v>
      </c>
      <c r="J83" s="217">
        <f t="shared" ref="J83:J146" si="12">IF(I83="","",$L$9-I83)</f>
        <v>10087.199999999999</v>
      </c>
      <c r="K83" s="381">
        <f t="shared" ref="K83:K146" si="13">$H$9+(I83*$E$10*$H$11/1000)</f>
        <v>165.95351915966387</v>
      </c>
      <c r="L83" s="429"/>
      <c r="M83" s="429"/>
      <c r="N83" s="18"/>
    </row>
    <row r="84" spans="2:14" s="16" customFormat="1" ht="13.35" customHeight="1">
      <c r="B84" s="213">
        <f t="shared" si="8"/>
        <v>60</v>
      </c>
      <c r="C84" s="213"/>
      <c r="D84" s="214">
        <v>7</v>
      </c>
      <c r="E84" s="206">
        <f t="shared" si="9"/>
        <v>328</v>
      </c>
      <c r="F84" s="373">
        <v>33.64</v>
      </c>
      <c r="G84" s="215">
        <f t="shared" si="7"/>
        <v>33.241999999999997</v>
      </c>
      <c r="H84" s="215" t="str">
        <f t="shared" si="10"/>
        <v>IN</v>
      </c>
      <c r="I84" s="217">
        <f t="shared" si="11"/>
        <v>1987.1719999999996</v>
      </c>
      <c r="J84" s="217">
        <f t="shared" si="12"/>
        <v>10053.957999999999</v>
      </c>
      <c r="K84" s="381">
        <f t="shared" si="13"/>
        <v>166.66726984873949</v>
      </c>
      <c r="L84" s="451"/>
      <c r="M84" s="451"/>
      <c r="N84" s="18"/>
    </row>
    <row r="85" spans="2:14" s="16" customFormat="1" ht="13.35" customHeight="1">
      <c r="B85" s="213">
        <f t="shared" si="8"/>
        <v>61</v>
      </c>
      <c r="C85" s="213"/>
      <c r="D85" s="214">
        <v>7</v>
      </c>
      <c r="E85" s="206">
        <f t="shared" si="9"/>
        <v>327</v>
      </c>
      <c r="F85" s="373">
        <v>33.75</v>
      </c>
      <c r="G85" s="215">
        <f t="shared" si="7"/>
        <v>33.351999999999997</v>
      </c>
      <c r="H85" s="215" t="str">
        <f t="shared" si="10"/>
        <v>IN</v>
      </c>
      <c r="I85" s="217">
        <f t="shared" si="11"/>
        <v>2020.5239999999997</v>
      </c>
      <c r="J85" s="217">
        <f t="shared" si="12"/>
        <v>10020.606</v>
      </c>
      <c r="K85" s="381">
        <f t="shared" si="13"/>
        <v>167.38338238655462</v>
      </c>
      <c r="L85" s="451"/>
      <c r="M85" s="451"/>
      <c r="N85" s="18"/>
    </row>
    <row r="86" spans="2:14" s="16" customFormat="1" ht="13.35" customHeight="1">
      <c r="B86" s="213">
        <f t="shared" si="8"/>
        <v>62</v>
      </c>
      <c r="C86" s="213"/>
      <c r="D86" s="214">
        <v>7</v>
      </c>
      <c r="E86" s="206">
        <f t="shared" si="9"/>
        <v>326</v>
      </c>
      <c r="F86" s="373">
        <v>31</v>
      </c>
      <c r="G86" s="215">
        <f t="shared" si="7"/>
        <v>30.602</v>
      </c>
      <c r="H86" s="215" t="str">
        <f t="shared" si="10"/>
        <v>IN</v>
      </c>
      <c r="I86" s="217">
        <f t="shared" si="11"/>
        <v>2051.1259999999997</v>
      </c>
      <c r="J86" s="217">
        <f t="shared" si="12"/>
        <v>9990.003999999999</v>
      </c>
      <c r="K86" s="381">
        <f t="shared" si="13"/>
        <v>168.04044870588234</v>
      </c>
      <c r="L86" s="451"/>
      <c r="M86" s="451"/>
      <c r="N86" s="18"/>
    </row>
    <row r="87" spans="2:14" s="16" customFormat="1" ht="13.35" customHeight="1">
      <c r="B87" s="213">
        <f t="shared" si="8"/>
        <v>63</v>
      </c>
      <c r="C87" s="213"/>
      <c r="D87" s="214">
        <v>7</v>
      </c>
      <c r="E87" s="206">
        <f t="shared" si="9"/>
        <v>325</v>
      </c>
      <c r="F87" s="373">
        <v>33.4</v>
      </c>
      <c r="G87" s="215">
        <f t="shared" si="7"/>
        <v>33.001999999999995</v>
      </c>
      <c r="H87" s="215" t="str">
        <f t="shared" si="10"/>
        <v>IN</v>
      </c>
      <c r="I87" s="217">
        <f t="shared" si="11"/>
        <v>2084.1279999999997</v>
      </c>
      <c r="J87" s="217">
        <f t="shared" si="12"/>
        <v>9957.0020000000004</v>
      </c>
      <c r="K87" s="381">
        <f t="shared" si="13"/>
        <v>168.74904627043543</v>
      </c>
      <c r="L87" s="451"/>
      <c r="M87" s="451"/>
      <c r="N87" s="18"/>
    </row>
    <row r="88" spans="2:14" s="16" customFormat="1" ht="13.35" customHeight="1">
      <c r="B88" s="213">
        <f t="shared" si="8"/>
        <v>64</v>
      </c>
      <c r="C88" s="213"/>
      <c r="D88" s="214">
        <v>7</v>
      </c>
      <c r="E88" s="206">
        <f t="shared" si="9"/>
        <v>324</v>
      </c>
      <c r="F88" s="215">
        <v>33.96</v>
      </c>
      <c r="G88" s="215">
        <f t="shared" si="7"/>
        <v>33.561999999999998</v>
      </c>
      <c r="H88" s="215" t="str">
        <f t="shared" si="10"/>
        <v>IN</v>
      </c>
      <c r="I88" s="217">
        <f t="shared" si="11"/>
        <v>2117.6899999999996</v>
      </c>
      <c r="J88" s="217">
        <f t="shared" si="12"/>
        <v>9923.4399999999987</v>
      </c>
      <c r="K88" s="381">
        <f t="shared" si="13"/>
        <v>169.46966779220779</v>
      </c>
      <c r="L88" s="451"/>
      <c r="M88" s="451"/>
      <c r="N88" s="18"/>
    </row>
    <row r="89" spans="2:14" s="16" customFormat="1" ht="13.35" customHeight="1">
      <c r="B89" s="213">
        <f t="shared" si="8"/>
        <v>65</v>
      </c>
      <c r="C89" s="213"/>
      <c r="D89" s="214">
        <v>7</v>
      </c>
      <c r="E89" s="206">
        <f t="shared" si="9"/>
        <v>323</v>
      </c>
      <c r="F89" s="215">
        <v>33.130000000000003</v>
      </c>
      <c r="G89" s="215">
        <f t="shared" si="7"/>
        <v>32.731999999999999</v>
      </c>
      <c r="H89" s="215" t="str">
        <f t="shared" si="10"/>
        <v>IN</v>
      </c>
      <c r="I89" s="217">
        <f t="shared" si="11"/>
        <v>2150.4219999999996</v>
      </c>
      <c r="J89" s="217">
        <f t="shared" si="12"/>
        <v>9890.7079999999987</v>
      </c>
      <c r="K89" s="381">
        <f t="shared" si="13"/>
        <v>170.17246809167301</v>
      </c>
      <c r="L89" s="451"/>
      <c r="M89" s="451"/>
      <c r="N89" s="18"/>
    </row>
    <row r="90" spans="2:14" s="16" customFormat="1" ht="13.35" customHeight="1">
      <c r="B90" s="213">
        <f t="shared" si="8"/>
        <v>66</v>
      </c>
      <c r="C90" s="213"/>
      <c r="D90" s="214">
        <v>7</v>
      </c>
      <c r="E90" s="206">
        <f t="shared" si="9"/>
        <v>322</v>
      </c>
      <c r="F90" s="215">
        <v>33.54</v>
      </c>
      <c r="G90" s="215">
        <f t="shared" ref="G90:G153" si="14">F90-($E$12)</f>
        <v>33.141999999999996</v>
      </c>
      <c r="H90" s="215" t="str">
        <f t="shared" si="10"/>
        <v>IN</v>
      </c>
      <c r="I90" s="217">
        <f t="shared" si="11"/>
        <v>2183.5639999999994</v>
      </c>
      <c r="J90" s="217">
        <f t="shared" si="12"/>
        <v>9857.5659999999989</v>
      </c>
      <c r="K90" s="381">
        <f t="shared" si="13"/>
        <v>170.88407164553092</v>
      </c>
      <c r="L90" s="451"/>
      <c r="M90" s="451"/>
      <c r="N90" s="18"/>
    </row>
    <row r="91" spans="2:14" s="16" customFormat="1" ht="13.35" customHeight="1">
      <c r="B91" s="213">
        <f t="shared" si="8"/>
        <v>67</v>
      </c>
      <c r="C91" s="213"/>
      <c r="D91" s="214">
        <v>7</v>
      </c>
      <c r="E91" s="206">
        <f t="shared" si="9"/>
        <v>321</v>
      </c>
      <c r="F91" s="215">
        <v>31.46</v>
      </c>
      <c r="G91" s="215">
        <f t="shared" si="14"/>
        <v>31.062000000000001</v>
      </c>
      <c r="H91" s="215" t="str">
        <f t="shared" si="10"/>
        <v>IN</v>
      </c>
      <c r="I91" s="217">
        <f t="shared" si="11"/>
        <v>2214.6259999999993</v>
      </c>
      <c r="J91" s="217">
        <f t="shared" si="12"/>
        <v>9826.5040000000008</v>
      </c>
      <c r="K91" s="381">
        <f t="shared" si="13"/>
        <v>171.55101478686018</v>
      </c>
      <c r="L91" s="451"/>
      <c r="M91" s="451"/>
      <c r="N91" s="18"/>
    </row>
    <row r="92" spans="2:14" s="16" customFormat="1" ht="13.35" customHeight="1">
      <c r="B92" s="213">
        <f t="shared" ref="B92:B155" si="15">B91+1</f>
        <v>68</v>
      </c>
      <c r="C92" s="213"/>
      <c r="D92" s="214">
        <v>7</v>
      </c>
      <c r="E92" s="206">
        <f t="shared" ref="E92:E155" si="16">E91-1</f>
        <v>320</v>
      </c>
      <c r="F92" s="215">
        <v>32.97</v>
      </c>
      <c r="G92" s="215">
        <f t="shared" si="14"/>
        <v>32.571999999999996</v>
      </c>
      <c r="H92" s="215" t="str">
        <f t="shared" si="10"/>
        <v>IN</v>
      </c>
      <c r="I92" s="217">
        <f t="shared" si="11"/>
        <v>2247.1979999999994</v>
      </c>
      <c r="J92" s="217">
        <f t="shared" si="12"/>
        <v>9793.9320000000007</v>
      </c>
      <c r="K92" s="381">
        <f t="shared" si="13"/>
        <v>172.25037966997706</v>
      </c>
      <c r="L92" s="451"/>
      <c r="M92" s="451"/>
      <c r="N92" s="18"/>
    </row>
    <row r="93" spans="2:14" s="16" customFormat="1" ht="13.35" customHeight="1">
      <c r="B93" s="213">
        <f t="shared" si="15"/>
        <v>69</v>
      </c>
      <c r="C93" s="213"/>
      <c r="D93" s="214">
        <v>7</v>
      </c>
      <c r="E93" s="206">
        <f t="shared" si="16"/>
        <v>319</v>
      </c>
      <c r="F93" s="215">
        <v>32.94</v>
      </c>
      <c r="G93" s="215">
        <f t="shared" si="14"/>
        <v>32.541999999999994</v>
      </c>
      <c r="H93" s="215" t="str">
        <f t="shared" si="10"/>
        <v>IN</v>
      </c>
      <c r="I93" s="217">
        <f t="shared" si="11"/>
        <v>2279.7399999999993</v>
      </c>
      <c r="J93" s="217">
        <f t="shared" si="12"/>
        <v>9761.39</v>
      </c>
      <c r="K93" s="381">
        <f t="shared" si="13"/>
        <v>172.94910041252865</v>
      </c>
      <c r="L93" s="451"/>
      <c r="M93" s="451"/>
      <c r="N93" s="18"/>
    </row>
    <row r="94" spans="2:14" s="16" customFormat="1" ht="13.35" customHeight="1">
      <c r="B94" s="213">
        <f t="shared" si="15"/>
        <v>70</v>
      </c>
      <c r="C94" s="213"/>
      <c r="D94" s="214">
        <v>7</v>
      </c>
      <c r="E94" s="206">
        <f t="shared" si="16"/>
        <v>318</v>
      </c>
      <c r="F94" s="215">
        <v>33.229999999999997</v>
      </c>
      <c r="G94" s="215">
        <f t="shared" si="14"/>
        <v>32.831999999999994</v>
      </c>
      <c r="H94" s="215" t="str">
        <f t="shared" si="10"/>
        <v>IN</v>
      </c>
      <c r="I94" s="217">
        <f t="shared" si="11"/>
        <v>2312.5719999999992</v>
      </c>
      <c r="J94" s="217">
        <f t="shared" si="12"/>
        <v>9728.5580000000009</v>
      </c>
      <c r="K94" s="381">
        <f t="shared" si="13"/>
        <v>173.65404784721159</v>
      </c>
      <c r="L94" s="451"/>
      <c r="M94" s="451"/>
      <c r="N94" s="18"/>
    </row>
    <row r="95" spans="2:14" s="16" customFormat="1" ht="13.35" customHeight="1">
      <c r="B95" s="213">
        <f t="shared" si="15"/>
        <v>71</v>
      </c>
      <c r="C95" s="213"/>
      <c r="D95" s="214">
        <v>7</v>
      </c>
      <c r="E95" s="206">
        <f t="shared" si="16"/>
        <v>317</v>
      </c>
      <c r="F95" s="215">
        <v>33.159999999999997</v>
      </c>
      <c r="G95" s="215">
        <f t="shared" si="14"/>
        <v>32.761999999999993</v>
      </c>
      <c r="H95" s="215" t="str">
        <f t="shared" si="10"/>
        <v>IN</v>
      </c>
      <c r="I95" s="217">
        <f t="shared" si="11"/>
        <v>2345.3339999999994</v>
      </c>
      <c r="J95" s="217">
        <f t="shared" si="12"/>
        <v>9695.7960000000003</v>
      </c>
      <c r="K95" s="381">
        <f t="shared" si="13"/>
        <v>174.35749228724217</v>
      </c>
      <c r="L95" s="451"/>
      <c r="M95" s="451"/>
      <c r="N95" s="18"/>
    </row>
    <row r="96" spans="2:14" s="16" customFormat="1" ht="13.35" customHeight="1">
      <c r="B96" s="213">
        <f t="shared" si="15"/>
        <v>72</v>
      </c>
      <c r="C96" s="216"/>
      <c r="D96" s="214">
        <v>7</v>
      </c>
      <c r="E96" s="206">
        <f t="shared" si="16"/>
        <v>316</v>
      </c>
      <c r="F96" s="215">
        <v>33.24</v>
      </c>
      <c r="G96" s="215">
        <f t="shared" si="14"/>
        <v>32.841999999999999</v>
      </c>
      <c r="H96" s="215" t="str">
        <f t="shared" si="10"/>
        <v>IN</v>
      </c>
      <c r="I96" s="217">
        <f t="shared" si="11"/>
        <v>2378.1759999999995</v>
      </c>
      <c r="J96" s="217">
        <f t="shared" si="12"/>
        <v>9662.9539999999997</v>
      </c>
      <c r="K96" s="381">
        <f t="shared" si="13"/>
        <v>175.06265443544689</v>
      </c>
      <c r="L96" s="451"/>
      <c r="M96" s="451"/>
      <c r="N96" s="18"/>
    </row>
    <row r="97" spans="2:14" s="16" customFormat="1" ht="13.35" customHeight="1">
      <c r="B97" s="213">
        <f t="shared" si="15"/>
        <v>73</v>
      </c>
      <c r="C97" s="216"/>
      <c r="D97" s="214">
        <v>7</v>
      </c>
      <c r="E97" s="206">
        <f t="shared" si="16"/>
        <v>315</v>
      </c>
      <c r="F97" s="215">
        <v>30.91</v>
      </c>
      <c r="G97" s="215">
        <f t="shared" si="14"/>
        <v>30.512</v>
      </c>
      <c r="H97" s="215" t="str">
        <f t="shared" si="10"/>
        <v>IN</v>
      </c>
      <c r="I97" s="217">
        <f t="shared" si="11"/>
        <v>2408.6879999999996</v>
      </c>
      <c r="J97" s="217">
        <f t="shared" si="12"/>
        <v>9632.4419999999991</v>
      </c>
      <c r="K97" s="381">
        <f t="shared" si="13"/>
        <v>175.71778833307869</v>
      </c>
      <c r="L97" s="451"/>
      <c r="M97" s="451"/>
      <c r="N97" s="18"/>
    </row>
    <row r="98" spans="2:14" s="16" customFormat="1" ht="13.35" customHeight="1">
      <c r="B98" s="213">
        <f t="shared" si="15"/>
        <v>74</v>
      </c>
      <c r="C98" s="216"/>
      <c r="D98" s="214">
        <v>7</v>
      </c>
      <c r="E98" s="206">
        <f t="shared" si="16"/>
        <v>314</v>
      </c>
      <c r="F98" s="215">
        <v>32.630000000000003</v>
      </c>
      <c r="G98" s="215">
        <f t="shared" si="14"/>
        <v>32.231999999999999</v>
      </c>
      <c r="H98" s="215" t="str">
        <f t="shared" si="10"/>
        <v>IN</v>
      </c>
      <c r="I98" s="217">
        <f t="shared" si="11"/>
        <v>2440.9199999999996</v>
      </c>
      <c r="J98" s="217">
        <f t="shared" si="12"/>
        <v>9600.2099999999991</v>
      </c>
      <c r="K98" s="381">
        <f t="shared" si="13"/>
        <v>176.4098529564553</v>
      </c>
      <c r="L98" s="451"/>
      <c r="M98" s="451"/>
      <c r="N98" s="18"/>
    </row>
    <row r="99" spans="2:14" s="16" customFormat="1" ht="13.35" customHeight="1">
      <c r="B99" s="213">
        <f t="shared" si="15"/>
        <v>75</v>
      </c>
      <c r="C99" s="216"/>
      <c r="D99" s="214">
        <v>7</v>
      </c>
      <c r="E99" s="206">
        <f t="shared" si="16"/>
        <v>313</v>
      </c>
      <c r="F99" s="215">
        <v>33.06</v>
      </c>
      <c r="G99" s="215">
        <f t="shared" si="14"/>
        <v>32.661999999999999</v>
      </c>
      <c r="H99" s="215" t="str">
        <f t="shared" si="10"/>
        <v>IN</v>
      </c>
      <c r="I99" s="217">
        <f t="shared" si="11"/>
        <v>2473.5819999999994</v>
      </c>
      <c r="J99" s="217">
        <f t="shared" si="12"/>
        <v>9567.5479999999989</v>
      </c>
      <c r="K99" s="381">
        <f t="shared" si="13"/>
        <v>177.11115026126814</v>
      </c>
      <c r="L99" s="451"/>
      <c r="M99" s="451"/>
      <c r="N99" s="18"/>
    </row>
    <row r="100" spans="2:14" s="16" customFormat="1">
      <c r="B100" s="213">
        <f t="shared" si="15"/>
        <v>76</v>
      </c>
      <c r="C100" s="216"/>
      <c r="D100" s="214">
        <v>7</v>
      </c>
      <c r="E100" s="206">
        <f t="shared" si="16"/>
        <v>312</v>
      </c>
      <c r="F100" s="215">
        <v>33.04</v>
      </c>
      <c r="G100" s="215">
        <f t="shared" si="14"/>
        <v>32.641999999999996</v>
      </c>
      <c r="H100" s="215" t="str">
        <f t="shared" si="10"/>
        <v>IN</v>
      </c>
      <c r="I100" s="217">
        <f t="shared" si="11"/>
        <v>2506.2239999999993</v>
      </c>
      <c r="J100" s="217">
        <f t="shared" si="12"/>
        <v>9534.905999999999</v>
      </c>
      <c r="K100" s="381">
        <f t="shared" si="13"/>
        <v>177.81201813903743</v>
      </c>
      <c r="L100" s="451"/>
      <c r="M100" s="451"/>
      <c r="N100" s="18"/>
    </row>
    <row r="101" spans="2:14" s="16" customFormat="1">
      <c r="B101" s="213">
        <f t="shared" si="15"/>
        <v>77</v>
      </c>
      <c r="C101" s="216"/>
      <c r="D101" s="214">
        <v>7</v>
      </c>
      <c r="E101" s="206">
        <f t="shared" si="16"/>
        <v>311</v>
      </c>
      <c r="F101" s="215">
        <v>33.299999999999997</v>
      </c>
      <c r="G101" s="215">
        <f t="shared" si="14"/>
        <v>32.901999999999994</v>
      </c>
      <c r="H101" s="215" t="str">
        <f t="shared" si="10"/>
        <v>IN</v>
      </c>
      <c r="I101" s="217">
        <f t="shared" si="11"/>
        <v>2539.1259999999993</v>
      </c>
      <c r="J101" s="217">
        <f t="shared" si="12"/>
        <v>9502.0040000000008</v>
      </c>
      <c r="K101" s="381">
        <f t="shared" si="13"/>
        <v>178.51846856837278</v>
      </c>
      <c r="L101" s="451"/>
      <c r="M101" s="451"/>
      <c r="N101" s="18"/>
    </row>
    <row r="102" spans="2:14" s="16" customFormat="1">
      <c r="B102" s="213">
        <f t="shared" si="15"/>
        <v>78</v>
      </c>
      <c r="C102" s="216"/>
      <c r="D102" s="214">
        <v>7</v>
      </c>
      <c r="E102" s="206">
        <f t="shared" si="16"/>
        <v>310</v>
      </c>
      <c r="F102" s="215">
        <v>33.5</v>
      </c>
      <c r="G102" s="215">
        <f t="shared" si="14"/>
        <v>33.101999999999997</v>
      </c>
      <c r="H102" s="215" t="str">
        <f t="shared" si="10"/>
        <v>IN</v>
      </c>
      <c r="I102" s="217">
        <f t="shared" si="11"/>
        <v>2572.2279999999992</v>
      </c>
      <c r="J102" s="217">
        <f t="shared" si="12"/>
        <v>9468.902</v>
      </c>
      <c r="K102" s="381">
        <f t="shared" si="13"/>
        <v>179.22921326814361</v>
      </c>
      <c r="L102" s="451"/>
      <c r="M102" s="451"/>
      <c r="N102" s="18"/>
    </row>
    <row r="103" spans="2:14" s="16" customFormat="1">
      <c r="B103" s="213">
        <f t="shared" si="15"/>
        <v>79</v>
      </c>
      <c r="C103" s="216"/>
      <c r="D103" s="214">
        <v>7</v>
      </c>
      <c r="E103" s="206">
        <f t="shared" si="16"/>
        <v>309</v>
      </c>
      <c r="F103" s="215">
        <v>33.19</v>
      </c>
      <c r="G103" s="215">
        <f t="shared" si="14"/>
        <v>32.791999999999994</v>
      </c>
      <c r="H103" s="215" t="str">
        <f t="shared" si="10"/>
        <v>IN</v>
      </c>
      <c r="I103" s="217">
        <f t="shared" si="11"/>
        <v>2605.0199999999991</v>
      </c>
      <c r="J103" s="217">
        <f t="shared" si="12"/>
        <v>9436.11</v>
      </c>
      <c r="K103" s="381">
        <f t="shared" si="13"/>
        <v>179.93330184873949</v>
      </c>
      <c r="L103" s="451"/>
      <c r="M103" s="451"/>
      <c r="N103" s="18"/>
    </row>
    <row r="104" spans="2:14" s="16" customFormat="1">
      <c r="B104" s="213">
        <f t="shared" si="15"/>
        <v>80</v>
      </c>
      <c r="C104" s="216"/>
      <c r="D104" s="214">
        <v>7</v>
      </c>
      <c r="E104" s="206">
        <f t="shared" si="16"/>
        <v>308</v>
      </c>
      <c r="F104" s="215">
        <v>32.119999999999997</v>
      </c>
      <c r="G104" s="215">
        <f t="shared" si="14"/>
        <v>31.721999999999998</v>
      </c>
      <c r="H104" s="215" t="str">
        <f t="shared" si="10"/>
        <v>IN</v>
      </c>
      <c r="I104" s="217">
        <f t="shared" si="11"/>
        <v>2636.7419999999993</v>
      </c>
      <c r="J104" s="217">
        <f t="shared" si="12"/>
        <v>9404.387999999999</v>
      </c>
      <c r="K104" s="381">
        <f t="shared" si="13"/>
        <v>180.61441608250573</v>
      </c>
      <c r="L104" s="451"/>
      <c r="M104" s="451"/>
      <c r="N104" s="18"/>
    </row>
    <row r="105" spans="2:14" s="16" customFormat="1">
      <c r="B105" s="213">
        <f t="shared" si="15"/>
        <v>81</v>
      </c>
      <c r="C105" s="216"/>
      <c r="D105" s="214">
        <v>7</v>
      </c>
      <c r="E105" s="206">
        <f t="shared" si="16"/>
        <v>307</v>
      </c>
      <c r="F105" s="215">
        <v>32.72</v>
      </c>
      <c r="G105" s="215">
        <f t="shared" si="14"/>
        <v>32.321999999999996</v>
      </c>
      <c r="H105" s="215" t="str">
        <f t="shared" si="10"/>
        <v>IN</v>
      </c>
      <c r="I105" s="217">
        <f t="shared" si="11"/>
        <v>2669.0639999999994</v>
      </c>
      <c r="J105" s="217">
        <f t="shared" si="12"/>
        <v>9372.0659999999989</v>
      </c>
      <c r="K105" s="381">
        <f t="shared" si="13"/>
        <v>181.30841312757829</v>
      </c>
      <c r="L105" s="451"/>
      <c r="M105" s="451"/>
      <c r="N105" s="18"/>
    </row>
    <row r="106" spans="2:14" s="16" customFormat="1">
      <c r="B106" s="213">
        <f t="shared" si="15"/>
        <v>82</v>
      </c>
      <c r="C106" s="216"/>
      <c r="D106" s="214">
        <v>7</v>
      </c>
      <c r="E106" s="206">
        <f t="shared" si="16"/>
        <v>306</v>
      </c>
      <c r="F106" s="215">
        <v>33.19</v>
      </c>
      <c r="G106" s="215">
        <f t="shared" si="14"/>
        <v>32.791999999999994</v>
      </c>
      <c r="H106" s="215" t="str">
        <f t="shared" si="10"/>
        <v>IN</v>
      </c>
      <c r="I106" s="217">
        <f t="shared" si="11"/>
        <v>2701.8559999999993</v>
      </c>
      <c r="J106" s="217">
        <f t="shared" si="12"/>
        <v>9339.2739999999994</v>
      </c>
      <c r="K106" s="381">
        <f t="shared" si="13"/>
        <v>182.01250170817417</v>
      </c>
      <c r="L106" s="451"/>
      <c r="M106" s="451"/>
      <c r="N106" s="18"/>
    </row>
    <row r="107" spans="2:14" s="16" customFormat="1">
      <c r="B107" s="213">
        <f t="shared" si="15"/>
        <v>83</v>
      </c>
      <c r="C107" s="216"/>
      <c r="D107" s="214">
        <v>7</v>
      </c>
      <c r="E107" s="206">
        <f t="shared" si="16"/>
        <v>305</v>
      </c>
      <c r="F107" s="215">
        <v>33.5</v>
      </c>
      <c r="G107" s="215">
        <f t="shared" si="14"/>
        <v>33.101999999999997</v>
      </c>
      <c r="H107" s="215" t="str">
        <f t="shared" si="10"/>
        <v>IN</v>
      </c>
      <c r="I107" s="217">
        <f t="shared" si="11"/>
        <v>2734.9579999999992</v>
      </c>
      <c r="J107" s="217">
        <f t="shared" si="12"/>
        <v>9306.1720000000005</v>
      </c>
      <c r="K107" s="381">
        <f t="shared" si="13"/>
        <v>182.723246407945</v>
      </c>
      <c r="L107" s="451"/>
      <c r="M107" s="451"/>
      <c r="N107" s="18"/>
    </row>
    <row r="108" spans="2:14" s="16" customFormat="1">
      <c r="B108" s="213">
        <f t="shared" si="15"/>
        <v>84</v>
      </c>
      <c r="C108" s="216"/>
      <c r="D108" s="214">
        <v>7</v>
      </c>
      <c r="E108" s="206">
        <f t="shared" si="16"/>
        <v>304</v>
      </c>
      <c r="F108" s="215">
        <v>33.1</v>
      </c>
      <c r="G108" s="215">
        <f t="shared" si="14"/>
        <v>32.701999999999998</v>
      </c>
      <c r="H108" s="215" t="str">
        <f t="shared" si="10"/>
        <v>IN</v>
      </c>
      <c r="I108" s="217">
        <f t="shared" si="11"/>
        <v>2767.6599999999989</v>
      </c>
      <c r="J108" s="217">
        <f t="shared" si="12"/>
        <v>9273.4700000000012</v>
      </c>
      <c r="K108" s="381">
        <f t="shared" si="13"/>
        <v>183.42540256684489</v>
      </c>
      <c r="L108" s="451"/>
      <c r="M108" s="451"/>
      <c r="N108" s="18"/>
    </row>
    <row r="109" spans="2:14" s="16" customFormat="1">
      <c r="B109" s="213">
        <f t="shared" si="15"/>
        <v>85</v>
      </c>
      <c r="C109" s="216"/>
      <c r="D109" s="214">
        <v>7</v>
      </c>
      <c r="E109" s="206">
        <f t="shared" si="16"/>
        <v>303</v>
      </c>
      <c r="F109" s="215">
        <v>33.1</v>
      </c>
      <c r="G109" s="215">
        <f t="shared" si="14"/>
        <v>32.701999999999998</v>
      </c>
      <c r="H109" s="215" t="str">
        <f t="shared" si="10"/>
        <v>IN</v>
      </c>
      <c r="I109" s="217">
        <f t="shared" si="11"/>
        <v>2800.3619999999992</v>
      </c>
      <c r="J109" s="217">
        <f t="shared" si="12"/>
        <v>9240.768</v>
      </c>
      <c r="K109" s="381">
        <f t="shared" si="13"/>
        <v>184.12755872574482</v>
      </c>
      <c r="L109" s="451"/>
      <c r="M109" s="451"/>
      <c r="N109" s="18"/>
    </row>
    <row r="110" spans="2:14" s="16" customFormat="1">
      <c r="B110" s="213">
        <f t="shared" si="15"/>
        <v>86</v>
      </c>
      <c r="C110" s="216"/>
      <c r="D110" s="214">
        <v>7</v>
      </c>
      <c r="E110" s="206">
        <f t="shared" si="16"/>
        <v>302</v>
      </c>
      <c r="F110" s="215">
        <v>33.1</v>
      </c>
      <c r="G110" s="215">
        <f t="shared" si="14"/>
        <v>32.701999999999998</v>
      </c>
      <c r="H110" s="215" t="str">
        <f t="shared" si="10"/>
        <v>IN</v>
      </c>
      <c r="I110" s="217">
        <f t="shared" si="11"/>
        <v>2833.0639999999994</v>
      </c>
      <c r="J110" s="217">
        <f t="shared" si="12"/>
        <v>9208.0659999999989</v>
      </c>
      <c r="K110" s="381">
        <f t="shared" si="13"/>
        <v>184.82971488464477</v>
      </c>
      <c r="L110" s="451"/>
      <c r="M110" s="451"/>
      <c r="N110" s="18"/>
    </row>
    <row r="111" spans="2:14" s="16" customFormat="1">
      <c r="B111" s="213">
        <f t="shared" si="15"/>
        <v>87</v>
      </c>
      <c r="C111" s="216"/>
      <c r="D111" s="214">
        <v>7</v>
      </c>
      <c r="E111" s="206">
        <f t="shared" si="16"/>
        <v>301</v>
      </c>
      <c r="F111" s="215">
        <v>33.39</v>
      </c>
      <c r="G111" s="215">
        <f t="shared" si="14"/>
        <v>32.991999999999997</v>
      </c>
      <c r="H111" s="215" t="str">
        <f t="shared" si="10"/>
        <v>IN</v>
      </c>
      <c r="I111" s="217">
        <f t="shared" si="11"/>
        <v>2866.0559999999996</v>
      </c>
      <c r="J111" s="217">
        <f t="shared" si="12"/>
        <v>9175.0740000000005</v>
      </c>
      <c r="K111" s="381">
        <f t="shared" si="13"/>
        <v>185.53809773567608</v>
      </c>
      <c r="L111" s="451"/>
      <c r="M111" s="451"/>
      <c r="N111" s="18"/>
    </row>
    <row r="112" spans="2:14" s="16" customFormat="1">
      <c r="B112" s="213">
        <f t="shared" si="15"/>
        <v>88</v>
      </c>
      <c r="C112" s="216"/>
      <c r="D112" s="214">
        <v>7</v>
      </c>
      <c r="E112" s="206">
        <f t="shared" si="16"/>
        <v>300</v>
      </c>
      <c r="F112" s="215">
        <v>34.14</v>
      </c>
      <c r="G112" s="215">
        <f t="shared" si="14"/>
        <v>33.741999999999997</v>
      </c>
      <c r="H112" s="215" t="str">
        <f t="shared" si="10"/>
        <v>IN</v>
      </c>
      <c r="I112" s="217">
        <f t="shared" si="11"/>
        <v>2899.7979999999998</v>
      </c>
      <c r="J112" s="217">
        <f t="shared" si="12"/>
        <v>9141.3319999999985</v>
      </c>
      <c r="K112" s="381">
        <f t="shared" si="13"/>
        <v>186.26258410084034</v>
      </c>
      <c r="L112" s="451"/>
      <c r="M112" s="451"/>
      <c r="N112" s="18"/>
    </row>
    <row r="113" spans="2:14" s="16" customFormat="1">
      <c r="B113" s="213">
        <f t="shared" si="15"/>
        <v>89</v>
      </c>
      <c r="C113" s="213"/>
      <c r="D113" s="214">
        <v>7</v>
      </c>
      <c r="E113" s="206">
        <f t="shared" si="16"/>
        <v>299</v>
      </c>
      <c r="F113" s="215">
        <v>34.74</v>
      </c>
      <c r="G113" s="215">
        <f t="shared" si="14"/>
        <v>34.341999999999999</v>
      </c>
      <c r="H113" s="215" t="str">
        <f t="shared" si="10"/>
        <v>IN</v>
      </c>
      <c r="I113" s="217">
        <f t="shared" si="11"/>
        <v>2934.14</v>
      </c>
      <c r="J113" s="217">
        <f t="shared" si="12"/>
        <v>9106.99</v>
      </c>
      <c r="K113" s="381">
        <f t="shared" si="13"/>
        <v>186.99995327731091</v>
      </c>
      <c r="L113" s="451"/>
      <c r="M113" s="451"/>
      <c r="N113" s="18"/>
    </row>
    <row r="114" spans="2:14" s="16" customFormat="1" ht="13.35" customHeight="1">
      <c r="B114" s="213">
        <f t="shared" si="15"/>
        <v>90</v>
      </c>
      <c r="C114" s="213"/>
      <c r="D114" s="214">
        <v>7</v>
      </c>
      <c r="E114" s="206">
        <f t="shared" si="16"/>
        <v>298</v>
      </c>
      <c r="F114" s="215">
        <v>36.47</v>
      </c>
      <c r="G114" s="215">
        <f t="shared" si="14"/>
        <v>36.071999999999996</v>
      </c>
      <c r="H114" s="215" t="str">
        <f t="shared" si="10"/>
        <v>IN</v>
      </c>
      <c r="I114" s="217">
        <f t="shared" si="11"/>
        <v>2970.212</v>
      </c>
      <c r="J114" s="217">
        <f t="shared" si="12"/>
        <v>9070.9179999999997</v>
      </c>
      <c r="K114" s="381">
        <f t="shared" si="13"/>
        <v>187.77446789304813</v>
      </c>
      <c r="L114" s="451"/>
      <c r="M114" s="451"/>
      <c r="N114" s="18"/>
    </row>
    <row r="115" spans="2:14" s="16" customFormat="1" ht="13.35" customHeight="1">
      <c r="B115" s="213">
        <f t="shared" si="15"/>
        <v>91</v>
      </c>
      <c r="C115" s="213"/>
      <c r="D115" s="214">
        <v>7</v>
      </c>
      <c r="E115" s="206">
        <f t="shared" si="16"/>
        <v>297</v>
      </c>
      <c r="F115" s="215">
        <v>36.58</v>
      </c>
      <c r="G115" s="215">
        <f t="shared" si="14"/>
        <v>36.181999999999995</v>
      </c>
      <c r="H115" s="215" t="str">
        <f t="shared" si="10"/>
        <v>IN</v>
      </c>
      <c r="I115" s="217">
        <f t="shared" si="11"/>
        <v>3006.3939999999998</v>
      </c>
      <c r="J115" s="217">
        <f t="shared" si="12"/>
        <v>9034.735999999999</v>
      </c>
      <c r="K115" s="381">
        <f t="shared" si="13"/>
        <v>188.55134435752484</v>
      </c>
      <c r="L115" s="451"/>
      <c r="M115" s="451"/>
      <c r="N115" s="18"/>
    </row>
    <row r="116" spans="2:14" s="16" customFormat="1" ht="13.35" customHeight="1">
      <c r="B116" s="213">
        <f t="shared" si="15"/>
        <v>92</v>
      </c>
      <c r="C116" s="213"/>
      <c r="D116" s="214">
        <v>7</v>
      </c>
      <c r="E116" s="206">
        <f t="shared" si="16"/>
        <v>296</v>
      </c>
      <c r="F116" s="215">
        <v>35.69</v>
      </c>
      <c r="G116" s="215">
        <f t="shared" si="14"/>
        <v>35.291999999999994</v>
      </c>
      <c r="H116" s="215" t="str">
        <f t="shared" si="10"/>
        <v>IN</v>
      </c>
      <c r="I116" s="217">
        <f t="shared" si="11"/>
        <v>3041.6859999999997</v>
      </c>
      <c r="J116" s="217">
        <f t="shared" si="12"/>
        <v>8999.4439999999995</v>
      </c>
      <c r="K116" s="381">
        <f t="shared" si="13"/>
        <v>189.30911131856379</v>
      </c>
      <c r="L116" s="451"/>
      <c r="M116" s="451"/>
      <c r="N116" s="18"/>
    </row>
    <row r="117" spans="2:14" s="16" customFormat="1" ht="13.35" customHeight="1">
      <c r="B117" s="213">
        <f t="shared" si="15"/>
        <v>93</v>
      </c>
      <c r="C117" s="213"/>
      <c r="D117" s="214">
        <v>7</v>
      </c>
      <c r="E117" s="206">
        <f t="shared" si="16"/>
        <v>295</v>
      </c>
      <c r="F117" s="215">
        <v>36</v>
      </c>
      <c r="G117" s="215">
        <f t="shared" si="14"/>
        <v>35.601999999999997</v>
      </c>
      <c r="H117" s="215" t="str">
        <f t="shared" si="10"/>
        <v>IN</v>
      </c>
      <c r="I117" s="217">
        <f t="shared" si="11"/>
        <v>3077.2879999999996</v>
      </c>
      <c r="J117" s="217">
        <f t="shared" si="12"/>
        <v>8963.8420000000006</v>
      </c>
      <c r="K117" s="381">
        <f t="shared" si="13"/>
        <v>190.07353439877767</v>
      </c>
      <c r="L117" s="451"/>
      <c r="M117" s="451"/>
      <c r="N117" s="18"/>
    </row>
    <row r="118" spans="2:14" s="16" customFormat="1" ht="13.35" customHeight="1">
      <c r="B118" s="213">
        <f t="shared" si="15"/>
        <v>94</v>
      </c>
      <c r="C118" s="216"/>
      <c r="D118" s="214">
        <v>7</v>
      </c>
      <c r="E118" s="206">
        <f t="shared" si="16"/>
        <v>294</v>
      </c>
      <c r="F118" s="215">
        <v>34.79</v>
      </c>
      <c r="G118" s="215">
        <f t="shared" si="14"/>
        <v>34.391999999999996</v>
      </c>
      <c r="H118" s="215" t="str">
        <f t="shared" si="10"/>
        <v>IN</v>
      </c>
      <c r="I118" s="217">
        <f t="shared" si="11"/>
        <v>3111.6799999999994</v>
      </c>
      <c r="J118" s="217">
        <f t="shared" si="12"/>
        <v>8929.4500000000007</v>
      </c>
      <c r="K118" s="381">
        <f t="shared" si="13"/>
        <v>190.81197714285713</v>
      </c>
      <c r="L118" s="451"/>
      <c r="M118" s="451"/>
      <c r="N118" s="18"/>
    </row>
    <row r="119" spans="2:14" s="16" customFormat="1" ht="13.35" customHeight="1">
      <c r="B119" s="213">
        <f t="shared" si="15"/>
        <v>95</v>
      </c>
      <c r="C119" s="216"/>
      <c r="D119" s="214">
        <v>7</v>
      </c>
      <c r="E119" s="206">
        <f t="shared" si="16"/>
        <v>293</v>
      </c>
      <c r="F119" s="215">
        <v>34.090000000000003</v>
      </c>
      <c r="G119" s="215">
        <f t="shared" si="14"/>
        <v>33.692</v>
      </c>
      <c r="H119" s="215" t="str">
        <f t="shared" si="10"/>
        <v>IN</v>
      </c>
      <c r="I119" s="217">
        <f t="shared" si="11"/>
        <v>3145.3719999999994</v>
      </c>
      <c r="J119" s="217">
        <f t="shared" si="12"/>
        <v>8895.7579999999998</v>
      </c>
      <c r="K119" s="381">
        <f t="shared" si="13"/>
        <v>191.53538994041253</v>
      </c>
      <c r="L119" s="451"/>
      <c r="M119" s="451"/>
      <c r="N119" s="18"/>
    </row>
    <row r="120" spans="2:14" s="16" customFormat="1" ht="13.35" customHeight="1">
      <c r="B120" s="213">
        <f t="shared" si="15"/>
        <v>96</v>
      </c>
      <c r="C120" s="216"/>
      <c r="D120" s="214">
        <v>7</v>
      </c>
      <c r="E120" s="206">
        <f t="shared" si="16"/>
        <v>292</v>
      </c>
      <c r="F120" s="215">
        <v>35.1</v>
      </c>
      <c r="G120" s="215">
        <f t="shared" si="14"/>
        <v>34.701999999999998</v>
      </c>
      <c r="H120" s="215" t="str">
        <f t="shared" si="10"/>
        <v>IN</v>
      </c>
      <c r="I120" s="217">
        <f t="shared" si="11"/>
        <v>3180.0739999999996</v>
      </c>
      <c r="J120" s="217">
        <f t="shared" si="12"/>
        <v>8861.0560000000005</v>
      </c>
      <c r="K120" s="381">
        <f t="shared" si="13"/>
        <v>192.28048880366691</v>
      </c>
      <c r="L120" s="451"/>
      <c r="M120" s="451"/>
      <c r="N120" s="18"/>
    </row>
    <row r="121" spans="2:14" s="16" customFormat="1" ht="13.35" customHeight="1">
      <c r="B121" s="213">
        <f t="shared" si="15"/>
        <v>97</v>
      </c>
      <c r="C121" s="216"/>
      <c r="D121" s="214">
        <v>7</v>
      </c>
      <c r="E121" s="206">
        <f t="shared" si="16"/>
        <v>291</v>
      </c>
      <c r="F121" s="215">
        <v>33.1</v>
      </c>
      <c r="G121" s="215">
        <f t="shared" si="14"/>
        <v>32.701999999999998</v>
      </c>
      <c r="H121" s="215" t="str">
        <f t="shared" si="10"/>
        <v>IN</v>
      </c>
      <c r="I121" s="217">
        <f t="shared" si="11"/>
        <v>3212.7759999999998</v>
      </c>
      <c r="J121" s="217">
        <f t="shared" si="12"/>
        <v>8828.3539999999994</v>
      </c>
      <c r="K121" s="381">
        <f t="shared" si="13"/>
        <v>192.98264496256684</v>
      </c>
      <c r="L121" s="451"/>
      <c r="M121" s="451"/>
      <c r="N121" s="18"/>
    </row>
    <row r="122" spans="2:14" s="16" customFormat="1">
      <c r="B122" s="213">
        <f t="shared" si="15"/>
        <v>98</v>
      </c>
      <c r="C122" s="216"/>
      <c r="D122" s="214">
        <v>7</v>
      </c>
      <c r="E122" s="206">
        <f t="shared" si="16"/>
        <v>290</v>
      </c>
      <c r="F122" s="215">
        <v>35.32</v>
      </c>
      <c r="G122" s="215">
        <f t="shared" si="14"/>
        <v>34.921999999999997</v>
      </c>
      <c r="H122" s="215" t="str">
        <f t="shared" si="10"/>
        <v>IN</v>
      </c>
      <c r="I122" s="217">
        <f t="shared" si="11"/>
        <v>3247.6979999999999</v>
      </c>
      <c r="J122" s="217">
        <f t="shared" si="12"/>
        <v>8793.4319999999989</v>
      </c>
      <c r="K122" s="381">
        <f t="shared" si="13"/>
        <v>193.73246752330022</v>
      </c>
      <c r="L122" s="451"/>
      <c r="M122" s="451"/>
      <c r="N122" s="18"/>
    </row>
    <row r="123" spans="2:14" s="16" customFormat="1">
      <c r="B123" s="213">
        <f t="shared" si="15"/>
        <v>99</v>
      </c>
      <c r="C123" s="216"/>
      <c r="D123" s="214">
        <v>7</v>
      </c>
      <c r="E123" s="206">
        <f t="shared" si="16"/>
        <v>289</v>
      </c>
      <c r="F123" s="373">
        <v>35.82</v>
      </c>
      <c r="G123" s="215">
        <f t="shared" si="14"/>
        <v>35.421999999999997</v>
      </c>
      <c r="H123" s="215" t="str">
        <f t="shared" si="10"/>
        <v>IN</v>
      </c>
      <c r="I123" s="217">
        <f t="shared" si="11"/>
        <v>3283.12</v>
      </c>
      <c r="J123" s="217">
        <f t="shared" si="12"/>
        <v>8758.0099999999984</v>
      </c>
      <c r="K123" s="381">
        <f t="shared" si="13"/>
        <v>194.49302576012224</v>
      </c>
      <c r="L123" s="451"/>
      <c r="M123" s="451"/>
      <c r="N123" s="18"/>
    </row>
    <row r="124" spans="2:14" s="16" customFormat="1">
      <c r="B124" s="213">
        <f t="shared" si="15"/>
        <v>100</v>
      </c>
      <c r="C124" s="216"/>
      <c r="D124" s="214">
        <v>7</v>
      </c>
      <c r="E124" s="206">
        <f t="shared" si="16"/>
        <v>288</v>
      </c>
      <c r="F124" s="373">
        <v>34.21</v>
      </c>
      <c r="G124" s="215">
        <f t="shared" si="14"/>
        <v>33.811999999999998</v>
      </c>
      <c r="H124" s="215" t="str">
        <f t="shared" si="10"/>
        <v>IN</v>
      </c>
      <c r="I124" s="217">
        <f t="shared" si="11"/>
        <v>3316.9319999999998</v>
      </c>
      <c r="J124" s="217">
        <f t="shared" si="12"/>
        <v>8724.1980000000003</v>
      </c>
      <c r="K124" s="381">
        <f t="shared" si="13"/>
        <v>195.21901511993889</v>
      </c>
      <c r="L124" s="451"/>
      <c r="M124" s="451"/>
      <c r="N124" s="18"/>
    </row>
    <row r="125" spans="2:14" s="16" customFormat="1">
      <c r="B125" s="213">
        <f t="shared" si="15"/>
        <v>101</v>
      </c>
      <c r="C125" s="216"/>
      <c r="D125" s="214">
        <v>7</v>
      </c>
      <c r="E125" s="206">
        <f t="shared" si="16"/>
        <v>287</v>
      </c>
      <c r="F125" s="373">
        <v>33.51</v>
      </c>
      <c r="G125" s="215">
        <f t="shared" si="14"/>
        <v>33.111999999999995</v>
      </c>
      <c r="H125" s="215" t="str">
        <f t="shared" si="10"/>
        <v>IN</v>
      </c>
      <c r="I125" s="217">
        <f t="shared" si="11"/>
        <v>3350.0439999999999</v>
      </c>
      <c r="J125" s="217">
        <f t="shared" si="12"/>
        <v>8691.0859999999993</v>
      </c>
      <c r="K125" s="381">
        <f t="shared" si="13"/>
        <v>195.92997453323147</v>
      </c>
      <c r="L125" s="451"/>
      <c r="M125" s="451"/>
      <c r="N125" s="18"/>
    </row>
    <row r="126" spans="2:14" s="16" customFormat="1">
      <c r="B126" s="213">
        <f t="shared" si="15"/>
        <v>102</v>
      </c>
      <c r="C126" s="216"/>
      <c r="D126" s="214">
        <v>7</v>
      </c>
      <c r="E126" s="206">
        <f t="shared" si="16"/>
        <v>286</v>
      </c>
      <c r="F126" s="373">
        <v>37.17</v>
      </c>
      <c r="G126" s="215">
        <f t="shared" si="14"/>
        <v>36.771999999999998</v>
      </c>
      <c r="H126" s="215" t="str">
        <f t="shared" si="10"/>
        <v>IN</v>
      </c>
      <c r="I126" s="217">
        <f t="shared" si="11"/>
        <v>3386.8159999999998</v>
      </c>
      <c r="J126" s="217">
        <f t="shared" si="12"/>
        <v>8654.3139999999985</v>
      </c>
      <c r="K126" s="381">
        <f t="shared" si="13"/>
        <v>196.71951909549276</v>
      </c>
      <c r="L126" s="451"/>
      <c r="M126" s="451"/>
      <c r="N126" s="18"/>
    </row>
    <row r="127" spans="2:14" s="16" customFormat="1">
      <c r="B127" s="213">
        <f t="shared" si="15"/>
        <v>103</v>
      </c>
      <c r="C127" s="216"/>
      <c r="D127" s="214">
        <v>7</v>
      </c>
      <c r="E127" s="206">
        <f t="shared" si="16"/>
        <v>285</v>
      </c>
      <c r="F127" s="373">
        <v>35.130000000000003</v>
      </c>
      <c r="G127" s="215">
        <f t="shared" si="14"/>
        <v>34.731999999999999</v>
      </c>
      <c r="H127" s="215" t="str">
        <f t="shared" si="10"/>
        <v>IN</v>
      </c>
      <c r="I127" s="217">
        <f t="shared" si="11"/>
        <v>3421.5479999999998</v>
      </c>
      <c r="J127" s="217">
        <f t="shared" si="12"/>
        <v>8619.5819999999985</v>
      </c>
      <c r="K127" s="381">
        <f t="shared" si="13"/>
        <v>197.46526209931244</v>
      </c>
      <c r="L127" s="451"/>
      <c r="M127" s="451"/>
      <c r="N127" s="18"/>
    </row>
    <row r="128" spans="2:14" s="16" customFormat="1">
      <c r="B128" s="213">
        <f t="shared" si="15"/>
        <v>104</v>
      </c>
      <c r="C128" s="213"/>
      <c r="D128" s="214">
        <v>7</v>
      </c>
      <c r="E128" s="206">
        <f t="shared" si="16"/>
        <v>284</v>
      </c>
      <c r="F128" s="373">
        <v>34.659999999999997</v>
      </c>
      <c r="G128" s="215">
        <f t="shared" si="14"/>
        <v>34.261999999999993</v>
      </c>
      <c r="H128" s="215" t="str">
        <f t="shared" si="10"/>
        <v>IN</v>
      </c>
      <c r="I128" s="217">
        <f t="shared" si="11"/>
        <v>3455.81</v>
      </c>
      <c r="J128" s="217">
        <f t="shared" si="12"/>
        <v>8585.32</v>
      </c>
      <c r="K128" s="381">
        <f t="shared" si="13"/>
        <v>198.20091356760886</v>
      </c>
      <c r="L128" s="451"/>
      <c r="M128" s="451"/>
      <c r="N128" s="18"/>
    </row>
    <row r="129" spans="2:14" s="16" customFormat="1">
      <c r="B129" s="213">
        <f t="shared" si="15"/>
        <v>105</v>
      </c>
      <c r="C129" s="213"/>
      <c r="D129" s="214">
        <v>7</v>
      </c>
      <c r="E129" s="206">
        <f t="shared" si="16"/>
        <v>283</v>
      </c>
      <c r="F129" s="373">
        <v>33.67</v>
      </c>
      <c r="G129" s="215">
        <f t="shared" si="14"/>
        <v>33.271999999999998</v>
      </c>
      <c r="H129" s="215" t="str">
        <f t="shared" si="10"/>
        <v>IN</v>
      </c>
      <c r="I129" s="217">
        <f t="shared" si="11"/>
        <v>3489.0819999999999</v>
      </c>
      <c r="J129" s="217">
        <f t="shared" si="12"/>
        <v>8552.0479999999989</v>
      </c>
      <c r="K129" s="381">
        <f t="shared" si="13"/>
        <v>198.91530839724982</v>
      </c>
      <c r="L129" s="429"/>
      <c r="M129" s="429"/>
      <c r="N129" s="18"/>
    </row>
    <row r="130" spans="2:14" s="16" customFormat="1">
      <c r="B130" s="213">
        <f t="shared" si="15"/>
        <v>106</v>
      </c>
      <c r="C130" s="213"/>
      <c r="D130" s="214">
        <v>7</v>
      </c>
      <c r="E130" s="206">
        <f t="shared" si="16"/>
        <v>282</v>
      </c>
      <c r="F130" s="373">
        <v>37.659999999999997</v>
      </c>
      <c r="G130" s="215">
        <f t="shared" si="14"/>
        <v>37.261999999999993</v>
      </c>
      <c r="H130" s="215" t="str">
        <f t="shared" si="10"/>
        <v>IN</v>
      </c>
      <c r="I130" s="217">
        <f t="shared" si="11"/>
        <v>3526.3440000000001</v>
      </c>
      <c r="J130" s="217">
        <f t="shared" si="12"/>
        <v>8514.7860000000001</v>
      </c>
      <c r="K130" s="381">
        <f t="shared" si="13"/>
        <v>199.71537392207793</v>
      </c>
      <c r="L130" s="429"/>
      <c r="M130" s="429"/>
      <c r="N130" s="18"/>
    </row>
    <row r="131" spans="2:14" s="16" customFormat="1">
      <c r="B131" s="213">
        <f t="shared" si="15"/>
        <v>107</v>
      </c>
      <c r="C131" s="213"/>
      <c r="D131" s="214">
        <v>7</v>
      </c>
      <c r="E131" s="206">
        <f t="shared" si="16"/>
        <v>281</v>
      </c>
      <c r="F131" s="373">
        <v>33.409999999999997</v>
      </c>
      <c r="G131" s="215">
        <f t="shared" si="14"/>
        <v>33.011999999999993</v>
      </c>
      <c r="H131" s="215" t="str">
        <f t="shared" si="10"/>
        <v>IN</v>
      </c>
      <c r="I131" s="217">
        <f t="shared" si="11"/>
        <v>3559.3560000000002</v>
      </c>
      <c r="J131" s="217">
        <f t="shared" si="12"/>
        <v>8481.7739999999994</v>
      </c>
      <c r="K131" s="381">
        <f t="shared" si="13"/>
        <v>200.4241862001528</v>
      </c>
      <c r="L131" s="429"/>
      <c r="M131" s="429"/>
      <c r="N131" s="18"/>
    </row>
    <row r="132" spans="2:14" s="16" customFormat="1">
      <c r="B132" s="213">
        <f t="shared" si="15"/>
        <v>108</v>
      </c>
      <c r="C132" s="213"/>
      <c r="D132" s="214">
        <v>7</v>
      </c>
      <c r="E132" s="206">
        <f t="shared" si="16"/>
        <v>280</v>
      </c>
      <c r="F132" s="373">
        <v>33.049999999999997</v>
      </c>
      <c r="G132" s="215">
        <f t="shared" si="14"/>
        <v>32.651999999999994</v>
      </c>
      <c r="H132" s="215" t="str">
        <f t="shared" si="10"/>
        <v>IN</v>
      </c>
      <c r="I132" s="217">
        <f t="shared" si="11"/>
        <v>3592.0080000000003</v>
      </c>
      <c r="J132" s="217">
        <f t="shared" si="12"/>
        <v>8449.1219999999994</v>
      </c>
      <c r="K132" s="381">
        <f t="shared" si="13"/>
        <v>201.12526879144386</v>
      </c>
      <c r="L132" s="429"/>
      <c r="M132" s="429"/>
      <c r="N132" s="18"/>
    </row>
    <row r="133" spans="2:14" s="16" customFormat="1">
      <c r="B133" s="213">
        <f t="shared" si="15"/>
        <v>109</v>
      </c>
      <c r="C133" s="216"/>
      <c r="D133" s="214">
        <v>7</v>
      </c>
      <c r="E133" s="206">
        <f t="shared" si="16"/>
        <v>279</v>
      </c>
      <c r="F133" s="373">
        <v>33.56</v>
      </c>
      <c r="G133" s="215">
        <f t="shared" si="14"/>
        <v>33.161999999999999</v>
      </c>
      <c r="H133" s="215" t="str">
        <f t="shared" si="10"/>
        <v>IN</v>
      </c>
      <c r="I133" s="217">
        <f t="shared" si="11"/>
        <v>3625.17</v>
      </c>
      <c r="J133" s="217">
        <f t="shared" si="12"/>
        <v>8415.9599999999991</v>
      </c>
      <c r="K133" s="381">
        <f t="shared" si="13"/>
        <v>201.83730177234531</v>
      </c>
      <c r="L133" s="429"/>
      <c r="M133" s="429"/>
      <c r="N133" s="18"/>
    </row>
    <row r="134" spans="2:14" s="16" customFormat="1">
      <c r="B134" s="213">
        <f t="shared" si="15"/>
        <v>110</v>
      </c>
      <c r="C134" s="216"/>
      <c r="D134" s="214">
        <v>7</v>
      </c>
      <c r="E134" s="206">
        <f t="shared" si="16"/>
        <v>278</v>
      </c>
      <c r="F134" s="373">
        <v>33.26</v>
      </c>
      <c r="G134" s="215">
        <f t="shared" si="14"/>
        <v>32.861999999999995</v>
      </c>
      <c r="H134" s="215" t="str">
        <f t="shared" si="10"/>
        <v>IN</v>
      </c>
      <c r="I134" s="217">
        <f t="shared" si="11"/>
        <v>3658.0320000000002</v>
      </c>
      <c r="J134" s="217">
        <f t="shared" si="12"/>
        <v>8383.0979999999981</v>
      </c>
      <c r="K134" s="381">
        <f t="shared" si="13"/>
        <v>202.54289334759358</v>
      </c>
      <c r="L134" s="451"/>
      <c r="M134" s="451"/>
      <c r="N134" s="18"/>
    </row>
    <row r="135" spans="2:14" s="16" customFormat="1" ht="13.35" customHeight="1">
      <c r="B135" s="213">
        <f t="shared" si="15"/>
        <v>111</v>
      </c>
      <c r="C135" s="216"/>
      <c r="D135" s="214">
        <v>7</v>
      </c>
      <c r="E135" s="206">
        <f t="shared" si="16"/>
        <v>277</v>
      </c>
      <c r="F135" s="373">
        <v>33.5</v>
      </c>
      <c r="G135" s="215">
        <f t="shared" si="14"/>
        <v>33.101999999999997</v>
      </c>
      <c r="H135" s="215" t="str">
        <f t="shared" si="10"/>
        <v>IN</v>
      </c>
      <c r="I135" s="217">
        <f t="shared" si="11"/>
        <v>3691.134</v>
      </c>
      <c r="J135" s="217">
        <f t="shared" si="12"/>
        <v>8349.9959999999992</v>
      </c>
      <c r="K135" s="381">
        <f t="shared" si="13"/>
        <v>203.2536380473644</v>
      </c>
      <c r="L135" s="451"/>
      <c r="M135" s="451"/>
      <c r="N135" s="18"/>
    </row>
    <row r="136" spans="2:14" s="16" customFormat="1" ht="13.35" customHeight="1">
      <c r="B136" s="213">
        <f t="shared" si="15"/>
        <v>112</v>
      </c>
      <c r="C136" s="216"/>
      <c r="D136" s="214">
        <v>7</v>
      </c>
      <c r="E136" s="206">
        <f t="shared" si="16"/>
        <v>276</v>
      </c>
      <c r="F136" s="373">
        <v>33.369999999999997</v>
      </c>
      <c r="G136" s="215">
        <f t="shared" si="14"/>
        <v>32.971999999999994</v>
      </c>
      <c r="H136" s="215" t="str">
        <f t="shared" si="10"/>
        <v>IN</v>
      </c>
      <c r="I136" s="217">
        <f t="shared" si="11"/>
        <v>3724.1060000000002</v>
      </c>
      <c r="J136" s="217">
        <f t="shared" si="12"/>
        <v>8317.0239999999994</v>
      </c>
      <c r="K136" s="381">
        <f t="shared" si="13"/>
        <v>203.96159147135219</v>
      </c>
      <c r="L136" s="451"/>
      <c r="M136" s="451"/>
      <c r="N136" s="18"/>
    </row>
    <row r="137" spans="2:14" s="16" customFormat="1">
      <c r="B137" s="213">
        <f t="shared" si="15"/>
        <v>113</v>
      </c>
      <c r="C137" s="216"/>
      <c r="D137" s="214">
        <v>7</v>
      </c>
      <c r="E137" s="206">
        <f t="shared" si="16"/>
        <v>275</v>
      </c>
      <c r="F137" s="373">
        <v>33.450000000000003</v>
      </c>
      <c r="G137" s="215">
        <f t="shared" si="14"/>
        <v>33.052</v>
      </c>
      <c r="H137" s="215" t="str">
        <f t="shared" si="10"/>
        <v>IN</v>
      </c>
      <c r="I137" s="217">
        <f t="shared" si="11"/>
        <v>3757.1580000000004</v>
      </c>
      <c r="J137" s="217">
        <f t="shared" si="12"/>
        <v>8283.9719999999979</v>
      </c>
      <c r="K137" s="381">
        <f t="shared" si="13"/>
        <v>204.67126260351415</v>
      </c>
      <c r="L137" s="451"/>
      <c r="M137" s="451"/>
      <c r="N137" s="18"/>
    </row>
    <row r="138" spans="2:14" s="16" customFormat="1">
      <c r="B138" s="213">
        <f t="shared" si="15"/>
        <v>114</v>
      </c>
      <c r="C138" s="216"/>
      <c r="D138" s="214">
        <v>7</v>
      </c>
      <c r="E138" s="206">
        <f t="shared" si="16"/>
        <v>274</v>
      </c>
      <c r="F138" s="373">
        <v>33.090000000000003</v>
      </c>
      <c r="G138" s="215">
        <f t="shared" si="14"/>
        <v>32.692</v>
      </c>
      <c r="H138" s="215" t="str">
        <f t="shared" si="10"/>
        <v>IN</v>
      </c>
      <c r="I138" s="217">
        <f t="shared" si="11"/>
        <v>3789.8500000000004</v>
      </c>
      <c r="J138" s="217">
        <f t="shared" si="12"/>
        <v>8251.2799999999988</v>
      </c>
      <c r="K138" s="381">
        <f t="shared" si="13"/>
        <v>205.37320404889229</v>
      </c>
      <c r="L138" s="451"/>
      <c r="M138" s="451"/>
      <c r="N138" s="18"/>
    </row>
    <row r="139" spans="2:14" s="16" customFormat="1">
      <c r="B139" s="213">
        <f t="shared" si="15"/>
        <v>115</v>
      </c>
      <c r="C139" s="213"/>
      <c r="D139" s="214">
        <v>7</v>
      </c>
      <c r="E139" s="206">
        <f t="shared" si="16"/>
        <v>273</v>
      </c>
      <c r="F139" s="373">
        <v>33.35</v>
      </c>
      <c r="G139" s="215">
        <f t="shared" si="14"/>
        <v>32.951999999999998</v>
      </c>
      <c r="H139" s="215" t="str">
        <f t="shared" si="10"/>
        <v>IN</v>
      </c>
      <c r="I139" s="217">
        <f t="shared" si="11"/>
        <v>3822.8020000000006</v>
      </c>
      <c r="J139" s="217">
        <f t="shared" si="12"/>
        <v>8218.3279999999977</v>
      </c>
      <c r="K139" s="381">
        <f t="shared" si="13"/>
        <v>206.08072804583651</v>
      </c>
      <c r="L139" s="451"/>
      <c r="M139" s="451"/>
      <c r="N139" s="18"/>
    </row>
    <row r="140" spans="2:14" s="16" customFormat="1">
      <c r="B140" s="213">
        <f t="shared" si="15"/>
        <v>116</v>
      </c>
      <c r="C140" s="216"/>
      <c r="D140" s="214">
        <v>7</v>
      </c>
      <c r="E140" s="206">
        <f t="shared" si="16"/>
        <v>272</v>
      </c>
      <c r="F140" s="373">
        <v>34.869999999999997</v>
      </c>
      <c r="G140" s="215">
        <f t="shared" si="14"/>
        <v>34.471999999999994</v>
      </c>
      <c r="H140" s="215" t="str">
        <f t="shared" si="10"/>
        <v>IN</v>
      </c>
      <c r="I140" s="217">
        <f t="shared" si="11"/>
        <v>3857.2740000000008</v>
      </c>
      <c r="J140" s="217">
        <f t="shared" si="12"/>
        <v>8183.8559999999979</v>
      </c>
      <c r="K140" s="381">
        <f t="shared" si="13"/>
        <v>206.82088849809017</v>
      </c>
      <c r="L140" s="429"/>
      <c r="M140" s="429"/>
      <c r="N140" s="18"/>
    </row>
    <row r="141" spans="2:14" s="16" customFormat="1">
      <c r="B141" s="213">
        <f t="shared" si="15"/>
        <v>117</v>
      </c>
      <c r="C141" s="216"/>
      <c r="D141" s="214">
        <v>7</v>
      </c>
      <c r="E141" s="206">
        <f t="shared" si="16"/>
        <v>271</v>
      </c>
      <c r="F141" s="373">
        <v>32.19</v>
      </c>
      <c r="G141" s="215">
        <f t="shared" si="14"/>
        <v>31.791999999999998</v>
      </c>
      <c r="H141" s="215" t="str">
        <f t="shared" si="10"/>
        <v>IN</v>
      </c>
      <c r="I141" s="217">
        <f t="shared" si="11"/>
        <v>3889.0660000000007</v>
      </c>
      <c r="J141" s="217">
        <f t="shared" si="12"/>
        <v>8152.0639999999985</v>
      </c>
      <c r="K141" s="381">
        <f t="shared" si="13"/>
        <v>207.50350572650879</v>
      </c>
      <c r="L141" s="451"/>
      <c r="M141" s="451"/>
      <c r="N141" s="18"/>
    </row>
    <row r="142" spans="2:14" s="16" customFormat="1">
      <c r="B142" s="213">
        <f t="shared" si="15"/>
        <v>118</v>
      </c>
      <c r="C142" s="216"/>
      <c r="D142" s="214">
        <v>7</v>
      </c>
      <c r="E142" s="206">
        <f t="shared" si="16"/>
        <v>270</v>
      </c>
      <c r="F142" s="373">
        <v>36.83</v>
      </c>
      <c r="G142" s="215">
        <f t="shared" si="14"/>
        <v>36.431999999999995</v>
      </c>
      <c r="H142" s="215" t="str">
        <f t="shared" si="10"/>
        <v>IN</v>
      </c>
      <c r="I142" s="217">
        <f t="shared" si="11"/>
        <v>3925.4980000000005</v>
      </c>
      <c r="J142" s="217">
        <f t="shared" si="12"/>
        <v>8115.6319999999987</v>
      </c>
      <c r="K142" s="381">
        <f t="shared" si="13"/>
        <v>208.28575002902983</v>
      </c>
      <c r="L142" s="451"/>
      <c r="M142" s="451"/>
      <c r="N142" s="18"/>
    </row>
    <row r="143" spans="2:14" s="16" customFormat="1">
      <c r="B143" s="213">
        <f t="shared" si="15"/>
        <v>119</v>
      </c>
      <c r="C143" s="216"/>
      <c r="D143" s="214">
        <v>7</v>
      </c>
      <c r="E143" s="206">
        <f t="shared" si="16"/>
        <v>269</v>
      </c>
      <c r="F143" s="373">
        <v>34.81</v>
      </c>
      <c r="G143" s="215">
        <f t="shared" si="14"/>
        <v>34.411999999999999</v>
      </c>
      <c r="H143" s="215" t="str">
        <f t="shared" si="10"/>
        <v>IN</v>
      </c>
      <c r="I143" s="217">
        <f t="shared" si="11"/>
        <v>3959.9100000000003</v>
      </c>
      <c r="J143" s="217">
        <f t="shared" si="12"/>
        <v>8081.2199999999993</v>
      </c>
      <c r="K143" s="381">
        <f t="shared" si="13"/>
        <v>209.02462220015281</v>
      </c>
      <c r="L143" s="451"/>
      <c r="M143" s="451"/>
      <c r="N143" s="18"/>
    </row>
    <row r="144" spans="2:14" s="16" customFormat="1">
      <c r="B144" s="213">
        <f t="shared" si="15"/>
        <v>120</v>
      </c>
      <c r="C144" s="216"/>
      <c r="D144" s="214">
        <v>7</v>
      </c>
      <c r="E144" s="206">
        <f t="shared" si="16"/>
        <v>268</v>
      </c>
      <c r="F144" s="373">
        <v>36.58</v>
      </c>
      <c r="G144" s="215">
        <f t="shared" si="14"/>
        <v>36.181999999999995</v>
      </c>
      <c r="H144" s="215" t="str">
        <f t="shared" si="10"/>
        <v>IN</v>
      </c>
      <c r="I144" s="217">
        <f t="shared" si="11"/>
        <v>3996.0920000000001</v>
      </c>
      <c r="J144" s="217">
        <f t="shared" si="12"/>
        <v>8045.0379999999986</v>
      </c>
      <c r="K144" s="381">
        <f t="shared" si="13"/>
        <v>209.80149866462949</v>
      </c>
      <c r="L144" s="451"/>
      <c r="M144" s="451"/>
      <c r="N144" s="18"/>
    </row>
    <row r="145" spans="2:14" s="16" customFormat="1">
      <c r="B145" s="213">
        <f t="shared" si="15"/>
        <v>121</v>
      </c>
      <c r="C145" s="216"/>
      <c r="D145" s="214">
        <v>7</v>
      </c>
      <c r="E145" s="206">
        <f t="shared" si="16"/>
        <v>267</v>
      </c>
      <c r="F145" s="373">
        <v>34.07</v>
      </c>
      <c r="G145" s="215">
        <f t="shared" si="14"/>
        <v>33.671999999999997</v>
      </c>
      <c r="H145" s="215" t="str">
        <f t="shared" ref="H145:H209" si="17">IF(F145="","OUT","IN")</f>
        <v>IN</v>
      </c>
      <c r="I145" s="217">
        <f t="shared" si="11"/>
        <v>4029.7640000000001</v>
      </c>
      <c r="J145" s="217">
        <f t="shared" si="12"/>
        <v>8011.3659999999991</v>
      </c>
      <c r="K145" s="381">
        <f t="shared" si="13"/>
        <v>210.52448203514132</v>
      </c>
      <c r="L145" s="451"/>
      <c r="M145" s="451"/>
      <c r="N145" s="18"/>
    </row>
    <row r="146" spans="2:14" s="16" customFormat="1">
      <c r="B146" s="213">
        <f t="shared" si="15"/>
        <v>122</v>
      </c>
      <c r="C146" s="216"/>
      <c r="D146" s="214">
        <v>7</v>
      </c>
      <c r="E146" s="206">
        <f t="shared" si="16"/>
        <v>266</v>
      </c>
      <c r="F146" s="373">
        <v>34.299999999999997</v>
      </c>
      <c r="G146" s="215">
        <f t="shared" si="14"/>
        <v>33.901999999999994</v>
      </c>
      <c r="H146" s="215" t="str">
        <f t="shared" si="17"/>
        <v>IN</v>
      </c>
      <c r="I146" s="217">
        <f t="shared" si="11"/>
        <v>4063.6660000000002</v>
      </c>
      <c r="J146" s="217">
        <f t="shared" si="12"/>
        <v>7977.463999999999</v>
      </c>
      <c r="K146" s="381">
        <f t="shared" si="13"/>
        <v>211.25240381665395</v>
      </c>
      <c r="L146" s="451"/>
      <c r="M146" s="451"/>
      <c r="N146" s="18"/>
    </row>
    <row r="147" spans="2:14" s="16" customFormat="1">
      <c r="B147" s="213">
        <f t="shared" si="15"/>
        <v>123</v>
      </c>
      <c r="C147" s="216"/>
      <c r="D147" s="214">
        <v>7</v>
      </c>
      <c r="E147" s="206">
        <f t="shared" si="16"/>
        <v>265</v>
      </c>
      <c r="F147" s="373">
        <v>34.340000000000003</v>
      </c>
      <c r="G147" s="215">
        <f t="shared" si="14"/>
        <v>33.942</v>
      </c>
      <c r="H147" s="215" t="str">
        <f t="shared" si="17"/>
        <v>IN</v>
      </c>
      <c r="I147" s="217">
        <f t="shared" ref="I147:I210" si="18">IF(H147="IN",I146+G147,I146)</f>
        <v>4097.6080000000002</v>
      </c>
      <c r="J147" s="217">
        <f t="shared" ref="J147:J210" si="19">IF(I147="","",$L$9-I147)</f>
        <v>7943.521999999999</v>
      </c>
      <c r="K147" s="381">
        <f t="shared" ref="K147:K210" si="20">$H$9+(I147*$E$10*$H$11/1000)</f>
        <v>211.98118445225364</v>
      </c>
      <c r="L147" s="451"/>
      <c r="M147" s="451"/>
      <c r="N147" s="18"/>
    </row>
    <row r="148" spans="2:14" s="16" customFormat="1">
      <c r="B148" s="213">
        <f t="shared" si="15"/>
        <v>124</v>
      </c>
      <c r="C148" s="216"/>
      <c r="D148" s="214">
        <v>7</v>
      </c>
      <c r="E148" s="206">
        <f t="shared" si="16"/>
        <v>264</v>
      </c>
      <c r="F148" s="373">
        <v>37.4</v>
      </c>
      <c r="G148" s="215">
        <f t="shared" si="14"/>
        <v>37.001999999999995</v>
      </c>
      <c r="H148" s="215" t="str">
        <f t="shared" si="17"/>
        <v>IN</v>
      </c>
      <c r="I148" s="217">
        <f t="shared" si="18"/>
        <v>4134.6100000000006</v>
      </c>
      <c r="J148" s="217">
        <f t="shared" si="19"/>
        <v>7906.5199999999986</v>
      </c>
      <c r="K148" s="381">
        <f t="shared" si="20"/>
        <v>212.77566742551568</v>
      </c>
      <c r="L148" s="308"/>
      <c r="M148" s="309"/>
      <c r="N148" s="18"/>
    </row>
    <row r="149" spans="2:14" s="16" customFormat="1">
      <c r="B149" s="213">
        <f t="shared" si="15"/>
        <v>125</v>
      </c>
      <c r="C149" s="216"/>
      <c r="D149" s="214">
        <v>7</v>
      </c>
      <c r="E149" s="206">
        <f t="shared" si="16"/>
        <v>263</v>
      </c>
      <c r="F149" s="373">
        <v>36.43</v>
      </c>
      <c r="G149" s="215">
        <f t="shared" si="14"/>
        <v>36.031999999999996</v>
      </c>
      <c r="H149" s="215" t="str">
        <f t="shared" si="17"/>
        <v>IN</v>
      </c>
      <c r="I149" s="217">
        <f t="shared" si="18"/>
        <v>4170.6420000000007</v>
      </c>
      <c r="J149" s="217">
        <f t="shared" si="19"/>
        <v>7870.4879999999985</v>
      </c>
      <c r="K149" s="381">
        <f t="shared" si="20"/>
        <v>213.54932318716581</v>
      </c>
      <c r="L149" s="520"/>
      <c r="M149" s="521"/>
      <c r="N149" s="18"/>
    </row>
    <row r="150" spans="2:14" s="16" customFormat="1">
      <c r="B150" s="213">
        <f t="shared" si="15"/>
        <v>126</v>
      </c>
      <c r="C150" s="216"/>
      <c r="D150" s="214">
        <v>7</v>
      </c>
      <c r="E150" s="206">
        <f t="shared" si="16"/>
        <v>262</v>
      </c>
      <c r="F150" s="373">
        <v>33.22</v>
      </c>
      <c r="G150" s="215">
        <f t="shared" si="14"/>
        <v>32.821999999999996</v>
      </c>
      <c r="H150" s="215" t="str">
        <f t="shared" si="17"/>
        <v>IN</v>
      </c>
      <c r="I150" s="217">
        <f t="shared" si="18"/>
        <v>4203.4640000000009</v>
      </c>
      <c r="J150" s="217">
        <f t="shared" si="19"/>
        <v>7837.6659999999983</v>
      </c>
      <c r="K150" s="381">
        <f t="shared" si="20"/>
        <v>214.25405590832699</v>
      </c>
      <c r="L150" s="522"/>
      <c r="M150" s="523"/>
      <c r="N150" s="18"/>
    </row>
    <row r="151" spans="2:14" s="16" customFormat="1">
      <c r="B151" s="213">
        <f t="shared" si="15"/>
        <v>127</v>
      </c>
      <c r="C151" s="213"/>
      <c r="D151" s="214">
        <v>7</v>
      </c>
      <c r="E151" s="206">
        <f t="shared" si="16"/>
        <v>261</v>
      </c>
      <c r="F151" s="373">
        <v>34.72</v>
      </c>
      <c r="G151" s="215">
        <f t="shared" si="14"/>
        <v>34.321999999999996</v>
      </c>
      <c r="H151" s="215" t="str">
        <f t="shared" si="17"/>
        <v>IN</v>
      </c>
      <c r="I151" s="217">
        <f t="shared" si="18"/>
        <v>4237.786000000001</v>
      </c>
      <c r="J151" s="217">
        <f t="shared" si="19"/>
        <v>7803.3439999999982</v>
      </c>
      <c r="K151" s="381">
        <f t="shared" si="20"/>
        <v>214.99099565775404</v>
      </c>
      <c r="L151" s="451"/>
      <c r="M151" s="451"/>
      <c r="N151" s="18"/>
    </row>
    <row r="152" spans="2:14">
      <c r="B152" s="213">
        <f t="shared" si="15"/>
        <v>128</v>
      </c>
      <c r="C152" s="213"/>
      <c r="D152" s="214">
        <v>7</v>
      </c>
      <c r="E152" s="206">
        <f t="shared" si="16"/>
        <v>260</v>
      </c>
      <c r="F152" s="373">
        <v>36.92</v>
      </c>
      <c r="G152" s="215">
        <f t="shared" si="14"/>
        <v>36.521999999999998</v>
      </c>
      <c r="H152" s="215" t="str">
        <f t="shared" si="17"/>
        <v>IN</v>
      </c>
      <c r="I152" s="217">
        <f t="shared" si="18"/>
        <v>4274.3080000000009</v>
      </c>
      <c r="J152" s="217">
        <f t="shared" si="19"/>
        <v>7766.8219999999983</v>
      </c>
      <c r="K152" s="381">
        <f t="shared" si="20"/>
        <v>215.775172381971</v>
      </c>
      <c r="L152" s="451"/>
      <c r="M152" s="451"/>
      <c r="N152" s="18"/>
    </row>
    <row r="153" spans="2:14">
      <c r="B153" s="213">
        <f t="shared" si="15"/>
        <v>129</v>
      </c>
      <c r="C153" s="213"/>
      <c r="D153" s="214">
        <v>7</v>
      </c>
      <c r="E153" s="206">
        <f t="shared" si="16"/>
        <v>259</v>
      </c>
      <c r="F153" s="373">
        <v>35.049999999999997</v>
      </c>
      <c r="G153" s="215">
        <f t="shared" si="14"/>
        <v>34.651999999999994</v>
      </c>
      <c r="H153" s="215" t="str">
        <f t="shared" si="17"/>
        <v>IN</v>
      </c>
      <c r="I153" s="217">
        <f t="shared" si="18"/>
        <v>4308.9600000000009</v>
      </c>
      <c r="J153" s="217">
        <f t="shared" si="19"/>
        <v>7732.1699999999983</v>
      </c>
      <c r="K153" s="381">
        <f t="shared" si="20"/>
        <v>216.51919767761652</v>
      </c>
      <c r="L153" s="451"/>
      <c r="M153" s="451"/>
      <c r="N153" s="18"/>
    </row>
    <row r="154" spans="2:14">
      <c r="B154" s="213">
        <f t="shared" si="15"/>
        <v>130</v>
      </c>
      <c r="C154" s="213"/>
      <c r="D154" s="214">
        <v>7</v>
      </c>
      <c r="E154" s="206">
        <f t="shared" si="16"/>
        <v>258</v>
      </c>
      <c r="F154" s="373">
        <v>36.14</v>
      </c>
      <c r="G154" s="215">
        <f t="shared" ref="G154:G217" si="21">F154-($E$12)</f>
        <v>35.741999999999997</v>
      </c>
      <c r="H154" s="215" t="str">
        <f t="shared" si="17"/>
        <v>IN</v>
      </c>
      <c r="I154" s="217">
        <f t="shared" si="18"/>
        <v>4344.7020000000011</v>
      </c>
      <c r="J154" s="217">
        <f t="shared" si="19"/>
        <v>7696.4279999999981</v>
      </c>
      <c r="K154" s="381">
        <f t="shared" si="20"/>
        <v>217.28662674713524</v>
      </c>
      <c r="L154" s="451"/>
      <c r="M154" s="451"/>
      <c r="N154" s="18"/>
    </row>
    <row r="155" spans="2:14">
      <c r="B155" s="213">
        <f t="shared" si="15"/>
        <v>131</v>
      </c>
      <c r="C155" s="213"/>
      <c r="D155" s="214">
        <v>7</v>
      </c>
      <c r="E155" s="206">
        <f t="shared" si="16"/>
        <v>257</v>
      </c>
      <c r="F155" s="373">
        <v>35.33</v>
      </c>
      <c r="G155" s="215">
        <f t="shared" si="21"/>
        <v>34.931999999999995</v>
      </c>
      <c r="H155" s="215" t="str">
        <f t="shared" si="17"/>
        <v>IN</v>
      </c>
      <c r="I155" s="217">
        <f t="shared" si="18"/>
        <v>4379.6340000000009</v>
      </c>
      <c r="J155" s="217">
        <f t="shared" si="19"/>
        <v>7661.4959999999983</v>
      </c>
      <c r="K155" s="381">
        <f t="shared" si="20"/>
        <v>218.03666402139041</v>
      </c>
      <c r="L155" s="451"/>
      <c r="M155" s="451"/>
      <c r="N155" s="18"/>
    </row>
    <row r="156" spans="2:14">
      <c r="B156" s="213">
        <f t="shared" ref="B156:B219" si="22">B155+1</f>
        <v>132</v>
      </c>
      <c r="C156" s="213"/>
      <c r="D156" s="214">
        <v>7</v>
      </c>
      <c r="E156" s="206">
        <f t="shared" ref="E156:E219" si="23">E155-1</f>
        <v>256</v>
      </c>
      <c r="F156" s="373">
        <v>34.1</v>
      </c>
      <c r="G156" s="215">
        <f t="shared" si="21"/>
        <v>33.701999999999998</v>
      </c>
      <c r="H156" s="215" t="str">
        <f t="shared" si="17"/>
        <v>IN</v>
      </c>
      <c r="I156" s="217">
        <f t="shared" si="18"/>
        <v>4413.3360000000011</v>
      </c>
      <c r="J156" s="217">
        <f t="shared" si="19"/>
        <v>7627.7939999999981</v>
      </c>
      <c r="K156" s="381">
        <f t="shared" si="20"/>
        <v>218.76029153246759</v>
      </c>
      <c r="L156" s="451"/>
      <c r="M156" s="451"/>
      <c r="N156" s="18"/>
    </row>
    <row r="157" spans="2:14">
      <c r="B157" s="213">
        <f t="shared" si="22"/>
        <v>133</v>
      </c>
      <c r="C157" s="213"/>
      <c r="D157" s="214">
        <v>7</v>
      </c>
      <c r="E157" s="206">
        <f t="shared" si="23"/>
        <v>255</v>
      </c>
      <c r="F157" s="373">
        <v>35.369999999999997</v>
      </c>
      <c r="G157" s="215">
        <f t="shared" si="21"/>
        <v>34.971999999999994</v>
      </c>
      <c r="H157" s="215" t="str">
        <f t="shared" si="17"/>
        <v>IN</v>
      </c>
      <c r="I157" s="217">
        <f t="shared" si="18"/>
        <v>4448.3080000000009</v>
      </c>
      <c r="J157" s="217">
        <f t="shared" si="19"/>
        <v>7592.8219999999983</v>
      </c>
      <c r="K157" s="381">
        <f t="shared" si="20"/>
        <v>219.51118766080981</v>
      </c>
      <c r="L157" s="451"/>
      <c r="M157" s="451"/>
      <c r="N157" s="18"/>
    </row>
    <row r="158" spans="2:14">
      <c r="B158" s="213">
        <f t="shared" si="22"/>
        <v>134</v>
      </c>
      <c r="C158" s="213"/>
      <c r="D158" s="214">
        <v>7</v>
      </c>
      <c r="E158" s="206">
        <f t="shared" si="23"/>
        <v>254</v>
      </c>
      <c r="F158" s="373">
        <v>34.61</v>
      </c>
      <c r="G158" s="215">
        <f t="shared" si="21"/>
        <v>34.211999999999996</v>
      </c>
      <c r="H158" s="215" t="str">
        <f t="shared" si="17"/>
        <v>IN</v>
      </c>
      <c r="I158" s="217">
        <f t="shared" si="18"/>
        <v>4482.5200000000013</v>
      </c>
      <c r="J158" s="217">
        <f t="shared" si="19"/>
        <v>7558.6099999999979</v>
      </c>
      <c r="K158" s="381">
        <f t="shared" si="20"/>
        <v>220.24576556149736</v>
      </c>
      <c r="L158" s="451"/>
      <c r="M158" s="451"/>
      <c r="N158" s="18"/>
    </row>
    <row r="159" spans="2:14">
      <c r="B159" s="213">
        <f t="shared" si="22"/>
        <v>135</v>
      </c>
      <c r="C159" s="213"/>
      <c r="D159" s="214">
        <v>7</v>
      </c>
      <c r="E159" s="206">
        <f t="shared" si="23"/>
        <v>253</v>
      </c>
      <c r="F159" s="373">
        <v>32.659999999999997</v>
      </c>
      <c r="G159" s="215">
        <f t="shared" si="21"/>
        <v>32.261999999999993</v>
      </c>
      <c r="H159" s="215" t="str">
        <f t="shared" si="17"/>
        <v>IN</v>
      </c>
      <c r="I159" s="217">
        <f t="shared" si="18"/>
        <v>4514.7820000000011</v>
      </c>
      <c r="J159" s="217">
        <f t="shared" si="19"/>
        <v>7526.3479999999981</v>
      </c>
      <c r="K159" s="381">
        <f t="shared" si="20"/>
        <v>220.9384743254393</v>
      </c>
      <c r="L159" s="451"/>
      <c r="M159" s="451"/>
      <c r="N159" s="18"/>
    </row>
    <row r="160" spans="2:14">
      <c r="B160" s="213">
        <f t="shared" si="22"/>
        <v>136</v>
      </c>
      <c r="C160" s="213"/>
      <c r="D160" s="214">
        <v>7</v>
      </c>
      <c r="E160" s="206">
        <f t="shared" si="23"/>
        <v>252</v>
      </c>
      <c r="F160" s="215">
        <v>33.549999999999997</v>
      </c>
      <c r="G160" s="215">
        <f t="shared" si="21"/>
        <v>33.151999999999994</v>
      </c>
      <c r="H160" s="215" t="str">
        <f t="shared" si="17"/>
        <v>IN</v>
      </c>
      <c r="I160" s="217">
        <f t="shared" si="18"/>
        <v>4547.9340000000011</v>
      </c>
      <c r="J160" s="217">
        <f t="shared" si="19"/>
        <v>7493.1959999999981</v>
      </c>
      <c r="K160" s="381">
        <f t="shared" si="20"/>
        <v>221.65029259281897</v>
      </c>
      <c r="L160" s="451"/>
      <c r="M160" s="451"/>
      <c r="N160" s="18"/>
    </row>
    <row r="161" spans="2:14">
      <c r="B161" s="213">
        <f t="shared" si="22"/>
        <v>137</v>
      </c>
      <c r="C161" s="213"/>
      <c r="D161" s="214">
        <v>7</v>
      </c>
      <c r="E161" s="206">
        <f t="shared" si="23"/>
        <v>251</v>
      </c>
      <c r="F161" s="215">
        <v>33.49</v>
      </c>
      <c r="G161" s="215">
        <f t="shared" si="21"/>
        <v>33.091999999999999</v>
      </c>
      <c r="H161" s="215" t="str">
        <f t="shared" si="17"/>
        <v>IN</v>
      </c>
      <c r="I161" s="217">
        <f t="shared" si="18"/>
        <v>4581.0260000000007</v>
      </c>
      <c r="J161" s="217">
        <f t="shared" si="19"/>
        <v>7460.1039999999985</v>
      </c>
      <c r="K161" s="381">
        <f t="shared" si="20"/>
        <v>222.36082257906801</v>
      </c>
      <c r="L161" s="451"/>
      <c r="M161" s="451"/>
      <c r="N161" s="18"/>
    </row>
    <row r="162" spans="2:14">
      <c r="B162" s="213">
        <f t="shared" si="22"/>
        <v>138</v>
      </c>
      <c r="C162" s="213"/>
      <c r="D162" s="214">
        <v>7</v>
      </c>
      <c r="E162" s="206">
        <f t="shared" si="23"/>
        <v>250</v>
      </c>
      <c r="F162" s="215">
        <v>33.200000000000003</v>
      </c>
      <c r="G162" s="215">
        <f t="shared" si="21"/>
        <v>32.802</v>
      </c>
      <c r="H162" s="215" t="str">
        <f t="shared" si="17"/>
        <v>IN</v>
      </c>
      <c r="I162" s="217">
        <f t="shared" si="18"/>
        <v>4613.8280000000004</v>
      </c>
      <c r="J162" s="217">
        <f t="shared" si="19"/>
        <v>7427.3019999999988</v>
      </c>
      <c r="K162" s="381">
        <f t="shared" si="20"/>
        <v>223.06512587318565</v>
      </c>
      <c r="L162" s="451"/>
      <c r="M162" s="451"/>
      <c r="N162" s="18"/>
    </row>
    <row r="163" spans="2:14">
      <c r="B163" s="213">
        <f t="shared" si="22"/>
        <v>139</v>
      </c>
      <c r="C163" s="213"/>
      <c r="D163" s="214">
        <v>7</v>
      </c>
      <c r="E163" s="206">
        <f t="shared" si="23"/>
        <v>249</v>
      </c>
      <c r="F163" s="215">
        <v>33.159999999999997</v>
      </c>
      <c r="G163" s="215">
        <f t="shared" si="21"/>
        <v>32.761999999999993</v>
      </c>
      <c r="H163" s="215" t="str">
        <f t="shared" si="17"/>
        <v>IN</v>
      </c>
      <c r="I163" s="217">
        <f t="shared" si="18"/>
        <v>4646.59</v>
      </c>
      <c r="J163" s="217">
        <f t="shared" si="19"/>
        <v>7394.5399999999991</v>
      </c>
      <c r="K163" s="381">
        <f t="shared" si="20"/>
        <v>223.7685703132162</v>
      </c>
      <c r="L163" s="451"/>
      <c r="M163" s="451"/>
      <c r="N163" s="18"/>
    </row>
    <row r="164" spans="2:14">
      <c r="B164" s="213">
        <f t="shared" si="22"/>
        <v>140</v>
      </c>
      <c r="C164" s="213"/>
      <c r="D164" s="214">
        <v>7</v>
      </c>
      <c r="E164" s="206">
        <f t="shared" si="23"/>
        <v>248</v>
      </c>
      <c r="F164" s="215">
        <v>32.630000000000003</v>
      </c>
      <c r="G164" s="215">
        <f t="shared" si="21"/>
        <v>32.231999999999999</v>
      </c>
      <c r="H164" s="215" t="str">
        <f t="shared" si="17"/>
        <v>IN</v>
      </c>
      <c r="I164" s="217">
        <f t="shared" si="18"/>
        <v>4678.8220000000001</v>
      </c>
      <c r="J164" s="217">
        <f t="shared" si="19"/>
        <v>7362.3079999999991</v>
      </c>
      <c r="K164" s="381">
        <f t="shared" si="20"/>
        <v>224.46063493659284</v>
      </c>
      <c r="L164" s="451"/>
      <c r="M164" s="451"/>
      <c r="N164" s="18"/>
    </row>
    <row r="165" spans="2:14">
      <c r="B165" s="213">
        <f t="shared" si="22"/>
        <v>141</v>
      </c>
      <c r="C165" s="213"/>
      <c r="D165" s="214">
        <v>7</v>
      </c>
      <c r="E165" s="206">
        <f t="shared" si="23"/>
        <v>247</v>
      </c>
      <c r="F165" s="215">
        <v>33.18</v>
      </c>
      <c r="G165" s="215">
        <f t="shared" si="21"/>
        <v>32.781999999999996</v>
      </c>
      <c r="H165" s="215" t="str">
        <f t="shared" si="17"/>
        <v>IN</v>
      </c>
      <c r="I165" s="217">
        <f t="shared" si="18"/>
        <v>4711.6040000000003</v>
      </c>
      <c r="J165" s="217">
        <f t="shared" si="19"/>
        <v>7329.5259999999989</v>
      </c>
      <c r="K165" s="381">
        <f t="shared" si="20"/>
        <v>225.16450880366693</v>
      </c>
      <c r="L165" s="451"/>
      <c r="M165" s="451"/>
      <c r="N165" s="18"/>
    </row>
    <row r="166" spans="2:14">
      <c r="B166" s="213">
        <f t="shared" si="22"/>
        <v>142</v>
      </c>
      <c r="C166" s="213"/>
      <c r="D166" s="214">
        <v>7</v>
      </c>
      <c r="E166" s="206">
        <f t="shared" si="23"/>
        <v>246</v>
      </c>
      <c r="F166" s="215">
        <v>33.369999999999997</v>
      </c>
      <c r="G166" s="215">
        <f t="shared" si="21"/>
        <v>32.971999999999994</v>
      </c>
      <c r="H166" s="215" t="str">
        <f t="shared" si="17"/>
        <v>IN</v>
      </c>
      <c r="I166" s="217">
        <f t="shared" si="18"/>
        <v>4744.576</v>
      </c>
      <c r="J166" s="217">
        <f t="shared" si="19"/>
        <v>7296.5539999999992</v>
      </c>
      <c r="K166" s="381">
        <f t="shared" si="20"/>
        <v>225.87246222765469</v>
      </c>
      <c r="L166" s="451"/>
      <c r="M166" s="451"/>
      <c r="N166" s="18"/>
    </row>
    <row r="167" spans="2:14">
      <c r="B167" s="213">
        <f t="shared" si="22"/>
        <v>143</v>
      </c>
      <c r="C167" s="213"/>
      <c r="D167" s="214">
        <v>7</v>
      </c>
      <c r="E167" s="206">
        <f t="shared" si="23"/>
        <v>245</v>
      </c>
      <c r="F167" s="215">
        <v>32.700000000000003</v>
      </c>
      <c r="G167" s="215">
        <f t="shared" si="21"/>
        <v>32.302</v>
      </c>
      <c r="H167" s="215" t="str">
        <f t="shared" si="17"/>
        <v>IN</v>
      </c>
      <c r="I167" s="217">
        <f t="shared" si="18"/>
        <v>4776.8779999999997</v>
      </c>
      <c r="J167" s="217">
        <f t="shared" si="19"/>
        <v>7264.2519999999995</v>
      </c>
      <c r="K167" s="381">
        <f t="shared" si="20"/>
        <v>226.56602984568372</v>
      </c>
      <c r="L167" s="451"/>
      <c r="M167" s="451"/>
      <c r="N167" s="18"/>
    </row>
    <row r="168" spans="2:14">
      <c r="B168" s="213">
        <f t="shared" si="22"/>
        <v>144</v>
      </c>
      <c r="C168" s="213"/>
      <c r="D168" s="214">
        <v>7</v>
      </c>
      <c r="E168" s="206">
        <f t="shared" si="23"/>
        <v>244</v>
      </c>
      <c r="F168" s="215">
        <v>33.369999999999997</v>
      </c>
      <c r="G168" s="215">
        <f t="shared" si="21"/>
        <v>32.971999999999994</v>
      </c>
      <c r="H168" s="215" t="str">
        <f t="shared" si="17"/>
        <v>IN</v>
      </c>
      <c r="I168" s="217">
        <f t="shared" si="18"/>
        <v>4809.8499999999995</v>
      </c>
      <c r="J168" s="217">
        <f t="shared" si="19"/>
        <v>7231.28</v>
      </c>
      <c r="K168" s="381">
        <f t="shared" si="20"/>
        <v>227.2739832696715</v>
      </c>
      <c r="L168" s="451"/>
      <c r="M168" s="451"/>
      <c r="N168" s="18"/>
    </row>
    <row r="169" spans="2:14">
      <c r="B169" s="213">
        <f t="shared" si="22"/>
        <v>145</v>
      </c>
      <c r="C169" s="213"/>
      <c r="D169" s="214">
        <v>7</v>
      </c>
      <c r="E169" s="206">
        <f t="shared" si="23"/>
        <v>243</v>
      </c>
      <c r="F169" s="215">
        <v>33.01</v>
      </c>
      <c r="G169" s="215">
        <f t="shared" si="21"/>
        <v>32.611999999999995</v>
      </c>
      <c r="H169" s="215" t="str">
        <f t="shared" si="17"/>
        <v>IN</v>
      </c>
      <c r="I169" s="217">
        <f t="shared" si="18"/>
        <v>4842.4619999999995</v>
      </c>
      <c r="J169" s="217">
        <f t="shared" si="19"/>
        <v>7198.6679999999997</v>
      </c>
      <c r="K169" s="381">
        <f t="shared" si="20"/>
        <v>227.97420700687547</v>
      </c>
      <c r="L169" s="451"/>
      <c r="M169" s="451"/>
      <c r="N169" s="18"/>
    </row>
    <row r="170" spans="2:14">
      <c r="B170" s="213">
        <f t="shared" si="22"/>
        <v>146</v>
      </c>
      <c r="C170" s="213"/>
      <c r="D170" s="214">
        <v>7</v>
      </c>
      <c r="E170" s="206">
        <f t="shared" si="23"/>
        <v>242</v>
      </c>
      <c r="F170" s="215">
        <v>33.39</v>
      </c>
      <c r="G170" s="215">
        <f t="shared" si="21"/>
        <v>32.991999999999997</v>
      </c>
      <c r="H170" s="215" t="str">
        <f t="shared" si="17"/>
        <v>IN</v>
      </c>
      <c r="I170" s="217">
        <f t="shared" si="18"/>
        <v>4875.4539999999997</v>
      </c>
      <c r="J170" s="217">
        <f t="shared" si="19"/>
        <v>7165.6759999999995</v>
      </c>
      <c r="K170" s="381">
        <f t="shared" si="20"/>
        <v>228.68258985790681</v>
      </c>
      <c r="L170" s="451"/>
      <c r="M170" s="451"/>
      <c r="N170" s="18"/>
    </row>
    <row r="171" spans="2:14">
      <c r="B171" s="213">
        <f t="shared" si="22"/>
        <v>147</v>
      </c>
      <c r="C171" s="213"/>
      <c r="D171" s="214">
        <v>7</v>
      </c>
      <c r="E171" s="206">
        <f t="shared" si="23"/>
        <v>241</v>
      </c>
      <c r="F171" s="215">
        <v>33.04</v>
      </c>
      <c r="G171" s="215">
        <f t="shared" si="21"/>
        <v>32.641999999999996</v>
      </c>
      <c r="H171" s="215" t="str">
        <f t="shared" si="17"/>
        <v>IN</v>
      </c>
      <c r="I171" s="217">
        <f t="shared" si="18"/>
        <v>4908.0959999999995</v>
      </c>
      <c r="J171" s="217">
        <f t="shared" si="19"/>
        <v>7133.0339999999997</v>
      </c>
      <c r="K171" s="381">
        <f t="shared" si="20"/>
        <v>229.38345773567607</v>
      </c>
      <c r="L171" s="451"/>
      <c r="M171" s="451"/>
      <c r="N171" s="18"/>
    </row>
    <row r="172" spans="2:14">
      <c r="B172" s="213">
        <f t="shared" si="22"/>
        <v>148</v>
      </c>
      <c r="C172" s="213"/>
      <c r="D172" s="214">
        <v>7</v>
      </c>
      <c r="E172" s="206">
        <f t="shared" si="23"/>
        <v>240</v>
      </c>
      <c r="F172" s="215">
        <v>33.200000000000003</v>
      </c>
      <c r="G172" s="215">
        <f t="shared" si="21"/>
        <v>32.802</v>
      </c>
      <c r="H172" s="215" t="str">
        <f t="shared" si="17"/>
        <v>IN</v>
      </c>
      <c r="I172" s="217">
        <f t="shared" si="18"/>
        <v>4940.8979999999992</v>
      </c>
      <c r="J172" s="217">
        <f t="shared" si="19"/>
        <v>7100.232</v>
      </c>
      <c r="K172" s="381">
        <f t="shared" si="20"/>
        <v>230.08776102979374</v>
      </c>
      <c r="L172" s="451"/>
      <c r="M172" s="451"/>
      <c r="N172" s="18"/>
    </row>
    <row r="173" spans="2:14">
      <c r="B173" s="213">
        <f t="shared" si="22"/>
        <v>149</v>
      </c>
      <c r="C173" s="213"/>
      <c r="D173" s="214">
        <v>7</v>
      </c>
      <c r="E173" s="206">
        <f t="shared" si="23"/>
        <v>239</v>
      </c>
      <c r="F173" s="215">
        <v>33.1</v>
      </c>
      <c r="G173" s="215">
        <f t="shared" si="21"/>
        <v>32.701999999999998</v>
      </c>
      <c r="H173" s="215" t="str">
        <f t="shared" si="17"/>
        <v>IN</v>
      </c>
      <c r="I173" s="217">
        <f t="shared" si="18"/>
        <v>4973.5999999999995</v>
      </c>
      <c r="J173" s="217">
        <f t="shared" si="19"/>
        <v>7067.53</v>
      </c>
      <c r="K173" s="381">
        <f t="shared" si="20"/>
        <v>230.78991718869366</v>
      </c>
      <c r="L173" s="451"/>
      <c r="M173" s="451"/>
      <c r="N173" s="18"/>
    </row>
    <row r="174" spans="2:14">
      <c r="B174" s="213">
        <f t="shared" si="22"/>
        <v>150</v>
      </c>
      <c r="C174" s="213"/>
      <c r="D174" s="214">
        <v>7</v>
      </c>
      <c r="E174" s="206">
        <f t="shared" si="23"/>
        <v>238</v>
      </c>
      <c r="F174" s="215">
        <v>32.200000000000003</v>
      </c>
      <c r="G174" s="215">
        <f t="shared" si="21"/>
        <v>31.802000000000003</v>
      </c>
      <c r="H174" s="215" t="str">
        <f t="shared" si="17"/>
        <v>IN</v>
      </c>
      <c r="I174" s="217">
        <f t="shared" si="18"/>
        <v>5005.4019999999991</v>
      </c>
      <c r="J174" s="217">
        <f t="shared" si="19"/>
        <v>7035.7280000000001</v>
      </c>
      <c r="K174" s="381">
        <f t="shared" si="20"/>
        <v>231.47274913063404</v>
      </c>
      <c r="L174" s="451"/>
      <c r="M174" s="451"/>
      <c r="N174" s="18"/>
    </row>
    <row r="175" spans="2:14">
      <c r="B175" s="213">
        <f t="shared" si="22"/>
        <v>151</v>
      </c>
      <c r="C175" s="213"/>
      <c r="D175" s="214">
        <v>7</v>
      </c>
      <c r="E175" s="206">
        <f t="shared" si="23"/>
        <v>237</v>
      </c>
      <c r="F175" s="215">
        <v>33.4</v>
      </c>
      <c r="G175" s="215">
        <f t="shared" si="21"/>
        <v>33.001999999999995</v>
      </c>
      <c r="H175" s="215" t="str">
        <f t="shared" si="17"/>
        <v>IN</v>
      </c>
      <c r="I175" s="217">
        <f t="shared" si="18"/>
        <v>5038.4039999999995</v>
      </c>
      <c r="J175" s="217">
        <f t="shared" si="19"/>
        <v>7002.7259999999997</v>
      </c>
      <c r="K175" s="381">
        <f t="shared" si="20"/>
        <v>232.18134669518716</v>
      </c>
      <c r="L175" s="451"/>
      <c r="M175" s="451"/>
      <c r="N175" s="18"/>
    </row>
    <row r="176" spans="2:14">
      <c r="B176" s="213">
        <f t="shared" si="22"/>
        <v>152</v>
      </c>
      <c r="C176" s="213"/>
      <c r="D176" s="214">
        <v>7</v>
      </c>
      <c r="E176" s="206">
        <f t="shared" si="23"/>
        <v>236</v>
      </c>
      <c r="F176" s="215">
        <v>33.11</v>
      </c>
      <c r="G176" s="215">
        <f t="shared" si="21"/>
        <v>32.711999999999996</v>
      </c>
      <c r="H176" s="215" t="str">
        <f t="shared" si="17"/>
        <v>IN</v>
      </c>
      <c r="I176" s="217">
        <f t="shared" si="18"/>
        <v>5071.116</v>
      </c>
      <c r="J176" s="217">
        <f t="shared" si="19"/>
        <v>6970.0139999999992</v>
      </c>
      <c r="K176" s="381">
        <f t="shared" si="20"/>
        <v>232.88371756760887</v>
      </c>
      <c r="L176" s="451"/>
      <c r="M176" s="451"/>
      <c r="N176" s="18"/>
    </row>
    <row r="177" spans="2:14">
      <c r="B177" s="213">
        <f t="shared" si="22"/>
        <v>153</v>
      </c>
      <c r="C177" s="213"/>
      <c r="D177" s="214">
        <v>7</v>
      </c>
      <c r="E177" s="206">
        <f t="shared" si="23"/>
        <v>235</v>
      </c>
      <c r="F177" s="215">
        <v>33.64</v>
      </c>
      <c r="G177" s="215">
        <f t="shared" si="21"/>
        <v>33.241999999999997</v>
      </c>
      <c r="H177" s="215" t="str">
        <f t="shared" si="17"/>
        <v>IN</v>
      </c>
      <c r="I177" s="217">
        <f t="shared" si="18"/>
        <v>5104.3580000000002</v>
      </c>
      <c r="J177" s="217">
        <f t="shared" si="19"/>
        <v>6936.771999999999</v>
      </c>
      <c r="K177" s="381">
        <f t="shared" si="20"/>
        <v>233.59746825668452</v>
      </c>
      <c r="L177" s="451"/>
      <c r="M177" s="451"/>
      <c r="N177" s="18"/>
    </row>
    <row r="178" spans="2:14">
      <c r="B178" s="213">
        <f t="shared" si="22"/>
        <v>154</v>
      </c>
      <c r="C178" s="213"/>
      <c r="D178" s="214">
        <v>7</v>
      </c>
      <c r="E178" s="206">
        <f t="shared" si="23"/>
        <v>234</v>
      </c>
      <c r="F178" s="215">
        <v>33.25</v>
      </c>
      <c r="G178" s="215">
        <f t="shared" si="21"/>
        <v>32.851999999999997</v>
      </c>
      <c r="H178" s="215" t="str">
        <f t="shared" si="17"/>
        <v>IN</v>
      </c>
      <c r="I178" s="217">
        <f t="shared" si="18"/>
        <v>5137.21</v>
      </c>
      <c r="J178" s="217">
        <f t="shared" si="19"/>
        <v>6903.9199999999992</v>
      </c>
      <c r="K178" s="381">
        <f t="shared" si="20"/>
        <v>234.302845118411</v>
      </c>
      <c r="L178" s="451"/>
      <c r="M178" s="451"/>
      <c r="N178" s="18"/>
    </row>
    <row r="179" spans="2:14">
      <c r="B179" s="213">
        <f t="shared" si="22"/>
        <v>155</v>
      </c>
      <c r="C179" s="213"/>
      <c r="D179" s="214">
        <v>7</v>
      </c>
      <c r="E179" s="206">
        <f t="shared" si="23"/>
        <v>233</v>
      </c>
      <c r="F179" s="215">
        <v>33.32</v>
      </c>
      <c r="G179" s="215">
        <f t="shared" si="21"/>
        <v>32.921999999999997</v>
      </c>
      <c r="H179" s="215" t="str">
        <f t="shared" si="17"/>
        <v>IN</v>
      </c>
      <c r="I179" s="217">
        <f t="shared" si="18"/>
        <v>5170.1319999999996</v>
      </c>
      <c r="J179" s="217">
        <f t="shared" si="19"/>
        <v>6870.9979999999996</v>
      </c>
      <c r="K179" s="381">
        <f t="shared" si="20"/>
        <v>235.00972497478992</v>
      </c>
      <c r="L179" s="451"/>
      <c r="M179" s="451"/>
      <c r="N179" s="18"/>
    </row>
    <row r="180" spans="2:14">
      <c r="B180" s="213">
        <f t="shared" si="22"/>
        <v>156</v>
      </c>
      <c r="C180" s="213"/>
      <c r="D180" s="214">
        <v>7</v>
      </c>
      <c r="E180" s="206">
        <f t="shared" si="23"/>
        <v>232</v>
      </c>
      <c r="F180" s="215">
        <v>32.700000000000003</v>
      </c>
      <c r="G180" s="215">
        <f t="shared" si="21"/>
        <v>32.302</v>
      </c>
      <c r="H180" s="215" t="str">
        <f t="shared" si="17"/>
        <v>IN</v>
      </c>
      <c r="I180" s="217">
        <f t="shared" si="18"/>
        <v>5202.4339999999993</v>
      </c>
      <c r="J180" s="217">
        <f t="shared" si="19"/>
        <v>6838.6959999999999</v>
      </c>
      <c r="K180" s="381">
        <f t="shared" si="20"/>
        <v>235.70329259281894</v>
      </c>
      <c r="L180" s="451"/>
      <c r="M180" s="451"/>
      <c r="N180" s="18"/>
    </row>
    <row r="181" spans="2:14">
      <c r="B181" s="213">
        <f t="shared" si="22"/>
        <v>157</v>
      </c>
      <c r="C181" s="213"/>
      <c r="D181" s="214">
        <v>7</v>
      </c>
      <c r="E181" s="206">
        <f t="shared" si="23"/>
        <v>231</v>
      </c>
      <c r="F181" s="215">
        <v>31.76</v>
      </c>
      <c r="G181" s="215">
        <f t="shared" si="21"/>
        <v>31.362000000000002</v>
      </c>
      <c r="H181" s="215" t="str">
        <f t="shared" si="17"/>
        <v>IN</v>
      </c>
      <c r="I181" s="217">
        <f t="shared" si="18"/>
        <v>5233.7959999999994</v>
      </c>
      <c r="J181" s="217">
        <f t="shared" si="19"/>
        <v>6807.3339999999998</v>
      </c>
      <c r="K181" s="381">
        <f t="shared" si="20"/>
        <v>236.37667713980139</v>
      </c>
      <c r="L181" s="451"/>
      <c r="M181" s="451"/>
      <c r="N181" s="18"/>
    </row>
    <row r="182" spans="2:14">
      <c r="B182" s="213">
        <f t="shared" si="22"/>
        <v>158</v>
      </c>
      <c r="C182" s="213"/>
      <c r="D182" s="214">
        <v>7</v>
      </c>
      <c r="E182" s="206">
        <f t="shared" si="23"/>
        <v>230</v>
      </c>
      <c r="F182" s="215">
        <v>33.22</v>
      </c>
      <c r="G182" s="215">
        <f t="shared" si="21"/>
        <v>32.821999999999996</v>
      </c>
      <c r="H182" s="215" t="str">
        <f t="shared" si="17"/>
        <v>IN</v>
      </c>
      <c r="I182" s="217">
        <f t="shared" si="18"/>
        <v>5266.6179999999995</v>
      </c>
      <c r="J182" s="217">
        <f t="shared" si="19"/>
        <v>6774.5119999999997</v>
      </c>
      <c r="K182" s="381">
        <f t="shared" si="20"/>
        <v>237.08140986096257</v>
      </c>
      <c r="L182" s="451"/>
      <c r="M182" s="451"/>
      <c r="N182" s="18"/>
    </row>
    <row r="183" spans="2:14">
      <c r="B183" s="213">
        <f t="shared" si="22"/>
        <v>159</v>
      </c>
      <c r="C183" s="213"/>
      <c r="D183" s="214">
        <v>7</v>
      </c>
      <c r="E183" s="206">
        <f t="shared" si="23"/>
        <v>229</v>
      </c>
      <c r="F183" s="215">
        <v>33.5</v>
      </c>
      <c r="G183" s="215">
        <f t="shared" si="21"/>
        <v>33.101999999999997</v>
      </c>
      <c r="H183" s="215" t="str">
        <f t="shared" si="17"/>
        <v>IN</v>
      </c>
      <c r="I183" s="217">
        <f t="shared" si="18"/>
        <v>5299.7199999999993</v>
      </c>
      <c r="J183" s="217">
        <f t="shared" si="19"/>
        <v>6741.41</v>
      </c>
      <c r="K183" s="381">
        <f t="shared" si="20"/>
        <v>237.79215456073337</v>
      </c>
      <c r="L183" s="451"/>
      <c r="M183" s="451"/>
      <c r="N183" s="18"/>
    </row>
    <row r="184" spans="2:14">
      <c r="B184" s="213">
        <f t="shared" si="22"/>
        <v>160</v>
      </c>
      <c r="C184" s="213"/>
      <c r="D184" s="214">
        <v>7</v>
      </c>
      <c r="E184" s="206">
        <f t="shared" si="23"/>
        <v>228</v>
      </c>
      <c r="F184" s="215">
        <v>33.46</v>
      </c>
      <c r="G184" s="215">
        <f t="shared" si="21"/>
        <v>33.061999999999998</v>
      </c>
      <c r="H184" s="215" t="str">
        <f t="shared" si="17"/>
        <v>IN</v>
      </c>
      <c r="I184" s="217">
        <f t="shared" si="18"/>
        <v>5332.7819999999992</v>
      </c>
      <c r="J184" s="217">
        <f t="shared" si="19"/>
        <v>6708.348</v>
      </c>
      <c r="K184" s="381">
        <f t="shared" si="20"/>
        <v>238.50204040641711</v>
      </c>
      <c r="L184" s="451"/>
      <c r="M184" s="451"/>
      <c r="N184" s="18"/>
    </row>
    <row r="185" spans="2:14">
      <c r="B185" s="213">
        <f t="shared" si="22"/>
        <v>161</v>
      </c>
      <c r="C185" s="213"/>
      <c r="D185" s="214">
        <v>7</v>
      </c>
      <c r="E185" s="206">
        <f t="shared" si="23"/>
        <v>227</v>
      </c>
      <c r="F185" s="215">
        <v>33.56</v>
      </c>
      <c r="G185" s="215">
        <f t="shared" si="21"/>
        <v>33.161999999999999</v>
      </c>
      <c r="H185" s="215" t="str">
        <f t="shared" si="17"/>
        <v>IN</v>
      </c>
      <c r="I185" s="217">
        <f t="shared" si="18"/>
        <v>5365.9439999999995</v>
      </c>
      <c r="J185" s="217">
        <f t="shared" si="19"/>
        <v>6675.1859999999997</v>
      </c>
      <c r="K185" s="381">
        <f t="shared" si="20"/>
        <v>239.21407338731856</v>
      </c>
      <c r="L185" s="451"/>
      <c r="M185" s="451"/>
      <c r="N185" s="18"/>
    </row>
    <row r="186" spans="2:14">
      <c r="B186" s="213">
        <f t="shared" si="22"/>
        <v>162</v>
      </c>
      <c r="C186" s="213"/>
      <c r="D186" s="214">
        <v>7</v>
      </c>
      <c r="E186" s="206">
        <f t="shared" si="23"/>
        <v>226</v>
      </c>
      <c r="F186" s="215">
        <v>33.450000000000003</v>
      </c>
      <c r="G186" s="215">
        <f t="shared" si="21"/>
        <v>33.052</v>
      </c>
      <c r="H186" s="215" t="str">
        <f t="shared" si="17"/>
        <v>IN</v>
      </c>
      <c r="I186" s="217">
        <f t="shared" si="18"/>
        <v>5398.9959999999992</v>
      </c>
      <c r="J186" s="217">
        <f t="shared" si="19"/>
        <v>6642.134</v>
      </c>
      <c r="K186" s="381">
        <f t="shared" si="20"/>
        <v>239.92374451948052</v>
      </c>
      <c r="L186" s="451"/>
      <c r="M186" s="451"/>
      <c r="N186" s="18"/>
    </row>
    <row r="187" spans="2:14">
      <c r="B187" s="213">
        <f t="shared" si="22"/>
        <v>163</v>
      </c>
      <c r="C187" s="213"/>
      <c r="D187" s="214">
        <v>7</v>
      </c>
      <c r="E187" s="206">
        <f t="shared" si="23"/>
        <v>225</v>
      </c>
      <c r="F187" s="215">
        <v>33.14</v>
      </c>
      <c r="G187" s="215">
        <f t="shared" si="21"/>
        <v>32.741999999999997</v>
      </c>
      <c r="H187" s="215" t="str">
        <f t="shared" si="17"/>
        <v>IN</v>
      </c>
      <c r="I187" s="217">
        <f t="shared" si="18"/>
        <v>5431.7379999999994</v>
      </c>
      <c r="J187" s="217">
        <f t="shared" si="19"/>
        <v>6609.3919999999998</v>
      </c>
      <c r="K187" s="381">
        <f t="shared" si="20"/>
        <v>240.62675953246753</v>
      </c>
      <c r="L187" s="451"/>
      <c r="M187" s="451"/>
      <c r="N187" s="18"/>
    </row>
    <row r="188" spans="2:14">
      <c r="B188" s="213">
        <f t="shared" si="22"/>
        <v>164</v>
      </c>
      <c r="C188" s="213"/>
      <c r="D188" s="214">
        <v>7</v>
      </c>
      <c r="E188" s="206">
        <f t="shared" si="23"/>
        <v>224</v>
      </c>
      <c r="F188" s="215">
        <v>33.75</v>
      </c>
      <c r="G188" s="215">
        <f t="shared" si="21"/>
        <v>33.351999999999997</v>
      </c>
      <c r="H188" s="215" t="str">
        <f t="shared" si="17"/>
        <v>IN</v>
      </c>
      <c r="I188" s="217">
        <f t="shared" si="18"/>
        <v>5465.0899999999992</v>
      </c>
      <c r="J188" s="217">
        <f t="shared" si="19"/>
        <v>6576.04</v>
      </c>
      <c r="K188" s="381">
        <f t="shared" si="20"/>
        <v>241.34287207028262</v>
      </c>
      <c r="L188" s="451"/>
      <c r="M188" s="451"/>
      <c r="N188" s="18"/>
    </row>
    <row r="189" spans="2:14">
      <c r="B189" s="213">
        <f t="shared" si="22"/>
        <v>165</v>
      </c>
      <c r="C189" s="213"/>
      <c r="D189" s="214">
        <v>7</v>
      </c>
      <c r="E189" s="206">
        <f t="shared" si="23"/>
        <v>223</v>
      </c>
      <c r="F189" s="215">
        <v>33.15</v>
      </c>
      <c r="G189" s="215">
        <f t="shared" si="21"/>
        <v>32.751999999999995</v>
      </c>
      <c r="H189" s="215" t="str">
        <f t="shared" si="17"/>
        <v>IN</v>
      </c>
      <c r="I189" s="217">
        <f t="shared" si="18"/>
        <v>5497.8419999999996</v>
      </c>
      <c r="J189" s="217">
        <f t="shared" si="19"/>
        <v>6543.2879999999996</v>
      </c>
      <c r="K189" s="381">
        <f t="shared" si="20"/>
        <v>242.04610179679145</v>
      </c>
      <c r="L189" s="451"/>
      <c r="M189" s="451"/>
      <c r="N189" s="18"/>
    </row>
    <row r="190" spans="2:14">
      <c r="B190" s="213">
        <f t="shared" si="22"/>
        <v>166</v>
      </c>
      <c r="C190" s="213"/>
      <c r="D190" s="214">
        <v>7</v>
      </c>
      <c r="E190" s="206">
        <f t="shared" si="23"/>
        <v>222</v>
      </c>
      <c r="F190" s="215">
        <v>33.950000000000003</v>
      </c>
      <c r="G190" s="215">
        <f t="shared" si="21"/>
        <v>33.552</v>
      </c>
      <c r="H190" s="215" t="str">
        <f t="shared" si="17"/>
        <v>IN</v>
      </c>
      <c r="I190" s="217">
        <f t="shared" si="18"/>
        <v>5531.3939999999993</v>
      </c>
      <c r="J190" s="217">
        <f t="shared" si="19"/>
        <v>6509.7359999999999</v>
      </c>
      <c r="K190" s="381">
        <f t="shared" si="20"/>
        <v>242.76650860504202</v>
      </c>
      <c r="L190" s="451"/>
      <c r="M190" s="451"/>
      <c r="N190" s="18"/>
    </row>
    <row r="191" spans="2:14">
      <c r="B191" s="213">
        <f t="shared" si="22"/>
        <v>167</v>
      </c>
      <c r="C191" s="213"/>
      <c r="D191" s="214">
        <v>7</v>
      </c>
      <c r="E191" s="206">
        <f t="shared" si="23"/>
        <v>221</v>
      </c>
      <c r="F191" s="215">
        <v>33.479999999999997</v>
      </c>
      <c r="G191" s="215">
        <f t="shared" si="21"/>
        <v>33.081999999999994</v>
      </c>
      <c r="H191" s="215" t="str">
        <f t="shared" si="17"/>
        <v>IN</v>
      </c>
      <c r="I191" s="217">
        <f t="shared" si="18"/>
        <v>5564.4759999999997</v>
      </c>
      <c r="J191" s="217">
        <f t="shared" si="19"/>
        <v>6476.6539999999995</v>
      </c>
      <c r="K191" s="381">
        <f t="shared" si="20"/>
        <v>243.47682387776928</v>
      </c>
      <c r="L191" s="451"/>
      <c r="M191" s="451"/>
      <c r="N191" s="18"/>
    </row>
    <row r="192" spans="2:14">
      <c r="B192" s="213">
        <f t="shared" si="22"/>
        <v>168</v>
      </c>
      <c r="C192" s="213"/>
      <c r="D192" s="214">
        <v>7</v>
      </c>
      <c r="E192" s="206">
        <f t="shared" si="23"/>
        <v>220</v>
      </c>
      <c r="F192" s="215">
        <v>33.03</v>
      </c>
      <c r="G192" s="215">
        <f t="shared" si="21"/>
        <v>32.631999999999998</v>
      </c>
      <c r="H192" s="215" t="str">
        <f t="shared" si="17"/>
        <v>IN</v>
      </c>
      <c r="I192" s="217">
        <f t="shared" si="18"/>
        <v>5597.1079999999993</v>
      </c>
      <c r="J192" s="217">
        <f t="shared" si="19"/>
        <v>6444.0219999999999</v>
      </c>
      <c r="K192" s="381">
        <f t="shared" si="20"/>
        <v>244.17747704201679</v>
      </c>
      <c r="L192" s="451"/>
      <c r="M192" s="451"/>
      <c r="N192" s="18"/>
    </row>
    <row r="193" spans="2:14">
      <c r="B193" s="213">
        <f t="shared" si="22"/>
        <v>169</v>
      </c>
      <c r="C193" s="213"/>
      <c r="D193" s="214">
        <v>7</v>
      </c>
      <c r="E193" s="206">
        <f t="shared" si="23"/>
        <v>219</v>
      </c>
      <c r="F193" s="215">
        <v>32.51</v>
      </c>
      <c r="G193" s="215">
        <f t="shared" si="21"/>
        <v>32.111999999999995</v>
      </c>
      <c r="H193" s="215" t="str">
        <f t="shared" si="17"/>
        <v>IN</v>
      </c>
      <c r="I193" s="217">
        <f t="shared" si="18"/>
        <v>5629.2199999999993</v>
      </c>
      <c r="J193" s="217">
        <f t="shared" si="19"/>
        <v>6411.91</v>
      </c>
      <c r="K193" s="381">
        <f t="shared" si="20"/>
        <v>244.86696510313215</v>
      </c>
      <c r="L193" s="451"/>
      <c r="M193" s="451"/>
      <c r="N193" s="18"/>
    </row>
    <row r="194" spans="2:14">
      <c r="B194" s="213">
        <f t="shared" si="22"/>
        <v>170</v>
      </c>
      <c r="C194" s="213"/>
      <c r="D194" s="214">
        <v>7</v>
      </c>
      <c r="E194" s="206">
        <f t="shared" si="23"/>
        <v>218</v>
      </c>
      <c r="F194" s="215">
        <v>33.200000000000003</v>
      </c>
      <c r="G194" s="215">
        <f t="shared" si="21"/>
        <v>32.802</v>
      </c>
      <c r="H194" s="215" t="str">
        <f t="shared" si="17"/>
        <v>IN</v>
      </c>
      <c r="I194" s="217">
        <f t="shared" si="18"/>
        <v>5662.021999999999</v>
      </c>
      <c r="J194" s="217">
        <f t="shared" si="19"/>
        <v>6379.1080000000002</v>
      </c>
      <c r="K194" s="381">
        <f t="shared" si="20"/>
        <v>245.57126839724981</v>
      </c>
      <c r="L194" s="451"/>
      <c r="M194" s="451"/>
      <c r="N194" s="18"/>
    </row>
    <row r="195" spans="2:14">
      <c r="B195" s="213">
        <f t="shared" si="22"/>
        <v>171</v>
      </c>
      <c r="C195" s="213"/>
      <c r="D195" s="214">
        <v>7</v>
      </c>
      <c r="E195" s="206">
        <f t="shared" si="23"/>
        <v>217</v>
      </c>
      <c r="F195" s="215">
        <v>33.020000000000003</v>
      </c>
      <c r="G195" s="215">
        <f t="shared" si="21"/>
        <v>32.622</v>
      </c>
      <c r="H195" s="215" t="str">
        <f t="shared" si="17"/>
        <v>IN</v>
      </c>
      <c r="I195" s="217">
        <f t="shared" si="18"/>
        <v>5694.6439999999993</v>
      </c>
      <c r="J195" s="217">
        <f t="shared" si="19"/>
        <v>6346.4859999999999</v>
      </c>
      <c r="K195" s="381">
        <f t="shared" si="20"/>
        <v>246.27170684797554</v>
      </c>
      <c r="L195" s="451"/>
      <c r="M195" s="451"/>
      <c r="N195" s="18"/>
    </row>
    <row r="196" spans="2:14">
      <c r="B196" s="213">
        <f t="shared" si="22"/>
        <v>172</v>
      </c>
      <c r="C196" s="213"/>
      <c r="D196" s="214">
        <v>7</v>
      </c>
      <c r="E196" s="206">
        <f t="shared" si="23"/>
        <v>216</v>
      </c>
      <c r="F196" s="373">
        <v>33.61</v>
      </c>
      <c r="G196" s="215">
        <f t="shared" si="21"/>
        <v>33.211999999999996</v>
      </c>
      <c r="H196" s="215" t="str">
        <f t="shared" si="17"/>
        <v>IN</v>
      </c>
      <c r="I196" s="217">
        <f t="shared" si="18"/>
        <v>5727.8559999999998</v>
      </c>
      <c r="J196" s="217">
        <f t="shared" si="19"/>
        <v>6313.2739999999994</v>
      </c>
      <c r="K196" s="381">
        <f t="shared" si="20"/>
        <v>246.98481339648589</v>
      </c>
      <c r="L196" s="451"/>
      <c r="M196" s="451"/>
      <c r="N196" s="18"/>
    </row>
    <row r="197" spans="2:14">
      <c r="B197" s="213">
        <f t="shared" si="22"/>
        <v>173</v>
      </c>
      <c r="C197" s="213"/>
      <c r="D197" s="214">
        <v>7</v>
      </c>
      <c r="E197" s="206">
        <f t="shared" si="23"/>
        <v>215</v>
      </c>
      <c r="F197" s="373">
        <v>33.21</v>
      </c>
      <c r="G197" s="215">
        <f t="shared" si="21"/>
        <v>32.811999999999998</v>
      </c>
      <c r="H197" s="215" t="str">
        <f t="shared" si="17"/>
        <v>IN</v>
      </c>
      <c r="I197" s="217">
        <f t="shared" si="18"/>
        <v>5760.6679999999997</v>
      </c>
      <c r="J197" s="217">
        <f t="shared" si="19"/>
        <v>6280.4619999999995</v>
      </c>
      <c r="K197" s="381">
        <f t="shared" si="20"/>
        <v>247.68933140412526</v>
      </c>
      <c r="L197" s="451"/>
      <c r="M197" s="451"/>
      <c r="N197" s="18"/>
    </row>
    <row r="198" spans="2:14">
      <c r="B198" s="213">
        <f t="shared" si="22"/>
        <v>174</v>
      </c>
      <c r="C198" s="213"/>
      <c r="D198" s="214">
        <v>7</v>
      </c>
      <c r="E198" s="206">
        <f t="shared" si="23"/>
        <v>214</v>
      </c>
      <c r="F198" s="373">
        <v>32.33</v>
      </c>
      <c r="G198" s="215">
        <f t="shared" si="21"/>
        <v>31.931999999999999</v>
      </c>
      <c r="H198" s="215" t="str">
        <f t="shared" si="17"/>
        <v>IN</v>
      </c>
      <c r="I198" s="217">
        <f t="shared" si="18"/>
        <v>5792.5999999999995</v>
      </c>
      <c r="J198" s="217">
        <f t="shared" si="19"/>
        <v>6248.53</v>
      </c>
      <c r="K198" s="381">
        <f t="shared" si="20"/>
        <v>248.37495462184873</v>
      </c>
      <c r="L198" s="451"/>
      <c r="M198" s="451"/>
      <c r="N198" s="18"/>
    </row>
    <row r="199" spans="2:14">
      <c r="B199" s="213">
        <f t="shared" si="22"/>
        <v>175</v>
      </c>
      <c r="C199" s="213"/>
      <c r="D199" s="214">
        <v>7</v>
      </c>
      <c r="E199" s="206">
        <f t="shared" si="23"/>
        <v>213</v>
      </c>
      <c r="F199" s="373">
        <v>31.28</v>
      </c>
      <c r="G199" s="215">
        <f t="shared" si="21"/>
        <v>30.882000000000001</v>
      </c>
      <c r="H199" s="215" t="str">
        <f t="shared" si="17"/>
        <v>IN</v>
      </c>
      <c r="I199" s="217">
        <f t="shared" si="18"/>
        <v>5823.4819999999991</v>
      </c>
      <c r="J199" s="217">
        <f t="shared" si="19"/>
        <v>6217.6480000000001</v>
      </c>
      <c r="K199" s="381">
        <f t="shared" si="20"/>
        <v>249.03803291978608</v>
      </c>
      <c r="L199" s="451"/>
      <c r="M199" s="451"/>
      <c r="N199" s="18"/>
    </row>
    <row r="200" spans="2:14">
      <c r="B200" s="213">
        <f t="shared" si="22"/>
        <v>176</v>
      </c>
      <c r="C200" s="213"/>
      <c r="D200" s="214">
        <v>7</v>
      </c>
      <c r="E200" s="206">
        <f t="shared" si="23"/>
        <v>212</v>
      </c>
      <c r="F200" s="215">
        <v>32.200000000000003</v>
      </c>
      <c r="G200" s="215">
        <f t="shared" si="21"/>
        <v>31.802000000000003</v>
      </c>
      <c r="H200" s="215" t="str">
        <f t="shared" si="17"/>
        <v>IN</v>
      </c>
      <c r="I200" s="217">
        <f t="shared" si="18"/>
        <v>5855.2839999999987</v>
      </c>
      <c r="J200" s="217">
        <f t="shared" si="19"/>
        <v>6185.8460000000005</v>
      </c>
      <c r="K200" s="381">
        <f t="shared" si="20"/>
        <v>249.72086486172648</v>
      </c>
      <c r="L200" s="451"/>
      <c r="M200" s="451"/>
      <c r="N200" s="18"/>
    </row>
    <row r="201" spans="2:14">
      <c r="B201" s="213">
        <f t="shared" si="22"/>
        <v>177</v>
      </c>
      <c r="C201" s="213"/>
      <c r="D201" s="214">
        <v>7</v>
      </c>
      <c r="E201" s="206">
        <f t="shared" si="23"/>
        <v>211</v>
      </c>
      <c r="F201" s="215">
        <v>31.73</v>
      </c>
      <c r="G201" s="215">
        <f t="shared" si="21"/>
        <v>31.332000000000001</v>
      </c>
      <c r="H201" s="215" t="str">
        <f t="shared" si="17"/>
        <v>IN</v>
      </c>
      <c r="I201" s="217">
        <f t="shared" si="18"/>
        <v>5886.6159999999991</v>
      </c>
      <c r="J201" s="217">
        <f t="shared" si="19"/>
        <v>6154.5140000000001</v>
      </c>
      <c r="K201" s="381">
        <f t="shared" si="20"/>
        <v>250.3936052681436</v>
      </c>
      <c r="L201" s="451"/>
      <c r="M201" s="451"/>
      <c r="N201" s="18"/>
    </row>
    <row r="202" spans="2:14">
      <c r="B202" s="213">
        <f t="shared" si="22"/>
        <v>178</v>
      </c>
      <c r="C202" s="213"/>
      <c r="D202" s="214">
        <v>7</v>
      </c>
      <c r="E202" s="206">
        <f t="shared" si="23"/>
        <v>210</v>
      </c>
      <c r="F202" s="215">
        <v>32.04</v>
      </c>
      <c r="G202" s="215">
        <f t="shared" si="21"/>
        <v>31.641999999999999</v>
      </c>
      <c r="H202" s="215" t="str">
        <f t="shared" si="17"/>
        <v>IN</v>
      </c>
      <c r="I202" s="217">
        <f t="shared" si="18"/>
        <v>5918.2579999999989</v>
      </c>
      <c r="J202" s="217">
        <f t="shared" si="19"/>
        <v>6122.8720000000003</v>
      </c>
      <c r="K202" s="381">
        <f t="shared" si="20"/>
        <v>251.07300179373567</v>
      </c>
      <c r="L202" s="451"/>
      <c r="M202" s="451"/>
      <c r="N202" s="18"/>
    </row>
    <row r="203" spans="2:14">
      <c r="B203" s="213">
        <f t="shared" si="22"/>
        <v>179</v>
      </c>
      <c r="C203" s="213"/>
      <c r="D203" s="214">
        <v>7</v>
      </c>
      <c r="E203" s="206">
        <f t="shared" si="23"/>
        <v>209</v>
      </c>
      <c r="F203" s="215">
        <v>33.14</v>
      </c>
      <c r="G203" s="215">
        <f t="shared" si="21"/>
        <v>32.741999999999997</v>
      </c>
      <c r="H203" s="215" t="str">
        <f t="shared" si="17"/>
        <v>IN</v>
      </c>
      <c r="I203" s="217">
        <f t="shared" si="18"/>
        <v>5950.9999999999991</v>
      </c>
      <c r="J203" s="217">
        <f t="shared" si="19"/>
        <v>6090.13</v>
      </c>
      <c r="K203" s="381">
        <f t="shared" si="20"/>
        <v>251.77601680672268</v>
      </c>
      <c r="L203" s="451"/>
      <c r="M203" s="451"/>
      <c r="N203" s="18"/>
    </row>
    <row r="204" spans="2:14">
      <c r="B204" s="213">
        <f t="shared" si="22"/>
        <v>180</v>
      </c>
      <c r="C204" s="213"/>
      <c r="D204" s="214">
        <v>7</v>
      </c>
      <c r="E204" s="206">
        <f t="shared" si="23"/>
        <v>208</v>
      </c>
      <c r="F204" s="215">
        <v>32.1</v>
      </c>
      <c r="G204" s="215">
        <f t="shared" si="21"/>
        <v>31.702000000000002</v>
      </c>
      <c r="H204" s="215" t="str">
        <f t="shared" si="17"/>
        <v>IN</v>
      </c>
      <c r="I204" s="217">
        <f t="shared" si="18"/>
        <v>5982.7019999999993</v>
      </c>
      <c r="J204" s="217">
        <f t="shared" si="19"/>
        <v>6058.4279999999999</v>
      </c>
      <c r="K204" s="381">
        <f t="shared" si="20"/>
        <v>252.45670161344535</v>
      </c>
      <c r="L204" s="451"/>
      <c r="M204" s="451"/>
      <c r="N204" s="18"/>
    </row>
    <row r="205" spans="2:14">
      <c r="B205" s="213">
        <f t="shared" si="22"/>
        <v>181</v>
      </c>
      <c r="C205" s="213"/>
      <c r="D205" s="214">
        <v>7</v>
      </c>
      <c r="E205" s="206">
        <f t="shared" si="23"/>
        <v>207</v>
      </c>
      <c r="F205" s="215">
        <v>31.81</v>
      </c>
      <c r="G205" s="215">
        <f t="shared" si="21"/>
        <v>31.411999999999999</v>
      </c>
      <c r="H205" s="215" t="str">
        <f t="shared" si="17"/>
        <v>IN</v>
      </c>
      <c r="I205" s="217">
        <f t="shared" si="18"/>
        <v>6014.1139999999996</v>
      </c>
      <c r="J205" s="217">
        <f t="shared" si="19"/>
        <v>6027.0159999999996</v>
      </c>
      <c r="K205" s="381">
        <f t="shared" si="20"/>
        <v>253.13115972803666</v>
      </c>
      <c r="L205" s="451"/>
      <c r="M205" s="451"/>
      <c r="N205" s="18"/>
    </row>
    <row r="206" spans="2:14">
      <c r="B206" s="213">
        <f t="shared" si="22"/>
        <v>182</v>
      </c>
      <c r="C206" s="213"/>
      <c r="D206" s="214">
        <v>7</v>
      </c>
      <c r="E206" s="206">
        <f t="shared" si="23"/>
        <v>206</v>
      </c>
      <c r="F206" s="215">
        <v>33.200000000000003</v>
      </c>
      <c r="G206" s="215">
        <f t="shared" si="21"/>
        <v>32.802</v>
      </c>
      <c r="H206" s="215" t="str">
        <f t="shared" si="17"/>
        <v>IN</v>
      </c>
      <c r="I206" s="217">
        <f t="shared" si="18"/>
        <v>6046.9159999999993</v>
      </c>
      <c r="J206" s="217">
        <f t="shared" si="19"/>
        <v>5994.2139999999999</v>
      </c>
      <c r="K206" s="381">
        <f t="shared" si="20"/>
        <v>253.83546302215433</v>
      </c>
      <c r="L206" s="451"/>
      <c r="M206" s="451"/>
      <c r="N206" s="18"/>
    </row>
    <row r="207" spans="2:14">
      <c r="B207" s="213">
        <f t="shared" si="22"/>
        <v>183</v>
      </c>
      <c r="C207" s="213"/>
      <c r="D207" s="214">
        <v>7</v>
      </c>
      <c r="E207" s="206">
        <f t="shared" si="23"/>
        <v>205</v>
      </c>
      <c r="F207" s="215">
        <v>32.520000000000003</v>
      </c>
      <c r="G207" s="215">
        <f t="shared" si="21"/>
        <v>32.122</v>
      </c>
      <c r="H207" s="215" t="str">
        <f t="shared" si="17"/>
        <v>IN</v>
      </c>
      <c r="I207" s="217">
        <f t="shared" si="18"/>
        <v>6079.0379999999996</v>
      </c>
      <c r="J207" s="217">
        <f t="shared" si="19"/>
        <v>5962.0919999999996</v>
      </c>
      <c r="K207" s="381">
        <f t="shared" si="20"/>
        <v>254.52516579679144</v>
      </c>
      <c r="L207" s="451"/>
      <c r="M207" s="451"/>
      <c r="N207" s="18"/>
    </row>
    <row r="208" spans="2:14">
      <c r="B208" s="213">
        <f t="shared" si="22"/>
        <v>184</v>
      </c>
      <c r="C208" s="213"/>
      <c r="D208" s="214">
        <v>7</v>
      </c>
      <c r="E208" s="206">
        <f t="shared" si="23"/>
        <v>204</v>
      </c>
      <c r="F208" s="215">
        <v>33.22</v>
      </c>
      <c r="G208" s="215">
        <f t="shared" si="21"/>
        <v>32.821999999999996</v>
      </c>
      <c r="H208" s="215" t="str">
        <f t="shared" si="17"/>
        <v>IN</v>
      </c>
      <c r="I208" s="217">
        <f t="shared" si="18"/>
        <v>6111.86</v>
      </c>
      <c r="J208" s="217">
        <f t="shared" si="19"/>
        <v>5929.2699999999995</v>
      </c>
      <c r="K208" s="381">
        <f t="shared" si="20"/>
        <v>255.22989851795262</v>
      </c>
      <c r="L208" s="451"/>
      <c r="M208" s="451"/>
      <c r="N208" s="18"/>
    </row>
    <row r="209" spans="2:14">
      <c r="B209" s="213">
        <f t="shared" si="22"/>
        <v>185</v>
      </c>
      <c r="C209" s="216"/>
      <c r="D209" s="214">
        <v>7</v>
      </c>
      <c r="E209" s="206">
        <f t="shared" si="23"/>
        <v>203</v>
      </c>
      <c r="F209" s="215">
        <v>33.159999999999997</v>
      </c>
      <c r="G209" s="215">
        <f t="shared" si="21"/>
        <v>32.761999999999993</v>
      </c>
      <c r="H209" s="215" t="str">
        <f t="shared" si="17"/>
        <v>IN</v>
      </c>
      <c r="I209" s="217">
        <f t="shared" si="18"/>
        <v>6144.6219999999994</v>
      </c>
      <c r="J209" s="217">
        <f t="shared" si="19"/>
        <v>5896.5079999999998</v>
      </c>
      <c r="K209" s="381">
        <f t="shared" si="20"/>
        <v>255.9333429579832</v>
      </c>
      <c r="L209" s="451"/>
      <c r="M209" s="451"/>
      <c r="N209" s="18"/>
    </row>
    <row r="210" spans="2:14">
      <c r="B210" s="213">
        <f t="shared" si="22"/>
        <v>186</v>
      </c>
      <c r="C210" s="216"/>
      <c r="D210" s="214">
        <v>7</v>
      </c>
      <c r="E210" s="206">
        <f t="shared" si="23"/>
        <v>202</v>
      </c>
      <c r="F210" s="215">
        <v>33.85</v>
      </c>
      <c r="G210" s="215">
        <f t="shared" si="21"/>
        <v>33.451999999999998</v>
      </c>
      <c r="H210" s="215" t="str">
        <f t="shared" ref="H210:H214" si="24">IF(F210="","OUT","IN")</f>
        <v>IN</v>
      </c>
      <c r="I210" s="217">
        <f t="shared" si="18"/>
        <v>6178.0739999999996</v>
      </c>
      <c r="J210" s="217">
        <f t="shared" si="19"/>
        <v>5863.0559999999996</v>
      </c>
      <c r="K210" s="381">
        <f t="shared" si="20"/>
        <v>256.65160263101609</v>
      </c>
      <c r="L210" s="451"/>
      <c r="M210" s="451"/>
      <c r="N210" s="18"/>
    </row>
    <row r="211" spans="2:14">
      <c r="B211" s="213">
        <f t="shared" si="22"/>
        <v>187</v>
      </c>
      <c r="C211" s="216"/>
      <c r="D211" s="214">
        <v>7</v>
      </c>
      <c r="E211" s="206">
        <f t="shared" si="23"/>
        <v>201</v>
      </c>
      <c r="F211" s="215">
        <v>33.07</v>
      </c>
      <c r="G211" s="215">
        <f t="shared" si="21"/>
        <v>32.671999999999997</v>
      </c>
      <c r="H211" s="215" t="str">
        <f t="shared" si="24"/>
        <v>IN</v>
      </c>
      <c r="I211" s="217">
        <f t="shared" ref="I211:I274" si="25">IF(H211="IN",I210+G211,I210)</f>
        <v>6210.7459999999992</v>
      </c>
      <c r="J211" s="217">
        <f t="shared" ref="J211:J274" si="26">IF(I211="","",$L$9-I211)</f>
        <v>5830.384</v>
      </c>
      <c r="K211" s="381">
        <f t="shared" ref="K211:K274" si="27">$H$9+(I211*$E$10*$H$11/1000)</f>
        <v>257.35311464935063</v>
      </c>
      <c r="L211" s="451"/>
      <c r="M211" s="451"/>
      <c r="N211" s="18"/>
    </row>
    <row r="212" spans="2:14">
      <c r="B212" s="213">
        <f t="shared" si="22"/>
        <v>188</v>
      </c>
      <c r="C212" s="216"/>
      <c r="D212" s="214">
        <v>7</v>
      </c>
      <c r="E212" s="206">
        <f t="shared" si="23"/>
        <v>200</v>
      </c>
      <c r="F212" s="215">
        <v>33.35</v>
      </c>
      <c r="G212" s="215">
        <f t="shared" si="21"/>
        <v>32.951999999999998</v>
      </c>
      <c r="H212" s="215" t="str">
        <f t="shared" si="24"/>
        <v>IN</v>
      </c>
      <c r="I212" s="217">
        <f t="shared" si="25"/>
        <v>6243.6979999999994</v>
      </c>
      <c r="J212" s="217">
        <f t="shared" si="26"/>
        <v>5797.4319999999998</v>
      </c>
      <c r="K212" s="381">
        <f t="shared" si="27"/>
        <v>258.06063864629488</v>
      </c>
      <c r="L212" s="451"/>
      <c r="M212" s="451"/>
      <c r="N212" s="18"/>
    </row>
    <row r="213" spans="2:14">
      <c r="B213" s="213">
        <f t="shared" si="22"/>
        <v>189</v>
      </c>
      <c r="C213" s="216"/>
      <c r="D213" s="214">
        <v>7</v>
      </c>
      <c r="E213" s="206">
        <f t="shared" si="23"/>
        <v>199</v>
      </c>
      <c r="F213" s="215">
        <v>33.200000000000003</v>
      </c>
      <c r="G213" s="215">
        <f t="shared" si="21"/>
        <v>32.802</v>
      </c>
      <c r="H213" s="215" t="str">
        <f t="shared" si="24"/>
        <v>IN</v>
      </c>
      <c r="I213" s="217">
        <f t="shared" si="25"/>
        <v>6276.4999999999991</v>
      </c>
      <c r="J213" s="217">
        <f t="shared" si="26"/>
        <v>5764.63</v>
      </c>
      <c r="K213" s="381">
        <f t="shared" si="27"/>
        <v>258.76494194041254</v>
      </c>
      <c r="L213" s="451"/>
      <c r="M213" s="451"/>
      <c r="N213" s="18"/>
    </row>
    <row r="214" spans="2:14">
      <c r="B214" s="213">
        <f t="shared" si="22"/>
        <v>190</v>
      </c>
      <c r="C214" s="216"/>
      <c r="D214" s="214">
        <v>7</v>
      </c>
      <c r="E214" s="206">
        <f t="shared" si="23"/>
        <v>198</v>
      </c>
      <c r="F214" s="215">
        <v>33.67</v>
      </c>
      <c r="G214" s="215">
        <f t="shared" si="21"/>
        <v>33.271999999999998</v>
      </c>
      <c r="H214" s="215" t="str">
        <f t="shared" si="24"/>
        <v>IN</v>
      </c>
      <c r="I214" s="217">
        <f t="shared" si="25"/>
        <v>6309.771999999999</v>
      </c>
      <c r="J214" s="217">
        <f t="shared" si="26"/>
        <v>5731.3580000000002</v>
      </c>
      <c r="K214" s="381">
        <f t="shared" si="27"/>
        <v>259.47933677005346</v>
      </c>
      <c r="L214" s="451"/>
      <c r="M214" s="451"/>
      <c r="N214" s="18"/>
    </row>
    <row r="215" spans="2:14">
      <c r="B215" s="374">
        <f t="shared" si="22"/>
        <v>191</v>
      </c>
      <c r="C215" s="374"/>
      <c r="D215" s="375">
        <v>7</v>
      </c>
      <c r="E215" s="376">
        <f t="shared" si="23"/>
        <v>197</v>
      </c>
      <c r="F215" s="377">
        <v>33.340000000000003</v>
      </c>
      <c r="G215" s="377">
        <f t="shared" si="21"/>
        <v>32.942</v>
      </c>
      <c r="H215" s="377" t="s">
        <v>25</v>
      </c>
      <c r="I215" s="377">
        <f t="shared" si="25"/>
        <v>6309.771999999999</v>
      </c>
      <c r="J215" s="377">
        <f t="shared" si="26"/>
        <v>5731.3580000000002</v>
      </c>
      <c r="K215" s="378">
        <f t="shared" si="27"/>
        <v>259.47933677005346</v>
      </c>
      <c r="L215" s="481" t="s">
        <v>205</v>
      </c>
      <c r="M215" s="481"/>
      <c r="N215" s="18"/>
    </row>
    <row r="216" spans="2:14">
      <c r="B216" s="213">
        <f t="shared" si="22"/>
        <v>192</v>
      </c>
      <c r="C216" s="213"/>
      <c r="D216" s="214">
        <v>7</v>
      </c>
      <c r="E216" s="206">
        <f t="shared" si="23"/>
        <v>196</v>
      </c>
      <c r="F216" s="215">
        <v>33.07</v>
      </c>
      <c r="G216" s="215">
        <f t="shared" si="21"/>
        <v>32.671999999999997</v>
      </c>
      <c r="H216" s="215" t="str">
        <f t="shared" ref="H216:H279" si="28">IF(F216="","OUT","IN")</f>
        <v>IN</v>
      </c>
      <c r="I216" s="217">
        <f t="shared" si="25"/>
        <v>6342.4439999999986</v>
      </c>
      <c r="J216" s="217">
        <f t="shared" si="26"/>
        <v>5698.6860000000006</v>
      </c>
      <c r="K216" s="381">
        <f t="shared" si="27"/>
        <v>260.18084878838806</v>
      </c>
      <c r="L216" s="451"/>
      <c r="M216" s="451"/>
      <c r="N216" s="18"/>
    </row>
    <row r="217" spans="2:14">
      <c r="B217" s="213">
        <f t="shared" si="22"/>
        <v>193</v>
      </c>
      <c r="C217" s="213"/>
      <c r="D217" s="214">
        <v>7</v>
      </c>
      <c r="E217" s="206">
        <f t="shared" si="23"/>
        <v>195</v>
      </c>
      <c r="F217" s="215">
        <v>32.81</v>
      </c>
      <c r="G217" s="215">
        <f t="shared" si="21"/>
        <v>32.411999999999999</v>
      </c>
      <c r="H217" s="215" t="str">
        <f t="shared" si="28"/>
        <v>IN</v>
      </c>
      <c r="I217" s="217">
        <f t="shared" si="25"/>
        <v>6374.8559999999989</v>
      </c>
      <c r="J217" s="217">
        <f t="shared" si="26"/>
        <v>5666.2740000000003</v>
      </c>
      <c r="K217" s="381">
        <f t="shared" si="27"/>
        <v>260.87677825515658</v>
      </c>
      <c r="L217" s="451"/>
      <c r="M217" s="451"/>
      <c r="N217" s="18"/>
    </row>
    <row r="218" spans="2:14">
      <c r="B218" s="213">
        <f t="shared" si="22"/>
        <v>194</v>
      </c>
      <c r="C218" s="213"/>
      <c r="D218" s="214">
        <v>7</v>
      </c>
      <c r="E218" s="206">
        <f t="shared" si="23"/>
        <v>194</v>
      </c>
      <c r="F218" s="215">
        <v>33.299999999999997</v>
      </c>
      <c r="G218" s="215">
        <f t="shared" ref="G218:G281" si="29">F218-($E$12)</f>
        <v>32.901999999999994</v>
      </c>
      <c r="H218" s="215" t="str">
        <f t="shared" si="28"/>
        <v>IN</v>
      </c>
      <c r="I218" s="217">
        <f t="shared" si="25"/>
        <v>6407.7579999999989</v>
      </c>
      <c r="J218" s="217">
        <f t="shared" si="26"/>
        <v>5633.3720000000003</v>
      </c>
      <c r="K218" s="381">
        <f t="shared" si="27"/>
        <v>261.58322868449198</v>
      </c>
      <c r="L218" s="451"/>
      <c r="M218" s="451"/>
      <c r="N218" s="18"/>
    </row>
    <row r="219" spans="2:14">
      <c r="B219" s="213">
        <f t="shared" si="22"/>
        <v>195</v>
      </c>
      <c r="C219" s="213"/>
      <c r="D219" s="214">
        <v>7</v>
      </c>
      <c r="E219" s="206">
        <f t="shared" si="23"/>
        <v>193</v>
      </c>
      <c r="F219" s="215">
        <v>32.229999999999997</v>
      </c>
      <c r="G219" s="215">
        <f t="shared" si="29"/>
        <v>31.831999999999997</v>
      </c>
      <c r="H219" s="215" t="str">
        <f t="shared" si="28"/>
        <v>IN</v>
      </c>
      <c r="I219" s="217">
        <f t="shared" si="25"/>
        <v>6439.5899999999992</v>
      </c>
      <c r="J219" s="217">
        <f t="shared" si="26"/>
        <v>5601.54</v>
      </c>
      <c r="K219" s="381">
        <f t="shared" si="27"/>
        <v>262.26670476699769</v>
      </c>
      <c r="L219" s="451"/>
      <c r="M219" s="451"/>
      <c r="N219" s="18"/>
    </row>
    <row r="220" spans="2:14">
      <c r="B220" s="213">
        <f t="shared" ref="B220:B283" si="30">B219+1</f>
        <v>196</v>
      </c>
      <c r="C220" s="213"/>
      <c r="D220" s="214">
        <v>7</v>
      </c>
      <c r="E220" s="206">
        <f t="shared" ref="E220:E283" si="31">E219-1</f>
        <v>192</v>
      </c>
      <c r="F220" s="215">
        <v>33.950000000000003</v>
      </c>
      <c r="G220" s="215">
        <f t="shared" si="29"/>
        <v>33.552</v>
      </c>
      <c r="H220" s="215" t="str">
        <f t="shared" si="28"/>
        <v>IN</v>
      </c>
      <c r="I220" s="217">
        <f t="shared" si="25"/>
        <v>6473.1419999999989</v>
      </c>
      <c r="J220" s="217">
        <f t="shared" si="26"/>
        <v>5567.9880000000003</v>
      </c>
      <c r="K220" s="381">
        <f t="shared" si="27"/>
        <v>262.98711157524826</v>
      </c>
      <c r="L220" s="451"/>
      <c r="M220" s="451"/>
      <c r="N220" s="18"/>
    </row>
    <row r="221" spans="2:14">
      <c r="B221" s="213">
        <f t="shared" si="30"/>
        <v>197</v>
      </c>
      <c r="C221" s="213"/>
      <c r="D221" s="214">
        <v>7</v>
      </c>
      <c r="E221" s="206">
        <f t="shared" si="31"/>
        <v>191</v>
      </c>
      <c r="F221" s="215">
        <v>32.57</v>
      </c>
      <c r="G221" s="215">
        <f t="shared" si="29"/>
        <v>32.171999999999997</v>
      </c>
      <c r="H221" s="215" t="str">
        <f t="shared" si="28"/>
        <v>IN</v>
      </c>
      <c r="I221" s="217">
        <f t="shared" si="25"/>
        <v>6505.3139999999985</v>
      </c>
      <c r="J221" s="217">
        <f t="shared" si="26"/>
        <v>5535.8160000000007</v>
      </c>
      <c r="K221" s="381">
        <f t="shared" si="27"/>
        <v>263.67788791749422</v>
      </c>
      <c r="L221" s="451"/>
      <c r="M221" s="451"/>
      <c r="N221" s="18"/>
    </row>
    <row r="222" spans="2:14">
      <c r="B222" s="213">
        <f t="shared" si="30"/>
        <v>198</v>
      </c>
      <c r="C222" s="213"/>
      <c r="D222" s="214">
        <v>7</v>
      </c>
      <c r="E222" s="206">
        <f t="shared" si="31"/>
        <v>190</v>
      </c>
      <c r="F222" s="215">
        <v>33.549999999999997</v>
      </c>
      <c r="G222" s="215">
        <f t="shared" si="29"/>
        <v>33.151999999999994</v>
      </c>
      <c r="H222" s="215" t="str">
        <f t="shared" si="28"/>
        <v>IN</v>
      </c>
      <c r="I222" s="217">
        <f t="shared" si="25"/>
        <v>6538.4659999999985</v>
      </c>
      <c r="J222" s="217">
        <f t="shared" si="26"/>
        <v>5502.6640000000007</v>
      </c>
      <c r="K222" s="381">
        <f t="shared" si="27"/>
        <v>264.38970618487394</v>
      </c>
      <c r="L222" s="451"/>
      <c r="M222" s="451"/>
      <c r="N222" s="18"/>
    </row>
    <row r="223" spans="2:14">
      <c r="B223" s="213">
        <f t="shared" si="30"/>
        <v>199</v>
      </c>
      <c r="C223" s="216"/>
      <c r="D223" s="214">
        <v>7</v>
      </c>
      <c r="E223" s="206">
        <f t="shared" si="31"/>
        <v>189</v>
      </c>
      <c r="F223" s="215">
        <v>33.19</v>
      </c>
      <c r="G223" s="215">
        <f t="shared" si="29"/>
        <v>32.791999999999994</v>
      </c>
      <c r="H223" s="215" t="str">
        <f t="shared" si="28"/>
        <v>IN</v>
      </c>
      <c r="I223" s="217">
        <f t="shared" si="25"/>
        <v>6571.2579999999989</v>
      </c>
      <c r="J223" s="217">
        <f t="shared" si="26"/>
        <v>5469.8720000000003</v>
      </c>
      <c r="K223" s="381">
        <f t="shared" si="27"/>
        <v>265.09379476546985</v>
      </c>
      <c r="L223" s="451"/>
      <c r="M223" s="451"/>
      <c r="N223" s="18"/>
    </row>
    <row r="224" spans="2:14">
      <c r="B224" s="213">
        <f t="shared" si="30"/>
        <v>200</v>
      </c>
      <c r="C224" s="213"/>
      <c r="D224" s="214">
        <v>7</v>
      </c>
      <c r="E224" s="206">
        <f t="shared" si="31"/>
        <v>188</v>
      </c>
      <c r="F224" s="215">
        <v>33.03</v>
      </c>
      <c r="G224" s="215">
        <f t="shared" si="29"/>
        <v>32.631999999999998</v>
      </c>
      <c r="H224" s="215" t="str">
        <f t="shared" si="28"/>
        <v>IN</v>
      </c>
      <c r="I224" s="217">
        <f t="shared" si="25"/>
        <v>6603.8899999999985</v>
      </c>
      <c r="J224" s="217">
        <f t="shared" si="26"/>
        <v>5437.2400000000007</v>
      </c>
      <c r="K224" s="381">
        <f t="shared" si="27"/>
        <v>265.79444792971731</v>
      </c>
      <c r="L224" s="451"/>
      <c r="M224" s="451"/>
      <c r="N224" s="18"/>
    </row>
    <row r="225" spans="2:14">
      <c r="B225" s="213">
        <f t="shared" si="30"/>
        <v>201</v>
      </c>
      <c r="C225" s="213"/>
      <c r="D225" s="214">
        <v>7</v>
      </c>
      <c r="E225" s="206">
        <f t="shared" si="31"/>
        <v>187</v>
      </c>
      <c r="F225" s="215">
        <v>32.57</v>
      </c>
      <c r="G225" s="215">
        <f t="shared" si="29"/>
        <v>32.171999999999997</v>
      </c>
      <c r="H225" s="215" t="str">
        <f t="shared" si="28"/>
        <v>IN</v>
      </c>
      <c r="I225" s="217">
        <f t="shared" si="25"/>
        <v>6636.0619999999981</v>
      </c>
      <c r="J225" s="217">
        <f t="shared" si="26"/>
        <v>5405.0680000000011</v>
      </c>
      <c r="K225" s="381">
        <f t="shared" si="27"/>
        <v>266.48522427196332</v>
      </c>
      <c r="L225" s="451"/>
      <c r="M225" s="451"/>
      <c r="N225" s="18"/>
    </row>
    <row r="226" spans="2:14">
      <c r="B226" s="213">
        <f t="shared" si="30"/>
        <v>202</v>
      </c>
      <c r="C226" s="213"/>
      <c r="D226" s="214">
        <v>7</v>
      </c>
      <c r="E226" s="206">
        <f t="shared" si="31"/>
        <v>186</v>
      </c>
      <c r="F226" s="215">
        <v>33.19</v>
      </c>
      <c r="G226" s="215">
        <f t="shared" si="29"/>
        <v>32.791999999999994</v>
      </c>
      <c r="H226" s="215" t="str">
        <f t="shared" si="28"/>
        <v>IN</v>
      </c>
      <c r="I226" s="217">
        <f t="shared" si="25"/>
        <v>6668.8539999999985</v>
      </c>
      <c r="J226" s="217">
        <f t="shared" si="26"/>
        <v>5372.2760000000007</v>
      </c>
      <c r="K226" s="381">
        <f t="shared" si="27"/>
        <v>267.18931285255917</v>
      </c>
      <c r="L226" s="451"/>
      <c r="M226" s="451"/>
      <c r="N226" s="18"/>
    </row>
    <row r="227" spans="2:14">
      <c r="B227" s="213">
        <f t="shared" si="30"/>
        <v>203</v>
      </c>
      <c r="C227" s="213"/>
      <c r="D227" s="214">
        <v>7</v>
      </c>
      <c r="E227" s="206">
        <f t="shared" si="31"/>
        <v>185</v>
      </c>
      <c r="F227" s="215">
        <v>33.380000000000003</v>
      </c>
      <c r="G227" s="215">
        <f t="shared" si="29"/>
        <v>32.981999999999999</v>
      </c>
      <c r="H227" s="215" t="str">
        <f t="shared" si="28"/>
        <v>IN</v>
      </c>
      <c r="I227" s="217">
        <f t="shared" si="25"/>
        <v>6701.8359999999984</v>
      </c>
      <c r="J227" s="217">
        <f t="shared" si="26"/>
        <v>5339.2940000000008</v>
      </c>
      <c r="K227" s="381">
        <f t="shared" si="27"/>
        <v>267.89748099006874</v>
      </c>
      <c r="L227" s="451"/>
      <c r="M227" s="451"/>
      <c r="N227" s="18"/>
    </row>
    <row r="228" spans="2:14">
      <c r="B228" s="213">
        <f t="shared" si="30"/>
        <v>204</v>
      </c>
      <c r="C228" s="213"/>
      <c r="D228" s="214">
        <v>7</v>
      </c>
      <c r="E228" s="206">
        <f t="shared" si="31"/>
        <v>184</v>
      </c>
      <c r="F228" s="215">
        <v>33.380000000000003</v>
      </c>
      <c r="G228" s="215">
        <f t="shared" si="29"/>
        <v>32.981999999999999</v>
      </c>
      <c r="H228" s="215" t="str">
        <f t="shared" si="28"/>
        <v>IN</v>
      </c>
      <c r="I228" s="217">
        <f t="shared" si="25"/>
        <v>6734.8179999999984</v>
      </c>
      <c r="J228" s="217">
        <f t="shared" si="26"/>
        <v>5306.3120000000008</v>
      </c>
      <c r="K228" s="381">
        <f t="shared" si="27"/>
        <v>268.60564912757832</v>
      </c>
      <c r="L228" s="451"/>
      <c r="M228" s="451"/>
      <c r="N228" s="18"/>
    </row>
    <row r="229" spans="2:14">
      <c r="B229" s="213">
        <f t="shared" si="30"/>
        <v>205</v>
      </c>
      <c r="C229" s="213"/>
      <c r="D229" s="214">
        <v>7</v>
      </c>
      <c r="E229" s="206">
        <f t="shared" si="31"/>
        <v>183</v>
      </c>
      <c r="F229" s="215">
        <v>33.01</v>
      </c>
      <c r="G229" s="215">
        <f t="shared" si="29"/>
        <v>32.611999999999995</v>
      </c>
      <c r="H229" s="215" t="str">
        <f t="shared" si="28"/>
        <v>IN</v>
      </c>
      <c r="I229" s="217">
        <f t="shared" si="25"/>
        <v>6767.4299999999985</v>
      </c>
      <c r="J229" s="217">
        <f t="shared" si="26"/>
        <v>5273.7000000000007</v>
      </c>
      <c r="K229" s="381">
        <f t="shared" si="27"/>
        <v>269.30587286478226</v>
      </c>
      <c r="L229" s="451"/>
      <c r="M229" s="451"/>
      <c r="N229" s="18"/>
    </row>
    <row r="230" spans="2:14">
      <c r="B230" s="213">
        <f t="shared" si="30"/>
        <v>206</v>
      </c>
      <c r="C230" s="213"/>
      <c r="D230" s="214">
        <v>7</v>
      </c>
      <c r="E230" s="206">
        <f t="shared" si="31"/>
        <v>182</v>
      </c>
      <c r="F230" s="215">
        <v>33.049999999999997</v>
      </c>
      <c r="G230" s="215">
        <f t="shared" si="29"/>
        <v>32.651999999999994</v>
      </c>
      <c r="H230" s="215" t="str">
        <f t="shared" si="28"/>
        <v>IN</v>
      </c>
      <c r="I230" s="217">
        <f t="shared" si="25"/>
        <v>6800.0819999999985</v>
      </c>
      <c r="J230" s="217">
        <f t="shared" si="26"/>
        <v>5241.0480000000007</v>
      </c>
      <c r="K230" s="381">
        <f t="shared" si="27"/>
        <v>270.00695545607334</v>
      </c>
      <c r="L230" s="451"/>
      <c r="M230" s="451"/>
      <c r="N230" s="18"/>
    </row>
    <row r="231" spans="2:14">
      <c r="B231" s="213">
        <f t="shared" si="30"/>
        <v>207</v>
      </c>
      <c r="C231" s="213"/>
      <c r="D231" s="214">
        <v>7</v>
      </c>
      <c r="E231" s="206">
        <f t="shared" si="31"/>
        <v>181</v>
      </c>
      <c r="F231" s="215">
        <v>33.229999999999997</v>
      </c>
      <c r="G231" s="215">
        <f t="shared" si="29"/>
        <v>32.831999999999994</v>
      </c>
      <c r="H231" s="215" t="str">
        <f t="shared" si="28"/>
        <v>IN</v>
      </c>
      <c r="I231" s="217">
        <f t="shared" si="25"/>
        <v>6832.9139999999989</v>
      </c>
      <c r="J231" s="217">
        <f t="shared" si="26"/>
        <v>5208.2160000000003</v>
      </c>
      <c r="K231" s="381">
        <f t="shared" si="27"/>
        <v>270.71190289075628</v>
      </c>
      <c r="L231" s="451"/>
      <c r="M231" s="451"/>
      <c r="N231" s="18"/>
    </row>
    <row r="232" spans="2:14">
      <c r="B232" s="213">
        <f t="shared" si="30"/>
        <v>208</v>
      </c>
      <c r="C232" s="213"/>
      <c r="D232" s="214">
        <v>7</v>
      </c>
      <c r="E232" s="206">
        <f t="shared" si="31"/>
        <v>180</v>
      </c>
      <c r="F232" s="215">
        <v>33.4</v>
      </c>
      <c r="G232" s="215">
        <f t="shared" si="29"/>
        <v>33.001999999999995</v>
      </c>
      <c r="H232" s="215" t="str">
        <f t="shared" si="28"/>
        <v>IN</v>
      </c>
      <c r="I232" s="217">
        <f t="shared" si="25"/>
        <v>6865.9159999999993</v>
      </c>
      <c r="J232" s="217">
        <f t="shared" si="26"/>
        <v>5175.2139999999999</v>
      </c>
      <c r="K232" s="381">
        <f t="shared" si="27"/>
        <v>271.42050045530937</v>
      </c>
      <c r="L232" s="451"/>
      <c r="M232" s="451"/>
      <c r="N232" s="18"/>
    </row>
    <row r="233" spans="2:14">
      <c r="B233" s="213">
        <f t="shared" si="30"/>
        <v>209</v>
      </c>
      <c r="C233" s="213"/>
      <c r="D233" s="214">
        <v>7</v>
      </c>
      <c r="E233" s="206">
        <f t="shared" si="31"/>
        <v>179</v>
      </c>
      <c r="F233" s="215">
        <v>32.840000000000003</v>
      </c>
      <c r="G233" s="215">
        <f t="shared" si="29"/>
        <v>32.442</v>
      </c>
      <c r="H233" s="215" t="str">
        <f t="shared" si="28"/>
        <v>IN</v>
      </c>
      <c r="I233" s="217">
        <f t="shared" si="25"/>
        <v>6898.3579999999993</v>
      </c>
      <c r="J233" s="217">
        <f t="shared" si="26"/>
        <v>5142.7719999999999</v>
      </c>
      <c r="K233" s="381">
        <f t="shared" si="27"/>
        <v>272.11707406264321</v>
      </c>
      <c r="L233" s="451"/>
      <c r="M233" s="451"/>
      <c r="N233" s="18"/>
    </row>
    <row r="234" spans="2:14">
      <c r="B234" s="213">
        <f t="shared" si="30"/>
        <v>210</v>
      </c>
      <c r="C234" s="213"/>
      <c r="D234" s="214">
        <v>7</v>
      </c>
      <c r="E234" s="206">
        <f t="shared" si="31"/>
        <v>178</v>
      </c>
      <c r="F234" s="215">
        <v>33.200000000000003</v>
      </c>
      <c r="G234" s="215">
        <f t="shared" si="29"/>
        <v>32.802</v>
      </c>
      <c r="H234" s="215" t="str">
        <f t="shared" si="28"/>
        <v>IN</v>
      </c>
      <c r="I234" s="217">
        <f t="shared" si="25"/>
        <v>6931.1599999999989</v>
      </c>
      <c r="J234" s="217">
        <f t="shared" si="26"/>
        <v>5109.97</v>
      </c>
      <c r="K234" s="381">
        <f t="shared" si="27"/>
        <v>272.82137735676088</v>
      </c>
      <c r="L234" s="451"/>
      <c r="M234" s="451"/>
      <c r="N234" s="18"/>
    </row>
    <row r="235" spans="2:14">
      <c r="B235" s="213">
        <f t="shared" si="30"/>
        <v>211</v>
      </c>
      <c r="C235" s="213"/>
      <c r="D235" s="214">
        <v>7</v>
      </c>
      <c r="E235" s="206">
        <f t="shared" si="31"/>
        <v>177</v>
      </c>
      <c r="F235" s="215">
        <v>33.799999999999997</v>
      </c>
      <c r="G235" s="215">
        <f t="shared" si="29"/>
        <v>33.401999999999994</v>
      </c>
      <c r="H235" s="215" t="str">
        <f t="shared" si="28"/>
        <v>IN</v>
      </c>
      <c r="I235" s="217">
        <f t="shared" si="25"/>
        <v>6964.561999999999</v>
      </c>
      <c r="J235" s="217">
        <f t="shared" si="26"/>
        <v>5076.5680000000002</v>
      </c>
      <c r="K235" s="381">
        <f t="shared" si="27"/>
        <v>273.53856346218487</v>
      </c>
      <c r="L235" s="451"/>
      <c r="M235" s="451"/>
      <c r="N235" s="18"/>
    </row>
    <row r="236" spans="2:14">
      <c r="B236" s="213">
        <f t="shared" si="30"/>
        <v>212</v>
      </c>
      <c r="C236" s="213"/>
      <c r="D236" s="214">
        <v>7</v>
      </c>
      <c r="E236" s="206">
        <f t="shared" si="31"/>
        <v>176</v>
      </c>
      <c r="F236" s="215">
        <v>33.380000000000003</v>
      </c>
      <c r="G236" s="215">
        <f t="shared" si="29"/>
        <v>32.981999999999999</v>
      </c>
      <c r="H236" s="215" t="str">
        <f t="shared" si="28"/>
        <v>IN</v>
      </c>
      <c r="I236" s="217">
        <f t="shared" si="25"/>
        <v>6997.543999999999</v>
      </c>
      <c r="J236" s="217">
        <f t="shared" si="26"/>
        <v>5043.5860000000002</v>
      </c>
      <c r="K236" s="381">
        <f t="shared" si="27"/>
        <v>274.24673159969439</v>
      </c>
      <c r="L236" s="451"/>
      <c r="M236" s="451"/>
      <c r="N236" s="18"/>
    </row>
    <row r="237" spans="2:14">
      <c r="B237" s="213">
        <f t="shared" si="30"/>
        <v>213</v>
      </c>
      <c r="C237" s="213"/>
      <c r="D237" s="214">
        <v>7</v>
      </c>
      <c r="E237" s="206">
        <f t="shared" si="31"/>
        <v>175</v>
      </c>
      <c r="F237" s="215">
        <v>33.799999999999997</v>
      </c>
      <c r="G237" s="215">
        <f t="shared" si="29"/>
        <v>33.401999999999994</v>
      </c>
      <c r="H237" s="215" t="str">
        <f t="shared" si="28"/>
        <v>IN</v>
      </c>
      <c r="I237" s="217">
        <f t="shared" si="25"/>
        <v>7030.945999999999</v>
      </c>
      <c r="J237" s="217">
        <f t="shared" si="26"/>
        <v>5010.1840000000002</v>
      </c>
      <c r="K237" s="381">
        <f t="shared" si="27"/>
        <v>274.96391770511843</v>
      </c>
      <c r="L237" s="451"/>
      <c r="M237" s="451"/>
      <c r="N237" s="18"/>
    </row>
    <row r="238" spans="2:14">
      <c r="B238" s="213">
        <f t="shared" si="30"/>
        <v>214</v>
      </c>
      <c r="C238" s="213"/>
      <c r="D238" s="214">
        <v>7</v>
      </c>
      <c r="E238" s="206">
        <f t="shared" si="31"/>
        <v>174</v>
      </c>
      <c r="F238" s="215">
        <v>32.840000000000003</v>
      </c>
      <c r="G238" s="215">
        <f t="shared" si="29"/>
        <v>32.442</v>
      </c>
      <c r="H238" s="215" t="str">
        <f t="shared" si="28"/>
        <v>IN</v>
      </c>
      <c r="I238" s="217">
        <f t="shared" si="25"/>
        <v>7063.387999999999</v>
      </c>
      <c r="J238" s="217">
        <f t="shared" si="26"/>
        <v>4977.7420000000002</v>
      </c>
      <c r="K238" s="381">
        <f t="shared" si="27"/>
        <v>275.66049131245222</v>
      </c>
      <c r="L238" s="451"/>
      <c r="M238" s="451"/>
      <c r="N238" s="18"/>
    </row>
    <row r="239" spans="2:14">
      <c r="B239" s="213">
        <f t="shared" si="30"/>
        <v>215</v>
      </c>
      <c r="C239" s="213"/>
      <c r="D239" s="214">
        <v>7</v>
      </c>
      <c r="E239" s="206">
        <f t="shared" si="31"/>
        <v>173</v>
      </c>
      <c r="F239" s="215">
        <v>33.54</v>
      </c>
      <c r="G239" s="215">
        <f t="shared" si="29"/>
        <v>33.141999999999996</v>
      </c>
      <c r="H239" s="215" t="str">
        <f t="shared" si="28"/>
        <v>IN</v>
      </c>
      <c r="I239" s="217">
        <f t="shared" si="25"/>
        <v>7096.5299999999988</v>
      </c>
      <c r="J239" s="217">
        <f t="shared" si="26"/>
        <v>4944.6000000000004</v>
      </c>
      <c r="K239" s="381">
        <f t="shared" si="27"/>
        <v>276.37209486631014</v>
      </c>
      <c r="L239" s="451"/>
      <c r="M239" s="451"/>
      <c r="N239" s="18"/>
    </row>
    <row r="240" spans="2:14">
      <c r="B240" s="213">
        <f t="shared" si="30"/>
        <v>216</v>
      </c>
      <c r="C240" s="213"/>
      <c r="D240" s="214">
        <v>7</v>
      </c>
      <c r="E240" s="206">
        <f t="shared" si="31"/>
        <v>172</v>
      </c>
      <c r="F240" s="215">
        <v>33.049999999999997</v>
      </c>
      <c r="G240" s="215">
        <f t="shared" si="29"/>
        <v>32.651999999999994</v>
      </c>
      <c r="H240" s="215" t="str">
        <f t="shared" si="28"/>
        <v>IN</v>
      </c>
      <c r="I240" s="217">
        <f t="shared" si="25"/>
        <v>7129.1819999999989</v>
      </c>
      <c r="J240" s="217">
        <f t="shared" si="26"/>
        <v>4911.9480000000003</v>
      </c>
      <c r="K240" s="381">
        <f t="shared" si="27"/>
        <v>277.07317745760122</v>
      </c>
      <c r="L240" s="451"/>
      <c r="M240" s="451"/>
      <c r="N240" s="18"/>
    </row>
    <row r="241" spans="2:14">
      <c r="B241" s="213">
        <f t="shared" si="30"/>
        <v>217</v>
      </c>
      <c r="C241" s="213"/>
      <c r="D241" s="214">
        <v>7</v>
      </c>
      <c r="E241" s="206">
        <f t="shared" si="31"/>
        <v>171</v>
      </c>
      <c r="F241" s="215">
        <v>33.54</v>
      </c>
      <c r="G241" s="215">
        <f t="shared" si="29"/>
        <v>33.141999999999996</v>
      </c>
      <c r="H241" s="215" t="str">
        <f t="shared" si="28"/>
        <v>IN</v>
      </c>
      <c r="I241" s="217">
        <f t="shared" si="25"/>
        <v>7162.3239999999987</v>
      </c>
      <c r="J241" s="217">
        <f t="shared" si="26"/>
        <v>4878.8060000000005</v>
      </c>
      <c r="K241" s="381">
        <f t="shared" si="27"/>
        <v>277.78478101145913</v>
      </c>
      <c r="L241" s="451"/>
      <c r="M241" s="451"/>
      <c r="N241" s="18"/>
    </row>
    <row r="242" spans="2:14">
      <c r="B242" s="213">
        <f t="shared" si="30"/>
        <v>218</v>
      </c>
      <c r="C242" s="213"/>
      <c r="D242" s="214">
        <v>7</v>
      </c>
      <c r="E242" s="206">
        <f t="shared" si="31"/>
        <v>170</v>
      </c>
      <c r="F242" s="215">
        <v>33.06</v>
      </c>
      <c r="G242" s="215">
        <f t="shared" si="29"/>
        <v>32.661999999999999</v>
      </c>
      <c r="H242" s="215" t="str">
        <f t="shared" si="28"/>
        <v>IN</v>
      </c>
      <c r="I242" s="217">
        <f t="shared" si="25"/>
        <v>7194.985999999999</v>
      </c>
      <c r="J242" s="217">
        <f t="shared" si="26"/>
        <v>4846.1440000000002</v>
      </c>
      <c r="K242" s="381">
        <f t="shared" si="27"/>
        <v>278.48607831627191</v>
      </c>
      <c r="L242" s="451"/>
      <c r="M242" s="451"/>
      <c r="N242" s="18"/>
    </row>
    <row r="243" spans="2:14">
      <c r="B243" s="213">
        <f t="shared" si="30"/>
        <v>219</v>
      </c>
      <c r="C243" s="213"/>
      <c r="D243" s="214">
        <v>7</v>
      </c>
      <c r="E243" s="206">
        <f t="shared" si="31"/>
        <v>169</v>
      </c>
      <c r="F243" s="215">
        <v>33.380000000000003</v>
      </c>
      <c r="G243" s="215">
        <f t="shared" si="29"/>
        <v>32.981999999999999</v>
      </c>
      <c r="H243" s="215" t="str">
        <f t="shared" si="28"/>
        <v>IN</v>
      </c>
      <c r="I243" s="217">
        <f t="shared" si="25"/>
        <v>7227.9679999999989</v>
      </c>
      <c r="J243" s="217">
        <f t="shared" si="26"/>
        <v>4813.1620000000003</v>
      </c>
      <c r="K243" s="381">
        <f t="shared" si="27"/>
        <v>279.19424645378149</v>
      </c>
      <c r="L243" s="451"/>
      <c r="M243" s="451"/>
      <c r="N243" s="18"/>
    </row>
    <row r="244" spans="2:14">
      <c r="B244" s="213">
        <f t="shared" si="30"/>
        <v>220</v>
      </c>
      <c r="C244" s="213"/>
      <c r="D244" s="214">
        <v>7</v>
      </c>
      <c r="E244" s="206">
        <f t="shared" si="31"/>
        <v>168</v>
      </c>
      <c r="F244" s="215">
        <v>32.46</v>
      </c>
      <c r="G244" s="215">
        <f t="shared" si="29"/>
        <v>32.061999999999998</v>
      </c>
      <c r="H244" s="215" t="str">
        <f t="shared" si="28"/>
        <v>IN</v>
      </c>
      <c r="I244" s="217">
        <f t="shared" si="25"/>
        <v>7260.0299999999988</v>
      </c>
      <c r="J244" s="217">
        <f t="shared" si="26"/>
        <v>4781.1000000000004</v>
      </c>
      <c r="K244" s="381">
        <f t="shared" si="27"/>
        <v>279.88266094728795</v>
      </c>
      <c r="L244" s="451"/>
      <c r="M244" s="451"/>
      <c r="N244" s="18"/>
    </row>
    <row r="245" spans="2:14">
      <c r="B245" s="213">
        <f t="shared" si="30"/>
        <v>221</v>
      </c>
      <c r="C245" s="213"/>
      <c r="D245" s="214">
        <v>7</v>
      </c>
      <c r="E245" s="206">
        <f t="shared" si="31"/>
        <v>167</v>
      </c>
      <c r="F245" s="215">
        <v>32.479999999999997</v>
      </c>
      <c r="G245" s="215">
        <f t="shared" si="29"/>
        <v>32.081999999999994</v>
      </c>
      <c r="H245" s="215" t="str">
        <f t="shared" si="28"/>
        <v>IN</v>
      </c>
      <c r="I245" s="217">
        <f t="shared" si="25"/>
        <v>7292.1119999999992</v>
      </c>
      <c r="J245" s="217">
        <f t="shared" si="26"/>
        <v>4749.018</v>
      </c>
      <c r="K245" s="381">
        <f t="shared" si="27"/>
        <v>280.57150486783803</v>
      </c>
      <c r="L245" s="451"/>
      <c r="M245" s="451"/>
      <c r="N245" s="18"/>
    </row>
    <row r="246" spans="2:14">
      <c r="B246" s="213">
        <f t="shared" si="30"/>
        <v>222</v>
      </c>
      <c r="C246" s="213"/>
      <c r="D246" s="214">
        <v>7</v>
      </c>
      <c r="E246" s="206">
        <f t="shared" si="31"/>
        <v>166</v>
      </c>
      <c r="F246" s="215">
        <v>33.200000000000003</v>
      </c>
      <c r="G246" s="215">
        <f t="shared" si="29"/>
        <v>32.802</v>
      </c>
      <c r="H246" s="215" t="str">
        <f t="shared" si="28"/>
        <v>IN</v>
      </c>
      <c r="I246" s="217">
        <f t="shared" si="25"/>
        <v>7324.9139999999989</v>
      </c>
      <c r="J246" s="217">
        <f t="shared" si="26"/>
        <v>4716.2160000000003</v>
      </c>
      <c r="K246" s="381">
        <f t="shared" si="27"/>
        <v>281.27580816195564</v>
      </c>
      <c r="L246" s="451"/>
      <c r="M246" s="451"/>
      <c r="N246" s="18"/>
    </row>
    <row r="247" spans="2:14">
      <c r="B247" s="213">
        <f t="shared" si="30"/>
        <v>223</v>
      </c>
      <c r="C247" s="213"/>
      <c r="D247" s="214">
        <v>7</v>
      </c>
      <c r="E247" s="206">
        <f t="shared" si="31"/>
        <v>165</v>
      </c>
      <c r="F247" s="215">
        <v>33.020000000000003</v>
      </c>
      <c r="G247" s="215">
        <f t="shared" si="29"/>
        <v>32.622</v>
      </c>
      <c r="H247" s="215" t="str">
        <f t="shared" si="28"/>
        <v>IN</v>
      </c>
      <c r="I247" s="217">
        <f t="shared" si="25"/>
        <v>7357.5359999999991</v>
      </c>
      <c r="J247" s="217">
        <f t="shared" si="26"/>
        <v>4683.5940000000001</v>
      </c>
      <c r="K247" s="381">
        <f t="shared" si="27"/>
        <v>281.97624661268139</v>
      </c>
      <c r="L247" s="451"/>
      <c r="M247" s="451"/>
      <c r="N247" s="18"/>
    </row>
    <row r="248" spans="2:14">
      <c r="B248" s="213">
        <f t="shared" si="30"/>
        <v>224</v>
      </c>
      <c r="C248" s="213"/>
      <c r="D248" s="214">
        <v>7</v>
      </c>
      <c r="E248" s="206">
        <f t="shared" si="31"/>
        <v>164</v>
      </c>
      <c r="F248" s="215">
        <v>33.19</v>
      </c>
      <c r="G248" s="215">
        <f t="shared" si="29"/>
        <v>32.791999999999994</v>
      </c>
      <c r="H248" s="215" t="str">
        <f t="shared" si="28"/>
        <v>IN</v>
      </c>
      <c r="I248" s="217">
        <f t="shared" si="25"/>
        <v>7390.3279999999995</v>
      </c>
      <c r="J248" s="217">
        <f t="shared" si="26"/>
        <v>4650.8019999999997</v>
      </c>
      <c r="K248" s="381">
        <f t="shared" si="27"/>
        <v>282.6803351932773</v>
      </c>
      <c r="L248" s="451"/>
      <c r="M248" s="451"/>
      <c r="N248" s="18"/>
    </row>
    <row r="249" spans="2:14">
      <c r="B249" s="213">
        <f t="shared" si="30"/>
        <v>225</v>
      </c>
      <c r="C249" s="213"/>
      <c r="D249" s="214">
        <v>7</v>
      </c>
      <c r="E249" s="206">
        <f t="shared" si="31"/>
        <v>163</v>
      </c>
      <c r="F249" s="215">
        <v>33.520000000000003</v>
      </c>
      <c r="G249" s="215">
        <f t="shared" si="29"/>
        <v>33.122</v>
      </c>
      <c r="H249" s="215" t="str">
        <f t="shared" si="28"/>
        <v>IN</v>
      </c>
      <c r="I249" s="217">
        <f t="shared" si="25"/>
        <v>7423.45</v>
      </c>
      <c r="J249" s="217">
        <f t="shared" si="26"/>
        <v>4617.6799999999994</v>
      </c>
      <c r="K249" s="381">
        <f t="shared" si="27"/>
        <v>283.3915093200917</v>
      </c>
      <c r="L249" s="451"/>
      <c r="M249" s="451"/>
      <c r="N249" s="18"/>
    </row>
    <row r="250" spans="2:14">
      <c r="B250" s="213">
        <f t="shared" si="30"/>
        <v>226</v>
      </c>
      <c r="C250" s="213"/>
      <c r="D250" s="214">
        <v>7</v>
      </c>
      <c r="E250" s="206">
        <f t="shared" si="31"/>
        <v>162</v>
      </c>
      <c r="F250" s="215">
        <v>33.130000000000003</v>
      </c>
      <c r="G250" s="215">
        <f t="shared" si="29"/>
        <v>32.731999999999999</v>
      </c>
      <c r="H250" s="215" t="str">
        <f t="shared" si="28"/>
        <v>IN</v>
      </c>
      <c r="I250" s="217">
        <f t="shared" si="25"/>
        <v>7456.1819999999998</v>
      </c>
      <c r="J250" s="217">
        <f t="shared" si="26"/>
        <v>4584.9479999999994</v>
      </c>
      <c r="K250" s="381">
        <f t="shared" si="27"/>
        <v>284.0943096195569</v>
      </c>
      <c r="L250" s="451"/>
      <c r="M250" s="451"/>
      <c r="N250" s="18"/>
    </row>
    <row r="251" spans="2:14">
      <c r="B251" s="213">
        <f t="shared" si="30"/>
        <v>227</v>
      </c>
      <c r="C251" s="213"/>
      <c r="D251" s="214">
        <v>7</v>
      </c>
      <c r="E251" s="206">
        <f t="shared" si="31"/>
        <v>161</v>
      </c>
      <c r="F251" s="215">
        <v>33.369999999999997</v>
      </c>
      <c r="G251" s="215">
        <f t="shared" si="29"/>
        <v>32.971999999999994</v>
      </c>
      <c r="H251" s="215" t="str">
        <f t="shared" si="28"/>
        <v>IN</v>
      </c>
      <c r="I251" s="217">
        <f t="shared" si="25"/>
        <v>7489.1539999999995</v>
      </c>
      <c r="J251" s="217">
        <f t="shared" si="26"/>
        <v>4551.9759999999997</v>
      </c>
      <c r="K251" s="381">
        <f t="shared" si="27"/>
        <v>284.80226304354471</v>
      </c>
      <c r="L251" s="451"/>
      <c r="M251" s="451"/>
      <c r="N251" s="18"/>
    </row>
    <row r="252" spans="2:14">
      <c r="B252" s="213">
        <f t="shared" si="30"/>
        <v>228</v>
      </c>
      <c r="C252" s="213"/>
      <c r="D252" s="214">
        <v>7</v>
      </c>
      <c r="E252" s="206">
        <f t="shared" si="31"/>
        <v>160</v>
      </c>
      <c r="F252" s="215">
        <v>33.06</v>
      </c>
      <c r="G252" s="215">
        <f t="shared" si="29"/>
        <v>32.661999999999999</v>
      </c>
      <c r="H252" s="215" t="str">
        <f t="shared" si="28"/>
        <v>IN</v>
      </c>
      <c r="I252" s="217">
        <f t="shared" si="25"/>
        <v>7521.8159999999998</v>
      </c>
      <c r="J252" s="217">
        <f t="shared" si="26"/>
        <v>4519.3139999999994</v>
      </c>
      <c r="K252" s="381">
        <f t="shared" si="27"/>
        <v>285.5035603483575</v>
      </c>
      <c r="L252" s="451"/>
      <c r="M252" s="451"/>
      <c r="N252" s="18"/>
    </row>
    <row r="253" spans="2:14">
      <c r="B253" s="213">
        <f t="shared" si="30"/>
        <v>229</v>
      </c>
      <c r="C253" s="213"/>
      <c r="D253" s="214">
        <v>7</v>
      </c>
      <c r="E253" s="206">
        <f t="shared" si="31"/>
        <v>159</v>
      </c>
      <c r="F253" s="215">
        <v>32.14</v>
      </c>
      <c r="G253" s="215">
        <f t="shared" si="29"/>
        <v>31.742000000000001</v>
      </c>
      <c r="H253" s="215" t="str">
        <f t="shared" si="28"/>
        <v>IN</v>
      </c>
      <c r="I253" s="217">
        <f t="shared" si="25"/>
        <v>7553.558</v>
      </c>
      <c r="J253" s="217">
        <f t="shared" si="26"/>
        <v>4487.5719999999992</v>
      </c>
      <c r="K253" s="381">
        <f t="shared" si="27"/>
        <v>286.18510400916733</v>
      </c>
      <c r="L253" s="451"/>
      <c r="M253" s="451"/>
      <c r="N253" s="18"/>
    </row>
    <row r="254" spans="2:14">
      <c r="B254" s="213">
        <f t="shared" si="30"/>
        <v>230</v>
      </c>
      <c r="C254" s="213"/>
      <c r="D254" s="214">
        <v>7</v>
      </c>
      <c r="E254" s="206">
        <f t="shared" si="31"/>
        <v>158</v>
      </c>
      <c r="F254" s="215">
        <v>33.53</v>
      </c>
      <c r="G254" s="215">
        <f t="shared" si="29"/>
        <v>33.131999999999998</v>
      </c>
      <c r="H254" s="215" t="str">
        <f t="shared" si="28"/>
        <v>IN</v>
      </c>
      <c r="I254" s="217">
        <f t="shared" si="25"/>
        <v>7586.69</v>
      </c>
      <c r="J254" s="217">
        <f t="shared" si="26"/>
        <v>4454.4399999999996</v>
      </c>
      <c r="K254" s="381">
        <f t="shared" si="27"/>
        <v>286.89649284950343</v>
      </c>
      <c r="L254" s="451"/>
      <c r="M254" s="451"/>
      <c r="N254" s="18"/>
    </row>
    <row r="255" spans="2:14">
      <c r="B255" s="213">
        <f t="shared" si="30"/>
        <v>231</v>
      </c>
      <c r="C255" s="213"/>
      <c r="D255" s="214">
        <v>7</v>
      </c>
      <c r="E255" s="206">
        <f t="shared" si="31"/>
        <v>157</v>
      </c>
      <c r="F255" s="215">
        <v>33.450000000000003</v>
      </c>
      <c r="G255" s="215">
        <f t="shared" si="29"/>
        <v>33.052</v>
      </c>
      <c r="H255" s="215" t="str">
        <f t="shared" si="28"/>
        <v>IN</v>
      </c>
      <c r="I255" s="217">
        <f t="shared" si="25"/>
        <v>7619.7419999999993</v>
      </c>
      <c r="J255" s="217">
        <f t="shared" si="26"/>
        <v>4421.3879999999999</v>
      </c>
      <c r="K255" s="381">
        <f t="shared" si="27"/>
        <v>287.60616398166542</v>
      </c>
      <c r="L255" s="451"/>
      <c r="M255" s="451"/>
      <c r="N255" s="18"/>
    </row>
    <row r="256" spans="2:14">
      <c r="B256" s="213">
        <f t="shared" si="30"/>
        <v>232</v>
      </c>
      <c r="C256" s="213"/>
      <c r="D256" s="214">
        <v>7</v>
      </c>
      <c r="E256" s="206">
        <f t="shared" si="31"/>
        <v>156</v>
      </c>
      <c r="F256" s="215">
        <v>33.08</v>
      </c>
      <c r="G256" s="215">
        <f t="shared" si="29"/>
        <v>32.681999999999995</v>
      </c>
      <c r="H256" s="215" t="str">
        <f t="shared" si="28"/>
        <v>IN</v>
      </c>
      <c r="I256" s="217">
        <f t="shared" si="25"/>
        <v>7652.4239999999991</v>
      </c>
      <c r="J256" s="217">
        <f t="shared" si="26"/>
        <v>4388.7060000000001</v>
      </c>
      <c r="K256" s="381">
        <f t="shared" si="27"/>
        <v>288.30789071352172</v>
      </c>
      <c r="L256" s="451"/>
      <c r="M256" s="451"/>
      <c r="N256" s="18"/>
    </row>
    <row r="257" spans="2:14">
      <c r="B257" s="213">
        <f t="shared" si="30"/>
        <v>233</v>
      </c>
      <c r="C257" s="213"/>
      <c r="D257" s="214">
        <v>7</v>
      </c>
      <c r="E257" s="206">
        <f t="shared" si="31"/>
        <v>155</v>
      </c>
      <c r="F257" s="215">
        <v>32.07</v>
      </c>
      <c r="G257" s="215">
        <f t="shared" si="29"/>
        <v>31.672000000000001</v>
      </c>
      <c r="H257" s="215" t="str">
        <f t="shared" si="28"/>
        <v>IN</v>
      </c>
      <c r="I257" s="217">
        <f t="shared" si="25"/>
        <v>7684.0959999999986</v>
      </c>
      <c r="J257" s="217">
        <f t="shared" si="26"/>
        <v>4357.0340000000006</v>
      </c>
      <c r="K257" s="381">
        <f t="shared" si="27"/>
        <v>288.98793137967914</v>
      </c>
      <c r="L257" s="451"/>
      <c r="M257" s="451"/>
      <c r="N257" s="18"/>
    </row>
    <row r="258" spans="2:14">
      <c r="B258" s="213">
        <f t="shared" si="30"/>
        <v>234</v>
      </c>
      <c r="C258" s="213"/>
      <c r="D258" s="214">
        <v>7</v>
      </c>
      <c r="E258" s="206">
        <f t="shared" si="31"/>
        <v>154</v>
      </c>
      <c r="F258" s="215">
        <v>33.520000000000003</v>
      </c>
      <c r="G258" s="215">
        <f t="shared" si="29"/>
        <v>33.122</v>
      </c>
      <c r="H258" s="215" t="str">
        <f t="shared" si="28"/>
        <v>IN</v>
      </c>
      <c r="I258" s="217">
        <f t="shared" si="25"/>
        <v>7717.2179999999989</v>
      </c>
      <c r="J258" s="217">
        <f t="shared" si="26"/>
        <v>4323.9120000000003</v>
      </c>
      <c r="K258" s="381">
        <f t="shared" si="27"/>
        <v>289.69910550649354</v>
      </c>
      <c r="L258" s="451"/>
      <c r="M258" s="451"/>
      <c r="N258" s="18"/>
    </row>
    <row r="259" spans="2:14">
      <c r="B259" s="213">
        <f t="shared" si="30"/>
        <v>235</v>
      </c>
      <c r="C259" s="213"/>
      <c r="D259" s="214">
        <v>7</v>
      </c>
      <c r="E259" s="206">
        <f t="shared" si="31"/>
        <v>153</v>
      </c>
      <c r="F259" s="215">
        <v>33.53</v>
      </c>
      <c r="G259" s="215">
        <f t="shared" si="29"/>
        <v>33.131999999999998</v>
      </c>
      <c r="H259" s="215" t="str">
        <f t="shared" si="28"/>
        <v>IN</v>
      </c>
      <c r="I259" s="217">
        <f t="shared" si="25"/>
        <v>7750.3499999999985</v>
      </c>
      <c r="J259" s="217">
        <f t="shared" si="26"/>
        <v>4290.7800000000007</v>
      </c>
      <c r="K259" s="381">
        <f t="shared" si="27"/>
        <v>290.41049434682964</v>
      </c>
      <c r="L259" s="451"/>
      <c r="M259" s="451"/>
      <c r="N259" s="18"/>
    </row>
    <row r="260" spans="2:14">
      <c r="B260" s="213">
        <f t="shared" si="30"/>
        <v>236</v>
      </c>
      <c r="C260" s="213"/>
      <c r="D260" s="214">
        <v>7</v>
      </c>
      <c r="E260" s="206">
        <f t="shared" si="31"/>
        <v>152</v>
      </c>
      <c r="F260" s="215">
        <v>32.020000000000003</v>
      </c>
      <c r="G260" s="215">
        <f t="shared" si="29"/>
        <v>31.622000000000003</v>
      </c>
      <c r="H260" s="215" t="str">
        <f t="shared" si="28"/>
        <v>IN</v>
      </c>
      <c r="I260" s="217">
        <f t="shared" si="25"/>
        <v>7781.9719999999988</v>
      </c>
      <c r="J260" s="217">
        <f t="shared" si="26"/>
        <v>4259.1580000000004</v>
      </c>
      <c r="K260" s="381">
        <f t="shared" si="27"/>
        <v>291.08946144537811</v>
      </c>
      <c r="L260" s="451"/>
      <c r="M260" s="451"/>
      <c r="N260" s="18"/>
    </row>
    <row r="261" spans="2:14">
      <c r="B261" s="213">
        <f t="shared" si="30"/>
        <v>237</v>
      </c>
      <c r="C261" s="213"/>
      <c r="D261" s="214">
        <v>7</v>
      </c>
      <c r="E261" s="206">
        <f t="shared" si="31"/>
        <v>151</v>
      </c>
      <c r="F261" s="215">
        <v>33.549999999999997</v>
      </c>
      <c r="G261" s="215">
        <f t="shared" si="29"/>
        <v>33.151999999999994</v>
      </c>
      <c r="H261" s="215" t="str">
        <f t="shared" si="28"/>
        <v>IN</v>
      </c>
      <c r="I261" s="217">
        <f t="shared" si="25"/>
        <v>7815.1239999999989</v>
      </c>
      <c r="J261" s="217">
        <f t="shared" si="26"/>
        <v>4226.0060000000003</v>
      </c>
      <c r="K261" s="381">
        <f t="shared" si="27"/>
        <v>291.80127971275783</v>
      </c>
      <c r="L261" s="451"/>
      <c r="M261" s="451"/>
      <c r="N261" s="18"/>
    </row>
    <row r="262" spans="2:14">
      <c r="B262" s="213">
        <f t="shared" si="30"/>
        <v>238</v>
      </c>
      <c r="C262" s="213"/>
      <c r="D262" s="214">
        <v>7</v>
      </c>
      <c r="E262" s="206">
        <f t="shared" si="31"/>
        <v>150</v>
      </c>
      <c r="F262" s="215">
        <v>32.5</v>
      </c>
      <c r="G262" s="215">
        <f t="shared" si="29"/>
        <v>32.101999999999997</v>
      </c>
      <c r="H262" s="215" t="str">
        <f t="shared" si="28"/>
        <v>IN</v>
      </c>
      <c r="I262" s="217">
        <f t="shared" si="25"/>
        <v>7847.2259999999987</v>
      </c>
      <c r="J262" s="217">
        <f t="shared" si="26"/>
        <v>4193.9040000000005</v>
      </c>
      <c r="K262" s="381">
        <f t="shared" si="27"/>
        <v>292.49055306035137</v>
      </c>
      <c r="L262" s="451"/>
      <c r="M262" s="451"/>
      <c r="N262" s="18"/>
    </row>
    <row r="263" spans="2:14">
      <c r="B263" s="213">
        <f t="shared" si="30"/>
        <v>239</v>
      </c>
      <c r="C263" s="213"/>
      <c r="D263" s="214">
        <v>7</v>
      </c>
      <c r="E263" s="206">
        <f t="shared" si="31"/>
        <v>149</v>
      </c>
      <c r="F263" s="215">
        <v>31.22</v>
      </c>
      <c r="G263" s="215">
        <f t="shared" si="29"/>
        <v>30.821999999999999</v>
      </c>
      <c r="H263" s="215" t="str">
        <f t="shared" si="28"/>
        <v>IN</v>
      </c>
      <c r="I263" s="217">
        <f t="shared" si="25"/>
        <v>7878.0479999999989</v>
      </c>
      <c r="J263" s="217">
        <f t="shared" si="26"/>
        <v>4163.0820000000003</v>
      </c>
      <c r="K263" s="381">
        <f t="shared" si="27"/>
        <v>293.15234307715809</v>
      </c>
      <c r="L263" s="451"/>
      <c r="M263" s="451"/>
      <c r="N263" s="18"/>
    </row>
    <row r="264" spans="2:14">
      <c r="B264" s="213">
        <f t="shared" si="30"/>
        <v>240</v>
      </c>
      <c r="C264" s="213"/>
      <c r="D264" s="214">
        <v>7</v>
      </c>
      <c r="E264" s="206">
        <f t="shared" si="31"/>
        <v>148</v>
      </c>
      <c r="F264" s="215">
        <v>33.21</v>
      </c>
      <c r="G264" s="215">
        <f t="shared" si="29"/>
        <v>32.811999999999998</v>
      </c>
      <c r="H264" s="215" t="str">
        <f t="shared" si="28"/>
        <v>IN</v>
      </c>
      <c r="I264" s="217">
        <f t="shared" si="25"/>
        <v>7910.8599999999988</v>
      </c>
      <c r="J264" s="217">
        <f t="shared" si="26"/>
        <v>4130.2700000000004</v>
      </c>
      <c r="K264" s="381">
        <f t="shared" si="27"/>
        <v>293.85686108479752</v>
      </c>
      <c r="L264" s="451"/>
      <c r="M264" s="451"/>
      <c r="N264" s="18"/>
    </row>
    <row r="265" spans="2:14">
      <c r="B265" s="213">
        <f t="shared" si="30"/>
        <v>241</v>
      </c>
      <c r="C265" s="213"/>
      <c r="D265" s="214">
        <v>7</v>
      </c>
      <c r="E265" s="206">
        <f t="shared" si="31"/>
        <v>147</v>
      </c>
      <c r="F265" s="215">
        <v>33.340000000000003</v>
      </c>
      <c r="G265" s="215">
        <f t="shared" si="29"/>
        <v>32.942</v>
      </c>
      <c r="H265" s="215" t="str">
        <f t="shared" si="28"/>
        <v>IN</v>
      </c>
      <c r="I265" s="217">
        <f t="shared" si="25"/>
        <v>7943.8019999999988</v>
      </c>
      <c r="J265" s="217">
        <f t="shared" si="26"/>
        <v>4097.3280000000004</v>
      </c>
      <c r="K265" s="381">
        <f t="shared" si="27"/>
        <v>294.56417036821995</v>
      </c>
      <c r="L265" s="451"/>
      <c r="M265" s="451"/>
      <c r="N265" s="18"/>
    </row>
    <row r="266" spans="2:14">
      <c r="B266" s="213">
        <f t="shared" si="30"/>
        <v>242</v>
      </c>
      <c r="C266" s="213"/>
      <c r="D266" s="214">
        <v>7</v>
      </c>
      <c r="E266" s="206">
        <f t="shared" si="31"/>
        <v>146</v>
      </c>
      <c r="F266" s="215">
        <v>34.020000000000003</v>
      </c>
      <c r="G266" s="215">
        <f t="shared" si="29"/>
        <v>33.622</v>
      </c>
      <c r="H266" s="215" t="str">
        <f t="shared" si="28"/>
        <v>IN</v>
      </c>
      <c r="I266" s="217">
        <f t="shared" si="25"/>
        <v>7977.4239999999991</v>
      </c>
      <c r="J266" s="217">
        <f t="shared" si="26"/>
        <v>4063.7060000000001</v>
      </c>
      <c r="K266" s="381">
        <f t="shared" si="27"/>
        <v>295.28608017112299</v>
      </c>
      <c r="L266" s="451"/>
      <c r="M266" s="451"/>
      <c r="N266" s="18"/>
    </row>
    <row r="267" spans="2:14">
      <c r="B267" s="213">
        <f t="shared" si="30"/>
        <v>243</v>
      </c>
      <c r="C267" s="213"/>
      <c r="D267" s="214">
        <v>7</v>
      </c>
      <c r="E267" s="206">
        <f t="shared" si="31"/>
        <v>145</v>
      </c>
      <c r="F267" s="215">
        <v>35.75</v>
      </c>
      <c r="G267" s="215">
        <f t="shared" si="29"/>
        <v>35.351999999999997</v>
      </c>
      <c r="H267" s="215" t="str">
        <f t="shared" si="28"/>
        <v>IN</v>
      </c>
      <c r="I267" s="217">
        <f t="shared" si="25"/>
        <v>8012.7759999999989</v>
      </c>
      <c r="J267" s="217">
        <f t="shared" si="26"/>
        <v>4028.3540000000003</v>
      </c>
      <c r="K267" s="381">
        <f t="shared" si="27"/>
        <v>296.0451354132926</v>
      </c>
      <c r="L267" s="422"/>
      <c r="M267" s="423"/>
      <c r="N267" s="18"/>
    </row>
    <row r="268" spans="2:14">
      <c r="B268" s="213">
        <f t="shared" si="30"/>
        <v>244</v>
      </c>
      <c r="C268" s="213"/>
      <c r="D268" s="214">
        <v>7</v>
      </c>
      <c r="E268" s="206">
        <f t="shared" si="31"/>
        <v>144</v>
      </c>
      <c r="F268" s="215">
        <v>36.659999999999997</v>
      </c>
      <c r="G268" s="215">
        <f t="shared" si="29"/>
        <v>36.261999999999993</v>
      </c>
      <c r="H268" s="215" t="str">
        <f t="shared" si="28"/>
        <v>IN</v>
      </c>
      <c r="I268" s="217">
        <f t="shared" si="25"/>
        <v>8049.0379999999986</v>
      </c>
      <c r="J268" s="217">
        <f t="shared" si="26"/>
        <v>3992.0920000000006</v>
      </c>
      <c r="K268" s="381">
        <f t="shared" si="27"/>
        <v>296.8237295859434</v>
      </c>
      <c r="L268" s="422"/>
      <c r="M268" s="423"/>
      <c r="N268" s="18"/>
    </row>
    <row r="269" spans="2:14">
      <c r="B269" s="213">
        <f t="shared" si="30"/>
        <v>245</v>
      </c>
      <c r="C269" s="213"/>
      <c r="D269" s="214">
        <v>7</v>
      </c>
      <c r="E269" s="206">
        <f t="shared" si="31"/>
        <v>143</v>
      </c>
      <c r="F269" s="215">
        <v>37.11</v>
      </c>
      <c r="G269" s="215">
        <f t="shared" si="29"/>
        <v>36.711999999999996</v>
      </c>
      <c r="H269" s="215" t="str">
        <f t="shared" si="28"/>
        <v>IN</v>
      </c>
      <c r="I269" s="217">
        <f t="shared" si="25"/>
        <v>8085.7499999999991</v>
      </c>
      <c r="J269" s="217">
        <f t="shared" si="26"/>
        <v>3955.38</v>
      </c>
      <c r="K269" s="381">
        <f t="shared" si="27"/>
        <v>297.61198586707405</v>
      </c>
      <c r="L269" s="422"/>
      <c r="M269" s="423"/>
      <c r="N269" s="18"/>
    </row>
    <row r="270" spans="2:14">
      <c r="B270" s="213">
        <f t="shared" si="30"/>
        <v>246</v>
      </c>
      <c r="C270" s="213"/>
      <c r="D270" s="214">
        <v>7</v>
      </c>
      <c r="E270" s="206">
        <f t="shared" si="31"/>
        <v>142</v>
      </c>
      <c r="F270" s="215">
        <v>33.56</v>
      </c>
      <c r="G270" s="215">
        <f t="shared" si="29"/>
        <v>33.161999999999999</v>
      </c>
      <c r="H270" s="215" t="str">
        <f t="shared" si="28"/>
        <v>IN</v>
      </c>
      <c r="I270" s="217">
        <f t="shared" si="25"/>
        <v>8118.9119999999994</v>
      </c>
      <c r="J270" s="217">
        <f t="shared" si="26"/>
        <v>3922.2179999999998</v>
      </c>
      <c r="K270" s="381">
        <f t="shared" si="27"/>
        <v>298.32401884797554</v>
      </c>
      <c r="L270" s="422"/>
      <c r="M270" s="423"/>
      <c r="N270" s="18"/>
    </row>
    <row r="271" spans="2:14">
      <c r="B271" s="213">
        <f t="shared" si="30"/>
        <v>247</v>
      </c>
      <c r="C271" s="213"/>
      <c r="D271" s="214">
        <v>7</v>
      </c>
      <c r="E271" s="206">
        <f t="shared" si="31"/>
        <v>141</v>
      </c>
      <c r="F271" s="215">
        <v>36.909999999999997</v>
      </c>
      <c r="G271" s="215">
        <f t="shared" si="29"/>
        <v>36.511999999999993</v>
      </c>
      <c r="H271" s="215" t="str">
        <f t="shared" si="28"/>
        <v>IN</v>
      </c>
      <c r="I271" s="217">
        <f t="shared" si="25"/>
        <v>8155.4239999999991</v>
      </c>
      <c r="J271" s="217">
        <f t="shared" si="26"/>
        <v>3885.7060000000001</v>
      </c>
      <c r="K271" s="381">
        <f t="shared" si="27"/>
        <v>299.10798085867071</v>
      </c>
      <c r="L271" s="422"/>
      <c r="M271" s="423"/>
      <c r="N271" s="18"/>
    </row>
    <row r="272" spans="2:14">
      <c r="B272" s="213">
        <f t="shared" si="30"/>
        <v>248</v>
      </c>
      <c r="C272" s="213"/>
      <c r="D272" s="214">
        <v>7</v>
      </c>
      <c r="E272" s="206">
        <f t="shared" si="31"/>
        <v>140</v>
      </c>
      <c r="F272" s="215">
        <v>32.92</v>
      </c>
      <c r="G272" s="215">
        <f t="shared" si="29"/>
        <v>32.521999999999998</v>
      </c>
      <c r="H272" s="215" t="str">
        <f t="shared" si="28"/>
        <v>IN</v>
      </c>
      <c r="I272" s="217">
        <f t="shared" si="25"/>
        <v>8187.945999999999</v>
      </c>
      <c r="J272" s="217">
        <f t="shared" si="26"/>
        <v>3853.1840000000002</v>
      </c>
      <c r="K272" s="381">
        <f t="shared" si="27"/>
        <v>299.80627217417873</v>
      </c>
      <c r="L272" s="422"/>
      <c r="M272" s="423"/>
      <c r="N272" s="18"/>
    </row>
    <row r="273" spans="2:14">
      <c r="B273" s="213">
        <f t="shared" si="30"/>
        <v>249</v>
      </c>
      <c r="C273" s="213"/>
      <c r="D273" s="214">
        <v>7</v>
      </c>
      <c r="E273" s="206">
        <f t="shared" si="31"/>
        <v>139</v>
      </c>
      <c r="F273" s="215">
        <v>35.869999999999997</v>
      </c>
      <c r="G273" s="215">
        <f t="shared" si="29"/>
        <v>35.471999999999994</v>
      </c>
      <c r="H273" s="215" t="str">
        <f t="shared" si="28"/>
        <v>IN</v>
      </c>
      <c r="I273" s="217">
        <f t="shared" si="25"/>
        <v>8223.4179999999997</v>
      </c>
      <c r="J273" s="217">
        <f t="shared" si="26"/>
        <v>3817.7119999999995</v>
      </c>
      <c r="K273" s="381">
        <f t="shared" si="27"/>
        <v>300.56790397860959</v>
      </c>
      <c r="L273" s="422"/>
      <c r="M273" s="423"/>
      <c r="N273" s="18"/>
    </row>
    <row r="274" spans="2:14">
      <c r="B274" s="213">
        <f t="shared" si="30"/>
        <v>250</v>
      </c>
      <c r="C274" s="213"/>
      <c r="D274" s="214">
        <v>7</v>
      </c>
      <c r="E274" s="206">
        <f t="shared" si="31"/>
        <v>138</v>
      </c>
      <c r="F274" s="215">
        <v>35.24</v>
      </c>
      <c r="G274" s="215">
        <f t="shared" si="29"/>
        <v>34.841999999999999</v>
      </c>
      <c r="H274" s="215" t="str">
        <f t="shared" si="28"/>
        <v>IN</v>
      </c>
      <c r="I274" s="217">
        <f t="shared" si="25"/>
        <v>8258.26</v>
      </c>
      <c r="J274" s="217">
        <f t="shared" si="26"/>
        <v>3782.869999999999</v>
      </c>
      <c r="K274" s="381">
        <f t="shared" si="27"/>
        <v>301.31600883116886</v>
      </c>
      <c r="L274" s="422"/>
      <c r="M274" s="423"/>
      <c r="N274" s="18"/>
    </row>
    <row r="275" spans="2:14">
      <c r="B275" s="213">
        <f t="shared" si="30"/>
        <v>251</v>
      </c>
      <c r="C275" s="213"/>
      <c r="D275" s="214">
        <v>7</v>
      </c>
      <c r="E275" s="206">
        <f t="shared" si="31"/>
        <v>137</v>
      </c>
      <c r="F275" s="215">
        <v>36.659999999999997</v>
      </c>
      <c r="G275" s="215">
        <f t="shared" si="29"/>
        <v>36.261999999999993</v>
      </c>
      <c r="H275" s="215" t="str">
        <f t="shared" si="28"/>
        <v>IN</v>
      </c>
      <c r="I275" s="217">
        <f t="shared" ref="I275:I338" si="32">IF(H275="IN",I274+G275,I274)</f>
        <v>8294.5220000000008</v>
      </c>
      <c r="J275" s="217">
        <f t="shared" ref="J275:J338" si="33">IF(I275="","",$L$9-I275)</f>
        <v>3746.6079999999984</v>
      </c>
      <c r="K275" s="381">
        <f t="shared" ref="K275:K338" si="34">$H$9+(I275*$E$10*$H$11/1000)</f>
        <v>302.09460300381977</v>
      </c>
      <c r="L275" s="422"/>
      <c r="M275" s="423"/>
      <c r="N275" s="18"/>
    </row>
    <row r="276" spans="2:14">
      <c r="B276" s="213">
        <f t="shared" si="30"/>
        <v>252</v>
      </c>
      <c r="C276" s="213"/>
      <c r="D276" s="214">
        <v>7</v>
      </c>
      <c r="E276" s="206">
        <f t="shared" si="31"/>
        <v>136</v>
      </c>
      <c r="F276" s="215">
        <v>35.630000000000003</v>
      </c>
      <c r="G276" s="215">
        <f t="shared" si="29"/>
        <v>35.231999999999999</v>
      </c>
      <c r="H276" s="215" t="str">
        <f t="shared" si="28"/>
        <v>IN</v>
      </c>
      <c r="I276" s="217">
        <f t="shared" si="32"/>
        <v>8329.7540000000008</v>
      </c>
      <c r="J276" s="217">
        <f t="shared" si="33"/>
        <v>3711.3759999999984</v>
      </c>
      <c r="K276" s="381">
        <f t="shared" si="34"/>
        <v>302.85108168372807</v>
      </c>
      <c r="L276" s="422"/>
      <c r="M276" s="423"/>
      <c r="N276" s="18"/>
    </row>
    <row r="277" spans="2:14">
      <c r="B277" s="213">
        <f t="shared" si="30"/>
        <v>253</v>
      </c>
      <c r="C277" s="213"/>
      <c r="D277" s="214">
        <v>7</v>
      </c>
      <c r="E277" s="206">
        <f t="shared" si="31"/>
        <v>135</v>
      </c>
      <c r="F277" s="215">
        <v>35.409999999999997</v>
      </c>
      <c r="G277" s="215">
        <f t="shared" si="29"/>
        <v>35.011999999999993</v>
      </c>
      <c r="H277" s="215" t="str">
        <f t="shared" si="28"/>
        <v>IN</v>
      </c>
      <c r="I277" s="217">
        <f t="shared" si="32"/>
        <v>8364.7660000000014</v>
      </c>
      <c r="J277" s="217">
        <f t="shared" si="33"/>
        <v>3676.3639999999978</v>
      </c>
      <c r="K277" s="381">
        <f t="shared" si="34"/>
        <v>303.60283666615737</v>
      </c>
      <c r="L277" s="422"/>
      <c r="M277" s="423"/>
      <c r="N277" s="18"/>
    </row>
    <row r="278" spans="2:14">
      <c r="B278" s="213">
        <f t="shared" si="30"/>
        <v>254</v>
      </c>
      <c r="C278" s="213"/>
      <c r="D278" s="214">
        <v>7</v>
      </c>
      <c r="E278" s="206">
        <f t="shared" si="31"/>
        <v>134</v>
      </c>
      <c r="F278" s="215">
        <v>36.31</v>
      </c>
      <c r="G278" s="215">
        <f t="shared" si="29"/>
        <v>35.911999999999999</v>
      </c>
      <c r="H278" s="215" t="str">
        <f t="shared" si="28"/>
        <v>IN</v>
      </c>
      <c r="I278" s="217">
        <f t="shared" si="32"/>
        <v>8400.6780000000017</v>
      </c>
      <c r="J278" s="217">
        <f t="shared" si="33"/>
        <v>3640.4519999999975</v>
      </c>
      <c r="K278" s="381">
        <f t="shared" si="34"/>
        <v>304.37391586554628</v>
      </c>
      <c r="L278" s="422"/>
      <c r="M278" s="423"/>
      <c r="N278" s="18"/>
    </row>
    <row r="279" spans="2:14">
      <c r="B279" s="213">
        <f t="shared" si="30"/>
        <v>255</v>
      </c>
      <c r="C279" s="213"/>
      <c r="D279" s="214">
        <v>7</v>
      </c>
      <c r="E279" s="206">
        <f t="shared" si="31"/>
        <v>133</v>
      </c>
      <c r="F279" s="215">
        <v>35.79</v>
      </c>
      <c r="G279" s="215">
        <f t="shared" si="29"/>
        <v>35.391999999999996</v>
      </c>
      <c r="H279" s="215" t="str">
        <f t="shared" si="28"/>
        <v>IN</v>
      </c>
      <c r="I279" s="217">
        <f t="shared" si="32"/>
        <v>8436.0700000000015</v>
      </c>
      <c r="J279" s="217">
        <f t="shared" si="33"/>
        <v>3605.0599999999977</v>
      </c>
      <c r="K279" s="381">
        <f t="shared" si="34"/>
        <v>305.13382996180292</v>
      </c>
      <c r="L279" s="422"/>
      <c r="M279" s="423"/>
      <c r="N279" s="18"/>
    </row>
    <row r="280" spans="2:14">
      <c r="B280" s="213">
        <f t="shared" si="30"/>
        <v>256</v>
      </c>
      <c r="C280" s="213"/>
      <c r="D280" s="214">
        <v>7</v>
      </c>
      <c r="E280" s="206">
        <f t="shared" si="31"/>
        <v>132</v>
      </c>
      <c r="F280" s="215">
        <v>36.17</v>
      </c>
      <c r="G280" s="215">
        <f t="shared" si="29"/>
        <v>35.771999999999998</v>
      </c>
      <c r="H280" s="215" t="str">
        <f t="shared" ref="H280:H343" si="35">IF(F280="","OUT","IN")</f>
        <v>IN</v>
      </c>
      <c r="I280" s="217">
        <f t="shared" si="32"/>
        <v>8471.8420000000024</v>
      </c>
      <c r="J280" s="217">
        <f t="shared" si="33"/>
        <v>3569.2879999999968</v>
      </c>
      <c r="K280" s="381">
        <f t="shared" si="34"/>
        <v>305.90190317188694</v>
      </c>
      <c r="L280" s="422"/>
      <c r="M280" s="423"/>
      <c r="N280" s="18"/>
    </row>
    <row r="281" spans="2:14">
      <c r="B281" s="213">
        <f t="shared" si="30"/>
        <v>257</v>
      </c>
      <c r="C281" s="213"/>
      <c r="D281" s="214">
        <v>7</v>
      </c>
      <c r="E281" s="206">
        <f t="shared" si="31"/>
        <v>131</v>
      </c>
      <c r="F281" s="215">
        <v>37.07</v>
      </c>
      <c r="G281" s="215">
        <f t="shared" si="29"/>
        <v>36.671999999999997</v>
      </c>
      <c r="H281" s="215" t="str">
        <f t="shared" si="35"/>
        <v>IN</v>
      </c>
      <c r="I281" s="217">
        <f t="shared" si="32"/>
        <v>8508.5140000000029</v>
      </c>
      <c r="J281" s="217">
        <f t="shared" si="33"/>
        <v>3532.6159999999963</v>
      </c>
      <c r="K281" s="381">
        <f t="shared" si="34"/>
        <v>306.68930059893057</v>
      </c>
      <c r="L281" s="422"/>
      <c r="M281" s="423"/>
      <c r="N281" s="18"/>
    </row>
    <row r="282" spans="2:14">
      <c r="B282" s="213">
        <f t="shared" si="30"/>
        <v>258</v>
      </c>
      <c r="C282" s="213"/>
      <c r="D282" s="214">
        <v>7</v>
      </c>
      <c r="E282" s="206">
        <f t="shared" si="31"/>
        <v>130</v>
      </c>
      <c r="F282" s="215">
        <v>36.06</v>
      </c>
      <c r="G282" s="215">
        <f t="shared" ref="G282:G345" si="36">F282-($E$12)</f>
        <v>35.661999999999999</v>
      </c>
      <c r="H282" s="215" t="str">
        <f t="shared" si="35"/>
        <v>IN</v>
      </c>
      <c r="I282" s="217">
        <f t="shared" si="32"/>
        <v>8544.1760000000031</v>
      </c>
      <c r="J282" s="217">
        <f t="shared" si="33"/>
        <v>3496.9539999999961</v>
      </c>
      <c r="K282" s="381">
        <f t="shared" si="34"/>
        <v>307.4550119602751</v>
      </c>
      <c r="L282" s="422"/>
      <c r="M282" s="423"/>
      <c r="N282" s="18"/>
    </row>
    <row r="283" spans="2:14">
      <c r="B283" s="213">
        <f t="shared" si="30"/>
        <v>259</v>
      </c>
      <c r="C283" s="213"/>
      <c r="D283" s="214">
        <v>7</v>
      </c>
      <c r="E283" s="206">
        <f t="shared" si="31"/>
        <v>129</v>
      </c>
      <c r="F283" s="215">
        <v>33.32</v>
      </c>
      <c r="G283" s="215">
        <f t="shared" si="36"/>
        <v>32.921999999999997</v>
      </c>
      <c r="H283" s="215" t="str">
        <f t="shared" si="35"/>
        <v>IN</v>
      </c>
      <c r="I283" s="217">
        <f t="shared" si="32"/>
        <v>8577.0980000000036</v>
      </c>
      <c r="J283" s="217">
        <f t="shared" si="33"/>
        <v>3464.0319999999956</v>
      </c>
      <c r="K283" s="381">
        <f t="shared" si="34"/>
        <v>308.16189181665402</v>
      </c>
      <c r="L283" s="422"/>
      <c r="M283" s="423"/>
      <c r="N283" s="18"/>
    </row>
    <row r="284" spans="2:14">
      <c r="B284" s="213">
        <f t="shared" ref="B284:B346" si="37">B283+1</f>
        <v>260</v>
      </c>
      <c r="C284" s="213"/>
      <c r="D284" s="214">
        <v>7</v>
      </c>
      <c r="E284" s="206">
        <f t="shared" ref="E284:E346" si="38">E283-1</f>
        <v>128</v>
      </c>
      <c r="F284" s="215">
        <v>33.14</v>
      </c>
      <c r="G284" s="215">
        <f t="shared" si="36"/>
        <v>32.741999999999997</v>
      </c>
      <c r="H284" s="215" t="str">
        <f t="shared" si="35"/>
        <v>IN</v>
      </c>
      <c r="I284" s="217">
        <f t="shared" si="32"/>
        <v>8609.8400000000038</v>
      </c>
      <c r="J284" s="217">
        <f t="shared" si="33"/>
        <v>3431.2899999999954</v>
      </c>
      <c r="K284" s="381">
        <f t="shared" si="34"/>
        <v>308.86490682964103</v>
      </c>
      <c r="L284" s="422"/>
      <c r="M284" s="423"/>
      <c r="N284" s="18"/>
    </row>
    <row r="285" spans="2:14">
      <c r="B285" s="213">
        <f t="shared" si="37"/>
        <v>261</v>
      </c>
      <c r="C285" s="213"/>
      <c r="D285" s="214">
        <v>7</v>
      </c>
      <c r="E285" s="206">
        <f t="shared" si="38"/>
        <v>127</v>
      </c>
      <c r="F285" s="215">
        <v>33.15</v>
      </c>
      <c r="G285" s="215">
        <f t="shared" si="36"/>
        <v>32.751999999999995</v>
      </c>
      <c r="H285" s="215" t="str">
        <f t="shared" si="35"/>
        <v>IN</v>
      </c>
      <c r="I285" s="217">
        <f t="shared" si="32"/>
        <v>8642.5920000000042</v>
      </c>
      <c r="J285" s="217">
        <f t="shared" si="33"/>
        <v>3398.537999999995</v>
      </c>
      <c r="K285" s="381">
        <f t="shared" si="34"/>
        <v>309.56813655614985</v>
      </c>
      <c r="L285" s="422"/>
      <c r="M285" s="423"/>
      <c r="N285" s="18"/>
    </row>
    <row r="286" spans="2:14">
      <c r="B286" s="213">
        <f t="shared" si="37"/>
        <v>262</v>
      </c>
      <c r="C286" s="213"/>
      <c r="D286" s="214">
        <v>7</v>
      </c>
      <c r="E286" s="206">
        <f t="shared" si="38"/>
        <v>126</v>
      </c>
      <c r="F286" s="215">
        <v>33.200000000000003</v>
      </c>
      <c r="G286" s="215">
        <f t="shared" si="36"/>
        <v>32.802</v>
      </c>
      <c r="H286" s="215" t="str">
        <f t="shared" si="35"/>
        <v>IN</v>
      </c>
      <c r="I286" s="217">
        <f t="shared" si="32"/>
        <v>8675.3940000000039</v>
      </c>
      <c r="J286" s="217">
        <f t="shared" si="33"/>
        <v>3365.7359999999953</v>
      </c>
      <c r="K286" s="381">
        <f t="shared" si="34"/>
        <v>310.27243985026746</v>
      </c>
      <c r="L286" s="422"/>
      <c r="M286" s="423"/>
      <c r="N286" s="18"/>
    </row>
    <row r="287" spans="2:14">
      <c r="B287" s="213">
        <f t="shared" si="37"/>
        <v>263</v>
      </c>
      <c r="C287" s="213"/>
      <c r="D287" s="214">
        <v>7</v>
      </c>
      <c r="E287" s="206">
        <f t="shared" si="38"/>
        <v>125</v>
      </c>
      <c r="F287" s="215">
        <v>33.11</v>
      </c>
      <c r="G287" s="215">
        <f t="shared" si="36"/>
        <v>32.711999999999996</v>
      </c>
      <c r="H287" s="215" t="str">
        <f t="shared" si="35"/>
        <v>IN</v>
      </c>
      <c r="I287" s="217">
        <f t="shared" si="32"/>
        <v>8708.1060000000034</v>
      </c>
      <c r="J287" s="217">
        <f t="shared" si="33"/>
        <v>3333.0239999999958</v>
      </c>
      <c r="K287" s="381">
        <f t="shared" si="34"/>
        <v>310.97481072268914</v>
      </c>
      <c r="L287" s="422"/>
      <c r="M287" s="423"/>
      <c r="N287" s="18"/>
    </row>
    <row r="288" spans="2:14">
      <c r="B288" s="213">
        <f t="shared" si="37"/>
        <v>264</v>
      </c>
      <c r="C288" s="213"/>
      <c r="D288" s="214">
        <v>7</v>
      </c>
      <c r="E288" s="206">
        <f t="shared" si="38"/>
        <v>124</v>
      </c>
      <c r="F288" s="215">
        <v>33.049999999999997</v>
      </c>
      <c r="G288" s="215">
        <f t="shared" si="36"/>
        <v>32.651999999999994</v>
      </c>
      <c r="H288" s="215" t="str">
        <f t="shared" si="35"/>
        <v>IN</v>
      </c>
      <c r="I288" s="217">
        <f t="shared" si="32"/>
        <v>8740.7580000000034</v>
      </c>
      <c r="J288" s="217">
        <f t="shared" si="33"/>
        <v>3300.3719999999958</v>
      </c>
      <c r="K288" s="381">
        <f t="shared" si="34"/>
        <v>311.67589331398023</v>
      </c>
      <c r="L288" s="422"/>
      <c r="M288" s="423"/>
      <c r="N288" s="18"/>
    </row>
    <row r="289" spans="2:14">
      <c r="B289" s="213">
        <f t="shared" si="37"/>
        <v>265</v>
      </c>
      <c r="C289" s="213"/>
      <c r="D289" s="214">
        <v>7</v>
      </c>
      <c r="E289" s="206">
        <f t="shared" si="38"/>
        <v>123</v>
      </c>
      <c r="F289" s="215">
        <v>33.28</v>
      </c>
      <c r="G289" s="215">
        <f t="shared" si="36"/>
        <v>32.881999999999998</v>
      </c>
      <c r="H289" s="215" t="str">
        <f t="shared" si="35"/>
        <v>IN</v>
      </c>
      <c r="I289" s="217">
        <f t="shared" si="32"/>
        <v>8773.6400000000031</v>
      </c>
      <c r="J289" s="217">
        <f t="shared" si="33"/>
        <v>3267.4899999999961</v>
      </c>
      <c r="K289" s="381">
        <f t="shared" si="34"/>
        <v>312.38191431627206</v>
      </c>
      <c r="L289" s="422"/>
      <c r="M289" s="423"/>
      <c r="N289" s="18"/>
    </row>
    <row r="290" spans="2:14">
      <c r="B290" s="213">
        <f t="shared" si="37"/>
        <v>266</v>
      </c>
      <c r="C290" s="213"/>
      <c r="D290" s="214">
        <v>7</v>
      </c>
      <c r="E290" s="206">
        <f t="shared" si="38"/>
        <v>122</v>
      </c>
      <c r="F290" s="215">
        <v>32.869999999999997</v>
      </c>
      <c r="G290" s="215">
        <f t="shared" si="36"/>
        <v>32.471999999999994</v>
      </c>
      <c r="H290" s="215" t="str">
        <f t="shared" si="35"/>
        <v>IN</v>
      </c>
      <c r="I290" s="217">
        <f t="shared" si="32"/>
        <v>8806.1120000000028</v>
      </c>
      <c r="J290" s="217">
        <f t="shared" si="33"/>
        <v>3235.0179999999964</v>
      </c>
      <c r="K290" s="381">
        <f t="shared" si="34"/>
        <v>313.07913206417118</v>
      </c>
      <c r="L290" s="422"/>
      <c r="M290" s="423"/>
      <c r="N290" s="18"/>
    </row>
    <row r="291" spans="2:14">
      <c r="B291" s="213">
        <f t="shared" si="37"/>
        <v>267</v>
      </c>
      <c r="C291" s="213"/>
      <c r="D291" s="214">
        <v>7</v>
      </c>
      <c r="E291" s="206">
        <f t="shared" si="38"/>
        <v>121</v>
      </c>
      <c r="F291" s="215">
        <v>33.32</v>
      </c>
      <c r="G291" s="215">
        <f t="shared" si="36"/>
        <v>32.921999999999997</v>
      </c>
      <c r="H291" s="215" t="str">
        <f t="shared" si="35"/>
        <v>IN</v>
      </c>
      <c r="I291" s="217">
        <f t="shared" si="32"/>
        <v>8839.0340000000033</v>
      </c>
      <c r="J291" s="217">
        <f t="shared" si="33"/>
        <v>3202.0959999999959</v>
      </c>
      <c r="K291" s="381">
        <f t="shared" si="34"/>
        <v>313.7860119205501</v>
      </c>
      <c r="L291" s="422"/>
      <c r="M291" s="423"/>
      <c r="N291" s="18"/>
    </row>
    <row r="292" spans="2:14">
      <c r="B292" s="213">
        <f t="shared" si="37"/>
        <v>268</v>
      </c>
      <c r="C292" s="213"/>
      <c r="D292" s="214">
        <v>7</v>
      </c>
      <c r="E292" s="206">
        <f t="shared" si="38"/>
        <v>120</v>
      </c>
      <c r="F292" s="215">
        <v>39.450000000000003</v>
      </c>
      <c r="G292" s="215">
        <f t="shared" si="36"/>
        <v>39.052</v>
      </c>
      <c r="H292" s="215" t="str">
        <f t="shared" si="35"/>
        <v>IN</v>
      </c>
      <c r="I292" s="217">
        <f t="shared" si="32"/>
        <v>8878.086000000003</v>
      </c>
      <c r="J292" s="217">
        <f t="shared" si="33"/>
        <v>3163.0439999999962</v>
      </c>
      <c r="K292" s="381">
        <f t="shared" si="34"/>
        <v>314.62451116577552</v>
      </c>
      <c r="L292" s="422"/>
      <c r="M292" s="423"/>
      <c r="N292" s="18"/>
    </row>
    <row r="293" spans="2:14">
      <c r="B293" s="213">
        <f t="shared" si="37"/>
        <v>269</v>
      </c>
      <c r="C293" s="213"/>
      <c r="D293" s="214">
        <v>7</v>
      </c>
      <c r="E293" s="206">
        <f t="shared" si="38"/>
        <v>119</v>
      </c>
      <c r="F293" s="215">
        <v>37.53</v>
      </c>
      <c r="G293" s="215">
        <f t="shared" si="36"/>
        <v>37.131999999999998</v>
      </c>
      <c r="H293" s="215" t="str">
        <f t="shared" si="35"/>
        <v>IN</v>
      </c>
      <c r="I293" s="217">
        <f t="shared" si="32"/>
        <v>8915.2180000000026</v>
      </c>
      <c r="J293" s="217">
        <f t="shared" si="33"/>
        <v>3125.9119999999966</v>
      </c>
      <c r="K293" s="381">
        <f t="shared" si="34"/>
        <v>315.42178541482053</v>
      </c>
      <c r="L293" s="422"/>
      <c r="M293" s="423"/>
      <c r="N293" s="18"/>
    </row>
    <row r="294" spans="2:14">
      <c r="B294" s="213">
        <f t="shared" si="37"/>
        <v>270</v>
      </c>
      <c r="C294" s="213"/>
      <c r="D294" s="214">
        <v>7</v>
      </c>
      <c r="E294" s="206">
        <f t="shared" si="38"/>
        <v>118</v>
      </c>
      <c r="F294" s="215">
        <v>35.71</v>
      </c>
      <c r="G294" s="215">
        <f t="shared" si="36"/>
        <v>35.311999999999998</v>
      </c>
      <c r="H294" s="215" t="str">
        <f t="shared" si="35"/>
        <v>IN</v>
      </c>
      <c r="I294" s="217">
        <f t="shared" si="32"/>
        <v>8950.5300000000025</v>
      </c>
      <c r="J294" s="217">
        <f t="shared" si="33"/>
        <v>3090.5999999999967</v>
      </c>
      <c r="K294" s="381">
        <f t="shared" si="34"/>
        <v>316.17998180290306</v>
      </c>
      <c r="L294" s="422"/>
      <c r="M294" s="423"/>
      <c r="N294" s="18"/>
    </row>
    <row r="295" spans="2:14">
      <c r="B295" s="213">
        <f t="shared" si="37"/>
        <v>271</v>
      </c>
      <c r="C295" s="213"/>
      <c r="D295" s="214">
        <v>7</v>
      </c>
      <c r="E295" s="206">
        <f t="shared" si="38"/>
        <v>117</v>
      </c>
      <c r="F295" s="215">
        <v>34.78</v>
      </c>
      <c r="G295" s="215">
        <f t="shared" si="36"/>
        <v>34.381999999999998</v>
      </c>
      <c r="H295" s="215" t="str">
        <f t="shared" si="35"/>
        <v>IN</v>
      </c>
      <c r="I295" s="217">
        <f t="shared" si="32"/>
        <v>8984.9120000000021</v>
      </c>
      <c r="J295" s="217">
        <f t="shared" si="33"/>
        <v>3056.2179999999971</v>
      </c>
      <c r="K295" s="381">
        <f t="shared" si="34"/>
        <v>316.91820983346071</v>
      </c>
      <c r="L295" s="422"/>
      <c r="M295" s="423"/>
      <c r="N295" s="18"/>
    </row>
    <row r="296" spans="2:14">
      <c r="B296" s="213">
        <f t="shared" si="37"/>
        <v>272</v>
      </c>
      <c r="C296" s="213"/>
      <c r="D296" s="214">
        <v>7</v>
      </c>
      <c r="E296" s="206">
        <f t="shared" si="38"/>
        <v>116</v>
      </c>
      <c r="F296" s="215">
        <v>35.69</v>
      </c>
      <c r="G296" s="215">
        <f t="shared" si="36"/>
        <v>35.291999999999994</v>
      </c>
      <c r="H296" s="215" t="str">
        <f t="shared" si="35"/>
        <v>IN</v>
      </c>
      <c r="I296" s="217">
        <f t="shared" si="32"/>
        <v>9020.2040000000015</v>
      </c>
      <c r="J296" s="217">
        <f t="shared" si="33"/>
        <v>3020.9259999999977</v>
      </c>
      <c r="K296" s="381">
        <f t="shared" si="34"/>
        <v>317.67597679449966</v>
      </c>
      <c r="L296" s="422"/>
      <c r="M296" s="423"/>
      <c r="N296" s="18"/>
    </row>
    <row r="297" spans="2:14">
      <c r="B297" s="213">
        <f t="shared" si="37"/>
        <v>273</v>
      </c>
      <c r="C297" s="213"/>
      <c r="D297" s="214">
        <v>7</v>
      </c>
      <c r="E297" s="206">
        <f t="shared" si="38"/>
        <v>115</v>
      </c>
      <c r="F297" s="215">
        <v>38.07</v>
      </c>
      <c r="G297" s="215">
        <f t="shared" si="36"/>
        <v>37.671999999999997</v>
      </c>
      <c r="H297" s="215" t="str">
        <f t="shared" si="35"/>
        <v>IN</v>
      </c>
      <c r="I297" s="217">
        <f t="shared" si="32"/>
        <v>9057.876000000002</v>
      </c>
      <c r="J297" s="217">
        <f t="shared" si="33"/>
        <v>2983.2539999999972</v>
      </c>
      <c r="K297" s="381">
        <f t="shared" si="34"/>
        <v>318.48484557372046</v>
      </c>
      <c r="L297" s="422"/>
      <c r="M297" s="423"/>
      <c r="N297" s="18"/>
    </row>
    <row r="298" spans="2:14">
      <c r="B298" s="213">
        <f t="shared" si="37"/>
        <v>274</v>
      </c>
      <c r="C298" s="213"/>
      <c r="D298" s="214">
        <v>7</v>
      </c>
      <c r="E298" s="206">
        <f t="shared" si="38"/>
        <v>114</v>
      </c>
      <c r="F298" s="215">
        <v>35.729999999999997</v>
      </c>
      <c r="G298" s="215">
        <f t="shared" si="36"/>
        <v>35.331999999999994</v>
      </c>
      <c r="H298" s="215" t="str">
        <f t="shared" si="35"/>
        <v>IN</v>
      </c>
      <c r="I298" s="217">
        <f t="shared" si="32"/>
        <v>9093.2080000000024</v>
      </c>
      <c r="J298" s="217">
        <f t="shared" si="33"/>
        <v>2947.9219999999968</v>
      </c>
      <c r="K298" s="381">
        <f t="shared" si="34"/>
        <v>319.2434713888465</v>
      </c>
      <c r="L298" s="422"/>
      <c r="M298" s="423"/>
      <c r="N298" s="18"/>
    </row>
    <row r="299" spans="2:14">
      <c r="B299" s="213">
        <f t="shared" si="37"/>
        <v>275</v>
      </c>
      <c r="C299" s="213"/>
      <c r="D299" s="214">
        <v>7</v>
      </c>
      <c r="E299" s="206">
        <f t="shared" si="38"/>
        <v>113</v>
      </c>
      <c r="F299" s="215">
        <v>37.82</v>
      </c>
      <c r="G299" s="215">
        <f t="shared" si="36"/>
        <v>37.421999999999997</v>
      </c>
      <c r="H299" s="215" t="str">
        <f t="shared" si="35"/>
        <v>IN</v>
      </c>
      <c r="I299" s="217">
        <f t="shared" si="32"/>
        <v>9130.6300000000028</v>
      </c>
      <c r="J299" s="217">
        <f t="shared" si="33"/>
        <v>2910.4999999999964</v>
      </c>
      <c r="K299" s="381">
        <f t="shared" si="34"/>
        <v>320.04697233002298</v>
      </c>
      <c r="L299" s="422"/>
      <c r="M299" s="423"/>
      <c r="N299" s="18"/>
    </row>
    <row r="300" spans="2:14">
      <c r="B300" s="213">
        <f t="shared" si="37"/>
        <v>276</v>
      </c>
      <c r="C300" s="213"/>
      <c r="D300" s="214">
        <v>7</v>
      </c>
      <c r="E300" s="206">
        <f t="shared" si="38"/>
        <v>112</v>
      </c>
      <c r="F300" s="215">
        <v>37.369999999999997</v>
      </c>
      <c r="G300" s="215">
        <f t="shared" si="36"/>
        <v>36.971999999999994</v>
      </c>
      <c r="H300" s="215" t="str">
        <f t="shared" si="35"/>
        <v>IN</v>
      </c>
      <c r="I300" s="217">
        <f t="shared" si="32"/>
        <v>9167.6020000000026</v>
      </c>
      <c r="J300" s="217">
        <f t="shared" si="33"/>
        <v>2873.5279999999966</v>
      </c>
      <c r="K300" s="381">
        <f t="shared" si="34"/>
        <v>320.84081116271966</v>
      </c>
      <c r="L300" s="422"/>
      <c r="M300" s="423"/>
      <c r="N300" s="18"/>
    </row>
    <row r="301" spans="2:14">
      <c r="B301" s="213">
        <f t="shared" si="37"/>
        <v>277</v>
      </c>
      <c r="C301" s="213"/>
      <c r="D301" s="214">
        <v>7</v>
      </c>
      <c r="E301" s="206">
        <f t="shared" si="38"/>
        <v>111</v>
      </c>
      <c r="F301" s="215">
        <v>35.630000000000003</v>
      </c>
      <c r="G301" s="215">
        <f t="shared" si="36"/>
        <v>35.231999999999999</v>
      </c>
      <c r="H301" s="215" t="str">
        <f t="shared" si="35"/>
        <v>IN</v>
      </c>
      <c r="I301" s="217">
        <f t="shared" si="32"/>
        <v>9202.8340000000026</v>
      </c>
      <c r="J301" s="217">
        <f t="shared" si="33"/>
        <v>2838.2959999999966</v>
      </c>
      <c r="K301" s="381">
        <f t="shared" si="34"/>
        <v>321.59728984262802</v>
      </c>
      <c r="L301" s="422"/>
      <c r="M301" s="423"/>
      <c r="N301" s="18"/>
    </row>
    <row r="302" spans="2:14">
      <c r="B302" s="213">
        <f t="shared" si="37"/>
        <v>278</v>
      </c>
      <c r="C302" s="213"/>
      <c r="D302" s="214">
        <v>7</v>
      </c>
      <c r="E302" s="206">
        <f t="shared" si="38"/>
        <v>110</v>
      </c>
      <c r="F302" s="215">
        <v>37.049999999999997</v>
      </c>
      <c r="G302" s="215">
        <f t="shared" si="36"/>
        <v>36.651999999999994</v>
      </c>
      <c r="H302" s="215" t="str">
        <f t="shared" si="35"/>
        <v>IN</v>
      </c>
      <c r="I302" s="217">
        <f t="shared" si="32"/>
        <v>9239.4860000000026</v>
      </c>
      <c r="J302" s="217">
        <f t="shared" si="33"/>
        <v>2801.6439999999966</v>
      </c>
      <c r="K302" s="381">
        <f t="shared" si="34"/>
        <v>322.38425784262802</v>
      </c>
      <c r="L302" s="422"/>
      <c r="M302" s="423"/>
      <c r="N302" s="18"/>
    </row>
    <row r="303" spans="2:14">
      <c r="B303" s="213">
        <f t="shared" si="37"/>
        <v>279</v>
      </c>
      <c r="C303" s="213"/>
      <c r="D303" s="214">
        <v>7</v>
      </c>
      <c r="E303" s="206">
        <f t="shared" si="38"/>
        <v>109</v>
      </c>
      <c r="F303" s="215">
        <v>38.81</v>
      </c>
      <c r="G303" s="215">
        <f t="shared" si="36"/>
        <v>38.411999999999999</v>
      </c>
      <c r="H303" s="215" t="str">
        <f t="shared" si="35"/>
        <v>IN</v>
      </c>
      <c r="I303" s="217">
        <f t="shared" si="32"/>
        <v>9277.8980000000029</v>
      </c>
      <c r="J303" s="217">
        <f t="shared" si="33"/>
        <v>2763.2319999999963</v>
      </c>
      <c r="K303" s="381">
        <f t="shared" si="34"/>
        <v>323.20901542245997</v>
      </c>
      <c r="L303" s="422"/>
      <c r="M303" s="423"/>
      <c r="N303" s="18"/>
    </row>
    <row r="304" spans="2:14">
      <c r="B304" s="213">
        <f t="shared" si="37"/>
        <v>280</v>
      </c>
      <c r="C304" s="213"/>
      <c r="D304" s="214">
        <v>7</v>
      </c>
      <c r="E304" s="206">
        <f t="shared" si="38"/>
        <v>108</v>
      </c>
      <c r="F304" s="215">
        <v>37.07</v>
      </c>
      <c r="G304" s="215">
        <f t="shared" si="36"/>
        <v>36.671999999999997</v>
      </c>
      <c r="H304" s="215" t="str">
        <f t="shared" si="35"/>
        <v>IN</v>
      </c>
      <c r="I304" s="217">
        <f t="shared" si="32"/>
        <v>9314.5700000000033</v>
      </c>
      <c r="J304" s="217">
        <f t="shared" si="33"/>
        <v>2726.5599999999959</v>
      </c>
      <c r="K304" s="381">
        <f t="shared" si="34"/>
        <v>323.99641284950349</v>
      </c>
      <c r="L304" s="422"/>
      <c r="M304" s="423"/>
      <c r="N304" s="18"/>
    </row>
    <row r="305" spans="2:14">
      <c r="B305" s="213">
        <f t="shared" si="37"/>
        <v>281</v>
      </c>
      <c r="C305" s="213"/>
      <c r="D305" s="214">
        <v>7</v>
      </c>
      <c r="E305" s="206">
        <f t="shared" si="38"/>
        <v>107</v>
      </c>
      <c r="F305" s="215">
        <v>36.15</v>
      </c>
      <c r="G305" s="215">
        <f t="shared" si="36"/>
        <v>35.751999999999995</v>
      </c>
      <c r="H305" s="215" t="str">
        <f t="shared" si="35"/>
        <v>IN</v>
      </c>
      <c r="I305" s="217">
        <f t="shared" si="32"/>
        <v>9350.3220000000038</v>
      </c>
      <c r="J305" s="217">
        <f t="shared" si="33"/>
        <v>2690.8079999999954</v>
      </c>
      <c r="K305" s="381">
        <f t="shared" si="34"/>
        <v>324.764056632544</v>
      </c>
      <c r="L305" s="422"/>
      <c r="M305" s="423"/>
      <c r="N305" s="18"/>
    </row>
    <row r="306" spans="2:14">
      <c r="B306" s="213">
        <f t="shared" si="37"/>
        <v>282</v>
      </c>
      <c r="C306" s="213"/>
      <c r="D306" s="214">
        <v>7</v>
      </c>
      <c r="E306" s="206">
        <f t="shared" si="38"/>
        <v>106</v>
      </c>
      <c r="F306" s="215">
        <v>36.200000000000003</v>
      </c>
      <c r="G306" s="215">
        <f t="shared" si="36"/>
        <v>35.802</v>
      </c>
      <c r="H306" s="215" t="str">
        <f t="shared" si="35"/>
        <v>IN</v>
      </c>
      <c r="I306" s="217">
        <f t="shared" si="32"/>
        <v>9386.1240000000034</v>
      </c>
      <c r="J306" s="217">
        <f t="shared" si="33"/>
        <v>2655.0059999999958</v>
      </c>
      <c r="K306" s="381">
        <f t="shared" si="34"/>
        <v>325.53277398319335</v>
      </c>
      <c r="L306" s="452"/>
      <c r="M306" s="453"/>
      <c r="N306" s="18"/>
    </row>
    <row r="307" spans="2:14">
      <c r="B307" s="213">
        <f t="shared" si="37"/>
        <v>283</v>
      </c>
      <c r="C307" s="213"/>
      <c r="D307" s="214">
        <v>7</v>
      </c>
      <c r="E307" s="206">
        <f t="shared" si="38"/>
        <v>105</v>
      </c>
      <c r="F307" s="215">
        <v>36.840000000000003</v>
      </c>
      <c r="G307" s="215">
        <f t="shared" si="36"/>
        <v>36.442</v>
      </c>
      <c r="H307" s="215" t="str">
        <f t="shared" si="35"/>
        <v>IN</v>
      </c>
      <c r="I307" s="217">
        <f t="shared" si="32"/>
        <v>9422.5660000000025</v>
      </c>
      <c r="J307" s="217">
        <f t="shared" si="33"/>
        <v>2618.5639999999967</v>
      </c>
      <c r="K307" s="381">
        <f t="shared" si="34"/>
        <v>326.31523299923612</v>
      </c>
      <c r="L307" s="308"/>
      <c r="M307" s="309"/>
      <c r="N307" s="18"/>
    </row>
    <row r="308" spans="2:14">
      <c r="B308" s="213">
        <f t="shared" si="37"/>
        <v>284</v>
      </c>
      <c r="C308" s="213"/>
      <c r="D308" s="214">
        <v>7</v>
      </c>
      <c r="E308" s="206">
        <f t="shared" si="38"/>
        <v>104</v>
      </c>
      <c r="F308" s="215">
        <v>36.619999999999997</v>
      </c>
      <c r="G308" s="215">
        <f t="shared" si="36"/>
        <v>36.221999999999994</v>
      </c>
      <c r="H308" s="215" t="str">
        <f t="shared" si="35"/>
        <v>IN</v>
      </c>
      <c r="I308" s="217">
        <f t="shared" si="32"/>
        <v>9458.7880000000023</v>
      </c>
      <c r="J308" s="217">
        <f t="shared" si="33"/>
        <v>2582.3419999999969</v>
      </c>
      <c r="K308" s="381">
        <f t="shared" si="34"/>
        <v>327.09296831779989</v>
      </c>
      <c r="L308" s="308"/>
      <c r="M308" s="309"/>
      <c r="N308" s="18"/>
    </row>
    <row r="309" spans="2:14">
      <c r="B309" s="213">
        <f t="shared" si="37"/>
        <v>285</v>
      </c>
      <c r="C309" s="213"/>
      <c r="D309" s="214">
        <v>7</v>
      </c>
      <c r="E309" s="206">
        <f t="shared" si="38"/>
        <v>103</v>
      </c>
      <c r="F309" s="215">
        <v>35.72</v>
      </c>
      <c r="G309" s="215">
        <f t="shared" si="36"/>
        <v>35.321999999999996</v>
      </c>
      <c r="H309" s="215" t="str">
        <f t="shared" si="35"/>
        <v>IN</v>
      </c>
      <c r="I309" s="217">
        <f t="shared" si="32"/>
        <v>9494.1100000000024</v>
      </c>
      <c r="J309" s="217">
        <f t="shared" si="33"/>
        <v>2547.0199999999968</v>
      </c>
      <c r="K309" s="381">
        <f t="shared" si="34"/>
        <v>327.85137941940422</v>
      </c>
      <c r="L309" s="308"/>
      <c r="M309" s="309"/>
      <c r="N309" s="18"/>
    </row>
    <row r="310" spans="2:14">
      <c r="B310" s="213">
        <f t="shared" si="37"/>
        <v>286</v>
      </c>
      <c r="C310" s="213"/>
      <c r="D310" s="214">
        <v>7</v>
      </c>
      <c r="E310" s="206">
        <f t="shared" si="38"/>
        <v>102</v>
      </c>
      <c r="F310" s="215">
        <v>34.96</v>
      </c>
      <c r="G310" s="215">
        <f t="shared" si="36"/>
        <v>34.561999999999998</v>
      </c>
      <c r="H310" s="215" t="str">
        <f t="shared" si="35"/>
        <v>IN</v>
      </c>
      <c r="I310" s="217">
        <f t="shared" si="32"/>
        <v>9528.6720000000023</v>
      </c>
      <c r="J310" s="217">
        <f t="shared" si="33"/>
        <v>2512.4579999999969</v>
      </c>
      <c r="K310" s="381">
        <f t="shared" si="34"/>
        <v>328.59347229335378</v>
      </c>
      <c r="L310" s="308"/>
      <c r="M310" s="309"/>
      <c r="N310" s="18"/>
    </row>
    <row r="311" spans="2:14">
      <c r="B311" s="213">
        <f t="shared" si="37"/>
        <v>287</v>
      </c>
      <c r="C311" s="213"/>
      <c r="D311" s="214">
        <v>7</v>
      </c>
      <c r="E311" s="206">
        <f t="shared" si="38"/>
        <v>101</v>
      </c>
      <c r="F311" s="215">
        <v>35.299999999999997</v>
      </c>
      <c r="G311" s="215">
        <f t="shared" si="36"/>
        <v>34.901999999999994</v>
      </c>
      <c r="H311" s="215" t="str">
        <f t="shared" si="35"/>
        <v>IN</v>
      </c>
      <c r="I311" s="217">
        <f t="shared" si="32"/>
        <v>9563.5740000000023</v>
      </c>
      <c r="J311" s="217">
        <f t="shared" si="33"/>
        <v>2477.5559999999969</v>
      </c>
      <c r="K311" s="381">
        <f t="shared" si="34"/>
        <v>329.34286542704365</v>
      </c>
      <c r="L311" s="308"/>
      <c r="M311" s="309"/>
      <c r="N311" s="18"/>
    </row>
    <row r="312" spans="2:14">
      <c r="B312" s="213">
        <f t="shared" si="37"/>
        <v>288</v>
      </c>
      <c r="C312" s="213"/>
      <c r="D312" s="214">
        <v>7</v>
      </c>
      <c r="E312" s="206">
        <f t="shared" si="38"/>
        <v>100</v>
      </c>
      <c r="F312" s="215">
        <v>37.21</v>
      </c>
      <c r="G312" s="215">
        <f t="shared" si="36"/>
        <v>36.811999999999998</v>
      </c>
      <c r="H312" s="215" t="str">
        <f t="shared" si="35"/>
        <v>IN</v>
      </c>
      <c r="I312" s="217">
        <f t="shared" si="32"/>
        <v>9600.3860000000022</v>
      </c>
      <c r="J312" s="217">
        <f t="shared" si="33"/>
        <v>2440.743999999997</v>
      </c>
      <c r="K312" s="381">
        <f t="shared" si="34"/>
        <v>330.13326884339193</v>
      </c>
      <c r="L312" s="308"/>
      <c r="M312" s="309"/>
      <c r="N312" s="18"/>
    </row>
    <row r="313" spans="2:14">
      <c r="B313" s="213">
        <f t="shared" si="37"/>
        <v>289</v>
      </c>
      <c r="C313" s="213"/>
      <c r="D313" s="214">
        <v>7</v>
      </c>
      <c r="E313" s="206">
        <f t="shared" si="38"/>
        <v>99</v>
      </c>
      <c r="F313" s="215">
        <v>37.950000000000003</v>
      </c>
      <c r="G313" s="215">
        <f t="shared" si="36"/>
        <v>37.552</v>
      </c>
      <c r="H313" s="215" t="str">
        <f t="shared" si="35"/>
        <v>IN</v>
      </c>
      <c r="I313" s="217">
        <f t="shared" si="32"/>
        <v>9637.9380000000019</v>
      </c>
      <c r="J313" s="217">
        <f t="shared" si="33"/>
        <v>2403.1919999999973</v>
      </c>
      <c r="K313" s="381">
        <f t="shared" si="34"/>
        <v>330.93956106035148</v>
      </c>
      <c r="L313" s="451"/>
      <c r="M313" s="451"/>
      <c r="N313" s="18"/>
    </row>
    <row r="314" spans="2:14">
      <c r="B314" s="213">
        <f t="shared" si="37"/>
        <v>290</v>
      </c>
      <c r="C314" s="213"/>
      <c r="D314" s="214">
        <v>7</v>
      </c>
      <c r="E314" s="206">
        <f t="shared" si="38"/>
        <v>98</v>
      </c>
      <c r="F314" s="215">
        <v>37.119999999999997</v>
      </c>
      <c r="G314" s="215">
        <f t="shared" si="36"/>
        <v>36.721999999999994</v>
      </c>
      <c r="H314" s="215" t="str">
        <f t="shared" si="35"/>
        <v>IN</v>
      </c>
      <c r="I314" s="217">
        <f t="shared" si="32"/>
        <v>9674.6600000000017</v>
      </c>
      <c r="J314" s="217">
        <f t="shared" si="33"/>
        <v>2366.4699999999975</v>
      </c>
      <c r="K314" s="381">
        <f t="shared" si="34"/>
        <v>331.72803205500384</v>
      </c>
      <c r="L314" s="429"/>
      <c r="M314" s="429"/>
      <c r="N314" s="18"/>
    </row>
    <row r="315" spans="2:14">
      <c r="B315" s="213">
        <f t="shared" si="37"/>
        <v>291</v>
      </c>
      <c r="C315" s="213"/>
      <c r="D315" s="214">
        <v>7</v>
      </c>
      <c r="E315" s="206">
        <f t="shared" si="38"/>
        <v>97</v>
      </c>
      <c r="F315" s="215">
        <v>36.869999999999997</v>
      </c>
      <c r="G315" s="215">
        <f t="shared" si="36"/>
        <v>36.471999999999994</v>
      </c>
      <c r="H315" s="215" t="str">
        <f t="shared" si="35"/>
        <v>IN</v>
      </c>
      <c r="I315" s="217">
        <f t="shared" si="32"/>
        <v>9711.1320000000014</v>
      </c>
      <c r="J315" s="217">
        <f t="shared" si="33"/>
        <v>2329.9979999999978</v>
      </c>
      <c r="K315" s="381">
        <f t="shared" si="34"/>
        <v>332.51113521161199</v>
      </c>
      <c r="L315" s="429"/>
      <c r="M315" s="429"/>
      <c r="N315" s="18"/>
    </row>
    <row r="316" spans="2:14">
      <c r="B316" s="213">
        <f t="shared" si="37"/>
        <v>292</v>
      </c>
      <c r="C316" s="213"/>
      <c r="D316" s="214">
        <v>7</v>
      </c>
      <c r="E316" s="206">
        <f t="shared" si="38"/>
        <v>96</v>
      </c>
      <c r="F316" s="215">
        <v>38.520000000000003</v>
      </c>
      <c r="G316" s="215">
        <f t="shared" si="36"/>
        <v>38.122</v>
      </c>
      <c r="H316" s="215" t="str">
        <f t="shared" si="35"/>
        <v>IN</v>
      </c>
      <c r="I316" s="217">
        <f t="shared" si="32"/>
        <v>9749.2540000000008</v>
      </c>
      <c r="J316" s="217">
        <f t="shared" si="33"/>
        <v>2291.8759999999984</v>
      </c>
      <c r="K316" s="381">
        <f t="shared" si="34"/>
        <v>333.32966609931248</v>
      </c>
      <c r="L316" s="429"/>
      <c r="M316" s="429"/>
      <c r="N316" s="18"/>
    </row>
    <row r="317" spans="2:14">
      <c r="B317" s="213">
        <f t="shared" si="37"/>
        <v>293</v>
      </c>
      <c r="C317" s="213"/>
      <c r="D317" s="214">
        <v>7</v>
      </c>
      <c r="E317" s="206">
        <f t="shared" si="38"/>
        <v>95</v>
      </c>
      <c r="F317" s="215">
        <v>36.380000000000003</v>
      </c>
      <c r="G317" s="215">
        <f t="shared" si="36"/>
        <v>35.981999999999999</v>
      </c>
      <c r="H317" s="215" t="str">
        <f t="shared" si="35"/>
        <v>IN</v>
      </c>
      <c r="I317" s="217">
        <f t="shared" si="32"/>
        <v>9785.2360000000008</v>
      </c>
      <c r="J317" s="217">
        <f t="shared" si="33"/>
        <v>2255.8939999999984</v>
      </c>
      <c r="K317" s="381">
        <f t="shared" si="34"/>
        <v>334.10224829335374</v>
      </c>
      <c r="L317" s="451"/>
      <c r="M317" s="451"/>
      <c r="N317" s="18"/>
    </row>
    <row r="318" spans="2:14">
      <c r="B318" s="213">
        <f t="shared" si="37"/>
        <v>294</v>
      </c>
      <c r="C318" s="213"/>
      <c r="D318" s="214">
        <v>7</v>
      </c>
      <c r="E318" s="206">
        <f t="shared" si="38"/>
        <v>94</v>
      </c>
      <c r="F318" s="215">
        <v>35.58</v>
      </c>
      <c r="G318" s="215">
        <f t="shared" si="36"/>
        <v>35.181999999999995</v>
      </c>
      <c r="H318" s="215" t="str">
        <f t="shared" si="35"/>
        <v>IN</v>
      </c>
      <c r="I318" s="217">
        <f t="shared" si="32"/>
        <v>9820.4180000000015</v>
      </c>
      <c r="J318" s="217">
        <f t="shared" si="33"/>
        <v>2220.7119999999977</v>
      </c>
      <c r="K318" s="381">
        <f t="shared" si="34"/>
        <v>334.8576534056532</v>
      </c>
      <c r="L318" s="451"/>
      <c r="M318" s="451"/>
      <c r="N318" s="18"/>
    </row>
    <row r="319" spans="2:14">
      <c r="B319" s="213">
        <f t="shared" si="37"/>
        <v>295</v>
      </c>
      <c r="C319" s="213"/>
      <c r="D319" s="214">
        <v>7</v>
      </c>
      <c r="E319" s="206">
        <f t="shared" si="38"/>
        <v>93</v>
      </c>
      <c r="F319" s="215">
        <v>37.75</v>
      </c>
      <c r="G319" s="215">
        <f t="shared" si="36"/>
        <v>37.351999999999997</v>
      </c>
      <c r="H319" s="215" t="str">
        <f t="shared" si="35"/>
        <v>IN</v>
      </c>
      <c r="I319" s="217">
        <f t="shared" si="32"/>
        <v>9857.7700000000023</v>
      </c>
      <c r="J319" s="217">
        <f t="shared" si="33"/>
        <v>2183.3599999999969</v>
      </c>
      <c r="K319" s="381">
        <f t="shared" si="34"/>
        <v>335.65965135217732</v>
      </c>
      <c r="L319" s="429"/>
      <c r="M319" s="429"/>
      <c r="N319" s="18"/>
    </row>
    <row r="320" spans="2:14">
      <c r="B320" s="213">
        <f t="shared" si="37"/>
        <v>296</v>
      </c>
      <c r="C320" s="213"/>
      <c r="D320" s="214">
        <v>7</v>
      </c>
      <c r="E320" s="206">
        <f t="shared" si="38"/>
        <v>92</v>
      </c>
      <c r="F320" s="215">
        <v>37.78</v>
      </c>
      <c r="G320" s="215">
        <f t="shared" si="36"/>
        <v>37.381999999999998</v>
      </c>
      <c r="H320" s="215" t="str">
        <f t="shared" si="35"/>
        <v>IN</v>
      </c>
      <c r="I320" s="217">
        <f t="shared" si="32"/>
        <v>9895.1520000000019</v>
      </c>
      <c r="J320" s="217">
        <f t="shared" si="33"/>
        <v>2145.9779999999973</v>
      </c>
      <c r="K320" s="381">
        <f t="shared" si="34"/>
        <v>336.46229343926666</v>
      </c>
      <c r="L320" s="429"/>
      <c r="M320" s="429"/>
      <c r="N320" s="18"/>
    </row>
    <row r="321" spans="2:14">
      <c r="B321" s="213">
        <f t="shared" si="37"/>
        <v>297</v>
      </c>
      <c r="C321" s="213"/>
      <c r="D321" s="214">
        <v>7</v>
      </c>
      <c r="E321" s="206">
        <f t="shared" si="38"/>
        <v>91</v>
      </c>
      <c r="F321" s="215">
        <v>36.9</v>
      </c>
      <c r="G321" s="215">
        <f t="shared" si="36"/>
        <v>36.501999999999995</v>
      </c>
      <c r="H321" s="215" t="str">
        <f t="shared" si="35"/>
        <v>IN</v>
      </c>
      <c r="I321" s="217">
        <f t="shared" si="32"/>
        <v>9931.6540000000023</v>
      </c>
      <c r="J321" s="217">
        <f t="shared" si="33"/>
        <v>2109.4759999999969</v>
      </c>
      <c r="K321" s="381">
        <f t="shared" si="34"/>
        <v>337.24604073644014</v>
      </c>
      <c r="L321" s="429"/>
      <c r="M321" s="429"/>
      <c r="N321" s="18"/>
    </row>
    <row r="322" spans="2:14">
      <c r="B322" s="213">
        <f t="shared" si="37"/>
        <v>298</v>
      </c>
      <c r="C322" s="213"/>
      <c r="D322" s="214">
        <v>7</v>
      </c>
      <c r="E322" s="206">
        <f t="shared" si="38"/>
        <v>90</v>
      </c>
      <c r="F322" s="215">
        <v>37.15</v>
      </c>
      <c r="G322" s="215">
        <f t="shared" si="36"/>
        <v>36.751999999999995</v>
      </c>
      <c r="H322" s="215" t="str">
        <f t="shared" si="35"/>
        <v>IN</v>
      </c>
      <c r="I322" s="217">
        <f t="shared" si="32"/>
        <v>9968.4060000000027</v>
      </c>
      <c r="J322" s="217">
        <f t="shared" si="33"/>
        <v>2072.7239999999965</v>
      </c>
      <c r="K322" s="381">
        <f t="shared" si="34"/>
        <v>338.03515587165782</v>
      </c>
      <c r="L322" s="429"/>
      <c r="M322" s="429"/>
      <c r="N322" s="18"/>
    </row>
    <row r="323" spans="2:14">
      <c r="B323" s="213">
        <f t="shared" si="37"/>
        <v>299</v>
      </c>
      <c r="C323" s="213"/>
      <c r="D323" s="214">
        <v>7</v>
      </c>
      <c r="E323" s="206">
        <f t="shared" si="38"/>
        <v>89</v>
      </c>
      <c r="F323" s="215">
        <v>36.51</v>
      </c>
      <c r="G323" s="215">
        <f t="shared" si="36"/>
        <v>36.111999999999995</v>
      </c>
      <c r="H323" s="215" t="str">
        <f t="shared" si="35"/>
        <v>IN</v>
      </c>
      <c r="I323" s="217">
        <f t="shared" si="32"/>
        <v>10004.518000000002</v>
      </c>
      <c r="J323" s="217">
        <f t="shared" si="33"/>
        <v>2036.6119999999974</v>
      </c>
      <c r="K323" s="381">
        <f t="shared" si="34"/>
        <v>338.81052934148209</v>
      </c>
      <c r="L323" s="429"/>
      <c r="M323" s="429"/>
      <c r="N323" s="18"/>
    </row>
    <row r="324" spans="2:14">
      <c r="B324" s="213">
        <f t="shared" si="37"/>
        <v>300</v>
      </c>
      <c r="C324" s="216"/>
      <c r="D324" s="214">
        <v>7</v>
      </c>
      <c r="E324" s="206">
        <f t="shared" si="38"/>
        <v>88</v>
      </c>
      <c r="F324" s="215">
        <v>38.03</v>
      </c>
      <c r="G324" s="215">
        <f t="shared" si="36"/>
        <v>37.631999999999998</v>
      </c>
      <c r="H324" s="215" t="str">
        <f t="shared" si="35"/>
        <v>IN</v>
      </c>
      <c r="I324" s="217">
        <f t="shared" si="32"/>
        <v>10042.150000000001</v>
      </c>
      <c r="J324" s="217">
        <f t="shared" si="33"/>
        <v>1998.9799999999977</v>
      </c>
      <c r="K324" s="381">
        <f t="shared" si="34"/>
        <v>339.61853926661576</v>
      </c>
      <c r="L324" s="429"/>
      <c r="M324" s="429"/>
      <c r="N324" s="18"/>
    </row>
    <row r="325" spans="2:14">
      <c r="B325" s="213">
        <f t="shared" si="37"/>
        <v>301</v>
      </c>
      <c r="C325" s="213"/>
      <c r="D325" s="214">
        <v>7</v>
      </c>
      <c r="E325" s="206">
        <f t="shared" si="38"/>
        <v>87</v>
      </c>
      <c r="F325" s="215">
        <v>36.22</v>
      </c>
      <c r="G325" s="215">
        <f t="shared" si="36"/>
        <v>35.821999999999996</v>
      </c>
      <c r="H325" s="215" t="str">
        <f t="shared" si="35"/>
        <v>IN</v>
      </c>
      <c r="I325" s="217">
        <f t="shared" si="32"/>
        <v>10077.972000000002</v>
      </c>
      <c r="J325" s="217">
        <f t="shared" si="33"/>
        <v>1963.1579999999976</v>
      </c>
      <c r="K325" s="381">
        <f t="shared" si="34"/>
        <v>340.38768604430868</v>
      </c>
      <c r="L325" s="429"/>
      <c r="M325" s="429"/>
      <c r="N325" s="18"/>
    </row>
    <row r="326" spans="2:14">
      <c r="B326" s="213">
        <f t="shared" si="37"/>
        <v>302</v>
      </c>
      <c r="C326" s="213"/>
      <c r="D326" s="214">
        <v>7</v>
      </c>
      <c r="E326" s="206">
        <f t="shared" si="38"/>
        <v>86</v>
      </c>
      <c r="F326" s="215">
        <v>35.72</v>
      </c>
      <c r="G326" s="215">
        <f t="shared" si="36"/>
        <v>35.321999999999996</v>
      </c>
      <c r="H326" s="215" t="str">
        <f t="shared" si="35"/>
        <v>IN</v>
      </c>
      <c r="I326" s="217">
        <f t="shared" si="32"/>
        <v>10113.294000000002</v>
      </c>
      <c r="J326" s="217">
        <f t="shared" si="33"/>
        <v>1927.8359999999975</v>
      </c>
      <c r="K326" s="381">
        <f t="shared" si="34"/>
        <v>341.1460971459129</v>
      </c>
      <c r="L326" s="429"/>
      <c r="M326" s="429"/>
      <c r="N326" s="18"/>
    </row>
    <row r="327" spans="2:14">
      <c r="B327" s="213">
        <f t="shared" si="37"/>
        <v>303</v>
      </c>
      <c r="C327" s="213"/>
      <c r="D327" s="214">
        <v>7</v>
      </c>
      <c r="E327" s="206">
        <f t="shared" si="38"/>
        <v>85</v>
      </c>
      <c r="F327" s="215">
        <v>36.43</v>
      </c>
      <c r="G327" s="215">
        <f t="shared" si="36"/>
        <v>36.031999999999996</v>
      </c>
      <c r="H327" s="215" t="str">
        <f t="shared" si="35"/>
        <v>IN</v>
      </c>
      <c r="I327" s="217">
        <f t="shared" si="32"/>
        <v>10149.326000000001</v>
      </c>
      <c r="J327" s="217">
        <f t="shared" si="33"/>
        <v>1891.8039999999983</v>
      </c>
      <c r="K327" s="381">
        <f t="shared" si="34"/>
        <v>341.91975290756307</v>
      </c>
      <c r="L327" s="429"/>
      <c r="M327" s="429"/>
      <c r="N327" s="18"/>
    </row>
    <row r="328" spans="2:14">
      <c r="B328" s="213">
        <f t="shared" si="37"/>
        <v>304</v>
      </c>
      <c r="C328" s="213"/>
      <c r="D328" s="214">
        <v>7</v>
      </c>
      <c r="E328" s="206">
        <f t="shared" si="38"/>
        <v>84</v>
      </c>
      <c r="F328" s="215">
        <v>35.96</v>
      </c>
      <c r="G328" s="215">
        <f t="shared" si="36"/>
        <v>35.561999999999998</v>
      </c>
      <c r="H328" s="215" t="str">
        <f t="shared" si="35"/>
        <v>IN</v>
      </c>
      <c r="I328" s="217">
        <f t="shared" si="32"/>
        <v>10184.888000000001</v>
      </c>
      <c r="J328" s="217">
        <f t="shared" si="33"/>
        <v>1856.2419999999984</v>
      </c>
      <c r="K328" s="381">
        <f t="shared" si="34"/>
        <v>342.68331713368991</v>
      </c>
      <c r="L328" s="429"/>
      <c r="M328" s="429"/>
      <c r="N328" s="18"/>
    </row>
    <row r="329" spans="2:14">
      <c r="B329" s="213">
        <f t="shared" si="37"/>
        <v>305</v>
      </c>
      <c r="C329" s="213"/>
      <c r="D329" s="214">
        <v>7</v>
      </c>
      <c r="E329" s="206">
        <f t="shared" si="38"/>
        <v>83</v>
      </c>
      <c r="F329" s="215">
        <v>37.700000000000003</v>
      </c>
      <c r="G329" s="215">
        <f t="shared" si="36"/>
        <v>37.302</v>
      </c>
      <c r="H329" s="215" t="str">
        <f t="shared" si="35"/>
        <v>IN</v>
      </c>
      <c r="I329" s="217">
        <f t="shared" si="32"/>
        <v>10222.19</v>
      </c>
      <c r="J329" s="217">
        <f t="shared" si="33"/>
        <v>1818.9399999999987</v>
      </c>
      <c r="K329" s="381">
        <f t="shared" si="34"/>
        <v>343.48424151260508</v>
      </c>
      <c r="L329" s="429"/>
      <c r="M329" s="429"/>
      <c r="N329" s="18"/>
    </row>
    <row r="330" spans="2:14">
      <c r="B330" s="213">
        <f t="shared" si="37"/>
        <v>306</v>
      </c>
      <c r="C330" s="213"/>
      <c r="D330" s="214">
        <v>7</v>
      </c>
      <c r="E330" s="206">
        <f t="shared" si="38"/>
        <v>82</v>
      </c>
      <c r="F330" s="215">
        <v>39.82</v>
      </c>
      <c r="G330" s="215">
        <f t="shared" si="36"/>
        <v>39.421999999999997</v>
      </c>
      <c r="H330" s="215" t="str">
        <f t="shared" si="35"/>
        <v>IN</v>
      </c>
      <c r="I330" s="217">
        <f t="shared" si="32"/>
        <v>10261.612000000001</v>
      </c>
      <c r="J330" s="217">
        <f t="shared" si="33"/>
        <v>1779.5179999999982</v>
      </c>
      <c r="K330" s="381">
        <f t="shared" si="34"/>
        <v>344.33068515813602</v>
      </c>
      <c r="L330" s="311"/>
      <c r="M330" s="312"/>
      <c r="N330" s="18"/>
    </row>
    <row r="331" spans="2:14">
      <c r="B331" s="213">
        <f t="shared" si="37"/>
        <v>307</v>
      </c>
      <c r="C331" s="213"/>
      <c r="D331" s="214">
        <v>7</v>
      </c>
      <c r="E331" s="206">
        <f t="shared" si="38"/>
        <v>81</v>
      </c>
      <c r="F331" s="215">
        <v>34.299999999999997</v>
      </c>
      <c r="G331" s="215">
        <f t="shared" si="36"/>
        <v>33.901999999999994</v>
      </c>
      <c r="H331" s="215" t="str">
        <f t="shared" si="35"/>
        <v>IN</v>
      </c>
      <c r="I331" s="217">
        <f t="shared" si="32"/>
        <v>10295.514000000001</v>
      </c>
      <c r="J331" s="217">
        <f t="shared" si="33"/>
        <v>1745.6159999999982</v>
      </c>
      <c r="K331" s="381">
        <f t="shared" si="34"/>
        <v>345.0586069396486</v>
      </c>
      <c r="L331" s="311"/>
      <c r="M331" s="312"/>
      <c r="N331" s="18"/>
    </row>
    <row r="332" spans="2:14">
      <c r="B332" s="213">
        <f t="shared" si="37"/>
        <v>308</v>
      </c>
      <c r="C332" s="213"/>
      <c r="D332" s="214">
        <v>7</v>
      </c>
      <c r="E332" s="206">
        <f t="shared" si="38"/>
        <v>80</v>
      </c>
      <c r="F332" s="215">
        <v>32.76</v>
      </c>
      <c r="G332" s="215">
        <f t="shared" si="36"/>
        <v>32.361999999999995</v>
      </c>
      <c r="H332" s="215" t="str">
        <f t="shared" si="35"/>
        <v>IN</v>
      </c>
      <c r="I332" s="217">
        <f t="shared" si="32"/>
        <v>10327.876</v>
      </c>
      <c r="J332" s="217">
        <f t="shared" si="33"/>
        <v>1713.253999999999</v>
      </c>
      <c r="K332" s="381">
        <f t="shared" si="34"/>
        <v>345.75346283880828</v>
      </c>
      <c r="L332" s="311"/>
      <c r="M332" s="312"/>
      <c r="N332" s="18"/>
    </row>
    <row r="333" spans="2:14">
      <c r="B333" s="213">
        <f t="shared" si="37"/>
        <v>309</v>
      </c>
      <c r="C333" s="213"/>
      <c r="D333" s="214">
        <v>7</v>
      </c>
      <c r="E333" s="206">
        <f t="shared" si="38"/>
        <v>79</v>
      </c>
      <c r="F333" s="215">
        <v>34.26</v>
      </c>
      <c r="G333" s="215">
        <f t="shared" si="36"/>
        <v>33.861999999999995</v>
      </c>
      <c r="H333" s="215" t="str">
        <f t="shared" si="35"/>
        <v>IN</v>
      </c>
      <c r="I333" s="217">
        <f t="shared" si="32"/>
        <v>10361.737999999999</v>
      </c>
      <c r="J333" s="217">
        <f t="shared" si="33"/>
        <v>1679.3919999999998</v>
      </c>
      <c r="K333" s="381">
        <f t="shared" si="34"/>
        <v>346.48052576623377</v>
      </c>
      <c r="L333" s="311"/>
      <c r="M333" s="312"/>
      <c r="N333" s="18"/>
    </row>
    <row r="334" spans="2:14">
      <c r="B334" s="213">
        <f t="shared" si="37"/>
        <v>310</v>
      </c>
      <c r="C334" s="213"/>
      <c r="D334" s="214">
        <v>7</v>
      </c>
      <c r="E334" s="206">
        <f t="shared" si="38"/>
        <v>78</v>
      </c>
      <c r="F334" s="215">
        <v>33.39</v>
      </c>
      <c r="G334" s="215">
        <f t="shared" si="36"/>
        <v>32.991999999999997</v>
      </c>
      <c r="H334" s="215" t="str">
        <f t="shared" si="35"/>
        <v>IN</v>
      </c>
      <c r="I334" s="217">
        <f t="shared" si="32"/>
        <v>10394.73</v>
      </c>
      <c r="J334" s="217">
        <f t="shared" si="33"/>
        <v>1646.3999999999996</v>
      </c>
      <c r="K334" s="381">
        <f t="shared" si="34"/>
        <v>347.1889086172651</v>
      </c>
      <c r="L334" s="311"/>
      <c r="M334" s="312"/>
      <c r="N334" s="18"/>
    </row>
    <row r="335" spans="2:14">
      <c r="B335" s="213">
        <f t="shared" si="37"/>
        <v>311</v>
      </c>
      <c r="C335" s="213"/>
      <c r="D335" s="214">
        <v>7</v>
      </c>
      <c r="E335" s="206">
        <f t="shared" si="38"/>
        <v>77</v>
      </c>
      <c r="F335" s="215">
        <v>34.94</v>
      </c>
      <c r="G335" s="215">
        <f t="shared" si="36"/>
        <v>34.541999999999994</v>
      </c>
      <c r="H335" s="215" t="str">
        <f t="shared" si="35"/>
        <v>IN</v>
      </c>
      <c r="I335" s="217">
        <f t="shared" si="32"/>
        <v>10429.271999999999</v>
      </c>
      <c r="J335" s="217">
        <f t="shared" si="33"/>
        <v>1611.8580000000002</v>
      </c>
      <c r="K335" s="381">
        <f t="shared" si="34"/>
        <v>347.93057206417109</v>
      </c>
      <c r="L335" s="311"/>
      <c r="M335" s="312"/>
      <c r="N335" s="18"/>
    </row>
    <row r="336" spans="2:14">
      <c r="B336" s="213">
        <f t="shared" si="37"/>
        <v>312</v>
      </c>
      <c r="C336" s="213"/>
      <c r="D336" s="214">
        <v>7</v>
      </c>
      <c r="E336" s="206">
        <f t="shared" si="38"/>
        <v>76</v>
      </c>
      <c r="F336" s="215">
        <v>35.590000000000003</v>
      </c>
      <c r="G336" s="215">
        <f t="shared" si="36"/>
        <v>35.192</v>
      </c>
      <c r="H336" s="215" t="str">
        <f t="shared" si="35"/>
        <v>IN</v>
      </c>
      <c r="I336" s="217">
        <f t="shared" si="32"/>
        <v>10464.463999999998</v>
      </c>
      <c r="J336" s="217">
        <f t="shared" si="33"/>
        <v>1576.6660000000011</v>
      </c>
      <c r="K336" s="381">
        <f t="shared" si="34"/>
        <v>348.6861918899923</v>
      </c>
      <c r="L336" s="311"/>
      <c r="M336" s="312"/>
      <c r="N336" s="18"/>
    </row>
    <row r="337" spans="1:21">
      <c r="B337" s="213">
        <f t="shared" si="37"/>
        <v>313</v>
      </c>
      <c r="C337" s="213"/>
      <c r="D337" s="214">
        <v>7</v>
      </c>
      <c r="E337" s="206">
        <f t="shared" si="38"/>
        <v>75</v>
      </c>
      <c r="F337" s="215">
        <v>32.24</v>
      </c>
      <c r="G337" s="215">
        <f t="shared" si="36"/>
        <v>31.842000000000002</v>
      </c>
      <c r="H337" s="215" t="str">
        <f t="shared" si="35"/>
        <v>IN</v>
      </c>
      <c r="I337" s="217">
        <f t="shared" si="32"/>
        <v>10496.305999999999</v>
      </c>
      <c r="J337" s="217">
        <f t="shared" si="33"/>
        <v>1544.8240000000005</v>
      </c>
      <c r="K337" s="381">
        <f t="shared" si="34"/>
        <v>349.36988268601982</v>
      </c>
      <c r="L337" s="311"/>
      <c r="M337" s="312"/>
      <c r="N337" s="18"/>
    </row>
    <row r="338" spans="1:21">
      <c r="B338" s="213">
        <f t="shared" si="37"/>
        <v>314</v>
      </c>
      <c r="C338" s="213"/>
      <c r="D338" s="214">
        <v>7</v>
      </c>
      <c r="E338" s="206">
        <f t="shared" si="38"/>
        <v>74</v>
      </c>
      <c r="F338" s="215">
        <v>35.450000000000003</v>
      </c>
      <c r="G338" s="215">
        <f t="shared" si="36"/>
        <v>35.052</v>
      </c>
      <c r="H338" s="215" t="str">
        <f t="shared" si="35"/>
        <v>IN</v>
      </c>
      <c r="I338" s="217">
        <f t="shared" si="32"/>
        <v>10531.357999999998</v>
      </c>
      <c r="J338" s="217">
        <f t="shared" si="33"/>
        <v>1509.7720000000008</v>
      </c>
      <c r="K338" s="381">
        <f t="shared" si="34"/>
        <v>350.12249652253627</v>
      </c>
      <c r="L338" s="311"/>
      <c r="M338" s="312"/>
      <c r="N338" s="18"/>
    </row>
    <row r="339" spans="1:21">
      <c r="B339" s="213">
        <f t="shared" si="37"/>
        <v>315</v>
      </c>
      <c r="C339" s="213"/>
      <c r="D339" s="214">
        <v>7</v>
      </c>
      <c r="E339" s="206">
        <f t="shared" si="38"/>
        <v>73</v>
      </c>
      <c r="F339" s="215">
        <v>37.15</v>
      </c>
      <c r="G339" s="215">
        <f t="shared" si="36"/>
        <v>36.751999999999995</v>
      </c>
      <c r="H339" s="215" t="str">
        <f t="shared" si="35"/>
        <v>IN</v>
      </c>
      <c r="I339" s="217">
        <f t="shared" ref="I339:I389" si="39">IF(H339="IN",I338+G339,I338)</f>
        <v>10568.109999999999</v>
      </c>
      <c r="J339" s="217">
        <f t="shared" ref="J339:J386" si="40">IF(I339="","",$L$9-I339)</f>
        <v>1473.0200000000004</v>
      </c>
      <c r="K339" s="381">
        <f t="shared" ref="K339:K375" si="41">$H$9+(I339*$E$10*$H$11/1000)</f>
        <v>350.91161165775401</v>
      </c>
      <c r="L339" s="311"/>
      <c r="M339" s="312"/>
      <c r="N339" s="18"/>
    </row>
    <row r="340" spans="1:21">
      <c r="B340" s="213">
        <f t="shared" si="37"/>
        <v>316</v>
      </c>
      <c r="C340" s="213"/>
      <c r="D340" s="214">
        <v>7</v>
      </c>
      <c r="E340" s="206">
        <f t="shared" si="38"/>
        <v>72</v>
      </c>
      <c r="F340" s="215">
        <v>33.24</v>
      </c>
      <c r="G340" s="215">
        <f t="shared" si="36"/>
        <v>32.841999999999999</v>
      </c>
      <c r="H340" s="215" t="str">
        <f t="shared" si="35"/>
        <v>IN</v>
      </c>
      <c r="I340" s="217">
        <f t="shared" si="39"/>
        <v>10600.951999999999</v>
      </c>
      <c r="J340" s="217">
        <f t="shared" si="40"/>
        <v>1440.1779999999999</v>
      </c>
      <c r="K340" s="381">
        <f t="shared" si="41"/>
        <v>351.6167738059587</v>
      </c>
      <c r="L340" s="311"/>
      <c r="M340" s="312"/>
      <c r="N340" s="18"/>
    </row>
    <row r="341" spans="1:21">
      <c r="B341" s="213">
        <f t="shared" si="37"/>
        <v>317</v>
      </c>
      <c r="C341" s="213"/>
      <c r="D341" s="214">
        <v>7</v>
      </c>
      <c r="E341" s="206">
        <f t="shared" si="38"/>
        <v>71</v>
      </c>
      <c r="F341" s="215">
        <v>34.68</v>
      </c>
      <c r="G341" s="215">
        <f t="shared" si="36"/>
        <v>34.281999999999996</v>
      </c>
      <c r="H341" s="215" t="str">
        <f t="shared" si="35"/>
        <v>IN</v>
      </c>
      <c r="I341" s="217">
        <f t="shared" si="39"/>
        <v>10635.233999999999</v>
      </c>
      <c r="J341" s="217">
        <f t="shared" si="40"/>
        <v>1405.8960000000006</v>
      </c>
      <c r="K341" s="381">
        <f t="shared" si="41"/>
        <v>352.35285470129872</v>
      </c>
      <c r="L341" s="311"/>
      <c r="M341" s="312"/>
      <c r="N341" s="18"/>
    </row>
    <row r="342" spans="1:21">
      <c r="B342" s="213">
        <f t="shared" si="37"/>
        <v>318</v>
      </c>
      <c r="C342" s="213"/>
      <c r="D342" s="214">
        <v>7</v>
      </c>
      <c r="E342" s="206">
        <f t="shared" si="38"/>
        <v>70</v>
      </c>
      <c r="F342" s="215">
        <v>35.520000000000003</v>
      </c>
      <c r="G342" s="215">
        <f t="shared" si="36"/>
        <v>35.122</v>
      </c>
      <c r="H342" s="215" t="str">
        <f t="shared" si="35"/>
        <v>IN</v>
      </c>
      <c r="I342" s="217">
        <f t="shared" si="39"/>
        <v>10670.355999999998</v>
      </c>
      <c r="J342" s="217">
        <f t="shared" si="40"/>
        <v>1370.7740000000013</v>
      </c>
      <c r="K342" s="381">
        <f t="shared" si="41"/>
        <v>353.10697153246747</v>
      </c>
      <c r="L342" s="506"/>
      <c r="M342" s="506"/>
      <c r="N342" s="18"/>
    </row>
    <row r="343" spans="1:21">
      <c r="B343" s="213">
        <f t="shared" si="37"/>
        <v>319</v>
      </c>
      <c r="C343" s="216"/>
      <c r="D343" s="331">
        <v>7</v>
      </c>
      <c r="E343" s="206">
        <f t="shared" si="38"/>
        <v>69</v>
      </c>
      <c r="F343" s="215">
        <v>34.35</v>
      </c>
      <c r="G343" s="215">
        <f t="shared" si="36"/>
        <v>33.951999999999998</v>
      </c>
      <c r="H343" s="215" t="str">
        <f t="shared" si="35"/>
        <v>IN</v>
      </c>
      <c r="I343" s="217">
        <f t="shared" si="39"/>
        <v>10704.307999999997</v>
      </c>
      <c r="J343" s="217">
        <f t="shared" si="40"/>
        <v>1336.8220000000019</v>
      </c>
      <c r="K343" s="381">
        <f t="shared" si="41"/>
        <v>353.83596688158894</v>
      </c>
      <c r="L343" s="428"/>
      <c r="M343" s="428"/>
      <c r="N343" s="18"/>
    </row>
    <row r="344" spans="1:21">
      <c r="B344" s="213">
        <f t="shared" si="37"/>
        <v>320</v>
      </c>
      <c r="C344" s="216"/>
      <c r="D344" s="331">
        <v>7</v>
      </c>
      <c r="E344" s="206">
        <f t="shared" si="38"/>
        <v>68</v>
      </c>
      <c r="F344" s="215">
        <v>35.15</v>
      </c>
      <c r="G344" s="215">
        <f t="shared" si="36"/>
        <v>34.751999999999995</v>
      </c>
      <c r="H344" s="215" t="str">
        <f t="shared" ref="H344:H372" si="42">IF(F344="","OUT","IN")</f>
        <v>IN</v>
      </c>
      <c r="I344" s="217">
        <f t="shared" si="39"/>
        <v>10739.059999999998</v>
      </c>
      <c r="J344" s="217">
        <f t="shared" si="40"/>
        <v>1302.0700000000015</v>
      </c>
      <c r="K344" s="381">
        <f t="shared" si="41"/>
        <v>354.58213931245223</v>
      </c>
      <c r="L344" s="428"/>
      <c r="M344" s="428"/>
      <c r="N344" s="18"/>
    </row>
    <row r="345" spans="1:21">
      <c r="B345" s="213">
        <f t="shared" si="37"/>
        <v>321</v>
      </c>
      <c r="C345" s="216"/>
      <c r="D345" s="331">
        <v>7</v>
      </c>
      <c r="E345" s="206">
        <f t="shared" si="38"/>
        <v>67</v>
      </c>
      <c r="F345" s="215">
        <v>36.79</v>
      </c>
      <c r="G345" s="215">
        <f t="shared" si="36"/>
        <v>36.391999999999996</v>
      </c>
      <c r="H345" s="215" t="str">
        <f t="shared" si="42"/>
        <v>IN</v>
      </c>
      <c r="I345" s="217">
        <f t="shared" si="39"/>
        <v>10775.451999999997</v>
      </c>
      <c r="J345" s="217">
        <f t="shared" si="40"/>
        <v>1265.6780000000017</v>
      </c>
      <c r="K345" s="381">
        <f t="shared" si="41"/>
        <v>355.36352476088609</v>
      </c>
      <c r="L345" s="308"/>
      <c r="M345" s="309"/>
      <c r="N345" s="18"/>
    </row>
    <row r="346" spans="1:21" ht="13.5" thickBot="1">
      <c r="B346" s="213">
        <f t="shared" si="37"/>
        <v>322</v>
      </c>
      <c r="C346" s="216"/>
      <c r="D346" s="331">
        <v>7</v>
      </c>
      <c r="E346" s="206">
        <f t="shared" si="38"/>
        <v>66</v>
      </c>
      <c r="F346" s="215">
        <v>34.17</v>
      </c>
      <c r="G346" s="215">
        <f t="shared" ref="G346:G347" si="43">F346-($E$12)</f>
        <v>33.771999999999998</v>
      </c>
      <c r="H346" s="215" t="str">
        <f t="shared" si="42"/>
        <v>IN</v>
      </c>
      <c r="I346" s="217">
        <f t="shared" si="39"/>
        <v>10809.223999999998</v>
      </c>
      <c r="J346" s="217">
        <f t="shared" si="40"/>
        <v>1231.9060000000009</v>
      </c>
      <c r="K346" s="381">
        <f t="shared" si="41"/>
        <v>356.08865526661572</v>
      </c>
      <c r="L346" s="308"/>
      <c r="M346" s="309"/>
      <c r="N346" s="18"/>
    </row>
    <row r="347" spans="1:21">
      <c r="A347" s="330"/>
      <c r="B347" s="448" t="s">
        <v>110</v>
      </c>
      <c r="C347" s="507">
        <v>11722362</v>
      </c>
      <c r="D347" s="508" t="s">
        <v>69</v>
      </c>
      <c r="E347" s="508"/>
      <c r="F347" s="209">
        <v>6.21</v>
      </c>
      <c r="G347" s="209">
        <f t="shared" si="43"/>
        <v>5.8120000000000003</v>
      </c>
      <c r="H347" s="334" t="str">
        <f t="shared" si="42"/>
        <v>IN</v>
      </c>
      <c r="I347" s="334">
        <f t="shared" si="39"/>
        <v>10815.035999999998</v>
      </c>
      <c r="J347" s="334">
        <f t="shared" si="40"/>
        <v>1226.094000000001</v>
      </c>
      <c r="K347" s="372">
        <f t="shared" si="41"/>
        <v>356.21344676546977</v>
      </c>
      <c r="L347" s="509" t="s">
        <v>111</v>
      </c>
      <c r="M347" s="510"/>
      <c r="N347" s="18"/>
    </row>
    <row r="348" spans="1:21" s="326" customFormat="1" ht="12.95" customHeight="1">
      <c r="A348" s="330"/>
      <c r="B348" s="448"/>
      <c r="C348" s="507"/>
      <c r="D348" s="508" t="s">
        <v>70</v>
      </c>
      <c r="E348" s="508"/>
      <c r="F348" s="209">
        <v>5.62</v>
      </c>
      <c r="G348" s="209">
        <f>F348</f>
        <v>5.62</v>
      </c>
      <c r="H348" s="334" t="str">
        <f t="shared" si="42"/>
        <v>IN</v>
      </c>
      <c r="I348" s="334">
        <f t="shared" si="39"/>
        <v>10820.655999999999</v>
      </c>
      <c r="J348" s="334">
        <f t="shared" si="40"/>
        <v>1220.4740000000002</v>
      </c>
      <c r="K348" s="372">
        <f t="shared" si="41"/>
        <v>356.33411576470587</v>
      </c>
      <c r="L348" s="511" t="s">
        <v>204</v>
      </c>
      <c r="M348" s="512"/>
      <c r="N348" s="325"/>
      <c r="U348" s="325"/>
    </row>
    <row r="349" spans="1:21" s="326" customFormat="1" ht="12.95" customHeight="1">
      <c r="A349" s="330"/>
      <c r="B349" s="448"/>
      <c r="C349" s="507"/>
      <c r="D349" s="513" t="s">
        <v>28</v>
      </c>
      <c r="E349" s="513"/>
      <c r="F349" s="210">
        <v>8.4700000000000006</v>
      </c>
      <c r="G349" s="210">
        <f>F349</f>
        <v>8.4700000000000006</v>
      </c>
      <c r="H349" s="335" t="str">
        <f t="shared" si="42"/>
        <v>IN</v>
      </c>
      <c r="I349" s="335">
        <f t="shared" si="39"/>
        <v>10829.125999999998</v>
      </c>
      <c r="J349" s="335">
        <f t="shared" si="40"/>
        <v>1212.0040000000008</v>
      </c>
      <c r="K349" s="371">
        <f t="shared" si="41"/>
        <v>356.51597811764702</v>
      </c>
      <c r="L349" s="514" t="s">
        <v>218</v>
      </c>
      <c r="M349" s="515"/>
      <c r="N349" s="325"/>
      <c r="U349" s="325"/>
    </row>
    <row r="350" spans="1:21" s="326" customFormat="1" ht="12.95" customHeight="1">
      <c r="A350" s="330"/>
      <c r="B350" s="448"/>
      <c r="C350" s="507"/>
      <c r="D350" s="508" t="s">
        <v>70</v>
      </c>
      <c r="E350" s="508"/>
      <c r="F350" s="209">
        <v>11.61</v>
      </c>
      <c r="G350" s="209">
        <f>F350</f>
        <v>11.61</v>
      </c>
      <c r="H350" s="334" t="str">
        <f t="shared" si="42"/>
        <v>IN</v>
      </c>
      <c r="I350" s="334">
        <f t="shared" si="39"/>
        <v>10840.735999999999</v>
      </c>
      <c r="J350" s="334">
        <f t="shared" si="40"/>
        <v>1200.3940000000002</v>
      </c>
      <c r="K350" s="372">
        <f t="shared" si="41"/>
        <v>356.76526051642475</v>
      </c>
      <c r="L350" s="516" t="s">
        <v>217</v>
      </c>
      <c r="M350" s="517"/>
      <c r="N350" s="325"/>
    </row>
    <row r="351" spans="1:21" s="326" customFormat="1" ht="13.5" thickBot="1">
      <c r="A351" s="330"/>
      <c r="B351" s="448"/>
      <c r="C351" s="507"/>
      <c r="D351" s="508" t="s">
        <v>69</v>
      </c>
      <c r="E351" s="508"/>
      <c r="F351" s="209">
        <v>5.81</v>
      </c>
      <c r="G351" s="209">
        <f>F351</f>
        <v>5.81</v>
      </c>
      <c r="H351" s="334" t="str">
        <f t="shared" si="42"/>
        <v>IN</v>
      </c>
      <c r="I351" s="334">
        <f t="shared" si="39"/>
        <v>10846.545999999998</v>
      </c>
      <c r="J351" s="334">
        <f t="shared" si="40"/>
        <v>1194.5840000000007</v>
      </c>
      <c r="K351" s="372">
        <f t="shared" si="41"/>
        <v>356.89000907257446</v>
      </c>
      <c r="L351" s="518" t="s">
        <v>147</v>
      </c>
      <c r="M351" s="519"/>
      <c r="N351" s="325"/>
    </row>
    <row r="352" spans="1:21" s="326" customFormat="1">
      <c r="A352" s="330"/>
      <c r="B352" s="216">
        <f>B346+1</f>
        <v>323</v>
      </c>
      <c r="C352" s="216"/>
      <c r="D352" s="331">
        <v>7</v>
      </c>
      <c r="E352" s="332">
        <f>E346-1</f>
        <v>65</v>
      </c>
      <c r="F352" s="215">
        <v>36.65</v>
      </c>
      <c r="G352" s="217">
        <f t="shared" ref="G352:G386" si="44">F352-($E$12)</f>
        <v>36.251999999999995</v>
      </c>
      <c r="H352" s="215" t="str">
        <f t="shared" si="42"/>
        <v>IN</v>
      </c>
      <c r="I352" s="217">
        <f t="shared" si="39"/>
        <v>10882.797999999999</v>
      </c>
      <c r="J352" s="217">
        <f t="shared" si="40"/>
        <v>1158.3320000000003</v>
      </c>
      <c r="K352" s="381">
        <f t="shared" si="41"/>
        <v>357.66838853170356</v>
      </c>
      <c r="L352" s="428"/>
      <c r="M352" s="428"/>
      <c r="N352" s="325"/>
    </row>
    <row r="353" spans="1:14" s="326" customFormat="1">
      <c r="A353" s="330"/>
      <c r="B353" s="216">
        <f t="shared" ref="B353:B384" si="45">B352+1</f>
        <v>324</v>
      </c>
      <c r="C353" s="216"/>
      <c r="D353" s="331">
        <v>7</v>
      </c>
      <c r="E353" s="332">
        <f t="shared" ref="E353:E383" si="46">E352-1</f>
        <v>64</v>
      </c>
      <c r="F353" s="215">
        <v>35.47</v>
      </c>
      <c r="G353" s="217">
        <f t="shared" si="44"/>
        <v>35.071999999999996</v>
      </c>
      <c r="H353" s="215" t="str">
        <f t="shared" si="42"/>
        <v>IN</v>
      </c>
      <c r="I353" s="217">
        <f t="shared" si="39"/>
        <v>10917.869999999999</v>
      </c>
      <c r="J353" s="217">
        <f t="shared" si="40"/>
        <v>1123.2600000000002</v>
      </c>
      <c r="K353" s="381">
        <f t="shared" si="41"/>
        <v>358.42143179526357</v>
      </c>
      <c r="L353" s="428"/>
      <c r="M353" s="428"/>
      <c r="N353" s="325"/>
    </row>
    <row r="354" spans="1:14" s="326" customFormat="1">
      <c r="A354" s="330"/>
      <c r="B354" s="216">
        <f t="shared" si="45"/>
        <v>325</v>
      </c>
      <c r="C354" s="216"/>
      <c r="D354" s="331">
        <v>7</v>
      </c>
      <c r="E354" s="332">
        <f t="shared" si="46"/>
        <v>63</v>
      </c>
      <c r="F354" s="215">
        <v>31.41</v>
      </c>
      <c r="G354" s="217">
        <f t="shared" si="44"/>
        <v>31.012</v>
      </c>
      <c r="H354" s="215" t="str">
        <f t="shared" si="42"/>
        <v>IN</v>
      </c>
      <c r="I354" s="217">
        <f t="shared" si="39"/>
        <v>10948.882</v>
      </c>
      <c r="J354" s="217">
        <f t="shared" si="40"/>
        <v>1092.2479999999996</v>
      </c>
      <c r="K354" s="381">
        <f t="shared" si="41"/>
        <v>359.08730136898396</v>
      </c>
      <c r="L354" s="428"/>
      <c r="M354" s="428"/>
      <c r="N354" s="325"/>
    </row>
    <row r="355" spans="1:14">
      <c r="A355" s="330"/>
      <c r="B355" s="216">
        <f t="shared" si="45"/>
        <v>326</v>
      </c>
      <c r="C355" s="216"/>
      <c r="D355" s="331">
        <v>7</v>
      </c>
      <c r="E355" s="332">
        <f>E354-1</f>
        <v>62</v>
      </c>
      <c r="F355" s="215">
        <v>33.200000000000003</v>
      </c>
      <c r="G355" s="217">
        <f t="shared" si="44"/>
        <v>32.802</v>
      </c>
      <c r="H355" s="215" t="str">
        <f t="shared" si="42"/>
        <v>IN</v>
      </c>
      <c r="I355" s="217">
        <f t="shared" si="39"/>
        <v>10981.683999999999</v>
      </c>
      <c r="J355" s="217">
        <f t="shared" si="40"/>
        <v>1059.4459999999999</v>
      </c>
      <c r="K355" s="381">
        <f t="shared" si="41"/>
        <v>359.79160466310157</v>
      </c>
      <c r="L355" s="438"/>
      <c r="M355" s="439"/>
      <c r="N355" s="18"/>
    </row>
    <row r="356" spans="1:14">
      <c r="A356" s="330"/>
      <c r="B356" s="216">
        <f t="shared" si="45"/>
        <v>327</v>
      </c>
      <c r="C356" s="216"/>
      <c r="D356" s="331">
        <v>7</v>
      </c>
      <c r="E356" s="332">
        <f t="shared" si="46"/>
        <v>61</v>
      </c>
      <c r="F356" s="215">
        <v>33.020000000000003</v>
      </c>
      <c r="G356" s="217">
        <f t="shared" si="44"/>
        <v>32.622</v>
      </c>
      <c r="H356" s="215" t="str">
        <f t="shared" si="42"/>
        <v>IN</v>
      </c>
      <c r="I356" s="217">
        <f t="shared" si="39"/>
        <v>11014.305999999999</v>
      </c>
      <c r="J356" s="217">
        <f t="shared" si="40"/>
        <v>1026.8240000000005</v>
      </c>
      <c r="K356" s="381">
        <f t="shared" si="41"/>
        <v>360.49204311382732</v>
      </c>
      <c r="L356" s="438"/>
      <c r="M356" s="439"/>
      <c r="N356" s="18"/>
    </row>
    <row r="357" spans="1:14">
      <c r="A357" s="330"/>
      <c r="B357" s="216">
        <f t="shared" si="45"/>
        <v>328</v>
      </c>
      <c r="C357" s="216"/>
      <c r="D357" s="331">
        <v>7</v>
      </c>
      <c r="E357" s="332">
        <f t="shared" si="46"/>
        <v>60</v>
      </c>
      <c r="F357" s="215">
        <v>33.380000000000003</v>
      </c>
      <c r="G357" s="217">
        <f t="shared" si="44"/>
        <v>32.981999999999999</v>
      </c>
      <c r="H357" s="215" t="str">
        <f t="shared" si="42"/>
        <v>IN</v>
      </c>
      <c r="I357" s="217">
        <f t="shared" si="39"/>
        <v>11047.287999999999</v>
      </c>
      <c r="J357" s="217">
        <f t="shared" si="40"/>
        <v>993.84200000000055</v>
      </c>
      <c r="K357" s="381">
        <f t="shared" si="41"/>
        <v>361.2002112513369</v>
      </c>
      <c r="L357" s="438"/>
      <c r="M357" s="439"/>
      <c r="N357" s="18"/>
    </row>
    <row r="358" spans="1:14">
      <c r="A358" s="330"/>
      <c r="B358" s="216">
        <f t="shared" si="45"/>
        <v>329</v>
      </c>
      <c r="C358" s="216"/>
      <c r="D358" s="331">
        <v>7</v>
      </c>
      <c r="E358" s="332">
        <f t="shared" si="46"/>
        <v>59</v>
      </c>
      <c r="F358" s="215">
        <v>33.119999999999997</v>
      </c>
      <c r="G358" s="217">
        <f t="shared" si="44"/>
        <v>32.721999999999994</v>
      </c>
      <c r="H358" s="215" t="str">
        <f t="shared" si="42"/>
        <v>IN</v>
      </c>
      <c r="I358" s="217">
        <f t="shared" si="39"/>
        <v>11080.009999999998</v>
      </c>
      <c r="J358" s="217">
        <f t="shared" si="40"/>
        <v>961.1200000000008</v>
      </c>
      <c r="K358" s="381">
        <f t="shared" si="41"/>
        <v>361.90279683728033</v>
      </c>
      <c r="L358" s="438"/>
      <c r="M358" s="439"/>
      <c r="N358" s="18"/>
    </row>
    <row r="359" spans="1:14">
      <c r="A359" s="330"/>
      <c r="B359" s="216">
        <f t="shared" si="45"/>
        <v>330</v>
      </c>
      <c r="C359" s="216"/>
      <c r="D359" s="331">
        <v>7</v>
      </c>
      <c r="E359" s="332">
        <f t="shared" si="46"/>
        <v>58</v>
      </c>
      <c r="F359" s="215">
        <v>32.75</v>
      </c>
      <c r="G359" s="217">
        <f t="shared" si="44"/>
        <v>32.351999999999997</v>
      </c>
      <c r="H359" s="215" t="str">
        <f t="shared" si="42"/>
        <v>IN</v>
      </c>
      <c r="I359" s="217">
        <f t="shared" si="39"/>
        <v>11112.361999999999</v>
      </c>
      <c r="J359" s="217">
        <f t="shared" si="40"/>
        <v>928.76800000000003</v>
      </c>
      <c r="K359" s="381">
        <f t="shared" si="41"/>
        <v>362.59743802291825</v>
      </c>
      <c r="L359" s="438"/>
      <c r="M359" s="439"/>
      <c r="N359" s="18"/>
    </row>
    <row r="360" spans="1:14">
      <c r="A360" s="330"/>
      <c r="B360" s="216">
        <f t="shared" si="45"/>
        <v>331</v>
      </c>
      <c r="C360" s="216"/>
      <c r="D360" s="331">
        <v>7</v>
      </c>
      <c r="E360" s="332">
        <f t="shared" si="46"/>
        <v>57</v>
      </c>
      <c r="F360" s="215">
        <v>33.11</v>
      </c>
      <c r="G360" s="217">
        <f t="shared" si="44"/>
        <v>32.711999999999996</v>
      </c>
      <c r="H360" s="215" t="str">
        <f t="shared" si="42"/>
        <v>IN</v>
      </c>
      <c r="I360" s="217">
        <f t="shared" si="39"/>
        <v>11145.073999999999</v>
      </c>
      <c r="J360" s="217">
        <f t="shared" si="40"/>
        <v>896.05600000000049</v>
      </c>
      <c r="K360" s="381">
        <f t="shared" si="41"/>
        <v>363.29980889533994</v>
      </c>
      <c r="L360" s="438"/>
      <c r="M360" s="439"/>
      <c r="N360" s="18"/>
    </row>
    <row r="361" spans="1:14">
      <c r="A361" s="330"/>
      <c r="B361" s="216">
        <f t="shared" si="45"/>
        <v>332</v>
      </c>
      <c r="C361" s="216"/>
      <c r="D361" s="331">
        <v>7</v>
      </c>
      <c r="E361" s="332">
        <f t="shared" si="46"/>
        <v>56</v>
      </c>
      <c r="F361" s="215">
        <v>31.9</v>
      </c>
      <c r="G361" s="217">
        <f t="shared" si="44"/>
        <v>31.501999999999999</v>
      </c>
      <c r="H361" s="215" t="str">
        <f t="shared" si="42"/>
        <v>IN</v>
      </c>
      <c r="I361" s="217">
        <f t="shared" si="39"/>
        <v>11176.575999999999</v>
      </c>
      <c r="J361" s="217">
        <f t="shared" si="40"/>
        <v>864.55400000000009</v>
      </c>
      <c r="K361" s="381">
        <f t="shared" si="41"/>
        <v>363.97619943162715</v>
      </c>
      <c r="L361" s="438"/>
      <c r="M361" s="439"/>
      <c r="N361" s="18"/>
    </row>
    <row r="362" spans="1:14">
      <c r="A362" s="330"/>
      <c r="B362" s="216">
        <f t="shared" si="45"/>
        <v>333</v>
      </c>
      <c r="C362" s="216"/>
      <c r="D362" s="331">
        <v>7</v>
      </c>
      <c r="E362" s="332">
        <f t="shared" si="46"/>
        <v>55</v>
      </c>
      <c r="F362" s="215">
        <v>32.85</v>
      </c>
      <c r="G362" s="217">
        <f t="shared" si="44"/>
        <v>32.451999999999998</v>
      </c>
      <c r="H362" s="215" t="str">
        <f t="shared" si="42"/>
        <v>IN</v>
      </c>
      <c r="I362" s="217">
        <f t="shared" si="39"/>
        <v>11209.027999999998</v>
      </c>
      <c r="J362" s="217">
        <f t="shared" si="40"/>
        <v>832.10200000000077</v>
      </c>
      <c r="K362" s="381">
        <f t="shared" si="41"/>
        <v>364.67298775248275</v>
      </c>
      <c r="L362" s="356"/>
      <c r="M362" s="357"/>
      <c r="N362" s="18"/>
    </row>
    <row r="363" spans="1:14">
      <c r="A363" s="330"/>
      <c r="B363" s="216">
        <f t="shared" si="45"/>
        <v>334</v>
      </c>
      <c r="C363" s="216"/>
      <c r="D363" s="331">
        <v>7</v>
      </c>
      <c r="E363" s="332">
        <f t="shared" si="46"/>
        <v>54</v>
      </c>
      <c r="F363" s="215">
        <v>33.630000000000003</v>
      </c>
      <c r="G363" s="217">
        <f t="shared" si="44"/>
        <v>33.231999999999999</v>
      </c>
      <c r="H363" s="215" t="str">
        <f t="shared" si="42"/>
        <v>IN</v>
      </c>
      <c r="I363" s="217">
        <f t="shared" si="39"/>
        <v>11242.259999999998</v>
      </c>
      <c r="J363" s="217">
        <f t="shared" si="40"/>
        <v>798.8700000000008</v>
      </c>
      <c r="K363" s="381">
        <f t="shared" si="41"/>
        <v>365.38652372803665</v>
      </c>
      <c r="L363" s="356"/>
      <c r="M363" s="357"/>
      <c r="N363" s="18"/>
    </row>
    <row r="364" spans="1:14">
      <c r="A364" s="330"/>
      <c r="B364" s="216">
        <f t="shared" si="45"/>
        <v>335</v>
      </c>
      <c r="C364" s="216"/>
      <c r="D364" s="331">
        <v>7</v>
      </c>
      <c r="E364" s="332">
        <f t="shared" si="46"/>
        <v>53</v>
      </c>
      <c r="F364" s="215">
        <v>32.590000000000003</v>
      </c>
      <c r="G364" s="217">
        <f t="shared" si="44"/>
        <v>32.192</v>
      </c>
      <c r="H364" s="215" t="str">
        <f t="shared" si="42"/>
        <v>IN</v>
      </c>
      <c r="I364" s="217">
        <f t="shared" si="39"/>
        <v>11274.451999999997</v>
      </c>
      <c r="J364" s="217">
        <f t="shared" si="40"/>
        <v>766.6780000000017</v>
      </c>
      <c r="K364" s="381">
        <f t="shared" si="41"/>
        <v>366.07772949732612</v>
      </c>
      <c r="L364" s="356"/>
      <c r="M364" s="357"/>
      <c r="N364" s="18"/>
    </row>
    <row r="365" spans="1:14">
      <c r="A365" s="330"/>
      <c r="B365" s="216">
        <f t="shared" si="45"/>
        <v>336</v>
      </c>
      <c r="C365" s="216"/>
      <c r="D365" s="331">
        <v>7</v>
      </c>
      <c r="E365" s="332">
        <f t="shared" si="46"/>
        <v>52</v>
      </c>
      <c r="F365" s="215">
        <v>32.08</v>
      </c>
      <c r="G365" s="217">
        <f t="shared" si="44"/>
        <v>31.681999999999999</v>
      </c>
      <c r="H365" s="215" t="str">
        <f t="shared" si="42"/>
        <v>IN</v>
      </c>
      <c r="I365" s="217">
        <f t="shared" si="39"/>
        <v>11306.133999999998</v>
      </c>
      <c r="J365" s="217">
        <f t="shared" si="40"/>
        <v>734.996000000001</v>
      </c>
      <c r="K365" s="381">
        <f t="shared" si="41"/>
        <v>366.7579848770053</v>
      </c>
      <c r="L365" s="356"/>
      <c r="M365" s="357"/>
      <c r="N365" s="18"/>
    </row>
    <row r="366" spans="1:14">
      <c r="A366" s="330"/>
      <c r="B366" s="216">
        <f t="shared" si="45"/>
        <v>337</v>
      </c>
      <c r="C366" s="216"/>
      <c r="D366" s="331">
        <v>7</v>
      </c>
      <c r="E366" s="332">
        <f t="shared" si="46"/>
        <v>51</v>
      </c>
      <c r="F366" s="215">
        <v>33.21</v>
      </c>
      <c r="G366" s="217">
        <f t="shared" si="44"/>
        <v>32.811999999999998</v>
      </c>
      <c r="H366" s="215" t="str">
        <f t="shared" si="42"/>
        <v>IN</v>
      </c>
      <c r="I366" s="217">
        <f t="shared" si="39"/>
        <v>11338.945999999998</v>
      </c>
      <c r="J366" s="217">
        <f t="shared" si="40"/>
        <v>702.18400000000111</v>
      </c>
      <c r="K366" s="381">
        <f t="shared" si="41"/>
        <v>367.46250288464478</v>
      </c>
      <c r="L366" s="356"/>
      <c r="M366" s="357"/>
      <c r="N366" s="18"/>
    </row>
    <row r="367" spans="1:14">
      <c r="A367" s="330"/>
      <c r="B367" s="216">
        <f t="shared" si="45"/>
        <v>338</v>
      </c>
      <c r="C367" s="216"/>
      <c r="D367" s="331">
        <v>7</v>
      </c>
      <c r="E367" s="332">
        <f t="shared" si="46"/>
        <v>50</v>
      </c>
      <c r="F367" s="215">
        <v>33.54</v>
      </c>
      <c r="G367" s="217">
        <f t="shared" si="44"/>
        <v>33.141999999999996</v>
      </c>
      <c r="H367" s="215" t="str">
        <f t="shared" si="42"/>
        <v>IN</v>
      </c>
      <c r="I367" s="217">
        <f t="shared" si="39"/>
        <v>11372.087999999998</v>
      </c>
      <c r="J367" s="217">
        <f t="shared" si="40"/>
        <v>669.04200000000128</v>
      </c>
      <c r="K367" s="381">
        <f t="shared" si="41"/>
        <v>368.17410643850263</v>
      </c>
      <c r="L367" s="356"/>
      <c r="M367" s="357"/>
      <c r="N367" s="18"/>
    </row>
    <row r="368" spans="1:14">
      <c r="A368" s="330"/>
      <c r="B368" s="216">
        <f t="shared" si="45"/>
        <v>339</v>
      </c>
      <c r="C368" s="216"/>
      <c r="D368" s="331">
        <v>7</v>
      </c>
      <c r="E368" s="332">
        <f t="shared" si="46"/>
        <v>49</v>
      </c>
      <c r="F368" s="215">
        <v>32.54</v>
      </c>
      <c r="G368" s="217">
        <f t="shared" si="44"/>
        <v>32.141999999999996</v>
      </c>
      <c r="H368" s="215" t="str">
        <f t="shared" si="42"/>
        <v>IN</v>
      </c>
      <c r="I368" s="217">
        <f t="shared" si="39"/>
        <v>11404.229999999998</v>
      </c>
      <c r="J368" s="217">
        <f t="shared" si="40"/>
        <v>636.90000000000146</v>
      </c>
      <c r="K368" s="381">
        <f t="shared" si="41"/>
        <v>368.86423864018332</v>
      </c>
      <c r="L368" s="356"/>
      <c r="M368" s="357"/>
      <c r="N368" s="18"/>
    </row>
    <row r="369" spans="1:14">
      <c r="A369" s="330"/>
      <c r="B369" s="216">
        <f t="shared" si="45"/>
        <v>340</v>
      </c>
      <c r="C369" s="216"/>
      <c r="D369" s="331">
        <v>7</v>
      </c>
      <c r="E369" s="332">
        <f t="shared" si="46"/>
        <v>48</v>
      </c>
      <c r="F369" s="215">
        <v>32.64</v>
      </c>
      <c r="G369" s="217">
        <f t="shared" si="44"/>
        <v>32.241999999999997</v>
      </c>
      <c r="H369" s="215" t="str">
        <f t="shared" si="42"/>
        <v>IN</v>
      </c>
      <c r="I369" s="217">
        <f t="shared" si="39"/>
        <v>11436.471999999998</v>
      </c>
      <c r="J369" s="217">
        <f t="shared" si="40"/>
        <v>604.65800000000127</v>
      </c>
      <c r="K369" s="381">
        <f t="shared" si="41"/>
        <v>369.55651797708174</v>
      </c>
      <c r="L369" s="356"/>
      <c r="M369" s="357"/>
      <c r="N369" s="18"/>
    </row>
    <row r="370" spans="1:14">
      <c r="A370" s="330"/>
      <c r="B370" s="216">
        <f t="shared" si="45"/>
        <v>341</v>
      </c>
      <c r="C370" s="216"/>
      <c r="D370" s="331">
        <v>7</v>
      </c>
      <c r="E370" s="332">
        <f t="shared" si="46"/>
        <v>47</v>
      </c>
      <c r="F370" s="215">
        <v>33.01</v>
      </c>
      <c r="G370" s="217">
        <f t="shared" si="44"/>
        <v>32.611999999999995</v>
      </c>
      <c r="H370" s="215" t="str">
        <f t="shared" si="42"/>
        <v>IN</v>
      </c>
      <c r="I370" s="217">
        <f t="shared" si="39"/>
        <v>11469.083999999997</v>
      </c>
      <c r="J370" s="217">
        <f t="shared" si="40"/>
        <v>572.0460000000021</v>
      </c>
      <c r="K370" s="381">
        <f t="shared" si="41"/>
        <v>370.25674171428568</v>
      </c>
      <c r="L370" s="356"/>
      <c r="M370" s="357"/>
      <c r="N370" s="18"/>
    </row>
    <row r="371" spans="1:14">
      <c r="A371" s="330"/>
      <c r="B371" s="216">
        <f t="shared" si="45"/>
        <v>342</v>
      </c>
      <c r="C371" s="216"/>
      <c r="D371" s="331">
        <v>7</v>
      </c>
      <c r="E371" s="332">
        <f t="shared" si="46"/>
        <v>46</v>
      </c>
      <c r="F371" s="215">
        <v>33.5</v>
      </c>
      <c r="G371" s="217">
        <f t="shared" si="44"/>
        <v>33.101999999999997</v>
      </c>
      <c r="H371" s="215" t="str">
        <f t="shared" si="42"/>
        <v>IN</v>
      </c>
      <c r="I371" s="217">
        <f t="shared" si="39"/>
        <v>11502.185999999998</v>
      </c>
      <c r="J371" s="217">
        <f t="shared" si="40"/>
        <v>538.94400000000132</v>
      </c>
      <c r="K371" s="381">
        <f t="shared" si="41"/>
        <v>370.96748641405651</v>
      </c>
      <c r="L371" s="356"/>
      <c r="M371" s="357"/>
      <c r="N371" s="18"/>
    </row>
    <row r="372" spans="1:14">
      <c r="A372" s="330"/>
      <c r="B372" s="216">
        <f t="shared" si="45"/>
        <v>343</v>
      </c>
      <c r="C372" s="216"/>
      <c r="D372" s="331">
        <v>7</v>
      </c>
      <c r="E372" s="332">
        <f t="shared" si="46"/>
        <v>45</v>
      </c>
      <c r="F372" s="215">
        <v>34.04</v>
      </c>
      <c r="G372" s="217">
        <f t="shared" si="44"/>
        <v>33.641999999999996</v>
      </c>
      <c r="H372" s="215" t="str">
        <f t="shared" si="42"/>
        <v>IN</v>
      </c>
      <c r="I372" s="217">
        <f t="shared" si="39"/>
        <v>11535.827999999998</v>
      </c>
      <c r="J372" s="217">
        <f t="shared" si="40"/>
        <v>505.3020000000015</v>
      </c>
      <c r="K372" s="381">
        <f t="shared" si="41"/>
        <v>371.68982564400301</v>
      </c>
      <c r="L372" s="356"/>
      <c r="M372" s="357"/>
      <c r="N372" s="18"/>
    </row>
    <row r="373" spans="1:14">
      <c r="A373" s="330"/>
      <c r="B373" s="374">
        <f t="shared" si="45"/>
        <v>344</v>
      </c>
      <c r="C373" s="374"/>
      <c r="D373" s="375">
        <v>7</v>
      </c>
      <c r="E373" s="376">
        <f t="shared" si="46"/>
        <v>44</v>
      </c>
      <c r="F373" s="377"/>
      <c r="G373" s="377">
        <f t="shared" si="44"/>
        <v>-0.39799999999999996</v>
      </c>
      <c r="H373" s="377" t="s">
        <v>25</v>
      </c>
      <c r="I373" s="377">
        <f t="shared" si="39"/>
        <v>11535.827999999998</v>
      </c>
      <c r="J373" s="377">
        <f t="shared" si="40"/>
        <v>505.3020000000015</v>
      </c>
      <c r="K373" s="378">
        <f t="shared" si="41"/>
        <v>371.68982564400301</v>
      </c>
      <c r="L373" s="399" t="s">
        <v>215</v>
      </c>
      <c r="M373" s="380"/>
      <c r="N373" s="18"/>
    </row>
    <row r="374" spans="1:14">
      <c r="A374" s="330"/>
      <c r="B374" s="216">
        <f t="shared" si="45"/>
        <v>345</v>
      </c>
      <c r="C374" s="216"/>
      <c r="D374" s="331">
        <v>7</v>
      </c>
      <c r="E374" s="332">
        <f t="shared" si="46"/>
        <v>43</v>
      </c>
      <c r="F374" s="215">
        <v>32.4</v>
      </c>
      <c r="G374" s="217">
        <f t="shared" si="44"/>
        <v>32.001999999999995</v>
      </c>
      <c r="H374" s="217" t="s">
        <v>128</v>
      </c>
      <c r="I374" s="217">
        <f t="shared" si="39"/>
        <v>11567.829999999998</v>
      </c>
      <c r="J374" s="217">
        <f t="shared" si="40"/>
        <v>473.30000000000109</v>
      </c>
      <c r="K374" s="381">
        <f t="shared" si="41"/>
        <v>372.37695185637892</v>
      </c>
      <c r="L374" s="356"/>
      <c r="M374" s="357"/>
      <c r="N374" s="18"/>
    </row>
    <row r="375" spans="1:14">
      <c r="A375" s="330"/>
      <c r="B375" s="216">
        <f t="shared" si="45"/>
        <v>346</v>
      </c>
      <c r="C375" s="216"/>
      <c r="D375" s="331">
        <v>7</v>
      </c>
      <c r="E375" s="332">
        <f t="shared" si="46"/>
        <v>42</v>
      </c>
      <c r="F375" s="215">
        <v>35.71</v>
      </c>
      <c r="G375" s="217">
        <f t="shared" si="44"/>
        <v>35.311999999999998</v>
      </c>
      <c r="H375" s="217" t="s">
        <v>128</v>
      </c>
      <c r="I375" s="217">
        <f t="shared" si="39"/>
        <v>11603.141999999998</v>
      </c>
      <c r="J375" s="217">
        <f t="shared" si="40"/>
        <v>437.98800000000119</v>
      </c>
      <c r="K375" s="381">
        <f t="shared" si="41"/>
        <v>373.13514824446133</v>
      </c>
      <c r="L375" s="356"/>
      <c r="M375" s="357"/>
      <c r="N375" s="18"/>
    </row>
    <row r="376" spans="1:14">
      <c r="A376" s="330"/>
      <c r="B376" s="216">
        <f t="shared" si="45"/>
        <v>347</v>
      </c>
      <c r="C376" s="216"/>
      <c r="D376" s="331">
        <v>7</v>
      </c>
      <c r="E376" s="332">
        <f t="shared" si="46"/>
        <v>41</v>
      </c>
      <c r="F376" s="215">
        <v>34.19</v>
      </c>
      <c r="G376" s="217">
        <f t="shared" si="44"/>
        <v>33.791999999999994</v>
      </c>
      <c r="H376" s="217" t="s">
        <v>128</v>
      </c>
      <c r="I376" s="217">
        <f t="shared" si="39"/>
        <v>11636.933999999997</v>
      </c>
      <c r="J376" s="217">
        <f t="shared" si="40"/>
        <v>404.19600000000173</v>
      </c>
      <c r="K376" s="381">
        <f>$H$9+(I376*$E$10*$H$11/1000)</f>
        <v>373.86070817723447</v>
      </c>
      <c r="L376" s="356"/>
      <c r="M376" s="357"/>
      <c r="N376" s="18"/>
    </row>
    <row r="377" spans="1:14">
      <c r="A377" s="330"/>
      <c r="B377" s="216">
        <f t="shared" si="45"/>
        <v>348</v>
      </c>
      <c r="C377" s="216"/>
      <c r="D377" s="331">
        <v>7</v>
      </c>
      <c r="E377" s="332">
        <f t="shared" si="46"/>
        <v>40</v>
      </c>
      <c r="F377" s="215">
        <v>32.97</v>
      </c>
      <c r="G377" s="217">
        <f t="shared" si="44"/>
        <v>32.571999999999996</v>
      </c>
      <c r="H377" s="217" t="s">
        <v>128</v>
      </c>
      <c r="I377" s="217">
        <f t="shared" si="39"/>
        <v>11669.505999999998</v>
      </c>
      <c r="J377" s="217">
        <f t="shared" si="40"/>
        <v>371.62400000000162</v>
      </c>
      <c r="K377" s="381">
        <f>$H$9+(I377*$E$10*$H$11/1000)</f>
        <v>374.56007306035139</v>
      </c>
      <c r="L377" s="356"/>
      <c r="M377" s="357"/>
      <c r="N377" s="18"/>
    </row>
    <row r="378" spans="1:14">
      <c r="A378" s="330"/>
      <c r="B378" s="216">
        <f t="shared" si="45"/>
        <v>349</v>
      </c>
      <c r="C378" s="216"/>
      <c r="D378" s="331">
        <v>7</v>
      </c>
      <c r="E378" s="332">
        <f t="shared" si="46"/>
        <v>39</v>
      </c>
      <c r="F378" s="215">
        <v>36.840000000000003</v>
      </c>
      <c r="G378" s="217">
        <f t="shared" si="44"/>
        <v>36.442</v>
      </c>
      <c r="H378" s="217" t="s">
        <v>128</v>
      </c>
      <c r="I378" s="217">
        <f t="shared" si="39"/>
        <v>11705.947999999997</v>
      </c>
      <c r="J378" s="217">
        <f t="shared" si="40"/>
        <v>335.18200000000252</v>
      </c>
      <c r="K378" s="381">
        <f>$H$9+(I378*$E$10*$H$11/1000)</f>
        <v>375.34253207639415</v>
      </c>
      <c r="L378" s="356"/>
      <c r="M378" s="357"/>
      <c r="N378" s="18"/>
    </row>
    <row r="379" spans="1:14">
      <c r="A379" s="330"/>
      <c r="B379" s="216">
        <f t="shared" si="45"/>
        <v>350</v>
      </c>
      <c r="C379" s="216"/>
      <c r="D379" s="331">
        <v>7</v>
      </c>
      <c r="E379" s="332">
        <f t="shared" si="46"/>
        <v>38</v>
      </c>
      <c r="F379" s="215">
        <v>36.22</v>
      </c>
      <c r="G379" s="217">
        <f t="shared" si="44"/>
        <v>35.821999999999996</v>
      </c>
      <c r="H379" s="217" t="s">
        <v>128</v>
      </c>
      <c r="I379" s="217">
        <f t="shared" si="39"/>
        <v>11741.769999999997</v>
      </c>
      <c r="J379" s="217">
        <f t="shared" si="40"/>
        <v>299.3600000000024</v>
      </c>
      <c r="K379" s="381">
        <f>$H$9+(I379*$E$10*$H$11/1000)</f>
        <v>376.11167885408702</v>
      </c>
      <c r="L379" s="356"/>
      <c r="M379" s="357"/>
      <c r="N379" s="18"/>
    </row>
    <row r="380" spans="1:14">
      <c r="A380" s="330"/>
      <c r="B380" s="216">
        <f t="shared" si="45"/>
        <v>351</v>
      </c>
      <c r="C380" s="216"/>
      <c r="D380" s="331">
        <v>7</v>
      </c>
      <c r="E380" s="332">
        <f t="shared" si="46"/>
        <v>37</v>
      </c>
      <c r="F380" s="215">
        <v>34.85</v>
      </c>
      <c r="G380" s="217">
        <f t="shared" si="44"/>
        <v>34.451999999999998</v>
      </c>
      <c r="H380" s="217" t="s">
        <v>128</v>
      </c>
      <c r="I380" s="217">
        <f t="shared" si="39"/>
        <v>11776.221999999996</v>
      </c>
      <c r="J380" s="217">
        <f t="shared" si="40"/>
        <v>264.90800000000309</v>
      </c>
      <c r="K380" s="381">
        <f>$H$9+(I380*$E$10*$H$11/1000)</f>
        <v>376.85140987929708</v>
      </c>
      <c r="L380" s="356"/>
      <c r="M380" s="357"/>
      <c r="N380" s="18"/>
    </row>
    <row r="381" spans="1:14">
      <c r="A381" s="330"/>
      <c r="B381" s="216">
        <f t="shared" si="45"/>
        <v>352</v>
      </c>
      <c r="C381" s="216"/>
      <c r="D381" s="331">
        <v>7</v>
      </c>
      <c r="E381" s="332">
        <f t="shared" si="46"/>
        <v>36</v>
      </c>
      <c r="F381" s="215">
        <v>34.729999999999997</v>
      </c>
      <c r="G381" s="217">
        <f t="shared" si="44"/>
        <v>34.331999999999994</v>
      </c>
      <c r="H381" s="217" t="s">
        <v>128</v>
      </c>
      <c r="I381" s="217">
        <f t="shared" si="39"/>
        <v>11810.553999999996</v>
      </c>
      <c r="J381" s="217">
        <f t="shared" si="40"/>
        <v>230.57600000000275</v>
      </c>
      <c r="K381" s="381">
        <f t="shared" ref="K381:K386" si="47">$H$9+(I381*$E$10*$H$11/1000)</f>
        <v>377.58856434224595</v>
      </c>
      <c r="L381" s="356"/>
      <c r="M381" s="357"/>
      <c r="N381" s="18"/>
    </row>
    <row r="382" spans="1:14">
      <c r="A382" s="330"/>
      <c r="B382" s="216">
        <f t="shared" si="45"/>
        <v>353</v>
      </c>
      <c r="C382" s="216"/>
      <c r="D382" s="331">
        <v>7</v>
      </c>
      <c r="E382" s="332">
        <f t="shared" si="46"/>
        <v>35</v>
      </c>
      <c r="F382" s="215">
        <v>33.64</v>
      </c>
      <c r="G382" s="217">
        <f t="shared" si="44"/>
        <v>33.241999999999997</v>
      </c>
      <c r="H382" s="217" t="s">
        <v>128</v>
      </c>
      <c r="I382" s="217">
        <f t="shared" si="39"/>
        <v>11843.795999999997</v>
      </c>
      <c r="J382" s="217">
        <f t="shared" si="40"/>
        <v>197.33400000000256</v>
      </c>
      <c r="K382" s="381">
        <f t="shared" si="47"/>
        <v>378.30231503132154</v>
      </c>
      <c r="L382" s="356"/>
      <c r="M382" s="357"/>
      <c r="N382" s="18"/>
    </row>
    <row r="383" spans="1:14">
      <c r="A383" s="330"/>
      <c r="B383" s="216">
        <f t="shared" si="45"/>
        <v>354</v>
      </c>
      <c r="C383" s="216"/>
      <c r="D383" s="331">
        <v>7</v>
      </c>
      <c r="E383" s="332">
        <f t="shared" si="46"/>
        <v>34</v>
      </c>
      <c r="F383" s="215">
        <v>35.4</v>
      </c>
      <c r="G383" s="217">
        <f t="shared" si="44"/>
        <v>35.001999999999995</v>
      </c>
      <c r="H383" s="217" t="s">
        <v>128</v>
      </c>
      <c r="I383" s="217">
        <f t="shared" si="39"/>
        <v>11878.797999999997</v>
      </c>
      <c r="J383" s="217">
        <f t="shared" si="40"/>
        <v>162.33200000000215</v>
      </c>
      <c r="K383" s="381">
        <f t="shared" si="47"/>
        <v>379.05385530022909</v>
      </c>
      <c r="L383" s="356"/>
      <c r="M383" s="357"/>
      <c r="N383" s="18"/>
    </row>
    <row r="384" spans="1:14">
      <c r="A384" s="330"/>
      <c r="B384" s="216">
        <f t="shared" si="45"/>
        <v>355</v>
      </c>
      <c r="C384" s="216"/>
      <c r="D384" s="331">
        <v>7</v>
      </c>
      <c r="E384" s="332" t="s">
        <v>170</v>
      </c>
      <c r="F384" s="215">
        <v>15.21</v>
      </c>
      <c r="G384" s="217">
        <f t="shared" si="44"/>
        <v>14.812000000000001</v>
      </c>
      <c r="H384" s="217" t="s">
        <v>128</v>
      </c>
      <c r="I384" s="217">
        <f t="shared" si="39"/>
        <v>11893.609999999997</v>
      </c>
      <c r="J384" s="217">
        <f t="shared" si="40"/>
        <v>147.52000000000226</v>
      </c>
      <c r="K384" s="381">
        <f t="shared" si="47"/>
        <v>379.37188896867838</v>
      </c>
      <c r="L384" s="356"/>
      <c r="M384" s="357"/>
      <c r="N384" s="18"/>
    </row>
    <row r="385" spans="1:14" hidden="1">
      <c r="A385" s="326"/>
      <c r="B385" s="374">
        <f>B383+1</f>
        <v>355</v>
      </c>
      <c r="C385" s="374"/>
      <c r="D385" s="375">
        <v>7</v>
      </c>
      <c r="E385" s="376">
        <v>33</v>
      </c>
      <c r="F385" s="377">
        <v>32.24</v>
      </c>
      <c r="G385" s="377">
        <f t="shared" ref="G385" si="48">F385-($E$12)</f>
        <v>31.842000000000002</v>
      </c>
      <c r="H385" s="377" t="s">
        <v>25</v>
      </c>
      <c r="I385" s="377">
        <f t="shared" si="39"/>
        <v>11893.609999999997</v>
      </c>
      <c r="J385" s="377">
        <f t="shared" si="40"/>
        <v>147.52000000000226</v>
      </c>
      <c r="K385" s="378">
        <f t="shared" ref="K385" si="49">$H$9+(I385*$E$10*$H$11/1000)</f>
        <v>379.37188896867838</v>
      </c>
      <c r="L385" s="399" t="s">
        <v>206</v>
      </c>
      <c r="M385" s="380"/>
      <c r="N385" s="18"/>
    </row>
    <row r="386" spans="1:14" ht="13.5" thickBot="1">
      <c r="A386" s="330"/>
      <c r="B386" s="216">
        <f>B384+1</f>
        <v>356</v>
      </c>
      <c r="C386" s="216"/>
      <c r="D386" s="331">
        <v>7</v>
      </c>
      <c r="E386" s="332">
        <v>30</v>
      </c>
      <c r="F386" s="217">
        <v>32.51</v>
      </c>
      <c r="G386" s="217">
        <f t="shared" si="44"/>
        <v>32.111999999999995</v>
      </c>
      <c r="H386" s="217" t="s">
        <v>128</v>
      </c>
      <c r="I386" s="217">
        <f t="shared" si="39"/>
        <v>11925.721999999996</v>
      </c>
      <c r="J386" s="217">
        <f t="shared" si="40"/>
        <v>115.40800000000309</v>
      </c>
      <c r="K386" s="381">
        <f t="shared" si="47"/>
        <v>380.06137702979368</v>
      </c>
      <c r="L386" s="356"/>
      <c r="M386" s="357"/>
      <c r="N386" s="18"/>
    </row>
    <row r="387" spans="1:14" ht="38.25">
      <c r="B387" s="442" t="s">
        <v>160</v>
      </c>
      <c r="C387" s="445" t="s">
        <v>129</v>
      </c>
      <c r="D387" s="446"/>
      <c r="E387" s="447"/>
      <c r="F387" s="297">
        <v>7.08</v>
      </c>
      <c r="G387" s="298">
        <f>F387-($E$12)</f>
        <v>6.6820000000000004</v>
      </c>
      <c r="H387" s="298" t="s">
        <v>128</v>
      </c>
      <c r="I387" s="334">
        <f t="shared" si="39"/>
        <v>11932.403999999997</v>
      </c>
      <c r="J387" s="334">
        <f t="shared" ref="J387:J389" si="50">IF(I387="","",$L$9-I387)</f>
        <v>108.72600000000239</v>
      </c>
      <c r="K387" s="365" t="s">
        <v>175</v>
      </c>
      <c r="L387" s="366"/>
      <c r="M387" s="367"/>
    </row>
    <row r="388" spans="1:14" ht="13.5" thickBot="1">
      <c r="B388" s="443"/>
      <c r="C388" s="430" t="s">
        <v>130</v>
      </c>
      <c r="D388" s="431"/>
      <c r="E388" s="432"/>
      <c r="F388" s="301">
        <v>98.79</v>
      </c>
      <c r="G388" s="302">
        <f>F388</f>
        <v>98.79</v>
      </c>
      <c r="H388" s="302" t="s">
        <v>128</v>
      </c>
      <c r="I388" s="334">
        <f t="shared" si="39"/>
        <v>12031.193999999998</v>
      </c>
      <c r="J388" s="334">
        <f t="shared" si="50"/>
        <v>9.9360000000015134</v>
      </c>
      <c r="K388" s="368"/>
      <c r="L388" s="369"/>
      <c r="M388" s="370"/>
    </row>
    <row r="389" spans="1:14" ht="12.95" customHeight="1" thickBot="1">
      <c r="B389" s="444"/>
      <c r="C389" s="433" t="s">
        <v>131</v>
      </c>
      <c r="D389" s="434"/>
      <c r="E389" s="434"/>
      <c r="F389" s="435"/>
      <c r="G389" s="305">
        <v>9.94</v>
      </c>
      <c r="H389" s="305" t="s">
        <v>128</v>
      </c>
      <c r="I389" s="415">
        <f t="shared" si="39"/>
        <v>12041.133999999998</v>
      </c>
      <c r="J389" s="415">
        <f t="shared" si="50"/>
        <v>-3.9999999989959178E-3</v>
      </c>
      <c r="K389" s="362"/>
      <c r="L389" s="363"/>
      <c r="M389" s="364"/>
    </row>
    <row r="390" spans="1:14">
      <c r="B390" s="13"/>
      <c r="C390" s="13"/>
      <c r="D390" s="294"/>
      <c r="E390" s="294"/>
      <c r="F390" s="295"/>
      <c r="K390" s="296"/>
      <c r="L390" s="424"/>
      <c r="M390" s="424"/>
    </row>
    <row r="391" spans="1:14">
      <c r="B391"/>
      <c r="C391"/>
      <c r="D391" s="22"/>
      <c r="E391"/>
      <c r="F391"/>
      <c r="G391" s="25"/>
      <c r="H391"/>
      <c r="I391"/>
      <c r="J391"/>
      <c r="K391"/>
      <c r="M391" s="14"/>
    </row>
    <row r="392" spans="1:14">
      <c r="B392"/>
      <c r="C392"/>
      <c r="D392" s="22"/>
      <c r="E392"/>
      <c r="F392"/>
      <c r="G392" s="25"/>
      <c r="H392"/>
      <c r="I392"/>
      <c r="J392"/>
      <c r="K392"/>
      <c r="M392" s="14"/>
    </row>
    <row r="393" spans="1:14">
      <c r="B393"/>
      <c r="C393"/>
      <c r="D393" s="22"/>
      <c r="E393"/>
      <c r="F393"/>
      <c r="G393" s="25"/>
      <c r="H393"/>
      <c r="I393"/>
      <c r="J393"/>
      <c r="K393" s="18"/>
      <c r="M393" s="14"/>
    </row>
    <row r="394" spans="1:14">
      <c r="B394"/>
      <c r="C394"/>
      <c r="D394" s="22"/>
      <c r="E394"/>
      <c r="F394"/>
      <c r="G394" s="25"/>
      <c r="H394"/>
      <c r="I394"/>
      <c r="J394"/>
      <c r="K394"/>
      <c r="M394" s="14"/>
    </row>
    <row r="395" spans="1:14">
      <c r="B395"/>
      <c r="C395"/>
      <c r="D395" s="22"/>
      <c r="E395"/>
      <c r="F395"/>
      <c r="G395" s="25"/>
      <c r="H395"/>
      <c r="I395"/>
      <c r="J395"/>
      <c r="K395"/>
      <c r="M395" s="14"/>
    </row>
    <row r="396" spans="1:14">
      <c r="B396"/>
      <c r="C396"/>
      <c r="D396" s="22"/>
      <c r="E396"/>
      <c r="F396"/>
      <c r="G396" s="25"/>
      <c r="H396"/>
      <c r="I396"/>
      <c r="J396"/>
      <c r="K396"/>
      <c r="M396" s="14"/>
    </row>
    <row r="397" spans="1:14">
      <c r="B397"/>
      <c r="C397"/>
      <c r="D397" s="22"/>
      <c r="E397"/>
      <c r="F397"/>
      <c r="G397" s="25"/>
      <c r="H397"/>
      <c r="I397"/>
      <c r="J397"/>
      <c r="K397"/>
      <c r="M397" s="14"/>
    </row>
    <row r="398" spans="1:14">
      <c r="B398"/>
      <c r="C398"/>
      <c r="D398" s="22"/>
      <c r="E398"/>
      <c r="F398"/>
      <c r="G398" s="25"/>
      <c r="H398"/>
      <c r="I398"/>
      <c r="J398"/>
      <c r="K398"/>
      <c r="M398" s="14"/>
    </row>
    <row r="399" spans="1:14">
      <c r="B399"/>
      <c r="C399"/>
      <c r="D399" s="22"/>
      <c r="E399"/>
      <c r="F399"/>
      <c r="G399" s="25"/>
      <c r="H399"/>
      <c r="I399"/>
      <c r="J399"/>
      <c r="K399"/>
      <c r="M399" s="14"/>
    </row>
    <row r="400" spans="1:14">
      <c r="B400"/>
      <c r="C400"/>
      <c r="D400" s="22"/>
      <c r="E400"/>
      <c r="F400"/>
      <c r="G400" s="25"/>
      <c r="H400"/>
      <c r="I400"/>
      <c r="J400"/>
      <c r="K400"/>
      <c r="M400" s="14"/>
    </row>
    <row r="401" spans="2:13">
      <c r="B401"/>
      <c r="C401"/>
      <c r="D401" s="22"/>
      <c r="E401"/>
      <c r="F401"/>
      <c r="G401" s="25"/>
      <c r="H401"/>
      <c r="I401"/>
      <c r="J401"/>
      <c r="K401"/>
      <c r="M401" s="14"/>
    </row>
  </sheetData>
  <mergeCells count="343">
    <mergeCell ref="E6:F6"/>
    <mergeCell ref="E7:F7"/>
    <mergeCell ref="E8:F8"/>
    <mergeCell ref="E9:F9"/>
    <mergeCell ref="E10:F10"/>
    <mergeCell ref="E11:F11"/>
    <mergeCell ref="L13:M14"/>
    <mergeCell ref="B16:B18"/>
    <mergeCell ref="C16:C18"/>
    <mergeCell ref="D16:E16"/>
    <mergeCell ref="L16:M16"/>
    <mergeCell ref="D17:E17"/>
    <mergeCell ref="L17:M17"/>
    <mergeCell ref="D18:E18"/>
    <mergeCell ref="L18:M18"/>
    <mergeCell ref="L25:M25"/>
    <mergeCell ref="O25:P26"/>
    <mergeCell ref="L26:M26"/>
    <mergeCell ref="L27:M27"/>
    <mergeCell ref="L29:M29"/>
    <mergeCell ref="N30:P33"/>
    <mergeCell ref="D20:E20"/>
    <mergeCell ref="B21:B25"/>
    <mergeCell ref="C21:C25"/>
    <mergeCell ref="D21:E21"/>
    <mergeCell ref="L21:M21"/>
    <mergeCell ref="D22:E22"/>
    <mergeCell ref="L22:M22"/>
    <mergeCell ref="L23:M23"/>
    <mergeCell ref="L24:M24"/>
    <mergeCell ref="D25:E25"/>
    <mergeCell ref="L43:M43"/>
    <mergeCell ref="L44:M44"/>
    <mergeCell ref="L45:M45"/>
    <mergeCell ref="L46:M46"/>
    <mergeCell ref="L47:M47"/>
    <mergeCell ref="L48:M48"/>
    <mergeCell ref="R31:S31"/>
    <mergeCell ref="L34:M34"/>
    <mergeCell ref="L35:M35"/>
    <mergeCell ref="L36:M40"/>
    <mergeCell ref="L41:M41"/>
    <mergeCell ref="L42:M42"/>
    <mergeCell ref="L55:M55"/>
    <mergeCell ref="L56:M56"/>
    <mergeCell ref="L57:M57"/>
    <mergeCell ref="L58:M58"/>
    <mergeCell ref="L59:M59"/>
    <mergeCell ref="L60:M60"/>
    <mergeCell ref="L49:M49"/>
    <mergeCell ref="L50:M50"/>
    <mergeCell ref="L51:M51"/>
    <mergeCell ref="L52:M52"/>
    <mergeCell ref="L53:M53"/>
    <mergeCell ref="L54:M54"/>
    <mergeCell ref="L72:M72"/>
    <mergeCell ref="L73:M73"/>
    <mergeCell ref="L74:M74"/>
    <mergeCell ref="L75:M75"/>
    <mergeCell ref="L76:M76"/>
    <mergeCell ref="L77:M77"/>
    <mergeCell ref="L61:M61"/>
    <mergeCell ref="L67:M67"/>
    <mergeCell ref="L68:M68"/>
    <mergeCell ref="L69:M69"/>
    <mergeCell ref="L70:M70"/>
    <mergeCell ref="L71:M71"/>
    <mergeCell ref="L84:M84"/>
    <mergeCell ref="L85:M85"/>
    <mergeCell ref="L86:M86"/>
    <mergeCell ref="L87:M87"/>
    <mergeCell ref="L88:M88"/>
    <mergeCell ref="L89:M89"/>
    <mergeCell ref="L78:M78"/>
    <mergeCell ref="L79:M79"/>
    <mergeCell ref="L80:M80"/>
    <mergeCell ref="L81:M81"/>
    <mergeCell ref="L82:M82"/>
    <mergeCell ref="L83:M83"/>
    <mergeCell ref="L96:M96"/>
    <mergeCell ref="L97:M97"/>
    <mergeCell ref="L98:M98"/>
    <mergeCell ref="L99:M99"/>
    <mergeCell ref="L100:M100"/>
    <mergeCell ref="L101:M101"/>
    <mergeCell ref="L90:M90"/>
    <mergeCell ref="L91:M91"/>
    <mergeCell ref="L92:M92"/>
    <mergeCell ref="L93:M93"/>
    <mergeCell ref="L94:M94"/>
    <mergeCell ref="L95:M95"/>
    <mergeCell ref="L108:M108"/>
    <mergeCell ref="L109:M109"/>
    <mergeCell ref="L110:M110"/>
    <mergeCell ref="L111:M111"/>
    <mergeCell ref="L112:M112"/>
    <mergeCell ref="L113:M113"/>
    <mergeCell ref="L102:M102"/>
    <mergeCell ref="L103:M103"/>
    <mergeCell ref="L104:M104"/>
    <mergeCell ref="L105:M105"/>
    <mergeCell ref="L106:M106"/>
    <mergeCell ref="L107:M107"/>
    <mergeCell ref="L120:M120"/>
    <mergeCell ref="L121:M121"/>
    <mergeCell ref="L122:M122"/>
    <mergeCell ref="L123:M123"/>
    <mergeCell ref="L124:M124"/>
    <mergeCell ref="L125:M125"/>
    <mergeCell ref="L114:M114"/>
    <mergeCell ref="L115:M115"/>
    <mergeCell ref="L116:M116"/>
    <mergeCell ref="L117:M117"/>
    <mergeCell ref="L118:M118"/>
    <mergeCell ref="L119:M119"/>
    <mergeCell ref="L132:M132"/>
    <mergeCell ref="L133:M133"/>
    <mergeCell ref="L134:M134"/>
    <mergeCell ref="L135:M135"/>
    <mergeCell ref="L136:M136"/>
    <mergeCell ref="L137:M137"/>
    <mergeCell ref="L126:M126"/>
    <mergeCell ref="L127:M127"/>
    <mergeCell ref="L128:M128"/>
    <mergeCell ref="L129:M129"/>
    <mergeCell ref="L130:M130"/>
    <mergeCell ref="L131:M131"/>
    <mergeCell ref="L144:M144"/>
    <mergeCell ref="L145:M145"/>
    <mergeCell ref="L146:M146"/>
    <mergeCell ref="L147:M147"/>
    <mergeCell ref="L149:M149"/>
    <mergeCell ref="L150:M150"/>
    <mergeCell ref="L138:M138"/>
    <mergeCell ref="L139:M139"/>
    <mergeCell ref="L140:M140"/>
    <mergeCell ref="L141:M141"/>
    <mergeCell ref="L142:M142"/>
    <mergeCell ref="L143:M143"/>
    <mergeCell ref="L157:M157"/>
    <mergeCell ref="L158:M158"/>
    <mergeCell ref="L159:M159"/>
    <mergeCell ref="L160:M160"/>
    <mergeCell ref="L161:M161"/>
    <mergeCell ref="L162:M162"/>
    <mergeCell ref="L151:M151"/>
    <mergeCell ref="L152:M152"/>
    <mergeCell ref="L153:M153"/>
    <mergeCell ref="L154:M154"/>
    <mergeCell ref="L155:M155"/>
    <mergeCell ref="L156:M156"/>
    <mergeCell ref="L169:M169"/>
    <mergeCell ref="L170:M170"/>
    <mergeCell ref="L171:M171"/>
    <mergeCell ref="L172:M172"/>
    <mergeCell ref="L173:M173"/>
    <mergeCell ref="L174:M174"/>
    <mergeCell ref="L163:M163"/>
    <mergeCell ref="L164:M164"/>
    <mergeCell ref="L165:M165"/>
    <mergeCell ref="L166:M166"/>
    <mergeCell ref="L167:M167"/>
    <mergeCell ref="L168:M168"/>
    <mergeCell ref="L181:M181"/>
    <mergeCell ref="L182:M182"/>
    <mergeCell ref="L183:M183"/>
    <mergeCell ref="L184:M184"/>
    <mergeCell ref="L185:M185"/>
    <mergeCell ref="L186:M186"/>
    <mergeCell ref="L175:M175"/>
    <mergeCell ref="L176:M176"/>
    <mergeCell ref="L177:M177"/>
    <mergeCell ref="L178:M178"/>
    <mergeCell ref="L179:M179"/>
    <mergeCell ref="L180:M180"/>
    <mergeCell ref="L193:M193"/>
    <mergeCell ref="L194:M194"/>
    <mergeCell ref="L195:M195"/>
    <mergeCell ref="L196:M196"/>
    <mergeCell ref="L197:M197"/>
    <mergeCell ref="L198:M198"/>
    <mergeCell ref="L187:M187"/>
    <mergeCell ref="L188:M188"/>
    <mergeCell ref="L189:M189"/>
    <mergeCell ref="L190:M190"/>
    <mergeCell ref="L191:M191"/>
    <mergeCell ref="L192:M192"/>
    <mergeCell ref="L205:M205"/>
    <mergeCell ref="L206:M206"/>
    <mergeCell ref="L207:M207"/>
    <mergeCell ref="L208:M208"/>
    <mergeCell ref="L209:M209"/>
    <mergeCell ref="L210:M210"/>
    <mergeCell ref="L199:M199"/>
    <mergeCell ref="L200:M200"/>
    <mergeCell ref="L201:M201"/>
    <mergeCell ref="L202:M202"/>
    <mergeCell ref="L203:M203"/>
    <mergeCell ref="L204:M204"/>
    <mergeCell ref="L217:M217"/>
    <mergeCell ref="L218:M218"/>
    <mergeCell ref="L219:M219"/>
    <mergeCell ref="L220:M220"/>
    <mergeCell ref="L221:M221"/>
    <mergeCell ref="L222:M222"/>
    <mergeCell ref="L211:M211"/>
    <mergeCell ref="L212:M212"/>
    <mergeCell ref="L213:M213"/>
    <mergeCell ref="L214:M214"/>
    <mergeCell ref="L215:M215"/>
    <mergeCell ref="L216:M216"/>
    <mergeCell ref="L229:M229"/>
    <mergeCell ref="L230:M230"/>
    <mergeCell ref="L231:M231"/>
    <mergeCell ref="L232:M232"/>
    <mergeCell ref="L233:M233"/>
    <mergeCell ref="L234:M234"/>
    <mergeCell ref="L223:M223"/>
    <mergeCell ref="L224:M224"/>
    <mergeCell ref="L225:M225"/>
    <mergeCell ref="L226:M226"/>
    <mergeCell ref="L227:M227"/>
    <mergeCell ref="L228:M228"/>
    <mergeCell ref="L241:M241"/>
    <mergeCell ref="L242:M242"/>
    <mergeCell ref="L243:M243"/>
    <mergeCell ref="L244:M244"/>
    <mergeCell ref="L245:M245"/>
    <mergeCell ref="L246:M246"/>
    <mergeCell ref="L235:M235"/>
    <mergeCell ref="L236:M236"/>
    <mergeCell ref="L237:M237"/>
    <mergeCell ref="L238:M238"/>
    <mergeCell ref="L239:M239"/>
    <mergeCell ref="L240:M240"/>
    <mergeCell ref="L253:M253"/>
    <mergeCell ref="L254:M254"/>
    <mergeCell ref="L255:M255"/>
    <mergeCell ref="L256:M256"/>
    <mergeCell ref="L257:M257"/>
    <mergeCell ref="L258:M258"/>
    <mergeCell ref="L247:M247"/>
    <mergeCell ref="L248:M248"/>
    <mergeCell ref="L249:M249"/>
    <mergeCell ref="L250:M250"/>
    <mergeCell ref="L251:M251"/>
    <mergeCell ref="L252:M252"/>
    <mergeCell ref="L265:M265"/>
    <mergeCell ref="L266:M266"/>
    <mergeCell ref="L267:M267"/>
    <mergeCell ref="L268:M268"/>
    <mergeCell ref="L269:M269"/>
    <mergeCell ref="L270:M270"/>
    <mergeCell ref="L259:M259"/>
    <mergeCell ref="L260:M260"/>
    <mergeCell ref="L261:M261"/>
    <mergeCell ref="L262:M262"/>
    <mergeCell ref="L263:M263"/>
    <mergeCell ref="L264:M264"/>
    <mergeCell ref="L277:M277"/>
    <mergeCell ref="L278:M278"/>
    <mergeCell ref="L279:M279"/>
    <mergeCell ref="L280:M280"/>
    <mergeCell ref="L281:M281"/>
    <mergeCell ref="L282:M282"/>
    <mergeCell ref="L271:M271"/>
    <mergeCell ref="L272:M272"/>
    <mergeCell ref="L273:M273"/>
    <mergeCell ref="L274:M274"/>
    <mergeCell ref="L275:M275"/>
    <mergeCell ref="L276:M276"/>
    <mergeCell ref="L289:M289"/>
    <mergeCell ref="L290:M290"/>
    <mergeCell ref="L291:M291"/>
    <mergeCell ref="L292:M292"/>
    <mergeCell ref="L293:M293"/>
    <mergeCell ref="L294:M294"/>
    <mergeCell ref="L283:M283"/>
    <mergeCell ref="L284:M284"/>
    <mergeCell ref="L285:M285"/>
    <mergeCell ref="L286:M286"/>
    <mergeCell ref="L287:M287"/>
    <mergeCell ref="L288:M288"/>
    <mergeCell ref="L301:M301"/>
    <mergeCell ref="L302:M302"/>
    <mergeCell ref="L303:M303"/>
    <mergeCell ref="L304:M304"/>
    <mergeCell ref="L305:M305"/>
    <mergeCell ref="L306:M306"/>
    <mergeCell ref="L295:M295"/>
    <mergeCell ref="L296:M296"/>
    <mergeCell ref="L297:M297"/>
    <mergeCell ref="L298:M298"/>
    <mergeCell ref="L299:M299"/>
    <mergeCell ref="L300:M300"/>
    <mergeCell ref="L319:M319"/>
    <mergeCell ref="L320:M320"/>
    <mergeCell ref="L321:M321"/>
    <mergeCell ref="L322:M322"/>
    <mergeCell ref="L323:M323"/>
    <mergeCell ref="L324:M324"/>
    <mergeCell ref="L313:M313"/>
    <mergeCell ref="L314:M314"/>
    <mergeCell ref="L315:M315"/>
    <mergeCell ref="L316:M316"/>
    <mergeCell ref="L317:M317"/>
    <mergeCell ref="L318:M318"/>
    <mergeCell ref="D347:E347"/>
    <mergeCell ref="L347:M347"/>
    <mergeCell ref="D348:E348"/>
    <mergeCell ref="L348:M348"/>
    <mergeCell ref="D349:E349"/>
    <mergeCell ref="L349:M349"/>
    <mergeCell ref="L325:M325"/>
    <mergeCell ref="L326:M326"/>
    <mergeCell ref="L327:M327"/>
    <mergeCell ref="L328:M328"/>
    <mergeCell ref="L329:M329"/>
    <mergeCell ref="L342:M342"/>
    <mergeCell ref="L390:M390"/>
    <mergeCell ref="D15:F15"/>
    <mergeCell ref="B387:B389"/>
    <mergeCell ref="C387:E387"/>
    <mergeCell ref="C388:E388"/>
    <mergeCell ref="C389:F389"/>
    <mergeCell ref="L360:M360"/>
    <mergeCell ref="L361:M361"/>
    <mergeCell ref="L354:M354"/>
    <mergeCell ref="L355:M355"/>
    <mergeCell ref="L356:M356"/>
    <mergeCell ref="L357:M357"/>
    <mergeCell ref="L358:M358"/>
    <mergeCell ref="L359:M359"/>
    <mergeCell ref="D350:E350"/>
    <mergeCell ref="L350:M350"/>
    <mergeCell ref="D351:E351"/>
    <mergeCell ref="L351:M351"/>
    <mergeCell ref="L352:M352"/>
    <mergeCell ref="L353:M353"/>
    <mergeCell ref="L343:M343"/>
    <mergeCell ref="L344:M344"/>
    <mergeCell ref="B347:B351"/>
    <mergeCell ref="C347:C351"/>
  </mergeCells>
  <printOptions horizontalCentered="1" verticalCentered="1"/>
  <pageMargins left="0.25" right="0.25" top="0.25" bottom="0.25" header="0" footer="0"/>
  <pageSetup scale="81" fitToHeight="8" orientation="portrait" r:id="rId1"/>
  <headerFooter alignWithMargins="0">
    <oddHeader>&amp;L&amp;"Calibri"&amp;9&amp;K000000Classification: Internal&amp;1#</oddHeader>
    <oddFooter>Page &amp;P</oddFooter>
  </headerFooter>
  <rowBreaks count="2" manualBreakCount="2">
    <brk id="60" max="16383" man="1"/>
    <brk id="321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6A0DC3B56C494E81B01879E1F078A5" ma:contentTypeVersion="2" ma:contentTypeDescription="Create a new document." ma:contentTypeScope="" ma:versionID="a711816804160e4c262142418d241555">
  <xsd:schema xmlns:xsd="http://www.w3.org/2001/XMLSchema" xmlns:xs="http://www.w3.org/2001/XMLSchema" xmlns:p="http://schemas.microsoft.com/office/2006/metadata/properties" xmlns:ns2="3dac3852-c40f-424b-91f3-2b0e1d122f46" targetNamespace="http://schemas.microsoft.com/office/2006/metadata/properties" ma:root="true" ma:fieldsID="17c56f4c300bfd4079ac06512d9df2fa" ns2:_="">
    <xsd:import namespace="3dac3852-c40f-424b-91f3-2b0e1d122f46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3852-c40f-424b-91f3-2b0e1d122f4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A44C32-090A-466A-97C9-772307D9194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629979F-3B1C-4CC8-A94B-B92A6A79B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ac3852-c40f-424b-91f3-2b0e1d122f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83825F-2469-482E-812E-118BD4BE1C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NFQ20-6 Run Tally</vt:lpstr>
      <vt:lpstr>7" 26# Deck Tally</vt:lpstr>
      <vt:lpstr>SPACE OUT Calculation</vt:lpstr>
      <vt:lpstr>Sheet1</vt:lpstr>
      <vt:lpstr>NFQ20-6 FINAL Tally</vt:lpstr>
      <vt:lpstr>'NFQ20-6 FINAL Tally'!Область_печати</vt:lpstr>
      <vt:lpstr>'NFQ20-6 Run Tally'!Область_печати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DTF (Rig - Hak 8) - Ras Laffan</dc:creator>
  <cp:lastModifiedBy>Maxim Kiselev</cp:lastModifiedBy>
  <cp:lastPrinted>2025-03-15T06:40:21Z</cp:lastPrinted>
  <dcterms:created xsi:type="dcterms:W3CDTF">1998-08-22T05:18:06Z</dcterms:created>
  <dcterms:modified xsi:type="dcterms:W3CDTF">2026-01-25T16:46:43Z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0x010100BE6A0DC3B56C494E81B01879E1F078A5</vt:lpwstr>
  </property>
</Properties>
</file>