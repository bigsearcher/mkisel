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ate1904="1" codeName="ThisWorkbook"/>
  <mc:AlternateContent xmlns:mc="http://schemas.openxmlformats.org/markup-compatibility/2006">
    <mc:Choice Requires="x15">
      <x15ac:absPath xmlns:x15ac="http://schemas.microsoft.com/office/spreadsheetml/2010/11/ac" url="D:\Cloud\Docs\Git\mkisel\Tally Parser\Sample\"/>
    </mc:Choice>
  </mc:AlternateContent>
  <xr:revisionPtr revIDLastSave="0" documentId="8_{5A6C685D-0E0D-416B-B970-44EF23EB9449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xxxxxx" sheetId="1" state="veryHidden" r:id="rId1"/>
    <sheet name="Liner Tally NFQ22-2" sheetId="4" r:id="rId2"/>
    <sheet name="Deck Tally" sheetId="3" r:id="rId3"/>
  </sheets>
  <externalReferences>
    <externalReference r:id="rId4"/>
    <externalReference r:id="rId5"/>
    <externalReference r:id="rId6"/>
  </externalReferences>
  <definedNames>
    <definedName name="___add1">'[1]Well-20'!#REF!</definedName>
    <definedName name="___add2">'[1]Well-20'!#REF!</definedName>
    <definedName name="___add3">'[1]Well-20'!#REF!</definedName>
    <definedName name="___add4">'[1]Well-20'!#REF!</definedName>
    <definedName name="___add5">'[1]Well-20'!#REF!</definedName>
    <definedName name="___add6">'[1]Well-20'!#REF!</definedName>
    <definedName name="___add7">'[1]Well-20'!#REF!</definedName>
    <definedName name="___add8">'[1]Well-20'!#REF!</definedName>
    <definedName name="___add9">'[1]Well-20'!#REF!</definedName>
    <definedName name="___cem20">'[1]Well-20'!#REF!</definedName>
    <definedName name="___cem30">'[1]Well-20'!#REF!</definedName>
    <definedName name="___tot13">#REF!</definedName>
    <definedName name="___tot30">#REF!</definedName>
    <definedName name="___tot7">#REF!</definedName>
    <definedName name="___tot9">#REF!</definedName>
    <definedName name="___xs20">#REF!</definedName>
    <definedName name="__add1">'[1]Well-20'!#REF!</definedName>
    <definedName name="__add2">'[1]Well-20'!#REF!</definedName>
    <definedName name="__add3">'[1]Well-20'!#REF!</definedName>
    <definedName name="__add4">'[1]Well-20'!#REF!</definedName>
    <definedName name="__add5">'[1]Well-20'!#REF!</definedName>
    <definedName name="__add6">'[1]Well-20'!#REF!</definedName>
    <definedName name="__add7">'[1]Well-20'!#REF!</definedName>
    <definedName name="__add8">'[1]Well-20'!#REF!</definedName>
    <definedName name="__add9">'[1]Well-20'!#REF!</definedName>
    <definedName name="__cem20">'[1]Well-20'!#REF!</definedName>
    <definedName name="__cem30">'[1]Well-20'!#REF!</definedName>
    <definedName name="__NFQ6">#REF!</definedName>
    <definedName name="__tot13">#REF!</definedName>
    <definedName name="__tot30">#REF!</definedName>
    <definedName name="__tot7">#REF!</definedName>
    <definedName name="__tot9">#REF!</definedName>
    <definedName name="__xs20">#REF!</definedName>
    <definedName name="_58_D124_bwoc">NA()</definedName>
    <definedName name="_58_D124_bwoc_1">NA()</definedName>
    <definedName name="_58_XE825_bwoc">NA()</definedName>
    <definedName name="_58_XE825_bwoc_1">NA()</definedName>
    <definedName name="_add1">NA()</definedName>
    <definedName name="_add1_1">NA()</definedName>
    <definedName name="_add2">NA()</definedName>
    <definedName name="_add2_1">NA()</definedName>
    <definedName name="_add3">NA()</definedName>
    <definedName name="_add3_1">NA()</definedName>
    <definedName name="_add4">NA()</definedName>
    <definedName name="_add4_1">NA()</definedName>
    <definedName name="_add5">NA()</definedName>
    <definedName name="_add5_1">NA()</definedName>
    <definedName name="_add6">NA()</definedName>
    <definedName name="_add6_1">NA()</definedName>
    <definedName name="_add7">NA()</definedName>
    <definedName name="_add7_1">NA()</definedName>
    <definedName name="_add8">NA()</definedName>
    <definedName name="_add8_1">NA()</definedName>
    <definedName name="_add9">NA()</definedName>
    <definedName name="_add9_1">NA()</definedName>
    <definedName name="_cem20">NA()</definedName>
    <definedName name="_cem20_1">NA()</definedName>
    <definedName name="_cem30">NA()</definedName>
    <definedName name="_cem30_1">NA()</definedName>
    <definedName name="_Fill">NA()</definedName>
    <definedName name="_Fill_1">NA()</definedName>
    <definedName name="_NFQ6">#REF!</definedName>
    <definedName name="_Order1">255</definedName>
    <definedName name="_Order2">255</definedName>
    <definedName name="_tot13">NA()</definedName>
    <definedName name="_tot30">NA()</definedName>
    <definedName name="_tot7">NA()</definedName>
    <definedName name="_tot9">NA()</definedName>
    <definedName name="_xs20">NA()</definedName>
    <definedName name="acideqp">NA()</definedName>
    <definedName name="acideqp_1">NA()</definedName>
    <definedName name="additive">NA()</definedName>
    <definedName name="AJ16d1537">NA()</definedName>
    <definedName name="AJ16d66">NA()</definedName>
    <definedName name="AJ16d667">NA()</definedName>
    <definedName name="AJ16ld7">NA()</definedName>
    <definedName name="AJ17d76">NA()</definedName>
    <definedName name="AJ17d767">NA()</definedName>
    <definedName name="AJ17ld7">NA()</definedName>
    <definedName name="AJ18d47">NA()</definedName>
    <definedName name="AJ18d477">NA()</definedName>
    <definedName name="AJ18d76">NA()</definedName>
    <definedName name="AJ18ld7">NA()</definedName>
    <definedName name="AJ19d153">NA()</definedName>
    <definedName name="AJ19d1537">NA()</definedName>
    <definedName name="AJ19ld7">NA()</definedName>
    <definedName name="AJ20d134">NA()</definedName>
    <definedName name="AJ20d1347">NA()</definedName>
    <definedName name="AJ20ld7">NA()</definedName>
    <definedName name="AJ20ld7_1">NA()</definedName>
    <definedName name="AJ21d135">NA()</definedName>
    <definedName name="AJ21d1357">NA()</definedName>
    <definedName name="AJ21ld7">NA()</definedName>
    <definedName name="AJ22d28">NA()</definedName>
    <definedName name="AJ22d287">NA()</definedName>
    <definedName name="AJ22ld7">NA()</definedName>
    <definedName name="AL9c7">NA()</definedName>
    <definedName name="AL9cem4">NA()</definedName>
    <definedName name="AL9cem7">NA()</definedName>
    <definedName name="antl">NA()</definedName>
    <definedName name="antl_1">NA()</definedName>
    <definedName name="benl">NA()</definedName>
    <definedName name="benl_1">NA()</definedName>
    <definedName name="Bidname">NA()</definedName>
    <definedName name="Bidno">NA()</definedName>
    <definedName name="casbatam">NA()</definedName>
    <definedName name="casing">NA()</definedName>
    <definedName name="cassurabaya">NA()</definedName>
    <definedName name="cassurabaya_1">NA()</definedName>
    <definedName name="castotal">NA()</definedName>
    <definedName name="castotal_1">NA()</definedName>
    <definedName name="cem13ld">NA()</definedName>
    <definedName name="cem13tl">NA()</definedName>
    <definedName name="cem20l">NA()</definedName>
    <definedName name="cem20l_1">NA()</definedName>
    <definedName name="cem20ld">NA()</definedName>
    <definedName name="cem20tl">NA()</definedName>
    <definedName name="cem30ld">NA()</definedName>
    <definedName name="cem30tl">NA()</definedName>
    <definedName name="cem313ld">NA()</definedName>
    <definedName name="cem313tl">NA()</definedName>
    <definedName name="cem320ld">NA()</definedName>
    <definedName name="cem320tl">NA()</definedName>
    <definedName name="cem39ld">NA()</definedName>
    <definedName name="Cem7ld">NA()</definedName>
    <definedName name="Cem7tl">NA()</definedName>
    <definedName name="Cem9ld">NA()</definedName>
    <definedName name="Cem9tl">NA()</definedName>
    <definedName name="Cement">NA()</definedName>
    <definedName name="cemeqp">NA()</definedName>
    <definedName name="cemeqp_1">NA()</definedName>
    <definedName name="cemplug2">NA()</definedName>
    <definedName name="cemplug23">NA()</definedName>
    <definedName name="cemplug3">NA()</definedName>
    <definedName name="cemplug33">NA()</definedName>
    <definedName name="chemcont">NA()</definedName>
    <definedName name="cmt">NA()</definedName>
    <definedName name="com">NA()</definedName>
    <definedName name="Contr">NA()</definedName>
    <definedName name="costsinga2">NA()</definedName>
    <definedName name="costsinga2_1">NA()</definedName>
    <definedName name="CSGMKUP">NA()</definedName>
    <definedName name="cteqp">NA()</definedName>
    <definedName name="cteqp_1">NA()</definedName>
    <definedName name="D_031">NA()</definedName>
    <definedName name="D_033">NA()</definedName>
    <definedName name="D_047">NA()</definedName>
    <definedName name="D_066">NA()</definedName>
    <definedName name="D_075">NA()</definedName>
    <definedName name="D_080">NA()</definedName>
    <definedName name="D_110">NA()</definedName>
    <definedName name="D_112">NA()</definedName>
    <definedName name="D_135">NA()</definedName>
    <definedName name="D_147">NA()</definedName>
    <definedName name="D_149">NA()</definedName>
    <definedName name="D_600">NA()</definedName>
    <definedName name="D_801">NA()</definedName>
    <definedName name="d121plug2">NA()</definedName>
    <definedName name="d121plug23">NA()</definedName>
    <definedName name="d134l39">NA()</definedName>
    <definedName name="d134t9">NA()</definedName>
    <definedName name="d135l13">NA()</definedName>
    <definedName name="d135l13_1">NA()</definedName>
    <definedName name="d135l313">NA()</definedName>
    <definedName name="d135l313_1">NA()</definedName>
    <definedName name="d135l39">NA()</definedName>
    <definedName name="d135t13">NA()</definedName>
    <definedName name="d135t313">NA()</definedName>
    <definedName name="d135t9">NA()</definedName>
    <definedName name="d135t9_1">NA()</definedName>
    <definedName name="d138l13">NA()</definedName>
    <definedName name="d138l313">NA()</definedName>
    <definedName name="d153l">NA()</definedName>
    <definedName name="d153l_1">NA()</definedName>
    <definedName name="d153l20">NA()</definedName>
    <definedName name="d153l20_1">NA()</definedName>
    <definedName name="d153l320">NA()</definedName>
    <definedName name="d153l320_1">NA()</definedName>
    <definedName name="d153l39">NA()</definedName>
    <definedName name="d153t13">NA()</definedName>
    <definedName name="d153t313">NA()</definedName>
    <definedName name="d153t9">NA()</definedName>
    <definedName name="d20l">NA()</definedName>
    <definedName name="d20l_1">NA()</definedName>
    <definedName name="d20l13">NA()</definedName>
    <definedName name="d20l20">NA()</definedName>
    <definedName name="d20l313">NA()</definedName>
    <definedName name="d20l320">NA()</definedName>
    <definedName name="d20t">NA()</definedName>
    <definedName name="d20t_1">NA()</definedName>
    <definedName name="d20t20">NA()</definedName>
    <definedName name="d20t20_1">NA()</definedName>
    <definedName name="d20t320">NA()</definedName>
    <definedName name="d28l39">NA()</definedName>
    <definedName name="d28plug2">NA()</definedName>
    <definedName name="d28plug23">NA()</definedName>
    <definedName name="d28t9">NA()</definedName>
    <definedName name="d28t9_1">NA()</definedName>
    <definedName name="d2ol20">NA()</definedName>
    <definedName name="d2ol20_1">NA()</definedName>
    <definedName name="d47l">NA()</definedName>
    <definedName name="d47l_1">NA()</definedName>
    <definedName name="d47l13">NA()</definedName>
    <definedName name="d47l20">NA()</definedName>
    <definedName name="d47l313">NA()</definedName>
    <definedName name="d47l320">NA()</definedName>
    <definedName name="d47l39">NA()</definedName>
    <definedName name="d47plug2">NA()</definedName>
    <definedName name="d47plug23">NA()</definedName>
    <definedName name="d47plug3">NA()</definedName>
    <definedName name="d47plug33">NA()</definedName>
    <definedName name="d47t">NA()</definedName>
    <definedName name="d47t_1">NA()</definedName>
    <definedName name="d47t13">NA()</definedName>
    <definedName name="d47t20">NA()</definedName>
    <definedName name="d47t313">NA()</definedName>
    <definedName name="d47t320">NA()</definedName>
    <definedName name="d47t9">NA()</definedName>
    <definedName name="d600l13">NA()</definedName>
    <definedName name="d600l13_1">NA()</definedName>
    <definedName name="d600l313">NA()</definedName>
    <definedName name="d600l313_1">NA()</definedName>
    <definedName name="d600t13">NA()</definedName>
    <definedName name="d600t13_1">NA()</definedName>
    <definedName name="d600t313">NA()</definedName>
    <definedName name="d600t313_1">NA()</definedName>
    <definedName name="d66l13">NA()</definedName>
    <definedName name="d66l313">NA()</definedName>
    <definedName name="d66l39">NA()</definedName>
    <definedName name="d66plug2">NA()</definedName>
    <definedName name="d66plug23">NA()</definedName>
    <definedName name="d66t13">NA()</definedName>
    <definedName name="d66t313">NA()</definedName>
    <definedName name="d66t9">NA()</definedName>
    <definedName name="d76l39">NA()</definedName>
    <definedName name="d76plug2">NA()</definedName>
    <definedName name="d76plug23">NA()</definedName>
    <definedName name="d76t9">NA()</definedName>
    <definedName name="d800t13">NA()</definedName>
    <definedName name="d800t13_1">NA()</definedName>
    <definedName name="d801l">NA()</definedName>
    <definedName name="d801l_1">NA()</definedName>
    <definedName name="d801l13">NA()</definedName>
    <definedName name="d801l20">NA()</definedName>
    <definedName name="d801l313">NA()</definedName>
    <definedName name="d801l320">NA()</definedName>
    <definedName name="d801t">NA()</definedName>
    <definedName name="d801t_1">NA()</definedName>
    <definedName name="d801t13">NA()</definedName>
    <definedName name="d801t20">NA()</definedName>
    <definedName name="d801t313">NA()</definedName>
    <definedName name="d801t320">NA()</definedName>
    <definedName name="d80l">NA()</definedName>
    <definedName name="d80l_1">NA()</definedName>
    <definedName name="d80l13">NA()</definedName>
    <definedName name="d80l20">NA()</definedName>
    <definedName name="d80l20_1">NA()</definedName>
    <definedName name="d80l313">NA()</definedName>
    <definedName name="d80l320">NA()</definedName>
    <definedName name="d80plug3">NA()</definedName>
    <definedName name="d80plug33">NA()</definedName>
    <definedName name="d80t">NA()</definedName>
    <definedName name="d80t_1">NA()</definedName>
    <definedName name="d80t13">NA()</definedName>
    <definedName name="d80t20">NA()</definedName>
    <definedName name="d80t313">NA()</definedName>
    <definedName name="d80t320">NA()</definedName>
    <definedName name="defl">NA()</definedName>
    <definedName name="defl_1">NA()</definedName>
    <definedName name="demob">NA()</definedName>
    <definedName name="dhtools">NA()</definedName>
    <definedName name="disl">NA()</definedName>
    <definedName name="disl_1">NA()</definedName>
    <definedName name="EJT_Hrs_Min">134/60</definedName>
    <definedName name="EKIKO2" localSheetId="1">'Liner Tally NFQ22-2'!$F$5</definedName>
    <definedName name="EKIKO2">#REF!</definedName>
    <definedName name="eng">NA()</definedName>
    <definedName name="Eqp">NA()</definedName>
    <definedName name="eqpadd">NA()</definedName>
    <definedName name="eqpadd_1">NA()</definedName>
    <definedName name="Equipment">NA()</definedName>
    <definedName name="EX">NA()</definedName>
    <definedName name="EX_1">NA()</definedName>
    <definedName name="Excel_BuiltIn_Print_Area_2">NA()</definedName>
    <definedName name="Excel_BuiltIn_Print_Area_2_1">NA()</definedName>
    <definedName name="Excel_BuiltIn_Print_Area_4">NA()</definedName>
    <definedName name="Excel_BuiltIn_Print_Area_4_1">NA()</definedName>
    <definedName name="FACTOR">NA()</definedName>
    <definedName name="FACTOR_1">NA()</definedName>
    <definedName name="G">NA()</definedName>
    <definedName name="Grade_List">[2]!TubingData[GRADE]</definedName>
    <definedName name="help">NA()</definedName>
    <definedName name="Import">NA()</definedName>
    <definedName name="Import2">NA()</definedName>
    <definedName name="life">NA()</definedName>
    <definedName name="Local">NA()</definedName>
    <definedName name="Local2">NA()</definedName>
    <definedName name="midlife">NA()</definedName>
    <definedName name="mob">NA()</definedName>
    <definedName name="mobadd">NA()</definedName>
    <definedName name="mobadd_1">NA()</definedName>
    <definedName name="MUD">NA()</definedName>
    <definedName name="MUD_1">NA()</definedName>
    <definedName name="n2eqp">NA()</definedName>
    <definedName name="n2eqp_1">NA()</definedName>
    <definedName name="OD_List">[2]!TubingData[OD]</definedName>
    <definedName name="op_cost1">NA()</definedName>
    <definedName name="op_cost1_1">NA()</definedName>
    <definedName name="pers">NA()</definedName>
    <definedName name="persadd">NA()</definedName>
    <definedName name="persadd_1">NA()</definedName>
    <definedName name="PMUD">NA()</definedName>
    <definedName name="PMUD_1">NA()</definedName>
    <definedName name="PPF_List">OFFSET('[2]Tubing info'!$B$2, MATCH([3]Sheet1!$J$3, '[2]Tubing info'!$A$2:$A$254, 0) - 1, 0, COUNTIF('[2]Tubing info'!$A$2:$A$254, [3]Sheet1!$J$3), 1)</definedName>
    <definedName name="provit">NA()</definedName>
    <definedName name="provit_1">NA()</definedName>
    <definedName name="provit1">NA()</definedName>
    <definedName name="provit1_1">NA()</definedName>
    <definedName name="retainers">NA()</definedName>
    <definedName name="retl">NA()</definedName>
    <definedName name="retl_1">NA()</definedName>
    <definedName name="sampling">NA()</definedName>
    <definedName name="semilife">NA()</definedName>
    <definedName name="stdby">NA()</definedName>
    <definedName name="stdcemcrew">NA()</definedName>
    <definedName name="stdcemcrew_1">NA()</definedName>
    <definedName name="surf">NA()</definedName>
    <definedName name="Testing">_xlfn._xlws.FILTER([2]!TubingData[GRADE], ([2]!TubingData[OD]&amp;"_"&amp;[2]!TubingData[PPF])=[3]Sheet1!XFC1&amp;"_"&amp;[3]Sheet1!XFD1)</definedName>
    <definedName name="TITLE">NA()</definedName>
    <definedName name="TITLE_1">NA()</definedName>
    <definedName name="tot_rev">NA()</definedName>
    <definedName name="tot_rev_1">NA()</definedName>
    <definedName name="totbid">NA()</definedName>
    <definedName name="totcem">NA()</definedName>
    <definedName name="Totchem">NA()</definedName>
    <definedName name="Totchemadd">NA()</definedName>
    <definedName name="Totchemcost">NA()</definedName>
    <definedName name="Totchemjob">NA()</definedName>
    <definedName name="totCR">NA()</definedName>
    <definedName name="TotCSG">NA()</definedName>
    <definedName name="toteng">NA()</definedName>
    <definedName name="Toteqp">NA()</definedName>
    <definedName name="tothelp">NA()</definedName>
    <definedName name="totpers">NA()</definedName>
    <definedName name="totprod">NA()</definedName>
    <definedName name="totser">NA()</definedName>
    <definedName name="tpers1">NA()</definedName>
    <definedName name="Tubing_Weight_List">[2]!TubingData[PPF]</definedName>
    <definedName name="year">NA()</definedName>
    <definedName name="_xlnm.Print_Titles" localSheetId="1">'Liner Tally NFQ22-2'!$2:$16</definedName>
    <definedName name="_xlnm.Print_Area" localSheetId="1">'Liner Tally NFQ22-2'!$B$1:$M$679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72" i="4" l="1"/>
  <c r="H672" i="4" s="1"/>
  <c r="F671" i="4"/>
  <c r="H671" i="4" s="1"/>
  <c r="J671" i="4" s="1"/>
  <c r="K671" i="4" s="1"/>
  <c r="K670" i="4"/>
  <c r="J669" i="4"/>
  <c r="K669" i="4" s="1"/>
  <c r="J668" i="4"/>
  <c r="K668" i="4" s="1"/>
  <c r="L668" i="4" s="1"/>
  <c r="F664" i="4"/>
  <c r="H663" i="4"/>
  <c r="G663" i="4"/>
  <c r="H662" i="4"/>
  <c r="G662" i="4"/>
  <c r="H661" i="4"/>
  <c r="G661" i="4"/>
  <c r="H660" i="4"/>
  <c r="G660" i="4"/>
  <c r="H659" i="4"/>
  <c r="G659" i="4"/>
  <c r="G658" i="4"/>
  <c r="G657" i="4"/>
  <c r="G656" i="4"/>
  <c r="G655" i="4"/>
  <c r="G654" i="4"/>
  <c r="G653" i="4"/>
  <c r="G652" i="4"/>
  <c r="G651" i="4"/>
  <c r="G650" i="4"/>
  <c r="G649" i="4"/>
  <c r="G648" i="4"/>
  <c r="G647" i="4"/>
  <c r="G646" i="4"/>
  <c r="G645" i="4"/>
  <c r="G644" i="4"/>
  <c r="G643" i="4"/>
  <c r="G642" i="4"/>
  <c r="G641" i="4"/>
  <c r="G640" i="4"/>
  <c r="G639" i="4"/>
  <c r="G638" i="4"/>
  <c r="G637" i="4"/>
  <c r="G636" i="4"/>
  <c r="G635" i="4"/>
  <c r="G634" i="4"/>
  <c r="G633" i="4"/>
  <c r="G632" i="4"/>
  <c r="G631" i="4"/>
  <c r="G630" i="4"/>
  <c r="G629" i="4"/>
  <c r="G628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12" i="4"/>
  <c r="G611" i="4"/>
  <c r="G610" i="4"/>
  <c r="G609" i="4"/>
  <c r="G608" i="4"/>
  <c r="G607" i="4"/>
  <c r="G606" i="4"/>
  <c r="G605" i="4"/>
  <c r="G604" i="4"/>
  <c r="G603" i="4"/>
  <c r="G602" i="4"/>
  <c r="G601" i="4"/>
  <c r="G600" i="4"/>
  <c r="G599" i="4"/>
  <c r="G598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H460" i="4"/>
  <c r="H459" i="4"/>
  <c r="H458" i="4"/>
  <c r="H457" i="4"/>
  <c r="H456" i="4"/>
  <c r="H455" i="4"/>
  <c r="H454" i="4"/>
  <c r="H453" i="4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G433" i="4"/>
  <c r="H432" i="4"/>
  <c r="G432" i="4"/>
  <c r="H431" i="4"/>
  <c r="G431" i="4"/>
  <c r="H430" i="4"/>
  <c r="G430" i="4"/>
  <c r="H429" i="4"/>
  <c r="G429" i="4"/>
  <c r="H428" i="4"/>
  <c r="G428" i="4"/>
  <c r="H427" i="4"/>
  <c r="G427" i="4"/>
  <c r="H426" i="4"/>
  <c r="G426" i="4"/>
  <c r="H425" i="4"/>
  <c r="G425" i="4"/>
  <c r="H424" i="4"/>
  <c r="G424" i="4"/>
  <c r="H423" i="4"/>
  <c r="G423" i="4"/>
  <c r="H422" i="4"/>
  <c r="G422" i="4"/>
  <c r="H421" i="4"/>
  <c r="G421" i="4"/>
  <c r="H420" i="4"/>
  <c r="G420" i="4"/>
  <c r="H419" i="4"/>
  <c r="G419" i="4"/>
  <c r="H418" i="4"/>
  <c r="G418" i="4"/>
  <c r="H417" i="4"/>
  <c r="G417" i="4"/>
  <c r="H416" i="4"/>
  <c r="G416" i="4"/>
  <c r="H415" i="4"/>
  <c r="G415" i="4"/>
  <c r="H414" i="4"/>
  <c r="G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G341" i="4"/>
  <c r="H340" i="4"/>
  <c r="G340" i="4"/>
  <c r="H339" i="4"/>
  <c r="G339" i="4"/>
  <c r="H338" i="4"/>
  <c r="G338" i="4"/>
  <c r="H337" i="4"/>
  <c r="G337" i="4"/>
  <c r="H336" i="4"/>
  <c r="G336" i="4"/>
  <c r="F335" i="4"/>
  <c r="H335" i="4" s="1"/>
  <c r="F334" i="4"/>
  <c r="G334" i="4" s="1"/>
  <c r="F333" i="4"/>
  <c r="G333" i="4" s="1"/>
  <c r="F332" i="4"/>
  <c r="G332" i="4" s="1"/>
  <c r="F331" i="4"/>
  <c r="G331" i="4" s="1"/>
  <c r="G330" i="4"/>
  <c r="G329" i="4"/>
  <c r="G292" i="4"/>
  <c r="M270" i="4"/>
  <c r="M269" i="4"/>
  <c r="E205" i="4"/>
  <c r="F205" i="4" s="1"/>
  <c r="G205" i="4" s="1"/>
  <c r="F204" i="4"/>
  <c r="G204" i="4" s="1"/>
  <c r="F203" i="4"/>
  <c r="G203" i="4" s="1"/>
  <c r="G199" i="4"/>
  <c r="G167" i="4"/>
  <c r="E164" i="4"/>
  <c r="E165" i="4" s="1"/>
  <c r="F163" i="4"/>
  <c r="G163" i="4" s="1"/>
  <c r="F162" i="4"/>
  <c r="G162" i="4" s="1"/>
  <c r="F161" i="4"/>
  <c r="G161" i="4" s="1"/>
  <c r="F160" i="4"/>
  <c r="G160" i="4" s="1"/>
  <c r="F159" i="4"/>
  <c r="G159" i="4" s="1"/>
  <c r="F158" i="4"/>
  <c r="G158" i="4" s="1"/>
  <c r="F157" i="4"/>
  <c r="G157" i="4" s="1"/>
  <c r="F156" i="4"/>
  <c r="G156" i="4" s="1"/>
  <c r="F155" i="4"/>
  <c r="G155" i="4" s="1"/>
  <c r="F154" i="4"/>
  <c r="G154" i="4" s="1"/>
  <c r="F153" i="4"/>
  <c r="G153" i="4" s="1"/>
  <c r="F152" i="4"/>
  <c r="G152" i="4" s="1"/>
  <c r="F151" i="4"/>
  <c r="G151" i="4" s="1"/>
  <c r="G150" i="4"/>
  <c r="F150" i="4"/>
  <c r="F149" i="4"/>
  <c r="G149" i="4" s="1"/>
  <c r="F148" i="4"/>
  <c r="G148" i="4" s="1"/>
  <c r="F147" i="4"/>
  <c r="G147" i="4" s="1"/>
  <c r="F146" i="4"/>
  <c r="G146" i="4" s="1"/>
  <c r="F145" i="4"/>
  <c r="G145" i="4" s="1"/>
  <c r="G144" i="4"/>
  <c r="F144" i="4"/>
  <c r="F143" i="4"/>
  <c r="G143" i="4" s="1"/>
  <c r="F142" i="4"/>
  <c r="G142" i="4" s="1"/>
  <c r="F141" i="4"/>
  <c r="G141" i="4" s="1"/>
  <c r="F140" i="4"/>
  <c r="G140" i="4" s="1"/>
  <c r="F139" i="4"/>
  <c r="G139" i="4" s="1"/>
  <c r="F138" i="4"/>
  <c r="G138" i="4" s="1"/>
  <c r="F137" i="4"/>
  <c r="G137" i="4" s="1"/>
  <c r="F136" i="4"/>
  <c r="G136" i="4" s="1"/>
  <c r="F135" i="4"/>
  <c r="G135" i="4" s="1"/>
  <c r="F134" i="4"/>
  <c r="G134" i="4" s="1"/>
  <c r="F133" i="4"/>
  <c r="G133" i="4" s="1"/>
  <c r="G132" i="4"/>
  <c r="F132" i="4"/>
  <c r="F131" i="4"/>
  <c r="G131" i="4" s="1"/>
  <c r="F130" i="4"/>
  <c r="G130" i="4" s="1"/>
  <c r="F129" i="4"/>
  <c r="G129" i="4" s="1"/>
  <c r="F128" i="4"/>
  <c r="G128" i="4" s="1"/>
  <c r="F127" i="4"/>
  <c r="G127" i="4" s="1"/>
  <c r="F126" i="4"/>
  <c r="G126" i="4" s="1"/>
  <c r="F125" i="4"/>
  <c r="G125" i="4" s="1"/>
  <c r="F124" i="4"/>
  <c r="G124" i="4" s="1"/>
  <c r="F123" i="4"/>
  <c r="G123" i="4" s="1"/>
  <c r="F122" i="4"/>
  <c r="G122" i="4" s="1"/>
  <c r="F121" i="4"/>
  <c r="G121" i="4" s="1"/>
  <c r="F120" i="4"/>
  <c r="G120" i="4" s="1"/>
  <c r="F119" i="4"/>
  <c r="G119" i="4" s="1"/>
  <c r="F118" i="4"/>
  <c r="G118" i="4" s="1"/>
  <c r="F117" i="4"/>
  <c r="G117" i="4" s="1"/>
  <c r="G116" i="4"/>
  <c r="F115" i="4"/>
  <c r="G115" i="4" s="1"/>
  <c r="F114" i="4"/>
  <c r="G114" i="4" s="1"/>
  <c r="F113" i="4"/>
  <c r="G113" i="4" s="1"/>
  <c r="G112" i="4"/>
  <c r="F111" i="4"/>
  <c r="G111" i="4" s="1"/>
  <c r="F110" i="4"/>
  <c r="G110" i="4" s="1"/>
  <c r="F109" i="4"/>
  <c r="G109" i="4" s="1"/>
  <c r="F108" i="4"/>
  <c r="G108" i="4" s="1"/>
  <c r="F107" i="4"/>
  <c r="G107" i="4" s="1"/>
  <c r="F106" i="4"/>
  <c r="G106" i="4" s="1"/>
  <c r="F105" i="4"/>
  <c r="G105" i="4" s="1"/>
  <c r="F104" i="4"/>
  <c r="G104" i="4" s="1"/>
  <c r="F103" i="4"/>
  <c r="G103" i="4" s="1"/>
  <c r="F102" i="4"/>
  <c r="G102" i="4" s="1"/>
  <c r="F101" i="4"/>
  <c r="G101" i="4" s="1"/>
  <c r="F100" i="4"/>
  <c r="G100" i="4" s="1"/>
  <c r="F99" i="4"/>
  <c r="G99" i="4" s="1"/>
  <c r="F98" i="4"/>
  <c r="G98" i="4" s="1"/>
  <c r="F97" i="4"/>
  <c r="G97" i="4" s="1"/>
  <c r="F96" i="4"/>
  <c r="G96" i="4" s="1"/>
  <c r="G95" i="4"/>
  <c r="F95" i="4"/>
  <c r="F94" i="4"/>
  <c r="G94" i="4" s="1"/>
  <c r="F93" i="4"/>
  <c r="G93" i="4" s="1"/>
  <c r="F92" i="4"/>
  <c r="G92" i="4" s="1"/>
  <c r="F91" i="4"/>
  <c r="G91" i="4" s="1"/>
  <c r="F90" i="4"/>
  <c r="G90" i="4" s="1"/>
  <c r="B90" i="4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3" i="4" s="1"/>
  <c r="B114" i="4" s="1"/>
  <c r="B115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F89" i="4"/>
  <c r="G89" i="4" s="1"/>
  <c r="F88" i="4"/>
  <c r="G88" i="4" s="1"/>
  <c r="F87" i="4"/>
  <c r="G87" i="4" s="1"/>
  <c r="F86" i="4"/>
  <c r="G86" i="4" s="1"/>
  <c r="F85" i="4"/>
  <c r="G85" i="4" s="1"/>
  <c r="F84" i="4"/>
  <c r="G84" i="4" s="1"/>
  <c r="F83" i="4"/>
  <c r="G83" i="4" s="1"/>
  <c r="F82" i="4"/>
  <c r="G82" i="4" s="1"/>
  <c r="F81" i="4"/>
  <c r="G81" i="4" s="1"/>
  <c r="F80" i="4"/>
  <c r="G80" i="4" s="1"/>
  <c r="F79" i="4"/>
  <c r="G79" i="4" s="1"/>
  <c r="G78" i="4"/>
  <c r="F78" i="4"/>
  <c r="F77" i="4"/>
  <c r="G77" i="4" s="1"/>
  <c r="F76" i="4"/>
  <c r="G76" i="4" s="1"/>
  <c r="F75" i="4"/>
  <c r="G75" i="4" s="1"/>
  <c r="F74" i="4"/>
  <c r="G74" i="4" s="1"/>
  <c r="F73" i="4"/>
  <c r="G73" i="4" s="1"/>
  <c r="F72" i="4"/>
  <c r="G72" i="4" s="1"/>
  <c r="F71" i="4"/>
  <c r="G71" i="4" s="1"/>
  <c r="F70" i="4"/>
  <c r="G70" i="4" s="1"/>
  <c r="F69" i="4"/>
  <c r="G69" i="4" s="1"/>
  <c r="F68" i="4"/>
  <c r="G68" i="4" s="1"/>
  <c r="F67" i="4"/>
  <c r="G67" i="4" s="1"/>
  <c r="G66" i="4"/>
  <c r="F66" i="4"/>
  <c r="F65" i="4"/>
  <c r="G65" i="4" s="1"/>
  <c r="F64" i="4"/>
  <c r="G64" i="4" s="1"/>
  <c r="F63" i="4"/>
  <c r="G63" i="4" s="1"/>
  <c r="F62" i="4"/>
  <c r="G62" i="4" s="1"/>
  <c r="F61" i="4"/>
  <c r="G61" i="4" s="1"/>
  <c r="F60" i="4"/>
  <c r="G60" i="4" s="1"/>
  <c r="F59" i="4"/>
  <c r="G59" i="4" s="1"/>
  <c r="F58" i="4"/>
  <c r="G58" i="4" s="1"/>
  <c r="F57" i="4"/>
  <c r="G57" i="4" s="1"/>
  <c r="F56" i="4"/>
  <c r="G56" i="4" s="1"/>
  <c r="F55" i="4"/>
  <c r="G55" i="4" s="1"/>
  <c r="G54" i="4"/>
  <c r="F54" i="4"/>
  <c r="F53" i="4"/>
  <c r="G53" i="4" s="1"/>
  <c r="F52" i="4"/>
  <c r="G52" i="4" s="1"/>
  <c r="F51" i="4"/>
  <c r="G51" i="4" s="1"/>
  <c r="F50" i="4"/>
  <c r="G50" i="4" s="1"/>
  <c r="F49" i="4"/>
  <c r="G49" i="4" s="1"/>
  <c r="F48" i="4"/>
  <c r="G48" i="4" s="1"/>
  <c r="F47" i="4"/>
  <c r="G47" i="4" s="1"/>
  <c r="F46" i="4"/>
  <c r="G46" i="4" s="1"/>
  <c r="F45" i="4"/>
  <c r="G45" i="4" s="1"/>
  <c r="F44" i="4"/>
  <c r="G44" i="4" s="1"/>
  <c r="F43" i="4"/>
  <c r="G43" i="4" s="1"/>
  <c r="F42" i="4"/>
  <c r="G42" i="4" s="1"/>
  <c r="F41" i="4"/>
  <c r="G41" i="4" s="1"/>
  <c r="F40" i="4"/>
  <c r="G40" i="4" s="1"/>
  <c r="F39" i="4"/>
  <c r="G39" i="4" s="1"/>
  <c r="G38" i="4"/>
  <c r="F38" i="4"/>
  <c r="F37" i="4"/>
  <c r="G37" i="4" s="1"/>
  <c r="F36" i="4"/>
  <c r="G36" i="4" s="1"/>
  <c r="F35" i="4"/>
  <c r="G35" i="4" s="1"/>
  <c r="F34" i="4"/>
  <c r="G34" i="4" s="1"/>
  <c r="F33" i="4"/>
  <c r="G33" i="4" s="1"/>
  <c r="F32" i="4"/>
  <c r="G32" i="4" s="1"/>
  <c r="G31" i="4"/>
  <c r="G30" i="4"/>
  <c r="F30" i="4"/>
  <c r="F29" i="4"/>
  <c r="G29" i="4" s="1"/>
  <c r="F28" i="4"/>
  <c r="G28" i="4" s="1"/>
  <c r="F27" i="4"/>
  <c r="G27" i="4" s="1"/>
  <c r="B27" i="4"/>
  <c r="B28" i="4" s="1"/>
  <c r="B29" i="4" s="1"/>
  <c r="B30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F26" i="4"/>
  <c r="G26" i="4" s="1"/>
  <c r="H25" i="4"/>
  <c r="G25" i="4"/>
  <c r="H24" i="4"/>
  <c r="G24" i="4"/>
  <c r="H23" i="4"/>
  <c r="G23" i="4"/>
  <c r="H22" i="4"/>
  <c r="G22" i="4"/>
  <c r="H21" i="4"/>
  <c r="G21" i="4"/>
  <c r="H20" i="4"/>
  <c r="G20" i="4"/>
  <c r="H19" i="4"/>
  <c r="G19" i="4"/>
  <c r="H18" i="4"/>
  <c r="G18" i="4"/>
  <c r="H17" i="4"/>
  <c r="G17" i="4"/>
  <c r="I17" i="4" s="1"/>
  <c r="K17" i="4" s="1"/>
  <c r="E13" i="4"/>
  <c r="H10" i="4"/>
  <c r="L8" i="4"/>
  <c r="J17" i="4" s="1"/>
  <c r="F164" i="4" l="1"/>
  <c r="G164" i="4" s="1"/>
  <c r="I18" i="4"/>
  <c r="K18" i="4"/>
  <c r="J18" i="4"/>
  <c r="I19" i="4"/>
  <c r="I20" i="4" s="1"/>
  <c r="F165" i="4"/>
  <c r="G165" i="4" s="1"/>
  <c r="E166" i="4"/>
  <c r="E206" i="4"/>
  <c r="L669" i="4"/>
  <c r="L670" i="4" s="1"/>
  <c r="L671" i="4" s="1"/>
  <c r="G335" i="4"/>
  <c r="J673" i="4"/>
  <c r="J675" i="4"/>
  <c r="E168" i="4" l="1"/>
  <c r="F166" i="4"/>
  <c r="G166" i="4" s="1"/>
  <c r="K19" i="4"/>
  <c r="J19" i="4"/>
  <c r="F206" i="4"/>
  <c r="G206" i="4" s="1"/>
  <c r="E207" i="4"/>
  <c r="I21" i="4"/>
  <c r="K20" i="4"/>
  <c r="J20" i="4"/>
  <c r="E169" i="4" l="1"/>
  <c r="F168" i="4"/>
  <c r="G168" i="4" s="1"/>
  <c r="I22" i="4"/>
  <c r="K21" i="4"/>
  <c r="J21" i="4"/>
  <c r="F207" i="4"/>
  <c r="G207" i="4" s="1"/>
  <c r="E208" i="4"/>
  <c r="F208" i="4" l="1"/>
  <c r="G208" i="4" s="1"/>
  <c r="E209" i="4"/>
  <c r="K22" i="4"/>
  <c r="I23" i="4"/>
  <c r="J22" i="4"/>
  <c r="E170" i="4"/>
  <c r="F169" i="4"/>
  <c r="G169" i="4" s="1"/>
  <c r="F170" i="4" l="1"/>
  <c r="G170" i="4" s="1"/>
  <c r="E171" i="4"/>
  <c r="G672" i="4"/>
  <c r="J672" i="4" s="1"/>
  <c r="I24" i="4"/>
  <c r="K23" i="4"/>
  <c r="J23" i="4"/>
  <c r="E210" i="4"/>
  <c r="F209" i="4"/>
  <c r="G209" i="4" s="1"/>
  <c r="F210" i="4" l="1"/>
  <c r="G210" i="4" s="1"/>
  <c r="E211" i="4"/>
  <c r="J24" i="4"/>
  <c r="K24" i="4"/>
  <c r="I25" i="4"/>
  <c r="J676" i="4"/>
  <c r="K672" i="4"/>
  <c r="L672" i="4" s="1"/>
  <c r="J674" i="4"/>
  <c r="E172" i="4"/>
  <c r="F171" i="4"/>
  <c r="G171" i="4" s="1"/>
  <c r="F172" i="4" l="1"/>
  <c r="G172" i="4" s="1"/>
  <c r="E173" i="4"/>
  <c r="J677" i="4"/>
  <c r="J678" i="4"/>
  <c r="J679" i="4" s="1"/>
  <c r="I26" i="4"/>
  <c r="K25" i="4"/>
  <c r="J25" i="4"/>
  <c r="E212" i="4"/>
  <c r="F211" i="4"/>
  <c r="G211" i="4" s="1"/>
  <c r="K26" i="4" l="1"/>
  <c r="J26" i="4"/>
  <c r="I27" i="4"/>
  <c r="E213" i="4"/>
  <c r="F212" i="4"/>
  <c r="G212" i="4" s="1"/>
  <c r="F173" i="4"/>
  <c r="G173" i="4" s="1"/>
  <c r="E174" i="4"/>
  <c r="F174" i="4" l="1"/>
  <c r="G174" i="4" s="1"/>
  <c r="E175" i="4"/>
  <c r="E214" i="4"/>
  <c r="F213" i="4"/>
  <c r="G213" i="4" s="1"/>
  <c r="I28" i="4"/>
  <c r="K27" i="4"/>
  <c r="J27" i="4"/>
  <c r="E215" i="4" l="1"/>
  <c r="F214" i="4"/>
  <c r="G214" i="4" s="1"/>
  <c r="K28" i="4"/>
  <c r="J28" i="4"/>
  <c r="I29" i="4"/>
  <c r="F175" i="4"/>
  <c r="G175" i="4" s="1"/>
  <c r="E176" i="4"/>
  <c r="E177" i="4" l="1"/>
  <c r="F176" i="4"/>
  <c r="G176" i="4" s="1"/>
  <c r="I30" i="4"/>
  <c r="K29" i="4"/>
  <c r="J29" i="4"/>
  <c r="F215" i="4"/>
  <c r="G215" i="4" s="1"/>
  <c r="E216" i="4"/>
  <c r="E217" i="4" l="1"/>
  <c r="F216" i="4"/>
  <c r="G216" i="4" s="1"/>
  <c r="K30" i="4"/>
  <c r="J30" i="4"/>
  <c r="I31" i="4"/>
  <c r="F177" i="4"/>
  <c r="G177" i="4" s="1"/>
  <c r="E178" i="4"/>
  <c r="J31" i="4" l="1"/>
  <c r="M33" i="4" s="1"/>
  <c r="O32" i="4" s="1"/>
  <c r="I32" i="4"/>
  <c r="K31" i="4"/>
  <c r="F217" i="4"/>
  <c r="G217" i="4" s="1"/>
  <c r="E218" i="4"/>
  <c r="E179" i="4"/>
  <c r="F178" i="4"/>
  <c r="G178" i="4" s="1"/>
  <c r="F218" i="4" l="1"/>
  <c r="G218" i="4" s="1"/>
  <c r="E219" i="4"/>
  <c r="E180" i="4"/>
  <c r="F179" i="4"/>
  <c r="G179" i="4" s="1"/>
  <c r="I33" i="4"/>
  <c r="K32" i="4"/>
  <c r="J32" i="4"/>
  <c r="K33" i="4" l="1"/>
  <c r="J33" i="4"/>
  <c r="I34" i="4"/>
  <c r="E181" i="4"/>
  <c r="F180" i="4"/>
  <c r="G180" i="4" s="1"/>
  <c r="F219" i="4"/>
  <c r="G219" i="4" s="1"/>
  <c r="E220" i="4"/>
  <c r="F220" i="4" l="1"/>
  <c r="G220" i="4" s="1"/>
  <c r="E221" i="4"/>
  <c r="E182" i="4"/>
  <c r="F181" i="4"/>
  <c r="G181" i="4" s="1"/>
  <c r="J34" i="4"/>
  <c r="I35" i="4"/>
  <c r="K34" i="4"/>
  <c r="E222" i="4" l="1"/>
  <c r="F221" i="4"/>
  <c r="G221" i="4" s="1"/>
  <c r="J35" i="4"/>
  <c r="I36" i="4"/>
  <c r="K35" i="4"/>
  <c r="F182" i="4"/>
  <c r="G182" i="4" s="1"/>
  <c r="E183" i="4"/>
  <c r="E184" i="4" l="1"/>
  <c r="F183" i="4"/>
  <c r="G183" i="4" s="1"/>
  <c r="J36" i="4"/>
  <c r="K36" i="4"/>
  <c r="I37" i="4"/>
  <c r="F222" i="4"/>
  <c r="G222" i="4" s="1"/>
  <c r="E223" i="4"/>
  <c r="E224" i="4" l="1"/>
  <c r="F223" i="4"/>
  <c r="G223" i="4" s="1"/>
  <c r="J37" i="4"/>
  <c r="I38" i="4"/>
  <c r="K37" i="4"/>
  <c r="F184" i="4"/>
  <c r="G184" i="4" s="1"/>
  <c r="E185" i="4"/>
  <c r="F185" i="4" l="1"/>
  <c r="G185" i="4" s="1"/>
  <c r="E186" i="4"/>
  <c r="J38" i="4"/>
  <c r="I39" i="4"/>
  <c r="K38" i="4"/>
  <c r="F224" i="4"/>
  <c r="G224" i="4" s="1"/>
  <c r="E225" i="4"/>
  <c r="E226" i="4" l="1"/>
  <c r="F225" i="4"/>
  <c r="G225" i="4" s="1"/>
  <c r="J39" i="4"/>
  <c r="K39" i="4"/>
  <c r="I40" i="4"/>
  <c r="F186" i="4"/>
  <c r="G186" i="4" s="1"/>
  <c r="E187" i="4"/>
  <c r="F187" i="4" l="1"/>
  <c r="G187" i="4" s="1"/>
  <c r="E188" i="4"/>
  <c r="K40" i="4"/>
  <c r="J40" i="4"/>
  <c r="I41" i="4"/>
  <c r="E227" i="4"/>
  <c r="F226" i="4"/>
  <c r="G226" i="4" s="1"/>
  <c r="J41" i="4" l="1"/>
  <c r="I42" i="4"/>
  <c r="K41" i="4"/>
  <c r="E189" i="4"/>
  <c r="F188" i="4"/>
  <c r="G188" i="4" s="1"/>
  <c r="F227" i="4"/>
  <c r="G227" i="4" s="1"/>
  <c r="E228" i="4"/>
  <c r="E229" i="4" l="1"/>
  <c r="F228" i="4"/>
  <c r="G228" i="4" s="1"/>
  <c r="E190" i="4"/>
  <c r="F189" i="4"/>
  <c r="G189" i="4" s="1"/>
  <c r="K42" i="4"/>
  <c r="J42" i="4"/>
  <c r="I43" i="4"/>
  <c r="F229" i="4" l="1"/>
  <c r="G229" i="4" s="1"/>
  <c r="E230" i="4"/>
  <c r="K43" i="4"/>
  <c r="J43" i="4"/>
  <c r="I44" i="4"/>
  <c r="E191" i="4"/>
  <c r="F190" i="4"/>
  <c r="G190" i="4" s="1"/>
  <c r="K44" i="4" l="1"/>
  <c r="J44" i="4"/>
  <c r="I45" i="4"/>
  <c r="E192" i="4"/>
  <c r="F191" i="4"/>
  <c r="G191" i="4" s="1"/>
  <c r="E231" i="4"/>
  <c r="F230" i="4"/>
  <c r="G230" i="4" s="1"/>
  <c r="F231" i="4" l="1"/>
  <c r="G231" i="4" s="1"/>
  <c r="E232" i="4"/>
  <c r="E193" i="4"/>
  <c r="F192" i="4"/>
  <c r="G192" i="4" s="1"/>
  <c r="K45" i="4"/>
  <c r="J45" i="4"/>
  <c r="I46" i="4"/>
  <c r="E194" i="4" l="1"/>
  <c r="F193" i="4"/>
  <c r="G193" i="4" s="1"/>
  <c r="K46" i="4"/>
  <c r="J46" i="4"/>
  <c r="I47" i="4"/>
  <c r="F232" i="4"/>
  <c r="G232" i="4" s="1"/>
  <c r="E233" i="4"/>
  <c r="K47" i="4" l="1"/>
  <c r="J47" i="4"/>
  <c r="I48" i="4"/>
  <c r="E234" i="4"/>
  <c r="F233" i="4"/>
  <c r="G233" i="4" s="1"/>
  <c r="F194" i="4"/>
  <c r="G194" i="4" s="1"/>
  <c r="E195" i="4"/>
  <c r="E196" i="4" l="1"/>
  <c r="F195" i="4"/>
  <c r="G195" i="4" s="1"/>
  <c r="K48" i="4"/>
  <c r="J48" i="4"/>
  <c r="I49" i="4"/>
  <c r="F234" i="4"/>
  <c r="G234" i="4" s="1"/>
  <c r="E235" i="4"/>
  <c r="F196" i="4" l="1"/>
  <c r="G196" i="4" s="1"/>
  <c r="E197" i="4"/>
  <c r="E236" i="4"/>
  <c r="F235" i="4"/>
  <c r="G235" i="4" s="1"/>
  <c r="K49" i="4"/>
  <c r="J49" i="4"/>
  <c r="I50" i="4"/>
  <c r="K50" i="4" l="1"/>
  <c r="J50" i="4"/>
  <c r="I51" i="4"/>
  <c r="F236" i="4"/>
  <c r="G236" i="4" s="1"/>
  <c r="E237" i="4"/>
  <c r="F197" i="4"/>
  <c r="G197" i="4" s="1"/>
  <c r="E198" i="4"/>
  <c r="F198" i="4" l="1"/>
  <c r="G198" i="4" s="1"/>
  <c r="E200" i="4"/>
  <c r="E238" i="4"/>
  <c r="F237" i="4"/>
  <c r="G237" i="4" s="1"/>
  <c r="K51" i="4"/>
  <c r="J51" i="4"/>
  <c r="I52" i="4"/>
  <c r="I53" i="4" l="1"/>
  <c r="K52" i="4"/>
  <c r="J52" i="4"/>
  <c r="E239" i="4"/>
  <c r="F238" i="4"/>
  <c r="G238" i="4" s="1"/>
  <c r="E201" i="4"/>
  <c r="F200" i="4"/>
  <c r="G200" i="4" s="1"/>
  <c r="F201" i="4" l="1"/>
  <c r="G201" i="4" s="1"/>
  <c r="E202" i="4"/>
  <c r="F202" i="4" s="1"/>
  <c r="G202" i="4" s="1"/>
  <c r="F239" i="4"/>
  <c r="G239" i="4" s="1"/>
  <c r="E240" i="4"/>
  <c r="K53" i="4"/>
  <c r="J53" i="4"/>
  <c r="I54" i="4"/>
  <c r="I55" i="4" l="1"/>
  <c r="K54" i="4"/>
  <c r="J54" i="4"/>
  <c r="E241" i="4"/>
  <c r="F240" i="4"/>
  <c r="G240" i="4" s="1"/>
  <c r="F241" i="4" l="1"/>
  <c r="G241" i="4" s="1"/>
  <c r="E242" i="4"/>
  <c r="K55" i="4"/>
  <c r="J55" i="4"/>
  <c r="I56" i="4"/>
  <c r="I57" i="4" l="1"/>
  <c r="K56" i="4"/>
  <c r="J56" i="4"/>
  <c r="E243" i="4"/>
  <c r="F242" i="4"/>
  <c r="G242" i="4" s="1"/>
  <c r="K57" i="4" l="1"/>
  <c r="J57" i="4"/>
  <c r="I58" i="4"/>
  <c r="F243" i="4"/>
  <c r="G243" i="4" s="1"/>
  <c r="E244" i="4"/>
  <c r="F244" i="4" l="1"/>
  <c r="G244" i="4" s="1"/>
  <c r="E245" i="4"/>
  <c r="I59" i="4"/>
  <c r="K58" i="4"/>
  <c r="J58" i="4"/>
  <c r="K59" i="4" l="1"/>
  <c r="J59" i="4"/>
  <c r="I60" i="4"/>
  <c r="E246" i="4"/>
  <c r="F245" i="4"/>
  <c r="G245" i="4" s="1"/>
  <c r="F246" i="4" l="1"/>
  <c r="G246" i="4" s="1"/>
  <c r="E247" i="4"/>
  <c r="I61" i="4"/>
  <c r="K60" i="4"/>
  <c r="J60" i="4"/>
  <c r="K61" i="4" l="1"/>
  <c r="J61" i="4"/>
  <c r="I62" i="4"/>
  <c r="E248" i="4"/>
  <c r="F247" i="4"/>
  <c r="G247" i="4" s="1"/>
  <c r="I63" i="4" l="1"/>
  <c r="K62" i="4"/>
  <c r="J62" i="4"/>
  <c r="F248" i="4"/>
  <c r="G248" i="4" s="1"/>
  <c r="E249" i="4"/>
  <c r="F249" i="4" l="1"/>
  <c r="G249" i="4" s="1"/>
  <c r="E250" i="4"/>
  <c r="K63" i="4"/>
  <c r="J63" i="4"/>
  <c r="I64" i="4"/>
  <c r="I65" i="4" l="1"/>
  <c r="K64" i="4"/>
  <c r="J64" i="4"/>
  <c r="E251" i="4"/>
  <c r="F250" i="4"/>
  <c r="G250" i="4" s="1"/>
  <c r="K65" i="4" l="1"/>
  <c r="J65" i="4"/>
  <c r="I66" i="4"/>
  <c r="F251" i="4"/>
  <c r="G251" i="4" s="1"/>
  <c r="E252" i="4"/>
  <c r="E253" i="4" l="1"/>
  <c r="F252" i="4"/>
  <c r="G252" i="4" s="1"/>
  <c r="I67" i="4"/>
  <c r="K66" i="4"/>
  <c r="J66" i="4"/>
  <c r="K67" i="4" l="1"/>
  <c r="J67" i="4"/>
  <c r="I68" i="4"/>
  <c r="F253" i="4"/>
  <c r="G253" i="4" s="1"/>
  <c r="E254" i="4"/>
  <c r="E255" i="4" l="1"/>
  <c r="F254" i="4"/>
  <c r="G254" i="4" s="1"/>
  <c r="I69" i="4"/>
  <c r="K68" i="4"/>
  <c r="J68" i="4"/>
  <c r="K69" i="4" l="1"/>
  <c r="J69" i="4"/>
  <c r="I70" i="4"/>
  <c r="E256" i="4"/>
  <c r="F255" i="4"/>
  <c r="G255" i="4" s="1"/>
  <c r="I71" i="4" l="1"/>
  <c r="K70" i="4"/>
  <c r="J70" i="4"/>
  <c r="F256" i="4"/>
  <c r="G256" i="4" s="1"/>
  <c r="E257" i="4"/>
  <c r="E258" i="4" l="1"/>
  <c r="F257" i="4"/>
  <c r="G257" i="4" s="1"/>
  <c r="K71" i="4"/>
  <c r="J71" i="4"/>
  <c r="I72" i="4"/>
  <c r="I73" i="4" l="1"/>
  <c r="K72" i="4"/>
  <c r="J72" i="4"/>
  <c r="F258" i="4"/>
  <c r="G258" i="4" s="1"/>
  <c r="E259" i="4"/>
  <c r="E260" i="4" l="1"/>
  <c r="F259" i="4"/>
  <c r="G259" i="4" s="1"/>
  <c r="K73" i="4"/>
  <c r="J73" i="4"/>
  <c r="I74" i="4"/>
  <c r="I75" i="4" l="1"/>
  <c r="K74" i="4"/>
  <c r="J74" i="4"/>
  <c r="F260" i="4"/>
  <c r="G260" i="4" s="1"/>
  <c r="E261" i="4"/>
  <c r="F261" i="4" l="1"/>
  <c r="G261" i="4" s="1"/>
  <c r="E262" i="4"/>
  <c r="K75" i="4"/>
  <c r="J75" i="4"/>
  <c r="I76" i="4"/>
  <c r="I77" i="4" l="1"/>
  <c r="K76" i="4"/>
  <c r="J76" i="4"/>
  <c r="E263" i="4"/>
  <c r="F262" i="4"/>
  <c r="G262" i="4" s="1"/>
  <c r="F263" i="4" l="1"/>
  <c r="G263" i="4" s="1"/>
  <c r="E264" i="4"/>
  <c r="K77" i="4"/>
  <c r="J77" i="4"/>
  <c r="I78" i="4"/>
  <c r="I79" i="4" l="1"/>
  <c r="K78" i="4"/>
  <c r="J78" i="4"/>
  <c r="E265" i="4"/>
  <c r="F264" i="4"/>
  <c r="G264" i="4" s="1"/>
  <c r="F265" i="4" l="1"/>
  <c r="G265" i="4" s="1"/>
  <c r="E266" i="4"/>
  <c r="K79" i="4"/>
  <c r="J79" i="4"/>
  <c r="I80" i="4"/>
  <c r="I81" i="4" l="1"/>
  <c r="K80" i="4"/>
  <c r="J80" i="4"/>
  <c r="E267" i="4"/>
  <c r="F266" i="4"/>
  <c r="G266" i="4" s="1"/>
  <c r="F267" i="4" l="1"/>
  <c r="G267" i="4" s="1"/>
  <c r="E268" i="4"/>
  <c r="K81" i="4"/>
  <c r="J81" i="4"/>
  <c r="I82" i="4"/>
  <c r="I83" i="4" l="1"/>
  <c r="K82" i="4"/>
  <c r="J82" i="4"/>
  <c r="F268" i="4"/>
  <c r="G268" i="4" s="1"/>
  <c r="E269" i="4"/>
  <c r="E270" i="4" l="1"/>
  <c r="F269" i="4"/>
  <c r="G269" i="4" s="1"/>
  <c r="K83" i="4"/>
  <c r="J83" i="4"/>
  <c r="I84" i="4"/>
  <c r="I85" i="4" l="1"/>
  <c r="K84" i="4"/>
  <c r="J84" i="4"/>
  <c r="F270" i="4"/>
  <c r="G270" i="4" s="1"/>
  <c r="E271" i="4"/>
  <c r="E272" i="4" l="1"/>
  <c r="F271" i="4"/>
  <c r="G271" i="4" s="1"/>
  <c r="K85" i="4"/>
  <c r="J85" i="4"/>
  <c r="I86" i="4"/>
  <c r="I87" i="4" l="1"/>
  <c r="K86" i="4"/>
  <c r="J86" i="4"/>
  <c r="E273" i="4"/>
  <c r="F272" i="4"/>
  <c r="G272" i="4" s="1"/>
  <c r="F273" i="4" l="1"/>
  <c r="G273" i="4" s="1"/>
  <c r="E274" i="4"/>
  <c r="K87" i="4"/>
  <c r="J87" i="4"/>
  <c r="I88" i="4"/>
  <c r="K88" i="4" l="1"/>
  <c r="I89" i="4"/>
  <c r="J88" i="4"/>
  <c r="E275" i="4"/>
  <c r="F274" i="4"/>
  <c r="G274" i="4" s="1"/>
  <c r="F275" i="4" l="1"/>
  <c r="G275" i="4" s="1"/>
  <c r="E276" i="4"/>
  <c r="K89" i="4"/>
  <c r="J89" i="4"/>
  <c r="I90" i="4"/>
  <c r="I91" i="4" l="1"/>
  <c r="K90" i="4"/>
  <c r="J90" i="4"/>
  <c r="E277" i="4"/>
  <c r="F276" i="4"/>
  <c r="G276" i="4" s="1"/>
  <c r="F277" i="4" l="1"/>
  <c r="G277" i="4" s="1"/>
  <c r="E278" i="4"/>
  <c r="K91" i="4"/>
  <c r="J91" i="4"/>
  <c r="I92" i="4"/>
  <c r="K92" i="4" l="1"/>
  <c r="J92" i="4"/>
  <c r="I93" i="4"/>
  <c r="F278" i="4"/>
  <c r="G278" i="4" s="1"/>
  <c r="E279" i="4"/>
  <c r="E280" i="4" l="1"/>
  <c r="F279" i="4"/>
  <c r="G279" i="4" s="1"/>
  <c r="K93" i="4"/>
  <c r="J93" i="4"/>
  <c r="M95" i="4" s="1"/>
  <c r="O94" i="4" s="1"/>
  <c r="I94" i="4"/>
  <c r="I95" i="4" l="1"/>
  <c r="K94" i="4"/>
  <c r="J94" i="4"/>
  <c r="F280" i="4"/>
  <c r="G280" i="4" s="1"/>
  <c r="E281" i="4"/>
  <c r="E282" i="4" l="1"/>
  <c r="F281" i="4"/>
  <c r="G281" i="4" s="1"/>
  <c r="K95" i="4"/>
  <c r="J95" i="4"/>
  <c r="I96" i="4"/>
  <c r="I97" i="4" l="1"/>
  <c r="K96" i="4"/>
  <c r="J96" i="4"/>
  <c r="F282" i="4"/>
  <c r="G282" i="4" s="1"/>
  <c r="E283" i="4"/>
  <c r="E284" i="4" l="1"/>
  <c r="F283" i="4"/>
  <c r="G283" i="4" s="1"/>
  <c r="K97" i="4"/>
  <c r="J97" i="4"/>
  <c r="I98" i="4"/>
  <c r="I99" i="4" l="1"/>
  <c r="K98" i="4"/>
  <c r="J98" i="4"/>
  <c r="E285" i="4"/>
  <c r="F284" i="4"/>
  <c r="G284" i="4" s="1"/>
  <c r="F285" i="4" l="1"/>
  <c r="G285" i="4" s="1"/>
  <c r="E286" i="4"/>
  <c r="K99" i="4"/>
  <c r="J99" i="4"/>
  <c r="I100" i="4"/>
  <c r="I101" i="4" l="1"/>
  <c r="K100" i="4"/>
  <c r="J100" i="4"/>
  <c r="E287" i="4"/>
  <c r="F286" i="4"/>
  <c r="G286" i="4" s="1"/>
  <c r="F287" i="4" l="1"/>
  <c r="G287" i="4" s="1"/>
  <c r="E288" i="4"/>
  <c r="K101" i="4"/>
  <c r="J101" i="4"/>
  <c r="I102" i="4"/>
  <c r="I103" i="4" l="1"/>
  <c r="K102" i="4"/>
  <c r="J102" i="4"/>
  <c r="E289" i="4"/>
  <c r="F288" i="4"/>
  <c r="G288" i="4" s="1"/>
  <c r="F289" i="4" l="1"/>
  <c r="G289" i="4" s="1"/>
  <c r="E290" i="4"/>
  <c r="K103" i="4"/>
  <c r="J103" i="4"/>
  <c r="I104" i="4"/>
  <c r="I105" i="4" l="1"/>
  <c r="K104" i="4"/>
  <c r="J104" i="4"/>
  <c r="F290" i="4"/>
  <c r="G290" i="4" s="1"/>
  <c r="E291" i="4"/>
  <c r="E293" i="4" l="1"/>
  <c r="F291" i="4"/>
  <c r="G291" i="4" s="1"/>
  <c r="K105" i="4"/>
  <c r="J105" i="4"/>
  <c r="I106" i="4"/>
  <c r="I107" i="4" l="1"/>
  <c r="K106" i="4"/>
  <c r="J106" i="4"/>
  <c r="E294" i="4"/>
  <c r="F293" i="4"/>
  <c r="G293" i="4" s="1"/>
  <c r="F294" i="4" l="1"/>
  <c r="G294" i="4" s="1"/>
  <c r="E295" i="4"/>
  <c r="K107" i="4"/>
  <c r="J107" i="4"/>
  <c r="I108" i="4"/>
  <c r="I109" i="4" l="1"/>
  <c r="K108" i="4"/>
  <c r="J108" i="4"/>
  <c r="E296" i="4"/>
  <c r="F295" i="4"/>
  <c r="G295" i="4" s="1"/>
  <c r="F296" i="4" l="1"/>
  <c r="G296" i="4" s="1"/>
  <c r="E297" i="4"/>
  <c r="K109" i="4"/>
  <c r="J109" i="4"/>
  <c r="I110" i="4"/>
  <c r="I111" i="4" l="1"/>
  <c r="K110" i="4"/>
  <c r="J110" i="4"/>
  <c r="M112" i="4" s="1"/>
  <c r="O111" i="4" s="1"/>
  <c r="F297" i="4"/>
  <c r="G297" i="4" s="1"/>
  <c r="E298" i="4"/>
  <c r="E299" i="4" l="1"/>
  <c r="F298" i="4"/>
  <c r="G298" i="4" s="1"/>
  <c r="K111" i="4"/>
  <c r="J111" i="4"/>
  <c r="I112" i="4"/>
  <c r="I113" i="4" l="1"/>
  <c r="K112" i="4"/>
  <c r="J112" i="4"/>
  <c r="F299" i="4"/>
  <c r="G299" i="4" s="1"/>
  <c r="E300" i="4"/>
  <c r="E301" i="4" l="1"/>
  <c r="F300" i="4"/>
  <c r="G300" i="4" s="1"/>
  <c r="K113" i="4"/>
  <c r="J113" i="4"/>
  <c r="I114" i="4"/>
  <c r="I115" i="4" l="1"/>
  <c r="K114" i="4"/>
  <c r="J114" i="4"/>
  <c r="F301" i="4"/>
  <c r="G301" i="4" s="1"/>
  <c r="E302" i="4"/>
  <c r="E303" i="4" l="1"/>
  <c r="F302" i="4"/>
  <c r="G302" i="4" s="1"/>
  <c r="K115" i="4"/>
  <c r="J115" i="4"/>
  <c r="I116" i="4"/>
  <c r="J116" i="4" l="1"/>
  <c r="M118" i="4" s="1"/>
  <c r="O117" i="4" s="1"/>
  <c r="I117" i="4"/>
  <c r="K116" i="4"/>
  <c r="E304" i="4"/>
  <c r="F303" i="4"/>
  <c r="G303" i="4" s="1"/>
  <c r="K117" i="4" l="1"/>
  <c r="J117" i="4"/>
  <c r="I118" i="4"/>
  <c r="F304" i="4"/>
  <c r="G304" i="4" s="1"/>
  <c r="E305" i="4"/>
  <c r="E306" i="4" l="1"/>
  <c r="F305" i="4"/>
  <c r="G305" i="4" s="1"/>
  <c r="I119" i="4"/>
  <c r="K118" i="4"/>
  <c r="J118" i="4"/>
  <c r="K119" i="4" l="1"/>
  <c r="J119" i="4"/>
  <c r="I120" i="4"/>
  <c r="F306" i="4"/>
  <c r="G306" i="4" s="1"/>
  <c r="E307" i="4"/>
  <c r="E308" i="4" l="1"/>
  <c r="F307" i="4"/>
  <c r="G307" i="4" s="1"/>
  <c r="I121" i="4"/>
  <c r="K120" i="4"/>
  <c r="J120" i="4"/>
  <c r="K121" i="4" l="1"/>
  <c r="J121" i="4"/>
  <c r="I122" i="4"/>
  <c r="F308" i="4"/>
  <c r="G308" i="4" s="1"/>
  <c r="E309" i="4"/>
  <c r="F309" i="4" l="1"/>
  <c r="G309" i="4" s="1"/>
  <c r="E310" i="4"/>
  <c r="I123" i="4"/>
  <c r="K122" i="4"/>
  <c r="J122" i="4"/>
  <c r="K123" i="4" l="1"/>
  <c r="J123" i="4"/>
  <c r="I124" i="4"/>
  <c r="E311" i="4"/>
  <c r="F310" i="4"/>
  <c r="G310" i="4" s="1"/>
  <c r="I125" i="4" l="1"/>
  <c r="K124" i="4"/>
  <c r="J124" i="4"/>
  <c r="F311" i="4"/>
  <c r="G311" i="4" s="1"/>
  <c r="E312" i="4"/>
  <c r="E313" i="4" l="1"/>
  <c r="F312" i="4"/>
  <c r="G312" i="4" s="1"/>
  <c r="K125" i="4"/>
  <c r="J125" i="4"/>
  <c r="I126" i="4"/>
  <c r="I127" i="4" l="1"/>
  <c r="K126" i="4"/>
  <c r="J126" i="4"/>
  <c r="F313" i="4"/>
  <c r="G313" i="4" s="1"/>
  <c r="E314" i="4"/>
  <c r="E315" i="4" l="1"/>
  <c r="F314" i="4"/>
  <c r="G314" i="4" s="1"/>
  <c r="K127" i="4"/>
  <c r="J127" i="4"/>
  <c r="I128" i="4"/>
  <c r="I129" i="4" l="1"/>
  <c r="K128" i="4"/>
  <c r="J128" i="4"/>
  <c r="E316" i="4"/>
  <c r="F315" i="4"/>
  <c r="G315" i="4" s="1"/>
  <c r="F316" i="4" l="1"/>
  <c r="G316" i="4" s="1"/>
  <c r="E317" i="4"/>
  <c r="K129" i="4"/>
  <c r="J129" i="4"/>
  <c r="I130" i="4"/>
  <c r="I131" i="4" l="1"/>
  <c r="K130" i="4"/>
  <c r="J130" i="4"/>
  <c r="E318" i="4"/>
  <c r="F317" i="4"/>
  <c r="G317" i="4" s="1"/>
  <c r="F318" i="4" l="1"/>
  <c r="G318" i="4" s="1"/>
  <c r="E319" i="4"/>
  <c r="K131" i="4"/>
  <c r="J131" i="4"/>
  <c r="I132" i="4"/>
  <c r="I133" i="4" l="1"/>
  <c r="K132" i="4"/>
  <c r="J132" i="4"/>
  <c r="E320" i="4"/>
  <c r="F319" i="4"/>
  <c r="G319" i="4" s="1"/>
  <c r="F320" i="4" l="1"/>
  <c r="G320" i="4" s="1"/>
  <c r="E321" i="4"/>
  <c r="K133" i="4"/>
  <c r="J133" i="4"/>
  <c r="I134" i="4"/>
  <c r="I135" i="4" l="1"/>
  <c r="K134" i="4"/>
  <c r="J134" i="4"/>
  <c r="F321" i="4"/>
  <c r="G321" i="4" s="1"/>
  <c r="E322" i="4"/>
  <c r="E323" i="4" l="1"/>
  <c r="F322" i="4"/>
  <c r="G322" i="4" s="1"/>
  <c r="K135" i="4"/>
  <c r="J135" i="4"/>
  <c r="I136" i="4"/>
  <c r="I137" i="4" l="1"/>
  <c r="K136" i="4"/>
  <c r="J136" i="4"/>
  <c r="F323" i="4"/>
  <c r="G323" i="4" s="1"/>
  <c r="E324" i="4"/>
  <c r="E325" i="4" l="1"/>
  <c r="F324" i="4"/>
  <c r="G324" i="4" s="1"/>
  <c r="K137" i="4"/>
  <c r="J137" i="4"/>
  <c r="I138" i="4"/>
  <c r="I139" i="4" l="1"/>
  <c r="K138" i="4"/>
  <c r="J138" i="4"/>
  <c r="F325" i="4"/>
  <c r="G325" i="4" s="1"/>
  <c r="E326" i="4"/>
  <c r="E327" i="4" l="1"/>
  <c r="F326" i="4"/>
  <c r="G326" i="4" s="1"/>
  <c r="K139" i="4"/>
  <c r="J139" i="4"/>
  <c r="I140" i="4"/>
  <c r="I141" i="4" l="1"/>
  <c r="K140" i="4"/>
  <c r="J140" i="4"/>
  <c r="E328" i="4"/>
  <c r="F328" i="4" s="1"/>
  <c r="G328" i="4" s="1"/>
  <c r="F327" i="4"/>
  <c r="G327" i="4" s="1"/>
  <c r="K141" i="4" l="1"/>
  <c r="J141" i="4"/>
  <c r="I142" i="4"/>
  <c r="I143" i="4" l="1"/>
  <c r="K142" i="4"/>
  <c r="J142" i="4"/>
  <c r="K143" i="4" l="1"/>
  <c r="J143" i="4"/>
  <c r="I144" i="4"/>
  <c r="I145" i="4" l="1"/>
  <c r="K144" i="4"/>
  <c r="J144" i="4"/>
  <c r="K145" i="4" l="1"/>
  <c r="J145" i="4"/>
  <c r="I146" i="4"/>
  <c r="I147" i="4" l="1"/>
  <c r="K146" i="4"/>
  <c r="J146" i="4"/>
  <c r="K147" i="4" l="1"/>
  <c r="J147" i="4"/>
  <c r="I148" i="4"/>
  <c r="I149" i="4" l="1"/>
  <c r="K148" i="4"/>
  <c r="J148" i="4"/>
  <c r="K149" i="4" l="1"/>
  <c r="J149" i="4"/>
  <c r="I150" i="4"/>
  <c r="I151" i="4" l="1"/>
  <c r="K150" i="4"/>
  <c r="J150" i="4"/>
  <c r="K151" i="4" l="1"/>
  <c r="J151" i="4"/>
  <c r="I152" i="4"/>
  <c r="I153" i="4" l="1"/>
  <c r="K152" i="4"/>
  <c r="J152" i="4"/>
  <c r="K153" i="4" l="1"/>
  <c r="J153" i="4"/>
  <c r="I154" i="4"/>
  <c r="I155" i="4" l="1"/>
  <c r="K154" i="4"/>
  <c r="J154" i="4"/>
  <c r="K155" i="4" l="1"/>
  <c r="I156" i="4"/>
  <c r="J155" i="4"/>
  <c r="I157" i="4" l="1"/>
  <c r="K156" i="4"/>
  <c r="J156" i="4"/>
  <c r="K157" i="4" l="1"/>
  <c r="I158" i="4"/>
  <c r="J157" i="4"/>
  <c r="I159" i="4" l="1"/>
  <c r="K158" i="4"/>
  <c r="J158" i="4"/>
  <c r="K159" i="4" l="1"/>
  <c r="I160" i="4"/>
  <c r="J159" i="4"/>
  <c r="I161" i="4" l="1"/>
  <c r="K160" i="4"/>
  <c r="J160" i="4"/>
  <c r="K161" i="4" l="1"/>
  <c r="I162" i="4"/>
  <c r="J161" i="4"/>
  <c r="I163" i="4" l="1"/>
  <c r="K162" i="4"/>
  <c r="J162" i="4"/>
  <c r="K163" i="4" l="1"/>
  <c r="I164" i="4"/>
  <c r="J163" i="4"/>
  <c r="I165" i="4" l="1"/>
  <c r="K164" i="4"/>
  <c r="J164" i="4"/>
  <c r="I166" i="4" l="1"/>
  <c r="J165" i="4"/>
  <c r="M167" i="4" s="1"/>
  <c r="O166" i="4" s="1"/>
  <c r="K165" i="4"/>
  <c r="I167" i="4" l="1"/>
  <c r="J166" i="4"/>
  <c r="K166" i="4"/>
  <c r="I168" i="4" l="1"/>
  <c r="K167" i="4"/>
  <c r="J167" i="4"/>
  <c r="K168" i="4" l="1"/>
  <c r="I169" i="4"/>
  <c r="J168" i="4"/>
  <c r="I170" i="4" l="1"/>
  <c r="K169" i="4"/>
  <c r="J169" i="4"/>
  <c r="K170" i="4" l="1"/>
  <c r="I171" i="4"/>
  <c r="J170" i="4"/>
  <c r="I172" i="4" l="1"/>
  <c r="K171" i="4"/>
  <c r="J171" i="4"/>
  <c r="I173" i="4" l="1"/>
  <c r="K172" i="4"/>
  <c r="J172" i="4"/>
  <c r="J173" i="4" l="1"/>
  <c r="K173" i="4"/>
  <c r="I174" i="4"/>
  <c r="K174" i="4" l="1"/>
  <c r="I175" i="4"/>
  <c r="J174" i="4"/>
  <c r="J175" i="4" l="1"/>
  <c r="I176" i="4"/>
  <c r="K175" i="4"/>
  <c r="K176" i="4" l="1"/>
  <c r="J176" i="4"/>
  <c r="I177" i="4"/>
  <c r="J177" i="4" l="1"/>
  <c r="I178" i="4"/>
  <c r="K177" i="4"/>
  <c r="K178" i="4" l="1"/>
  <c r="J178" i="4"/>
  <c r="I179" i="4"/>
  <c r="I180" i="4" l="1"/>
  <c r="K179" i="4"/>
  <c r="J179" i="4"/>
  <c r="K180" i="4" l="1"/>
  <c r="I181" i="4"/>
  <c r="J180" i="4"/>
  <c r="I182" i="4" l="1"/>
  <c r="K181" i="4"/>
  <c r="J181" i="4"/>
  <c r="K182" i="4" l="1"/>
  <c r="I183" i="4"/>
  <c r="J182" i="4"/>
  <c r="I184" i="4" l="1"/>
  <c r="K183" i="4"/>
  <c r="J183" i="4"/>
  <c r="I185" i="4" l="1"/>
  <c r="K184" i="4"/>
  <c r="J184" i="4"/>
  <c r="J185" i="4" l="1"/>
  <c r="K185" i="4"/>
  <c r="I186" i="4"/>
  <c r="K186" i="4" l="1"/>
  <c r="J186" i="4"/>
  <c r="I187" i="4"/>
  <c r="J187" i="4" l="1"/>
  <c r="I188" i="4"/>
  <c r="K187" i="4"/>
  <c r="K188" i="4" l="1"/>
  <c r="J188" i="4"/>
  <c r="I189" i="4"/>
  <c r="J189" i="4" l="1"/>
  <c r="I190" i="4"/>
  <c r="K189" i="4"/>
  <c r="K190" i="4" l="1"/>
  <c r="J190" i="4"/>
  <c r="I191" i="4"/>
  <c r="I192" i="4" l="1"/>
  <c r="K191" i="4"/>
  <c r="J191" i="4"/>
  <c r="K192" i="4" l="1"/>
  <c r="I193" i="4"/>
  <c r="J192" i="4"/>
  <c r="I194" i="4" l="1"/>
  <c r="K193" i="4"/>
  <c r="J193" i="4"/>
  <c r="K194" i="4" l="1"/>
  <c r="I195" i="4"/>
  <c r="J194" i="4"/>
  <c r="I196" i="4" l="1"/>
  <c r="K195" i="4"/>
  <c r="J195" i="4"/>
  <c r="I197" i="4" l="1"/>
  <c r="K196" i="4"/>
  <c r="J196" i="4"/>
  <c r="J197" i="4" l="1"/>
  <c r="I198" i="4"/>
  <c r="K197" i="4"/>
  <c r="I199" i="4" l="1"/>
  <c r="K198" i="4"/>
  <c r="J198" i="4"/>
  <c r="K199" i="4" l="1"/>
  <c r="J199" i="4"/>
  <c r="M201" i="4" s="1"/>
  <c r="O200" i="4" s="1"/>
  <c r="I200" i="4"/>
  <c r="I201" i="4" l="1"/>
  <c r="K200" i="4"/>
  <c r="J200" i="4"/>
  <c r="J201" i="4" l="1"/>
  <c r="I202" i="4"/>
  <c r="K201" i="4"/>
  <c r="K202" i="4" l="1"/>
  <c r="J202" i="4"/>
  <c r="I203" i="4"/>
  <c r="J203" i="4" l="1"/>
  <c r="I204" i="4"/>
  <c r="K203" i="4"/>
  <c r="I205" i="4" l="1"/>
  <c r="K204" i="4"/>
  <c r="J204" i="4"/>
  <c r="I206" i="4" l="1"/>
  <c r="K205" i="4"/>
  <c r="J205" i="4"/>
  <c r="K206" i="4" l="1"/>
  <c r="J206" i="4"/>
  <c r="I207" i="4"/>
  <c r="I208" i="4" l="1"/>
  <c r="K207" i="4"/>
  <c r="J207" i="4"/>
  <c r="J208" i="4" l="1"/>
  <c r="I209" i="4"/>
  <c r="K208" i="4"/>
  <c r="K209" i="4" l="1"/>
  <c r="J209" i="4"/>
  <c r="I210" i="4"/>
  <c r="J210" i="4" l="1"/>
  <c r="I211" i="4"/>
  <c r="K210" i="4"/>
  <c r="K211" i="4" l="1"/>
  <c r="J211" i="4"/>
  <c r="I212" i="4"/>
  <c r="I213" i="4" l="1"/>
  <c r="K212" i="4"/>
  <c r="J212" i="4"/>
  <c r="K213" i="4" l="1"/>
  <c r="J213" i="4"/>
  <c r="I214" i="4"/>
  <c r="I215" i="4" l="1"/>
  <c r="K214" i="4"/>
  <c r="J214" i="4"/>
  <c r="K215" i="4" l="1"/>
  <c r="I216" i="4"/>
  <c r="J215" i="4"/>
  <c r="I217" i="4" l="1"/>
  <c r="K216" i="4"/>
  <c r="J216" i="4"/>
  <c r="I218" i="4" l="1"/>
  <c r="J217" i="4"/>
  <c r="K217" i="4"/>
  <c r="K218" i="4" l="1"/>
  <c r="J218" i="4"/>
  <c r="I219" i="4"/>
  <c r="I220" i="4" l="1"/>
  <c r="K219" i="4"/>
  <c r="J219" i="4"/>
  <c r="J220" i="4" l="1"/>
  <c r="I221" i="4"/>
  <c r="K220" i="4"/>
  <c r="K221" i="4" l="1"/>
  <c r="J221" i="4"/>
  <c r="I222" i="4"/>
  <c r="J222" i="4" l="1"/>
  <c r="I223" i="4"/>
  <c r="K222" i="4"/>
  <c r="K223" i="4" l="1"/>
  <c r="J223" i="4"/>
  <c r="I224" i="4"/>
  <c r="I225" i="4" l="1"/>
  <c r="K224" i="4"/>
  <c r="J224" i="4"/>
  <c r="K225" i="4" l="1"/>
  <c r="J225" i="4"/>
  <c r="I226" i="4"/>
  <c r="I227" i="4" l="1"/>
  <c r="K226" i="4"/>
  <c r="J226" i="4"/>
  <c r="K227" i="4" l="1"/>
  <c r="J227" i="4"/>
  <c r="I228" i="4"/>
  <c r="I229" i="4" l="1"/>
  <c r="K228" i="4"/>
  <c r="J228" i="4"/>
  <c r="I230" i="4" l="1"/>
  <c r="J229" i="4"/>
  <c r="K229" i="4"/>
  <c r="K230" i="4" l="1"/>
  <c r="J230" i="4"/>
  <c r="I231" i="4"/>
  <c r="I232" i="4" l="1"/>
  <c r="K231" i="4"/>
  <c r="J231" i="4"/>
  <c r="K232" i="4" l="1"/>
  <c r="J232" i="4"/>
  <c r="I233" i="4"/>
  <c r="I234" i="4" l="1"/>
  <c r="K233" i="4"/>
  <c r="J233" i="4"/>
  <c r="J234" i="4" l="1"/>
  <c r="I235" i="4"/>
  <c r="K234" i="4"/>
  <c r="K235" i="4" l="1"/>
  <c r="J235" i="4"/>
  <c r="I236" i="4"/>
  <c r="I237" i="4" l="1"/>
  <c r="K236" i="4"/>
  <c r="J236" i="4"/>
  <c r="K237" i="4" l="1"/>
  <c r="J237" i="4"/>
  <c r="I238" i="4"/>
  <c r="I239" i="4" l="1"/>
  <c r="K238" i="4"/>
  <c r="J238" i="4"/>
  <c r="K239" i="4" l="1"/>
  <c r="J239" i="4"/>
  <c r="I240" i="4"/>
  <c r="I241" i="4" l="1"/>
  <c r="K240" i="4"/>
  <c r="J240" i="4"/>
  <c r="I242" i="4" l="1"/>
  <c r="K241" i="4"/>
  <c r="J241" i="4"/>
  <c r="K242" i="4" l="1"/>
  <c r="J242" i="4"/>
  <c r="I243" i="4"/>
  <c r="I244" i="4" l="1"/>
  <c r="K243" i="4"/>
  <c r="J243" i="4"/>
  <c r="M245" i="4" s="1"/>
  <c r="K244" i="4" l="1"/>
  <c r="J244" i="4"/>
  <c r="I245" i="4"/>
  <c r="I246" i="4" l="1"/>
  <c r="K245" i="4"/>
  <c r="J245" i="4"/>
  <c r="I247" i="4" l="1"/>
  <c r="K246" i="4"/>
  <c r="J246" i="4"/>
  <c r="K247" i="4" l="1"/>
  <c r="J247" i="4"/>
  <c r="I248" i="4"/>
  <c r="I249" i="4" l="1"/>
  <c r="K248" i="4"/>
  <c r="J248" i="4"/>
  <c r="K249" i="4" l="1"/>
  <c r="J249" i="4"/>
  <c r="I250" i="4"/>
  <c r="I251" i="4" l="1"/>
  <c r="K250" i="4"/>
  <c r="J250" i="4"/>
  <c r="J251" i="4" l="1"/>
  <c r="I252" i="4"/>
  <c r="K251" i="4"/>
  <c r="K252" i="4" l="1"/>
  <c r="J252" i="4"/>
  <c r="I253" i="4"/>
  <c r="I254" i="4" l="1"/>
  <c r="K253" i="4"/>
  <c r="J253" i="4"/>
  <c r="K254" i="4" l="1"/>
  <c r="J254" i="4"/>
  <c r="I255" i="4"/>
  <c r="I256" i="4" l="1"/>
  <c r="K255" i="4"/>
  <c r="J255" i="4"/>
  <c r="K256" i="4" l="1"/>
  <c r="J256" i="4"/>
  <c r="I257" i="4"/>
  <c r="I258" i="4" l="1"/>
  <c r="K257" i="4"/>
  <c r="J257" i="4"/>
  <c r="I259" i="4" l="1"/>
  <c r="K258" i="4"/>
  <c r="J258" i="4"/>
  <c r="K259" i="4" l="1"/>
  <c r="J259" i="4"/>
  <c r="I260" i="4"/>
  <c r="I261" i="4" l="1"/>
  <c r="K260" i="4"/>
  <c r="J260" i="4"/>
  <c r="K261" i="4" l="1"/>
  <c r="J261" i="4"/>
  <c r="M263" i="4" s="1"/>
  <c r="O262" i="4" s="1"/>
  <c r="I262" i="4"/>
  <c r="I263" i="4" l="1"/>
  <c r="K262" i="4"/>
  <c r="J262" i="4"/>
  <c r="K263" i="4" l="1"/>
  <c r="J263" i="4"/>
  <c r="I264" i="4"/>
  <c r="I265" i="4" l="1"/>
  <c r="J264" i="4"/>
  <c r="K264" i="4"/>
  <c r="I266" i="4" l="1"/>
  <c r="K265" i="4"/>
  <c r="J265" i="4"/>
  <c r="K266" i="4" l="1"/>
  <c r="J266" i="4"/>
  <c r="I267" i="4"/>
  <c r="I268" i="4" l="1"/>
  <c r="K267" i="4"/>
  <c r="J267" i="4"/>
  <c r="K268" i="4" l="1"/>
  <c r="J268" i="4"/>
  <c r="I269" i="4"/>
  <c r="I270" i="4" l="1"/>
  <c r="K269" i="4"/>
  <c r="J269" i="4"/>
  <c r="I271" i="4" l="1"/>
  <c r="K270" i="4"/>
  <c r="J270" i="4"/>
  <c r="K271" i="4" l="1"/>
  <c r="J271" i="4"/>
  <c r="I272" i="4"/>
  <c r="I273" i="4" l="1"/>
  <c r="K272" i="4"/>
  <c r="J272" i="4"/>
  <c r="K273" i="4" l="1"/>
  <c r="J273" i="4"/>
  <c r="I274" i="4"/>
  <c r="I275" i="4" l="1"/>
  <c r="K274" i="4"/>
  <c r="J274" i="4"/>
  <c r="I276" i="4" l="1"/>
  <c r="K275" i="4"/>
  <c r="J275" i="4"/>
  <c r="K276" i="4" l="1"/>
  <c r="J276" i="4"/>
  <c r="I277" i="4"/>
  <c r="I278" i="4" l="1"/>
  <c r="K277" i="4"/>
  <c r="J277" i="4"/>
  <c r="K278" i="4" l="1"/>
  <c r="J278" i="4"/>
  <c r="I279" i="4"/>
  <c r="I280" i="4" l="1"/>
  <c r="K279" i="4"/>
  <c r="J279" i="4"/>
  <c r="J280" i="4" l="1"/>
  <c r="I281" i="4"/>
  <c r="K280" i="4"/>
  <c r="K281" i="4" l="1"/>
  <c r="J281" i="4"/>
  <c r="I282" i="4"/>
  <c r="I283" i="4" l="1"/>
  <c r="K282" i="4"/>
  <c r="J282" i="4"/>
  <c r="K283" i="4" l="1"/>
  <c r="J283" i="4"/>
  <c r="I284" i="4"/>
  <c r="I285" i="4" l="1"/>
  <c r="K284" i="4"/>
  <c r="J284" i="4"/>
  <c r="K285" i="4" l="1"/>
  <c r="J285" i="4"/>
  <c r="I286" i="4"/>
  <c r="I287" i="4" l="1"/>
  <c r="K286" i="4"/>
  <c r="J286" i="4"/>
  <c r="I288" i="4" l="1"/>
  <c r="K287" i="4"/>
  <c r="J287" i="4"/>
  <c r="K288" i="4" l="1"/>
  <c r="J288" i="4"/>
  <c r="I289" i="4"/>
  <c r="I290" i="4" l="1"/>
  <c r="K289" i="4"/>
  <c r="J289" i="4"/>
  <c r="K290" i="4" l="1"/>
  <c r="J290" i="4"/>
  <c r="M292" i="4" s="1"/>
  <c r="O291" i="4" s="1"/>
  <c r="I291" i="4"/>
  <c r="I292" i="4" l="1"/>
  <c r="K291" i="4"/>
  <c r="J291" i="4"/>
  <c r="K292" i="4" l="1"/>
  <c r="J292" i="4"/>
  <c r="I293" i="4"/>
  <c r="I294" i="4" l="1"/>
  <c r="K293" i="4"/>
  <c r="J293" i="4"/>
  <c r="I295" i="4" l="1"/>
  <c r="K294" i="4"/>
  <c r="J294" i="4"/>
  <c r="K295" i="4" l="1"/>
  <c r="J295" i="4"/>
  <c r="I296" i="4"/>
  <c r="I297" i="4" l="1"/>
  <c r="K296" i="4"/>
  <c r="J296" i="4"/>
  <c r="K297" i="4" l="1"/>
  <c r="J297" i="4"/>
  <c r="I298" i="4"/>
  <c r="I299" i="4" l="1"/>
  <c r="K298" i="4"/>
  <c r="J298" i="4"/>
  <c r="J299" i="4" l="1"/>
  <c r="I300" i="4"/>
  <c r="K299" i="4"/>
  <c r="K300" i="4" l="1"/>
  <c r="J300" i="4"/>
  <c r="I301" i="4"/>
  <c r="I302" i="4" l="1"/>
  <c r="J301" i="4"/>
  <c r="K301" i="4"/>
  <c r="K302" i="4" l="1"/>
  <c r="J302" i="4"/>
  <c r="I303" i="4"/>
  <c r="I304" i="4" l="1"/>
  <c r="K303" i="4"/>
  <c r="J303" i="4"/>
  <c r="K304" i="4" l="1"/>
  <c r="J304" i="4"/>
  <c r="I305" i="4"/>
  <c r="I306" i="4" l="1"/>
  <c r="K305" i="4"/>
  <c r="J305" i="4"/>
  <c r="I307" i="4" l="1"/>
  <c r="K306" i="4"/>
  <c r="J306" i="4"/>
  <c r="K307" i="4" l="1"/>
  <c r="J307" i="4"/>
  <c r="I308" i="4"/>
  <c r="I309" i="4" l="1"/>
  <c r="K308" i="4"/>
  <c r="J308" i="4"/>
  <c r="K309" i="4" l="1"/>
  <c r="J309" i="4"/>
  <c r="I310" i="4"/>
  <c r="I311" i="4" l="1"/>
  <c r="K310" i="4"/>
  <c r="J310" i="4"/>
  <c r="J311" i="4" l="1"/>
  <c r="I312" i="4"/>
  <c r="K311" i="4"/>
  <c r="K312" i="4" l="1"/>
  <c r="J312" i="4"/>
  <c r="I313" i="4"/>
  <c r="I314" i="4" l="1"/>
  <c r="K313" i="4"/>
  <c r="J313" i="4"/>
  <c r="K314" i="4" l="1"/>
  <c r="J314" i="4"/>
  <c r="I315" i="4"/>
  <c r="I316" i="4" l="1"/>
  <c r="K315" i="4"/>
  <c r="J315" i="4"/>
  <c r="K316" i="4" l="1"/>
  <c r="J316" i="4"/>
  <c r="I317" i="4"/>
  <c r="I318" i="4" l="1"/>
  <c r="K317" i="4"/>
  <c r="J317" i="4"/>
  <c r="M330" i="4" s="1"/>
  <c r="O329" i="4" s="1"/>
  <c r="I319" i="4" l="1"/>
  <c r="K318" i="4"/>
  <c r="J318" i="4"/>
  <c r="K319" i="4" l="1"/>
  <c r="J319" i="4"/>
  <c r="I320" i="4"/>
  <c r="I321" i="4" l="1"/>
  <c r="K320" i="4"/>
  <c r="J320" i="4"/>
  <c r="K321" i="4" l="1"/>
  <c r="J321" i="4"/>
  <c r="I322" i="4"/>
  <c r="I323" i="4" l="1"/>
  <c r="K322" i="4"/>
  <c r="J322" i="4"/>
  <c r="J323" i="4" l="1"/>
  <c r="I324" i="4"/>
  <c r="K323" i="4"/>
  <c r="K324" i="4" l="1"/>
  <c r="J324" i="4"/>
  <c r="I325" i="4"/>
  <c r="I326" i="4" l="1"/>
  <c r="K325" i="4"/>
  <c r="J325" i="4"/>
  <c r="K326" i="4" l="1"/>
  <c r="J326" i="4"/>
  <c r="I327" i="4"/>
  <c r="I328" i="4" l="1"/>
  <c r="K327" i="4"/>
  <c r="J327" i="4"/>
  <c r="K328" i="4" l="1"/>
  <c r="J328" i="4"/>
  <c r="I329" i="4"/>
  <c r="I330" i="4" l="1"/>
  <c r="K329" i="4"/>
  <c r="J329" i="4"/>
  <c r="K330" i="4" l="1"/>
  <c r="J330" i="4"/>
  <c r="I331" i="4"/>
  <c r="I332" i="4" l="1"/>
  <c r="K331" i="4"/>
  <c r="J331" i="4"/>
  <c r="I333" i="4" l="1"/>
  <c r="K332" i="4"/>
  <c r="J332" i="4"/>
  <c r="M340" i="4" s="1"/>
  <c r="O340" i="4" l="1"/>
  <c r="P340" i="4"/>
  <c r="J333" i="4"/>
  <c r="I334" i="4"/>
  <c r="K333" i="4"/>
  <c r="K334" i="4" l="1"/>
  <c r="J334" i="4"/>
  <c r="M341" i="4" s="1"/>
  <c r="I335" i="4"/>
  <c r="P341" i="4" l="1"/>
  <c r="O341" i="4"/>
  <c r="J335" i="4"/>
  <c r="K335" i="4"/>
  <c r="I336" i="4"/>
  <c r="K336" i="4" l="1"/>
  <c r="M334" i="4"/>
  <c r="J336" i="4"/>
  <c r="I337" i="4"/>
  <c r="K337" i="4" l="1"/>
  <c r="J337" i="4"/>
  <c r="I338" i="4"/>
  <c r="M344" i="4"/>
  <c r="M343" i="4"/>
  <c r="M336" i="4"/>
  <c r="M335" i="4"/>
  <c r="L11" i="4"/>
  <c r="P343" i="4" l="1"/>
  <c r="O343" i="4"/>
  <c r="P344" i="4"/>
  <c r="O344" i="4"/>
  <c r="K338" i="4"/>
  <c r="J338" i="4"/>
  <c r="I339" i="4"/>
  <c r="I340" i="4" l="1"/>
  <c r="J339" i="4"/>
  <c r="J340" i="4" l="1"/>
  <c r="I341" i="4"/>
  <c r="J341" i="4" l="1"/>
  <c r="I342" i="4"/>
  <c r="J342" i="4" l="1"/>
  <c r="I343" i="4"/>
  <c r="J343" i="4" l="1"/>
  <c r="I344" i="4"/>
  <c r="J344" i="4" l="1"/>
  <c r="I345" i="4"/>
  <c r="J345" i="4" l="1"/>
  <c r="I346" i="4"/>
  <c r="J346" i="4" l="1"/>
  <c r="I347" i="4"/>
  <c r="J347" i="4" l="1"/>
  <c r="I348" i="4"/>
  <c r="J348" i="4" l="1"/>
  <c r="I349" i="4"/>
  <c r="J349" i="4" l="1"/>
  <c r="I350" i="4"/>
  <c r="J350" i="4" l="1"/>
  <c r="I351" i="4"/>
  <c r="J351" i="4" l="1"/>
  <c r="I352" i="4"/>
  <c r="J352" i="4" l="1"/>
  <c r="I353" i="4"/>
  <c r="J353" i="4" l="1"/>
  <c r="I354" i="4"/>
  <c r="J354" i="4" l="1"/>
  <c r="I355" i="4"/>
  <c r="J355" i="4" l="1"/>
  <c r="I356" i="4"/>
  <c r="J356" i="4" l="1"/>
  <c r="I357" i="4"/>
  <c r="J357" i="4" l="1"/>
  <c r="I358" i="4"/>
  <c r="J358" i="4" l="1"/>
  <c r="I359" i="4"/>
  <c r="J359" i="4" l="1"/>
  <c r="I360" i="4"/>
  <c r="J360" i="4" l="1"/>
  <c r="I361" i="4"/>
  <c r="J361" i="4" l="1"/>
  <c r="I362" i="4"/>
  <c r="J362" i="4" l="1"/>
  <c r="I363" i="4"/>
  <c r="J363" i="4" l="1"/>
  <c r="I364" i="4"/>
  <c r="J364" i="4" l="1"/>
  <c r="I365" i="4"/>
  <c r="J365" i="4" l="1"/>
  <c r="I366" i="4"/>
  <c r="J366" i="4" l="1"/>
  <c r="I367" i="4"/>
  <c r="J367" i="4" l="1"/>
  <c r="I368" i="4"/>
  <c r="J368" i="4" l="1"/>
  <c r="I369" i="4"/>
  <c r="J369" i="4" l="1"/>
  <c r="I370" i="4"/>
  <c r="J370" i="4" l="1"/>
  <c r="I371" i="4"/>
  <c r="J371" i="4" l="1"/>
  <c r="I372" i="4"/>
  <c r="J372" i="4" l="1"/>
  <c r="I373" i="4"/>
  <c r="J373" i="4" l="1"/>
  <c r="I374" i="4"/>
  <c r="J374" i="4" l="1"/>
  <c r="I375" i="4"/>
  <c r="J375" i="4" l="1"/>
  <c r="I376" i="4"/>
  <c r="J376" i="4" l="1"/>
  <c r="I377" i="4"/>
  <c r="J377" i="4" l="1"/>
  <c r="I378" i="4"/>
  <c r="J378" i="4" l="1"/>
  <c r="I379" i="4"/>
  <c r="J379" i="4" l="1"/>
  <c r="I380" i="4"/>
  <c r="J380" i="4" l="1"/>
  <c r="I381" i="4"/>
  <c r="J381" i="4" l="1"/>
  <c r="I382" i="4"/>
  <c r="J382" i="4" l="1"/>
  <c r="I383" i="4"/>
  <c r="J383" i="4" l="1"/>
  <c r="I384" i="4"/>
  <c r="J384" i="4" l="1"/>
  <c r="I385" i="4"/>
  <c r="J385" i="4" l="1"/>
  <c r="I386" i="4"/>
  <c r="J386" i="4" l="1"/>
  <c r="I387" i="4"/>
  <c r="J387" i="4" l="1"/>
  <c r="I388" i="4"/>
  <c r="J388" i="4" l="1"/>
  <c r="I389" i="4"/>
  <c r="J389" i="4" l="1"/>
  <c r="I390" i="4"/>
  <c r="J390" i="4" l="1"/>
  <c r="I391" i="4"/>
  <c r="J391" i="4" l="1"/>
  <c r="I392" i="4"/>
  <c r="J392" i="4" l="1"/>
  <c r="I393" i="4"/>
  <c r="J393" i="4" l="1"/>
  <c r="I394" i="4"/>
  <c r="J394" i="4" l="1"/>
  <c r="I395" i="4"/>
  <c r="J395" i="4" l="1"/>
  <c r="I396" i="4"/>
  <c r="J396" i="4" l="1"/>
  <c r="I397" i="4"/>
  <c r="J397" i="4" l="1"/>
  <c r="I398" i="4"/>
  <c r="J398" i="4" l="1"/>
  <c r="I399" i="4"/>
  <c r="J399" i="4" l="1"/>
  <c r="I400" i="4"/>
  <c r="J400" i="4" l="1"/>
  <c r="I401" i="4"/>
  <c r="J401" i="4" l="1"/>
  <c r="I402" i="4"/>
  <c r="J402" i="4" l="1"/>
  <c r="I403" i="4"/>
  <c r="J403" i="4" l="1"/>
  <c r="I404" i="4"/>
  <c r="J404" i="4" l="1"/>
  <c r="I405" i="4"/>
  <c r="J405" i="4" l="1"/>
  <c r="I406" i="4"/>
  <c r="J406" i="4" l="1"/>
  <c r="I407" i="4"/>
  <c r="J407" i="4" l="1"/>
  <c r="I408" i="4"/>
  <c r="J408" i="4" l="1"/>
  <c r="I409" i="4"/>
  <c r="J409" i="4" l="1"/>
  <c r="I410" i="4"/>
  <c r="J410" i="4" l="1"/>
  <c r="I411" i="4"/>
  <c r="J411" i="4" l="1"/>
  <c r="I412" i="4"/>
  <c r="J412" i="4" l="1"/>
  <c r="I413" i="4"/>
  <c r="J413" i="4" l="1"/>
  <c r="I414" i="4"/>
  <c r="J414" i="4" l="1"/>
  <c r="I415" i="4"/>
  <c r="J415" i="4" l="1"/>
  <c r="I416" i="4"/>
  <c r="J416" i="4" l="1"/>
  <c r="I417" i="4"/>
  <c r="J417" i="4" l="1"/>
  <c r="I418" i="4"/>
  <c r="J418" i="4" l="1"/>
  <c r="I419" i="4"/>
  <c r="J419" i="4" l="1"/>
  <c r="I420" i="4"/>
  <c r="J420" i="4" l="1"/>
  <c r="I421" i="4"/>
  <c r="J421" i="4" l="1"/>
  <c r="I422" i="4"/>
  <c r="J422" i="4" l="1"/>
  <c r="I423" i="4"/>
  <c r="J423" i="4" l="1"/>
  <c r="I424" i="4"/>
  <c r="J424" i="4" l="1"/>
  <c r="I425" i="4"/>
  <c r="J425" i="4" l="1"/>
  <c r="I426" i="4"/>
  <c r="J426" i="4" l="1"/>
  <c r="I427" i="4"/>
  <c r="J427" i="4" l="1"/>
  <c r="I428" i="4"/>
  <c r="I429" i="4" l="1"/>
  <c r="J428" i="4"/>
  <c r="J429" i="4" l="1"/>
  <c r="I430" i="4"/>
  <c r="J430" i="4" l="1"/>
  <c r="I431" i="4"/>
  <c r="I432" i="4" l="1"/>
  <c r="J431" i="4"/>
  <c r="J432" i="4" l="1"/>
  <c r="I433" i="4"/>
  <c r="J433" i="4" l="1"/>
  <c r="I434" i="4"/>
  <c r="J434" i="4" l="1"/>
  <c r="I435" i="4"/>
  <c r="J435" i="4" l="1"/>
  <c r="I436" i="4"/>
  <c r="J436" i="4" l="1"/>
  <c r="I437" i="4"/>
  <c r="J437" i="4" l="1"/>
  <c r="I438" i="4"/>
  <c r="J438" i="4" l="1"/>
  <c r="I439" i="4"/>
  <c r="J439" i="4" l="1"/>
  <c r="I440" i="4"/>
  <c r="J440" i="4" l="1"/>
  <c r="I441" i="4"/>
  <c r="J441" i="4" l="1"/>
  <c r="I442" i="4"/>
  <c r="J442" i="4" l="1"/>
  <c r="I443" i="4"/>
  <c r="J443" i="4" l="1"/>
  <c r="I444" i="4"/>
  <c r="J444" i="4" l="1"/>
  <c r="I445" i="4"/>
  <c r="J445" i="4" l="1"/>
  <c r="I446" i="4"/>
  <c r="J446" i="4" l="1"/>
  <c r="I447" i="4"/>
  <c r="J447" i="4" l="1"/>
  <c r="I448" i="4"/>
  <c r="J448" i="4" l="1"/>
  <c r="I449" i="4"/>
  <c r="J449" i="4" l="1"/>
  <c r="I450" i="4"/>
  <c r="J450" i="4" l="1"/>
  <c r="I451" i="4"/>
  <c r="J451" i="4" l="1"/>
  <c r="I452" i="4"/>
  <c r="J452" i="4" l="1"/>
  <c r="I453" i="4"/>
  <c r="J453" i="4" l="1"/>
  <c r="I454" i="4"/>
  <c r="J454" i="4" l="1"/>
  <c r="I455" i="4"/>
  <c r="J455" i="4" l="1"/>
  <c r="I456" i="4"/>
  <c r="J456" i="4" l="1"/>
  <c r="I457" i="4"/>
  <c r="J457" i="4" l="1"/>
  <c r="I458" i="4"/>
  <c r="J458" i="4" l="1"/>
  <c r="I459" i="4"/>
  <c r="J459" i="4" l="1"/>
  <c r="I460" i="4"/>
  <c r="I461" i="4" l="1"/>
  <c r="J460" i="4"/>
  <c r="I462" i="4" l="1"/>
  <c r="J461" i="4"/>
  <c r="I463" i="4" l="1"/>
  <c r="J462" i="4"/>
  <c r="I464" i="4" l="1"/>
  <c r="J463" i="4"/>
  <c r="I465" i="4" l="1"/>
  <c r="J464" i="4"/>
  <c r="I466" i="4" l="1"/>
  <c r="J465" i="4"/>
  <c r="I467" i="4" l="1"/>
  <c r="J466" i="4"/>
  <c r="I468" i="4" l="1"/>
  <c r="J467" i="4"/>
  <c r="I469" i="4" l="1"/>
  <c r="J468" i="4"/>
  <c r="I470" i="4" l="1"/>
  <c r="J469" i="4"/>
  <c r="I471" i="4" l="1"/>
  <c r="J470" i="4"/>
  <c r="I472" i="4" l="1"/>
  <c r="J471" i="4"/>
  <c r="I473" i="4" l="1"/>
  <c r="J472" i="4"/>
  <c r="I474" i="4" l="1"/>
  <c r="J473" i="4"/>
  <c r="I475" i="4" l="1"/>
  <c r="J474" i="4"/>
  <c r="I476" i="4" l="1"/>
  <c r="J475" i="4"/>
  <c r="I477" i="4" l="1"/>
  <c r="J476" i="4"/>
  <c r="I478" i="4" l="1"/>
  <c r="J477" i="4"/>
  <c r="I479" i="4" l="1"/>
  <c r="J478" i="4"/>
  <c r="I480" i="4" l="1"/>
  <c r="J479" i="4"/>
  <c r="I481" i="4" l="1"/>
  <c r="J480" i="4"/>
  <c r="I482" i="4" l="1"/>
  <c r="J481" i="4"/>
  <c r="I483" i="4" l="1"/>
  <c r="J482" i="4"/>
  <c r="I484" i="4" l="1"/>
  <c r="J483" i="4"/>
  <c r="I485" i="4" l="1"/>
  <c r="J484" i="4"/>
  <c r="I486" i="4" l="1"/>
  <c r="J485" i="4"/>
  <c r="I487" i="4" l="1"/>
  <c r="J486" i="4"/>
  <c r="I488" i="4" l="1"/>
  <c r="J487" i="4"/>
  <c r="I489" i="4" l="1"/>
  <c r="J488" i="4"/>
  <c r="I490" i="4" l="1"/>
  <c r="J489" i="4"/>
  <c r="I491" i="4" l="1"/>
  <c r="J490" i="4"/>
  <c r="I492" i="4" l="1"/>
  <c r="J491" i="4"/>
  <c r="I493" i="4" l="1"/>
  <c r="J492" i="4"/>
  <c r="I494" i="4" l="1"/>
  <c r="J493" i="4"/>
  <c r="I495" i="4" l="1"/>
  <c r="J494" i="4"/>
  <c r="I496" i="4" l="1"/>
  <c r="J495" i="4"/>
  <c r="I497" i="4" l="1"/>
  <c r="J496" i="4"/>
  <c r="I498" i="4" l="1"/>
  <c r="J497" i="4"/>
  <c r="I499" i="4" l="1"/>
  <c r="J498" i="4"/>
  <c r="I500" i="4" l="1"/>
  <c r="J499" i="4"/>
  <c r="I501" i="4" l="1"/>
  <c r="J500" i="4"/>
  <c r="I502" i="4" l="1"/>
  <c r="J501" i="4"/>
  <c r="I503" i="4" l="1"/>
  <c r="J502" i="4"/>
  <c r="I504" i="4" l="1"/>
  <c r="J503" i="4"/>
  <c r="I505" i="4" l="1"/>
  <c r="J504" i="4"/>
  <c r="I506" i="4" l="1"/>
  <c r="J505" i="4"/>
  <c r="I507" i="4" l="1"/>
  <c r="J506" i="4"/>
  <c r="I508" i="4" l="1"/>
  <c r="J507" i="4"/>
  <c r="I509" i="4" l="1"/>
  <c r="J508" i="4"/>
  <c r="I510" i="4" l="1"/>
  <c r="J509" i="4"/>
  <c r="I511" i="4" l="1"/>
  <c r="J510" i="4"/>
  <c r="I512" i="4" l="1"/>
  <c r="J511" i="4"/>
  <c r="I513" i="4" l="1"/>
  <c r="J512" i="4"/>
  <c r="I514" i="4" l="1"/>
  <c r="J513" i="4"/>
  <c r="I515" i="4" l="1"/>
  <c r="J514" i="4"/>
  <c r="I516" i="4" l="1"/>
  <c r="J515" i="4"/>
  <c r="I517" i="4" l="1"/>
  <c r="J516" i="4"/>
  <c r="I518" i="4" l="1"/>
  <c r="J517" i="4"/>
  <c r="I519" i="4" l="1"/>
  <c r="J518" i="4"/>
  <c r="I520" i="4" l="1"/>
  <c r="J519" i="4"/>
  <c r="I521" i="4" l="1"/>
  <c r="J520" i="4"/>
  <c r="I522" i="4" l="1"/>
  <c r="J521" i="4"/>
  <c r="I523" i="4" l="1"/>
  <c r="J522" i="4"/>
  <c r="I524" i="4" l="1"/>
  <c r="J523" i="4"/>
  <c r="I525" i="4" l="1"/>
  <c r="J524" i="4"/>
  <c r="I526" i="4" l="1"/>
  <c r="J525" i="4"/>
  <c r="I527" i="4" l="1"/>
  <c r="J526" i="4"/>
  <c r="I528" i="4" l="1"/>
  <c r="J527" i="4"/>
  <c r="I529" i="4" l="1"/>
  <c r="J528" i="4"/>
  <c r="I530" i="4" l="1"/>
  <c r="J529" i="4"/>
  <c r="I531" i="4" l="1"/>
  <c r="J530" i="4"/>
  <c r="I532" i="4" l="1"/>
  <c r="J531" i="4"/>
  <c r="I533" i="4" l="1"/>
  <c r="J532" i="4"/>
  <c r="I534" i="4" l="1"/>
  <c r="J533" i="4"/>
  <c r="I535" i="4" l="1"/>
  <c r="J534" i="4"/>
  <c r="I536" i="4" l="1"/>
  <c r="J535" i="4"/>
  <c r="I537" i="4" l="1"/>
  <c r="J536" i="4"/>
  <c r="I538" i="4" l="1"/>
  <c r="J537" i="4"/>
  <c r="I539" i="4" l="1"/>
  <c r="J538" i="4"/>
  <c r="I540" i="4" l="1"/>
  <c r="J539" i="4"/>
  <c r="I541" i="4" l="1"/>
  <c r="J540" i="4"/>
  <c r="I542" i="4" l="1"/>
  <c r="J541" i="4"/>
  <c r="I543" i="4" l="1"/>
  <c r="J542" i="4"/>
  <c r="I544" i="4" l="1"/>
  <c r="J543" i="4"/>
  <c r="I545" i="4" l="1"/>
  <c r="J544" i="4"/>
  <c r="I546" i="4" l="1"/>
  <c r="J545" i="4"/>
  <c r="I547" i="4" l="1"/>
  <c r="J546" i="4"/>
  <c r="I548" i="4" l="1"/>
  <c r="J547" i="4"/>
  <c r="I549" i="4" l="1"/>
  <c r="J548" i="4"/>
  <c r="I550" i="4" l="1"/>
  <c r="J549" i="4"/>
  <c r="I551" i="4" l="1"/>
  <c r="J550" i="4"/>
  <c r="I552" i="4" l="1"/>
  <c r="J551" i="4"/>
  <c r="I553" i="4" l="1"/>
  <c r="J552" i="4"/>
  <c r="I554" i="4" l="1"/>
  <c r="J553" i="4"/>
  <c r="I555" i="4" l="1"/>
  <c r="J554" i="4"/>
  <c r="I556" i="4" l="1"/>
  <c r="J555" i="4"/>
  <c r="I557" i="4" l="1"/>
  <c r="J556" i="4"/>
  <c r="I558" i="4" l="1"/>
  <c r="J557" i="4"/>
  <c r="I559" i="4" l="1"/>
  <c r="J558" i="4"/>
  <c r="I560" i="4" l="1"/>
  <c r="J559" i="4"/>
  <c r="I561" i="4" l="1"/>
  <c r="J560" i="4"/>
  <c r="I562" i="4" l="1"/>
  <c r="J561" i="4"/>
  <c r="I563" i="4" l="1"/>
  <c r="J562" i="4"/>
  <c r="I564" i="4" l="1"/>
  <c r="J563" i="4"/>
  <c r="I565" i="4" l="1"/>
  <c r="J564" i="4"/>
  <c r="I566" i="4" l="1"/>
  <c r="J565" i="4"/>
  <c r="I567" i="4" l="1"/>
  <c r="J566" i="4"/>
  <c r="I568" i="4" l="1"/>
  <c r="J567" i="4"/>
  <c r="I569" i="4" l="1"/>
  <c r="J568" i="4"/>
  <c r="I570" i="4" l="1"/>
  <c r="J569" i="4"/>
  <c r="I571" i="4" l="1"/>
  <c r="J570" i="4"/>
  <c r="I572" i="4" l="1"/>
  <c r="J571" i="4"/>
  <c r="I573" i="4" l="1"/>
  <c r="J572" i="4"/>
  <c r="I574" i="4" l="1"/>
  <c r="J573" i="4"/>
  <c r="I575" i="4" l="1"/>
  <c r="J574" i="4"/>
  <c r="I576" i="4" l="1"/>
  <c r="J575" i="4"/>
  <c r="I577" i="4" l="1"/>
  <c r="J576" i="4"/>
  <c r="I578" i="4" l="1"/>
  <c r="J577" i="4"/>
  <c r="I579" i="4" l="1"/>
  <c r="J578" i="4"/>
  <c r="I580" i="4" l="1"/>
  <c r="J579" i="4"/>
  <c r="I581" i="4" l="1"/>
  <c r="J580" i="4"/>
  <c r="I582" i="4" l="1"/>
  <c r="J581" i="4"/>
  <c r="I583" i="4" l="1"/>
  <c r="J582" i="4"/>
  <c r="I584" i="4" l="1"/>
  <c r="J583" i="4"/>
  <c r="I585" i="4" l="1"/>
  <c r="J584" i="4"/>
  <c r="I586" i="4" l="1"/>
  <c r="J585" i="4"/>
  <c r="I587" i="4" l="1"/>
  <c r="J586" i="4"/>
  <c r="I588" i="4" l="1"/>
  <c r="J587" i="4"/>
  <c r="I589" i="4" l="1"/>
  <c r="J588" i="4"/>
  <c r="I590" i="4" l="1"/>
  <c r="J589" i="4"/>
  <c r="I591" i="4" l="1"/>
  <c r="J590" i="4"/>
  <c r="I592" i="4" l="1"/>
  <c r="J591" i="4"/>
  <c r="I593" i="4" l="1"/>
  <c r="J592" i="4"/>
  <c r="I594" i="4" l="1"/>
  <c r="J593" i="4"/>
  <c r="I595" i="4" l="1"/>
  <c r="J594" i="4"/>
  <c r="I596" i="4" l="1"/>
  <c r="J595" i="4"/>
  <c r="I597" i="4" l="1"/>
  <c r="J596" i="4"/>
  <c r="I598" i="4" l="1"/>
  <c r="J597" i="4"/>
  <c r="I599" i="4" l="1"/>
  <c r="J598" i="4"/>
  <c r="I600" i="4" l="1"/>
  <c r="J599" i="4"/>
  <c r="I601" i="4" l="1"/>
  <c r="J600" i="4"/>
  <c r="I602" i="4" l="1"/>
  <c r="J601" i="4"/>
  <c r="I603" i="4" l="1"/>
  <c r="J602" i="4"/>
  <c r="I604" i="4" l="1"/>
  <c r="J603" i="4"/>
  <c r="I605" i="4" l="1"/>
  <c r="J604" i="4"/>
  <c r="I606" i="4" l="1"/>
  <c r="J605" i="4"/>
  <c r="I607" i="4" l="1"/>
  <c r="J606" i="4"/>
  <c r="I608" i="4" l="1"/>
  <c r="J607" i="4"/>
  <c r="I609" i="4" l="1"/>
  <c r="J608" i="4"/>
  <c r="I610" i="4" l="1"/>
  <c r="J609" i="4"/>
  <c r="I611" i="4" l="1"/>
  <c r="J610" i="4"/>
  <c r="I612" i="4" l="1"/>
  <c r="J611" i="4"/>
  <c r="I613" i="4" l="1"/>
  <c r="J612" i="4"/>
  <c r="I614" i="4" l="1"/>
  <c r="J613" i="4"/>
  <c r="I615" i="4" l="1"/>
  <c r="J614" i="4"/>
  <c r="I616" i="4" l="1"/>
  <c r="J615" i="4"/>
  <c r="I617" i="4" l="1"/>
  <c r="J616" i="4"/>
  <c r="I618" i="4" l="1"/>
  <c r="J617" i="4"/>
  <c r="I619" i="4" l="1"/>
  <c r="J618" i="4"/>
  <c r="I620" i="4" l="1"/>
  <c r="J619" i="4"/>
  <c r="I621" i="4" l="1"/>
  <c r="J620" i="4"/>
  <c r="I622" i="4" l="1"/>
  <c r="J621" i="4"/>
  <c r="I623" i="4" l="1"/>
  <c r="J622" i="4"/>
  <c r="I624" i="4" l="1"/>
  <c r="J623" i="4"/>
  <c r="I625" i="4" l="1"/>
  <c r="J624" i="4"/>
  <c r="I626" i="4" l="1"/>
  <c r="J625" i="4"/>
  <c r="I627" i="4" l="1"/>
  <c r="J626" i="4"/>
  <c r="I628" i="4" l="1"/>
  <c r="J627" i="4"/>
  <c r="I629" i="4" l="1"/>
  <c r="J628" i="4"/>
  <c r="I630" i="4" l="1"/>
  <c r="J629" i="4"/>
  <c r="I631" i="4" l="1"/>
  <c r="J630" i="4"/>
  <c r="I632" i="4" l="1"/>
  <c r="J631" i="4"/>
  <c r="I633" i="4" l="1"/>
  <c r="J632" i="4"/>
  <c r="I634" i="4" l="1"/>
  <c r="J633" i="4"/>
  <c r="I635" i="4" l="1"/>
  <c r="J634" i="4"/>
  <c r="I636" i="4" l="1"/>
  <c r="J635" i="4"/>
  <c r="I637" i="4" l="1"/>
  <c r="J636" i="4"/>
  <c r="I638" i="4" l="1"/>
  <c r="J637" i="4"/>
  <c r="I639" i="4" l="1"/>
  <c r="J638" i="4"/>
  <c r="I640" i="4" l="1"/>
  <c r="J639" i="4"/>
  <c r="I641" i="4" l="1"/>
  <c r="J640" i="4"/>
  <c r="I642" i="4" l="1"/>
  <c r="J641" i="4"/>
  <c r="I643" i="4" l="1"/>
  <c r="J642" i="4"/>
  <c r="I644" i="4" l="1"/>
  <c r="J643" i="4"/>
  <c r="I645" i="4" l="1"/>
  <c r="J644" i="4"/>
  <c r="I646" i="4" l="1"/>
  <c r="J645" i="4"/>
  <c r="I647" i="4" l="1"/>
  <c r="J646" i="4"/>
  <c r="I648" i="4" l="1"/>
  <c r="J647" i="4"/>
  <c r="I649" i="4" l="1"/>
  <c r="J648" i="4"/>
  <c r="I650" i="4" l="1"/>
  <c r="J649" i="4"/>
  <c r="I651" i="4" l="1"/>
  <c r="J650" i="4"/>
  <c r="I652" i="4" l="1"/>
  <c r="J651" i="4"/>
  <c r="I653" i="4" l="1"/>
  <c r="J652" i="4"/>
  <c r="I654" i="4" l="1"/>
  <c r="J653" i="4"/>
  <c r="I655" i="4" l="1"/>
  <c r="J654" i="4"/>
  <c r="I656" i="4" l="1"/>
  <c r="J655" i="4"/>
  <c r="I657" i="4" l="1"/>
  <c r="J656" i="4"/>
  <c r="I658" i="4" l="1"/>
  <c r="J657" i="4"/>
  <c r="J658" i="4" l="1"/>
  <c r="I659" i="4"/>
  <c r="J659" i="4" l="1"/>
  <c r="I660" i="4"/>
  <c r="J660" i="4" l="1"/>
  <c r="I661" i="4"/>
  <c r="J661" i="4" l="1"/>
  <c r="I662" i="4"/>
  <c r="J662" i="4" l="1"/>
  <c r="I663" i="4"/>
  <c r="J663" i="4" s="1"/>
</calcChain>
</file>

<file path=xl/sharedStrings.xml><?xml version="1.0" encoding="utf-8"?>
<sst xmlns="http://schemas.openxmlformats.org/spreadsheetml/2006/main" count="1650" uniqueCount="293">
  <si>
    <t>Baker Hughes</t>
  </si>
  <si>
    <t>Final As Run</t>
  </si>
  <si>
    <t>7" LINER TALLY</t>
  </si>
  <si>
    <t>Tension:</t>
  </si>
  <si>
    <t>Well:</t>
  </si>
  <si>
    <t>NFQ22-2</t>
  </si>
  <si>
    <t>Date:</t>
  </si>
  <si>
    <t>Burst:</t>
  </si>
  <si>
    <t>Rig:</t>
  </si>
  <si>
    <t>Lovanda</t>
  </si>
  <si>
    <t>QE LNG Representative:</t>
  </si>
  <si>
    <t>Logan /Graham / Faouzi</t>
  </si>
  <si>
    <t>Collapse:</t>
  </si>
  <si>
    <t>Liner Run # :</t>
  </si>
  <si>
    <t>Baker Representative:</t>
  </si>
  <si>
    <t>Nurlan / El-Sayaad</t>
  </si>
  <si>
    <t>Casing Size:</t>
  </si>
  <si>
    <t>Block Weight:</t>
  </si>
  <si>
    <t>7" Shoe Depth:</t>
  </si>
  <si>
    <t>Weight:</t>
  </si>
  <si>
    <t>Mud Weight:</t>
  </si>
  <si>
    <t>Total Depth:</t>
  </si>
  <si>
    <t>Grade:</t>
  </si>
  <si>
    <t>SM2535-110</t>
  </si>
  <si>
    <t>Bouyancy Factor:</t>
  </si>
  <si>
    <t>Rat Hole:</t>
  </si>
  <si>
    <t>Make Up Loss:</t>
  </si>
  <si>
    <t>Casing ID:</t>
  </si>
  <si>
    <t>7" Liner Top:</t>
  </si>
  <si>
    <t>Drift:</t>
  </si>
  <si>
    <t>Connection:</t>
  </si>
  <si>
    <t>VAM 21 HT NX</t>
  </si>
  <si>
    <t>9-5/8" Shoe:</t>
  </si>
  <si>
    <t>Centralizers:</t>
  </si>
  <si>
    <t>Centralizer Type:</t>
  </si>
  <si>
    <t>Red-X Bow Spring</t>
  </si>
  <si>
    <t>9-5/8" x 10-3/4" Crossover:</t>
  </si>
  <si>
    <t>JOINTS</t>
  </si>
  <si>
    <t>CENTRALIZERS/DESC</t>
  </si>
  <si>
    <t>JOINT</t>
  </si>
  <si>
    <t>EFFECTIVE</t>
  </si>
  <si>
    <t>TOTAL</t>
  </si>
  <si>
    <t>DEPTH OF</t>
  </si>
  <si>
    <t xml:space="preserve">EST STRG </t>
  </si>
  <si>
    <t xml:space="preserve">        COMMENTS</t>
  </si>
  <si>
    <t>RUN</t>
  </si>
  <si>
    <t>NO</t>
  </si>
  <si>
    <t>TYPE</t>
  </si>
  <si>
    <t>NUMBER</t>
  </si>
  <si>
    <t>LENGTH</t>
  </si>
  <si>
    <t>IN/OUT</t>
  </si>
  <si>
    <t>TOP OF JT</t>
  </si>
  <si>
    <t>WEIGHT</t>
  </si>
  <si>
    <t>QELNG-7in-FS-177-NFE</t>
  </si>
  <si>
    <t>-</t>
  </si>
  <si>
    <t>Float Shoe - DV</t>
  </si>
  <si>
    <t>DV Float Shoe: SN:112201-112225-10
PN: H100950451GRG1</t>
  </si>
  <si>
    <t xml:space="preserve">Shoe Joint </t>
  </si>
  <si>
    <t>QELNG-7in-FC-177-NFE</t>
  </si>
  <si>
    <t xml:space="preserve">FC Pup Joint </t>
  </si>
  <si>
    <t>DV Float Collar: 
PN: H101890295GRG1
SN: 112200-112222-11</t>
  </si>
  <si>
    <t>Float Collar - DV</t>
  </si>
  <si>
    <t>QELNG-7in-LC-182-NFE-VT-21</t>
  </si>
  <si>
    <t>Pup Joint</t>
  </si>
  <si>
    <t>LFC Landing Collar: 
PN: H274120438GRG1 
SN:108656272-03</t>
  </si>
  <si>
    <t xml:space="preserve">LFC Landing Collar </t>
  </si>
  <si>
    <t>X-Over TSH x VAM</t>
  </si>
  <si>
    <t>7" 29# CSG</t>
  </si>
  <si>
    <t>IN</t>
  </si>
  <si>
    <t>**BakerLok first 3ea connections</t>
  </si>
  <si>
    <t xml:space="preserve">20 ft PUP </t>
  </si>
  <si>
    <t>PJ 1</t>
  </si>
  <si>
    <t>Planned PIP @ 19420 ft</t>
  </si>
  <si>
    <t>INSTALL PIP TAG #1 ON JT #6</t>
  </si>
  <si>
    <t>ft. Difference</t>
  </si>
  <si>
    <t>4 ft above pin @</t>
  </si>
  <si>
    <t>Remove Bottom Centralizer</t>
  </si>
  <si>
    <t>Planned PIP @ 17320 ft</t>
  </si>
  <si>
    <t>INSTALL PIP TAG #2 ON JT #68</t>
  </si>
  <si>
    <t>Planned PIP @ 16750 ft</t>
  </si>
  <si>
    <t>INSTALL PIP TAG #3 ON JT #85</t>
  </si>
  <si>
    <t xml:space="preserve">10 ft PUP </t>
  </si>
  <si>
    <t>PJ 5</t>
  </si>
  <si>
    <t>20 ft PUP</t>
  </si>
  <si>
    <t>PJ 2</t>
  </si>
  <si>
    <t>Planned PIP @ 16581 ft</t>
  </si>
  <si>
    <t>INSTALL PIP TAG #4ON JT #89</t>
  </si>
  <si>
    <t>Planned PIP @ 14919 ft</t>
  </si>
  <si>
    <t>INSTALL PIP TAG #5 ON JT #138</t>
  </si>
  <si>
    <t>PJ 6</t>
  </si>
  <si>
    <t>PJ 3</t>
  </si>
  <si>
    <t>Planned PIP @ 13813 ft</t>
  </si>
  <si>
    <t>INSTALL PIP TAG #6 ON JT #170</t>
  </si>
  <si>
    <t>Planned PIP @ 11713 ft</t>
  </si>
  <si>
    <t>INSTALL PIP TAG #7 ON JT #232</t>
  </si>
  <si>
    <t>Planned PIP @ 10763ft</t>
  </si>
  <si>
    <t>INSTALL PIP TAG #8 ON JT #261</t>
  </si>
  <si>
    <t>PJ 7</t>
  </si>
  <si>
    <t>TOTAL RUN 286 JOINTS</t>
  </si>
  <si>
    <t>TOTAL REMAINED 11 JOINTS</t>
  </si>
  <si>
    <t>OUT</t>
  </si>
  <si>
    <t>QELNG-7in-XO-38-NFE</t>
  </si>
  <si>
    <t>Casing Full Joint</t>
  </si>
  <si>
    <t>INSTALL PIP TAG #9 ON X-Over JT</t>
  </si>
  <si>
    <t>X-Over Pup Joint</t>
  </si>
  <si>
    <t>Baker Hughes 
LH Assy 
QELNG-7in-CSLH-118-NFE</t>
  </si>
  <si>
    <t>Bottom Pup Joint</t>
  </si>
  <si>
    <t>UNIFLEX PRO CS HANGER PACKER</t>
  </si>
  <si>
    <t>CSL Hanger (MID-SLIPS)</t>
  </si>
  <si>
    <t>H293690016GRG1</t>
  </si>
  <si>
    <t>ZXP Packer (MID-SLIPS)</t>
  </si>
  <si>
    <t>S/N: 108526141-01</t>
  </si>
  <si>
    <t>ZXP Packer (MID-ELEMENT)</t>
  </si>
  <si>
    <t>Liner Length :</t>
  </si>
  <si>
    <t>`</t>
  </si>
  <si>
    <t>Bottom PBR</t>
  </si>
  <si>
    <t>Liner Lap :</t>
  </si>
  <si>
    <t>Liner Hanger PBR</t>
  </si>
  <si>
    <t>Top of Liner :</t>
  </si>
  <si>
    <t>Running Tool Stick Up</t>
  </si>
  <si>
    <t>XT-57 B</t>
  </si>
  <si>
    <t>XO, 5-1/2" Delta576 B x XT57 P</t>
  </si>
  <si>
    <t>SN: MRL/2020000697-1D</t>
  </si>
  <si>
    <t>HWDP Std#1</t>
  </si>
  <si>
    <t>5.5 HWDP SINGLE</t>
  </si>
  <si>
    <t xml:space="preserve">7" UNIFLEX-PRO CSL Hanger </t>
  </si>
  <si>
    <t>Top Collar</t>
  </si>
  <si>
    <t>Bottom Collar</t>
  </si>
  <si>
    <t>Mid Hanger Slips</t>
  </si>
  <si>
    <t>Mid Packer</t>
  </si>
  <si>
    <t>DP Std#1</t>
  </si>
  <si>
    <t>5.5 DP SINGLE</t>
  </si>
  <si>
    <t>7" Cont. ZXP Tieback Packer</t>
  </si>
  <si>
    <t>Mid Packer Slips</t>
  </si>
  <si>
    <t>DP Std#2</t>
  </si>
  <si>
    <t>9-5/8" Casing Collars @</t>
  </si>
  <si>
    <t>9809.40ft; 9854.58ft;9892.72ft</t>
  </si>
  <si>
    <t xml:space="preserve">Mininum DRIFT OD: 2.50" </t>
  </si>
  <si>
    <t>DP Std#3</t>
  </si>
  <si>
    <t>DP Std #1- Circulate before entering OH &amp; Take Parameters</t>
  </si>
  <si>
    <t>DP Std#4</t>
  </si>
  <si>
    <t>OH @ 10121ft.</t>
  </si>
  <si>
    <t>Laser Meter offset</t>
  </si>
  <si>
    <t>DP Std#5</t>
  </si>
  <si>
    <t>DP Std#6</t>
  </si>
  <si>
    <t>DP Std#7</t>
  </si>
  <si>
    <t>DP Std#8</t>
  </si>
  <si>
    <t>DP Std#9</t>
  </si>
  <si>
    <t>DP Std#10</t>
  </si>
  <si>
    <t>DP Std#11</t>
  </si>
  <si>
    <t>DP Std#12</t>
  </si>
  <si>
    <t>DP Std#13</t>
  </si>
  <si>
    <t>DP Std#14</t>
  </si>
  <si>
    <t>DP Std#15</t>
  </si>
  <si>
    <t>DP Std#16</t>
  </si>
  <si>
    <t>DP Std#17</t>
  </si>
  <si>
    <t>DP Std#18</t>
  </si>
  <si>
    <t>DP Std#19</t>
  </si>
  <si>
    <t>DP Std#20</t>
  </si>
  <si>
    <t>DP Std#21</t>
  </si>
  <si>
    <t>DP Std#22</t>
  </si>
  <si>
    <t>DP Std#23</t>
  </si>
  <si>
    <t>DP Std#24</t>
  </si>
  <si>
    <t>HWDP Std#2</t>
  </si>
  <si>
    <t>HWDP Std#3</t>
  </si>
  <si>
    <t>HWDP Std#4</t>
  </si>
  <si>
    <t xml:space="preserve"> </t>
  </si>
  <si>
    <t>HWDP Std#5</t>
  </si>
  <si>
    <t>HWDP Std#6</t>
  </si>
  <si>
    <t>HWDP Std#7</t>
  </si>
  <si>
    <t>HWDP DBL</t>
  </si>
  <si>
    <t>DP Std#25</t>
  </si>
  <si>
    <t>DP Std#26</t>
  </si>
  <si>
    <t>DP Std#27</t>
  </si>
  <si>
    <t>DP Std#28</t>
  </si>
  <si>
    <t>DP Std#29</t>
  </si>
  <si>
    <t>DP Std#30</t>
  </si>
  <si>
    <t>DP Std#31</t>
  </si>
  <si>
    <t>DP Std#32</t>
  </si>
  <si>
    <t>DP Std#33</t>
  </si>
  <si>
    <t>NRDPP Std#1</t>
  </si>
  <si>
    <t>NRDPP</t>
  </si>
  <si>
    <t>NRDPP Std#2</t>
  </si>
  <si>
    <t>NRDPP Std#3</t>
  </si>
  <si>
    <t>NRDPP Std#4</t>
  </si>
  <si>
    <t>NRDPP Std#5</t>
  </si>
  <si>
    <t>NRDPP Std#6</t>
  </si>
  <si>
    <t>NRDPP Std#7</t>
  </si>
  <si>
    <t>NRDPP Std#8</t>
  </si>
  <si>
    <t>NRDPP Std#9</t>
  </si>
  <si>
    <t>NRDPP Std#10</t>
  </si>
  <si>
    <t>NRDPP Std#11</t>
  </si>
  <si>
    <t>NRDPP Std#12</t>
  </si>
  <si>
    <t>NRDPP Std#13</t>
  </si>
  <si>
    <t>NRDPP Std#14</t>
  </si>
  <si>
    <t>NRDPP Std#15</t>
  </si>
  <si>
    <t>NRDPP Std#16</t>
  </si>
  <si>
    <t>NRDPP Std#17</t>
  </si>
  <si>
    <t>NRDPP Std#18</t>
  </si>
  <si>
    <t>NRDPP Std#19</t>
  </si>
  <si>
    <t>NRDPP Std#20</t>
  </si>
  <si>
    <t>NRDPP Std#21</t>
  </si>
  <si>
    <t>NRDPP Std#22</t>
  </si>
  <si>
    <t>NRDPP Std#23</t>
  </si>
  <si>
    <t>NRDPP Std#24</t>
  </si>
  <si>
    <t>NRDPP Std#25</t>
  </si>
  <si>
    <t>NRDPP Std#26</t>
  </si>
  <si>
    <t>NRDPP Std#27</t>
  </si>
  <si>
    <t>NRDPP Std#28</t>
  </si>
  <si>
    <t>NRDPP Std#29</t>
  </si>
  <si>
    <t>NRDPP Std#30</t>
  </si>
  <si>
    <t>NRDPP Std#31</t>
  </si>
  <si>
    <t>NRDPP Std#35</t>
  </si>
  <si>
    <t>NRDPP Std#36</t>
  </si>
  <si>
    <t>NRDPP Std#37</t>
  </si>
  <si>
    <t>NRDPP Std#38</t>
  </si>
  <si>
    <t>NRDPP Std#39</t>
  </si>
  <si>
    <t>NRDPP Std#40</t>
  </si>
  <si>
    <t>NRDPP Std#41</t>
  </si>
  <si>
    <t>NRDPP Std#42</t>
  </si>
  <si>
    <t>NRDPP Std#43</t>
  </si>
  <si>
    <t>NRDPP Std#44</t>
  </si>
  <si>
    <t>NRDPP Std#45</t>
  </si>
  <si>
    <t>NRDPP Std#46</t>
  </si>
  <si>
    <t>NRDPP Std#47</t>
  </si>
  <si>
    <t>NRDPP Std#48</t>
  </si>
  <si>
    <t>NRDPP Std#49</t>
  </si>
  <si>
    <t>NRDPP Std#50</t>
  </si>
  <si>
    <t>NRDPP Std#51</t>
  </si>
  <si>
    <t>NRDPP Std#52</t>
  </si>
  <si>
    <t>NRDPP Std#53</t>
  </si>
  <si>
    <t>DP Std#34</t>
  </si>
  <si>
    <t>Switch to normal DP</t>
  </si>
  <si>
    <t>DP Std#35</t>
  </si>
  <si>
    <t>DP Std#36</t>
  </si>
  <si>
    <t>DP Std#37</t>
  </si>
  <si>
    <t>DP Std#38</t>
  </si>
  <si>
    <t>DP Std#39</t>
  </si>
  <si>
    <t>DP Std#40</t>
  </si>
  <si>
    <t>DP Std#41</t>
  </si>
  <si>
    <t>DP Std#42</t>
  </si>
  <si>
    <t>DP Std#43</t>
  </si>
  <si>
    <t>DP Std#44</t>
  </si>
  <si>
    <t>DP Std#45</t>
  </si>
  <si>
    <t>DP Std#46</t>
  </si>
  <si>
    <t>DP Std#47</t>
  </si>
  <si>
    <t>WILD SGL</t>
  </si>
  <si>
    <t>DP Std#48</t>
  </si>
  <si>
    <t>5FT pup</t>
  </si>
  <si>
    <t>5.5 DP PUP JNT</t>
  </si>
  <si>
    <t>Weatherford
Cement Head</t>
  </si>
  <si>
    <t>XO,  6-5/8" FH Box x Delta 576 Pin</t>
  </si>
  <si>
    <t>+/- 15000 LBS</t>
  </si>
  <si>
    <t>**1st ball - 1.500” - Set liner hanger</t>
  </si>
  <si>
    <t>Lower FOSV</t>
  </si>
  <si>
    <t>**2nd ball - 1.625” - Release RT</t>
  </si>
  <si>
    <t>WFD Cement Head</t>
  </si>
  <si>
    <t>1.844" LFC Lead Plug Shear: 1,431 psi</t>
  </si>
  <si>
    <t>Upper FOSV</t>
  </si>
  <si>
    <t>Upper KV</t>
  </si>
  <si>
    <t>2.280" LFC Follow Plug Shear: 1,206 psi</t>
  </si>
  <si>
    <t>XO, Delta 567 Box x 6-5/8" FH Pin</t>
  </si>
  <si>
    <t>5.5" DP PUP JOINT</t>
  </si>
  <si>
    <t>5-1/2" PUP JNT</t>
  </si>
  <si>
    <t>TOTAL CMT HEAD LENGTH</t>
  </si>
  <si>
    <t>Pump Output:</t>
  </si>
  <si>
    <t>VOLUME</t>
  </si>
  <si>
    <t>ID (in)</t>
  </si>
  <si>
    <t>Length (ft)</t>
  </si>
  <si>
    <t>Capacity Factor</t>
  </si>
  <si>
    <t>VOLUME (bbls)</t>
  </si>
  <si>
    <t>STKS</t>
  </si>
  <si>
    <t>TOTAL DISPLACEMENT</t>
  </si>
  <si>
    <t>5-1/2" DP ID (In):</t>
  </si>
  <si>
    <t>5-1/2" HWDP ID (In)</t>
  </si>
  <si>
    <t>LINER Running Tool:</t>
  </si>
  <si>
    <t>7" 29# - LFC to LC VOLUME (Bbls):</t>
  </si>
  <si>
    <t>7" 29# - SHOE TRACK VOLUME (Bbls):</t>
  </si>
  <si>
    <t xml:space="preserve"> TOTAL VOLUME TO LATCH &amp; SHEAR THE LINER WIPER PLUG:</t>
  </si>
  <si>
    <t xml:space="preserve"> TOTAL STRING VOLUME:</t>
  </si>
  <si>
    <t>TOTAL VOLUME TO BUMP THE PLUG:</t>
  </si>
  <si>
    <t>HALF SHOE TRACK VOLUME:</t>
  </si>
  <si>
    <t>COMPRESSIBILTY FACTOR:</t>
  </si>
  <si>
    <t>TOTAL DISPLACEMENT TO BUMP + 1/2 SHOE TRACK + COMPRESSIBILTY FACTOR:</t>
  </si>
  <si>
    <t>7" 29# Deck Tally</t>
  </si>
  <si>
    <t>7" 29# Pup Jnt'S</t>
  </si>
  <si>
    <t>Deck #</t>
  </si>
  <si>
    <t>Location</t>
  </si>
  <si>
    <t>Used</t>
  </si>
  <si>
    <t>PJ 4</t>
  </si>
  <si>
    <t>Primary setting Depth</t>
  </si>
  <si>
    <t>Secondary setting depth</t>
  </si>
  <si>
    <r>
      <t xml:space="preserve">TOTAL DISPLACMENT FROM RIG PUMPS </t>
    </r>
    <r>
      <rPr>
        <b/>
        <i/>
        <sz val="11"/>
        <color rgb="FF0070C0"/>
        <rFont val="Arial Nova"/>
        <family val="2"/>
      </rPr>
      <t>(Excluding 20 bbls from CU):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</si>
</sst>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_(* #,##0.00_);_(* \(#,##0.00\);_(* &quot;-&quot;??_);_(@_)"/>
    <numFmt numFmtId="165" formatCode="0.000"/>
    <numFmt numFmtId="166" formatCode="0\ &quot;K&quot;"/>
    <numFmt numFmtId="167" formatCode="0\ &quot;ft depth&quot;"/>
    <numFmt numFmtId="168" formatCode="0\ &quot;klbs&quot;"/>
    <numFmt numFmtId="169" formatCode="0\ &quot;psi&quot;"/>
    <numFmt numFmtId="170" formatCode="0.000\ &quot;in&quot;"/>
    <numFmt numFmtId="171" formatCode="0.00\ &quot;ft&quot;"/>
    <numFmt numFmtId="172" formatCode="0.00\ &quot;ppf&quot;"/>
    <numFmt numFmtId="173" formatCode="0.0\ &quot;ppg&quot;"/>
    <numFmt numFmtId="174" formatCode="0\ &quot;nos&quot;"/>
    <numFmt numFmtId="175" formatCode="0.0000\ &quot;bbls/stk&quot;"/>
    <numFmt numFmtId="176" formatCode="#,##0.000"/>
    <numFmt numFmtId="177" formatCode="0.00000"/>
    <numFmt numFmtId="178" formatCode="0.00\ &quot;bbls&quot;"/>
    <numFmt numFmtId="179" formatCode="0\ &quot;Strokes&quot;"/>
    <numFmt numFmtId="180" formatCode="0.000\ &quot;in (Calipered)&quot;"/>
  </numFmts>
  <fonts count="72">
    <font>
      <sz val="10"/>
      <color rgb="FF000000"/>
      <name val="Geneva"/>
    </font>
    <font>
      <b/>
      <sz val="9"/>
      <color rgb="FF000000"/>
      <name val="Geneva"/>
    </font>
    <font>
      <sz val="9"/>
      <color rgb="FF000000"/>
      <name val="Geneva"/>
    </font>
    <font>
      <b/>
      <sz val="12"/>
      <color rgb="FF000000"/>
      <name val="Geneva"/>
    </font>
    <font>
      <b/>
      <sz val="14"/>
      <color rgb="FF0000FF"/>
      <name val="Geneva"/>
    </font>
    <font>
      <sz val="10"/>
      <color rgb="FF000000"/>
      <name val="Geneva"/>
    </font>
    <font>
      <i/>
      <sz val="10"/>
      <color rgb="FF000000"/>
      <name val="Geneva"/>
    </font>
    <font>
      <i/>
      <sz val="10"/>
      <color rgb="FF3333CC"/>
      <name val="Geneva"/>
    </font>
    <font>
      <u/>
      <sz val="9"/>
      <color rgb="FF000000"/>
      <name val="Geneva"/>
    </font>
    <font>
      <b/>
      <sz val="12"/>
      <color rgb="FFFF0000"/>
      <name val="Geneva"/>
    </font>
    <font>
      <sz val="7"/>
      <color rgb="FF000000"/>
      <name val="Geneva"/>
    </font>
    <font>
      <b/>
      <sz val="9"/>
      <color rgb="FFFF0000"/>
      <name val="Geneva"/>
    </font>
    <font>
      <sz val="7"/>
      <color theme="0"/>
      <name val="Geneva"/>
    </font>
    <font>
      <b/>
      <sz val="7"/>
      <color rgb="FF000000"/>
      <name val="Geneva"/>
    </font>
    <font>
      <b/>
      <sz val="9"/>
      <color theme="0"/>
      <name val="Geneva"/>
    </font>
    <font>
      <b/>
      <sz val="10"/>
      <color rgb="FFFF0000"/>
      <name val="Geneva"/>
    </font>
    <font>
      <b/>
      <sz val="9"/>
      <color rgb="FFFF0000"/>
      <name val="Geneva"/>
    </font>
    <font>
      <b/>
      <sz val="11"/>
      <color rgb="FF000000"/>
      <name val="Geneva"/>
    </font>
    <font>
      <b/>
      <sz val="10"/>
      <color rgb="FF000000"/>
      <name val="Geneva"/>
    </font>
    <font>
      <sz val="5"/>
      <color rgb="FFC00000"/>
      <name val="Geneva"/>
    </font>
    <font>
      <b/>
      <sz val="10"/>
      <color rgb="FFC00000"/>
      <name val="Geneva"/>
    </font>
    <font>
      <sz val="11"/>
      <color rgb="FF000000"/>
      <name val="Geneva"/>
    </font>
    <font>
      <b/>
      <sz val="7"/>
      <color rgb="FFFF0000"/>
      <name val="Geneva"/>
    </font>
    <font>
      <sz val="10"/>
      <color rgb="FF000000"/>
      <name val="Arial"/>
    </font>
    <font>
      <b/>
      <sz val="11"/>
      <color rgb="FF000000"/>
      <name val="Arial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7"/>
      <color rgb="FFA6A6A6"/>
      <name val="Geneva"/>
    </font>
    <font>
      <b/>
      <sz val="7"/>
      <color rgb="FFA6A6A6"/>
      <name val="Geneva"/>
    </font>
    <font>
      <sz val="10"/>
      <color rgb="FFA6A6A6"/>
      <name val="Geneva"/>
    </font>
    <font>
      <sz val="14"/>
      <color rgb="FF000000"/>
      <name val="Geneva"/>
    </font>
    <font>
      <b/>
      <sz val="12"/>
      <color theme="0"/>
      <name val="Geneva"/>
    </font>
    <font>
      <b/>
      <sz val="18"/>
      <color rgb="FF000000"/>
      <name val="Geneva"/>
    </font>
    <font>
      <b/>
      <sz val="18"/>
      <color theme="1"/>
      <name val="GEneva"/>
    </font>
    <font>
      <b/>
      <sz val="14"/>
      <color rgb="FF000000"/>
      <name val="Arial"/>
    </font>
    <font>
      <b/>
      <sz val="12"/>
      <color rgb="FF000000"/>
      <name val="Arial"/>
    </font>
    <font>
      <sz val="12.5"/>
      <color rgb="FF000000"/>
      <name val="Arial Nova"/>
      <family val="2"/>
    </font>
    <font>
      <b/>
      <sz val="12.5"/>
      <color rgb="FF000000"/>
      <name val="Arial Nova"/>
      <family val="2"/>
    </font>
    <font>
      <b/>
      <sz val="14"/>
      <color rgb="FF000000"/>
      <name val="Geneva"/>
    </font>
    <font>
      <b/>
      <sz val="14"/>
      <color rgb="FF000000"/>
      <name val="Arial Nova"/>
      <family val="2"/>
    </font>
    <font>
      <b/>
      <sz val="14"/>
      <color rgb="FFFF0000"/>
      <name val="Arial Nova"/>
      <family val="2"/>
    </font>
    <font>
      <b/>
      <sz val="9.5"/>
      <color rgb="FF000000"/>
      <name val="Arial Nova"/>
      <family val="2"/>
    </font>
    <font>
      <sz val="9.5"/>
      <color rgb="FF000000"/>
      <name val="Arial Nova"/>
      <family val="2"/>
    </font>
    <font>
      <b/>
      <sz val="9.5"/>
      <color rgb="FF0000FF"/>
      <name val="Arial Nova"/>
      <family val="2"/>
    </font>
    <font>
      <b/>
      <sz val="9.5"/>
      <color theme="0"/>
      <name val="Arial Nova"/>
      <family val="2"/>
    </font>
    <font>
      <sz val="9.5"/>
      <color rgb="FFFF0000"/>
      <name val="Arial Nova"/>
      <family val="2"/>
    </font>
    <font>
      <sz val="9.5"/>
      <color theme="1"/>
      <name val="Arial Nova"/>
      <family val="2"/>
    </font>
    <font>
      <b/>
      <sz val="10"/>
      <color rgb="FF000000"/>
      <name val="Arial Nova"/>
      <family val="2"/>
    </font>
    <font>
      <b/>
      <sz val="11"/>
      <color rgb="FF000000"/>
      <name val="Arial Nova"/>
      <family val="2"/>
    </font>
    <font>
      <sz val="11"/>
      <color theme="0"/>
      <name val="Arial Nova"/>
      <family val="2"/>
    </font>
    <font>
      <sz val="12.5"/>
      <color theme="1"/>
      <name val="Arial Nova"/>
      <family val="2"/>
    </font>
    <font>
      <sz val="12.5"/>
      <color theme="0"/>
      <name val="Arial Nova"/>
      <family val="2"/>
    </font>
    <font>
      <sz val="10.5"/>
      <color rgb="FF000000"/>
      <name val="Arial Nova"/>
      <family val="2"/>
    </font>
    <font>
      <sz val="11"/>
      <color rgb="FF000000"/>
      <name val="Arial Nova"/>
      <family val="2"/>
    </font>
    <font>
      <b/>
      <sz val="11"/>
      <color rgb="FFFF0000"/>
      <name val="Arial Nova"/>
      <family val="2"/>
    </font>
    <font>
      <b/>
      <sz val="12.5"/>
      <color theme="0"/>
      <name val="Arial Nova"/>
      <family val="2"/>
    </font>
    <font>
      <b/>
      <sz val="10"/>
      <color theme="0"/>
      <name val="Arial Nova"/>
      <family val="2"/>
    </font>
    <font>
      <sz val="13"/>
      <color rgb="FF000000"/>
      <name val="Arial Nova"/>
      <family val="2"/>
    </font>
    <font>
      <sz val="13"/>
      <color theme="1"/>
      <name val="Arial Nova"/>
      <family val="2"/>
    </font>
    <font>
      <sz val="12.5"/>
      <color rgb="FFFF0000"/>
      <name val="Arial Nova"/>
      <family val="2"/>
    </font>
    <font>
      <sz val="12.5"/>
      <color rgb="FF0070C0"/>
      <name val="Arial Nova"/>
      <family val="2"/>
    </font>
    <font>
      <b/>
      <sz val="11"/>
      <color theme="0"/>
      <name val="Arial Nova"/>
      <family val="2"/>
    </font>
    <font>
      <b/>
      <sz val="11"/>
      <color theme="1"/>
      <name val="Arial Nova"/>
      <family val="2"/>
    </font>
    <font>
      <sz val="11"/>
      <color rgb="FFFF0000"/>
      <name val="Arial Nova"/>
      <family val="2"/>
    </font>
    <font>
      <sz val="11"/>
      <color theme="1"/>
      <name val="Arial Nova"/>
      <family val="2"/>
    </font>
    <font>
      <sz val="10"/>
      <color rgb="FF000000"/>
      <name val="Arial Nova"/>
      <family val="2"/>
    </font>
    <font>
      <sz val="9"/>
      <color rgb="FF000000"/>
      <name val="Arial Nova"/>
      <family val="2"/>
    </font>
    <font>
      <b/>
      <sz val="9"/>
      <color rgb="FFFF0000"/>
      <name val="Arial Nova"/>
      <family val="2"/>
    </font>
    <font>
      <b/>
      <sz val="9"/>
      <color rgb="FF000000"/>
      <name val="Arial Nova"/>
      <family val="2"/>
    </font>
    <font>
      <b/>
      <i/>
      <sz val="11"/>
      <color rgb="FF000000"/>
      <name val="Arial Nova"/>
      <family val="2"/>
    </font>
    <font>
      <b/>
      <i/>
      <sz val="11"/>
      <color rgb="FF0070C0"/>
      <name val="Arial Nova"/>
      <family val="2"/>
    </font>
    <font>
      <b/>
      <sz val="11"/>
      <color theme="4"/>
      <name val="Arial Nova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DBE5F2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7DAF1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E6E0ED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558ED5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B3A2C7"/>
        <bgColor rgb="FFFFFFFF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11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FF0000"/>
      </left>
      <right style="hair">
        <color rgb="FFFF0000"/>
      </right>
      <top/>
      <bottom/>
      <diagonal/>
    </border>
    <border>
      <left style="hair">
        <color rgb="FFFF0000"/>
      </left>
      <right/>
      <top/>
      <bottom/>
      <diagonal/>
    </border>
    <border>
      <left style="hair">
        <color rgb="FFFF0000"/>
      </left>
      <right style="hair">
        <color rgb="FFFF0000"/>
      </right>
      <top/>
      <bottom style="hair">
        <color rgb="FFFF0000"/>
      </bottom>
      <diagonal/>
    </border>
    <border>
      <left style="hair">
        <color rgb="FFFF0000"/>
      </left>
      <right/>
      <top/>
      <bottom style="hair">
        <color rgb="FFFF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FF0000"/>
      </left>
      <right style="hair">
        <color rgb="FFFF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hair">
        <color rgb="FFFF0000"/>
      </left>
      <right style="hair">
        <color rgb="FFFF0000"/>
      </right>
      <top style="medium">
        <color rgb="FF000000"/>
      </top>
      <bottom style="hair">
        <color rgb="FF000000"/>
      </bottom>
      <diagonal/>
    </border>
    <border>
      <left style="hair">
        <color rgb="FFFF0000"/>
      </left>
      <right style="hair">
        <color rgb="FFFF0000"/>
      </right>
      <top style="medium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hair">
        <color rgb="FFFF0000"/>
      </left>
      <right style="hair">
        <color rgb="FFFF0000"/>
      </right>
      <top/>
      <bottom style="medium">
        <color rgb="FF000000"/>
      </bottom>
      <diagonal/>
    </border>
    <border>
      <left style="hair">
        <color rgb="FFFF0000"/>
      </left>
      <right style="hair">
        <color rgb="FFFF0000"/>
      </right>
      <top style="hair">
        <color rgb="FFFF0000"/>
      </top>
      <bottom style="medium">
        <color rgb="FF000000"/>
      </bottom>
      <diagonal/>
    </border>
    <border>
      <left style="hair">
        <color rgb="FFFF0000"/>
      </left>
      <right style="hair">
        <color rgb="FF000000"/>
      </right>
      <top style="hair">
        <color rgb="FFFF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/>
      <diagonal/>
    </border>
    <border>
      <left style="hair">
        <color rgb="FFFF0000"/>
      </left>
      <right style="hair">
        <color rgb="FFFF0000"/>
      </right>
      <top/>
      <bottom style="hair">
        <color rgb="FF000000"/>
      </bottom>
      <diagonal/>
    </border>
    <border>
      <left style="hair">
        <color rgb="FFFF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/>
      <top style="thin">
        <color rgb="FFFF0000"/>
      </top>
      <bottom/>
      <diagonal/>
    </border>
    <border>
      <left/>
      <right style="medium">
        <color rgb="FF000000"/>
      </right>
      <top style="thin">
        <color rgb="FFFF0000"/>
      </top>
      <bottom/>
      <diagonal/>
    </border>
    <border>
      <left style="thin">
        <color rgb="FF000000"/>
      </left>
      <right/>
      <top/>
      <bottom style="thin">
        <color rgb="FFFF0000"/>
      </bottom>
      <diagonal/>
    </border>
    <border>
      <left/>
      <right style="medium">
        <color rgb="FF000000"/>
      </right>
      <top/>
      <bottom style="thin">
        <color rgb="FFFF0000"/>
      </bottom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hair">
        <color rgb="FFFF0000"/>
      </right>
      <top style="medium">
        <color rgb="FF000000"/>
      </top>
      <bottom style="hair">
        <color rgb="FF00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 style="medium">
        <color rgb="FF00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</borders>
  <cellStyleXfs count="2">
    <xf numFmtId="0" fontId="0" fillId="0" borderId="0"/>
    <xf numFmtId="0" fontId="5" fillId="0" borderId="0"/>
  </cellStyleXfs>
  <cellXfs count="572">
    <xf numFmtId="0" fontId="0" fillId="0" borderId="0" xfId="0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7" fillId="5" borderId="10" xfId="0" applyFont="1" applyFill="1" applyBorder="1" applyAlignment="1">
      <alignment horizontal="center"/>
    </xf>
    <xf numFmtId="4" fontId="17" fillId="5" borderId="11" xfId="0" applyNumberFormat="1" applyFont="1" applyFill="1" applyBorder="1" applyAlignment="1">
      <alignment horizontal="center"/>
    </xf>
    <xf numFmtId="0" fontId="18" fillId="5" borderId="12" xfId="0" applyFont="1" applyFill="1" applyBorder="1" applyAlignment="1">
      <alignment horizontal="center" vertical="center" wrapText="1"/>
    </xf>
    <xf numFmtId="0" fontId="19" fillId="0" borderId="0" xfId="0" applyFont="1"/>
    <xf numFmtId="0" fontId="18" fillId="0" borderId="0" xfId="0" applyFont="1"/>
    <xf numFmtId="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1" fontId="20" fillId="0" borderId="0" xfId="0" applyNumberFormat="1" applyFont="1" applyAlignment="1">
      <alignment horizontal="center" vertical="center" wrapText="1"/>
    </xf>
    <xf numFmtId="4" fontId="21" fillId="0" borderId="13" xfId="0" applyNumberFormat="1" applyFont="1" applyBorder="1" applyAlignment="1">
      <alignment horizontal="center"/>
    </xf>
    <xf numFmtId="2" fontId="0" fillId="0" borderId="0" xfId="0" applyNumberFormat="1"/>
    <xf numFmtId="2" fontId="0" fillId="0" borderId="13" xfId="0" applyNumberFormat="1" applyBorder="1" applyAlignment="1">
      <alignment horizontal="center" vertical="center"/>
    </xf>
    <xf numFmtId="0" fontId="17" fillId="0" borderId="0" xfId="0" applyFont="1" applyAlignment="1">
      <alignment horizontal="center"/>
    </xf>
    <xf numFmtId="4" fontId="21" fillId="0" borderId="0" xfId="0" applyNumberFormat="1" applyFont="1" applyAlignment="1">
      <alignment horizontal="center"/>
    </xf>
    <xf numFmtId="4" fontId="21" fillId="0" borderId="0" xfId="0" applyNumberFormat="1" applyFont="1" applyAlignment="1">
      <alignment vertical="center" wrapText="1"/>
    </xf>
    <xf numFmtId="0" fontId="17" fillId="5" borderId="43" xfId="0" applyFont="1" applyFill="1" applyBorder="1" applyAlignment="1">
      <alignment horizontal="center"/>
    </xf>
    <xf numFmtId="4" fontId="17" fillId="5" borderId="44" xfId="0" applyNumberFormat="1" applyFont="1" applyFill="1" applyBorder="1" applyAlignment="1">
      <alignment horizontal="center"/>
    </xf>
    <xf numFmtId="0" fontId="18" fillId="5" borderId="45" xfId="0" applyFont="1" applyFill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/>
    </xf>
    <xf numFmtId="0" fontId="0" fillId="0" borderId="47" xfId="0" applyBorder="1"/>
    <xf numFmtId="0" fontId="16" fillId="0" borderId="48" xfId="0" applyFont="1" applyBorder="1" applyAlignment="1">
      <alignment horizontal="center" vertical="center"/>
    </xf>
    <xf numFmtId="0" fontId="0" fillId="0" borderId="49" xfId="0" applyBorder="1"/>
    <xf numFmtId="2" fontId="0" fillId="0" borderId="50" xfId="0" applyNumberFormat="1" applyBorder="1" applyAlignment="1">
      <alignment horizontal="center" vertical="center"/>
    </xf>
    <xf numFmtId="0" fontId="0" fillId="0" borderId="51" xfId="0" applyBorder="1"/>
    <xf numFmtId="0" fontId="0" fillId="0" borderId="52" xfId="0" applyBorder="1"/>
    <xf numFmtId="0" fontId="17" fillId="2" borderId="48" xfId="0" applyFont="1" applyFill="1" applyBorder="1" applyAlignment="1">
      <alignment horizontal="center"/>
    </xf>
    <xf numFmtId="4" fontId="21" fillId="2" borderId="13" xfId="0" applyNumberFormat="1" applyFont="1" applyFill="1" applyBorder="1" applyAlignment="1">
      <alignment horizontal="center"/>
    </xf>
    <xf numFmtId="0" fontId="17" fillId="2" borderId="57" xfId="0" applyFont="1" applyFill="1" applyBorder="1" applyAlignment="1">
      <alignment horizontal="center"/>
    </xf>
    <xf numFmtId="0" fontId="17" fillId="0" borderId="58" xfId="0" applyFont="1" applyBorder="1" applyAlignment="1">
      <alignment horizontal="center"/>
    </xf>
    <xf numFmtId="0" fontId="17" fillId="0" borderId="59" xfId="0" applyFont="1" applyBorder="1" applyAlignment="1">
      <alignment horizontal="center"/>
    </xf>
    <xf numFmtId="4" fontId="21" fillId="0" borderId="50" xfId="0" applyNumberFormat="1" applyFont="1" applyBorder="1" applyAlignment="1">
      <alignment horizontal="center"/>
    </xf>
    <xf numFmtId="4" fontId="21" fillId="2" borderId="49" xfId="0" applyNumberFormat="1" applyFont="1" applyFill="1" applyBorder="1" applyAlignment="1">
      <alignment horizontal="center" vertical="center" wrapText="1"/>
    </xf>
    <xf numFmtId="4" fontId="21" fillId="0" borderId="61" xfId="0" applyNumberFormat="1" applyFont="1" applyBorder="1" applyAlignment="1">
      <alignment horizontal="center" vertical="center" wrapText="1"/>
    </xf>
    <xf numFmtId="4" fontId="21" fillId="0" borderId="51" xfId="0" applyNumberFormat="1" applyFont="1" applyBorder="1" applyAlignment="1">
      <alignment horizontal="center" vertical="center" wrapText="1"/>
    </xf>
    <xf numFmtId="0" fontId="23" fillId="2" borderId="69" xfId="0" applyFont="1" applyFill="1" applyBorder="1" applyAlignment="1">
      <alignment horizontal="center"/>
    </xf>
    <xf numFmtId="176" fontId="23" fillId="2" borderId="70" xfId="0" applyNumberFormat="1" applyFont="1" applyFill="1" applyBorder="1" applyAlignment="1">
      <alignment horizontal="center"/>
    </xf>
    <xf numFmtId="0" fontId="23" fillId="2" borderId="0" xfId="0" applyFont="1" applyFill="1"/>
    <xf numFmtId="0" fontId="23" fillId="2" borderId="71" xfId="0" applyFont="1" applyFill="1" applyBorder="1" applyAlignment="1">
      <alignment horizontal="center"/>
    </xf>
    <xf numFmtId="176" fontId="23" fillId="2" borderId="72" xfId="0" applyNumberFormat="1" applyFont="1" applyFill="1" applyBorder="1" applyAlignment="1">
      <alignment horizontal="center"/>
    </xf>
    <xf numFmtId="0" fontId="23" fillId="2" borderId="73" xfId="0" applyFont="1" applyFill="1" applyBorder="1" applyAlignment="1">
      <alignment horizontal="center"/>
    </xf>
    <xf numFmtId="176" fontId="23" fillId="2" borderId="74" xfId="0" applyNumberFormat="1" applyFont="1" applyFill="1" applyBorder="1" applyAlignment="1">
      <alignment horizontal="center"/>
    </xf>
    <xf numFmtId="176" fontId="23" fillId="2" borderId="75" xfId="0" applyNumberFormat="1" applyFont="1" applyFill="1" applyBorder="1" applyAlignment="1">
      <alignment horizontal="center"/>
    </xf>
    <xf numFmtId="0" fontId="24" fillId="2" borderId="0" xfId="0" applyFont="1" applyFill="1" applyAlignment="1">
      <alignment vertical="center"/>
    </xf>
    <xf numFmtId="0" fontId="0" fillId="2" borderId="0" xfId="0" applyFill="1"/>
    <xf numFmtId="2" fontId="0" fillId="2" borderId="0" xfId="0" applyNumberFormat="1" applyFill="1"/>
    <xf numFmtId="0" fontId="25" fillId="0" borderId="13" xfId="0" applyFont="1" applyBorder="1" applyAlignment="1">
      <alignment horizontal="center"/>
    </xf>
    <xf numFmtId="2" fontId="26" fillId="0" borderId="49" xfId="0" applyNumberFormat="1" applyFont="1" applyBorder="1" applyAlignment="1">
      <alignment horizontal="center"/>
    </xf>
    <xf numFmtId="2" fontId="26" fillId="5" borderId="47" xfId="0" applyNumberFormat="1" applyFont="1" applyFill="1" applyBorder="1" applyAlignment="1">
      <alignment horizontal="center"/>
    </xf>
    <xf numFmtId="2" fontId="26" fillId="5" borderId="49" xfId="0" applyNumberFormat="1" applyFont="1" applyFill="1" applyBorder="1" applyAlignment="1">
      <alignment horizontal="center"/>
    </xf>
    <xf numFmtId="0" fontId="5" fillId="0" borderId="0" xfId="1" applyAlignment="1">
      <alignment vertical="center"/>
    </xf>
    <xf numFmtId="0" fontId="5" fillId="0" borderId="0" xfId="1" applyAlignment="1">
      <alignment horizontal="center" vertical="center"/>
    </xf>
    <xf numFmtId="1" fontId="5" fillId="0" borderId="0" xfId="1" applyNumberFormat="1" applyAlignment="1">
      <alignment horizontal="center" vertical="center"/>
    </xf>
    <xf numFmtId="2" fontId="5" fillId="0" borderId="0" xfId="1" applyNumberFormat="1" applyAlignment="1">
      <alignment horizontal="center" vertical="center"/>
    </xf>
    <xf numFmtId="0" fontId="5" fillId="0" borderId="0" xfId="1" applyAlignment="1">
      <alignment horizontal="left" vertical="center"/>
    </xf>
    <xf numFmtId="0" fontId="2" fillId="0" borderId="0" xfId="1" applyFont="1" applyAlignment="1">
      <alignment vertical="center" wrapText="1"/>
    </xf>
    <xf numFmtId="0" fontId="5" fillId="0" borderId="0" xfId="1" applyAlignment="1">
      <alignment vertical="center" wrapText="1"/>
    </xf>
    <xf numFmtId="0" fontId="10" fillId="0" borderId="0" xfId="1" applyFont="1" applyAlignment="1">
      <alignment vertical="center" wrapText="1"/>
    </xf>
    <xf numFmtId="0" fontId="10" fillId="0" borderId="0" xfId="1" applyFont="1" applyAlignment="1">
      <alignment vertical="center"/>
    </xf>
    <xf numFmtId="0" fontId="2" fillId="3" borderId="3" xfId="1" applyFont="1" applyFill="1" applyBorder="1" applyAlignment="1">
      <alignment horizontal="center" vertical="center"/>
    </xf>
    <xf numFmtId="0" fontId="1" fillId="3" borderId="4" xfId="1" applyFont="1" applyFill="1" applyBorder="1" applyAlignment="1">
      <alignment horizontal="left" vertical="center"/>
    </xf>
    <xf numFmtId="0" fontId="1" fillId="3" borderId="4" xfId="1" applyFont="1" applyFill="1" applyBorder="1" applyAlignment="1">
      <alignment horizontal="center" vertical="center"/>
    </xf>
    <xf numFmtId="2" fontId="39" fillId="3" borderId="4" xfId="1" applyNumberFormat="1" applyFont="1" applyFill="1" applyBorder="1" applyAlignment="1">
      <alignment horizontal="center" vertical="center"/>
    </xf>
    <xf numFmtId="15" fontId="40" fillId="3" borderId="4" xfId="1" applyNumberFormat="1" applyFont="1" applyFill="1" applyBorder="1" applyAlignment="1">
      <alignment horizontal="center" vertical="center" wrapText="1"/>
    </xf>
    <xf numFmtId="0" fontId="15" fillId="3" borderId="5" xfId="1" applyFont="1" applyFill="1" applyBorder="1" applyAlignment="1">
      <alignment vertical="center" wrapText="1"/>
    </xf>
    <xf numFmtId="0" fontId="2" fillId="3" borderId="1" xfId="1" applyFont="1" applyFill="1" applyBorder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1" fontId="1" fillId="3" borderId="0" xfId="1" applyNumberFormat="1" applyFont="1" applyFill="1" applyAlignment="1">
      <alignment horizontal="right" vertical="center"/>
    </xf>
    <xf numFmtId="165" fontId="2" fillId="3" borderId="0" xfId="1" applyNumberFormat="1" applyFont="1" applyFill="1" applyAlignment="1">
      <alignment horizontal="left" vertical="center"/>
    </xf>
    <xf numFmtId="2" fontId="1" fillId="3" borderId="0" xfId="1" applyNumberFormat="1" applyFont="1" applyFill="1" applyAlignment="1">
      <alignment horizontal="center" vertical="center"/>
    </xf>
    <xf numFmtId="2" fontId="1" fillId="3" borderId="0" xfId="1" applyNumberFormat="1" applyFont="1" applyFill="1" applyAlignment="1">
      <alignment horizontal="right" vertical="center"/>
    </xf>
    <xf numFmtId="2" fontId="39" fillId="3" borderId="0" xfId="1" applyNumberFormat="1" applyFont="1" applyFill="1" applyAlignment="1">
      <alignment horizontal="center" vertical="center"/>
    </xf>
    <xf numFmtId="2" fontId="2" fillId="3" borderId="0" xfId="1" applyNumberFormat="1" applyFont="1" applyFill="1" applyAlignment="1">
      <alignment horizontal="center" vertical="center"/>
    </xf>
    <xf numFmtId="0" fontId="1" fillId="3" borderId="0" xfId="1" applyFont="1" applyFill="1" applyAlignment="1">
      <alignment horizontal="left" vertical="center"/>
    </xf>
    <xf numFmtId="15" fontId="9" fillId="3" borderId="0" xfId="1" applyNumberFormat="1" applyFont="1" applyFill="1" applyAlignment="1">
      <alignment horizontal="center" vertical="center" wrapText="1"/>
    </xf>
    <xf numFmtId="0" fontId="2" fillId="3" borderId="6" xfId="1" applyFont="1" applyFill="1" applyBorder="1" applyAlignment="1">
      <alignment vertical="center" wrapText="1"/>
    </xf>
    <xf numFmtId="0" fontId="5" fillId="0" borderId="0" xfId="1"/>
    <xf numFmtId="2" fontId="3" fillId="3" borderId="0" xfId="1" applyNumberFormat="1" applyFont="1" applyFill="1" applyAlignment="1">
      <alignment horizontal="center" vertical="center"/>
    </xf>
    <xf numFmtId="0" fontId="4" fillId="3" borderId="0" xfId="1" applyFont="1" applyFill="1" applyAlignment="1">
      <alignment horizontal="left" vertical="center"/>
    </xf>
    <xf numFmtId="1" fontId="41" fillId="3" borderId="0" xfId="1" applyNumberFormat="1" applyFont="1" applyFill="1" applyAlignment="1">
      <alignment horizontal="right" vertical="center"/>
    </xf>
    <xf numFmtId="168" fontId="42" fillId="3" borderId="0" xfId="1" applyNumberFormat="1" applyFont="1" applyFill="1" applyAlignment="1">
      <alignment horizontal="left" vertical="center"/>
    </xf>
    <xf numFmtId="2" fontId="41" fillId="3" borderId="0" xfId="1" applyNumberFormat="1" applyFont="1" applyFill="1" applyAlignment="1">
      <alignment horizontal="center" vertical="center"/>
    </xf>
    <xf numFmtId="2" fontId="41" fillId="3" borderId="0" xfId="1" applyNumberFormat="1" applyFont="1" applyFill="1" applyAlignment="1">
      <alignment horizontal="right" vertical="center"/>
    </xf>
    <xf numFmtId="2" fontId="43" fillId="3" borderId="0" xfId="1" applyNumberFormat="1" applyFont="1" applyFill="1" applyAlignment="1">
      <alignment horizontal="left" vertical="center"/>
    </xf>
    <xf numFmtId="2" fontId="42" fillId="3" borderId="0" xfId="1" applyNumberFormat="1" applyFont="1" applyFill="1" applyAlignment="1">
      <alignment horizontal="center" vertical="center"/>
    </xf>
    <xf numFmtId="0" fontId="41" fillId="3" borderId="0" xfId="1" applyFont="1" applyFill="1" applyAlignment="1">
      <alignment horizontal="right" vertical="center"/>
    </xf>
    <xf numFmtId="15" fontId="41" fillId="3" borderId="0" xfId="1" applyNumberFormat="1" applyFont="1" applyFill="1" applyAlignment="1">
      <alignment horizontal="left" vertical="center" wrapText="1"/>
    </xf>
    <xf numFmtId="169" fontId="42" fillId="3" borderId="0" xfId="1" applyNumberFormat="1" applyFont="1" applyFill="1" applyAlignment="1">
      <alignment horizontal="left" vertical="center"/>
    </xf>
    <xf numFmtId="2" fontId="42" fillId="3" borderId="0" xfId="1" applyNumberFormat="1" applyFont="1" applyFill="1" applyAlignment="1">
      <alignment horizontal="left" vertical="center"/>
    </xf>
    <xf numFmtId="2" fontId="42" fillId="3" borderId="0" xfId="1" applyNumberFormat="1" applyFont="1" applyFill="1" applyAlignment="1">
      <alignment horizontal="right" vertical="center"/>
    </xf>
    <xf numFmtId="0" fontId="42" fillId="3" borderId="0" xfId="1" applyFont="1" applyFill="1" applyAlignment="1">
      <alignment horizontal="center" vertical="center"/>
    </xf>
    <xf numFmtId="0" fontId="42" fillId="3" borderId="0" xfId="1" applyFont="1" applyFill="1" applyAlignment="1">
      <alignment horizontal="left" vertical="center"/>
    </xf>
    <xf numFmtId="1" fontId="44" fillId="4" borderId="13" xfId="1" applyNumberFormat="1" applyFont="1" applyFill="1" applyBorder="1" applyAlignment="1">
      <alignment horizontal="center" vertical="center"/>
    </xf>
    <xf numFmtId="0" fontId="42" fillId="3" borderId="0" xfId="1" applyFont="1" applyFill="1" applyAlignment="1">
      <alignment vertical="center"/>
    </xf>
    <xf numFmtId="170" fontId="42" fillId="3" borderId="0" xfId="1" applyNumberFormat="1" applyFont="1" applyFill="1" applyAlignment="1">
      <alignment horizontal="left" vertical="center"/>
    </xf>
    <xf numFmtId="168" fontId="42" fillId="0" borderId="0" xfId="1" applyNumberFormat="1" applyFont="1" applyAlignment="1">
      <alignment horizontal="left" vertical="center"/>
    </xf>
    <xf numFmtId="2" fontId="41" fillId="3" borderId="0" xfId="1" applyNumberFormat="1" applyFont="1" applyFill="1" applyAlignment="1">
      <alignment horizontal="left" vertical="center"/>
    </xf>
    <xf numFmtId="2" fontId="45" fillId="3" borderId="0" xfId="1" applyNumberFormat="1" applyFont="1" applyFill="1" applyAlignment="1">
      <alignment horizontal="left" vertical="center"/>
    </xf>
    <xf numFmtId="171" fontId="46" fillId="0" borderId="0" xfId="1" applyNumberFormat="1" applyFont="1" applyAlignment="1">
      <alignment horizontal="left" vertical="center" wrapText="1"/>
    </xf>
    <xf numFmtId="0" fontId="1" fillId="3" borderId="6" xfId="1" applyFont="1" applyFill="1" applyBorder="1" applyAlignment="1">
      <alignment vertical="center" wrapText="1"/>
    </xf>
    <xf numFmtId="172" fontId="42" fillId="3" borderId="0" xfId="1" applyNumberFormat="1" applyFont="1" applyFill="1" applyAlignment="1">
      <alignment horizontal="left" vertical="center"/>
    </xf>
    <xf numFmtId="173" fontId="42" fillId="3" borderId="0" xfId="1" applyNumberFormat="1" applyFont="1" applyFill="1" applyAlignment="1">
      <alignment horizontal="left" vertical="center"/>
    </xf>
    <xf numFmtId="165" fontId="42" fillId="3" borderId="0" xfId="1" applyNumberFormat="1" applyFont="1" applyFill="1" applyAlignment="1">
      <alignment horizontal="center" vertical="center"/>
    </xf>
    <xf numFmtId="165" fontId="42" fillId="3" borderId="0" xfId="1" applyNumberFormat="1" applyFont="1" applyFill="1" applyAlignment="1">
      <alignment horizontal="left" vertical="center"/>
    </xf>
    <xf numFmtId="171" fontId="42" fillId="3" borderId="0" xfId="1" applyNumberFormat="1" applyFont="1" applyFill="1" applyAlignment="1">
      <alignment horizontal="left" vertical="center" wrapText="1"/>
    </xf>
    <xf numFmtId="170" fontId="42" fillId="0" borderId="0" xfId="1" applyNumberFormat="1" applyFont="1" applyAlignment="1">
      <alignment horizontal="left" vertical="center"/>
    </xf>
    <xf numFmtId="0" fontId="11" fillId="3" borderId="6" xfId="1" applyFont="1" applyFill="1" applyBorder="1" applyAlignment="1">
      <alignment vertical="center" wrapText="1"/>
    </xf>
    <xf numFmtId="0" fontId="5" fillId="3" borderId="0" xfId="1" applyFill="1" applyAlignment="1">
      <alignment horizontal="center" vertical="center"/>
    </xf>
    <xf numFmtId="171" fontId="42" fillId="0" borderId="0" xfId="1" applyNumberFormat="1" applyFont="1" applyAlignment="1">
      <alignment horizontal="left" vertical="center" wrapText="1"/>
    </xf>
    <xf numFmtId="174" fontId="42" fillId="3" borderId="0" xfId="1" applyNumberFormat="1" applyFont="1" applyFill="1" applyAlignment="1">
      <alignment horizontal="left" vertical="center"/>
    </xf>
    <xf numFmtId="2" fontId="10" fillId="0" borderId="0" xfId="1" applyNumberFormat="1" applyFont="1" applyAlignment="1">
      <alignment vertical="center" wrapText="1"/>
    </xf>
    <xf numFmtId="0" fontId="2" fillId="3" borderId="7" xfId="1" applyFont="1" applyFill="1" applyBorder="1" applyAlignment="1">
      <alignment horizontal="center" vertical="center"/>
    </xf>
    <xf numFmtId="0" fontId="2" fillId="3" borderId="8" xfId="1" applyFont="1" applyFill="1" applyBorder="1" applyAlignment="1">
      <alignment horizontal="center" vertical="center"/>
    </xf>
    <xf numFmtId="1" fontId="1" fillId="3" borderId="8" xfId="1" applyNumberFormat="1" applyFont="1" applyFill="1" applyBorder="1" applyAlignment="1">
      <alignment horizontal="right" vertical="center"/>
    </xf>
    <xf numFmtId="165" fontId="2" fillId="3" borderId="8" xfId="1" applyNumberFormat="1" applyFont="1" applyFill="1" applyBorder="1" applyAlignment="1">
      <alignment horizontal="left" vertical="center"/>
    </xf>
    <xf numFmtId="2" fontId="1" fillId="3" borderId="8" xfId="1" applyNumberFormat="1" applyFont="1" applyFill="1" applyBorder="1" applyAlignment="1">
      <alignment horizontal="center" vertical="center"/>
    </xf>
    <xf numFmtId="165" fontId="2" fillId="3" borderId="8" xfId="1" applyNumberFormat="1" applyFont="1" applyFill="1" applyBorder="1" applyAlignment="1">
      <alignment horizontal="center" vertical="center"/>
    </xf>
    <xf numFmtId="2" fontId="2" fillId="3" borderId="8" xfId="1" applyNumberFormat="1" applyFont="1" applyFill="1" applyBorder="1" applyAlignment="1">
      <alignment horizontal="center" vertical="center"/>
    </xf>
    <xf numFmtId="0" fontId="1" fillId="3" borderId="8" xfId="1" applyFont="1" applyFill="1" applyBorder="1" applyAlignment="1">
      <alignment horizontal="right" vertical="center"/>
    </xf>
    <xf numFmtId="2" fontId="1" fillId="3" borderId="8" xfId="1" applyNumberFormat="1" applyFont="1" applyFill="1" applyBorder="1" applyAlignment="1">
      <alignment horizontal="center" vertical="center" wrapText="1"/>
    </xf>
    <xf numFmtId="0" fontId="1" fillId="3" borderId="9" xfId="1" applyFont="1" applyFill="1" applyBorder="1" applyAlignment="1">
      <alignment vertical="center" wrapText="1"/>
    </xf>
    <xf numFmtId="0" fontId="47" fillId="0" borderId="15" xfId="1" applyFont="1" applyBorder="1" applyAlignment="1">
      <alignment horizontal="center" vertical="center"/>
    </xf>
    <xf numFmtId="1" fontId="47" fillId="0" borderId="2" xfId="1" applyNumberFormat="1" applyFont="1" applyBorder="1" applyAlignment="1">
      <alignment horizontal="center" vertical="center"/>
    </xf>
    <xf numFmtId="2" fontId="47" fillId="0" borderId="2" xfId="1" applyNumberFormat="1" applyFont="1" applyBorder="1" applyAlignment="1">
      <alignment horizontal="center" vertical="center"/>
    </xf>
    <xf numFmtId="0" fontId="47" fillId="0" borderId="2" xfId="1" applyFont="1" applyBorder="1" applyAlignment="1">
      <alignment horizontal="center" vertical="center"/>
    </xf>
    <xf numFmtId="0" fontId="47" fillId="0" borderId="25" xfId="1" applyFont="1" applyBorder="1" applyAlignment="1">
      <alignment horizontal="center" vertical="center"/>
    </xf>
    <xf numFmtId="1" fontId="47" fillId="0" borderId="26" xfId="1" applyNumberFormat="1" applyFont="1" applyBorder="1" applyAlignment="1">
      <alignment horizontal="center" vertical="center"/>
    </xf>
    <xf numFmtId="2" fontId="47" fillId="0" borderId="26" xfId="1" applyNumberFormat="1" applyFont="1" applyBorder="1" applyAlignment="1">
      <alignment horizontal="center" vertical="center"/>
    </xf>
    <xf numFmtId="0" fontId="47" fillId="0" borderId="26" xfId="1" applyFont="1" applyBorder="1" applyAlignment="1">
      <alignment horizontal="center" vertical="center"/>
    </xf>
    <xf numFmtId="0" fontId="36" fillId="8" borderId="27" xfId="1" applyFont="1" applyFill="1" applyBorder="1" applyAlignment="1">
      <alignment horizontal="center" vertical="center"/>
    </xf>
    <xf numFmtId="2" fontId="50" fillId="8" borderId="27" xfId="1" applyNumberFormat="1" applyFont="1" applyFill="1" applyBorder="1" applyAlignment="1">
      <alignment horizontal="center" vertical="center"/>
    </xf>
    <xf numFmtId="2" fontId="36" fillId="8" borderId="27" xfId="1" applyNumberFormat="1" applyFont="1" applyFill="1" applyBorder="1" applyAlignment="1">
      <alignment horizontal="center" vertical="center"/>
    </xf>
    <xf numFmtId="2" fontId="51" fillId="4" borderId="27" xfId="1" applyNumberFormat="1" applyFont="1" applyFill="1" applyBorder="1" applyAlignment="1">
      <alignment horizontal="center" vertical="center"/>
    </xf>
    <xf numFmtId="166" fontId="36" fillId="8" borderId="27" xfId="1" applyNumberFormat="1" applyFont="1" applyFill="1" applyBorder="1" applyAlignment="1">
      <alignment horizontal="center" vertical="center"/>
    </xf>
    <xf numFmtId="0" fontId="36" fillId="8" borderId="28" xfId="1" applyFont="1" applyFill="1" applyBorder="1" applyAlignment="1">
      <alignment horizontal="center" vertical="center"/>
    </xf>
    <xf numFmtId="2" fontId="36" fillId="8" borderId="28" xfId="1" applyNumberFormat="1" applyFont="1" applyFill="1" applyBorder="1" applyAlignment="1">
      <alignment horizontal="center" vertical="center"/>
    </xf>
    <xf numFmtId="166" fontId="36" fillId="8" borderId="28" xfId="1" applyNumberFormat="1" applyFont="1" applyFill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36" fillId="7" borderId="27" xfId="1" applyFont="1" applyFill="1" applyBorder="1" applyAlignment="1">
      <alignment horizontal="center" vertical="center"/>
    </xf>
    <xf numFmtId="2" fontId="50" fillId="7" borderId="27" xfId="1" applyNumberFormat="1" applyFont="1" applyFill="1" applyBorder="1" applyAlignment="1">
      <alignment horizontal="center" vertical="center"/>
    </xf>
    <xf numFmtId="2" fontId="36" fillId="7" borderId="27" xfId="1" applyNumberFormat="1" applyFont="1" applyFill="1" applyBorder="1" applyAlignment="1">
      <alignment horizontal="center" vertical="center"/>
    </xf>
    <xf numFmtId="166" fontId="36" fillId="7" borderId="27" xfId="1" applyNumberFormat="1" applyFont="1" applyFill="1" applyBorder="1" applyAlignment="1">
      <alignment horizontal="center" vertical="center"/>
    </xf>
    <xf numFmtId="0" fontId="36" fillId="7" borderId="2" xfId="1" applyFont="1" applyFill="1" applyBorder="1" applyAlignment="1">
      <alignment horizontal="center" vertical="center"/>
    </xf>
    <xf numFmtId="2" fontId="50" fillId="7" borderId="2" xfId="1" applyNumberFormat="1" applyFont="1" applyFill="1" applyBorder="1" applyAlignment="1">
      <alignment horizontal="center" vertical="center"/>
    </xf>
    <xf numFmtId="2" fontId="36" fillId="7" borderId="2" xfId="1" applyNumberFormat="1" applyFont="1" applyFill="1" applyBorder="1" applyAlignment="1">
      <alignment horizontal="center" vertical="center"/>
    </xf>
    <xf numFmtId="2" fontId="51" fillId="4" borderId="2" xfId="1" applyNumberFormat="1" applyFont="1" applyFill="1" applyBorder="1" applyAlignment="1">
      <alignment horizontal="center" vertical="center"/>
    </xf>
    <xf numFmtId="166" fontId="36" fillId="7" borderId="2" xfId="1" applyNumberFormat="1" applyFont="1" applyFill="1" applyBorder="1" applyAlignment="1">
      <alignment horizontal="center" vertical="center"/>
    </xf>
    <xf numFmtId="0" fontId="36" fillId="7" borderId="28" xfId="1" applyFont="1" applyFill="1" applyBorder="1" applyAlignment="1">
      <alignment horizontal="center" vertical="center"/>
    </xf>
    <xf numFmtId="2" fontId="50" fillId="7" borderId="28" xfId="1" applyNumberFormat="1" applyFont="1" applyFill="1" applyBorder="1" applyAlignment="1">
      <alignment horizontal="center" vertical="center"/>
    </xf>
    <xf numFmtId="2" fontId="36" fillId="7" borderId="28" xfId="1" applyNumberFormat="1" applyFont="1" applyFill="1" applyBorder="1" applyAlignment="1">
      <alignment horizontal="center" vertical="center"/>
    </xf>
    <xf numFmtId="166" fontId="36" fillId="7" borderId="28" xfId="1" applyNumberFormat="1" applyFont="1" applyFill="1" applyBorder="1" applyAlignment="1">
      <alignment horizontal="center" vertical="center"/>
    </xf>
    <xf numFmtId="1" fontId="36" fillId="8" borderId="27" xfId="1" applyNumberFormat="1" applyFont="1" applyFill="1" applyBorder="1" applyAlignment="1">
      <alignment horizontal="center" vertical="center"/>
    </xf>
    <xf numFmtId="1" fontId="36" fillId="8" borderId="2" xfId="1" applyNumberFormat="1" applyFont="1" applyFill="1" applyBorder="1" applyAlignment="1">
      <alignment horizontal="center" vertical="center"/>
    </xf>
    <xf numFmtId="2" fontId="36" fillId="8" borderId="2" xfId="1" applyNumberFormat="1" applyFont="1" applyFill="1" applyBorder="1" applyAlignment="1">
      <alignment horizontal="center" vertical="center"/>
    </xf>
    <xf numFmtId="166" fontId="36" fillId="8" borderId="2" xfId="1" applyNumberFormat="1" applyFont="1" applyFill="1" applyBorder="1" applyAlignment="1">
      <alignment horizontal="center" vertical="center"/>
    </xf>
    <xf numFmtId="1" fontId="36" fillId="8" borderId="26" xfId="1" applyNumberFormat="1" applyFont="1" applyFill="1" applyBorder="1" applyAlignment="1">
      <alignment horizontal="center" vertical="center"/>
    </xf>
    <xf numFmtId="2" fontId="36" fillId="8" borderId="26" xfId="1" applyNumberFormat="1" applyFont="1" applyFill="1" applyBorder="1" applyAlignment="1">
      <alignment horizontal="center" vertical="center"/>
    </xf>
    <xf numFmtId="166" fontId="36" fillId="8" borderId="26" xfId="1" applyNumberFormat="1" applyFont="1" applyFill="1" applyBorder="1" applyAlignment="1">
      <alignment horizontal="center" vertical="center"/>
    </xf>
    <xf numFmtId="1" fontId="53" fillId="8" borderId="53" xfId="1" applyNumberFormat="1" applyFont="1" applyFill="1" applyBorder="1" applyAlignment="1">
      <alignment horizontal="left" vertical="center"/>
    </xf>
    <xf numFmtId="1" fontId="53" fillId="8" borderId="54" xfId="1" applyNumberFormat="1" applyFont="1" applyFill="1" applyBorder="1" applyAlignment="1">
      <alignment horizontal="left" vertical="center"/>
    </xf>
    <xf numFmtId="2" fontId="36" fillId="8" borderId="55" xfId="1" applyNumberFormat="1" applyFont="1" applyFill="1" applyBorder="1" applyAlignment="1">
      <alignment horizontal="center" vertical="center"/>
    </xf>
    <xf numFmtId="1" fontId="36" fillId="3" borderId="56" xfId="1" applyNumberFormat="1" applyFont="1" applyFill="1" applyBorder="1" applyAlignment="1">
      <alignment horizontal="center" vertical="center"/>
    </xf>
    <xf numFmtId="1" fontId="36" fillId="3" borderId="27" xfId="1" applyNumberFormat="1" applyFont="1" applyFill="1" applyBorder="1" applyAlignment="1">
      <alignment horizontal="center" vertical="center"/>
    </xf>
    <xf numFmtId="1" fontId="53" fillId="3" borderId="27" xfId="1" applyNumberFormat="1" applyFont="1" applyFill="1" applyBorder="1" applyAlignment="1">
      <alignment horizontal="center" vertical="center"/>
    </xf>
    <xf numFmtId="1" fontId="36" fillId="0" borderId="27" xfId="1" applyNumberFormat="1" applyFont="1" applyBorder="1" applyAlignment="1">
      <alignment horizontal="center" vertical="center"/>
    </xf>
    <xf numFmtId="2" fontId="36" fillId="0" borderId="30" xfId="1" applyNumberFormat="1" applyFont="1" applyBorder="1" applyAlignment="1">
      <alignment horizontal="center" vertical="center"/>
    </xf>
    <xf numFmtId="2" fontId="36" fillId="3" borderId="27" xfId="1" applyNumberFormat="1" applyFont="1" applyFill="1" applyBorder="1" applyAlignment="1">
      <alignment horizontal="center" vertical="center"/>
    </xf>
    <xf numFmtId="2" fontId="36" fillId="0" borderId="27" xfId="1" applyNumberFormat="1" applyFont="1" applyBorder="1" applyAlignment="1">
      <alignment horizontal="center" vertical="center"/>
    </xf>
    <xf numFmtId="166" fontId="36" fillId="3" borderId="27" xfId="1" applyNumberFormat="1" applyFont="1" applyFill="1" applyBorder="1" applyAlignment="1">
      <alignment horizontal="center" vertical="center"/>
    </xf>
    <xf numFmtId="1" fontId="36" fillId="3" borderId="29" xfId="1" applyNumberFormat="1" applyFont="1" applyFill="1" applyBorder="1" applyAlignment="1">
      <alignment horizontal="center" vertical="center"/>
    </xf>
    <xf numFmtId="1" fontId="36" fillId="3" borderId="2" xfId="1" applyNumberFormat="1" applyFont="1" applyFill="1" applyBorder="1" applyAlignment="1">
      <alignment horizontal="center" vertical="center"/>
    </xf>
    <xf numFmtId="1" fontId="53" fillId="3" borderId="2" xfId="1" applyNumberFormat="1" applyFont="1" applyFill="1" applyBorder="1" applyAlignment="1">
      <alignment horizontal="center" vertical="center"/>
    </xf>
    <xf numFmtId="1" fontId="36" fillId="0" borderId="2" xfId="1" applyNumberFormat="1" applyFont="1" applyBorder="1" applyAlignment="1">
      <alignment horizontal="center" vertical="center"/>
    </xf>
    <xf numFmtId="2" fontId="36" fillId="0" borderId="2" xfId="1" applyNumberFormat="1" applyFont="1" applyBorder="1" applyAlignment="1">
      <alignment horizontal="center" vertical="center"/>
    </xf>
    <xf numFmtId="2" fontId="36" fillId="3" borderId="2" xfId="1" applyNumberFormat="1" applyFont="1" applyFill="1" applyBorder="1" applyAlignment="1">
      <alignment horizontal="center" vertical="center"/>
    </xf>
    <xf numFmtId="166" fontId="36" fillId="3" borderId="2" xfId="1" applyNumberFormat="1" applyFont="1" applyFill="1" applyBorder="1" applyAlignment="1">
      <alignment horizontal="center" vertical="center"/>
    </xf>
    <xf numFmtId="0" fontId="36" fillId="3" borderId="14" xfId="1" applyFont="1" applyFill="1" applyBorder="1" applyAlignment="1">
      <alignment horizontal="center" vertical="center" wrapText="1"/>
    </xf>
    <xf numFmtId="0" fontId="36" fillId="3" borderId="16" xfId="1" applyFont="1" applyFill="1" applyBorder="1" applyAlignment="1">
      <alignment horizontal="center" vertical="center" wrapText="1"/>
    </xf>
    <xf numFmtId="1" fontId="36" fillId="3" borderId="15" xfId="1" applyNumberFormat="1" applyFont="1" applyFill="1" applyBorder="1" applyAlignment="1">
      <alignment horizontal="center" vertical="center"/>
    </xf>
    <xf numFmtId="1" fontId="37" fillId="8" borderId="2" xfId="1" applyNumberFormat="1" applyFont="1" applyFill="1" applyBorder="1" applyAlignment="1">
      <alignment horizontal="center" vertical="center"/>
    </xf>
    <xf numFmtId="1" fontId="48" fillId="8" borderId="2" xfId="1" applyNumberFormat="1" applyFont="1" applyFill="1" applyBorder="1" applyAlignment="1">
      <alignment horizontal="center" vertical="center"/>
    </xf>
    <xf numFmtId="2" fontId="50" fillId="8" borderId="2" xfId="1" applyNumberFormat="1" applyFont="1" applyFill="1" applyBorder="1" applyAlignment="1">
      <alignment horizontal="center" vertical="center"/>
    </xf>
    <xf numFmtId="0" fontId="53" fillId="8" borderId="14" xfId="1" applyFont="1" applyFill="1" applyBorder="1" applyAlignment="1">
      <alignment horizontal="center" vertical="center" wrapText="1"/>
    </xf>
    <xf numFmtId="0" fontId="22" fillId="0" borderId="0" xfId="1" applyFont="1" applyAlignment="1">
      <alignment vertical="center" wrapText="1"/>
    </xf>
    <xf numFmtId="1" fontId="55" fillId="4" borderId="2" xfId="1" applyNumberFormat="1" applyFont="1" applyFill="1" applyBorder="1" applyAlignment="1">
      <alignment horizontal="center" vertical="center"/>
    </xf>
    <xf numFmtId="1" fontId="10" fillId="0" borderId="0" xfId="1" applyNumberFormat="1" applyFont="1" applyAlignment="1">
      <alignment vertical="center" wrapText="1"/>
    </xf>
    <xf numFmtId="1" fontId="37" fillId="5" borderId="2" xfId="1" applyNumberFormat="1" applyFont="1" applyFill="1" applyBorder="1" applyAlignment="1">
      <alignment horizontal="center" vertical="center"/>
    </xf>
    <xf numFmtId="1" fontId="53" fillId="5" borderId="2" xfId="1" applyNumberFormat="1" applyFont="1" applyFill="1" applyBorder="1" applyAlignment="1">
      <alignment horizontal="center" vertical="center"/>
    </xf>
    <xf numFmtId="1" fontId="36" fillId="5" borderId="2" xfId="1" applyNumberFormat="1" applyFont="1" applyFill="1" applyBorder="1" applyAlignment="1">
      <alignment horizontal="center" vertical="center"/>
    </xf>
    <xf numFmtId="2" fontId="36" fillId="5" borderId="2" xfId="1" applyNumberFormat="1" applyFont="1" applyFill="1" applyBorder="1" applyAlignment="1">
      <alignment horizontal="center" vertical="center"/>
    </xf>
    <xf numFmtId="2" fontId="50" fillId="5" borderId="2" xfId="1" applyNumberFormat="1" applyFont="1" applyFill="1" applyBorder="1" applyAlignment="1">
      <alignment horizontal="center" vertical="center"/>
    </xf>
    <xf numFmtId="167" fontId="53" fillId="8" borderId="16" xfId="1" applyNumberFormat="1" applyFont="1" applyFill="1" applyBorder="1" applyAlignment="1">
      <alignment horizontal="left" vertical="center" wrapText="1"/>
    </xf>
    <xf numFmtId="2" fontId="50" fillId="0" borderId="2" xfId="1" applyNumberFormat="1" applyFont="1" applyBorder="1" applyAlignment="1">
      <alignment horizontal="center" vertical="center"/>
    </xf>
    <xf numFmtId="166" fontId="50" fillId="0" borderId="2" xfId="1" applyNumberFormat="1" applyFont="1" applyBorder="1" applyAlignment="1">
      <alignment horizontal="center" vertical="center"/>
    </xf>
    <xf numFmtId="167" fontId="10" fillId="0" borderId="0" xfId="1" applyNumberFormat="1" applyFont="1" applyAlignment="1">
      <alignment vertical="center" wrapText="1"/>
    </xf>
    <xf numFmtId="2" fontId="57" fillId="3" borderId="2" xfId="1" applyNumberFormat="1" applyFont="1" applyFill="1" applyBorder="1" applyAlignment="1">
      <alignment horizontal="center" vertical="center"/>
    </xf>
    <xf numFmtId="2" fontId="58" fillId="0" borderId="2" xfId="1" applyNumberFormat="1" applyFont="1" applyBorder="1" applyAlignment="1">
      <alignment horizontal="center" vertical="center"/>
    </xf>
    <xf numFmtId="2" fontId="36" fillId="10" borderId="2" xfId="1" applyNumberFormat="1" applyFont="1" applyFill="1" applyBorder="1" applyAlignment="1">
      <alignment horizontal="center" vertical="center"/>
    </xf>
    <xf numFmtId="0" fontId="10" fillId="3" borderId="0" xfId="1" applyFont="1" applyFill="1" applyAlignment="1">
      <alignment vertical="center" wrapText="1"/>
    </xf>
    <xf numFmtId="0" fontId="10" fillId="3" borderId="0" xfId="1" applyFont="1" applyFill="1" applyAlignment="1">
      <alignment vertical="center"/>
    </xf>
    <xf numFmtId="0" fontId="5" fillId="3" borderId="0" xfId="1" applyFill="1" applyAlignment="1">
      <alignment vertical="center"/>
    </xf>
    <xf numFmtId="0" fontId="53" fillId="3" borderId="14" xfId="1" applyFont="1" applyFill="1" applyBorder="1" applyAlignment="1">
      <alignment horizontal="center" vertical="center" wrapText="1"/>
    </xf>
    <xf numFmtId="167" fontId="53" fillId="3" borderId="16" xfId="1" applyNumberFormat="1" applyFont="1" applyFill="1" applyBorder="1" applyAlignment="1">
      <alignment horizontal="left" vertical="center" wrapText="1"/>
    </xf>
    <xf numFmtId="166" fontId="36" fillId="0" borderId="2" xfId="1" applyNumberFormat="1" applyFont="1" applyBorder="1" applyAlignment="1">
      <alignment horizontal="center" vertical="center"/>
    </xf>
    <xf numFmtId="166" fontId="36" fillId="3" borderId="68" xfId="1" applyNumberFormat="1" applyFont="1" applyFill="1" applyBorder="1" applyAlignment="1">
      <alignment horizontal="center" vertical="center"/>
    </xf>
    <xf numFmtId="2" fontId="36" fillId="3" borderId="26" xfId="1" applyNumberFormat="1" applyFont="1" applyFill="1" applyBorder="1" applyAlignment="1">
      <alignment horizontal="center" vertical="center"/>
    </xf>
    <xf numFmtId="2" fontId="36" fillId="3" borderId="14" xfId="1" applyNumberFormat="1" applyFont="1" applyFill="1" applyBorder="1" applyAlignment="1">
      <alignment horizontal="center" vertical="center"/>
    </xf>
    <xf numFmtId="1" fontId="53" fillId="0" borderId="2" xfId="1" applyNumberFormat="1" applyFont="1" applyBorder="1" applyAlignment="1">
      <alignment horizontal="center" vertical="center"/>
    </xf>
    <xf numFmtId="0" fontId="53" fillId="8" borderId="31" xfId="1" applyFont="1" applyFill="1" applyBorder="1" applyAlignment="1">
      <alignment horizontal="center" vertical="center" wrapText="1"/>
    </xf>
    <xf numFmtId="167" fontId="53" fillId="8" borderId="32" xfId="1" applyNumberFormat="1" applyFont="1" applyFill="1" applyBorder="1" applyAlignment="1">
      <alignment horizontal="left" vertical="center" wrapText="1"/>
    </xf>
    <xf numFmtId="0" fontId="53" fillId="0" borderId="31" xfId="1" applyFont="1" applyBorder="1" applyAlignment="1">
      <alignment horizontal="center" vertical="center" wrapText="1"/>
    </xf>
    <xf numFmtId="167" fontId="53" fillId="0" borderId="32" xfId="1" applyNumberFormat="1" applyFont="1" applyBorder="1" applyAlignment="1">
      <alignment horizontal="left" vertical="center" wrapText="1"/>
    </xf>
    <xf numFmtId="0" fontId="36" fillId="0" borderId="14" xfId="1" applyFont="1" applyBorder="1" applyAlignment="1">
      <alignment horizontal="center" vertical="center" wrapText="1"/>
    </xf>
    <xf numFmtId="0" fontId="36" fillId="0" borderId="16" xfId="1" applyFont="1" applyBorder="1" applyAlignment="1">
      <alignment horizontal="center" vertical="center" wrapText="1"/>
    </xf>
    <xf numFmtId="1" fontId="48" fillId="5" borderId="2" xfId="1" applyNumberFormat="1" applyFont="1" applyFill="1" applyBorder="1" applyAlignment="1">
      <alignment horizontal="center" vertical="center"/>
    </xf>
    <xf numFmtId="0" fontId="53" fillId="3" borderId="31" xfId="1" applyFont="1" applyFill="1" applyBorder="1" applyAlignment="1">
      <alignment horizontal="center" vertical="center" wrapText="1"/>
    </xf>
    <xf numFmtId="167" fontId="53" fillId="3" borderId="32" xfId="1" applyNumberFormat="1" applyFont="1" applyFill="1" applyBorder="1" applyAlignment="1">
      <alignment horizontal="left" vertical="center" wrapText="1"/>
    </xf>
    <xf numFmtId="0" fontId="53" fillId="3" borderId="60" xfId="1" applyFont="1" applyFill="1" applyBorder="1" applyAlignment="1">
      <alignment horizontal="center" vertical="center" wrapText="1"/>
    </xf>
    <xf numFmtId="167" fontId="53" fillId="3" borderId="8" xfId="1" applyNumberFormat="1" applyFont="1" applyFill="1" applyBorder="1" applyAlignment="1">
      <alignment horizontal="left" vertical="center" wrapText="1"/>
    </xf>
    <xf numFmtId="1" fontId="59" fillId="3" borderId="15" xfId="1" applyNumberFormat="1" applyFont="1" applyFill="1" applyBorder="1" applyAlignment="1">
      <alignment horizontal="center" vertical="center"/>
    </xf>
    <xf numFmtId="1" fontId="59" fillId="0" borderId="2" xfId="1" applyNumberFormat="1" applyFont="1" applyBorder="1" applyAlignment="1">
      <alignment horizontal="center" vertical="center"/>
    </xf>
    <xf numFmtId="1" fontId="63" fillId="0" borderId="2" xfId="1" applyNumberFormat="1" applyFont="1" applyBorder="1" applyAlignment="1">
      <alignment horizontal="center" vertical="center"/>
    </xf>
    <xf numFmtId="2" fontId="59" fillId="0" borderId="2" xfId="1" applyNumberFormat="1" applyFont="1" applyBorder="1" applyAlignment="1">
      <alignment horizontal="center" vertical="center"/>
    </xf>
    <xf numFmtId="166" fontId="59" fillId="0" borderId="2" xfId="1" applyNumberFormat="1" applyFont="1" applyBorder="1" applyAlignment="1">
      <alignment horizontal="center" vertical="center"/>
    </xf>
    <xf numFmtId="2" fontId="36" fillId="13" borderId="2" xfId="1" applyNumberFormat="1" applyFont="1" applyFill="1" applyBorder="1" applyAlignment="1">
      <alignment horizontal="center" vertical="center"/>
    </xf>
    <xf numFmtId="2" fontId="36" fillId="13" borderId="26" xfId="1" applyNumberFormat="1" applyFont="1" applyFill="1" applyBorder="1" applyAlignment="1">
      <alignment horizontal="center" vertical="center"/>
    </xf>
    <xf numFmtId="2" fontId="36" fillId="13" borderId="66" xfId="1" applyNumberFormat="1" applyFont="1" applyFill="1" applyBorder="1" applyAlignment="1">
      <alignment horizontal="center" vertical="center"/>
    </xf>
    <xf numFmtId="2" fontId="55" fillId="4" borderId="17" xfId="1" applyNumberFormat="1" applyFont="1" applyFill="1" applyBorder="1" applyAlignment="1">
      <alignment horizontal="center" vertical="center"/>
    </xf>
    <xf numFmtId="166" fontId="36" fillId="13" borderId="67" xfId="1" applyNumberFormat="1" applyFont="1" applyFill="1" applyBorder="1" applyAlignment="1">
      <alignment horizontal="center" vertical="center"/>
    </xf>
    <xf numFmtId="2" fontId="36" fillId="13" borderId="28" xfId="1" applyNumberFormat="1" applyFont="1" applyFill="1" applyBorder="1" applyAlignment="1">
      <alignment horizontal="center" vertical="center"/>
    </xf>
    <xf numFmtId="166" fontId="36" fillId="13" borderId="64" xfId="1" applyNumberFormat="1" applyFont="1" applyFill="1" applyBorder="1" applyAlignment="1">
      <alignment horizontal="center" vertical="center"/>
    </xf>
    <xf numFmtId="0" fontId="53" fillId="8" borderId="65" xfId="1" applyFont="1" applyFill="1" applyBorder="1" applyAlignment="1">
      <alignment horizontal="center" vertical="center" wrapText="1"/>
    </xf>
    <xf numFmtId="0" fontId="27" fillId="0" borderId="0" xfId="1" applyFont="1" applyAlignment="1">
      <alignment vertical="center" wrapText="1"/>
    </xf>
    <xf numFmtId="2" fontId="50" fillId="6" borderId="62" xfId="1" applyNumberFormat="1" applyFont="1" applyFill="1" applyBorder="1" applyAlignment="1">
      <alignment horizontal="center" vertical="center"/>
    </xf>
    <xf numFmtId="2" fontId="36" fillId="6" borderId="33" xfId="1" applyNumberFormat="1" applyFont="1" applyFill="1" applyBorder="1" applyAlignment="1">
      <alignment horizontal="center" vertical="center"/>
    </xf>
    <xf numFmtId="2" fontId="36" fillId="6" borderId="34" xfId="1" applyNumberFormat="1" applyFont="1" applyFill="1" applyBorder="1" applyAlignment="1">
      <alignment horizontal="center" vertical="center"/>
    </xf>
    <xf numFmtId="2" fontId="36" fillId="6" borderId="17" xfId="1" applyNumberFormat="1" applyFont="1" applyFill="1" applyBorder="1" applyAlignment="1">
      <alignment horizontal="center" vertical="center"/>
    </xf>
    <xf numFmtId="166" fontId="36" fillId="6" borderId="63" xfId="1" applyNumberFormat="1" applyFont="1" applyFill="1" applyBorder="1" applyAlignment="1">
      <alignment horizontal="center" vertical="center"/>
    </xf>
    <xf numFmtId="0" fontId="28" fillId="0" borderId="0" xfId="1" applyFont="1" applyAlignment="1">
      <alignment vertical="center" wrapText="1"/>
    </xf>
    <xf numFmtId="2" fontId="50" fillId="6" borderId="22" xfId="1" applyNumberFormat="1" applyFont="1" applyFill="1" applyBorder="1" applyAlignment="1">
      <alignment horizontal="center" vertical="center"/>
    </xf>
    <xf numFmtId="2" fontId="36" fillId="6" borderId="22" xfId="1" applyNumberFormat="1" applyFont="1" applyFill="1" applyBorder="1" applyAlignment="1">
      <alignment horizontal="center" vertical="center"/>
    </xf>
    <xf numFmtId="2" fontId="51" fillId="4" borderId="17" xfId="1" applyNumberFormat="1" applyFont="1" applyFill="1" applyBorder="1" applyAlignment="1">
      <alignment horizontal="center" vertical="center"/>
    </xf>
    <xf numFmtId="166" fontId="36" fillId="6" borderId="18" xfId="1" applyNumberFormat="1" applyFont="1" applyFill="1" applyBorder="1" applyAlignment="1">
      <alignment horizontal="center" vertical="center"/>
    </xf>
    <xf numFmtId="0" fontId="13" fillId="0" borderId="0" xfId="1" applyFont="1" applyAlignment="1">
      <alignment vertical="center" wrapText="1"/>
    </xf>
    <xf numFmtId="2" fontId="13" fillId="0" borderId="0" xfId="1" applyNumberFormat="1" applyFont="1" applyAlignment="1">
      <alignment vertical="center" wrapText="1"/>
    </xf>
    <xf numFmtId="2" fontId="50" fillId="6" borderId="17" xfId="1" applyNumberFormat="1" applyFont="1" applyFill="1" applyBorder="1" applyAlignment="1">
      <alignment horizontal="center" vertical="center"/>
    </xf>
    <xf numFmtId="0" fontId="64" fillId="6" borderId="14" xfId="1" applyFont="1" applyFill="1" applyBorder="1" applyAlignment="1">
      <alignment horizontal="right" vertical="center"/>
    </xf>
    <xf numFmtId="171" fontId="64" fillId="6" borderId="35" xfId="1" applyNumberFormat="1" applyFont="1" applyFill="1" applyBorder="1" applyAlignment="1">
      <alignment horizontal="left" vertical="center"/>
    </xf>
    <xf numFmtId="0" fontId="29" fillId="0" borderId="0" xfId="1" applyFont="1" applyAlignment="1">
      <alignment vertical="center"/>
    </xf>
    <xf numFmtId="2" fontId="50" fillId="6" borderId="19" xfId="1" applyNumberFormat="1" applyFont="1" applyFill="1" applyBorder="1" applyAlignment="1">
      <alignment horizontal="center" vertical="center"/>
    </xf>
    <xf numFmtId="2" fontId="36" fillId="6" borderId="19" xfId="1" applyNumberFormat="1" applyFont="1" applyFill="1" applyBorder="1" applyAlignment="1">
      <alignment horizontal="center" vertical="center"/>
    </xf>
    <xf numFmtId="2" fontId="51" fillId="4" borderId="19" xfId="1" applyNumberFormat="1" applyFont="1" applyFill="1" applyBorder="1" applyAlignment="1">
      <alignment horizontal="center" vertical="center"/>
    </xf>
    <xf numFmtId="166" fontId="36" fillId="6" borderId="20" xfId="1" applyNumberFormat="1" applyFont="1" applyFill="1" applyBorder="1" applyAlignment="1">
      <alignment horizontal="center" vertical="center"/>
    </xf>
    <xf numFmtId="0" fontId="53" fillId="6" borderId="36" xfId="1" applyFont="1" applyFill="1" applyBorder="1" applyAlignment="1">
      <alignment horizontal="left" vertical="center"/>
    </xf>
    <xf numFmtId="2" fontId="50" fillId="6" borderId="37" xfId="1" applyNumberFormat="1" applyFont="1" applyFill="1" applyBorder="1" applyAlignment="1">
      <alignment horizontal="center" vertical="center"/>
    </xf>
    <xf numFmtId="2" fontId="36" fillId="6" borderId="38" xfId="1" applyNumberFormat="1" applyFont="1" applyFill="1" applyBorder="1" applyAlignment="1">
      <alignment horizontal="center" vertical="center"/>
    </xf>
    <xf numFmtId="2" fontId="50" fillId="6" borderId="39" xfId="1" applyNumberFormat="1" applyFont="1" applyFill="1" applyBorder="1" applyAlignment="1">
      <alignment horizontal="center" vertical="center"/>
    </xf>
    <xf numFmtId="2" fontId="36" fillId="6" borderId="39" xfId="1" applyNumberFormat="1" applyFont="1" applyFill="1" applyBorder="1" applyAlignment="1">
      <alignment horizontal="center" vertical="center"/>
    </xf>
    <xf numFmtId="166" fontId="36" fillId="6" borderId="40" xfId="1" applyNumberFormat="1" applyFont="1" applyFill="1" applyBorder="1" applyAlignment="1">
      <alignment horizontal="center" vertical="center"/>
    </xf>
    <xf numFmtId="0" fontId="64" fillId="6" borderId="41" xfId="1" applyFont="1" applyFill="1" applyBorder="1" applyAlignment="1">
      <alignment horizontal="right" vertical="center"/>
    </xf>
    <xf numFmtId="171" fontId="64" fillId="6" borderId="42" xfId="1" applyNumberFormat="1" applyFont="1" applyFill="1" applyBorder="1" applyAlignment="1">
      <alignment horizontal="left" vertical="center"/>
    </xf>
    <xf numFmtId="0" fontId="65" fillId="12" borderId="29" xfId="1" applyFont="1" applyFill="1" applyBorder="1" applyAlignment="1">
      <alignment vertical="center"/>
    </xf>
    <xf numFmtId="2" fontId="36" fillId="12" borderId="30" xfId="1" applyNumberFormat="1" applyFont="1" applyFill="1" applyBorder="1" applyAlignment="1">
      <alignment horizontal="center" vertical="center"/>
    </xf>
    <xf numFmtId="2" fontId="50" fillId="12" borderId="30" xfId="1" applyNumberFormat="1" applyFont="1" applyFill="1" applyBorder="1" applyAlignment="1">
      <alignment horizontal="center" vertical="center"/>
    </xf>
    <xf numFmtId="166" fontId="36" fillId="12" borderId="30" xfId="1" applyNumberFormat="1" applyFont="1" applyFill="1" applyBorder="1" applyAlignment="1">
      <alignment horizontal="center" vertical="center"/>
    </xf>
    <xf numFmtId="0" fontId="53" fillId="9" borderId="2" xfId="1" applyFont="1" applyFill="1" applyBorder="1" applyAlignment="1">
      <alignment horizontal="left" vertical="center"/>
    </xf>
    <xf numFmtId="2" fontId="36" fillId="9" borderId="2" xfId="1" applyNumberFormat="1" applyFont="1" applyFill="1" applyBorder="1" applyAlignment="1">
      <alignment horizontal="center" vertical="center"/>
    </xf>
    <xf numFmtId="2" fontId="50" fillId="9" borderId="2" xfId="1" applyNumberFormat="1" applyFont="1" applyFill="1" applyBorder="1" applyAlignment="1">
      <alignment horizontal="center" vertical="center"/>
    </xf>
    <xf numFmtId="166" fontId="36" fillId="9" borderId="2" xfId="1" applyNumberFormat="1" applyFont="1" applyFill="1" applyBorder="1" applyAlignment="1">
      <alignment horizontal="center" vertical="center"/>
    </xf>
    <xf numFmtId="0" fontId="14" fillId="4" borderId="2" xfId="1" applyFont="1" applyFill="1" applyBorder="1" applyAlignment="1">
      <alignment horizontal="center" vertical="center" wrapText="1"/>
    </xf>
    <xf numFmtId="0" fontId="53" fillId="3" borderId="2" xfId="1" applyFont="1" applyFill="1" applyBorder="1" applyAlignment="1">
      <alignment vertical="center"/>
    </xf>
    <xf numFmtId="171" fontId="53" fillId="3" borderId="24" xfId="1" applyNumberFormat="1" applyFont="1" applyFill="1" applyBorder="1" applyAlignment="1">
      <alignment horizontal="center" vertical="center"/>
    </xf>
    <xf numFmtId="2" fontId="2" fillId="0" borderId="2" xfId="1" applyNumberFormat="1" applyFont="1" applyBorder="1" applyAlignment="1">
      <alignment horizontal="center" vertical="center" wrapText="1"/>
    </xf>
    <xf numFmtId="1" fontId="53" fillId="9" borderId="2" xfId="1" applyNumberFormat="1" applyFont="1" applyFill="1" applyBorder="1" applyAlignment="1">
      <alignment vertical="center"/>
    </xf>
    <xf numFmtId="0" fontId="53" fillId="6" borderId="2" xfId="1" applyFont="1" applyFill="1" applyBorder="1" applyAlignment="1">
      <alignment horizontal="left" vertical="center"/>
    </xf>
    <xf numFmtId="0" fontId="63" fillId="6" borderId="14" xfId="1" applyFont="1" applyFill="1" applyBorder="1" applyAlignment="1">
      <alignment vertical="center" wrapText="1"/>
    </xf>
    <xf numFmtId="0" fontId="53" fillId="6" borderId="2" xfId="1" applyFont="1" applyFill="1" applyBorder="1" applyAlignment="1">
      <alignment vertical="center"/>
    </xf>
    <xf numFmtId="2" fontId="36" fillId="6" borderId="2" xfId="1" applyNumberFormat="1" applyFont="1" applyFill="1" applyBorder="1" applyAlignment="1">
      <alignment horizontal="center" vertical="center"/>
    </xf>
    <xf numFmtId="2" fontId="50" fillId="6" borderId="2" xfId="1" applyNumberFormat="1" applyFont="1" applyFill="1" applyBorder="1" applyAlignment="1">
      <alignment horizontal="center" vertical="center"/>
    </xf>
    <xf numFmtId="166" fontId="36" fillId="6" borderId="2" xfId="1" applyNumberFormat="1" applyFont="1" applyFill="1" applyBorder="1" applyAlignment="1">
      <alignment horizontal="center" vertical="center"/>
    </xf>
    <xf numFmtId="171" fontId="53" fillId="0" borderId="24" xfId="1" applyNumberFormat="1" applyFont="1" applyBorder="1" applyAlignment="1">
      <alignment horizontal="center" vertical="center"/>
    </xf>
    <xf numFmtId="0" fontId="53" fillId="0" borderId="2" xfId="1" applyFont="1" applyBorder="1" applyAlignment="1">
      <alignment horizontal="left" vertical="center"/>
    </xf>
    <xf numFmtId="0" fontId="63" fillId="0" borderId="14" xfId="1" applyFont="1" applyBorder="1" applyAlignment="1">
      <alignment vertical="center" wrapText="1"/>
    </xf>
    <xf numFmtId="0" fontId="53" fillId="0" borderId="2" xfId="1" applyFont="1" applyBorder="1" applyAlignment="1">
      <alignment vertical="center"/>
    </xf>
    <xf numFmtId="2" fontId="2" fillId="0" borderId="0" xfId="1" applyNumberFormat="1" applyFont="1" applyAlignment="1">
      <alignment vertical="center" wrapText="1"/>
    </xf>
    <xf numFmtId="0" fontId="30" fillId="10" borderId="0" xfId="1" applyFont="1" applyFill="1" applyAlignment="1">
      <alignment vertical="center" wrapText="1"/>
    </xf>
    <xf numFmtId="0" fontId="14" fillId="4" borderId="0" xfId="1" applyFont="1" applyFill="1" applyAlignment="1">
      <alignment horizontal="center" vertical="center" wrapText="1"/>
    </xf>
    <xf numFmtId="0" fontId="36" fillId="3" borderId="14" xfId="1" applyFont="1" applyFill="1" applyBorder="1" applyAlignment="1">
      <alignment vertical="center" wrapText="1"/>
    </xf>
    <xf numFmtId="0" fontId="36" fillId="3" borderId="16" xfId="1" applyFont="1" applyFill="1" applyBorder="1" applyAlignment="1">
      <alignment vertical="center" wrapText="1"/>
    </xf>
    <xf numFmtId="2" fontId="2" fillId="0" borderId="0" xfId="1" applyNumberFormat="1" applyFont="1" applyAlignment="1">
      <alignment horizontal="center" vertical="center" wrapText="1"/>
    </xf>
    <xf numFmtId="0" fontId="5" fillId="0" borderId="1" xfId="1" applyBorder="1" applyAlignment="1">
      <alignment vertical="center" wrapText="1"/>
    </xf>
    <xf numFmtId="0" fontId="53" fillId="3" borderId="2" xfId="1" applyFont="1" applyFill="1" applyBorder="1" applyAlignment="1">
      <alignment horizontal="left" vertical="center"/>
    </xf>
    <xf numFmtId="2" fontId="50" fillId="3" borderId="2" xfId="1" applyNumberFormat="1" applyFont="1" applyFill="1" applyBorder="1" applyAlignment="1">
      <alignment horizontal="center" vertical="center"/>
    </xf>
    <xf numFmtId="1" fontId="53" fillId="3" borderId="2" xfId="1" applyNumberFormat="1" applyFont="1" applyFill="1" applyBorder="1" applyAlignment="1">
      <alignment vertical="center"/>
    </xf>
    <xf numFmtId="0" fontId="63" fillId="3" borderId="14" xfId="1" applyFont="1" applyFill="1" applyBorder="1" applyAlignment="1">
      <alignment vertical="center" wrapText="1"/>
    </xf>
    <xf numFmtId="0" fontId="61" fillId="15" borderId="76" xfId="1" applyFont="1" applyFill="1" applyBorder="1" applyAlignment="1">
      <alignment horizontal="center" vertical="center"/>
    </xf>
    <xf numFmtId="0" fontId="61" fillId="15" borderId="2" xfId="1" applyFont="1" applyFill="1" applyBorder="1" applyAlignment="1">
      <alignment horizontal="left" vertical="center"/>
    </xf>
    <xf numFmtId="0" fontId="61" fillId="15" borderId="14" xfId="1" applyFont="1" applyFill="1" applyBorder="1" applyAlignment="1">
      <alignment vertical="center" wrapText="1"/>
    </xf>
    <xf numFmtId="0" fontId="61" fillId="15" borderId="2" xfId="1" applyFont="1" applyFill="1" applyBorder="1" applyAlignment="1">
      <alignment vertical="center"/>
    </xf>
    <xf numFmtId="2" fontId="55" fillId="15" borderId="2" xfId="1" applyNumberFormat="1" applyFont="1" applyFill="1" applyBorder="1" applyAlignment="1">
      <alignment horizontal="center" vertical="center"/>
    </xf>
    <xf numFmtId="166" fontId="55" fillId="15" borderId="2" xfId="1" applyNumberFormat="1" applyFont="1" applyFill="1" applyBorder="1" applyAlignment="1">
      <alignment horizontal="center" vertical="center"/>
    </xf>
    <xf numFmtId="0" fontId="61" fillId="14" borderId="76" xfId="1" applyFont="1" applyFill="1" applyBorder="1" applyAlignment="1">
      <alignment horizontal="center" vertical="center"/>
    </xf>
    <xf numFmtId="0" fontId="61" fillId="14" borderId="2" xfId="1" applyFont="1" applyFill="1" applyBorder="1" applyAlignment="1">
      <alignment horizontal="left" vertical="center"/>
    </xf>
    <xf numFmtId="0" fontId="61" fillId="14" borderId="14" xfId="1" applyFont="1" applyFill="1" applyBorder="1" applyAlignment="1">
      <alignment vertical="center" wrapText="1"/>
    </xf>
    <xf numFmtId="0" fontId="61" fillId="14" borderId="2" xfId="1" applyFont="1" applyFill="1" applyBorder="1" applyAlignment="1">
      <alignment vertical="center"/>
    </xf>
    <xf numFmtId="2" fontId="55" fillId="14" borderId="2" xfId="1" applyNumberFormat="1" applyFont="1" applyFill="1" applyBorder="1" applyAlignment="1">
      <alignment horizontal="center" vertical="center"/>
    </xf>
    <xf numFmtId="166" fontId="55" fillId="14" borderId="2" xfId="1" applyNumberFormat="1" applyFont="1" applyFill="1" applyBorder="1" applyAlignment="1">
      <alignment horizontal="center" vertical="center"/>
    </xf>
    <xf numFmtId="2" fontId="65" fillId="5" borderId="2" xfId="1" applyNumberFormat="1" applyFont="1" applyFill="1" applyBorder="1" applyAlignment="1">
      <alignment horizontal="left" vertical="center"/>
    </xf>
    <xf numFmtId="2" fontId="65" fillId="5" borderId="24" xfId="1" applyNumberFormat="1" applyFont="1" applyFill="1" applyBorder="1" applyAlignment="1">
      <alignment horizontal="left" vertical="center"/>
    </xf>
    <xf numFmtId="2" fontId="65" fillId="5" borderId="2" xfId="1" applyNumberFormat="1" applyFont="1" applyFill="1" applyBorder="1" applyAlignment="1">
      <alignment horizontal="center" vertical="center"/>
    </xf>
    <xf numFmtId="2" fontId="65" fillId="5" borderId="24" xfId="1" applyNumberFormat="1" applyFont="1" applyFill="1" applyBorder="1" applyAlignment="1">
      <alignment horizontal="center" vertical="center"/>
    </xf>
    <xf numFmtId="2" fontId="51" fillId="4" borderId="21" xfId="1" applyNumberFormat="1" applyFont="1" applyFill="1" applyBorder="1" applyAlignment="1">
      <alignment horizontal="center" vertical="center"/>
    </xf>
    <xf numFmtId="2" fontId="59" fillId="3" borderId="21" xfId="1" applyNumberFormat="1" applyFont="1" applyFill="1" applyBorder="1" applyAlignment="1">
      <alignment horizontal="left" vertical="center"/>
    </xf>
    <xf numFmtId="2" fontId="50" fillId="3" borderId="21" xfId="1" applyNumberFormat="1" applyFont="1" applyFill="1" applyBorder="1" applyAlignment="1">
      <alignment horizontal="center" vertical="center"/>
    </xf>
    <xf numFmtId="2" fontId="36" fillId="3" borderId="21" xfId="1" applyNumberFormat="1" applyFont="1" applyFill="1" applyBorder="1" applyAlignment="1">
      <alignment horizontal="center" vertical="center"/>
    </xf>
    <xf numFmtId="166" fontId="36" fillId="3" borderId="21" xfId="1" applyNumberFormat="1" applyFont="1" applyFill="1" applyBorder="1" applyAlignment="1">
      <alignment horizontal="center" vertical="center"/>
    </xf>
    <xf numFmtId="0" fontId="66" fillId="0" borderId="0" xfId="1" applyFont="1" applyAlignment="1">
      <alignment horizontal="center" vertical="center"/>
    </xf>
    <xf numFmtId="1" fontId="66" fillId="0" borderId="0" xfId="1" applyNumberFormat="1" applyFont="1" applyAlignment="1">
      <alignment horizontal="center" vertical="center"/>
    </xf>
    <xf numFmtId="0" fontId="65" fillId="0" borderId="0" xfId="1" applyFont="1" applyAlignment="1">
      <alignment horizontal="center" vertical="center"/>
    </xf>
    <xf numFmtId="2" fontId="67" fillId="3" borderId="0" xfId="1" applyNumberFormat="1" applyFont="1" applyFill="1" applyAlignment="1">
      <alignment horizontal="center" vertical="center"/>
    </xf>
    <xf numFmtId="2" fontId="68" fillId="0" borderId="0" xfId="1" applyNumberFormat="1" applyFont="1" applyAlignment="1">
      <alignment horizontal="center" vertical="center"/>
    </xf>
    <xf numFmtId="2" fontId="66" fillId="0" borderId="0" xfId="1" applyNumberFormat="1" applyFont="1" applyAlignment="1">
      <alignment horizontal="center" vertical="center"/>
    </xf>
    <xf numFmtId="166" fontId="66" fillId="0" borderId="0" xfId="1" applyNumberFormat="1" applyFont="1" applyAlignment="1">
      <alignment horizontal="center" vertical="center"/>
    </xf>
    <xf numFmtId="0" fontId="66" fillId="0" borderId="0" xfId="1" applyFont="1" applyAlignment="1">
      <alignment vertical="center" wrapText="1"/>
    </xf>
    <xf numFmtId="0" fontId="68" fillId="0" borderId="0" xfId="1" applyFont="1" applyAlignment="1">
      <alignment horizontal="right" vertical="center" wrapText="1"/>
    </xf>
    <xf numFmtId="175" fontId="66" fillId="0" borderId="0" xfId="1" applyNumberFormat="1" applyFont="1" applyAlignment="1">
      <alignment horizontal="left" vertical="center" wrapText="1"/>
    </xf>
    <xf numFmtId="2" fontId="61" fillId="10" borderId="23" xfId="1" applyNumberFormat="1" applyFont="1" applyFill="1" applyBorder="1" applyAlignment="1">
      <alignment horizontal="center" vertical="center"/>
    </xf>
    <xf numFmtId="2" fontId="61" fillId="10" borderId="23" xfId="1" applyNumberFormat="1" applyFont="1" applyFill="1" applyBorder="1" applyAlignment="1">
      <alignment horizontal="center" vertical="center" wrapText="1"/>
    </xf>
    <xf numFmtId="166" fontId="61" fillId="10" borderId="23" xfId="1" applyNumberFormat="1" applyFont="1" applyFill="1" applyBorder="1" applyAlignment="1">
      <alignment horizontal="center" vertical="center"/>
    </xf>
    <xf numFmtId="165" fontId="53" fillId="11" borderId="2" xfId="1" applyNumberFormat="1" applyFont="1" applyFill="1" applyBorder="1" applyAlignment="1">
      <alignment horizontal="center" vertical="center"/>
    </xf>
    <xf numFmtId="164" fontId="53" fillId="10" borderId="2" xfId="1" applyNumberFormat="1" applyFont="1" applyFill="1" applyBorder="1" applyAlignment="1">
      <alignment vertical="center"/>
    </xf>
    <xf numFmtId="2" fontId="53" fillId="11" borderId="2" xfId="1" applyNumberFormat="1" applyFont="1" applyFill="1" applyBorder="1" applyAlignment="1">
      <alignment horizontal="center" vertical="center"/>
    </xf>
    <xf numFmtId="1" fontId="53" fillId="11" borderId="2" xfId="1" applyNumberFormat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1" fontId="2" fillId="0" borderId="0" xfId="1" applyNumberFormat="1" applyFont="1" applyAlignment="1">
      <alignment vertical="center"/>
    </xf>
    <xf numFmtId="0" fontId="1" fillId="0" borderId="0" xfId="1" applyFont="1" applyAlignment="1">
      <alignment horizontal="center" vertical="center"/>
    </xf>
    <xf numFmtId="2" fontId="2" fillId="0" borderId="0" xfId="1" applyNumberFormat="1" applyFont="1" applyAlignment="1">
      <alignment horizontal="center" vertical="center"/>
    </xf>
    <xf numFmtId="2" fontId="11" fillId="3" borderId="0" xfId="1" applyNumberFormat="1" applyFont="1" applyFill="1" applyAlignment="1">
      <alignment horizontal="center" vertical="center"/>
    </xf>
    <xf numFmtId="2" fontId="1" fillId="0" borderId="0" xfId="1" applyNumberFormat="1" applyFont="1" applyAlignment="1">
      <alignment horizontal="center" vertical="center"/>
    </xf>
    <xf numFmtId="166" fontId="2" fillId="0" borderId="0" xfId="1" applyNumberFormat="1" applyFont="1" applyAlignment="1">
      <alignment horizontal="center" vertical="center"/>
    </xf>
    <xf numFmtId="0" fontId="2" fillId="3" borderId="0" xfId="1" applyFont="1" applyFill="1" applyAlignment="1">
      <alignment vertical="center" wrapText="1"/>
    </xf>
    <xf numFmtId="0" fontId="11" fillId="3" borderId="0" xfId="1" applyFont="1" applyFill="1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2" fontId="8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vertical="center" wrapText="1"/>
    </xf>
    <xf numFmtId="1" fontId="1" fillId="0" borderId="0" xfId="1" applyNumberFormat="1" applyFont="1" applyAlignment="1">
      <alignment horizontal="center" vertical="center"/>
    </xf>
    <xf numFmtId="2" fontId="2" fillId="0" borderId="0" xfId="1" applyNumberFormat="1" applyFont="1" applyAlignment="1">
      <alignment horizontal="right" vertical="center"/>
    </xf>
    <xf numFmtId="1" fontId="6" fillId="0" borderId="0" xfId="1" applyNumberFormat="1" applyFont="1" applyAlignment="1">
      <alignment horizontal="center" vertical="center"/>
    </xf>
    <xf numFmtId="1" fontId="7" fillId="0" borderId="0" xfId="1" applyNumberFormat="1" applyFont="1" applyAlignment="1">
      <alignment horizontal="center" vertical="center"/>
    </xf>
    <xf numFmtId="1" fontId="5" fillId="0" borderId="0" xfId="1" applyNumberFormat="1" applyAlignment="1">
      <alignment vertical="center"/>
    </xf>
    <xf numFmtId="0" fontId="5" fillId="0" borderId="1" xfId="1" applyBorder="1" applyAlignment="1">
      <alignment horizontal="center" vertical="center"/>
    </xf>
    <xf numFmtId="1" fontId="69" fillId="17" borderId="105" xfId="1" applyNumberFormat="1" applyFont="1" applyFill="1" applyBorder="1" applyAlignment="1">
      <alignment horizontal="right" vertical="center"/>
    </xf>
    <xf numFmtId="1" fontId="69" fillId="17" borderId="21" xfId="1" applyNumberFormat="1" applyFont="1" applyFill="1" applyBorder="1" applyAlignment="1">
      <alignment horizontal="right" vertical="center"/>
    </xf>
    <xf numFmtId="178" fontId="61" fillId="4" borderId="21" xfId="1" applyNumberFormat="1" applyFont="1" applyFill="1" applyBorder="1" applyAlignment="1">
      <alignment horizontal="center" vertical="center"/>
    </xf>
    <xf numFmtId="179" fontId="71" fillId="4" borderId="21" xfId="1" applyNumberFormat="1" applyFont="1" applyFill="1" applyBorder="1" applyAlignment="1">
      <alignment horizontal="center" vertical="center"/>
    </xf>
    <xf numFmtId="179" fontId="71" fillId="4" borderId="104" xfId="1" applyNumberFormat="1" applyFont="1" applyFill="1" applyBorder="1" applyAlignment="1">
      <alignment horizontal="center" vertical="center"/>
    </xf>
    <xf numFmtId="1" fontId="69" fillId="17" borderId="15" xfId="1" applyNumberFormat="1" applyFont="1" applyFill="1" applyBorder="1" applyAlignment="1">
      <alignment horizontal="right" vertical="center"/>
    </xf>
    <xf numFmtId="1" fontId="69" fillId="17" borderId="2" xfId="1" applyNumberFormat="1" applyFont="1" applyFill="1" applyBorder="1" applyAlignment="1">
      <alignment horizontal="right" vertical="center"/>
    </xf>
    <xf numFmtId="178" fontId="61" fillId="4" borderId="2" xfId="1" applyNumberFormat="1" applyFont="1" applyFill="1" applyBorder="1" applyAlignment="1">
      <alignment horizontal="center" vertical="center"/>
    </xf>
    <xf numFmtId="179" fontId="61" fillId="4" borderId="2" xfId="1" applyNumberFormat="1" applyFont="1" applyFill="1" applyBorder="1" applyAlignment="1">
      <alignment horizontal="center" vertical="center"/>
    </xf>
    <xf numFmtId="179" fontId="61" fillId="4" borderId="24" xfId="1" applyNumberFormat="1" applyFont="1" applyFill="1" applyBorder="1" applyAlignment="1">
      <alignment horizontal="center" vertical="center"/>
    </xf>
    <xf numFmtId="1" fontId="70" fillId="17" borderId="15" xfId="1" applyNumberFormat="1" applyFont="1" applyFill="1" applyBorder="1" applyAlignment="1">
      <alignment horizontal="right" vertical="center"/>
    </xf>
    <xf numFmtId="1" fontId="70" fillId="17" borderId="2" xfId="1" applyNumberFormat="1" applyFont="1" applyFill="1" applyBorder="1" applyAlignment="1">
      <alignment horizontal="right" vertical="center"/>
    </xf>
    <xf numFmtId="1" fontId="62" fillId="11" borderId="15" xfId="1" applyNumberFormat="1" applyFont="1" applyFill="1" applyBorder="1" applyAlignment="1">
      <alignment horizontal="left"/>
    </xf>
    <xf numFmtId="1" fontId="62" fillId="11" borderId="2" xfId="1" applyNumberFormat="1" applyFont="1" applyFill="1" applyBorder="1" applyAlignment="1">
      <alignment horizontal="left"/>
    </xf>
    <xf numFmtId="177" fontId="64" fillId="11" borderId="2" xfId="1" applyNumberFormat="1" applyFont="1" applyFill="1" applyBorder="1" applyAlignment="1">
      <alignment horizontal="center" vertical="center"/>
    </xf>
    <xf numFmtId="1" fontId="53" fillId="11" borderId="2" xfId="1" applyNumberFormat="1" applyFont="1" applyFill="1" applyBorder="1" applyAlignment="1">
      <alignment horizontal="center" vertical="center" wrapText="1"/>
    </xf>
    <xf numFmtId="0" fontId="53" fillId="11" borderId="24" xfId="1" applyFont="1" applyFill="1" applyBorder="1" applyAlignment="1">
      <alignment horizontal="center" vertical="center" wrapText="1"/>
    </xf>
    <xf numFmtId="1" fontId="61" fillId="10" borderId="102" xfId="1" applyNumberFormat="1" applyFont="1" applyFill="1" applyBorder="1" applyAlignment="1">
      <alignment horizontal="center"/>
    </xf>
    <xf numFmtId="1" fontId="61" fillId="10" borderId="23" xfId="1" applyNumberFormat="1" applyFont="1" applyFill="1" applyBorder="1" applyAlignment="1">
      <alignment horizontal="center"/>
    </xf>
    <xf numFmtId="2" fontId="61" fillId="10" borderId="23" xfId="1" applyNumberFormat="1" applyFont="1" applyFill="1" applyBorder="1" applyAlignment="1">
      <alignment horizontal="center" vertical="center"/>
    </xf>
    <xf numFmtId="0" fontId="61" fillId="10" borderId="23" xfId="1" applyFont="1" applyFill="1" applyBorder="1" applyAlignment="1">
      <alignment horizontal="center" vertical="center" wrapText="1"/>
    </xf>
    <xf numFmtId="0" fontId="61" fillId="10" borderId="103" xfId="1" applyFont="1" applyFill="1" applyBorder="1" applyAlignment="1">
      <alignment horizontal="center" vertical="center" wrapText="1"/>
    </xf>
    <xf numFmtId="1" fontId="53" fillId="9" borderId="2" xfId="1" applyNumberFormat="1" applyFont="1" applyFill="1" applyBorder="1" applyAlignment="1">
      <alignment horizontal="center" vertical="center" wrapText="1"/>
    </xf>
    <xf numFmtId="0" fontId="36" fillId="3" borderId="2" xfId="1" applyFont="1" applyFill="1" applyBorder="1" applyAlignment="1">
      <alignment horizontal="center" vertical="center" wrapText="1"/>
    </xf>
    <xf numFmtId="0" fontId="36" fillId="3" borderId="24" xfId="1" applyFont="1" applyFill="1" applyBorder="1" applyAlignment="1">
      <alignment horizontal="center" vertical="center" wrapText="1"/>
    </xf>
    <xf numFmtId="1" fontId="49" fillId="4" borderId="21" xfId="1" applyNumberFormat="1" applyFont="1" applyFill="1" applyBorder="1" applyAlignment="1">
      <alignment horizontal="center" vertical="center"/>
    </xf>
    <xf numFmtId="0" fontId="36" fillId="3" borderId="21" xfId="1" applyFont="1" applyFill="1" applyBorder="1" applyAlignment="1">
      <alignment horizontal="center" vertical="center" wrapText="1"/>
    </xf>
    <xf numFmtId="0" fontId="36" fillId="3" borderId="104" xfId="1" applyFont="1" applyFill="1" applyBorder="1" applyAlignment="1">
      <alignment horizontal="center" vertical="center" wrapText="1"/>
    </xf>
    <xf numFmtId="0" fontId="53" fillId="6" borderId="25" xfId="1" applyFont="1" applyFill="1" applyBorder="1" applyAlignment="1">
      <alignment horizontal="center" vertical="center"/>
    </xf>
    <xf numFmtId="0" fontId="53" fillId="6" borderId="76" xfId="1" applyFont="1" applyFill="1" applyBorder="1" applyAlignment="1">
      <alignment horizontal="center" vertical="center"/>
    </xf>
    <xf numFmtId="0" fontId="36" fillId="3" borderId="14" xfId="1" applyFont="1" applyFill="1" applyBorder="1" applyAlignment="1">
      <alignment horizontal="center" vertical="center" wrapText="1"/>
    </xf>
    <xf numFmtId="0" fontId="36" fillId="3" borderId="16" xfId="1" applyFont="1" applyFill="1" applyBorder="1" applyAlignment="1">
      <alignment horizontal="center" vertical="center" wrapText="1"/>
    </xf>
    <xf numFmtId="0" fontId="53" fillId="9" borderId="25" xfId="1" applyFont="1" applyFill="1" applyBorder="1" applyAlignment="1">
      <alignment horizontal="center" vertical="center" textRotation="90" wrapText="1"/>
    </xf>
    <xf numFmtId="0" fontId="53" fillId="9" borderId="76" xfId="1" applyFont="1" applyFill="1" applyBorder="1" applyAlignment="1">
      <alignment horizontal="center" vertical="center" textRotation="90" wrapText="1"/>
    </xf>
    <xf numFmtId="0" fontId="53" fillId="9" borderId="106" xfId="1" applyFont="1" applyFill="1" applyBorder="1" applyAlignment="1">
      <alignment horizontal="center" vertical="center" textRotation="90" wrapText="1"/>
    </xf>
    <xf numFmtId="166" fontId="53" fillId="9" borderId="2" xfId="1" quotePrefix="1" applyNumberFormat="1" applyFont="1" applyFill="1" applyBorder="1" applyAlignment="1">
      <alignment horizontal="center" vertical="center" textRotation="90"/>
    </xf>
    <xf numFmtId="166" fontId="53" fillId="9" borderId="2" xfId="1" applyNumberFormat="1" applyFont="1" applyFill="1" applyBorder="1" applyAlignment="1">
      <alignment horizontal="center" vertical="center" textRotation="90"/>
    </xf>
    <xf numFmtId="2" fontId="65" fillId="5" borderId="2" xfId="1" applyNumberFormat="1" applyFont="1" applyFill="1" applyBorder="1" applyAlignment="1">
      <alignment horizontal="left" vertical="center"/>
    </xf>
    <xf numFmtId="2" fontId="65" fillId="5" borderId="24" xfId="1" applyNumberFormat="1" applyFont="1" applyFill="1" applyBorder="1" applyAlignment="1">
      <alignment horizontal="left" vertical="center"/>
    </xf>
    <xf numFmtId="1" fontId="53" fillId="9" borderId="2" xfId="1" applyNumberFormat="1" applyFont="1" applyFill="1" applyBorder="1" applyAlignment="1">
      <alignment horizontal="center" vertical="center"/>
    </xf>
    <xf numFmtId="0" fontId="53" fillId="3" borderId="25" xfId="1" applyFont="1" applyFill="1" applyBorder="1" applyAlignment="1">
      <alignment horizontal="center" vertical="center"/>
    </xf>
    <xf numFmtId="0" fontId="53" fillId="3" borderId="76" xfId="1" applyFont="1" applyFill="1" applyBorder="1" applyAlignment="1">
      <alignment horizontal="center" vertical="center"/>
    </xf>
    <xf numFmtId="0" fontId="36" fillId="3" borderId="30" xfId="1" applyFont="1" applyFill="1" applyBorder="1" applyAlignment="1">
      <alignment horizontal="center" vertical="center" wrapText="1"/>
    </xf>
    <xf numFmtId="0" fontId="36" fillId="3" borderId="67" xfId="1" applyFont="1" applyFill="1" applyBorder="1" applyAlignment="1">
      <alignment horizontal="center" vertical="center" wrapText="1"/>
    </xf>
    <xf numFmtId="0" fontId="36" fillId="3" borderId="26" xfId="1" applyFont="1" applyFill="1" applyBorder="1" applyAlignment="1">
      <alignment horizontal="center" vertical="center" wrapText="1"/>
    </xf>
    <xf numFmtId="0" fontId="36" fillId="3" borderId="64" xfId="1" applyFont="1" applyFill="1" applyBorder="1" applyAlignment="1">
      <alignment horizontal="center" vertical="center" wrapText="1"/>
    </xf>
    <xf numFmtId="0" fontId="48" fillId="6" borderId="25" xfId="1" applyFont="1" applyFill="1" applyBorder="1" applyAlignment="1">
      <alignment horizontal="center" vertical="center" wrapText="1"/>
    </xf>
    <xf numFmtId="0" fontId="48" fillId="6" borderId="76" xfId="1" applyFont="1" applyFill="1" applyBorder="1" applyAlignment="1">
      <alignment horizontal="center" vertical="center" wrapText="1"/>
    </xf>
    <xf numFmtId="0" fontId="36" fillId="5" borderId="2" xfId="1" applyFont="1" applyFill="1" applyBorder="1" applyAlignment="1">
      <alignment horizontal="center" vertical="center" wrapText="1"/>
    </xf>
    <xf numFmtId="0" fontId="36" fillId="5" borderId="24" xfId="1" applyFont="1" applyFill="1" applyBorder="1" applyAlignment="1">
      <alignment horizontal="center" vertical="center" wrapText="1"/>
    </xf>
    <xf numFmtId="0" fontId="48" fillId="3" borderId="25" xfId="1" applyFont="1" applyFill="1" applyBorder="1" applyAlignment="1">
      <alignment horizontal="center" vertical="center" wrapText="1"/>
    </xf>
    <xf numFmtId="0" fontId="48" fillId="3" borderId="76" xfId="1" applyFont="1" applyFill="1" applyBorder="1" applyAlignment="1">
      <alignment horizontal="center" vertical="center" wrapText="1"/>
    </xf>
    <xf numFmtId="0" fontId="48" fillId="6" borderId="29" xfId="1" applyFont="1" applyFill="1" applyBorder="1" applyAlignment="1">
      <alignment horizontal="center" vertical="center" wrapText="1"/>
    </xf>
    <xf numFmtId="0" fontId="53" fillId="6" borderId="25" xfId="1" applyFont="1" applyFill="1" applyBorder="1" applyAlignment="1">
      <alignment horizontal="left" vertical="center"/>
    </xf>
    <xf numFmtId="0" fontId="53" fillId="6" borderId="76" xfId="1" applyFont="1" applyFill="1" applyBorder="1" applyAlignment="1">
      <alignment horizontal="left" vertical="center"/>
    </xf>
    <xf numFmtId="0" fontId="53" fillId="6" borderId="29" xfId="1" applyFont="1" applyFill="1" applyBorder="1" applyAlignment="1">
      <alignment horizontal="left" vertical="center"/>
    </xf>
    <xf numFmtId="0" fontId="53" fillId="3" borderId="25" xfId="1" applyFont="1" applyFill="1" applyBorder="1" applyAlignment="1">
      <alignment horizontal="left" vertical="center"/>
    </xf>
    <xf numFmtId="0" fontId="53" fillId="3" borderId="76" xfId="1" applyFont="1" applyFill="1" applyBorder="1" applyAlignment="1">
      <alignment horizontal="left" vertical="center"/>
    </xf>
    <xf numFmtId="0" fontId="53" fillId="3" borderId="29" xfId="1" applyFont="1" applyFill="1" applyBorder="1" applyAlignment="1">
      <alignment horizontal="left" vertical="center"/>
    </xf>
    <xf numFmtId="0" fontId="53" fillId="9" borderId="25" xfId="1" applyFont="1" applyFill="1" applyBorder="1" applyAlignment="1">
      <alignment horizontal="center" vertical="center"/>
    </xf>
    <xf numFmtId="0" fontId="53" fillId="9" borderId="29" xfId="1" applyFont="1" applyFill="1" applyBorder="1" applyAlignment="1">
      <alignment horizontal="center" vertical="center"/>
    </xf>
    <xf numFmtId="0" fontId="53" fillId="9" borderId="15" xfId="1" applyFont="1" applyFill="1" applyBorder="1" applyAlignment="1">
      <alignment horizontal="center" vertical="center"/>
    </xf>
    <xf numFmtId="0" fontId="53" fillId="0" borderId="2" xfId="1" applyFont="1" applyBorder="1" applyAlignment="1">
      <alignment horizontal="center" vertical="center" wrapText="1"/>
    </xf>
    <xf numFmtId="0" fontId="53" fillId="0" borderId="24" xfId="1" applyFont="1" applyBorder="1" applyAlignment="1">
      <alignment horizontal="center" vertical="center" wrapText="1"/>
    </xf>
    <xf numFmtId="0" fontId="53" fillId="3" borderId="15" xfId="1" applyFont="1" applyFill="1" applyBorder="1" applyAlignment="1">
      <alignment horizontal="center" vertical="center"/>
    </xf>
    <xf numFmtId="0" fontId="53" fillId="0" borderId="25" xfId="1" applyFont="1" applyBorder="1" applyAlignment="1">
      <alignment horizontal="left" vertical="center"/>
    </xf>
    <xf numFmtId="0" fontId="53" fillId="0" borderId="76" xfId="1" applyFont="1" applyBorder="1" applyAlignment="1">
      <alignment horizontal="left" vertical="center"/>
    </xf>
    <xf numFmtId="0" fontId="53" fillId="0" borderId="29" xfId="1" applyFont="1" applyBorder="1" applyAlignment="1">
      <alignment horizontal="left" vertical="center"/>
    </xf>
    <xf numFmtId="0" fontId="49" fillId="3" borderId="2" xfId="1" applyFont="1" applyFill="1" applyBorder="1" applyAlignment="1">
      <alignment horizontal="center" vertical="center"/>
    </xf>
    <xf numFmtId="0" fontId="49" fillId="3" borderId="24" xfId="1" applyFont="1" applyFill="1" applyBorder="1" applyAlignment="1">
      <alignment horizontal="center" vertical="center"/>
    </xf>
    <xf numFmtId="0" fontId="53" fillId="3" borderId="2" xfId="1" applyFont="1" applyFill="1" applyBorder="1" applyAlignment="1">
      <alignment horizontal="center" vertical="center"/>
    </xf>
    <xf numFmtId="0" fontId="53" fillId="3" borderId="24" xfId="1" applyFont="1" applyFill="1" applyBorder="1" applyAlignment="1">
      <alignment horizontal="center" vertical="center"/>
    </xf>
    <xf numFmtId="0" fontId="64" fillId="3" borderId="2" xfId="1" applyFont="1" applyFill="1" applyBorder="1" applyAlignment="1">
      <alignment horizontal="center" vertical="center"/>
    </xf>
    <xf numFmtId="0" fontId="64" fillId="3" borderId="24" xfId="1" applyFont="1" applyFill="1" applyBorder="1" applyAlignment="1">
      <alignment horizontal="center" vertical="center"/>
    </xf>
    <xf numFmtId="0" fontId="17" fillId="5" borderId="77" xfId="1" applyFont="1" applyFill="1" applyBorder="1" applyAlignment="1">
      <alignment horizontal="center" vertical="center" wrapText="1"/>
    </xf>
    <xf numFmtId="0" fontId="17" fillId="5" borderId="78" xfId="1" applyFont="1" applyFill="1" applyBorder="1" applyAlignment="1">
      <alignment horizontal="center" vertical="center" wrapText="1"/>
    </xf>
    <xf numFmtId="0" fontId="17" fillId="5" borderId="79" xfId="1" applyFont="1" applyFill="1" applyBorder="1" applyAlignment="1">
      <alignment horizontal="center" vertical="center" wrapText="1"/>
    </xf>
    <xf numFmtId="0" fontId="17" fillId="5" borderId="80" xfId="1" applyFont="1" applyFill="1" applyBorder="1" applyAlignment="1">
      <alignment horizontal="center" vertical="center" wrapText="1"/>
    </xf>
    <xf numFmtId="0" fontId="31" fillId="4" borderId="100" xfId="1" applyFont="1" applyFill="1" applyBorder="1" applyAlignment="1">
      <alignment horizontal="center" vertical="center" wrapText="1"/>
    </xf>
    <xf numFmtId="0" fontId="31" fillId="4" borderId="101" xfId="1" applyFont="1" applyFill="1" applyBorder="1" applyAlignment="1">
      <alignment horizontal="center" vertical="center" wrapText="1"/>
    </xf>
    <xf numFmtId="0" fontId="30" fillId="10" borderId="0" xfId="1" applyFont="1" applyFill="1" applyAlignment="1">
      <alignment horizontal="center" vertical="center" wrapText="1"/>
    </xf>
    <xf numFmtId="0" fontId="49" fillId="4" borderId="2" xfId="1" applyFont="1" applyFill="1" applyBorder="1" applyAlignment="1">
      <alignment horizontal="center" vertical="center"/>
    </xf>
    <xf numFmtId="0" fontId="49" fillId="4" borderId="24" xfId="1" applyFont="1" applyFill="1" applyBorder="1" applyAlignment="1">
      <alignment horizontal="center" vertical="center"/>
    </xf>
    <xf numFmtId="0" fontId="53" fillId="0" borderId="2" xfId="1" applyFont="1" applyBorder="1" applyAlignment="1">
      <alignment horizontal="center" vertical="center"/>
    </xf>
    <xf numFmtId="0" fontId="53" fillId="0" borderId="24" xfId="1" applyFont="1" applyBorder="1" applyAlignment="1">
      <alignment horizontal="center" vertical="center"/>
    </xf>
    <xf numFmtId="0" fontId="64" fillId="12" borderId="2" xfId="1" applyFont="1" applyFill="1" applyBorder="1" applyAlignment="1">
      <alignment horizontal="center" vertical="center"/>
    </xf>
    <xf numFmtId="0" fontId="64" fillId="12" borderId="24" xfId="1" applyFont="1" applyFill="1" applyBorder="1" applyAlignment="1">
      <alignment horizontal="center" vertical="center"/>
    </xf>
    <xf numFmtId="0" fontId="53" fillId="6" borderId="14" xfId="1" applyFont="1" applyFill="1" applyBorder="1" applyAlignment="1">
      <alignment horizontal="center" vertical="center"/>
    </xf>
    <xf numFmtId="0" fontId="53" fillId="6" borderId="65" xfId="1" applyFont="1" applyFill="1" applyBorder="1" applyAlignment="1">
      <alignment horizontal="center" vertical="center"/>
    </xf>
    <xf numFmtId="0" fontId="53" fillId="6" borderId="36" xfId="1" applyFont="1" applyFill="1" applyBorder="1" applyAlignment="1">
      <alignment horizontal="left" vertical="center"/>
    </xf>
    <xf numFmtId="0" fontId="65" fillId="12" borderId="30" xfId="1" applyFont="1" applyFill="1" applyBorder="1" applyAlignment="1">
      <alignment horizontal="left" vertical="center"/>
    </xf>
    <xf numFmtId="0" fontId="36" fillId="12" borderId="30" xfId="1" applyFont="1" applyFill="1" applyBorder="1" applyAlignment="1">
      <alignment horizontal="center" vertical="center" wrapText="1"/>
    </xf>
    <xf numFmtId="0" fontId="36" fillId="12" borderId="67" xfId="1" applyFont="1" applyFill="1" applyBorder="1" applyAlignment="1">
      <alignment horizontal="center" vertical="center" wrapText="1"/>
    </xf>
    <xf numFmtId="1" fontId="48" fillId="6" borderId="95" xfId="1" applyNumberFormat="1" applyFont="1" applyFill="1" applyBorder="1" applyAlignment="1">
      <alignment horizontal="center" vertical="center" textRotation="90" wrapText="1"/>
    </xf>
    <xf numFmtId="1" fontId="48" fillId="6" borderId="96" xfId="1" applyNumberFormat="1" applyFont="1" applyFill="1" applyBorder="1" applyAlignment="1">
      <alignment horizontal="center" vertical="center" textRotation="90" wrapText="1"/>
    </xf>
    <xf numFmtId="1" fontId="48" fillId="6" borderId="97" xfId="1" applyNumberFormat="1" applyFont="1" applyFill="1" applyBorder="1" applyAlignment="1">
      <alignment horizontal="center" vertical="center" textRotation="90" wrapText="1"/>
    </xf>
    <xf numFmtId="0" fontId="53" fillId="6" borderId="82" xfId="1" applyFont="1" applyFill="1" applyBorder="1" applyAlignment="1">
      <alignment horizontal="center" vertical="center"/>
    </xf>
    <xf numFmtId="0" fontId="53" fillId="6" borderId="98" xfId="1" applyFont="1" applyFill="1" applyBorder="1" applyAlignment="1">
      <alignment horizontal="center" vertical="center"/>
    </xf>
    <xf numFmtId="0" fontId="53" fillId="6" borderId="99" xfId="1" applyFont="1" applyFill="1" applyBorder="1" applyAlignment="1">
      <alignment horizontal="center" vertical="center"/>
    </xf>
    <xf numFmtId="0" fontId="53" fillId="6" borderId="107" xfId="1" applyFont="1" applyFill="1" applyBorder="1" applyAlignment="1">
      <alignment horizontal="center" vertical="center"/>
    </xf>
    <xf numFmtId="0" fontId="53" fillId="6" borderId="35" xfId="1" applyFont="1" applyFill="1" applyBorder="1" applyAlignment="1">
      <alignment horizontal="center" vertical="center"/>
    </xf>
    <xf numFmtId="0" fontId="13" fillId="0" borderId="0" xfId="1" applyFont="1" applyAlignment="1">
      <alignment horizontal="center" vertical="center" wrapText="1"/>
    </xf>
    <xf numFmtId="0" fontId="56" fillId="3" borderId="14" xfId="1" applyFont="1" applyFill="1" applyBorder="1" applyAlignment="1">
      <alignment horizontal="center" vertical="center" wrapText="1"/>
    </xf>
    <xf numFmtId="0" fontId="56" fillId="3" borderId="16" xfId="1" applyFont="1" applyFill="1" applyBorder="1" applyAlignment="1">
      <alignment horizontal="center" vertical="center" wrapText="1"/>
    </xf>
    <xf numFmtId="0" fontId="62" fillId="16" borderId="14" xfId="1" applyFont="1" applyFill="1" applyBorder="1" applyAlignment="1">
      <alignment horizontal="center" vertical="center" wrapText="1"/>
    </xf>
    <xf numFmtId="0" fontId="62" fillId="16" borderId="65" xfId="1" applyFont="1" applyFill="1" applyBorder="1" applyAlignment="1">
      <alignment horizontal="center" vertical="center" wrapText="1"/>
    </xf>
    <xf numFmtId="1" fontId="53" fillId="13" borderId="81" xfId="1" applyNumberFormat="1" applyFont="1" applyFill="1" applyBorder="1" applyAlignment="1">
      <alignment horizontal="center" vertical="center" wrapText="1"/>
    </xf>
    <xf numFmtId="1" fontId="53" fillId="13" borderId="0" xfId="1" applyNumberFormat="1" applyFont="1" applyFill="1" applyAlignment="1">
      <alignment horizontal="center" vertical="center" wrapText="1"/>
    </xf>
    <xf numFmtId="1" fontId="36" fillId="13" borderId="14" xfId="1" applyNumberFormat="1" applyFont="1" applyFill="1" applyBorder="1" applyAlignment="1">
      <alignment horizontal="center" vertical="center"/>
    </xf>
    <xf numFmtId="1" fontId="36" fillId="13" borderId="65" xfId="1" applyNumberFormat="1" applyFont="1" applyFill="1" applyBorder="1" applyAlignment="1">
      <alignment horizontal="center" vertical="center"/>
    </xf>
    <xf numFmtId="1" fontId="36" fillId="13" borderId="68" xfId="1" applyNumberFormat="1" applyFont="1" applyFill="1" applyBorder="1" applyAlignment="1">
      <alignment horizontal="center" vertical="center"/>
    </xf>
    <xf numFmtId="0" fontId="56" fillId="4" borderId="65" xfId="1" applyFont="1" applyFill="1" applyBorder="1" applyAlignment="1">
      <alignment horizontal="center" vertical="center" wrapText="1"/>
    </xf>
    <xf numFmtId="0" fontId="56" fillId="4" borderId="16" xfId="1" applyFont="1" applyFill="1" applyBorder="1" applyAlignment="1">
      <alignment horizontal="center" vertical="center" wrapText="1"/>
    </xf>
    <xf numFmtId="1" fontId="36" fillId="13" borderId="53" xfId="1" applyNumberFormat="1" applyFont="1" applyFill="1" applyBorder="1" applyAlignment="1">
      <alignment horizontal="center" vertical="center"/>
    </xf>
    <xf numFmtId="1" fontId="36" fillId="13" borderId="0" xfId="1" applyNumberFormat="1" applyFont="1" applyFill="1" applyAlignment="1">
      <alignment horizontal="center" vertical="center"/>
    </xf>
    <xf numFmtId="1" fontId="36" fillId="13" borderId="54" xfId="1" applyNumberFormat="1" applyFont="1" applyFill="1" applyBorder="1" applyAlignment="1">
      <alignment horizontal="center" vertical="center"/>
    </xf>
    <xf numFmtId="0" fontId="37" fillId="5" borderId="14" xfId="1" applyFont="1" applyFill="1" applyBorder="1" applyAlignment="1">
      <alignment horizontal="center" vertical="center" wrapText="1"/>
    </xf>
    <xf numFmtId="0" fontId="37" fillId="5" borderId="16" xfId="1" applyFont="1" applyFill="1" applyBorder="1" applyAlignment="1">
      <alignment horizontal="center" vertical="center" wrapText="1"/>
    </xf>
    <xf numFmtId="0" fontId="53" fillId="8" borderId="14" xfId="1" applyFont="1" applyFill="1" applyBorder="1" applyAlignment="1">
      <alignment horizontal="center" vertical="center" wrapText="1"/>
    </xf>
    <xf numFmtId="0" fontId="53" fillId="8" borderId="16" xfId="1" applyFont="1" applyFill="1" applyBorder="1" applyAlignment="1">
      <alignment horizontal="center" vertical="center" wrapText="1"/>
    </xf>
    <xf numFmtId="0" fontId="56" fillId="4" borderId="14" xfId="1" applyFont="1" applyFill="1" applyBorder="1" applyAlignment="1">
      <alignment horizontal="center" vertical="center" wrapText="1"/>
    </xf>
    <xf numFmtId="0" fontId="53" fillId="3" borderId="14" xfId="1" applyFont="1" applyFill="1" applyBorder="1" applyAlignment="1">
      <alignment horizontal="center" vertical="center" wrapText="1"/>
    </xf>
    <xf numFmtId="0" fontId="53" fillId="3" borderId="16" xfId="1" applyFont="1" applyFill="1" applyBorder="1" applyAlignment="1">
      <alignment horizontal="center" vertical="center" wrapText="1"/>
    </xf>
    <xf numFmtId="0" fontId="53" fillId="0" borderId="14" xfId="1" applyFont="1" applyBorder="1" applyAlignment="1">
      <alignment horizontal="center" vertical="center" wrapText="1"/>
    </xf>
    <xf numFmtId="0" fontId="53" fillId="0" borderId="16" xfId="1" applyFont="1" applyBorder="1" applyAlignment="1">
      <alignment horizontal="center" vertical="center" wrapText="1"/>
    </xf>
    <xf numFmtId="0" fontId="61" fillId="0" borderId="14" xfId="1" applyFont="1" applyBorder="1" applyAlignment="1">
      <alignment horizontal="center" vertical="center" wrapText="1"/>
    </xf>
    <xf numFmtId="0" fontId="61" fillId="0" borderId="16" xfId="1" applyFont="1" applyBorder="1" applyAlignment="1">
      <alignment horizontal="center" vertical="center" wrapText="1"/>
    </xf>
    <xf numFmtId="0" fontId="59" fillId="3" borderId="2" xfId="1" applyFont="1" applyFill="1" applyBorder="1" applyAlignment="1">
      <alignment horizontal="center" vertical="center" wrapText="1"/>
    </xf>
    <xf numFmtId="0" fontId="59" fillId="3" borderId="24" xfId="1" applyFont="1" applyFill="1" applyBorder="1" applyAlignment="1">
      <alignment horizontal="center" vertical="center" wrapText="1"/>
    </xf>
    <xf numFmtId="0" fontId="60" fillId="3" borderId="2" xfId="1" applyFont="1" applyFill="1" applyBorder="1" applyAlignment="1">
      <alignment horizontal="center" vertical="center" wrapText="1"/>
    </xf>
    <xf numFmtId="0" fontId="60" fillId="3" borderId="24" xfId="1" applyFont="1" applyFill="1" applyBorder="1" applyAlignment="1">
      <alignment horizontal="center" vertical="center" wrapText="1"/>
    </xf>
    <xf numFmtId="0" fontId="36" fillId="0" borderId="2" xfId="1" applyFont="1" applyBorder="1" applyAlignment="1">
      <alignment horizontal="center" vertical="center" wrapText="1"/>
    </xf>
    <xf numFmtId="0" fontId="36" fillId="0" borderId="24" xfId="1" applyFont="1" applyBorder="1" applyAlignment="1">
      <alignment horizontal="center" vertical="center" wrapText="1"/>
    </xf>
    <xf numFmtId="0" fontId="59" fillId="3" borderId="14" xfId="1" applyFont="1" applyFill="1" applyBorder="1" applyAlignment="1">
      <alignment horizontal="center" vertical="center" wrapText="1"/>
    </xf>
    <xf numFmtId="0" fontId="59" fillId="3" borderId="16" xfId="1" applyFont="1" applyFill="1" applyBorder="1" applyAlignment="1">
      <alignment horizontal="center" vertical="center" wrapText="1"/>
    </xf>
    <xf numFmtId="0" fontId="37" fillId="19" borderId="2" xfId="1" applyFont="1" applyFill="1" applyBorder="1" applyAlignment="1">
      <alignment horizontal="center" vertical="center" wrapText="1"/>
    </xf>
    <xf numFmtId="0" fontId="37" fillId="19" borderId="24" xfId="1" applyFont="1" applyFill="1" applyBorder="1" applyAlignment="1">
      <alignment horizontal="center" vertical="center" wrapText="1"/>
    </xf>
    <xf numFmtId="0" fontId="38" fillId="18" borderId="14" xfId="1" applyFont="1" applyFill="1" applyBorder="1" applyAlignment="1">
      <alignment horizontal="center" vertical="center"/>
    </xf>
    <xf numFmtId="0" fontId="38" fillId="18" borderId="65" xfId="1" applyFont="1" applyFill="1" applyBorder="1" applyAlignment="1">
      <alignment horizontal="center" vertical="center"/>
    </xf>
    <xf numFmtId="166" fontId="36" fillId="3" borderId="14" xfId="1" applyNumberFormat="1" applyFont="1" applyFill="1" applyBorder="1" applyAlignment="1">
      <alignment horizontal="center" vertical="center"/>
    </xf>
    <xf numFmtId="166" fontId="36" fillId="3" borderId="68" xfId="1" applyNumberFormat="1" applyFont="1" applyFill="1" applyBorder="1" applyAlignment="1">
      <alignment horizontal="center" vertical="center"/>
    </xf>
    <xf numFmtId="0" fontId="50" fillId="0" borderId="2" xfId="1" applyFont="1" applyBorder="1" applyAlignment="1">
      <alignment horizontal="center" vertical="center" wrapText="1"/>
    </xf>
    <xf numFmtId="0" fontId="50" fillId="0" borderId="24" xfId="1" applyFont="1" applyBorder="1" applyAlignment="1">
      <alignment horizontal="center" vertical="center" wrapText="1"/>
    </xf>
    <xf numFmtId="0" fontId="51" fillId="0" borderId="14" xfId="1" applyFont="1" applyBorder="1" applyAlignment="1">
      <alignment horizontal="center" vertical="center" wrapText="1"/>
    </xf>
    <xf numFmtId="0" fontId="51" fillId="0" borderId="16" xfId="1" applyFont="1" applyBorder="1" applyAlignment="1">
      <alignment horizontal="center" vertical="center" wrapText="1"/>
    </xf>
    <xf numFmtId="0" fontId="54" fillId="0" borderId="30" xfId="1" applyFont="1" applyBorder="1" applyAlignment="1">
      <alignment horizontal="left" vertical="center" wrapText="1"/>
    </xf>
    <xf numFmtId="0" fontId="54" fillId="0" borderId="67" xfId="1" applyFont="1" applyBorder="1" applyAlignment="1">
      <alignment horizontal="left" vertical="center" wrapText="1"/>
    </xf>
    <xf numFmtId="0" fontId="48" fillId="7" borderId="88" xfId="1" applyFont="1" applyFill="1" applyBorder="1" applyAlignment="1">
      <alignment horizontal="center" vertical="center" wrapText="1"/>
    </xf>
    <xf numFmtId="0" fontId="48" fillId="7" borderId="92" xfId="1" applyFont="1" applyFill="1" applyBorder="1" applyAlignment="1">
      <alignment horizontal="center" vertical="center"/>
    </xf>
    <xf numFmtId="0" fontId="48" fillId="7" borderId="89" xfId="1" applyFont="1" applyFill="1" applyBorder="1" applyAlignment="1">
      <alignment horizontal="center" vertical="center"/>
    </xf>
    <xf numFmtId="1" fontId="53" fillId="7" borderId="82" xfId="1" applyNumberFormat="1" applyFont="1" applyFill="1" applyBorder="1" applyAlignment="1">
      <alignment horizontal="left" vertical="center"/>
    </xf>
    <xf numFmtId="1" fontId="53" fillId="7" borderId="83" xfId="1" applyNumberFormat="1" applyFont="1" applyFill="1" applyBorder="1" applyAlignment="1">
      <alignment horizontal="left" vertical="center"/>
    </xf>
    <xf numFmtId="0" fontId="53" fillId="7" borderId="27" xfId="1" applyFont="1" applyFill="1" applyBorder="1" applyAlignment="1">
      <alignment horizontal="left" vertical="center" wrapText="1"/>
    </xf>
    <xf numFmtId="0" fontId="53" fillId="7" borderId="90" xfId="1" applyFont="1" applyFill="1" applyBorder="1" applyAlignment="1">
      <alignment horizontal="left" vertical="center" wrapText="1"/>
    </xf>
    <xf numFmtId="0" fontId="53" fillId="7" borderId="2" xfId="1" applyFont="1" applyFill="1" applyBorder="1" applyAlignment="1">
      <alignment horizontal="left" vertical="center" wrapText="1"/>
    </xf>
    <xf numFmtId="0" fontId="53" fillId="7" borderId="93" xfId="1" applyFont="1" applyFill="1" applyBorder="1" applyAlignment="1">
      <alignment horizontal="left" vertical="center" wrapText="1"/>
    </xf>
    <xf numFmtId="0" fontId="53" fillId="7" borderId="28" xfId="1" applyFont="1" applyFill="1" applyBorder="1" applyAlignment="1">
      <alignment horizontal="left" vertical="center" wrapText="1"/>
    </xf>
    <xf numFmtId="0" fontId="53" fillId="7" borderId="91" xfId="1" applyFont="1" applyFill="1" applyBorder="1" applyAlignment="1">
      <alignment horizontal="left" vertical="center" wrapText="1"/>
    </xf>
    <xf numFmtId="1" fontId="49" fillId="4" borderId="14" xfId="1" applyNumberFormat="1" applyFont="1" applyFill="1" applyBorder="1" applyAlignment="1">
      <alignment horizontal="left" vertical="center"/>
    </xf>
    <xf numFmtId="1" fontId="49" fillId="4" borderId="68" xfId="1" applyNumberFormat="1" applyFont="1" applyFill="1" applyBorder="1" applyAlignment="1">
      <alignment horizontal="left" vertical="center"/>
    </xf>
    <xf numFmtId="1" fontId="53" fillId="7" borderId="41" xfId="1" applyNumberFormat="1" applyFont="1" applyFill="1" applyBorder="1" applyAlignment="1">
      <alignment horizontal="left" vertical="center"/>
    </xf>
    <xf numFmtId="1" fontId="53" fillId="7" borderId="94" xfId="1" applyNumberFormat="1" applyFont="1" applyFill="1" applyBorder="1" applyAlignment="1">
      <alignment horizontal="left" vertical="center"/>
    </xf>
    <xf numFmtId="0" fontId="48" fillId="8" borderId="84" xfId="1" applyFont="1" applyFill="1" applyBorder="1" applyAlignment="1">
      <alignment horizontal="center" vertical="center" wrapText="1"/>
    </xf>
    <xf numFmtId="0" fontId="48" fillId="8" borderId="54" xfId="1" applyFont="1" applyFill="1" applyBorder="1" applyAlignment="1">
      <alignment horizontal="center" vertical="center" wrapText="1"/>
    </xf>
    <xf numFmtId="1" fontId="53" fillId="8" borderId="82" xfId="1" applyNumberFormat="1" applyFont="1" applyFill="1" applyBorder="1" applyAlignment="1">
      <alignment horizontal="left" vertical="center"/>
    </xf>
    <xf numFmtId="1" fontId="53" fillId="8" borderId="83" xfId="1" applyNumberFormat="1" applyFont="1" applyFill="1" applyBorder="1" applyAlignment="1">
      <alignment horizontal="left" vertical="center"/>
    </xf>
    <xf numFmtId="0" fontId="53" fillId="8" borderId="85" xfId="1" applyFont="1" applyFill="1" applyBorder="1" applyAlignment="1">
      <alignment horizontal="left" vertical="center" wrapText="1"/>
    </xf>
    <xf numFmtId="0" fontId="53" fillId="8" borderId="86" xfId="1" applyFont="1" applyFill="1" applyBorder="1" applyAlignment="1">
      <alignment horizontal="left" vertical="center" wrapText="1"/>
    </xf>
    <xf numFmtId="0" fontId="53" fillId="8" borderId="53" xfId="1" applyFont="1" applyFill="1" applyBorder="1" applyAlignment="1">
      <alignment horizontal="left" vertical="center" wrapText="1"/>
    </xf>
    <xf numFmtId="0" fontId="53" fillId="8" borderId="0" xfId="1" applyFont="1" applyFill="1" applyAlignment="1">
      <alignment horizontal="left" vertical="center" wrapText="1"/>
    </xf>
    <xf numFmtId="0" fontId="53" fillId="8" borderId="87" xfId="1" applyFont="1" applyFill="1" applyBorder="1" applyAlignment="1">
      <alignment horizontal="left" vertical="center" wrapText="1"/>
    </xf>
    <xf numFmtId="0" fontId="53" fillId="8" borderId="37" xfId="1" applyFont="1" applyFill="1" applyBorder="1" applyAlignment="1">
      <alignment horizontal="left" vertical="center" wrapText="1"/>
    </xf>
    <xf numFmtId="1" fontId="53" fillId="8" borderId="14" xfId="1" applyNumberFormat="1" applyFont="1" applyFill="1" applyBorder="1" applyAlignment="1">
      <alignment horizontal="left" vertical="center"/>
    </xf>
    <xf numFmtId="1" fontId="53" fillId="8" borderId="68" xfId="1" applyNumberFormat="1" applyFont="1" applyFill="1" applyBorder="1" applyAlignment="1">
      <alignment horizontal="left" vertical="center"/>
    </xf>
    <xf numFmtId="180" fontId="42" fillId="0" borderId="0" xfId="1" applyNumberFormat="1" applyFont="1" applyAlignment="1">
      <alignment horizontal="left" vertical="center"/>
    </xf>
    <xf numFmtId="1" fontId="47" fillId="0" borderId="2" xfId="1" applyNumberFormat="1" applyFont="1" applyBorder="1" applyAlignment="1">
      <alignment horizontal="center" vertical="center"/>
    </xf>
    <xf numFmtId="0" fontId="47" fillId="0" borderId="2" xfId="1" applyFont="1" applyBorder="1" applyAlignment="1">
      <alignment horizontal="center" vertical="center" wrapText="1"/>
    </xf>
    <xf numFmtId="0" fontId="47" fillId="0" borderId="24" xfId="1" applyFont="1" applyBorder="1" applyAlignment="1">
      <alignment horizontal="center" vertical="center" wrapText="1"/>
    </xf>
    <xf numFmtId="0" fontId="47" fillId="0" borderId="26" xfId="1" applyFont="1" applyBorder="1" applyAlignment="1">
      <alignment horizontal="center" vertical="center" wrapText="1"/>
    </xf>
    <xf numFmtId="0" fontId="47" fillId="0" borderId="64" xfId="1" applyFont="1" applyBorder="1" applyAlignment="1">
      <alignment horizontal="center" vertical="center" wrapText="1"/>
    </xf>
    <xf numFmtId="0" fontId="48" fillId="8" borderId="88" xfId="1" applyFont="1" applyFill="1" applyBorder="1" applyAlignment="1">
      <alignment horizontal="center" vertical="center" wrapText="1"/>
    </xf>
    <xf numFmtId="0" fontId="48" fillId="8" borderId="89" xfId="1" applyFont="1" applyFill="1" applyBorder="1" applyAlignment="1">
      <alignment horizontal="center" vertical="center" wrapText="1"/>
    </xf>
    <xf numFmtId="1" fontId="49" fillId="4" borderId="82" xfId="1" applyNumberFormat="1" applyFont="1" applyFill="1" applyBorder="1" applyAlignment="1">
      <alignment horizontal="left" vertical="center"/>
    </xf>
    <xf numFmtId="1" fontId="49" fillId="4" borderId="83" xfId="1" applyNumberFormat="1" applyFont="1" applyFill="1" applyBorder="1" applyAlignment="1">
      <alignment horizontal="left" vertical="center"/>
    </xf>
    <xf numFmtId="0" fontId="52" fillId="8" borderId="27" xfId="1" applyFont="1" applyFill="1" applyBorder="1" applyAlignment="1">
      <alignment horizontal="left" vertical="center" wrapText="1"/>
    </xf>
    <xf numFmtId="0" fontId="52" fillId="8" borderId="90" xfId="1" applyFont="1" applyFill="1" applyBorder="1" applyAlignment="1">
      <alignment horizontal="left" vertical="center" wrapText="1"/>
    </xf>
    <xf numFmtId="0" fontId="52" fillId="8" borderId="28" xfId="1" applyFont="1" applyFill="1" applyBorder="1" applyAlignment="1">
      <alignment horizontal="left" vertical="center" wrapText="1"/>
    </xf>
    <xf numFmtId="0" fontId="52" fillId="8" borderId="91" xfId="1" applyFont="1" applyFill="1" applyBorder="1" applyAlignment="1">
      <alignment horizontal="left" vertical="center" wrapText="1"/>
    </xf>
    <xf numFmtId="0" fontId="53" fillId="8" borderId="41" xfId="1" applyFont="1" applyFill="1" applyBorder="1" applyAlignment="1" applyProtection="1">
      <alignment horizontal="left" vertical="center"/>
      <protection locked="0"/>
    </xf>
    <xf numFmtId="0" fontId="53" fillId="8" borderId="94" xfId="1" applyFont="1" applyFill="1" applyBorder="1" applyAlignment="1" applyProtection="1">
      <alignment horizontal="left" vertical="center"/>
      <protection locked="0"/>
    </xf>
    <xf numFmtId="0" fontId="32" fillId="5" borderId="108" xfId="0" applyFont="1" applyFill="1" applyBorder="1" applyAlignment="1">
      <alignment horizontal="center" vertical="center" wrapText="1"/>
    </xf>
    <xf numFmtId="0" fontId="32" fillId="5" borderId="86" xfId="0" applyFont="1" applyFill="1" applyBorder="1" applyAlignment="1">
      <alignment horizontal="center" vertical="center" wrapText="1"/>
    </xf>
    <xf numFmtId="0" fontId="32" fillId="5" borderId="109" xfId="0" applyFont="1" applyFill="1" applyBorder="1" applyAlignment="1">
      <alignment horizontal="center" vertical="center" wrapText="1"/>
    </xf>
    <xf numFmtId="0" fontId="32" fillId="5" borderId="110" xfId="0" applyFont="1" applyFill="1" applyBorder="1" applyAlignment="1">
      <alignment horizontal="center" vertical="center" wrapText="1"/>
    </xf>
    <xf numFmtId="0" fontId="32" fillId="5" borderId="0" xfId="0" applyFont="1" applyFill="1" applyAlignment="1">
      <alignment horizontal="center" vertical="center" wrapText="1"/>
    </xf>
    <xf numFmtId="0" fontId="32" fillId="5" borderId="61" xfId="0" applyFont="1" applyFill="1" applyBorder="1" applyAlignment="1">
      <alignment horizontal="center" vertical="center" wrapText="1"/>
    </xf>
    <xf numFmtId="0" fontId="33" fillId="5" borderId="108" xfId="0" applyFont="1" applyFill="1" applyBorder="1" applyAlignment="1">
      <alignment horizontal="center" vertical="center"/>
    </xf>
    <xf numFmtId="0" fontId="33" fillId="5" borderId="86" xfId="0" applyFont="1" applyFill="1" applyBorder="1" applyAlignment="1">
      <alignment horizontal="center" vertical="center"/>
    </xf>
    <xf numFmtId="0" fontId="33" fillId="5" borderId="109" xfId="0" applyFont="1" applyFill="1" applyBorder="1" applyAlignment="1">
      <alignment horizontal="center" vertical="center"/>
    </xf>
    <xf numFmtId="0" fontId="33" fillId="5" borderId="110" xfId="0" applyFont="1" applyFill="1" applyBorder="1" applyAlignment="1">
      <alignment horizontal="center" vertical="center"/>
    </xf>
    <xf numFmtId="0" fontId="33" fillId="5" borderId="0" xfId="0" applyFont="1" applyFill="1" applyAlignment="1">
      <alignment horizontal="center" vertical="center"/>
    </xf>
    <xf numFmtId="0" fontId="33" fillId="5" borderId="61" xfId="0" applyFont="1" applyFill="1" applyBorder="1" applyAlignment="1">
      <alignment horizontal="center" vertical="center"/>
    </xf>
    <xf numFmtId="176" fontId="24" fillId="2" borderId="111" xfId="0" applyNumberFormat="1" applyFont="1" applyFill="1" applyBorder="1" applyAlignment="1">
      <alignment horizontal="center" vertical="center"/>
    </xf>
    <xf numFmtId="176" fontId="24" fillId="2" borderId="112" xfId="0" applyNumberFormat="1" applyFont="1" applyFill="1" applyBorder="1" applyAlignment="1">
      <alignment horizontal="center" vertical="center"/>
    </xf>
    <xf numFmtId="0" fontId="34" fillId="2" borderId="108" xfId="0" applyFont="1" applyFill="1" applyBorder="1" applyAlignment="1">
      <alignment horizontal="center" vertical="center"/>
    </xf>
    <xf numFmtId="0" fontId="34" fillId="2" borderId="86" xfId="0" applyFont="1" applyFill="1" applyBorder="1" applyAlignment="1">
      <alignment horizontal="center" vertical="center"/>
    </xf>
    <xf numFmtId="0" fontId="34" fillId="2" borderId="109" xfId="0" applyFont="1" applyFill="1" applyBorder="1" applyAlignment="1">
      <alignment horizontal="center" vertical="center"/>
    </xf>
    <xf numFmtId="0" fontId="34" fillId="2" borderId="113" xfId="0" applyFont="1" applyFill="1" applyBorder="1" applyAlignment="1">
      <alignment horizontal="center" vertical="center"/>
    </xf>
    <xf numFmtId="0" fontId="34" fillId="2" borderId="37" xfId="0" applyFont="1" applyFill="1" applyBorder="1" applyAlignment="1">
      <alignment horizontal="center" vertical="center"/>
    </xf>
    <xf numFmtId="0" fontId="34" fillId="2" borderId="114" xfId="0" applyFont="1" applyFill="1" applyBorder="1" applyAlignment="1">
      <alignment horizontal="center" vertical="center"/>
    </xf>
    <xf numFmtId="176" fontId="35" fillId="2" borderId="108" xfId="0" applyNumberFormat="1" applyFont="1" applyFill="1" applyBorder="1" applyAlignment="1">
      <alignment horizontal="center" vertical="center"/>
    </xf>
    <xf numFmtId="176" fontId="35" fillId="2" borderId="86" xfId="0" applyNumberFormat="1" applyFont="1" applyFill="1" applyBorder="1" applyAlignment="1">
      <alignment horizontal="center" vertical="center"/>
    </xf>
    <xf numFmtId="176" fontId="35" fillId="2" borderId="109" xfId="0" applyNumberFormat="1" applyFont="1" applyFill="1" applyBorder="1" applyAlignment="1">
      <alignment horizontal="center" vertical="center"/>
    </xf>
    <xf numFmtId="176" fontId="35" fillId="2" borderId="113" xfId="0" applyNumberFormat="1" applyFont="1" applyFill="1" applyBorder="1" applyAlignment="1">
      <alignment horizontal="center" vertical="center"/>
    </xf>
    <xf numFmtId="176" fontId="35" fillId="2" borderId="37" xfId="0" applyNumberFormat="1" applyFont="1" applyFill="1" applyBorder="1" applyAlignment="1">
      <alignment horizontal="center" vertical="center"/>
    </xf>
    <xf numFmtId="176" fontId="35" fillId="2" borderId="114" xfId="0" applyNumberFormat="1" applyFont="1" applyFill="1" applyBorder="1" applyAlignment="1">
      <alignment horizontal="center" vertical="center"/>
    </xf>
    <xf numFmtId="176" fontId="24" fillId="2" borderId="115" xfId="0" applyNumberFormat="1" applyFont="1" applyFill="1" applyBorder="1" applyAlignment="1">
      <alignment horizontal="center" vertical="center"/>
    </xf>
  </cellXfs>
  <cellStyles count="2">
    <cellStyle name="Normal 3" xfId="1" xr:uid="{8D6AD2DD-2C2B-4B12-9B52-D65C33087AD7}"/>
    <cellStyle name="Обычный" xfId="0" builtinId="0"/>
  </cellStyles>
  <dxfs count="1">
    <dxf>
      <fill>
        <patternFill>
          <bgColor rgb="FFFFC0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47625</xdr:rowOff>
    </xdr:from>
    <xdr:ext cx="1209675" cy="744855"/>
    <xdr:pic>
      <xdr:nvPicPr>
        <xdr:cNvPr id="2" name="Picture 17">
          <a:extLst>
            <a:ext uri="{FF2B5EF4-FFF2-40B4-BE49-F238E27FC236}">
              <a16:creationId xmlns:a16="http://schemas.microsoft.com/office/drawing/2014/main" id="{E80CD0F6-B57E-4B03-B73F-CE31736AD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" y="85725"/>
          <a:ext cx="1209675" cy="744855"/>
        </a:xfrm>
        <a:prstGeom prst="rect">
          <a:avLst/>
        </a:prstGeom>
      </xdr:spPr>
    </xdr:pic>
    <xdr:clientData/>
  </xdr:oneCellAnchor>
  <xdr:twoCellAnchor>
    <xdr:from>
      <xdr:col>1</xdr:col>
      <xdr:colOff>180975</xdr:colOff>
      <xdr:row>5</xdr:row>
      <xdr:rowOff>142875</xdr:rowOff>
    </xdr:from>
    <xdr:to>
      <xdr:col>2</xdr:col>
      <xdr:colOff>247650</xdr:colOff>
      <xdr:row>12</xdr:row>
      <xdr:rowOff>104775</xdr:rowOff>
    </xdr:to>
    <xdr:pic>
      <xdr:nvPicPr>
        <xdr:cNvPr id="3" name="Picture 23">
          <a:extLst>
            <a:ext uri="{FF2B5EF4-FFF2-40B4-BE49-F238E27FC236}">
              <a16:creationId xmlns:a16="http://schemas.microsoft.com/office/drawing/2014/main" id="{ED66D72D-EC8E-4365-A56F-448E41D93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935" y="859155"/>
          <a:ext cx="1019175" cy="11353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UNDA_PDC\Users\My%20Documents\Maxus\Cmt.cal.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perationsPC8\Desktop\LOVANDA\OP-00566%20-%20Lovanda%20-%2022-02\Job%20Reports\Job%20Report\OP-00566%20-%20Lovanda%20-%20NFQ22-02%20-%20Job%20Report.xlsm" TargetMode="External"/><Relationship Id="rId1" Type="http://schemas.openxmlformats.org/officeDocument/2006/relationships/externalLinkPath" Target="file:///C:\Users\OperationsPC8\Desktop\LOVANDA\OP-00566%20-%20Lovanda%20-%2022-02\Job%20Reports\Job%20Report\OP-00566%20-%20Lovanda%20-%20NFQ22-02%20-%20Job%20Report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ristian%20Hinrichsen\Desktop\Eplug\New%20Field%20History%20E%20Plug.xlsx" TargetMode="External"/><Relationship Id="rId1" Type="http://schemas.openxmlformats.org/officeDocument/2006/relationships/externalLinkPath" Target="https://eplug.landax.no/Users/Christian%20Hinrichsen/Desktop/Eplug/New%20Field%20History%20E%20Plu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h.A"/>
      <sheetName val="Well-20"/>
      <sheetName val="Well-13"/>
      <sheetName val="Well-9"/>
      <sheetName val="Well-7"/>
      <sheetName val="Perf.Sque."/>
      <sheetName val="Plug-1"/>
      <sheetName val="Plug-2"/>
      <sheetName val="Plug-3"/>
      <sheetName val="ChemCost-Lab"/>
      <sheetName val="ChemCost -b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Job Information"/>
      <sheetName val="Run Information"/>
      <sheetName val="Tool Schematic Run1"/>
      <sheetName val="Tool Schematic Run 2"/>
      <sheetName val="Tool Schematic Run 3"/>
      <sheetName val="Liner Tally NFQ22-2"/>
      <sheetName val="Event Log"/>
      <sheetName val="Tracker"/>
      <sheetName val="Office Summary"/>
      <sheetName val="Tracker DEC 2025  "/>
      <sheetName val="Client Summary"/>
      <sheetName val="Sales Summary"/>
      <sheetName val="dropDownMenu_Data"/>
      <sheetName val="Tubing info"/>
      <sheetName val="Cable info"/>
      <sheetName val="OP-00566 - Lovanda - NFQ22-02 -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A2">
            <v>4.5</v>
          </cell>
          <cell r="B2">
            <v>9.5</v>
          </cell>
        </row>
        <row r="3">
          <cell r="A3">
            <v>4.5</v>
          </cell>
        </row>
        <row r="4">
          <cell r="A4">
            <v>4.5</v>
          </cell>
        </row>
        <row r="5">
          <cell r="A5">
            <v>4.5</v>
          </cell>
        </row>
        <row r="6">
          <cell r="A6">
            <v>4.5</v>
          </cell>
        </row>
        <row r="7">
          <cell r="A7">
            <v>4.5</v>
          </cell>
        </row>
        <row r="8">
          <cell r="A8">
            <v>4.5</v>
          </cell>
        </row>
        <row r="9">
          <cell r="A9">
            <v>4.5</v>
          </cell>
        </row>
        <row r="10">
          <cell r="A10">
            <v>4.5</v>
          </cell>
        </row>
        <row r="11">
          <cell r="A11">
            <v>4.5</v>
          </cell>
        </row>
        <row r="12">
          <cell r="A12">
            <v>4.5</v>
          </cell>
        </row>
        <row r="13">
          <cell r="A13">
            <v>4.5</v>
          </cell>
        </row>
        <row r="14">
          <cell r="A14">
            <v>4.5</v>
          </cell>
        </row>
        <row r="15">
          <cell r="A15">
            <v>4.5</v>
          </cell>
        </row>
        <row r="16">
          <cell r="A16">
            <v>4.5</v>
          </cell>
        </row>
        <row r="17">
          <cell r="A17">
            <v>4.5</v>
          </cell>
        </row>
        <row r="18">
          <cell r="A18">
            <v>4.5</v>
          </cell>
        </row>
        <row r="19">
          <cell r="A19">
            <v>4.5</v>
          </cell>
        </row>
        <row r="20">
          <cell r="A20">
            <v>4.5</v>
          </cell>
        </row>
        <row r="21">
          <cell r="A21">
            <v>4.5</v>
          </cell>
        </row>
        <row r="22">
          <cell r="A22">
            <v>4.5</v>
          </cell>
        </row>
        <row r="23">
          <cell r="A23">
            <v>4.5</v>
          </cell>
        </row>
        <row r="24">
          <cell r="A24">
            <v>4.5</v>
          </cell>
        </row>
        <row r="25">
          <cell r="A25">
            <v>4.5</v>
          </cell>
        </row>
        <row r="26">
          <cell r="A26">
            <v>4.5</v>
          </cell>
        </row>
        <row r="27">
          <cell r="A27">
            <v>4.5</v>
          </cell>
        </row>
        <row r="28">
          <cell r="A28">
            <v>4.5</v>
          </cell>
        </row>
        <row r="29">
          <cell r="A29">
            <v>4.5</v>
          </cell>
        </row>
        <row r="30">
          <cell r="A30">
            <v>4.5</v>
          </cell>
        </row>
        <row r="31">
          <cell r="A31">
            <v>4.5</v>
          </cell>
        </row>
        <row r="32">
          <cell r="A32">
            <v>4.5</v>
          </cell>
        </row>
        <row r="33">
          <cell r="A33">
            <v>4.5</v>
          </cell>
        </row>
        <row r="34">
          <cell r="A34">
            <v>4.5</v>
          </cell>
        </row>
        <row r="35">
          <cell r="A35">
            <v>4.5</v>
          </cell>
        </row>
        <row r="36">
          <cell r="A36">
            <v>4.5</v>
          </cell>
        </row>
        <row r="37">
          <cell r="A37">
            <v>4.5</v>
          </cell>
        </row>
        <row r="38">
          <cell r="A38">
            <v>4.5</v>
          </cell>
        </row>
        <row r="39">
          <cell r="A39">
            <v>5</v>
          </cell>
        </row>
        <row r="40">
          <cell r="A40">
            <v>5</v>
          </cell>
        </row>
        <row r="41">
          <cell r="A41">
            <v>5</v>
          </cell>
        </row>
        <row r="42">
          <cell r="A42">
            <v>5</v>
          </cell>
        </row>
        <row r="43">
          <cell r="A43">
            <v>5</v>
          </cell>
        </row>
        <row r="44">
          <cell r="A44">
            <v>5</v>
          </cell>
        </row>
        <row r="45">
          <cell r="A45">
            <v>5</v>
          </cell>
        </row>
        <row r="46">
          <cell r="A46">
            <v>5</v>
          </cell>
        </row>
        <row r="47">
          <cell r="A47">
            <v>5</v>
          </cell>
        </row>
        <row r="48">
          <cell r="A48">
            <v>5</v>
          </cell>
        </row>
        <row r="49">
          <cell r="A49">
            <v>5</v>
          </cell>
        </row>
        <row r="50">
          <cell r="A50">
            <v>5</v>
          </cell>
        </row>
        <row r="51">
          <cell r="A51">
            <v>5</v>
          </cell>
        </row>
        <row r="52">
          <cell r="A52">
            <v>5</v>
          </cell>
        </row>
        <row r="53">
          <cell r="A53">
            <v>5</v>
          </cell>
        </row>
        <row r="54">
          <cell r="A54">
            <v>5</v>
          </cell>
        </row>
        <row r="55">
          <cell r="A55">
            <v>5</v>
          </cell>
        </row>
        <row r="56">
          <cell r="A56">
            <v>5</v>
          </cell>
        </row>
        <row r="57">
          <cell r="A57">
            <v>5.5</v>
          </cell>
        </row>
        <row r="58">
          <cell r="A58">
            <v>5.5</v>
          </cell>
        </row>
        <row r="59">
          <cell r="A59">
            <v>5.5</v>
          </cell>
        </row>
        <row r="60">
          <cell r="A60">
            <v>5.5</v>
          </cell>
        </row>
        <row r="61">
          <cell r="A61">
            <v>5.5</v>
          </cell>
        </row>
        <row r="62">
          <cell r="A62">
            <v>5.5</v>
          </cell>
        </row>
        <row r="63">
          <cell r="A63">
            <v>5.5</v>
          </cell>
        </row>
        <row r="64">
          <cell r="A64">
            <v>5.5</v>
          </cell>
        </row>
        <row r="65">
          <cell r="A65">
            <v>5.5</v>
          </cell>
        </row>
        <row r="66">
          <cell r="A66">
            <v>5.5</v>
          </cell>
        </row>
        <row r="67">
          <cell r="A67">
            <v>5.5</v>
          </cell>
        </row>
        <row r="68">
          <cell r="A68">
            <v>5.5</v>
          </cell>
        </row>
        <row r="69">
          <cell r="A69">
            <v>5.5</v>
          </cell>
        </row>
        <row r="70">
          <cell r="A70">
            <v>5.5</v>
          </cell>
        </row>
        <row r="71">
          <cell r="A71">
            <v>5.5</v>
          </cell>
        </row>
        <row r="72">
          <cell r="A72">
            <v>5.5</v>
          </cell>
        </row>
        <row r="73">
          <cell r="A73">
            <v>5.5</v>
          </cell>
        </row>
        <row r="74">
          <cell r="A74">
            <v>5.5</v>
          </cell>
        </row>
        <row r="75">
          <cell r="A75">
            <v>5.5</v>
          </cell>
        </row>
        <row r="76">
          <cell r="A76">
            <v>5.5</v>
          </cell>
        </row>
        <row r="77">
          <cell r="A77">
            <v>5.5</v>
          </cell>
        </row>
        <row r="78">
          <cell r="A78">
            <v>5.5</v>
          </cell>
        </row>
        <row r="79">
          <cell r="A79">
            <v>5.5</v>
          </cell>
        </row>
        <row r="80">
          <cell r="A80">
            <v>5.5</v>
          </cell>
        </row>
        <row r="81">
          <cell r="A81">
            <v>5.5</v>
          </cell>
        </row>
        <row r="82">
          <cell r="A82">
            <v>5.5</v>
          </cell>
        </row>
        <row r="83">
          <cell r="A83">
            <v>5.5</v>
          </cell>
        </row>
        <row r="84">
          <cell r="A84">
            <v>5.5</v>
          </cell>
        </row>
        <row r="85">
          <cell r="A85">
            <v>5.5</v>
          </cell>
        </row>
        <row r="86">
          <cell r="A86">
            <v>5.5</v>
          </cell>
        </row>
        <row r="87">
          <cell r="A87">
            <v>5.5</v>
          </cell>
        </row>
        <row r="88">
          <cell r="A88">
            <v>5.5</v>
          </cell>
        </row>
        <row r="89">
          <cell r="A89">
            <v>5.5</v>
          </cell>
        </row>
        <row r="90">
          <cell r="A90">
            <v>5.5</v>
          </cell>
        </row>
        <row r="91">
          <cell r="A91">
            <v>5.5</v>
          </cell>
        </row>
        <row r="92">
          <cell r="A92">
            <v>5.5</v>
          </cell>
        </row>
        <row r="93">
          <cell r="A93">
            <v>5.625</v>
          </cell>
        </row>
        <row r="94">
          <cell r="A94">
            <v>5.625</v>
          </cell>
        </row>
        <row r="95">
          <cell r="A95">
            <v>5.625</v>
          </cell>
        </row>
        <row r="96">
          <cell r="A96">
            <v>5.625</v>
          </cell>
        </row>
        <row r="97">
          <cell r="A97">
            <v>5.625</v>
          </cell>
        </row>
        <row r="98">
          <cell r="A98">
            <v>5.75</v>
          </cell>
        </row>
        <row r="99">
          <cell r="A99">
            <v>5.75</v>
          </cell>
        </row>
        <row r="100">
          <cell r="A100">
            <v>5.75</v>
          </cell>
        </row>
        <row r="101">
          <cell r="A101">
            <v>5.75</v>
          </cell>
        </row>
        <row r="102">
          <cell r="A102">
            <v>5.75</v>
          </cell>
        </row>
        <row r="103">
          <cell r="A103">
            <v>5.75</v>
          </cell>
        </row>
        <row r="104">
          <cell r="A104">
            <v>5.75</v>
          </cell>
        </row>
        <row r="105">
          <cell r="A105">
            <v>5.75</v>
          </cell>
        </row>
        <row r="106">
          <cell r="A106">
            <v>5.75</v>
          </cell>
        </row>
        <row r="107">
          <cell r="A107">
            <v>5.75</v>
          </cell>
        </row>
        <row r="108">
          <cell r="A108">
            <v>5.75</v>
          </cell>
        </row>
        <row r="109">
          <cell r="A109">
            <v>5.75</v>
          </cell>
        </row>
        <row r="110">
          <cell r="A110">
            <v>5.75</v>
          </cell>
        </row>
        <row r="111">
          <cell r="A111">
            <v>5.75</v>
          </cell>
        </row>
        <row r="112">
          <cell r="A112">
            <v>5.75</v>
          </cell>
        </row>
        <row r="113">
          <cell r="A113">
            <v>5.75</v>
          </cell>
        </row>
        <row r="114">
          <cell r="A114">
            <v>5.75</v>
          </cell>
        </row>
        <row r="115">
          <cell r="A115">
            <v>5.75</v>
          </cell>
        </row>
        <row r="116">
          <cell r="A116">
            <v>5.75</v>
          </cell>
        </row>
        <row r="117">
          <cell r="A117">
            <v>6.625</v>
          </cell>
        </row>
        <row r="118">
          <cell r="A118">
            <v>6.625</v>
          </cell>
        </row>
        <row r="119">
          <cell r="A119">
            <v>6.625</v>
          </cell>
        </row>
        <row r="120">
          <cell r="A120">
            <v>6.625</v>
          </cell>
        </row>
        <row r="121">
          <cell r="A121">
            <v>6.625</v>
          </cell>
        </row>
        <row r="122">
          <cell r="A122">
            <v>6.625</v>
          </cell>
        </row>
        <row r="123">
          <cell r="A123">
            <v>6.625</v>
          </cell>
        </row>
        <row r="124">
          <cell r="A124">
            <v>6.625</v>
          </cell>
        </row>
        <row r="125">
          <cell r="A125">
            <v>6.625</v>
          </cell>
        </row>
        <row r="126">
          <cell r="A126">
            <v>6.625</v>
          </cell>
        </row>
        <row r="127">
          <cell r="A127">
            <v>6.625</v>
          </cell>
        </row>
        <row r="128">
          <cell r="A128">
            <v>6.625</v>
          </cell>
        </row>
        <row r="129">
          <cell r="A129">
            <v>6.625</v>
          </cell>
        </row>
        <row r="130">
          <cell r="A130">
            <v>6.625</v>
          </cell>
        </row>
        <row r="131">
          <cell r="A131">
            <v>6.625</v>
          </cell>
        </row>
        <row r="132">
          <cell r="A132">
            <v>6.625</v>
          </cell>
        </row>
        <row r="133">
          <cell r="A133">
            <v>6.625</v>
          </cell>
        </row>
        <row r="134">
          <cell r="A134">
            <v>6.625</v>
          </cell>
        </row>
        <row r="135">
          <cell r="A135">
            <v>6.625</v>
          </cell>
        </row>
        <row r="136">
          <cell r="A136">
            <v>6.625</v>
          </cell>
        </row>
        <row r="137">
          <cell r="A137">
            <v>6.625</v>
          </cell>
        </row>
        <row r="138">
          <cell r="A138">
            <v>6.625</v>
          </cell>
        </row>
        <row r="139">
          <cell r="A139">
            <v>6.625</v>
          </cell>
        </row>
        <row r="140">
          <cell r="A140">
            <v>6.625</v>
          </cell>
        </row>
        <row r="141">
          <cell r="A141">
            <v>7</v>
          </cell>
        </row>
        <row r="142">
          <cell r="A142">
            <v>7</v>
          </cell>
        </row>
        <row r="143">
          <cell r="A143">
            <v>7</v>
          </cell>
        </row>
        <row r="144">
          <cell r="A144">
            <v>7</v>
          </cell>
        </row>
        <row r="145">
          <cell r="A145">
            <v>7</v>
          </cell>
        </row>
        <row r="146">
          <cell r="A146">
            <v>7</v>
          </cell>
        </row>
        <row r="147">
          <cell r="A147">
            <v>7</v>
          </cell>
        </row>
        <row r="148">
          <cell r="A148">
            <v>7</v>
          </cell>
        </row>
        <row r="149">
          <cell r="A149">
            <v>7</v>
          </cell>
        </row>
        <row r="150">
          <cell r="A150">
            <v>7</v>
          </cell>
        </row>
        <row r="151">
          <cell r="A151">
            <v>7</v>
          </cell>
        </row>
        <row r="152">
          <cell r="A152">
            <v>7</v>
          </cell>
        </row>
        <row r="153">
          <cell r="A153">
            <v>7</v>
          </cell>
        </row>
        <row r="154">
          <cell r="A154">
            <v>7</v>
          </cell>
        </row>
        <row r="155">
          <cell r="A155">
            <v>7</v>
          </cell>
        </row>
        <row r="156">
          <cell r="A156">
            <v>7</v>
          </cell>
        </row>
        <row r="157">
          <cell r="A157">
            <v>7</v>
          </cell>
        </row>
        <row r="158">
          <cell r="A158">
            <v>7</v>
          </cell>
        </row>
        <row r="159">
          <cell r="A159">
            <v>7</v>
          </cell>
        </row>
        <row r="160">
          <cell r="A160">
            <v>7</v>
          </cell>
        </row>
        <row r="161">
          <cell r="A161">
            <v>7</v>
          </cell>
        </row>
        <row r="162">
          <cell r="A162">
            <v>7</v>
          </cell>
        </row>
        <row r="163">
          <cell r="A163">
            <v>7</v>
          </cell>
        </row>
        <row r="164">
          <cell r="A164">
            <v>7</v>
          </cell>
        </row>
        <row r="165">
          <cell r="A165">
            <v>7</v>
          </cell>
        </row>
        <row r="166">
          <cell r="A166">
            <v>7</v>
          </cell>
        </row>
        <row r="167">
          <cell r="A167">
            <v>7</v>
          </cell>
        </row>
        <row r="168">
          <cell r="A168">
            <v>7</v>
          </cell>
        </row>
        <row r="169">
          <cell r="A169">
            <v>7</v>
          </cell>
        </row>
        <row r="170">
          <cell r="A170">
            <v>7</v>
          </cell>
        </row>
        <row r="171">
          <cell r="A171">
            <v>7</v>
          </cell>
        </row>
        <row r="172">
          <cell r="A172">
            <v>7</v>
          </cell>
        </row>
        <row r="173">
          <cell r="A173">
            <v>7</v>
          </cell>
        </row>
        <row r="174">
          <cell r="A174">
            <v>7</v>
          </cell>
        </row>
        <row r="175">
          <cell r="A175">
            <v>7</v>
          </cell>
        </row>
        <row r="176">
          <cell r="A176">
            <v>7</v>
          </cell>
        </row>
        <row r="177">
          <cell r="A177">
            <v>7</v>
          </cell>
        </row>
        <row r="178">
          <cell r="A178">
            <v>7</v>
          </cell>
        </row>
        <row r="179">
          <cell r="A179">
            <v>7</v>
          </cell>
        </row>
        <row r="180">
          <cell r="A180">
            <v>7</v>
          </cell>
        </row>
        <row r="181">
          <cell r="A181">
            <v>7</v>
          </cell>
        </row>
        <row r="182">
          <cell r="A182">
            <v>7</v>
          </cell>
        </row>
        <row r="183">
          <cell r="A183">
            <v>7</v>
          </cell>
        </row>
        <row r="184">
          <cell r="A184">
            <v>7</v>
          </cell>
        </row>
        <row r="185">
          <cell r="A185">
            <v>7</v>
          </cell>
        </row>
        <row r="186">
          <cell r="A186">
            <v>7</v>
          </cell>
        </row>
        <row r="187">
          <cell r="A187">
            <v>7</v>
          </cell>
        </row>
        <row r="188">
          <cell r="A188">
            <v>7</v>
          </cell>
        </row>
        <row r="189">
          <cell r="A189">
            <v>7</v>
          </cell>
        </row>
        <row r="190">
          <cell r="A190">
            <v>7</v>
          </cell>
        </row>
        <row r="191">
          <cell r="A191">
            <v>7</v>
          </cell>
        </row>
        <row r="192">
          <cell r="A192">
            <v>7</v>
          </cell>
        </row>
        <row r="193">
          <cell r="A193">
            <v>7</v>
          </cell>
        </row>
        <row r="194">
          <cell r="A194">
            <v>7</v>
          </cell>
        </row>
        <row r="195">
          <cell r="A195">
            <v>7</v>
          </cell>
        </row>
        <row r="196">
          <cell r="A196">
            <v>7</v>
          </cell>
        </row>
        <row r="197">
          <cell r="A197">
            <v>7</v>
          </cell>
        </row>
        <row r="198">
          <cell r="A198">
            <v>7</v>
          </cell>
        </row>
        <row r="199">
          <cell r="A199">
            <v>7</v>
          </cell>
        </row>
        <row r="200">
          <cell r="A200">
            <v>7</v>
          </cell>
        </row>
        <row r="201">
          <cell r="A201">
            <v>7</v>
          </cell>
        </row>
        <row r="202">
          <cell r="A202">
            <v>7</v>
          </cell>
        </row>
        <row r="203">
          <cell r="A203">
            <v>7</v>
          </cell>
        </row>
        <row r="204">
          <cell r="A204">
            <v>7</v>
          </cell>
        </row>
        <row r="205">
          <cell r="A205">
            <v>7</v>
          </cell>
        </row>
        <row r="206">
          <cell r="A206">
            <v>7</v>
          </cell>
        </row>
        <row r="207">
          <cell r="A207">
            <v>7</v>
          </cell>
        </row>
        <row r="208">
          <cell r="A208">
            <v>7</v>
          </cell>
        </row>
        <row r="209">
          <cell r="A209">
            <v>7</v>
          </cell>
        </row>
        <row r="210">
          <cell r="A210">
            <v>7</v>
          </cell>
        </row>
        <row r="211">
          <cell r="A211">
            <v>7</v>
          </cell>
        </row>
        <row r="212">
          <cell r="A212">
            <v>7</v>
          </cell>
        </row>
        <row r="213">
          <cell r="A213">
            <v>7</v>
          </cell>
        </row>
        <row r="214">
          <cell r="A214">
            <v>7</v>
          </cell>
        </row>
        <row r="215">
          <cell r="A215">
            <v>7</v>
          </cell>
        </row>
        <row r="216">
          <cell r="A216">
            <v>7</v>
          </cell>
        </row>
        <row r="217">
          <cell r="A217">
            <v>7</v>
          </cell>
        </row>
        <row r="218">
          <cell r="A218">
            <v>7</v>
          </cell>
        </row>
        <row r="219">
          <cell r="A219">
            <v>7</v>
          </cell>
        </row>
        <row r="220">
          <cell r="A220">
            <v>7</v>
          </cell>
        </row>
        <row r="221">
          <cell r="A221">
            <v>7</v>
          </cell>
        </row>
        <row r="222">
          <cell r="A222">
            <v>7</v>
          </cell>
        </row>
        <row r="223">
          <cell r="A223">
            <v>7</v>
          </cell>
        </row>
        <row r="224">
          <cell r="A224">
            <v>7</v>
          </cell>
        </row>
        <row r="225">
          <cell r="A225">
            <v>7</v>
          </cell>
        </row>
        <row r="226">
          <cell r="A226">
            <v>7</v>
          </cell>
        </row>
        <row r="227">
          <cell r="A227">
            <v>7</v>
          </cell>
        </row>
        <row r="228">
          <cell r="A228">
            <v>7</v>
          </cell>
        </row>
        <row r="229">
          <cell r="A229">
            <v>7</v>
          </cell>
        </row>
        <row r="230">
          <cell r="A230">
            <v>7</v>
          </cell>
        </row>
        <row r="231">
          <cell r="A231">
            <v>7</v>
          </cell>
        </row>
        <row r="232">
          <cell r="A232">
            <v>7</v>
          </cell>
        </row>
        <row r="233">
          <cell r="A233">
            <v>7</v>
          </cell>
        </row>
        <row r="234">
          <cell r="A234">
            <v>7</v>
          </cell>
        </row>
        <row r="235">
          <cell r="A235">
            <v>7</v>
          </cell>
        </row>
        <row r="236">
          <cell r="A236">
            <v>7</v>
          </cell>
        </row>
        <row r="237">
          <cell r="A237">
            <v>7</v>
          </cell>
        </row>
        <row r="238">
          <cell r="A238">
            <v>7</v>
          </cell>
        </row>
        <row r="239">
          <cell r="A239">
            <v>7</v>
          </cell>
        </row>
        <row r="240">
          <cell r="A240">
            <v>7</v>
          </cell>
        </row>
        <row r="241">
          <cell r="A241">
            <v>7</v>
          </cell>
        </row>
        <row r="242">
          <cell r="A242">
            <v>7</v>
          </cell>
        </row>
        <row r="243">
          <cell r="A243">
            <v>7</v>
          </cell>
        </row>
        <row r="244">
          <cell r="A244">
            <v>7</v>
          </cell>
        </row>
        <row r="245">
          <cell r="A245">
            <v>7</v>
          </cell>
        </row>
        <row r="246">
          <cell r="A246">
            <v>7</v>
          </cell>
        </row>
        <row r="247">
          <cell r="A247">
            <v>7</v>
          </cell>
        </row>
        <row r="248">
          <cell r="A248">
            <v>7.625</v>
          </cell>
        </row>
        <row r="249">
          <cell r="A249">
            <v>7.625</v>
          </cell>
        </row>
        <row r="250">
          <cell r="A250">
            <v>7.625</v>
          </cell>
        </row>
        <row r="251">
          <cell r="A251">
            <v>7.625</v>
          </cell>
        </row>
        <row r="252">
          <cell r="A252">
            <v>7.625</v>
          </cell>
        </row>
        <row r="253">
          <cell r="A253">
            <v>7.625</v>
          </cell>
        </row>
        <row r="254">
          <cell r="A254">
            <v>7.625</v>
          </cell>
        </row>
      </sheetData>
      <sheetData sheetId="15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Tool info"/>
      <sheetName val="Third Party Contract info"/>
      <sheetName val="Tubing info"/>
      <sheetName val="Cable info"/>
      <sheetName val="Sheet2"/>
      <sheetName val="New Field History E Plug"/>
    </sheetNames>
    <sheetDataSet>
      <sheetData sheetId="0">
        <row r="3">
          <cell r="J3">
            <v>7</v>
          </cell>
        </row>
      </sheetData>
      <sheetData sheetId="1"/>
      <sheetData sheetId="2"/>
      <sheetData sheetId="3">
        <row r="2">
          <cell r="A2">
            <v>4.5</v>
          </cell>
        </row>
      </sheetData>
      <sheetData sheetId="4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2.75"/>
  <sheetData/>
  <pageMargins left="0.75" right="0.75" top="1" bottom="1" header="0.5" footer="0.5"/>
  <pageSetup orientation="portrait" r:id="rId1"/>
  <headerFooter alignWithMargins="0">
    <oddHeader>&amp;A&amp;L&amp;"Calibri"&amp;9&amp;K000000Classification: Internal&amp;1#</oddHeader>
    <oddFooter>&amp;C_x000D_&amp;1#&amp;"Poppins"&amp;10&amp;K018374 Baker Hughes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3DF77-CC53-479A-9E4F-ACAA2F9EE779}">
  <dimension ref="A1:V720"/>
  <sheetViews>
    <sheetView showGridLines="0" tabSelected="1" topLeftCell="B84" zoomScaleSheetLayoutView="70" workbookViewId="0">
      <selection activeCell="B123" sqref="B123"/>
    </sheetView>
  </sheetViews>
  <sheetFormatPr defaultColWidth="11.42578125" defaultRowHeight="12.75"/>
  <cols>
    <col min="1" max="1" width="0.85546875" style="52" customWidth="1"/>
    <col min="2" max="2" width="13.85546875" style="354" customWidth="1"/>
    <col min="3" max="3" width="5.42578125" style="53" customWidth="1"/>
    <col min="4" max="4" width="14" style="54" customWidth="1"/>
    <col min="5" max="5" width="8.5703125" style="54" customWidth="1"/>
    <col min="6" max="6" width="8.42578125" style="55" customWidth="1"/>
    <col min="7" max="7" width="11.85546875" style="55" customWidth="1"/>
    <col min="8" max="8" width="8.140625" style="55" customWidth="1"/>
    <col min="9" max="9" width="11.42578125" style="55"/>
    <col min="10" max="10" width="12.28515625" style="55" customWidth="1"/>
    <col min="11" max="11" width="9.42578125" style="56" customWidth="1"/>
    <col min="12" max="12" width="16.85546875" style="57" customWidth="1"/>
    <col min="13" max="13" width="16.85546875" style="58" customWidth="1"/>
    <col min="14" max="14" width="4.140625" style="59" customWidth="1"/>
    <col min="15" max="15" width="10.42578125" style="59" customWidth="1"/>
    <col min="16" max="16" width="12.140625" style="59" customWidth="1"/>
    <col min="17" max="19" width="11.42578125" style="59"/>
    <col min="20" max="21" width="11.42578125" style="60"/>
    <col min="22" max="22" width="11.42578125" style="52"/>
    <col min="23" max="16384" width="11.42578125" style="78"/>
  </cols>
  <sheetData>
    <row r="1" spans="2:21" s="52" customFormat="1" ht="3" customHeight="1">
      <c r="B1" s="53"/>
      <c r="C1" s="53"/>
      <c r="D1" s="54"/>
      <c r="E1" s="54"/>
      <c r="F1" s="55"/>
      <c r="G1" s="55"/>
      <c r="H1" s="55"/>
      <c r="I1" s="55"/>
      <c r="J1" s="55"/>
      <c r="K1" s="56"/>
      <c r="L1" s="57"/>
      <c r="M1" s="58"/>
      <c r="N1" s="59"/>
      <c r="O1" s="59"/>
      <c r="P1" s="59"/>
      <c r="Q1" s="59"/>
      <c r="R1" s="59"/>
      <c r="S1" s="59"/>
      <c r="T1" s="60"/>
      <c r="U1" s="60"/>
    </row>
    <row r="2" spans="2:21" s="52" customFormat="1" ht="18.75" customHeight="1">
      <c r="B2" s="61"/>
      <c r="C2" s="62"/>
      <c r="D2" s="62"/>
      <c r="E2" s="62"/>
      <c r="F2" s="63"/>
      <c r="G2" s="63"/>
      <c r="H2" s="62"/>
      <c r="I2" s="64" t="s">
        <v>0</v>
      </c>
      <c r="J2" s="62"/>
      <c r="K2" s="62"/>
      <c r="L2" s="65" t="s">
        <v>1</v>
      </c>
      <c r="M2" s="66"/>
      <c r="N2" s="59"/>
      <c r="O2" s="59"/>
      <c r="P2" s="59"/>
      <c r="Q2" s="59"/>
      <c r="R2" s="59"/>
      <c r="S2" s="59"/>
      <c r="T2" s="60"/>
      <c r="U2" s="60"/>
    </row>
    <row r="3" spans="2:21" ht="18.75" customHeight="1">
      <c r="B3" s="67"/>
      <c r="C3" s="68"/>
      <c r="D3" s="69"/>
      <c r="E3" s="70"/>
      <c r="F3" s="71"/>
      <c r="G3" s="71"/>
      <c r="H3" s="72"/>
      <c r="I3" s="73" t="s">
        <v>2</v>
      </c>
      <c r="J3" s="74"/>
      <c r="K3" s="75"/>
      <c r="L3" s="76"/>
      <c r="M3" s="77"/>
    </row>
    <row r="4" spans="2:21" ht="4.5" customHeight="1">
      <c r="B4" s="67"/>
      <c r="C4" s="68"/>
      <c r="D4" s="69"/>
      <c r="E4" s="70"/>
      <c r="F4" s="71"/>
      <c r="G4" s="71"/>
      <c r="H4" s="72"/>
      <c r="I4" s="79"/>
      <c r="J4" s="74"/>
      <c r="K4" s="75"/>
      <c r="L4" s="76"/>
      <c r="M4" s="77"/>
    </row>
    <row r="5" spans="2:21" ht="12" customHeight="1">
      <c r="B5" s="67"/>
      <c r="C5" s="80"/>
      <c r="D5" s="81" t="s">
        <v>3</v>
      </c>
      <c r="E5" s="82">
        <v>929</v>
      </c>
      <c r="F5" s="83"/>
      <c r="G5" s="84" t="s">
        <v>4</v>
      </c>
      <c r="H5" s="85" t="s">
        <v>5</v>
      </c>
      <c r="I5" s="86"/>
      <c r="J5" s="86"/>
      <c r="K5" s="87" t="s">
        <v>6</v>
      </c>
      <c r="L5" s="88">
        <v>44369</v>
      </c>
      <c r="M5" s="77"/>
    </row>
    <row r="6" spans="2:21">
      <c r="B6" s="67"/>
      <c r="C6" s="68"/>
      <c r="D6" s="81" t="s">
        <v>7</v>
      </c>
      <c r="E6" s="89">
        <v>11540</v>
      </c>
      <c r="F6" s="83"/>
      <c r="G6" s="84" t="s">
        <v>8</v>
      </c>
      <c r="H6" s="90" t="s">
        <v>9</v>
      </c>
      <c r="I6" s="91"/>
      <c r="J6" s="92"/>
      <c r="K6" s="87" t="s">
        <v>10</v>
      </c>
      <c r="L6" s="93" t="s">
        <v>11</v>
      </c>
      <c r="M6" s="77"/>
    </row>
    <row r="7" spans="2:21">
      <c r="B7" s="67"/>
      <c r="C7" s="68"/>
      <c r="D7" s="81" t="s">
        <v>12</v>
      </c>
      <c r="E7" s="89">
        <v>8530</v>
      </c>
      <c r="F7" s="83"/>
      <c r="G7" s="84" t="s">
        <v>13</v>
      </c>
      <c r="H7" s="94">
        <v>1</v>
      </c>
      <c r="I7" s="91"/>
      <c r="J7" s="86"/>
      <c r="K7" s="87" t="s">
        <v>14</v>
      </c>
      <c r="L7" s="95" t="s">
        <v>15</v>
      </c>
      <c r="M7" s="77"/>
    </row>
    <row r="8" spans="2:21">
      <c r="B8" s="67"/>
      <c r="C8" s="68"/>
      <c r="D8" s="81" t="s">
        <v>16</v>
      </c>
      <c r="E8" s="96">
        <v>7</v>
      </c>
      <c r="F8" s="83"/>
      <c r="G8" s="84" t="s">
        <v>17</v>
      </c>
      <c r="H8" s="97">
        <v>85</v>
      </c>
      <c r="I8" s="98"/>
      <c r="J8" s="99"/>
      <c r="K8" s="87" t="s">
        <v>18</v>
      </c>
      <c r="L8" s="100">
        <f>L9-9.42</f>
        <v>19728.580000000002</v>
      </c>
      <c r="M8" s="101"/>
    </row>
    <row r="9" spans="2:21">
      <c r="B9" s="67"/>
      <c r="C9" s="68"/>
      <c r="D9" s="81" t="s">
        <v>19</v>
      </c>
      <c r="E9" s="102">
        <v>29</v>
      </c>
      <c r="F9" s="83"/>
      <c r="G9" s="84" t="s">
        <v>20</v>
      </c>
      <c r="H9" s="103">
        <v>12.3</v>
      </c>
      <c r="I9" s="104"/>
      <c r="J9" s="86"/>
      <c r="K9" s="87" t="s">
        <v>21</v>
      </c>
      <c r="L9" s="100">
        <v>19738</v>
      </c>
      <c r="M9" s="101"/>
      <c r="Q9" s="59">
        <v>19818</v>
      </c>
    </row>
    <row r="10" spans="2:21">
      <c r="B10" s="67"/>
      <c r="C10" s="68"/>
      <c r="D10" s="81" t="s">
        <v>22</v>
      </c>
      <c r="E10" s="105" t="s">
        <v>23</v>
      </c>
      <c r="F10" s="83"/>
      <c r="G10" s="84" t="s">
        <v>24</v>
      </c>
      <c r="H10" s="105">
        <f>(65.45-H9)/65.45</f>
        <v>0.81207028265851799</v>
      </c>
      <c r="I10" s="104"/>
      <c r="J10" s="86"/>
      <c r="K10" s="87" t="s">
        <v>25</v>
      </c>
      <c r="L10" s="106">
        <v>10</v>
      </c>
      <c r="M10" s="101"/>
    </row>
    <row r="11" spans="2:21">
      <c r="B11" s="67"/>
      <c r="C11" s="68"/>
      <c r="D11" s="81" t="s">
        <v>26</v>
      </c>
      <c r="E11" s="107">
        <v>4.8659999999999997</v>
      </c>
      <c r="F11" s="83"/>
      <c r="G11" s="84" t="s">
        <v>27</v>
      </c>
      <c r="H11" s="529">
        <v>6.25</v>
      </c>
      <c r="I11" s="529"/>
      <c r="J11" s="86"/>
      <c r="K11" s="87" t="s">
        <v>28</v>
      </c>
      <c r="L11" s="100">
        <f>J336</f>
        <v>9869.2440000000061</v>
      </c>
      <c r="M11" s="108"/>
    </row>
    <row r="12" spans="2:21">
      <c r="B12" s="67"/>
      <c r="C12" s="109"/>
      <c r="D12" s="81" t="s">
        <v>29</v>
      </c>
      <c r="E12" s="96">
        <v>6.0590000000000002</v>
      </c>
      <c r="F12" s="83"/>
      <c r="G12" s="84" t="s">
        <v>30</v>
      </c>
      <c r="H12" s="105" t="s">
        <v>31</v>
      </c>
      <c r="I12" s="104"/>
      <c r="J12" s="86"/>
      <c r="K12" s="87" t="s">
        <v>32</v>
      </c>
      <c r="L12" s="110">
        <v>10121.549999999999</v>
      </c>
      <c r="M12" s="101"/>
    </row>
    <row r="13" spans="2:21">
      <c r="B13" s="67"/>
      <c r="C13" s="109"/>
      <c r="D13" s="81" t="s">
        <v>33</v>
      </c>
      <c r="E13" s="111">
        <f>SUM(C17:C317)</f>
        <v>578</v>
      </c>
      <c r="F13" s="83"/>
      <c r="G13" s="84" t="s">
        <v>34</v>
      </c>
      <c r="H13" s="105" t="s">
        <v>35</v>
      </c>
      <c r="I13" s="104"/>
      <c r="J13" s="86"/>
      <c r="K13" s="87" t="s">
        <v>36</v>
      </c>
      <c r="L13" s="106">
        <v>1350.24</v>
      </c>
      <c r="M13" s="101"/>
      <c r="O13" s="112"/>
    </row>
    <row r="14" spans="2:21" ht="12.75" customHeight="1">
      <c r="B14" s="113"/>
      <c r="C14" s="114"/>
      <c r="D14" s="115"/>
      <c r="E14" s="116"/>
      <c r="F14" s="117"/>
      <c r="G14" s="117"/>
      <c r="H14" s="118"/>
      <c r="I14" s="118"/>
      <c r="J14" s="119"/>
      <c r="K14" s="120"/>
      <c r="L14" s="121"/>
      <c r="M14" s="122"/>
      <c r="O14" s="112"/>
    </row>
    <row r="15" spans="2:21" ht="13.5" customHeight="1">
      <c r="B15" s="123" t="s">
        <v>37</v>
      </c>
      <c r="C15" s="530" t="s">
        <v>38</v>
      </c>
      <c r="D15" s="530"/>
      <c r="E15" s="124" t="s">
        <v>39</v>
      </c>
      <c r="F15" s="125" t="s">
        <v>39</v>
      </c>
      <c r="G15" s="125" t="s">
        <v>40</v>
      </c>
      <c r="H15" s="125" t="s">
        <v>39</v>
      </c>
      <c r="I15" s="125" t="s">
        <v>41</v>
      </c>
      <c r="J15" s="125" t="s">
        <v>42</v>
      </c>
      <c r="K15" s="126" t="s">
        <v>43</v>
      </c>
      <c r="L15" s="531" t="s">
        <v>44</v>
      </c>
      <c r="M15" s="532"/>
    </row>
    <row r="16" spans="2:21" ht="13.5" customHeight="1" thickBot="1">
      <c r="B16" s="127" t="s">
        <v>45</v>
      </c>
      <c r="C16" s="128" t="s">
        <v>46</v>
      </c>
      <c r="D16" s="128" t="s">
        <v>47</v>
      </c>
      <c r="E16" s="128" t="s">
        <v>48</v>
      </c>
      <c r="F16" s="129" t="s">
        <v>49</v>
      </c>
      <c r="G16" s="129" t="s">
        <v>49</v>
      </c>
      <c r="H16" s="129" t="s">
        <v>50</v>
      </c>
      <c r="I16" s="129" t="s">
        <v>49</v>
      </c>
      <c r="J16" s="129" t="s">
        <v>51</v>
      </c>
      <c r="K16" s="130" t="s">
        <v>52</v>
      </c>
      <c r="L16" s="533"/>
      <c r="M16" s="534"/>
    </row>
    <row r="17" spans="2:21" s="52" customFormat="1" ht="13.5" customHeight="1">
      <c r="B17" s="535" t="s">
        <v>53</v>
      </c>
      <c r="C17" s="131" t="s">
        <v>54</v>
      </c>
      <c r="D17" s="537" t="s">
        <v>55</v>
      </c>
      <c r="E17" s="538"/>
      <c r="F17" s="132">
        <v>3.37</v>
      </c>
      <c r="G17" s="133">
        <f>F17</f>
        <v>3.37</v>
      </c>
      <c r="H17" s="133" t="str">
        <f t="shared" ref="H17:H25" si="0">IF(F17="","OUT","IN")</f>
        <v>IN</v>
      </c>
      <c r="I17" s="133">
        <f>G17</f>
        <v>3.37</v>
      </c>
      <c r="J17" s="134">
        <f>L8-G17</f>
        <v>19725.210000000003</v>
      </c>
      <c r="K17" s="135">
        <f t="shared" ref="K17:K80" si="1">$H$8+(I17*$E$9*$H$10/1000)</f>
        <v>85.079363628724224</v>
      </c>
      <c r="L17" s="539" t="s">
        <v>56</v>
      </c>
      <c r="M17" s="540"/>
      <c r="N17" s="59"/>
      <c r="O17" s="59"/>
      <c r="P17" s="59"/>
      <c r="Q17" s="59"/>
      <c r="R17" s="59"/>
      <c r="S17" s="59"/>
      <c r="T17" s="59"/>
      <c r="U17" s="59"/>
    </row>
    <row r="18" spans="2:21" s="52" customFormat="1" ht="13.5" customHeight="1" thickBot="1">
      <c r="B18" s="536"/>
      <c r="C18" s="136">
        <v>2</v>
      </c>
      <c r="D18" s="543" t="s">
        <v>57</v>
      </c>
      <c r="E18" s="544"/>
      <c r="F18" s="137">
        <v>36.200000000000003</v>
      </c>
      <c r="G18" s="137">
        <f>F18</f>
        <v>36.200000000000003</v>
      </c>
      <c r="H18" s="137" t="str">
        <f t="shared" si="0"/>
        <v>IN</v>
      </c>
      <c r="I18" s="137">
        <f t="shared" ref="I18:I81" si="2">IF(H18="IN",I17+G18,I17)</f>
        <v>39.57</v>
      </c>
      <c r="J18" s="137">
        <f t="shared" ref="J18:J81" si="3">IF(I18="","",$L$8-I18)</f>
        <v>19689.010000000002</v>
      </c>
      <c r="K18" s="138">
        <f t="shared" si="1"/>
        <v>85.931875011459127</v>
      </c>
      <c r="L18" s="541"/>
      <c r="M18" s="542"/>
      <c r="N18" s="59"/>
      <c r="O18" s="139"/>
      <c r="P18" s="59"/>
      <c r="Q18" s="59"/>
      <c r="R18" s="59"/>
      <c r="S18" s="59"/>
      <c r="T18" s="59"/>
      <c r="U18" s="59"/>
    </row>
    <row r="19" spans="2:21" s="52" customFormat="1" ht="13.5" customHeight="1">
      <c r="B19" s="502" t="s">
        <v>58</v>
      </c>
      <c r="C19" s="140">
        <v>1</v>
      </c>
      <c r="D19" s="505" t="s">
        <v>59</v>
      </c>
      <c r="E19" s="506"/>
      <c r="F19" s="141">
        <v>20.239999999999998</v>
      </c>
      <c r="G19" s="142">
        <f>F19-(4.05/12)</f>
        <v>19.9025</v>
      </c>
      <c r="H19" s="142" t="str">
        <f t="shared" si="0"/>
        <v>IN</v>
      </c>
      <c r="I19" s="142">
        <f t="shared" si="2"/>
        <v>59.472499999999997</v>
      </c>
      <c r="J19" s="142">
        <f t="shared" si="3"/>
        <v>19669.107500000002</v>
      </c>
      <c r="K19" s="143">
        <f t="shared" si="1"/>
        <v>86.400579646676846</v>
      </c>
      <c r="L19" s="507" t="s">
        <v>60</v>
      </c>
      <c r="M19" s="508"/>
      <c r="N19" s="59"/>
      <c r="O19" s="139"/>
      <c r="P19" s="59"/>
      <c r="Q19" s="59"/>
      <c r="R19" s="59"/>
      <c r="S19" s="59"/>
      <c r="T19" s="59"/>
      <c r="U19" s="59"/>
    </row>
    <row r="20" spans="2:21" s="52" customFormat="1" ht="13.5" customHeight="1">
      <c r="B20" s="503"/>
      <c r="C20" s="144" t="s">
        <v>54</v>
      </c>
      <c r="D20" s="513" t="s">
        <v>61</v>
      </c>
      <c r="E20" s="514"/>
      <c r="F20" s="145">
        <v>2.91</v>
      </c>
      <c r="G20" s="146">
        <f>F20</f>
        <v>2.91</v>
      </c>
      <c r="H20" s="146" t="str">
        <f t="shared" si="0"/>
        <v>IN</v>
      </c>
      <c r="I20" s="146">
        <f t="shared" si="2"/>
        <v>62.382499999999993</v>
      </c>
      <c r="J20" s="147">
        <f t="shared" si="3"/>
        <v>19666.197500000002</v>
      </c>
      <c r="K20" s="148">
        <f t="shared" si="1"/>
        <v>86.469110257830408</v>
      </c>
      <c r="L20" s="509"/>
      <c r="M20" s="510"/>
      <c r="N20" s="59"/>
      <c r="O20" s="139"/>
      <c r="P20" s="59"/>
      <c r="Q20" s="59"/>
      <c r="R20" s="59"/>
      <c r="S20" s="59"/>
      <c r="T20" s="59"/>
      <c r="U20" s="59"/>
    </row>
    <row r="21" spans="2:21" s="52" customFormat="1" ht="13.5" customHeight="1" thickBot="1">
      <c r="B21" s="504"/>
      <c r="C21" s="149">
        <v>1</v>
      </c>
      <c r="D21" s="515" t="s">
        <v>59</v>
      </c>
      <c r="E21" s="516"/>
      <c r="F21" s="150">
        <v>19.91</v>
      </c>
      <c r="G21" s="151">
        <f>F21</f>
        <v>19.91</v>
      </c>
      <c r="H21" s="151" t="str">
        <f t="shared" si="0"/>
        <v>IN</v>
      </c>
      <c r="I21" s="151">
        <f t="shared" si="2"/>
        <v>82.29249999999999</v>
      </c>
      <c r="J21" s="151">
        <f t="shared" si="3"/>
        <v>19646.287500000002</v>
      </c>
      <c r="K21" s="152">
        <f t="shared" si="1"/>
        <v>86.937991518334613</v>
      </c>
      <c r="L21" s="511"/>
      <c r="M21" s="512"/>
      <c r="N21" s="59"/>
      <c r="O21" s="139"/>
      <c r="P21" s="59"/>
      <c r="Q21" s="59"/>
      <c r="R21" s="59"/>
      <c r="S21" s="59"/>
      <c r="T21" s="59"/>
      <c r="U21" s="59"/>
    </row>
    <row r="22" spans="2:21" s="52" customFormat="1" ht="13.5" customHeight="1">
      <c r="B22" s="517" t="s">
        <v>62</v>
      </c>
      <c r="C22" s="153">
        <v>1</v>
      </c>
      <c r="D22" s="519" t="s">
        <v>63</v>
      </c>
      <c r="E22" s="520"/>
      <c r="F22" s="133">
        <v>20.239999999999998</v>
      </c>
      <c r="G22" s="133">
        <f>F22-(4.05/12)</f>
        <v>19.9025</v>
      </c>
      <c r="H22" s="133" t="str">
        <f t="shared" si="0"/>
        <v>IN</v>
      </c>
      <c r="I22" s="133">
        <f t="shared" si="2"/>
        <v>102.19499999999999</v>
      </c>
      <c r="J22" s="133">
        <f t="shared" si="3"/>
        <v>19626.385000000002</v>
      </c>
      <c r="K22" s="135">
        <f t="shared" si="1"/>
        <v>87.406696153552332</v>
      </c>
      <c r="L22" s="521" t="s">
        <v>64</v>
      </c>
      <c r="M22" s="522"/>
      <c r="N22" s="59"/>
      <c r="O22" s="139"/>
      <c r="P22" s="59"/>
      <c r="Q22" s="59"/>
      <c r="R22" s="59"/>
      <c r="S22" s="59"/>
      <c r="T22" s="59"/>
      <c r="U22" s="59"/>
    </row>
    <row r="23" spans="2:21" s="52" customFormat="1" ht="13.5" customHeight="1">
      <c r="B23" s="518"/>
      <c r="C23" s="154" t="s">
        <v>54</v>
      </c>
      <c r="D23" s="513" t="s">
        <v>65</v>
      </c>
      <c r="E23" s="514"/>
      <c r="F23" s="155">
        <v>4.41</v>
      </c>
      <c r="G23" s="155">
        <f>F23</f>
        <v>4.41</v>
      </c>
      <c r="H23" s="155" t="str">
        <f t="shared" si="0"/>
        <v>IN</v>
      </c>
      <c r="I23" s="147">
        <f t="shared" si="2"/>
        <v>106.60499999999999</v>
      </c>
      <c r="J23" s="147">
        <f t="shared" si="3"/>
        <v>19621.975000000002</v>
      </c>
      <c r="K23" s="156">
        <f t="shared" si="1"/>
        <v>87.510551822001531</v>
      </c>
      <c r="L23" s="523"/>
      <c r="M23" s="524"/>
      <c r="N23" s="59"/>
      <c r="O23" s="139"/>
      <c r="P23" s="59"/>
      <c r="Q23" s="59"/>
      <c r="R23" s="59"/>
      <c r="S23" s="59"/>
      <c r="T23" s="59"/>
      <c r="U23" s="59"/>
    </row>
    <row r="24" spans="2:21" s="52" customFormat="1" ht="13.5" customHeight="1">
      <c r="B24" s="518"/>
      <c r="C24" s="157">
        <v>1</v>
      </c>
      <c r="D24" s="527" t="s">
        <v>63</v>
      </c>
      <c r="E24" s="528"/>
      <c r="F24" s="155">
        <v>19.91</v>
      </c>
      <c r="G24" s="155">
        <f>F24</f>
        <v>19.91</v>
      </c>
      <c r="H24" s="158" t="str">
        <f t="shared" si="0"/>
        <v>IN</v>
      </c>
      <c r="I24" s="158">
        <f t="shared" si="2"/>
        <v>126.51499999999999</v>
      </c>
      <c r="J24" s="158">
        <f t="shared" si="3"/>
        <v>19602.065000000002</v>
      </c>
      <c r="K24" s="159">
        <f t="shared" si="1"/>
        <v>87.979433082505736</v>
      </c>
      <c r="L24" s="523"/>
      <c r="M24" s="524"/>
      <c r="N24" s="59"/>
      <c r="O24" s="139"/>
      <c r="P24" s="59"/>
      <c r="Q24" s="59"/>
      <c r="R24" s="59"/>
      <c r="S24" s="59"/>
      <c r="T24" s="59"/>
      <c r="U24" s="59"/>
    </row>
    <row r="25" spans="2:21" s="52" customFormat="1" ht="13.5" customHeight="1" thickBot="1">
      <c r="B25" s="518"/>
      <c r="C25" s="157"/>
      <c r="D25" s="160" t="s">
        <v>66</v>
      </c>
      <c r="E25" s="161"/>
      <c r="F25" s="137">
        <v>3.89</v>
      </c>
      <c r="G25" s="162">
        <f>F25</f>
        <v>3.89</v>
      </c>
      <c r="H25" s="158" t="str">
        <f t="shared" si="0"/>
        <v>IN</v>
      </c>
      <c r="I25" s="158">
        <f t="shared" si="2"/>
        <v>130.40499999999997</v>
      </c>
      <c r="J25" s="158">
        <f t="shared" si="3"/>
        <v>19598.175000000003</v>
      </c>
      <c r="K25" s="159">
        <f t="shared" si="1"/>
        <v>88.071042731092433</v>
      </c>
      <c r="L25" s="525"/>
      <c r="M25" s="526"/>
      <c r="N25" s="59"/>
      <c r="O25" s="139"/>
      <c r="P25" s="59"/>
      <c r="Q25" s="59"/>
      <c r="R25" s="59"/>
      <c r="S25" s="59"/>
      <c r="T25" s="59"/>
      <c r="U25" s="59"/>
    </row>
    <row r="26" spans="2:21" s="52" customFormat="1" ht="13.5" customHeight="1">
      <c r="B26" s="163">
        <v>1</v>
      </c>
      <c r="C26" s="164">
        <v>2</v>
      </c>
      <c r="D26" s="165" t="s">
        <v>67</v>
      </c>
      <c r="E26" s="166">
        <v>1</v>
      </c>
      <c r="F26" s="167">
        <f>VLOOKUP(E26,'Deck Tally'!$B$5:$C$274,2,0)</f>
        <v>33.954999999999998</v>
      </c>
      <c r="G26" s="168">
        <f t="shared" ref="G26:G57" si="4">F26-($E$11/12)</f>
        <v>33.549499999999995</v>
      </c>
      <c r="H26" s="169" t="s">
        <v>68</v>
      </c>
      <c r="I26" s="168">
        <f t="shared" si="2"/>
        <v>163.95449999999997</v>
      </c>
      <c r="J26" s="168">
        <f t="shared" si="3"/>
        <v>19564.625500000002</v>
      </c>
      <c r="K26" s="170">
        <f t="shared" si="1"/>
        <v>88.861134737585942</v>
      </c>
      <c r="L26" s="500" t="s">
        <v>69</v>
      </c>
      <c r="M26" s="501"/>
      <c r="N26" s="59"/>
      <c r="O26" s="59"/>
      <c r="P26" s="59"/>
      <c r="Q26" s="59"/>
      <c r="R26" s="59"/>
      <c r="S26" s="59"/>
      <c r="T26" s="59"/>
      <c r="U26" s="59"/>
    </row>
    <row r="27" spans="2:21" s="52" customFormat="1" ht="13.5" customHeight="1">
      <c r="B27" s="171">
        <f>B26+1</f>
        <v>2</v>
      </c>
      <c r="C27" s="172">
        <v>2</v>
      </c>
      <c r="D27" s="173" t="s">
        <v>67</v>
      </c>
      <c r="E27" s="174">
        <v>2</v>
      </c>
      <c r="F27" s="175">
        <f>VLOOKUP(E27,'Deck Tally'!$B$5:$C$274,2,0)</f>
        <v>33.94</v>
      </c>
      <c r="G27" s="176">
        <f t="shared" si="4"/>
        <v>33.534499999999994</v>
      </c>
      <c r="H27" s="175" t="s">
        <v>68</v>
      </c>
      <c r="I27" s="176">
        <f t="shared" si="2"/>
        <v>197.48899999999998</v>
      </c>
      <c r="J27" s="176">
        <f t="shared" si="3"/>
        <v>19531.091</v>
      </c>
      <c r="K27" s="177">
        <f t="shared" si="1"/>
        <v>89.650873493506495</v>
      </c>
      <c r="L27" s="385"/>
      <c r="M27" s="386"/>
      <c r="N27" s="59"/>
      <c r="O27" s="59"/>
      <c r="P27" s="59"/>
      <c r="Q27" s="59"/>
      <c r="R27" s="59"/>
      <c r="S27" s="59"/>
      <c r="T27" s="59"/>
      <c r="U27" s="59"/>
    </row>
    <row r="28" spans="2:21" s="52" customFormat="1" ht="13.5" customHeight="1">
      <c r="B28" s="171">
        <f>B27+1</f>
        <v>3</v>
      </c>
      <c r="C28" s="172">
        <v>2</v>
      </c>
      <c r="D28" s="173" t="s">
        <v>67</v>
      </c>
      <c r="E28" s="174">
        <v>3</v>
      </c>
      <c r="F28" s="175">
        <f>VLOOKUP(E28,'Deck Tally'!$B$5:$C$274,2,0)</f>
        <v>32.78</v>
      </c>
      <c r="G28" s="176">
        <f t="shared" si="4"/>
        <v>32.374499999999998</v>
      </c>
      <c r="H28" s="175" t="s">
        <v>68</v>
      </c>
      <c r="I28" s="176">
        <f t="shared" si="2"/>
        <v>229.86349999999999</v>
      </c>
      <c r="J28" s="176">
        <f t="shared" si="3"/>
        <v>19498.716500000002</v>
      </c>
      <c r="K28" s="177">
        <f t="shared" si="1"/>
        <v>90.413294205118405</v>
      </c>
      <c r="L28" s="385"/>
      <c r="M28" s="386"/>
      <c r="N28" s="59"/>
      <c r="O28" s="59"/>
      <c r="P28" s="59"/>
      <c r="Q28" s="59"/>
      <c r="R28" s="59"/>
      <c r="S28" s="59"/>
      <c r="T28" s="59"/>
      <c r="U28" s="59"/>
    </row>
    <row r="29" spans="2:21" s="52" customFormat="1" ht="13.5" customHeight="1">
      <c r="B29" s="171">
        <f>B28+1</f>
        <v>4</v>
      </c>
      <c r="C29" s="172">
        <v>2</v>
      </c>
      <c r="D29" s="173" t="s">
        <v>67</v>
      </c>
      <c r="E29" s="174">
        <v>4</v>
      </c>
      <c r="F29" s="175">
        <f>VLOOKUP(E29,'Deck Tally'!$B$5:$C$274,2,0)</f>
        <v>33.945</v>
      </c>
      <c r="G29" s="176">
        <f t="shared" si="4"/>
        <v>33.539500000000004</v>
      </c>
      <c r="H29" s="175" t="s">
        <v>68</v>
      </c>
      <c r="I29" s="176">
        <f t="shared" si="2"/>
        <v>263.40300000000002</v>
      </c>
      <c r="J29" s="176">
        <f t="shared" si="3"/>
        <v>19465.177000000003</v>
      </c>
      <c r="K29" s="177">
        <f t="shared" si="1"/>
        <v>91.203150711229952</v>
      </c>
      <c r="L29" s="385"/>
      <c r="M29" s="386"/>
      <c r="N29" s="59"/>
      <c r="O29" s="59"/>
      <c r="P29" s="59"/>
      <c r="Q29" s="59"/>
      <c r="R29" s="59"/>
      <c r="S29" s="59"/>
      <c r="T29" s="59"/>
      <c r="U29" s="59"/>
    </row>
    <row r="30" spans="2:21" s="52" customFormat="1" ht="13.5" customHeight="1">
      <c r="B30" s="171">
        <f>B29+1</f>
        <v>5</v>
      </c>
      <c r="C30" s="172">
        <v>2</v>
      </c>
      <c r="D30" s="173" t="s">
        <v>67</v>
      </c>
      <c r="E30" s="174">
        <v>5</v>
      </c>
      <c r="F30" s="175">
        <f>VLOOKUP(E30,'Deck Tally'!$B$5:$C$274,2,0)</f>
        <v>33.674999999999997</v>
      </c>
      <c r="G30" s="176">
        <f t="shared" si="4"/>
        <v>33.269499999999994</v>
      </c>
      <c r="H30" s="175" t="s">
        <v>68</v>
      </c>
      <c r="I30" s="176">
        <f t="shared" si="2"/>
        <v>296.67250000000001</v>
      </c>
      <c r="J30" s="176">
        <f t="shared" si="3"/>
        <v>19431.907500000001</v>
      </c>
      <c r="K30" s="177">
        <f t="shared" si="1"/>
        <v>91.986648707028266</v>
      </c>
      <c r="L30" s="385"/>
      <c r="M30" s="386"/>
      <c r="N30" s="59"/>
      <c r="O30" s="59"/>
      <c r="P30" s="59"/>
      <c r="Q30" s="59"/>
      <c r="R30" s="59"/>
      <c r="S30" s="59"/>
      <c r="T30" s="59"/>
      <c r="U30" s="59"/>
    </row>
    <row r="31" spans="2:21" s="52" customFormat="1" ht="13.5" customHeight="1">
      <c r="B31" s="180"/>
      <c r="C31" s="181">
        <v>1</v>
      </c>
      <c r="D31" s="182" t="s">
        <v>70</v>
      </c>
      <c r="E31" s="181" t="s">
        <v>71</v>
      </c>
      <c r="F31" s="155">
        <v>20.22</v>
      </c>
      <c r="G31" s="183">
        <f t="shared" si="4"/>
        <v>19.814499999999999</v>
      </c>
      <c r="H31" s="155" t="s">
        <v>68</v>
      </c>
      <c r="I31" s="155">
        <f t="shared" si="2"/>
        <v>316.48700000000002</v>
      </c>
      <c r="J31" s="155">
        <f t="shared" si="3"/>
        <v>19412.093000000001</v>
      </c>
      <c r="K31" s="177">
        <f t="shared" si="1"/>
        <v>92.453280938884646</v>
      </c>
      <c r="L31" s="473" t="s">
        <v>72</v>
      </c>
      <c r="M31" s="474"/>
      <c r="N31" s="185"/>
      <c r="O31" s="185"/>
      <c r="P31" s="59"/>
      <c r="Q31" s="59"/>
      <c r="R31" s="59"/>
      <c r="S31" s="59"/>
      <c r="T31" s="60"/>
      <c r="U31" s="60"/>
    </row>
    <row r="32" spans="2:21" s="52" customFormat="1" ht="13.5" customHeight="1">
      <c r="B32" s="171">
        <f>B30+1</f>
        <v>6</v>
      </c>
      <c r="C32" s="172">
        <v>2</v>
      </c>
      <c r="D32" s="173" t="s">
        <v>67</v>
      </c>
      <c r="E32" s="186">
        <v>6</v>
      </c>
      <c r="F32" s="175">
        <f>VLOOKUP(E32,'Deck Tally'!$B$5:$C$274,2,0)</f>
        <v>33.049999999999997</v>
      </c>
      <c r="G32" s="176">
        <f t="shared" si="4"/>
        <v>32.644499999999994</v>
      </c>
      <c r="H32" s="175" t="s">
        <v>68</v>
      </c>
      <c r="I32" s="176">
        <f t="shared" si="2"/>
        <v>349.13150000000002</v>
      </c>
      <c r="J32" s="176">
        <f t="shared" si="3"/>
        <v>19379.448500000002</v>
      </c>
      <c r="K32" s="177">
        <f t="shared" si="1"/>
        <v>93.222060160809775</v>
      </c>
      <c r="L32" s="475" t="s">
        <v>73</v>
      </c>
      <c r="M32" s="467"/>
      <c r="N32" s="59"/>
      <c r="O32" s="187">
        <f>19420-M33</f>
        <v>11.906999999999243</v>
      </c>
      <c r="P32" s="59" t="s">
        <v>74</v>
      </c>
      <c r="Q32" s="59"/>
      <c r="R32" s="59"/>
      <c r="S32" s="59"/>
      <c r="T32" s="59"/>
      <c r="U32" s="59"/>
    </row>
    <row r="33" spans="2:21" s="52" customFormat="1" ht="13.5" customHeight="1">
      <c r="B33" s="171">
        <f t="shared" ref="B33:B64" si="5">B32+1</f>
        <v>7</v>
      </c>
      <c r="C33" s="188">
        <v>1</v>
      </c>
      <c r="D33" s="189" t="s">
        <v>67</v>
      </c>
      <c r="E33" s="190">
        <v>7</v>
      </c>
      <c r="F33" s="191">
        <f>VLOOKUP(E33,'Deck Tally'!$B$5:$C$274,2,0)</f>
        <v>33.94</v>
      </c>
      <c r="G33" s="192">
        <f t="shared" si="4"/>
        <v>33.534499999999994</v>
      </c>
      <c r="H33" s="191" t="s">
        <v>68</v>
      </c>
      <c r="I33" s="192">
        <f t="shared" si="2"/>
        <v>382.666</v>
      </c>
      <c r="J33" s="192">
        <f t="shared" si="3"/>
        <v>19345.914000000001</v>
      </c>
      <c r="K33" s="177">
        <f t="shared" si="1"/>
        <v>94.011798916730328</v>
      </c>
      <c r="L33" s="184" t="s">
        <v>75</v>
      </c>
      <c r="M33" s="193">
        <f>J31-4</f>
        <v>19408.093000000001</v>
      </c>
      <c r="N33" s="59"/>
      <c r="O33" s="59"/>
      <c r="P33" s="59"/>
      <c r="Q33" s="59"/>
      <c r="R33" s="59"/>
      <c r="S33" s="59"/>
      <c r="T33" s="59"/>
      <c r="U33" s="59"/>
    </row>
    <row r="34" spans="2:21" s="52" customFormat="1" ht="13.5" customHeight="1">
      <c r="B34" s="171">
        <f t="shared" si="5"/>
        <v>8</v>
      </c>
      <c r="C34" s="172">
        <v>2</v>
      </c>
      <c r="D34" s="173" t="s">
        <v>67</v>
      </c>
      <c r="E34" s="174">
        <v>8</v>
      </c>
      <c r="F34" s="175">
        <f>VLOOKUP(E34,'Deck Tally'!$B$5:$C$274,2,0)</f>
        <v>33.875</v>
      </c>
      <c r="G34" s="176">
        <f t="shared" si="4"/>
        <v>33.469499999999996</v>
      </c>
      <c r="H34" s="175" t="s">
        <v>68</v>
      </c>
      <c r="I34" s="176">
        <f t="shared" si="2"/>
        <v>416.13549999999998</v>
      </c>
      <c r="J34" s="176">
        <f t="shared" si="3"/>
        <v>19312.444500000001</v>
      </c>
      <c r="K34" s="177">
        <f t="shared" si="1"/>
        <v>94.800006920168073</v>
      </c>
      <c r="L34" s="471" t="s">
        <v>76</v>
      </c>
      <c r="M34" s="472"/>
      <c r="N34" s="59"/>
      <c r="O34" s="59"/>
      <c r="P34" s="59"/>
      <c r="Q34" s="59"/>
      <c r="R34" s="59"/>
      <c r="S34" s="59"/>
      <c r="T34" s="59"/>
      <c r="U34" s="59"/>
    </row>
    <row r="35" spans="2:21" s="52" customFormat="1" ht="13.5" customHeight="1">
      <c r="B35" s="171">
        <f t="shared" si="5"/>
        <v>9</v>
      </c>
      <c r="C35" s="172">
        <v>2</v>
      </c>
      <c r="D35" s="173" t="s">
        <v>67</v>
      </c>
      <c r="E35" s="174">
        <v>9</v>
      </c>
      <c r="F35" s="175">
        <f>VLOOKUP(E35,'Deck Tally'!$B$5:$C$274,2,0)</f>
        <v>33.94</v>
      </c>
      <c r="G35" s="176">
        <f t="shared" si="4"/>
        <v>33.534499999999994</v>
      </c>
      <c r="H35" s="175" t="s">
        <v>68</v>
      </c>
      <c r="I35" s="176">
        <f t="shared" si="2"/>
        <v>449.66999999999996</v>
      </c>
      <c r="J35" s="176">
        <f t="shared" si="3"/>
        <v>19278.910000000003</v>
      </c>
      <c r="K35" s="177">
        <f t="shared" si="1"/>
        <v>95.589745676088612</v>
      </c>
      <c r="L35" s="385"/>
      <c r="M35" s="386"/>
      <c r="N35" s="59"/>
      <c r="O35" s="59"/>
      <c r="P35" s="59"/>
      <c r="Q35" s="59"/>
      <c r="R35" s="59"/>
      <c r="S35" s="59"/>
      <c r="T35" s="59"/>
      <c r="U35" s="59"/>
    </row>
    <row r="36" spans="2:21" s="52" customFormat="1" ht="13.5" customHeight="1">
      <c r="B36" s="180">
        <f t="shared" si="5"/>
        <v>10</v>
      </c>
      <c r="C36" s="174">
        <v>2</v>
      </c>
      <c r="D36" s="173" t="s">
        <v>67</v>
      </c>
      <c r="E36" s="174">
        <v>10</v>
      </c>
      <c r="F36" s="175">
        <f>VLOOKUP(E36,'Deck Tally'!$B$5:$C$274,2,0)</f>
        <v>33.954999999999998</v>
      </c>
      <c r="G36" s="194">
        <f t="shared" si="4"/>
        <v>33.549499999999995</v>
      </c>
      <c r="H36" s="175" t="s">
        <v>68</v>
      </c>
      <c r="I36" s="176">
        <f t="shared" si="2"/>
        <v>483.21949999999993</v>
      </c>
      <c r="J36" s="176">
        <f t="shared" si="3"/>
        <v>19245.360500000003</v>
      </c>
      <c r="K36" s="177">
        <f t="shared" si="1"/>
        <v>96.379837682582121</v>
      </c>
      <c r="L36" s="385"/>
      <c r="M36" s="386"/>
      <c r="N36" s="59"/>
      <c r="O36" s="59"/>
      <c r="P36" s="59"/>
      <c r="Q36" s="59"/>
      <c r="R36" s="59"/>
      <c r="S36" s="59"/>
      <c r="T36" s="60"/>
      <c r="U36" s="60"/>
    </row>
    <row r="37" spans="2:21" s="52" customFormat="1" ht="13.5" customHeight="1">
      <c r="B37" s="180">
        <f t="shared" si="5"/>
        <v>11</v>
      </c>
      <c r="C37" s="174">
        <v>2</v>
      </c>
      <c r="D37" s="173" t="s">
        <v>67</v>
      </c>
      <c r="E37" s="174">
        <v>11</v>
      </c>
      <c r="F37" s="175">
        <f>VLOOKUP(E37,'Deck Tally'!$B$5:$C$274,2,0)</f>
        <v>32.79</v>
      </c>
      <c r="G37" s="194">
        <f t="shared" si="4"/>
        <v>32.384500000000003</v>
      </c>
      <c r="H37" s="175" t="s">
        <v>68</v>
      </c>
      <c r="I37" s="176">
        <f t="shared" si="2"/>
        <v>515.60399999999993</v>
      </c>
      <c r="J37" s="176">
        <f t="shared" si="3"/>
        <v>19212.976000000002</v>
      </c>
      <c r="K37" s="195">
        <f t="shared" si="1"/>
        <v>97.142493894576006</v>
      </c>
      <c r="N37" s="196"/>
      <c r="Q37" s="59"/>
      <c r="R37" s="59"/>
      <c r="S37" s="59"/>
      <c r="T37" s="60"/>
      <c r="U37" s="60"/>
    </row>
    <row r="38" spans="2:21" s="52" customFormat="1" ht="13.5" customHeight="1">
      <c r="B38" s="180">
        <f t="shared" si="5"/>
        <v>12</v>
      </c>
      <c r="C38" s="174">
        <v>2</v>
      </c>
      <c r="D38" s="173" t="s">
        <v>67</v>
      </c>
      <c r="E38" s="174">
        <v>12</v>
      </c>
      <c r="F38" s="175">
        <f>VLOOKUP(E38,'Deck Tally'!$B$5:$C$274,2,0)</f>
        <v>33.94</v>
      </c>
      <c r="G38" s="194">
        <f t="shared" si="4"/>
        <v>33.534499999999994</v>
      </c>
      <c r="H38" s="175" t="s">
        <v>68</v>
      </c>
      <c r="I38" s="194">
        <f t="shared" si="2"/>
        <v>549.13849999999991</v>
      </c>
      <c r="J38" s="194">
        <f t="shared" si="3"/>
        <v>19179.441500000001</v>
      </c>
      <c r="K38" s="195">
        <f t="shared" si="1"/>
        <v>97.932232650496559</v>
      </c>
      <c r="L38" s="498"/>
      <c r="M38" s="499"/>
      <c r="N38" s="59"/>
      <c r="O38" s="196"/>
      <c r="P38" s="59"/>
      <c r="Q38" s="59"/>
      <c r="R38" s="59"/>
      <c r="S38" s="59"/>
      <c r="T38" s="60"/>
      <c r="U38" s="60"/>
    </row>
    <row r="39" spans="2:21" s="52" customFormat="1" ht="13.5" customHeight="1">
      <c r="B39" s="180">
        <f t="shared" si="5"/>
        <v>13</v>
      </c>
      <c r="C39" s="172">
        <v>2</v>
      </c>
      <c r="D39" s="173" t="s">
        <v>67</v>
      </c>
      <c r="E39" s="174">
        <v>13</v>
      </c>
      <c r="F39" s="175">
        <f>VLOOKUP(E39,'Deck Tally'!$B$5:$C$274,2,0)</f>
        <v>33.945</v>
      </c>
      <c r="G39" s="194">
        <f t="shared" si="4"/>
        <v>33.539500000000004</v>
      </c>
      <c r="H39" s="175" t="s">
        <v>68</v>
      </c>
      <c r="I39" s="194">
        <f t="shared" si="2"/>
        <v>582.67799999999988</v>
      </c>
      <c r="J39" s="194">
        <f t="shared" si="3"/>
        <v>19145.902000000002</v>
      </c>
      <c r="K39" s="195">
        <f t="shared" si="1"/>
        <v>98.722089156608092</v>
      </c>
      <c r="L39" s="496"/>
      <c r="M39" s="497"/>
      <c r="N39" s="59"/>
      <c r="O39" s="196"/>
      <c r="P39" s="59"/>
      <c r="Q39" s="59"/>
      <c r="R39" s="59"/>
      <c r="S39" s="59"/>
      <c r="T39" s="60"/>
      <c r="U39" s="60"/>
    </row>
    <row r="40" spans="2:21" s="52" customFormat="1" ht="13.5" customHeight="1">
      <c r="B40" s="180">
        <f t="shared" si="5"/>
        <v>14</v>
      </c>
      <c r="C40" s="174">
        <v>2</v>
      </c>
      <c r="D40" s="173" t="s">
        <v>67</v>
      </c>
      <c r="E40" s="174">
        <v>14</v>
      </c>
      <c r="F40" s="175">
        <f>VLOOKUP(E40,'Deck Tally'!$B$5:$C$274,2,0)</f>
        <v>33.945</v>
      </c>
      <c r="G40" s="194">
        <f t="shared" si="4"/>
        <v>33.539500000000004</v>
      </c>
      <c r="H40" s="175" t="s">
        <v>68</v>
      </c>
      <c r="I40" s="194">
        <f t="shared" si="2"/>
        <v>616.21749999999986</v>
      </c>
      <c r="J40" s="194">
        <f t="shared" si="3"/>
        <v>19112.362500000003</v>
      </c>
      <c r="K40" s="195">
        <f t="shared" si="1"/>
        <v>99.511945662719626</v>
      </c>
      <c r="L40" s="496"/>
      <c r="M40" s="497"/>
      <c r="N40" s="59"/>
      <c r="O40" s="59"/>
      <c r="P40" s="59"/>
      <c r="Q40" s="59"/>
      <c r="R40" s="59"/>
      <c r="S40" s="59"/>
      <c r="T40" s="60"/>
      <c r="U40" s="60"/>
    </row>
    <row r="41" spans="2:21" s="52" customFormat="1" ht="13.5" customHeight="1">
      <c r="B41" s="180">
        <f t="shared" si="5"/>
        <v>15</v>
      </c>
      <c r="C41" s="172">
        <v>2</v>
      </c>
      <c r="D41" s="173" t="s">
        <v>67</v>
      </c>
      <c r="E41" s="174">
        <v>15</v>
      </c>
      <c r="F41" s="175">
        <f>VLOOKUP(E41,'Deck Tally'!$B$5:$C$274,2,0)</f>
        <v>33.945</v>
      </c>
      <c r="G41" s="176">
        <f t="shared" si="4"/>
        <v>33.539500000000004</v>
      </c>
      <c r="H41" s="175" t="s">
        <v>68</v>
      </c>
      <c r="I41" s="194">
        <f t="shared" si="2"/>
        <v>649.75699999999983</v>
      </c>
      <c r="J41" s="194">
        <f t="shared" si="3"/>
        <v>19078.823</v>
      </c>
      <c r="K41" s="195">
        <f t="shared" si="1"/>
        <v>100.30180216883116</v>
      </c>
      <c r="L41" s="378"/>
      <c r="M41" s="379"/>
      <c r="N41" s="59"/>
      <c r="O41" s="59"/>
      <c r="P41" s="59"/>
      <c r="Q41" s="59"/>
      <c r="R41" s="59"/>
      <c r="S41" s="59"/>
      <c r="T41" s="60"/>
      <c r="U41" s="60"/>
    </row>
    <row r="42" spans="2:21" s="52" customFormat="1" ht="13.5" customHeight="1">
      <c r="B42" s="180">
        <f t="shared" si="5"/>
        <v>16</v>
      </c>
      <c r="C42" s="172">
        <v>2</v>
      </c>
      <c r="D42" s="173" t="s">
        <v>67</v>
      </c>
      <c r="E42" s="174">
        <v>16</v>
      </c>
      <c r="F42" s="175">
        <f>VLOOKUP(E42,'Deck Tally'!$B$5:$C$274,2,0)</f>
        <v>33.94</v>
      </c>
      <c r="G42" s="176">
        <f t="shared" si="4"/>
        <v>33.534499999999994</v>
      </c>
      <c r="H42" s="175" t="s">
        <v>68</v>
      </c>
      <c r="I42" s="176">
        <f t="shared" si="2"/>
        <v>683.29149999999981</v>
      </c>
      <c r="J42" s="176">
        <f t="shared" si="3"/>
        <v>19045.288500000002</v>
      </c>
      <c r="K42" s="177">
        <f t="shared" si="1"/>
        <v>101.09154092475171</v>
      </c>
      <c r="L42" s="378"/>
      <c r="M42" s="379"/>
      <c r="N42" s="59"/>
      <c r="O42" s="59"/>
      <c r="P42" s="59"/>
      <c r="Q42" s="59"/>
      <c r="R42" s="59"/>
      <c r="S42" s="59"/>
      <c r="T42" s="60"/>
      <c r="U42" s="60"/>
    </row>
    <row r="43" spans="2:21" s="52" customFormat="1" ht="13.5" customHeight="1">
      <c r="B43" s="180">
        <f t="shared" si="5"/>
        <v>17</v>
      </c>
      <c r="C43" s="172">
        <v>2</v>
      </c>
      <c r="D43" s="173" t="s">
        <v>67</v>
      </c>
      <c r="E43" s="174">
        <v>17</v>
      </c>
      <c r="F43" s="175">
        <f>VLOOKUP(E43,'Deck Tally'!$B$5:$C$274,2,0)</f>
        <v>33.954999999999998</v>
      </c>
      <c r="G43" s="176">
        <f t="shared" si="4"/>
        <v>33.549499999999995</v>
      </c>
      <c r="H43" s="175" t="s">
        <v>68</v>
      </c>
      <c r="I43" s="176">
        <f t="shared" si="2"/>
        <v>716.84099999999978</v>
      </c>
      <c r="J43" s="197">
        <f t="shared" si="3"/>
        <v>19011.739000000001</v>
      </c>
      <c r="K43" s="177">
        <f t="shared" si="1"/>
        <v>101.88163293124522</v>
      </c>
      <c r="L43" s="378"/>
      <c r="M43" s="379"/>
      <c r="N43" s="59"/>
      <c r="O43" s="59"/>
      <c r="P43" s="59"/>
      <c r="Q43" s="59"/>
      <c r="R43" s="59"/>
      <c r="S43" s="59"/>
      <c r="T43" s="60"/>
      <c r="U43" s="60"/>
    </row>
    <row r="44" spans="2:21" s="52" customFormat="1" ht="13.5" customHeight="1">
      <c r="B44" s="180">
        <f t="shared" si="5"/>
        <v>18</v>
      </c>
      <c r="C44" s="172">
        <v>2</v>
      </c>
      <c r="D44" s="173" t="s">
        <v>67</v>
      </c>
      <c r="E44" s="174">
        <v>18</v>
      </c>
      <c r="F44" s="175">
        <f>VLOOKUP(E44,'Deck Tally'!$B$5:$C$274,2,0)</f>
        <v>33.945</v>
      </c>
      <c r="G44" s="176">
        <f t="shared" si="4"/>
        <v>33.539500000000004</v>
      </c>
      <c r="H44" s="175" t="s">
        <v>68</v>
      </c>
      <c r="I44" s="176">
        <f t="shared" si="2"/>
        <v>750.38049999999976</v>
      </c>
      <c r="J44" s="197">
        <f t="shared" si="3"/>
        <v>18978.199500000002</v>
      </c>
      <c r="K44" s="177">
        <f t="shared" si="1"/>
        <v>102.67148943735675</v>
      </c>
      <c r="L44" s="378"/>
      <c r="M44" s="379"/>
      <c r="N44" s="59"/>
      <c r="O44" s="59"/>
      <c r="P44" s="59"/>
      <c r="Q44" s="59"/>
      <c r="R44" s="59"/>
      <c r="S44" s="59"/>
      <c r="T44" s="60"/>
      <c r="U44" s="60"/>
    </row>
    <row r="45" spans="2:21" s="52" customFormat="1" ht="13.5" customHeight="1">
      <c r="B45" s="180">
        <f t="shared" si="5"/>
        <v>19</v>
      </c>
      <c r="C45" s="172">
        <v>2</v>
      </c>
      <c r="D45" s="173" t="s">
        <v>67</v>
      </c>
      <c r="E45" s="174">
        <v>19</v>
      </c>
      <c r="F45" s="175">
        <f>VLOOKUP(E45,'Deck Tally'!$B$5:$C$274,2,0)</f>
        <v>33.935000000000002</v>
      </c>
      <c r="G45" s="194">
        <f t="shared" si="4"/>
        <v>33.529499999999999</v>
      </c>
      <c r="H45" s="175" t="s">
        <v>68</v>
      </c>
      <c r="I45" s="194">
        <f t="shared" si="2"/>
        <v>783.90999999999974</v>
      </c>
      <c r="J45" s="198">
        <f t="shared" si="3"/>
        <v>18944.670000000002</v>
      </c>
      <c r="K45" s="195">
        <f t="shared" si="1"/>
        <v>103.46111044308631</v>
      </c>
      <c r="L45" s="496"/>
      <c r="M45" s="497"/>
      <c r="N45" s="59"/>
      <c r="O45" s="59"/>
      <c r="P45" s="59"/>
      <c r="Q45" s="59"/>
      <c r="R45" s="59"/>
      <c r="S45" s="59"/>
      <c r="T45" s="60"/>
      <c r="U45" s="60"/>
    </row>
    <row r="46" spans="2:21" s="52" customFormat="1" ht="13.5" customHeight="1">
      <c r="B46" s="180">
        <f t="shared" si="5"/>
        <v>20</v>
      </c>
      <c r="C46" s="172">
        <v>2</v>
      </c>
      <c r="D46" s="173" t="s">
        <v>67</v>
      </c>
      <c r="E46" s="174">
        <v>20</v>
      </c>
      <c r="F46" s="175">
        <f>VLOOKUP(E46,'Deck Tally'!$B$5:$C$274,2,0)</f>
        <v>33.659999999999997</v>
      </c>
      <c r="G46" s="176">
        <f t="shared" si="4"/>
        <v>33.254499999999993</v>
      </c>
      <c r="H46" s="175" t="s">
        <v>68</v>
      </c>
      <c r="I46" s="176">
        <f t="shared" si="2"/>
        <v>817.16449999999975</v>
      </c>
      <c r="J46" s="197">
        <f t="shared" si="3"/>
        <v>18911.415500000003</v>
      </c>
      <c r="K46" s="177">
        <f t="shared" si="1"/>
        <v>104.24425518831168</v>
      </c>
      <c r="L46" s="378"/>
      <c r="M46" s="379"/>
      <c r="N46" s="59"/>
      <c r="O46" s="59"/>
      <c r="P46" s="59"/>
      <c r="Q46" s="59"/>
      <c r="R46" s="59"/>
      <c r="S46" s="59"/>
      <c r="T46" s="60"/>
      <c r="U46" s="60"/>
    </row>
    <row r="47" spans="2:21" s="52" customFormat="1" ht="13.5" customHeight="1">
      <c r="B47" s="180">
        <f t="shared" si="5"/>
        <v>21</v>
      </c>
      <c r="C47" s="172">
        <v>2</v>
      </c>
      <c r="D47" s="173" t="s">
        <v>67</v>
      </c>
      <c r="E47" s="174">
        <v>21</v>
      </c>
      <c r="F47" s="175">
        <f>VLOOKUP(E47,'Deck Tally'!$B$5:$C$274,2,0)</f>
        <v>33.935000000000002</v>
      </c>
      <c r="G47" s="176">
        <f t="shared" si="4"/>
        <v>33.529499999999999</v>
      </c>
      <c r="H47" s="175" t="s">
        <v>68</v>
      </c>
      <c r="I47" s="176">
        <f t="shared" si="2"/>
        <v>850.69399999999973</v>
      </c>
      <c r="J47" s="197">
        <f t="shared" si="3"/>
        <v>18877.886000000002</v>
      </c>
      <c r="K47" s="177">
        <f t="shared" si="1"/>
        <v>105.03387619404126</v>
      </c>
      <c r="L47" s="378"/>
      <c r="M47" s="379"/>
      <c r="N47" s="59"/>
      <c r="O47" s="59"/>
      <c r="P47" s="59"/>
      <c r="Q47" s="59"/>
      <c r="R47" s="59"/>
      <c r="S47" s="59"/>
      <c r="T47" s="60"/>
      <c r="U47" s="60"/>
    </row>
    <row r="48" spans="2:21" s="52" customFormat="1" ht="13.5" customHeight="1">
      <c r="B48" s="180">
        <f t="shared" si="5"/>
        <v>22</v>
      </c>
      <c r="C48" s="172">
        <v>2</v>
      </c>
      <c r="D48" s="173" t="s">
        <v>67</v>
      </c>
      <c r="E48" s="174">
        <v>22</v>
      </c>
      <c r="F48" s="175">
        <f>VLOOKUP(E48,'Deck Tally'!$B$5:$C$274,2,0)</f>
        <v>33.935000000000002</v>
      </c>
      <c r="G48" s="176">
        <f t="shared" si="4"/>
        <v>33.529499999999999</v>
      </c>
      <c r="H48" s="175" t="s">
        <v>68</v>
      </c>
      <c r="I48" s="176">
        <f t="shared" si="2"/>
        <v>884.22349999999972</v>
      </c>
      <c r="J48" s="176">
        <f t="shared" si="3"/>
        <v>18844.356500000002</v>
      </c>
      <c r="K48" s="177">
        <f t="shared" si="1"/>
        <v>105.82349719977081</v>
      </c>
      <c r="L48" s="378"/>
      <c r="M48" s="379"/>
      <c r="N48" s="59"/>
      <c r="O48" s="59"/>
      <c r="P48" s="59"/>
      <c r="Q48" s="59"/>
      <c r="R48" s="59"/>
      <c r="S48" s="59"/>
      <c r="T48" s="60"/>
      <c r="U48" s="60"/>
    </row>
    <row r="49" spans="2:21" s="52" customFormat="1" ht="13.5" customHeight="1">
      <c r="B49" s="180">
        <f t="shared" si="5"/>
        <v>23</v>
      </c>
      <c r="C49" s="172">
        <v>2</v>
      </c>
      <c r="D49" s="173" t="s">
        <v>67</v>
      </c>
      <c r="E49" s="174">
        <v>23</v>
      </c>
      <c r="F49" s="175">
        <f>VLOOKUP(E49,'Deck Tally'!$B$5:$C$274,2,0)</f>
        <v>33.935000000000002</v>
      </c>
      <c r="G49" s="176">
        <f t="shared" si="4"/>
        <v>33.529499999999999</v>
      </c>
      <c r="H49" s="175" t="s">
        <v>68</v>
      </c>
      <c r="I49" s="176">
        <f t="shared" si="2"/>
        <v>917.7529999999997</v>
      </c>
      <c r="J49" s="176">
        <f t="shared" si="3"/>
        <v>18810.827000000001</v>
      </c>
      <c r="K49" s="177">
        <f t="shared" si="1"/>
        <v>106.61311820550037</v>
      </c>
      <c r="L49" s="378"/>
      <c r="M49" s="379"/>
      <c r="N49" s="59"/>
      <c r="O49" s="59"/>
      <c r="P49" s="59"/>
      <c r="Q49" s="59"/>
      <c r="R49" s="59"/>
      <c r="S49" s="59"/>
      <c r="T49" s="60"/>
      <c r="U49" s="60"/>
    </row>
    <row r="50" spans="2:21" s="52" customFormat="1" ht="13.5" customHeight="1">
      <c r="B50" s="180">
        <f t="shared" si="5"/>
        <v>24</v>
      </c>
      <c r="C50" s="172">
        <v>2</v>
      </c>
      <c r="D50" s="173" t="s">
        <v>67</v>
      </c>
      <c r="E50" s="174">
        <v>24</v>
      </c>
      <c r="F50" s="175">
        <f>VLOOKUP(E50,'Deck Tally'!$B$5:$C$274,2,0)</f>
        <v>33.93</v>
      </c>
      <c r="G50" s="176">
        <f t="shared" si="4"/>
        <v>33.524500000000003</v>
      </c>
      <c r="H50" s="175" t="s">
        <v>68</v>
      </c>
      <c r="I50" s="176">
        <f t="shared" si="2"/>
        <v>951.27749999999969</v>
      </c>
      <c r="J50" s="176">
        <f t="shared" si="3"/>
        <v>18777.302500000002</v>
      </c>
      <c r="K50" s="177">
        <f t="shared" si="1"/>
        <v>107.40262146103896</v>
      </c>
      <c r="L50" s="482"/>
      <c r="M50" s="483"/>
      <c r="N50" s="59"/>
      <c r="O50" s="59"/>
      <c r="P50" s="59"/>
      <c r="Q50" s="59"/>
      <c r="R50" s="59"/>
      <c r="S50" s="59"/>
      <c r="T50" s="60"/>
      <c r="U50" s="60"/>
    </row>
    <row r="51" spans="2:21" s="52" customFormat="1" ht="13.5" customHeight="1">
      <c r="B51" s="180">
        <f t="shared" si="5"/>
        <v>25</v>
      </c>
      <c r="C51" s="172">
        <v>2</v>
      </c>
      <c r="D51" s="173" t="s">
        <v>67</v>
      </c>
      <c r="E51" s="174">
        <v>25</v>
      </c>
      <c r="F51" s="175">
        <f>VLOOKUP(E51,'Deck Tally'!$B$5:$C$274,2,0)</f>
        <v>33.515000000000001</v>
      </c>
      <c r="G51" s="176">
        <f t="shared" si="4"/>
        <v>33.109499999999997</v>
      </c>
      <c r="H51" s="175" t="s">
        <v>68</v>
      </c>
      <c r="I51" s="176">
        <f t="shared" si="2"/>
        <v>984.38699999999972</v>
      </c>
      <c r="J51" s="197">
        <f t="shared" si="3"/>
        <v>18744.193000000003</v>
      </c>
      <c r="K51" s="177">
        <f t="shared" si="1"/>
        <v>108.18235145072575</v>
      </c>
      <c r="L51" s="378"/>
      <c r="M51" s="379"/>
      <c r="N51" s="59"/>
      <c r="O51" s="59"/>
      <c r="P51" s="59"/>
      <c r="Q51" s="59"/>
      <c r="R51" s="59"/>
      <c r="S51" s="59"/>
      <c r="T51" s="60"/>
      <c r="U51" s="60"/>
    </row>
    <row r="52" spans="2:21" s="52" customFormat="1" ht="13.5" customHeight="1">
      <c r="B52" s="180">
        <f t="shared" si="5"/>
        <v>26</v>
      </c>
      <c r="C52" s="172">
        <v>2</v>
      </c>
      <c r="D52" s="173" t="s">
        <v>67</v>
      </c>
      <c r="E52" s="174">
        <v>26</v>
      </c>
      <c r="F52" s="175">
        <f>VLOOKUP(E52,'Deck Tally'!$B$5:$C$274,2,0)</f>
        <v>33.96</v>
      </c>
      <c r="G52" s="176">
        <f t="shared" si="4"/>
        <v>33.554500000000004</v>
      </c>
      <c r="H52" s="175" t="s">
        <v>68</v>
      </c>
      <c r="I52" s="176">
        <f t="shared" si="2"/>
        <v>1017.9414999999997</v>
      </c>
      <c r="J52" s="197">
        <f t="shared" si="3"/>
        <v>18710.638500000001</v>
      </c>
      <c r="K52" s="177">
        <f t="shared" si="1"/>
        <v>108.97256120741022</v>
      </c>
      <c r="L52" s="378"/>
      <c r="M52" s="379"/>
      <c r="N52" s="59"/>
      <c r="O52" s="59"/>
      <c r="P52" s="59"/>
      <c r="Q52" s="59"/>
      <c r="R52" s="59"/>
      <c r="S52" s="59"/>
      <c r="T52" s="60"/>
      <c r="U52" s="60"/>
    </row>
    <row r="53" spans="2:21" s="52" customFormat="1" ht="13.5" customHeight="1">
      <c r="B53" s="180">
        <f t="shared" si="5"/>
        <v>27</v>
      </c>
      <c r="C53" s="172">
        <v>2</v>
      </c>
      <c r="D53" s="173" t="s">
        <v>67</v>
      </c>
      <c r="E53" s="174">
        <v>27</v>
      </c>
      <c r="F53" s="175">
        <f>VLOOKUP(E53,'Deck Tally'!$B$5:$C$274,2,0)</f>
        <v>33.950000000000003</v>
      </c>
      <c r="G53" s="194">
        <f t="shared" si="4"/>
        <v>33.544499999999999</v>
      </c>
      <c r="H53" s="175" t="s">
        <v>68</v>
      </c>
      <c r="I53" s="194">
        <f t="shared" si="2"/>
        <v>1051.4859999999996</v>
      </c>
      <c r="J53" s="197">
        <f t="shared" si="3"/>
        <v>18677.094000000001</v>
      </c>
      <c r="K53" s="195">
        <f t="shared" si="1"/>
        <v>109.76253546371275</v>
      </c>
      <c r="L53" s="378"/>
      <c r="M53" s="379"/>
      <c r="N53" s="59"/>
      <c r="O53" s="59"/>
      <c r="P53" s="59"/>
      <c r="Q53" s="59"/>
      <c r="R53" s="59"/>
      <c r="S53" s="59"/>
      <c r="T53" s="60"/>
      <c r="U53" s="60"/>
    </row>
    <row r="54" spans="2:21" s="52" customFormat="1" ht="13.5" customHeight="1">
      <c r="B54" s="180">
        <f t="shared" si="5"/>
        <v>28</v>
      </c>
      <c r="C54" s="172">
        <v>2</v>
      </c>
      <c r="D54" s="173" t="s">
        <v>67</v>
      </c>
      <c r="E54" s="174">
        <v>28</v>
      </c>
      <c r="F54" s="175">
        <f>VLOOKUP(E54,'Deck Tally'!$B$5:$C$274,2,0)-0.46</f>
        <v>33.924999999999997</v>
      </c>
      <c r="G54" s="199">
        <f t="shared" si="4"/>
        <v>33.519499999999994</v>
      </c>
      <c r="H54" s="175" t="s">
        <v>68</v>
      </c>
      <c r="I54" s="176">
        <f t="shared" si="2"/>
        <v>1085.0054999999998</v>
      </c>
      <c r="J54" s="197">
        <f t="shared" si="3"/>
        <v>18643.574500000002</v>
      </c>
      <c r="K54" s="177">
        <f t="shared" si="1"/>
        <v>110.55192096906035</v>
      </c>
      <c r="L54" s="378"/>
      <c r="M54" s="379"/>
      <c r="N54" s="59"/>
      <c r="O54" s="59"/>
      <c r="P54" s="59"/>
      <c r="Q54" s="59"/>
      <c r="R54" s="59"/>
      <c r="S54" s="59"/>
      <c r="T54" s="60"/>
      <c r="U54" s="60"/>
    </row>
    <row r="55" spans="2:21" s="52" customFormat="1" ht="13.5" customHeight="1">
      <c r="B55" s="180">
        <f t="shared" si="5"/>
        <v>29</v>
      </c>
      <c r="C55" s="172">
        <v>2</v>
      </c>
      <c r="D55" s="173" t="s">
        <v>67</v>
      </c>
      <c r="E55" s="174">
        <v>29</v>
      </c>
      <c r="F55" s="175">
        <f>VLOOKUP(E55,'Deck Tally'!$B$5:$C$274,2,0)-0.46</f>
        <v>33.880000000000003</v>
      </c>
      <c r="G55" s="199">
        <f t="shared" si="4"/>
        <v>33.474500000000006</v>
      </c>
      <c r="H55" s="175" t="s">
        <v>68</v>
      </c>
      <c r="I55" s="176">
        <f t="shared" si="2"/>
        <v>1118.4799999999998</v>
      </c>
      <c r="J55" s="197">
        <f t="shared" si="3"/>
        <v>18610.100000000002</v>
      </c>
      <c r="K55" s="177">
        <f t="shared" si="1"/>
        <v>111.34024672268907</v>
      </c>
      <c r="L55" s="378"/>
      <c r="M55" s="379"/>
      <c r="N55" s="59"/>
      <c r="O55" s="196"/>
      <c r="P55" s="59"/>
      <c r="Q55" s="59"/>
      <c r="R55" s="59"/>
      <c r="S55" s="59"/>
      <c r="T55" s="60"/>
      <c r="U55" s="60"/>
    </row>
    <row r="56" spans="2:21" s="52" customFormat="1" ht="13.5" customHeight="1">
      <c r="B56" s="180">
        <f t="shared" si="5"/>
        <v>30</v>
      </c>
      <c r="C56" s="172">
        <v>2</v>
      </c>
      <c r="D56" s="173" t="s">
        <v>67</v>
      </c>
      <c r="E56" s="174">
        <v>30</v>
      </c>
      <c r="F56" s="175">
        <f>VLOOKUP(E56,'Deck Tally'!$B$5:$C$274,2,0)-0.46</f>
        <v>33.880000000000003</v>
      </c>
      <c r="G56" s="199">
        <f t="shared" si="4"/>
        <v>33.474500000000006</v>
      </c>
      <c r="H56" s="175" t="s">
        <v>68</v>
      </c>
      <c r="I56" s="176">
        <f t="shared" si="2"/>
        <v>1151.9544999999998</v>
      </c>
      <c r="J56" s="176">
        <f t="shared" si="3"/>
        <v>18576.625500000002</v>
      </c>
      <c r="K56" s="177">
        <f t="shared" si="1"/>
        <v>112.1285724763178</v>
      </c>
      <c r="L56" s="378"/>
      <c r="M56" s="379"/>
      <c r="N56" s="59"/>
      <c r="O56" s="59"/>
      <c r="P56" s="59"/>
      <c r="Q56" s="59"/>
      <c r="R56" s="59"/>
      <c r="S56" s="59"/>
      <c r="T56" s="60"/>
      <c r="U56" s="60"/>
    </row>
    <row r="57" spans="2:21" s="52" customFormat="1" ht="13.5" customHeight="1">
      <c r="B57" s="180">
        <f t="shared" si="5"/>
        <v>31</v>
      </c>
      <c r="C57" s="172">
        <v>2</v>
      </c>
      <c r="D57" s="173" t="s">
        <v>67</v>
      </c>
      <c r="E57" s="174">
        <v>31</v>
      </c>
      <c r="F57" s="175">
        <f>VLOOKUP(E57,'Deck Tally'!$B$5:$C$274,2,0)-0.46</f>
        <v>33.884999999999998</v>
      </c>
      <c r="G57" s="199">
        <f t="shared" si="4"/>
        <v>33.479500000000002</v>
      </c>
      <c r="H57" s="175" t="s">
        <v>68</v>
      </c>
      <c r="I57" s="176">
        <f t="shared" si="2"/>
        <v>1185.4339999999997</v>
      </c>
      <c r="J57" s="176">
        <f t="shared" si="3"/>
        <v>18543.146000000001</v>
      </c>
      <c r="K57" s="177">
        <f t="shared" si="1"/>
        <v>112.91701598013751</v>
      </c>
      <c r="L57" s="385"/>
      <c r="M57" s="386"/>
      <c r="N57" s="59"/>
      <c r="O57" s="59"/>
      <c r="P57" s="59"/>
      <c r="Q57" s="59"/>
      <c r="R57" s="59"/>
      <c r="S57" s="59"/>
      <c r="T57" s="60"/>
      <c r="U57" s="60"/>
    </row>
    <row r="58" spans="2:21" s="52" customFormat="1" ht="13.5" customHeight="1">
      <c r="B58" s="180">
        <f t="shared" si="5"/>
        <v>32</v>
      </c>
      <c r="C58" s="172">
        <v>2</v>
      </c>
      <c r="D58" s="173" t="s">
        <v>67</v>
      </c>
      <c r="E58" s="174">
        <v>32</v>
      </c>
      <c r="F58" s="175">
        <f>VLOOKUP(E58,'Deck Tally'!$B$5:$C$274,2,0)-0.46</f>
        <v>33.545000000000002</v>
      </c>
      <c r="G58" s="199">
        <f t="shared" ref="G58:G89" si="6">F58-($E$11/12)</f>
        <v>33.139499999999998</v>
      </c>
      <c r="H58" s="175" t="s">
        <v>68</v>
      </c>
      <c r="I58" s="176">
        <f t="shared" si="2"/>
        <v>1218.5734999999997</v>
      </c>
      <c r="J58" s="176">
        <f t="shared" si="3"/>
        <v>18510.006500000003</v>
      </c>
      <c r="K58" s="177">
        <f t="shared" si="1"/>
        <v>113.69745247097021</v>
      </c>
      <c r="L58" s="385"/>
      <c r="M58" s="386"/>
      <c r="N58" s="59"/>
      <c r="O58" s="59"/>
      <c r="P58" s="59"/>
      <c r="Q58" s="59"/>
      <c r="R58" s="59"/>
      <c r="S58" s="59"/>
      <c r="T58" s="60"/>
      <c r="U58" s="60"/>
    </row>
    <row r="59" spans="2:21" s="52" customFormat="1" ht="13.5" customHeight="1">
      <c r="B59" s="180">
        <f t="shared" si="5"/>
        <v>33</v>
      </c>
      <c r="C59" s="172">
        <v>2</v>
      </c>
      <c r="D59" s="173" t="s">
        <v>67</v>
      </c>
      <c r="E59" s="174">
        <v>33</v>
      </c>
      <c r="F59" s="175">
        <f>VLOOKUP(E59,'Deck Tally'!$B$5:$C$274,2,0)</f>
        <v>33.56</v>
      </c>
      <c r="G59" s="176">
        <f t="shared" si="6"/>
        <v>33.154499999999999</v>
      </c>
      <c r="H59" s="175" t="s">
        <v>68</v>
      </c>
      <c r="I59" s="176">
        <f t="shared" si="2"/>
        <v>1251.7279999999998</v>
      </c>
      <c r="J59" s="176">
        <f t="shared" si="3"/>
        <v>18476.852000000003</v>
      </c>
      <c r="K59" s="177">
        <f t="shared" si="1"/>
        <v>114.47824221237585</v>
      </c>
      <c r="L59" s="385"/>
      <c r="M59" s="386"/>
      <c r="N59" s="59"/>
      <c r="O59" s="187"/>
      <c r="P59" s="59"/>
      <c r="Q59" s="59"/>
      <c r="R59" s="59"/>
      <c r="S59" s="59"/>
      <c r="T59" s="60"/>
      <c r="U59" s="60"/>
    </row>
    <row r="60" spans="2:21" s="202" customFormat="1" ht="13.5" customHeight="1">
      <c r="B60" s="180">
        <f t="shared" si="5"/>
        <v>34</v>
      </c>
      <c r="C60" s="172">
        <v>2</v>
      </c>
      <c r="D60" s="173" t="s">
        <v>67</v>
      </c>
      <c r="E60" s="174">
        <v>34</v>
      </c>
      <c r="F60" s="175">
        <f>VLOOKUP(E60,'Deck Tally'!$B$5:$C$274,2,0)</f>
        <v>33.909999999999997</v>
      </c>
      <c r="G60" s="176">
        <f t="shared" si="6"/>
        <v>33.504499999999993</v>
      </c>
      <c r="H60" s="175" t="s">
        <v>68</v>
      </c>
      <c r="I60" s="176">
        <f t="shared" si="2"/>
        <v>1285.2324999999998</v>
      </c>
      <c r="J60" s="176">
        <f t="shared" si="3"/>
        <v>18443.347500000003</v>
      </c>
      <c r="K60" s="177">
        <f t="shared" si="1"/>
        <v>115.26727446715049</v>
      </c>
      <c r="L60" s="385"/>
      <c r="M60" s="386"/>
      <c r="N60" s="200"/>
      <c r="O60" s="59"/>
      <c r="P60" s="200"/>
      <c r="Q60" s="200"/>
      <c r="R60" s="200"/>
      <c r="S60" s="200"/>
      <c r="T60" s="201"/>
      <c r="U60" s="201"/>
    </row>
    <row r="61" spans="2:21" s="52" customFormat="1" ht="13.5" customHeight="1">
      <c r="B61" s="180">
        <f t="shared" si="5"/>
        <v>35</v>
      </c>
      <c r="C61" s="172">
        <v>2</v>
      </c>
      <c r="D61" s="173" t="s">
        <v>67</v>
      </c>
      <c r="E61" s="174">
        <v>35</v>
      </c>
      <c r="F61" s="175">
        <f>VLOOKUP(E61,'Deck Tally'!$B$5:$C$274,2,0)</f>
        <v>32.229999999999997</v>
      </c>
      <c r="G61" s="176">
        <f t="shared" si="6"/>
        <v>31.824499999999997</v>
      </c>
      <c r="H61" s="175" t="s">
        <v>68</v>
      </c>
      <c r="I61" s="176">
        <f t="shared" si="2"/>
        <v>1317.0569999999998</v>
      </c>
      <c r="J61" s="176">
        <f t="shared" si="3"/>
        <v>18411.523000000001</v>
      </c>
      <c r="K61" s="177">
        <f t="shared" si="1"/>
        <v>116.01674265775401</v>
      </c>
      <c r="L61" s="486"/>
      <c r="M61" s="487"/>
      <c r="N61" s="59"/>
      <c r="O61" s="59"/>
      <c r="P61" s="59"/>
      <c r="Q61" s="59"/>
      <c r="R61" s="59"/>
      <c r="S61" s="59"/>
      <c r="T61" s="60"/>
      <c r="U61" s="60"/>
    </row>
    <row r="62" spans="2:21" s="52" customFormat="1" ht="13.5" customHeight="1">
      <c r="B62" s="180">
        <f t="shared" si="5"/>
        <v>36</v>
      </c>
      <c r="C62" s="172">
        <v>2</v>
      </c>
      <c r="D62" s="173" t="s">
        <v>67</v>
      </c>
      <c r="E62" s="174">
        <v>36</v>
      </c>
      <c r="F62" s="175">
        <f>VLOOKUP(E62,'Deck Tally'!$B$5:$C$274,2,0)-0.46</f>
        <v>33.935000000000002</v>
      </c>
      <c r="G62" s="199">
        <f t="shared" si="6"/>
        <v>33.529499999999999</v>
      </c>
      <c r="H62" s="175" t="s">
        <v>68</v>
      </c>
      <c r="I62" s="176">
        <f t="shared" si="2"/>
        <v>1350.5864999999999</v>
      </c>
      <c r="J62" s="176">
        <f t="shared" si="3"/>
        <v>18377.9935</v>
      </c>
      <c r="K62" s="177">
        <f t="shared" si="1"/>
        <v>116.80636366348358</v>
      </c>
      <c r="L62" s="486"/>
      <c r="M62" s="487"/>
      <c r="N62" s="59"/>
      <c r="O62" s="59"/>
      <c r="P62" s="59"/>
      <c r="Q62" s="59"/>
      <c r="R62" s="59"/>
      <c r="S62" s="59"/>
      <c r="T62" s="60"/>
      <c r="U62" s="60"/>
    </row>
    <row r="63" spans="2:21" s="52" customFormat="1" ht="13.5" customHeight="1">
      <c r="B63" s="180">
        <f t="shared" si="5"/>
        <v>37</v>
      </c>
      <c r="C63" s="172">
        <v>2</v>
      </c>
      <c r="D63" s="173" t="s">
        <v>67</v>
      </c>
      <c r="E63" s="174">
        <v>37</v>
      </c>
      <c r="F63" s="175">
        <f>VLOOKUP(E63,'Deck Tally'!$B$5:$C$274,2,0)-0.46</f>
        <v>33.909999999999997</v>
      </c>
      <c r="G63" s="199">
        <f t="shared" si="6"/>
        <v>33.504499999999993</v>
      </c>
      <c r="H63" s="175" t="s">
        <v>68</v>
      </c>
      <c r="I63" s="176">
        <f t="shared" si="2"/>
        <v>1384.0909999999999</v>
      </c>
      <c r="J63" s="176">
        <f t="shared" si="3"/>
        <v>18344.489000000001</v>
      </c>
      <c r="K63" s="177">
        <f t="shared" si="1"/>
        <v>117.59539591825822</v>
      </c>
      <c r="L63" s="378"/>
      <c r="M63" s="379"/>
      <c r="N63" s="59"/>
      <c r="O63" s="59"/>
      <c r="P63" s="59"/>
      <c r="Q63" s="59"/>
      <c r="R63" s="59"/>
      <c r="S63" s="59"/>
      <c r="T63" s="60"/>
      <c r="U63" s="60"/>
    </row>
    <row r="64" spans="2:21" s="52" customFormat="1" ht="13.5" customHeight="1">
      <c r="B64" s="180">
        <f t="shared" si="5"/>
        <v>38</v>
      </c>
      <c r="C64" s="172">
        <v>2</v>
      </c>
      <c r="D64" s="173" t="s">
        <v>67</v>
      </c>
      <c r="E64" s="174">
        <v>38</v>
      </c>
      <c r="F64" s="175">
        <f>VLOOKUP(E64,'Deck Tally'!$B$5:$C$274,2,0)</f>
        <v>33.729999999999997</v>
      </c>
      <c r="G64" s="176">
        <f t="shared" si="6"/>
        <v>33.3245</v>
      </c>
      <c r="H64" s="175" t="s">
        <v>68</v>
      </c>
      <c r="I64" s="176">
        <f t="shared" si="2"/>
        <v>1417.4154999999998</v>
      </c>
      <c r="J64" s="176">
        <f t="shared" si="3"/>
        <v>18311.164500000003</v>
      </c>
      <c r="K64" s="177">
        <f t="shared" si="1"/>
        <v>118.38018916615736</v>
      </c>
      <c r="L64" s="482"/>
      <c r="M64" s="483"/>
      <c r="N64" s="59"/>
      <c r="O64" s="59"/>
      <c r="P64" s="59"/>
      <c r="Q64" s="59"/>
      <c r="R64" s="59"/>
      <c r="S64" s="59"/>
      <c r="T64" s="60"/>
      <c r="U64" s="60"/>
    </row>
    <row r="65" spans="2:21" s="52" customFormat="1" ht="13.5" customHeight="1">
      <c r="B65" s="180">
        <f t="shared" ref="B65:B87" si="7">B64+1</f>
        <v>39</v>
      </c>
      <c r="C65" s="172">
        <v>2</v>
      </c>
      <c r="D65" s="173" t="s">
        <v>67</v>
      </c>
      <c r="E65" s="174">
        <v>39</v>
      </c>
      <c r="F65" s="175">
        <f>VLOOKUP(E65,'Deck Tally'!$B$5:$C$274,2,0)-0.46</f>
        <v>33.784999999999997</v>
      </c>
      <c r="G65" s="199">
        <f t="shared" si="6"/>
        <v>33.379499999999993</v>
      </c>
      <c r="H65" s="175" t="s">
        <v>68</v>
      </c>
      <c r="I65" s="176">
        <f t="shared" si="2"/>
        <v>1450.7949999999998</v>
      </c>
      <c r="J65" s="176">
        <f t="shared" si="3"/>
        <v>18277.785000000003</v>
      </c>
      <c r="K65" s="177">
        <f t="shared" si="1"/>
        <v>119.16627766615736</v>
      </c>
      <c r="L65" s="482"/>
      <c r="M65" s="483"/>
      <c r="N65" s="59"/>
      <c r="O65" s="59"/>
      <c r="P65" s="59"/>
      <c r="Q65" s="59"/>
      <c r="R65" s="59"/>
      <c r="S65" s="59"/>
      <c r="T65" s="60"/>
      <c r="U65" s="60"/>
    </row>
    <row r="66" spans="2:21" s="52" customFormat="1" ht="13.5" customHeight="1">
      <c r="B66" s="180">
        <f t="shared" si="7"/>
        <v>40</v>
      </c>
      <c r="C66" s="172">
        <v>2</v>
      </c>
      <c r="D66" s="173" t="s">
        <v>67</v>
      </c>
      <c r="E66" s="174">
        <v>40</v>
      </c>
      <c r="F66" s="175">
        <f>VLOOKUP(E66,'Deck Tally'!$B$5:$C$274,2,0)-0.46</f>
        <v>33.909999999999997</v>
      </c>
      <c r="G66" s="199">
        <f t="shared" si="6"/>
        <v>33.504499999999993</v>
      </c>
      <c r="H66" s="175" t="s">
        <v>68</v>
      </c>
      <c r="I66" s="176">
        <f t="shared" si="2"/>
        <v>1484.2994999999999</v>
      </c>
      <c r="J66" s="197">
        <f t="shared" si="3"/>
        <v>18244.280500000001</v>
      </c>
      <c r="K66" s="177">
        <f t="shared" si="1"/>
        <v>119.95530992093201</v>
      </c>
      <c r="L66" s="378"/>
      <c r="M66" s="379"/>
      <c r="N66" s="59"/>
      <c r="O66" s="59"/>
      <c r="P66" s="59"/>
      <c r="Q66" s="59"/>
      <c r="R66" s="59"/>
      <c r="S66" s="59"/>
      <c r="T66" s="60"/>
      <c r="U66" s="60"/>
    </row>
    <row r="67" spans="2:21" s="52" customFormat="1" ht="13.5" customHeight="1">
      <c r="B67" s="180">
        <f t="shared" si="7"/>
        <v>41</v>
      </c>
      <c r="C67" s="172">
        <v>2</v>
      </c>
      <c r="D67" s="173" t="s">
        <v>67</v>
      </c>
      <c r="E67" s="174">
        <v>41</v>
      </c>
      <c r="F67" s="175">
        <f>VLOOKUP(E67,'Deck Tally'!$B$5:$C$274,2,0)-0.46</f>
        <v>33.935000000000002</v>
      </c>
      <c r="G67" s="199">
        <f t="shared" si="6"/>
        <v>33.529499999999999</v>
      </c>
      <c r="H67" s="175" t="s">
        <v>68</v>
      </c>
      <c r="I67" s="176">
        <f t="shared" si="2"/>
        <v>1517.829</v>
      </c>
      <c r="J67" s="197">
        <f t="shared" si="3"/>
        <v>18210.751</v>
      </c>
      <c r="K67" s="177">
        <f t="shared" si="1"/>
        <v>120.74493092666157</v>
      </c>
      <c r="L67" s="378"/>
      <c r="M67" s="379"/>
      <c r="N67" s="59"/>
      <c r="O67" s="59"/>
      <c r="P67" s="59"/>
      <c r="Q67" s="59"/>
      <c r="R67" s="59"/>
      <c r="S67" s="59"/>
      <c r="T67" s="60"/>
      <c r="U67" s="60"/>
    </row>
    <row r="68" spans="2:21" s="52" customFormat="1" ht="13.5" customHeight="1">
      <c r="B68" s="180">
        <f t="shared" si="7"/>
        <v>42</v>
      </c>
      <c r="C68" s="172">
        <v>2</v>
      </c>
      <c r="D68" s="173" t="s">
        <v>67</v>
      </c>
      <c r="E68" s="174">
        <v>42</v>
      </c>
      <c r="F68" s="175">
        <f>VLOOKUP(E68,'Deck Tally'!$B$5:$C$274,2,0)-0.46</f>
        <v>33.93</v>
      </c>
      <c r="G68" s="199">
        <f t="shared" si="6"/>
        <v>33.524500000000003</v>
      </c>
      <c r="H68" s="175" t="s">
        <v>68</v>
      </c>
      <c r="I68" s="194">
        <f t="shared" si="2"/>
        <v>1551.3534999999999</v>
      </c>
      <c r="J68" s="198">
        <f t="shared" si="3"/>
        <v>18177.226500000001</v>
      </c>
      <c r="K68" s="195">
        <f t="shared" si="1"/>
        <v>121.53443418220016</v>
      </c>
      <c r="L68" s="496"/>
      <c r="M68" s="497"/>
      <c r="N68" s="59"/>
      <c r="O68" s="59"/>
      <c r="P68" s="59"/>
      <c r="Q68" s="59"/>
      <c r="R68" s="59"/>
      <c r="S68" s="59"/>
      <c r="T68" s="60"/>
      <c r="U68" s="60"/>
    </row>
    <row r="69" spans="2:21" s="52" customFormat="1" ht="13.5" customHeight="1">
      <c r="B69" s="180">
        <f t="shared" si="7"/>
        <v>43</v>
      </c>
      <c r="C69" s="172">
        <v>2</v>
      </c>
      <c r="D69" s="173" t="s">
        <v>67</v>
      </c>
      <c r="E69" s="174">
        <v>43</v>
      </c>
      <c r="F69" s="175">
        <f>VLOOKUP(E69,'Deck Tally'!$B$5:$C$274,2,0)-0.46</f>
        <v>33.935000000000002</v>
      </c>
      <c r="G69" s="199">
        <f t="shared" si="6"/>
        <v>33.529499999999999</v>
      </c>
      <c r="H69" s="175" t="s">
        <v>68</v>
      </c>
      <c r="I69" s="176">
        <f t="shared" si="2"/>
        <v>1584.883</v>
      </c>
      <c r="J69" s="197">
        <f t="shared" si="3"/>
        <v>18143.697</v>
      </c>
      <c r="K69" s="177">
        <f t="shared" si="1"/>
        <v>122.32405518792973</v>
      </c>
      <c r="L69" s="378"/>
      <c r="M69" s="379"/>
      <c r="N69" s="59"/>
      <c r="O69" s="59"/>
      <c r="P69" s="59"/>
      <c r="Q69" s="59"/>
      <c r="R69" s="59"/>
      <c r="S69" s="59"/>
      <c r="T69" s="60"/>
      <c r="U69" s="60"/>
    </row>
    <row r="70" spans="2:21" s="52" customFormat="1" ht="13.5" customHeight="1">
      <c r="B70" s="180">
        <f t="shared" si="7"/>
        <v>44</v>
      </c>
      <c r="C70" s="172">
        <v>2</v>
      </c>
      <c r="D70" s="173" t="s">
        <v>67</v>
      </c>
      <c r="E70" s="174">
        <v>44</v>
      </c>
      <c r="F70" s="175">
        <f>VLOOKUP(E70,'Deck Tally'!$B$5:$C$274,2,0)</f>
        <v>33.1</v>
      </c>
      <c r="G70" s="176">
        <f t="shared" si="6"/>
        <v>32.694500000000005</v>
      </c>
      <c r="H70" s="175" t="s">
        <v>68</v>
      </c>
      <c r="I70" s="176">
        <f t="shared" si="2"/>
        <v>1617.5775000000001</v>
      </c>
      <c r="J70" s="197">
        <f t="shared" si="3"/>
        <v>18111.002500000002</v>
      </c>
      <c r="K70" s="177">
        <f t="shared" si="1"/>
        <v>123.09401191176471</v>
      </c>
      <c r="L70" s="378"/>
      <c r="M70" s="379"/>
      <c r="N70" s="59"/>
      <c r="O70" s="59"/>
      <c r="P70" s="59"/>
      <c r="Q70" s="59"/>
      <c r="R70" s="59"/>
      <c r="S70" s="59"/>
      <c r="T70" s="60"/>
      <c r="U70" s="60"/>
    </row>
    <row r="71" spans="2:21" s="52" customFormat="1" ht="13.5" customHeight="1">
      <c r="B71" s="180">
        <f t="shared" si="7"/>
        <v>45</v>
      </c>
      <c r="C71" s="172">
        <v>2</v>
      </c>
      <c r="D71" s="173" t="s">
        <v>67</v>
      </c>
      <c r="E71" s="174">
        <v>45</v>
      </c>
      <c r="F71" s="175">
        <f>VLOOKUP(E71,'Deck Tally'!$B$5:$C$274,2,0)-0.46</f>
        <v>33.75</v>
      </c>
      <c r="G71" s="199">
        <f t="shared" si="6"/>
        <v>33.344499999999996</v>
      </c>
      <c r="H71" s="175" t="s">
        <v>68</v>
      </c>
      <c r="I71" s="176">
        <f t="shared" si="2"/>
        <v>1650.922</v>
      </c>
      <c r="J71" s="176">
        <f t="shared" si="3"/>
        <v>18077.658000000003</v>
      </c>
      <c r="K71" s="177">
        <f t="shared" si="1"/>
        <v>123.87927616042781</v>
      </c>
      <c r="L71" s="378"/>
      <c r="M71" s="379"/>
      <c r="N71" s="59"/>
      <c r="O71" s="59"/>
      <c r="P71" s="59"/>
      <c r="Q71" s="59"/>
      <c r="R71" s="59"/>
      <c r="S71" s="59"/>
      <c r="T71" s="60"/>
      <c r="U71" s="60"/>
    </row>
    <row r="72" spans="2:21" s="52" customFormat="1" ht="13.5" customHeight="1">
      <c r="B72" s="180">
        <f t="shared" si="7"/>
        <v>46</v>
      </c>
      <c r="C72" s="172">
        <v>2</v>
      </c>
      <c r="D72" s="173" t="s">
        <v>67</v>
      </c>
      <c r="E72" s="174">
        <v>46</v>
      </c>
      <c r="F72" s="175">
        <f>VLOOKUP(E72,'Deck Tally'!$B$5:$C$274,2,0)-0.46</f>
        <v>33.924999999999997</v>
      </c>
      <c r="G72" s="199">
        <f t="shared" si="6"/>
        <v>33.519499999999994</v>
      </c>
      <c r="H72" s="175" t="s">
        <v>68</v>
      </c>
      <c r="I72" s="176">
        <f t="shared" si="2"/>
        <v>1684.4414999999999</v>
      </c>
      <c r="J72" s="176">
        <f t="shared" si="3"/>
        <v>18044.138500000001</v>
      </c>
      <c r="K72" s="177">
        <f t="shared" si="1"/>
        <v>124.6686616657754</v>
      </c>
      <c r="L72" s="378"/>
      <c r="M72" s="379"/>
      <c r="N72" s="59"/>
      <c r="O72" s="59"/>
      <c r="P72" s="59"/>
      <c r="Q72" s="59"/>
      <c r="R72" s="59"/>
      <c r="S72" s="59"/>
      <c r="T72" s="60"/>
      <c r="U72" s="60"/>
    </row>
    <row r="73" spans="2:21" s="52" customFormat="1" ht="13.5" customHeight="1">
      <c r="B73" s="180">
        <f t="shared" si="7"/>
        <v>47</v>
      </c>
      <c r="C73" s="172">
        <v>2</v>
      </c>
      <c r="D73" s="173" t="s">
        <v>67</v>
      </c>
      <c r="E73" s="174">
        <v>47</v>
      </c>
      <c r="F73" s="175">
        <f>VLOOKUP(E73,'Deck Tally'!$B$5:$C$274,2,0)-0.46</f>
        <v>33.909999999999997</v>
      </c>
      <c r="G73" s="199">
        <f t="shared" si="6"/>
        <v>33.504499999999993</v>
      </c>
      <c r="H73" s="175" t="s">
        <v>68</v>
      </c>
      <c r="I73" s="176">
        <f t="shared" si="2"/>
        <v>1717.9459999999999</v>
      </c>
      <c r="J73" s="176">
        <f t="shared" si="3"/>
        <v>18010.634000000002</v>
      </c>
      <c r="K73" s="177">
        <f t="shared" si="1"/>
        <v>125.45769392055004</v>
      </c>
      <c r="L73" s="378"/>
      <c r="M73" s="379"/>
      <c r="N73" s="59"/>
      <c r="O73" s="59"/>
      <c r="P73" s="59"/>
      <c r="Q73" s="59"/>
      <c r="R73" s="59"/>
      <c r="S73" s="59"/>
      <c r="T73" s="60"/>
      <c r="U73" s="60"/>
    </row>
    <row r="74" spans="2:21" s="52" customFormat="1" ht="13.5" customHeight="1">
      <c r="B74" s="180">
        <f t="shared" si="7"/>
        <v>48</v>
      </c>
      <c r="C74" s="172">
        <v>2</v>
      </c>
      <c r="D74" s="173" t="s">
        <v>67</v>
      </c>
      <c r="E74" s="174">
        <v>48</v>
      </c>
      <c r="F74" s="175">
        <f>VLOOKUP(E74,'Deck Tally'!$B$5:$C$274,2,0)-0.46</f>
        <v>33.905000000000001</v>
      </c>
      <c r="G74" s="199">
        <f t="shared" si="6"/>
        <v>33.499499999999998</v>
      </c>
      <c r="H74" s="175" t="s">
        <v>68</v>
      </c>
      <c r="I74" s="176">
        <f t="shared" si="2"/>
        <v>1751.4454999999998</v>
      </c>
      <c r="J74" s="176">
        <f t="shared" si="3"/>
        <v>17977.1345</v>
      </c>
      <c r="K74" s="177">
        <f t="shared" si="1"/>
        <v>126.24660842513369</v>
      </c>
      <c r="L74" s="378"/>
      <c r="M74" s="379"/>
      <c r="N74" s="59"/>
      <c r="O74" s="59"/>
      <c r="P74" s="59"/>
      <c r="Q74" s="59"/>
      <c r="R74" s="59"/>
      <c r="S74" s="59"/>
      <c r="T74" s="60"/>
      <c r="U74" s="60"/>
    </row>
    <row r="75" spans="2:21" s="202" customFormat="1" ht="13.5" customHeight="1">
      <c r="B75" s="180">
        <f t="shared" si="7"/>
        <v>49</v>
      </c>
      <c r="C75" s="172">
        <v>2</v>
      </c>
      <c r="D75" s="173" t="s">
        <v>67</v>
      </c>
      <c r="E75" s="174">
        <v>49</v>
      </c>
      <c r="F75" s="175">
        <f>VLOOKUP(E75,'Deck Tally'!$B$5:$C$274,2,0)</f>
        <v>33.935000000000002</v>
      </c>
      <c r="G75" s="176">
        <f t="shared" si="6"/>
        <v>33.529499999999999</v>
      </c>
      <c r="H75" s="175" t="s">
        <v>68</v>
      </c>
      <c r="I75" s="176">
        <f t="shared" si="2"/>
        <v>1784.9749999999999</v>
      </c>
      <c r="J75" s="176">
        <f t="shared" si="3"/>
        <v>17943.605000000003</v>
      </c>
      <c r="K75" s="177">
        <f t="shared" si="1"/>
        <v>127.03622943086326</v>
      </c>
      <c r="L75" s="378"/>
      <c r="M75" s="379"/>
      <c r="N75" s="200"/>
      <c r="O75" s="196"/>
      <c r="P75" s="200"/>
      <c r="Q75" s="200"/>
      <c r="R75" s="200"/>
      <c r="S75" s="200"/>
      <c r="T75" s="201"/>
      <c r="U75" s="201"/>
    </row>
    <row r="76" spans="2:21" s="52" customFormat="1" ht="13.5" customHeight="1">
      <c r="B76" s="180">
        <f t="shared" si="7"/>
        <v>50</v>
      </c>
      <c r="C76" s="172">
        <v>2</v>
      </c>
      <c r="D76" s="173" t="s">
        <v>67</v>
      </c>
      <c r="E76" s="174">
        <v>50</v>
      </c>
      <c r="F76" s="175">
        <f>VLOOKUP(E76,'Deck Tally'!$B$5:$C$274,2,0)</f>
        <v>33.93</v>
      </c>
      <c r="G76" s="176">
        <f t="shared" si="6"/>
        <v>33.524500000000003</v>
      </c>
      <c r="H76" s="175" t="s">
        <v>68</v>
      </c>
      <c r="I76" s="176">
        <f t="shared" si="2"/>
        <v>1818.4994999999999</v>
      </c>
      <c r="J76" s="176">
        <f t="shared" si="3"/>
        <v>17910.080500000004</v>
      </c>
      <c r="K76" s="177">
        <f t="shared" si="1"/>
        <v>127.82573268640184</v>
      </c>
      <c r="L76" s="476"/>
      <c r="M76" s="477"/>
      <c r="N76" s="59"/>
      <c r="O76" s="59"/>
      <c r="P76" s="59"/>
      <c r="Q76" s="59"/>
      <c r="R76" s="59"/>
      <c r="S76" s="59"/>
      <c r="T76" s="60"/>
      <c r="U76" s="60"/>
    </row>
    <row r="77" spans="2:21" s="52" customFormat="1" ht="13.5" customHeight="1">
      <c r="B77" s="180">
        <f t="shared" si="7"/>
        <v>51</v>
      </c>
      <c r="C77" s="172">
        <v>2</v>
      </c>
      <c r="D77" s="173" t="s">
        <v>67</v>
      </c>
      <c r="E77" s="174">
        <v>51</v>
      </c>
      <c r="F77" s="175">
        <f>VLOOKUP(E77,'Deck Tally'!$B$5:$C$274,2,0)</f>
        <v>33.945</v>
      </c>
      <c r="G77" s="176">
        <f t="shared" si="6"/>
        <v>33.539500000000004</v>
      </c>
      <c r="H77" s="175" t="s">
        <v>68</v>
      </c>
      <c r="I77" s="176">
        <f t="shared" si="2"/>
        <v>1852.039</v>
      </c>
      <c r="J77" s="176">
        <f t="shared" si="3"/>
        <v>17876.541000000001</v>
      </c>
      <c r="K77" s="177">
        <f t="shared" si="1"/>
        <v>128.61558919251337</v>
      </c>
      <c r="L77" s="457"/>
      <c r="M77" s="458"/>
      <c r="N77" s="59"/>
      <c r="O77" s="59"/>
      <c r="P77" s="59"/>
      <c r="Q77" s="59"/>
      <c r="R77" s="59"/>
      <c r="S77" s="59"/>
      <c r="T77" s="60"/>
      <c r="U77" s="60"/>
    </row>
    <row r="78" spans="2:21" s="52" customFormat="1" ht="13.5" customHeight="1">
      <c r="B78" s="180">
        <f t="shared" si="7"/>
        <v>52</v>
      </c>
      <c r="C78" s="172">
        <v>2</v>
      </c>
      <c r="D78" s="173" t="s">
        <v>67</v>
      </c>
      <c r="E78" s="174">
        <v>52</v>
      </c>
      <c r="F78" s="175">
        <f>VLOOKUP(E78,'Deck Tally'!$B$5:$C$274,2,0)</f>
        <v>33.935000000000002</v>
      </c>
      <c r="G78" s="176">
        <f t="shared" si="6"/>
        <v>33.529499999999999</v>
      </c>
      <c r="H78" s="175" t="s">
        <v>68</v>
      </c>
      <c r="I78" s="176">
        <f t="shared" si="2"/>
        <v>1885.5685000000001</v>
      </c>
      <c r="J78" s="176">
        <f t="shared" si="3"/>
        <v>17843.011500000001</v>
      </c>
      <c r="K78" s="177">
        <f t="shared" si="1"/>
        <v>129.40521019824294</v>
      </c>
      <c r="L78" s="203"/>
      <c r="M78" s="204"/>
      <c r="N78" s="59"/>
      <c r="O78" s="59"/>
      <c r="P78" s="59"/>
      <c r="Q78" s="59"/>
      <c r="R78" s="59"/>
      <c r="S78" s="59"/>
      <c r="T78" s="60"/>
      <c r="U78" s="60"/>
    </row>
    <row r="79" spans="2:21" s="52" customFormat="1" ht="13.5" customHeight="1">
      <c r="B79" s="180">
        <f t="shared" si="7"/>
        <v>53</v>
      </c>
      <c r="C79" s="172">
        <v>2</v>
      </c>
      <c r="D79" s="173" t="s">
        <v>67</v>
      </c>
      <c r="E79" s="174">
        <v>53</v>
      </c>
      <c r="F79" s="175">
        <f>VLOOKUP(E79,'Deck Tally'!$B$5:$C$274,2,0)</f>
        <v>33.92</v>
      </c>
      <c r="G79" s="176">
        <f t="shared" si="6"/>
        <v>33.514499999999998</v>
      </c>
      <c r="H79" s="175" t="s">
        <v>68</v>
      </c>
      <c r="I79" s="176">
        <f t="shared" si="2"/>
        <v>1919.0830000000001</v>
      </c>
      <c r="J79" s="176">
        <f t="shared" si="3"/>
        <v>17809.497000000003</v>
      </c>
      <c r="K79" s="177">
        <f t="shared" si="1"/>
        <v>130.19447795339954</v>
      </c>
      <c r="L79" s="488"/>
      <c r="M79" s="489"/>
      <c r="N79" s="59"/>
      <c r="O79" s="59"/>
      <c r="P79" s="59"/>
      <c r="Q79" s="59"/>
      <c r="R79" s="59"/>
      <c r="S79" s="59"/>
      <c r="T79" s="60"/>
      <c r="U79" s="60"/>
    </row>
    <row r="80" spans="2:21" s="52" customFormat="1" ht="13.5" customHeight="1">
      <c r="B80" s="180">
        <f t="shared" si="7"/>
        <v>54</v>
      </c>
      <c r="C80" s="172">
        <v>2</v>
      </c>
      <c r="D80" s="173" t="s">
        <v>67</v>
      </c>
      <c r="E80" s="174">
        <v>54</v>
      </c>
      <c r="F80" s="175">
        <f>VLOOKUP(E80,'Deck Tally'!$B$5:$C$274,2,0)</f>
        <v>33.924999999999997</v>
      </c>
      <c r="G80" s="176">
        <f t="shared" si="6"/>
        <v>33.519499999999994</v>
      </c>
      <c r="H80" s="175" t="s">
        <v>68</v>
      </c>
      <c r="I80" s="176">
        <f t="shared" si="2"/>
        <v>1952.6025</v>
      </c>
      <c r="J80" s="176">
        <f t="shared" si="3"/>
        <v>17775.977500000001</v>
      </c>
      <c r="K80" s="177">
        <f t="shared" si="1"/>
        <v>130.98386345874712</v>
      </c>
      <c r="L80" s="488"/>
      <c r="M80" s="489"/>
      <c r="N80" s="59"/>
      <c r="O80" s="59"/>
      <c r="P80" s="59"/>
      <c r="Q80" s="59"/>
      <c r="R80" s="59"/>
      <c r="S80" s="59"/>
      <c r="T80" s="60"/>
      <c r="U80" s="60"/>
    </row>
    <row r="81" spans="2:21" s="52" customFormat="1" ht="13.5" customHeight="1">
      <c r="B81" s="180">
        <f t="shared" si="7"/>
        <v>55</v>
      </c>
      <c r="C81" s="172">
        <v>2</v>
      </c>
      <c r="D81" s="173" t="s">
        <v>67</v>
      </c>
      <c r="E81" s="174">
        <v>55</v>
      </c>
      <c r="F81" s="175">
        <f>VLOOKUP(E81,'Deck Tally'!$B$5:$C$274,2,0)-0.46</f>
        <v>33.935000000000002</v>
      </c>
      <c r="G81" s="199">
        <f t="shared" si="6"/>
        <v>33.529499999999999</v>
      </c>
      <c r="H81" s="175" t="s">
        <v>68</v>
      </c>
      <c r="I81" s="175">
        <f t="shared" si="2"/>
        <v>1986.1320000000001</v>
      </c>
      <c r="J81" s="176">
        <f t="shared" si="3"/>
        <v>17742.448</v>
      </c>
      <c r="K81" s="205">
        <f t="shared" ref="K81:K144" si="8">$H$8+(I81*$E$9*$H$10/1000)</f>
        <v>131.7734844644767</v>
      </c>
      <c r="L81" s="476"/>
      <c r="M81" s="477"/>
      <c r="N81" s="59"/>
      <c r="O81" s="59"/>
      <c r="P81" s="59"/>
      <c r="Q81" s="59"/>
      <c r="R81" s="59"/>
      <c r="S81" s="59"/>
      <c r="T81" s="60"/>
      <c r="U81" s="60"/>
    </row>
    <row r="82" spans="2:21" s="52" customFormat="1" ht="13.5" customHeight="1">
      <c r="B82" s="180">
        <f t="shared" si="7"/>
        <v>56</v>
      </c>
      <c r="C82" s="172">
        <v>2</v>
      </c>
      <c r="D82" s="173" t="s">
        <v>67</v>
      </c>
      <c r="E82" s="174">
        <v>56</v>
      </c>
      <c r="F82" s="175">
        <f>VLOOKUP(E82,'Deck Tally'!$B$5:$C$274,2,0)-0.46</f>
        <v>33.93</v>
      </c>
      <c r="G82" s="199">
        <f t="shared" si="6"/>
        <v>33.524500000000003</v>
      </c>
      <c r="H82" s="175" t="s">
        <v>68</v>
      </c>
      <c r="I82" s="176">
        <f t="shared" ref="I82:I145" si="9">IF(H82="IN",I81+G82,I81)</f>
        <v>2019.6565000000001</v>
      </c>
      <c r="J82" s="175">
        <f t="shared" ref="J82:J145" si="10">IF(I82="","",$L$8-I82)</f>
        <v>17708.923500000001</v>
      </c>
      <c r="K82" s="205">
        <f t="shared" si="8"/>
        <v>132.56298772001529</v>
      </c>
      <c r="L82" s="457"/>
      <c r="M82" s="458"/>
      <c r="N82" s="59"/>
      <c r="Q82" s="59"/>
      <c r="R82" s="59"/>
      <c r="S82" s="59"/>
      <c r="T82" s="60"/>
      <c r="U82" s="60"/>
    </row>
    <row r="83" spans="2:21" s="52" customFormat="1" ht="13.5" customHeight="1">
      <c r="B83" s="180">
        <f t="shared" si="7"/>
        <v>57</v>
      </c>
      <c r="C83" s="172">
        <v>2</v>
      </c>
      <c r="D83" s="173" t="s">
        <v>67</v>
      </c>
      <c r="E83" s="174">
        <v>57</v>
      </c>
      <c r="F83" s="175">
        <f>VLOOKUP(E83,'Deck Tally'!$B$5:$C$274,2,0)-0.46</f>
        <v>33.945</v>
      </c>
      <c r="G83" s="199">
        <f t="shared" si="6"/>
        <v>33.539500000000004</v>
      </c>
      <c r="H83" s="175" t="s">
        <v>68</v>
      </c>
      <c r="I83" s="176">
        <f t="shared" si="9"/>
        <v>2053.1959999999999</v>
      </c>
      <c r="J83" s="197">
        <f t="shared" si="10"/>
        <v>17675.384000000002</v>
      </c>
      <c r="K83" s="177">
        <f t="shared" si="8"/>
        <v>133.35284422612682</v>
      </c>
      <c r="L83" s="203"/>
      <c r="M83" s="204"/>
      <c r="N83" s="59"/>
      <c r="O83" s="59"/>
      <c r="P83" s="59"/>
      <c r="Q83" s="59"/>
      <c r="R83" s="59"/>
      <c r="S83" s="59"/>
      <c r="T83" s="60"/>
      <c r="U83" s="60"/>
    </row>
    <row r="84" spans="2:21" s="52" customFormat="1" ht="13.5" customHeight="1">
      <c r="B84" s="180">
        <f t="shared" si="7"/>
        <v>58</v>
      </c>
      <c r="C84" s="172">
        <v>2</v>
      </c>
      <c r="D84" s="173" t="s">
        <v>67</v>
      </c>
      <c r="E84" s="174">
        <v>58</v>
      </c>
      <c r="F84" s="175">
        <f>VLOOKUP(E84,'Deck Tally'!$B$5:$C$274,2,0)-0.46</f>
        <v>33.93</v>
      </c>
      <c r="G84" s="199">
        <f t="shared" si="6"/>
        <v>33.524500000000003</v>
      </c>
      <c r="H84" s="175" t="s">
        <v>68</v>
      </c>
      <c r="I84" s="176">
        <f t="shared" si="9"/>
        <v>2086.7204999999999</v>
      </c>
      <c r="J84" s="176">
        <f t="shared" si="10"/>
        <v>17641.859500000002</v>
      </c>
      <c r="K84" s="177">
        <f t="shared" si="8"/>
        <v>134.14234748166538</v>
      </c>
      <c r="L84" s="378"/>
      <c r="M84" s="379"/>
      <c r="N84" s="59"/>
      <c r="O84" s="59"/>
      <c r="P84" s="59"/>
      <c r="Q84" s="59"/>
      <c r="R84" s="59"/>
      <c r="S84" s="59"/>
      <c r="T84" s="60"/>
      <c r="U84" s="60"/>
    </row>
    <row r="85" spans="2:21" s="52" customFormat="1" ht="13.5" customHeight="1">
      <c r="B85" s="180">
        <f t="shared" si="7"/>
        <v>59</v>
      </c>
      <c r="C85" s="172">
        <v>2</v>
      </c>
      <c r="D85" s="173" t="s">
        <v>67</v>
      </c>
      <c r="E85" s="174">
        <v>59</v>
      </c>
      <c r="F85" s="175">
        <f>VLOOKUP(E85,'Deck Tally'!$B$5:$C$274,2,0)-0.46</f>
        <v>33.93</v>
      </c>
      <c r="G85" s="199">
        <f t="shared" si="6"/>
        <v>33.524500000000003</v>
      </c>
      <c r="H85" s="175" t="s">
        <v>68</v>
      </c>
      <c r="I85" s="176">
        <f t="shared" si="9"/>
        <v>2120.2449999999999</v>
      </c>
      <c r="J85" s="176">
        <f t="shared" si="10"/>
        <v>17608.335000000003</v>
      </c>
      <c r="K85" s="177">
        <f t="shared" si="8"/>
        <v>134.93185073720397</v>
      </c>
      <c r="L85" s="378"/>
      <c r="M85" s="379"/>
      <c r="N85" s="59"/>
      <c r="O85" s="59"/>
      <c r="P85" s="59"/>
      <c r="Q85" s="59"/>
      <c r="R85" s="59"/>
      <c r="S85" s="59"/>
      <c r="T85" s="60"/>
      <c r="U85" s="60"/>
    </row>
    <row r="86" spans="2:21" s="52" customFormat="1" ht="13.5" customHeight="1">
      <c r="B86" s="180">
        <f t="shared" si="7"/>
        <v>60</v>
      </c>
      <c r="C86" s="172">
        <v>2</v>
      </c>
      <c r="D86" s="173" t="s">
        <v>67</v>
      </c>
      <c r="E86" s="174">
        <v>60</v>
      </c>
      <c r="F86" s="175">
        <f>VLOOKUP(E86,'Deck Tally'!$B$5:$C$274,2,0)-0.46</f>
        <v>33.924999999999997</v>
      </c>
      <c r="G86" s="199">
        <f t="shared" si="6"/>
        <v>33.519499999999994</v>
      </c>
      <c r="H86" s="175" t="s">
        <v>68</v>
      </c>
      <c r="I86" s="176">
        <f t="shared" si="9"/>
        <v>2153.7644999999998</v>
      </c>
      <c r="J86" s="176">
        <f t="shared" si="10"/>
        <v>17574.815500000001</v>
      </c>
      <c r="K86" s="177">
        <f t="shared" si="8"/>
        <v>135.72123624255156</v>
      </c>
      <c r="L86" s="482"/>
      <c r="M86" s="483"/>
      <c r="N86" s="59"/>
      <c r="O86" s="59"/>
      <c r="P86" s="59"/>
      <c r="Q86" s="59"/>
      <c r="R86" s="59"/>
      <c r="S86" s="59"/>
      <c r="T86" s="60"/>
      <c r="U86" s="60"/>
    </row>
    <row r="87" spans="2:21" s="202" customFormat="1" ht="13.5" customHeight="1">
      <c r="B87" s="180">
        <f t="shared" si="7"/>
        <v>61</v>
      </c>
      <c r="C87" s="172">
        <v>2</v>
      </c>
      <c r="D87" s="173" t="s">
        <v>67</v>
      </c>
      <c r="E87" s="174">
        <v>61</v>
      </c>
      <c r="F87" s="175">
        <f>VLOOKUP(E87,'Deck Tally'!$B$5:$C$274,2,0)-0.46</f>
        <v>33.93</v>
      </c>
      <c r="G87" s="199">
        <f t="shared" si="6"/>
        <v>33.524500000000003</v>
      </c>
      <c r="H87" s="175" t="s">
        <v>68</v>
      </c>
      <c r="I87" s="176">
        <f t="shared" si="9"/>
        <v>2187.2889999999998</v>
      </c>
      <c r="J87" s="176">
        <f t="shared" si="10"/>
        <v>17541.291000000001</v>
      </c>
      <c r="K87" s="177">
        <f t="shared" si="8"/>
        <v>136.51073949809015</v>
      </c>
      <c r="L87" s="486"/>
      <c r="M87" s="487"/>
      <c r="N87" s="200"/>
      <c r="O87" s="59"/>
      <c r="P87" s="200"/>
      <c r="Q87" s="200"/>
      <c r="R87" s="200"/>
      <c r="S87" s="200"/>
      <c r="T87" s="201"/>
      <c r="U87" s="201"/>
    </row>
    <row r="88" spans="2:21" s="202" customFormat="1" ht="14.45" customHeight="1">
      <c r="B88" s="180">
        <v>62</v>
      </c>
      <c r="C88" s="172">
        <v>2</v>
      </c>
      <c r="D88" s="173" t="s">
        <v>67</v>
      </c>
      <c r="E88" s="174">
        <v>62</v>
      </c>
      <c r="F88" s="176">
        <f>VLOOKUP(E88,'Deck Tally'!$B$5:$C$274,2,0)-0.46</f>
        <v>33.734999999999999</v>
      </c>
      <c r="G88" s="199">
        <f t="shared" si="6"/>
        <v>33.329499999999996</v>
      </c>
      <c r="H88" s="176" t="s">
        <v>68</v>
      </c>
      <c r="I88" s="176">
        <f t="shared" si="9"/>
        <v>2220.6184999999996</v>
      </c>
      <c r="J88" s="176">
        <f t="shared" si="10"/>
        <v>17507.961500000001</v>
      </c>
      <c r="K88" s="177">
        <f t="shared" si="8"/>
        <v>137.29565049618029</v>
      </c>
      <c r="L88" s="494"/>
      <c r="M88" s="495"/>
      <c r="N88" s="200"/>
      <c r="O88" s="59"/>
      <c r="P88" s="200"/>
      <c r="Q88" s="200"/>
      <c r="R88" s="200"/>
      <c r="S88" s="200"/>
      <c r="T88" s="201"/>
      <c r="U88" s="201"/>
    </row>
    <row r="89" spans="2:21" s="202" customFormat="1" ht="13.5" customHeight="1">
      <c r="B89" s="180">
        <v>63</v>
      </c>
      <c r="C89" s="172">
        <v>2</v>
      </c>
      <c r="D89" s="173" t="s">
        <v>67</v>
      </c>
      <c r="E89" s="174">
        <v>63</v>
      </c>
      <c r="F89" s="175">
        <f>VLOOKUP(E89,'Deck Tally'!$B$5:$C$274,2,0)-0.46</f>
        <v>33.93</v>
      </c>
      <c r="G89" s="199">
        <f t="shared" si="6"/>
        <v>33.524500000000003</v>
      </c>
      <c r="H89" s="175" t="s">
        <v>68</v>
      </c>
      <c r="I89" s="176">
        <f t="shared" si="9"/>
        <v>2254.1429999999996</v>
      </c>
      <c r="J89" s="176">
        <f t="shared" si="10"/>
        <v>17474.437000000002</v>
      </c>
      <c r="K89" s="177">
        <f t="shared" si="8"/>
        <v>138.08515375171885</v>
      </c>
      <c r="L89" s="486"/>
      <c r="M89" s="487"/>
      <c r="N89" s="200"/>
      <c r="O89" s="59"/>
      <c r="P89" s="200"/>
      <c r="Q89" s="200"/>
      <c r="R89" s="200"/>
      <c r="S89" s="200"/>
      <c r="T89" s="201"/>
      <c r="U89" s="201"/>
    </row>
    <row r="90" spans="2:21" s="52" customFormat="1" ht="13.5" customHeight="1">
      <c r="B90" s="180">
        <f t="shared" ref="B90:B111" si="11">B89+1</f>
        <v>64</v>
      </c>
      <c r="C90" s="172">
        <v>2</v>
      </c>
      <c r="D90" s="173" t="s">
        <v>67</v>
      </c>
      <c r="E90" s="174">
        <v>64</v>
      </c>
      <c r="F90" s="175">
        <f>VLOOKUP(E90,'Deck Tally'!$B$5:$C$274,2,0)-0.46</f>
        <v>33.949999999999996</v>
      </c>
      <c r="G90" s="199">
        <f t="shared" ref="G90:G121" si="12">F90-($E$11/12)</f>
        <v>33.544499999999999</v>
      </c>
      <c r="H90" s="175" t="s">
        <v>68</v>
      </c>
      <c r="I90" s="176">
        <f t="shared" si="9"/>
        <v>2287.6874999999995</v>
      </c>
      <c r="J90" s="176">
        <f t="shared" si="10"/>
        <v>17440.892500000002</v>
      </c>
      <c r="K90" s="177">
        <f t="shared" si="8"/>
        <v>138.87512800802139</v>
      </c>
      <c r="L90" s="486"/>
      <c r="M90" s="487"/>
      <c r="N90" s="59"/>
      <c r="O90" s="59"/>
      <c r="P90" s="59"/>
      <c r="Q90" s="59"/>
      <c r="R90" s="59"/>
      <c r="S90" s="59"/>
      <c r="T90" s="60"/>
      <c r="U90" s="60"/>
    </row>
    <row r="91" spans="2:21" s="52" customFormat="1" ht="13.5" customHeight="1">
      <c r="B91" s="180">
        <f t="shared" si="11"/>
        <v>65</v>
      </c>
      <c r="C91" s="172">
        <v>2</v>
      </c>
      <c r="D91" s="173" t="s">
        <v>67</v>
      </c>
      <c r="E91" s="174">
        <v>65</v>
      </c>
      <c r="F91" s="175">
        <f>VLOOKUP(E91,'Deck Tally'!$B$5:$C$274,2,0)-0.46</f>
        <v>33.949999999999996</v>
      </c>
      <c r="G91" s="199">
        <f t="shared" si="12"/>
        <v>33.544499999999999</v>
      </c>
      <c r="H91" s="175" t="s">
        <v>68</v>
      </c>
      <c r="I91" s="176">
        <f t="shared" si="9"/>
        <v>2321.2319999999995</v>
      </c>
      <c r="J91" s="176">
        <f t="shared" si="10"/>
        <v>17407.348000000002</v>
      </c>
      <c r="K91" s="177">
        <f t="shared" si="8"/>
        <v>139.66510226432391</v>
      </c>
      <c r="N91" s="59"/>
      <c r="O91" s="59"/>
      <c r="P91" s="59"/>
      <c r="Q91" s="59"/>
      <c r="R91" s="59"/>
      <c r="S91" s="59"/>
      <c r="T91" s="60"/>
      <c r="U91" s="60"/>
    </row>
    <row r="92" spans="2:21" s="52" customFormat="1" ht="13.5" customHeight="1">
      <c r="B92" s="180">
        <f t="shared" si="11"/>
        <v>66</v>
      </c>
      <c r="C92" s="172">
        <v>2</v>
      </c>
      <c r="D92" s="173" t="s">
        <v>67</v>
      </c>
      <c r="E92" s="174">
        <v>66</v>
      </c>
      <c r="F92" s="175">
        <f>VLOOKUP(E92,'Deck Tally'!$B$5:$C$274,2,0)-0.46</f>
        <v>33.949999999999996</v>
      </c>
      <c r="G92" s="199">
        <f t="shared" si="12"/>
        <v>33.544499999999999</v>
      </c>
      <c r="H92" s="175" t="s">
        <v>68</v>
      </c>
      <c r="I92" s="176">
        <f t="shared" si="9"/>
        <v>2354.7764999999995</v>
      </c>
      <c r="J92" s="176">
        <f t="shared" si="10"/>
        <v>17373.803500000002</v>
      </c>
      <c r="K92" s="177">
        <f t="shared" si="8"/>
        <v>140.45507652062642</v>
      </c>
      <c r="N92" s="59"/>
      <c r="Q92" s="59"/>
      <c r="R92" s="59"/>
      <c r="S92" s="59"/>
      <c r="T92" s="60"/>
      <c r="U92" s="60"/>
    </row>
    <row r="93" spans="2:21" s="52" customFormat="1" ht="13.5" customHeight="1">
      <c r="B93" s="180">
        <f t="shared" si="11"/>
        <v>67</v>
      </c>
      <c r="C93" s="172">
        <v>2</v>
      </c>
      <c r="D93" s="173" t="s">
        <v>67</v>
      </c>
      <c r="E93" s="174">
        <v>67</v>
      </c>
      <c r="F93" s="175">
        <f>VLOOKUP(E93,'Deck Tally'!$B$5:$C$274,2,0)-0.46</f>
        <v>33.949999999999996</v>
      </c>
      <c r="G93" s="199">
        <f t="shared" si="12"/>
        <v>33.544499999999999</v>
      </c>
      <c r="H93" s="175" t="s">
        <v>68</v>
      </c>
      <c r="I93" s="176">
        <f t="shared" si="9"/>
        <v>2388.3209999999995</v>
      </c>
      <c r="J93" s="176">
        <f t="shared" si="10"/>
        <v>17340.259000000002</v>
      </c>
      <c r="K93" s="177">
        <f t="shared" si="8"/>
        <v>141.24505077692893</v>
      </c>
      <c r="L93" s="473" t="s">
        <v>77</v>
      </c>
      <c r="M93" s="474"/>
      <c r="N93" s="59"/>
      <c r="Q93" s="59"/>
      <c r="R93" s="59"/>
      <c r="S93" s="59"/>
      <c r="T93" s="60"/>
      <c r="U93" s="60"/>
    </row>
    <row r="94" spans="2:21" s="52" customFormat="1" ht="13.5" customHeight="1">
      <c r="B94" s="180">
        <f t="shared" si="11"/>
        <v>68</v>
      </c>
      <c r="C94" s="172">
        <v>2</v>
      </c>
      <c r="D94" s="173" t="s">
        <v>67</v>
      </c>
      <c r="E94" s="186">
        <v>68</v>
      </c>
      <c r="F94" s="175">
        <f>VLOOKUP(E94,'Deck Tally'!$B$5:$C$274,2,0)-0.46</f>
        <v>33.945</v>
      </c>
      <c r="G94" s="199">
        <f t="shared" si="12"/>
        <v>33.539500000000004</v>
      </c>
      <c r="H94" s="175" t="s">
        <v>68</v>
      </c>
      <c r="I94" s="176">
        <f t="shared" si="9"/>
        <v>2421.8604999999993</v>
      </c>
      <c r="J94" s="175">
        <f t="shared" si="10"/>
        <v>17306.719500000003</v>
      </c>
      <c r="K94" s="205">
        <f t="shared" si="8"/>
        <v>142.03490728304047</v>
      </c>
      <c r="L94" s="475" t="s">
        <v>78</v>
      </c>
      <c r="M94" s="467"/>
      <c r="N94" s="59"/>
      <c r="O94" s="187">
        <f>17320-M95</f>
        <v>-16.259000000001834</v>
      </c>
      <c r="P94" s="59" t="s">
        <v>74</v>
      </c>
      <c r="Q94" s="59"/>
      <c r="R94" s="59"/>
      <c r="S94" s="59"/>
      <c r="T94" s="60"/>
      <c r="U94" s="60"/>
    </row>
    <row r="95" spans="2:21" s="52" customFormat="1" ht="13.5" customHeight="1">
      <c r="B95" s="180">
        <f t="shared" si="11"/>
        <v>69</v>
      </c>
      <c r="C95" s="172">
        <v>2</v>
      </c>
      <c r="D95" s="173" t="s">
        <v>67</v>
      </c>
      <c r="E95" s="174">
        <v>69</v>
      </c>
      <c r="F95" s="175">
        <f>VLOOKUP(E95,'Deck Tally'!$B$5:$C$274,2,0)-0.46</f>
        <v>33.94</v>
      </c>
      <c r="G95" s="199">
        <f t="shared" si="12"/>
        <v>33.534499999999994</v>
      </c>
      <c r="H95" s="175" t="s">
        <v>68</v>
      </c>
      <c r="I95" s="176">
        <f t="shared" si="9"/>
        <v>2455.3949999999995</v>
      </c>
      <c r="J95" s="197">
        <f t="shared" si="10"/>
        <v>17273.185000000001</v>
      </c>
      <c r="K95" s="177">
        <f t="shared" si="8"/>
        <v>142.82464603896102</v>
      </c>
      <c r="L95" s="184" t="s">
        <v>75</v>
      </c>
      <c r="M95" s="193">
        <f>J93-4</f>
        <v>17336.259000000002</v>
      </c>
      <c r="N95" s="59"/>
      <c r="O95" s="59"/>
      <c r="P95" s="59"/>
      <c r="Q95" s="59"/>
      <c r="R95" s="59"/>
      <c r="S95" s="59"/>
      <c r="T95" s="60"/>
      <c r="U95" s="60"/>
    </row>
    <row r="96" spans="2:21" s="52" customFormat="1" ht="13.5" customHeight="1">
      <c r="B96" s="180">
        <f t="shared" si="11"/>
        <v>70</v>
      </c>
      <c r="C96" s="172">
        <v>2</v>
      </c>
      <c r="D96" s="173" t="s">
        <v>67</v>
      </c>
      <c r="E96" s="174">
        <v>70</v>
      </c>
      <c r="F96" s="175">
        <f>VLOOKUP(E96,'Deck Tally'!$B$5:$C$274,2,0)-0.46</f>
        <v>33.945</v>
      </c>
      <c r="G96" s="199">
        <f t="shared" si="12"/>
        <v>33.539500000000004</v>
      </c>
      <c r="H96" s="175" t="s">
        <v>68</v>
      </c>
      <c r="I96" s="176">
        <f t="shared" si="9"/>
        <v>2488.9344999999994</v>
      </c>
      <c r="J96" s="176">
        <f t="shared" si="10"/>
        <v>17239.645500000002</v>
      </c>
      <c r="K96" s="177">
        <f t="shared" si="8"/>
        <v>143.61450254507258</v>
      </c>
      <c r="L96" s="378"/>
      <c r="M96" s="379"/>
      <c r="N96" s="59"/>
      <c r="O96" s="59"/>
      <c r="P96" s="59"/>
      <c r="Q96" s="59"/>
      <c r="R96" s="59"/>
      <c r="S96" s="59"/>
      <c r="T96" s="60"/>
      <c r="U96" s="60"/>
    </row>
    <row r="97" spans="2:21" s="52" customFormat="1" ht="13.5" customHeight="1">
      <c r="B97" s="180">
        <f t="shared" si="11"/>
        <v>71</v>
      </c>
      <c r="C97" s="172">
        <v>2</v>
      </c>
      <c r="D97" s="173" t="s">
        <v>67</v>
      </c>
      <c r="E97" s="174">
        <v>71</v>
      </c>
      <c r="F97" s="175">
        <f>VLOOKUP(E97,'Deck Tally'!$B$5:$C$274,2,0)-0.46</f>
        <v>33.945</v>
      </c>
      <c r="G97" s="199">
        <f t="shared" si="12"/>
        <v>33.539500000000004</v>
      </c>
      <c r="H97" s="175" t="s">
        <v>68</v>
      </c>
      <c r="I97" s="176">
        <f t="shared" si="9"/>
        <v>2522.4739999999993</v>
      </c>
      <c r="J97" s="176">
        <f t="shared" si="10"/>
        <v>17206.106000000003</v>
      </c>
      <c r="K97" s="177">
        <f t="shared" si="8"/>
        <v>144.40435905118409</v>
      </c>
      <c r="L97" s="378"/>
      <c r="M97" s="379"/>
      <c r="N97" s="59"/>
      <c r="O97" s="59"/>
      <c r="P97" s="59"/>
      <c r="Q97" s="59"/>
      <c r="R97" s="59"/>
      <c r="S97" s="59"/>
      <c r="T97" s="60"/>
      <c r="U97" s="60"/>
    </row>
    <row r="98" spans="2:21" s="52" customFormat="1" ht="13.5" customHeight="1">
      <c r="B98" s="180">
        <f t="shared" si="11"/>
        <v>72</v>
      </c>
      <c r="C98" s="172">
        <v>2</v>
      </c>
      <c r="D98" s="173" t="s">
        <v>67</v>
      </c>
      <c r="E98" s="174">
        <v>72</v>
      </c>
      <c r="F98" s="175">
        <f>VLOOKUP(E98,'Deck Tally'!$B$5:$C$274,2,0)-0.46</f>
        <v>33.94</v>
      </c>
      <c r="G98" s="199">
        <f t="shared" si="12"/>
        <v>33.534499999999994</v>
      </c>
      <c r="H98" s="175" t="s">
        <v>68</v>
      </c>
      <c r="I98" s="176">
        <f t="shared" si="9"/>
        <v>2556.0084999999995</v>
      </c>
      <c r="J98" s="176">
        <f t="shared" si="10"/>
        <v>17172.571500000002</v>
      </c>
      <c r="K98" s="177">
        <f t="shared" si="8"/>
        <v>145.19409780710464</v>
      </c>
      <c r="L98" s="482"/>
      <c r="M98" s="483"/>
      <c r="N98" s="59"/>
      <c r="O98" s="59"/>
      <c r="P98" s="59"/>
      <c r="Q98" s="59"/>
      <c r="R98" s="59"/>
      <c r="S98" s="59"/>
      <c r="T98" s="60"/>
      <c r="U98" s="60"/>
    </row>
    <row r="99" spans="2:21" s="52" customFormat="1" ht="13.5" customHeight="1">
      <c r="B99" s="180">
        <f t="shared" si="11"/>
        <v>73</v>
      </c>
      <c r="C99" s="172">
        <v>2</v>
      </c>
      <c r="D99" s="173" t="s">
        <v>67</v>
      </c>
      <c r="E99" s="174">
        <v>73</v>
      </c>
      <c r="F99" s="175">
        <f>VLOOKUP(E99,'Deck Tally'!$B$5:$C$274,2,0)-0.46</f>
        <v>33.914999999999999</v>
      </c>
      <c r="G99" s="199">
        <f t="shared" si="12"/>
        <v>33.509500000000003</v>
      </c>
      <c r="H99" s="175" t="s">
        <v>68</v>
      </c>
      <c r="I99" s="176">
        <f t="shared" si="9"/>
        <v>2589.5179999999996</v>
      </c>
      <c r="J99" s="176">
        <f t="shared" si="10"/>
        <v>17139.062000000002</v>
      </c>
      <c r="K99" s="177">
        <f t="shared" si="8"/>
        <v>145.98324781207026</v>
      </c>
      <c r="L99" s="484"/>
      <c r="M99" s="485"/>
      <c r="N99" s="59"/>
      <c r="O99" s="59"/>
      <c r="P99" s="59"/>
      <c r="Q99" s="59"/>
      <c r="R99" s="59"/>
      <c r="S99" s="59"/>
      <c r="T99" s="60"/>
      <c r="U99" s="60"/>
    </row>
    <row r="100" spans="2:21" s="202" customFormat="1" ht="13.5" customHeight="1">
      <c r="B100" s="180">
        <f t="shared" si="11"/>
        <v>74</v>
      </c>
      <c r="C100" s="172">
        <v>2</v>
      </c>
      <c r="D100" s="173" t="s">
        <v>67</v>
      </c>
      <c r="E100" s="174">
        <v>74</v>
      </c>
      <c r="F100" s="175">
        <f>VLOOKUP(E100,'Deck Tally'!$B$5:$C$274,2,0)-0.46</f>
        <v>33.93</v>
      </c>
      <c r="G100" s="199">
        <f t="shared" si="12"/>
        <v>33.524500000000003</v>
      </c>
      <c r="H100" s="175" t="s">
        <v>68</v>
      </c>
      <c r="I100" s="176">
        <f t="shared" si="9"/>
        <v>2623.0424999999996</v>
      </c>
      <c r="J100" s="207">
        <f t="shared" si="10"/>
        <v>17105.537500000002</v>
      </c>
      <c r="K100" s="177">
        <f t="shared" si="8"/>
        <v>146.77275106760885</v>
      </c>
      <c r="N100" s="200"/>
      <c r="O100" s="59"/>
      <c r="P100" s="200"/>
      <c r="Q100" s="200"/>
      <c r="R100" s="200"/>
      <c r="S100" s="200"/>
      <c r="T100" s="201"/>
      <c r="U100" s="201"/>
    </row>
    <row r="101" spans="2:21" s="52" customFormat="1" ht="13.5" customHeight="1">
      <c r="B101" s="180">
        <f t="shared" si="11"/>
        <v>75</v>
      </c>
      <c r="C101" s="172">
        <v>2</v>
      </c>
      <c r="D101" s="173" t="s">
        <v>67</v>
      </c>
      <c r="E101" s="174">
        <v>75</v>
      </c>
      <c r="F101" s="175">
        <f>VLOOKUP(E101,'Deck Tally'!$B$5:$C$274,2,0)-0.46</f>
        <v>33.92</v>
      </c>
      <c r="G101" s="199">
        <f t="shared" si="12"/>
        <v>33.514499999999998</v>
      </c>
      <c r="H101" s="175" t="s">
        <v>68</v>
      </c>
      <c r="I101" s="208">
        <f t="shared" si="9"/>
        <v>2656.5569999999998</v>
      </c>
      <c r="J101" s="207">
        <f t="shared" si="10"/>
        <v>17072.023000000001</v>
      </c>
      <c r="K101" s="206">
        <f t="shared" si="8"/>
        <v>147.56201882276548</v>
      </c>
      <c r="L101" s="476"/>
      <c r="M101" s="477"/>
      <c r="N101" s="59"/>
      <c r="O101" s="187"/>
      <c r="P101" s="59"/>
      <c r="Q101" s="59"/>
      <c r="R101" s="59"/>
      <c r="S101" s="59"/>
      <c r="T101" s="60"/>
      <c r="U101" s="60"/>
    </row>
    <row r="102" spans="2:21" s="52" customFormat="1" ht="13.5" customHeight="1">
      <c r="B102" s="180">
        <f t="shared" si="11"/>
        <v>76</v>
      </c>
      <c r="C102" s="172">
        <v>2</v>
      </c>
      <c r="D102" s="173" t="s">
        <v>67</v>
      </c>
      <c r="E102" s="174">
        <v>76</v>
      </c>
      <c r="F102" s="175">
        <f>VLOOKUP(E102,'Deck Tally'!$B$5:$C$274,2,0)-0.46</f>
        <v>33.92</v>
      </c>
      <c r="G102" s="199">
        <f t="shared" si="12"/>
        <v>33.514499999999998</v>
      </c>
      <c r="H102" s="175" t="s">
        <v>68</v>
      </c>
      <c r="I102" s="176">
        <f t="shared" si="9"/>
        <v>2690.0715</v>
      </c>
      <c r="J102" s="207">
        <f t="shared" si="10"/>
        <v>17038.508500000004</v>
      </c>
      <c r="K102" s="177">
        <f t="shared" si="8"/>
        <v>148.35128657792208</v>
      </c>
      <c r="L102" s="457"/>
      <c r="M102" s="458"/>
      <c r="N102" s="59"/>
      <c r="O102" s="59"/>
      <c r="P102" s="59"/>
      <c r="Q102" s="59"/>
      <c r="R102" s="59"/>
      <c r="S102" s="59"/>
      <c r="T102" s="60"/>
      <c r="U102" s="60"/>
    </row>
    <row r="103" spans="2:21" s="52" customFormat="1" ht="13.5" customHeight="1">
      <c r="B103" s="180">
        <f t="shared" si="11"/>
        <v>77</v>
      </c>
      <c r="C103" s="172">
        <v>2</v>
      </c>
      <c r="D103" s="173" t="s">
        <v>67</v>
      </c>
      <c r="E103" s="174">
        <v>77</v>
      </c>
      <c r="F103" s="175">
        <f>VLOOKUP(E103,'Deck Tally'!$B$5:$C$274,2,0)-0.46</f>
        <v>33.92</v>
      </c>
      <c r="G103" s="199">
        <f t="shared" si="12"/>
        <v>33.514499999999998</v>
      </c>
      <c r="H103" s="175" t="s">
        <v>68</v>
      </c>
      <c r="I103" s="176">
        <f t="shared" si="9"/>
        <v>2723.5860000000002</v>
      </c>
      <c r="J103" s="176">
        <f t="shared" si="10"/>
        <v>17004.994000000002</v>
      </c>
      <c r="K103" s="177">
        <f t="shared" si="8"/>
        <v>149.14055433307868</v>
      </c>
      <c r="L103" s="203"/>
      <c r="M103" s="204"/>
      <c r="N103" s="59"/>
      <c r="O103" s="59"/>
      <c r="P103" s="59"/>
      <c r="Q103" s="59"/>
      <c r="R103" s="59"/>
      <c r="S103" s="59"/>
      <c r="T103" s="60"/>
      <c r="U103" s="60"/>
    </row>
    <row r="104" spans="2:21" s="52" customFormat="1" ht="13.5" customHeight="1">
      <c r="B104" s="180">
        <f t="shared" si="11"/>
        <v>78</v>
      </c>
      <c r="C104" s="172">
        <v>2</v>
      </c>
      <c r="D104" s="173" t="s">
        <v>67</v>
      </c>
      <c r="E104" s="174">
        <v>78</v>
      </c>
      <c r="F104" s="175">
        <f>VLOOKUP(E104,'Deck Tally'!$B$5:$C$274,2,0)-0.46</f>
        <v>33.914999999999999</v>
      </c>
      <c r="G104" s="199">
        <f t="shared" si="12"/>
        <v>33.509500000000003</v>
      </c>
      <c r="H104" s="175" t="s">
        <v>68</v>
      </c>
      <c r="I104" s="176">
        <f t="shared" si="9"/>
        <v>2757.0955000000004</v>
      </c>
      <c r="J104" s="176">
        <f t="shared" si="10"/>
        <v>16971.484500000002</v>
      </c>
      <c r="K104" s="177">
        <f t="shared" si="8"/>
        <v>149.9297043380443</v>
      </c>
      <c r="L104" s="488"/>
      <c r="M104" s="489"/>
      <c r="N104" s="59"/>
      <c r="O104" s="59"/>
      <c r="P104" s="59"/>
      <c r="Q104" s="59"/>
      <c r="R104" s="59"/>
      <c r="S104" s="59"/>
      <c r="T104" s="60"/>
      <c r="U104" s="60"/>
    </row>
    <row r="105" spans="2:21" s="52" customFormat="1" ht="13.5" customHeight="1">
      <c r="B105" s="180">
        <f t="shared" si="11"/>
        <v>79</v>
      </c>
      <c r="C105" s="172">
        <v>2</v>
      </c>
      <c r="D105" s="173" t="s">
        <v>67</v>
      </c>
      <c r="E105" s="174">
        <v>79</v>
      </c>
      <c r="F105" s="175">
        <f>VLOOKUP(E105,'Deck Tally'!$B$5:$C$274,2,0)-0.46</f>
        <v>33.914999999999999</v>
      </c>
      <c r="G105" s="199">
        <f t="shared" si="12"/>
        <v>33.509500000000003</v>
      </c>
      <c r="H105" s="175" t="s">
        <v>68</v>
      </c>
      <c r="I105" s="176">
        <f t="shared" si="9"/>
        <v>2790.6050000000005</v>
      </c>
      <c r="J105" s="176">
        <f t="shared" si="10"/>
        <v>16937.975000000002</v>
      </c>
      <c r="K105" s="177">
        <f t="shared" si="8"/>
        <v>150.71885434300992</v>
      </c>
      <c r="L105" s="488"/>
      <c r="M105" s="489"/>
      <c r="N105" s="59"/>
      <c r="O105" s="59"/>
      <c r="P105" s="59"/>
      <c r="Q105" s="59"/>
      <c r="R105" s="59"/>
      <c r="S105" s="59"/>
      <c r="T105" s="60"/>
      <c r="U105" s="60"/>
    </row>
    <row r="106" spans="2:21" s="52" customFormat="1" ht="13.5" customHeight="1">
      <c r="B106" s="180">
        <f t="shared" si="11"/>
        <v>80</v>
      </c>
      <c r="C106" s="172">
        <v>2</v>
      </c>
      <c r="D106" s="173" t="s">
        <v>67</v>
      </c>
      <c r="E106" s="174">
        <v>80</v>
      </c>
      <c r="F106" s="175">
        <f>VLOOKUP(E106,'Deck Tally'!$B$5:$C$274,2,0)-0.46</f>
        <v>33.94</v>
      </c>
      <c r="G106" s="199">
        <f t="shared" si="12"/>
        <v>33.534499999999994</v>
      </c>
      <c r="H106" s="175" t="s">
        <v>68</v>
      </c>
      <c r="I106" s="175">
        <f t="shared" si="9"/>
        <v>2824.1395000000007</v>
      </c>
      <c r="J106" s="175">
        <f t="shared" si="10"/>
        <v>16904.440500000001</v>
      </c>
      <c r="K106" s="205">
        <f t="shared" si="8"/>
        <v>151.5085930989305</v>
      </c>
      <c r="L106" s="488"/>
      <c r="M106" s="489"/>
      <c r="N106" s="59"/>
      <c r="O106" s="59"/>
      <c r="P106" s="59"/>
      <c r="Q106" s="59"/>
      <c r="R106" s="59"/>
      <c r="S106" s="59"/>
      <c r="T106" s="60"/>
      <c r="U106" s="60"/>
    </row>
    <row r="107" spans="2:21" s="52" customFormat="1" ht="13.5" customHeight="1">
      <c r="B107" s="180">
        <f t="shared" si="11"/>
        <v>81</v>
      </c>
      <c r="C107" s="172">
        <v>2</v>
      </c>
      <c r="D107" s="173" t="s">
        <v>67</v>
      </c>
      <c r="E107" s="174">
        <v>81</v>
      </c>
      <c r="F107" s="176">
        <f>VLOOKUP(E107,'Deck Tally'!$B$5:$C$274,2,0)-0.46</f>
        <v>33.94</v>
      </c>
      <c r="G107" s="199">
        <f t="shared" si="12"/>
        <v>33.534499999999994</v>
      </c>
      <c r="H107" s="176" t="s">
        <v>68</v>
      </c>
      <c r="I107" s="176">
        <f t="shared" si="9"/>
        <v>2857.6740000000009</v>
      </c>
      <c r="J107" s="176">
        <f t="shared" si="10"/>
        <v>16870.906000000003</v>
      </c>
      <c r="K107" s="177">
        <f t="shared" si="8"/>
        <v>152.29833185485106</v>
      </c>
      <c r="L107" s="476"/>
      <c r="M107" s="477"/>
      <c r="N107" s="59"/>
      <c r="O107" s="59"/>
      <c r="P107" s="59"/>
      <c r="Q107" s="59"/>
      <c r="R107" s="59"/>
      <c r="S107" s="59"/>
      <c r="T107" s="60"/>
      <c r="U107" s="60"/>
    </row>
    <row r="108" spans="2:21" s="52" customFormat="1" ht="13.5" customHeight="1">
      <c r="B108" s="180">
        <f t="shared" si="11"/>
        <v>82</v>
      </c>
      <c r="C108" s="172">
        <v>2</v>
      </c>
      <c r="D108" s="173" t="s">
        <v>67</v>
      </c>
      <c r="E108" s="174">
        <v>82</v>
      </c>
      <c r="F108" s="175">
        <f>VLOOKUP(E108,'Deck Tally'!$B$5:$C$274,2,0)-0.46</f>
        <v>33.949999999999996</v>
      </c>
      <c r="G108" s="199">
        <f t="shared" si="12"/>
        <v>33.544499999999999</v>
      </c>
      <c r="H108" s="175" t="s">
        <v>68</v>
      </c>
      <c r="I108" s="176">
        <f t="shared" si="9"/>
        <v>2891.2185000000009</v>
      </c>
      <c r="J108" s="176">
        <f t="shared" si="10"/>
        <v>16837.361499999999</v>
      </c>
      <c r="K108" s="177">
        <f t="shared" si="8"/>
        <v>153.08830611115357</v>
      </c>
      <c r="L108" s="457"/>
      <c r="M108" s="458"/>
      <c r="N108" s="59"/>
      <c r="O108" s="59"/>
      <c r="P108" s="59"/>
      <c r="Q108" s="59"/>
      <c r="R108" s="59"/>
      <c r="S108" s="59"/>
      <c r="T108" s="60"/>
      <c r="U108" s="60"/>
    </row>
    <row r="109" spans="2:21" s="52" customFormat="1" ht="13.5" customHeight="1">
      <c r="B109" s="180">
        <f t="shared" si="11"/>
        <v>83</v>
      </c>
      <c r="C109" s="172">
        <v>2</v>
      </c>
      <c r="D109" s="173" t="s">
        <v>67</v>
      </c>
      <c r="E109" s="174">
        <v>83</v>
      </c>
      <c r="F109" s="175">
        <f>VLOOKUP(E109,'Deck Tally'!$B$5:$C$274,2,0)-0.46</f>
        <v>33.935000000000002</v>
      </c>
      <c r="G109" s="199">
        <f t="shared" si="12"/>
        <v>33.529499999999999</v>
      </c>
      <c r="H109" s="175" t="s">
        <v>68</v>
      </c>
      <c r="I109" s="176">
        <f t="shared" si="9"/>
        <v>2924.748000000001</v>
      </c>
      <c r="J109" s="176">
        <f t="shared" si="10"/>
        <v>16803.832000000002</v>
      </c>
      <c r="K109" s="177">
        <f t="shared" si="8"/>
        <v>153.87792711688314</v>
      </c>
      <c r="L109" s="471" t="s">
        <v>76</v>
      </c>
      <c r="M109" s="472"/>
      <c r="N109" s="59"/>
      <c r="O109" s="59"/>
      <c r="P109" s="59"/>
      <c r="Q109" s="59"/>
      <c r="R109" s="59"/>
      <c r="S109" s="59"/>
      <c r="T109" s="60"/>
      <c r="U109" s="60"/>
    </row>
    <row r="110" spans="2:21" s="52" customFormat="1" ht="13.5" customHeight="1">
      <c r="B110" s="180">
        <f t="shared" si="11"/>
        <v>84</v>
      </c>
      <c r="C110" s="188">
        <v>1</v>
      </c>
      <c r="D110" s="189" t="s">
        <v>67</v>
      </c>
      <c r="E110" s="190">
        <v>84</v>
      </c>
      <c r="F110" s="191">
        <f>VLOOKUP(E110,'Deck Tally'!$B$5:$C$274,2,0)-0.46</f>
        <v>33.94</v>
      </c>
      <c r="G110" s="199">
        <f t="shared" si="12"/>
        <v>33.534499999999994</v>
      </c>
      <c r="H110" s="191" t="s">
        <v>68</v>
      </c>
      <c r="I110" s="191">
        <f t="shared" si="9"/>
        <v>2958.2825000000012</v>
      </c>
      <c r="J110" s="191">
        <f t="shared" si="10"/>
        <v>16770.297500000001</v>
      </c>
      <c r="K110" s="177">
        <f t="shared" si="8"/>
        <v>154.6676658728037</v>
      </c>
      <c r="L110" s="473" t="s">
        <v>79</v>
      </c>
      <c r="M110" s="474"/>
      <c r="N110" s="59"/>
      <c r="O110" s="59"/>
      <c r="P110" s="59"/>
      <c r="Q110" s="59"/>
      <c r="R110" s="59"/>
      <c r="S110" s="59"/>
      <c r="T110" s="60"/>
      <c r="U110" s="60"/>
    </row>
    <row r="111" spans="2:21" s="52" customFormat="1" ht="13.5" customHeight="1">
      <c r="B111" s="180">
        <f t="shared" si="11"/>
        <v>85</v>
      </c>
      <c r="C111" s="172">
        <v>2</v>
      </c>
      <c r="D111" s="173" t="s">
        <v>67</v>
      </c>
      <c r="E111" s="186">
        <v>85</v>
      </c>
      <c r="F111" s="176">
        <f>VLOOKUP(E111,'Deck Tally'!$B$5:$C$274,2,0)-0.46</f>
        <v>33.94</v>
      </c>
      <c r="G111" s="199">
        <f t="shared" si="12"/>
        <v>33.534499999999994</v>
      </c>
      <c r="H111" s="176" t="s">
        <v>68</v>
      </c>
      <c r="I111" s="176">
        <f t="shared" si="9"/>
        <v>2991.8170000000014</v>
      </c>
      <c r="J111" s="176">
        <f t="shared" si="10"/>
        <v>16736.762999999999</v>
      </c>
      <c r="K111" s="177">
        <f t="shared" si="8"/>
        <v>155.45740462872425</v>
      </c>
      <c r="L111" s="475" t="s">
        <v>80</v>
      </c>
      <c r="M111" s="467"/>
      <c r="N111" s="59"/>
      <c r="O111" s="187">
        <f>16750-M112</f>
        <v>-16.297500000000582</v>
      </c>
      <c r="P111" s="59" t="s">
        <v>74</v>
      </c>
      <c r="Q111" s="59"/>
      <c r="R111" s="59"/>
      <c r="S111" s="59"/>
      <c r="T111" s="60"/>
      <c r="U111" s="60"/>
    </row>
    <row r="112" spans="2:21" s="52" customFormat="1" ht="15.6" customHeight="1">
      <c r="B112" s="180"/>
      <c r="C112" s="181">
        <v>1</v>
      </c>
      <c r="D112" s="182" t="s">
        <v>81</v>
      </c>
      <c r="E112" s="181" t="s">
        <v>82</v>
      </c>
      <c r="F112" s="155">
        <v>10.210000000000001</v>
      </c>
      <c r="G112" s="183">
        <f t="shared" si="12"/>
        <v>9.8045000000000009</v>
      </c>
      <c r="H112" s="155" t="s">
        <v>68</v>
      </c>
      <c r="I112" s="155">
        <f t="shared" si="9"/>
        <v>3001.6215000000016</v>
      </c>
      <c r="J112" s="155">
        <f t="shared" si="10"/>
        <v>16726.958500000001</v>
      </c>
      <c r="K112" s="177">
        <f t="shared" si="8"/>
        <v>155.68830097822769</v>
      </c>
      <c r="L112" s="184" t="s">
        <v>75</v>
      </c>
      <c r="M112" s="193">
        <f>J110-4</f>
        <v>16766.297500000001</v>
      </c>
      <c r="N112" s="59"/>
      <c r="O112" s="185"/>
      <c r="P112" s="59"/>
      <c r="Q112" s="59"/>
      <c r="R112" s="59"/>
      <c r="S112" s="59"/>
      <c r="T112" s="60"/>
      <c r="U112" s="60"/>
    </row>
    <row r="113" spans="2:21" s="52" customFormat="1" ht="49.15" customHeight="1">
      <c r="B113" s="180">
        <f>B111+1</f>
        <v>86</v>
      </c>
      <c r="C113" s="174">
        <v>2</v>
      </c>
      <c r="D113" s="209" t="s">
        <v>67</v>
      </c>
      <c r="E113" s="174">
        <v>86</v>
      </c>
      <c r="F113" s="175">
        <f>VLOOKUP(E113,'Deck Tally'!$B$5:$C$274,2,0)-0.46</f>
        <v>33.94</v>
      </c>
      <c r="G113" s="199">
        <f t="shared" si="12"/>
        <v>33.534499999999994</v>
      </c>
      <c r="H113" s="175" t="s">
        <v>68</v>
      </c>
      <c r="I113" s="175">
        <f t="shared" si="9"/>
        <v>3035.1560000000018</v>
      </c>
      <c r="J113" s="175">
        <f t="shared" si="10"/>
        <v>16693.423999999999</v>
      </c>
      <c r="K113" s="205">
        <f t="shared" si="8"/>
        <v>156.47803973414824</v>
      </c>
      <c r="L113" s="492" t="s">
        <v>290</v>
      </c>
      <c r="M113" s="493"/>
      <c r="N113" s="59"/>
      <c r="O113" s="59"/>
      <c r="P113" s="59"/>
      <c r="Q113" s="59"/>
      <c r="R113" s="59"/>
      <c r="S113" s="59"/>
      <c r="T113" s="60"/>
      <c r="U113" s="60"/>
    </row>
    <row r="114" spans="2:21" s="52" customFormat="1" ht="54.6" customHeight="1">
      <c r="B114" s="180">
        <f>B113+1</f>
        <v>87</v>
      </c>
      <c r="C114" s="174">
        <v>2</v>
      </c>
      <c r="D114" s="209" t="s">
        <v>67</v>
      </c>
      <c r="E114" s="174">
        <v>87</v>
      </c>
      <c r="F114" s="175">
        <f>VLOOKUP(E114,'Deck Tally'!$B$5:$C$274,2,0)-0.46</f>
        <v>33.94</v>
      </c>
      <c r="G114" s="199">
        <f t="shared" si="12"/>
        <v>33.534499999999994</v>
      </c>
      <c r="H114" s="175" t="s">
        <v>68</v>
      </c>
      <c r="I114" s="175">
        <f t="shared" si="9"/>
        <v>3068.690500000002</v>
      </c>
      <c r="J114" s="175">
        <f t="shared" si="10"/>
        <v>16659.889500000001</v>
      </c>
      <c r="K114" s="177">
        <f t="shared" si="8"/>
        <v>157.26777849006879</v>
      </c>
      <c r="L114" s="490" t="s">
        <v>291</v>
      </c>
      <c r="M114" s="491"/>
      <c r="N114" s="59"/>
      <c r="Q114" s="59"/>
      <c r="R114" s="59"/>
      <c r="S114" s="59"/>
      <c r="T114" s="60"/>
      <c r="U114" s="60"/>
    </row>
    <row r="115" spans="2:21" s="52" customFormat="1" ht="13.5" customHeight="1">
      <c r="B115" s="180">
        <f>B114+1</f>
        <v>88</v>
      </c>
      <c r="C115" s="174">
        <v>2</v>
      </c>
      <c r="D115" s="209" t="s">
        <v>67</v>
      </c>
      <c r="E115" s="174">
        <v>88</v>
      </c>
      <c r="F115" s="175">
        <f>VLOOKUP(E115,'Deck Tally'!$B$5:$C$274,2,0)-0.46</f>
        <v>33.94</v>
      </c>
      <c r="G115" s="199">
        <f t="shared" si="12"/>
        <v>33.534499999999994</v>
      </c>
      <c r="H115" s="175" t="s">
        <v>68</v>
      </c>
      <c r="I115" s="175">
        <f t="shared" si="9"/>
        <v>3102.2250000000022</v>
      </c>
      <c r="J115" s="175">
        <f t="shared" si="10"/>
        <v>16626.355</v>
      </c>
      <c r="K115" s="177">
        <f t="shared" si="8"/>
        <v>158.05751724598935</v>
      </c>
      <c r="L115" s="486"/>
      <c r="M115" s="487"/>
      <c r="N115" s="59"/>
      <c r="Q115" s="59"/>
      <c r="R115" s="59"/>
      <c r="S115" s="59"/>
      <c r="T115" s="60"/>
      <c r="U115" s="60"/>
    </row>
    <row r="116" spans="2:21" s="52" customFormat="1" ht="13.5" customHeight="1">
      <c r="B116" s="180"/>
      <c r="C116" s="181">
        <v>1</v>
      </c>
      <c r="D116" s="182" t="s">
        <v>83</v>
      </c>
      <c r="E116" s="181" t="s">
        <v>84</v>
      </c>
      <c r="F116" s="155">
        <v>20.23</v>
      </c>
      <c r="G116" s="183">
        <f t="shared" si="12"/>
        <v>19.8245</v>
      </c>
      <c r="H116" s="155" t="s">
        <v>68</v>
      </c>
      <c r="I116" s="155">
        <f t="shared" si="9"/>
        <v>3122.0495000000024</v>
      </c>
      <c r="J116" s="155">
        <f t="shared" si="10"/>
        <v>16606.530500000001</v>
      </c>
      <c r="K116" s="177">
        <f t="shared" si="8"/>
        <v>158.52438497822772</v>
      </c>
      <c r="L116" s="473" t="s">
        <v>85</v>
      </c>
      <c r="M116" s="474"/>
      <c r="N116" s="59"/>
      <c r="O116" s="59"/>
      <c r="P116" s="59"/>
      <c r="Q116" s="59"/>
      <c r="R116" s="59"/>
      <c r="S116" s="59"/>
      <c r="T116" s="60"/>
      <c r="U116" s="60"/>
    </row>
    <row r="117" spans="2:21" s="202" customFormat="1" ht="13.5" customHeight="1">
      <c r="B117" s="180">
        <f>B115+1</f>
        <v>89</v>
      </c>
      <c r="C117" s="172">
        <v>2</v>
      </c>
      <c r="D117" s="173" t="s">
        <v>67</v>
      </c>
      <c r="E117" s="186">
        <v>89</v>
      </c>
      <c r="F117" s="176">
        <f>VLOOKUP(E117,'Deck Tally'!$B$5:$C$274,2,0)-0.46</f>
        <v>33.94</v>
      </c>
      <c r="G117" s="199">
        <f t="shared" si="12"/>
        <v>33.534499999999994</v>
      </c>
      <c r="H117" s="176" t="s">
        <v>68</v>
      </c>
      <c r="I117" s="176">
        <f t="shared" si="9"/>
        <v>3155.5840000000026</v>
      </c>
      <c r="J117" s="176">
        <f t="shared" si="10"/>
        <v>16572.995999999999</v>
      </c>
      <c r="K117" s="177">
        <f t="shared" si="8"/>
        <v>159.31412373414827</v>
      </c>
      <c r="L117" s="475" t="s">
        <v>86</v>
      </c>
      <c r="M117" s="467"/>
      <c r="N117" s="200"/>
      <c r="O117" s="187">
        <f>16581-M118</f>
        <v>-21.530500000000757</v>
      </c>
      <c r="P117" s="59" t="s">
        <v>74</v>
      </c>
      <c r="Q117" s="200"/>
      <c r="R117" s="200"/>
      <c r="S117" s="200"/>
      <c r="T117" s="201"/>
      <c r="U117" s="201"/>
    </row>
    <row r="118" spans="2:21" s="52" customFormat="1" ht="13.5" customHeight="1">
      <c r="B118" s="180">
        <f t="shared" ref="B118:B149" si="13">B117+1</f>
        <v>90</v>
      </c>
      <c r="C118" s="188">
        <v>1</v>
      </c>
      <c r="D118" s="189" t="s">
        <v>67</v>
      </c>
      <c r="E118" s="190">
        <v>90</v>
      </c>
      <c r="F118" s="191">
        <f>VLOOKUP(E118,'Deck Tally'!$B$5:$C$274,2,0)-0.46</f>
        <v>33.94</v>
      </c>
      <c r="G118" s="199">
        <f t="shared" si="12"/>
        <v>33.534499999999994</v>
      </c>
      <c r="H118" s="191" t="s">
        <v>68</v>
      </c>
      <c r="I118" s="191">
        <f t="shared" si="9"/>
        <v>3189.1185000000028</v>
      </c>
      <c r="J118" s="191">
        <f t="shared" si="10"/>
        <v>16539.461499999998</v>
      </c>
      <c r="K118" s="177">
        <f t="shared" si="8"/>
        <v>160.10386249006882</v>
      </c>
      <c r="L118" s="184" t="s">
        <v>75</v>
      </c>
      <c r="M118" s="193">
        <f>J116-4</f>
        <v>16602.530500000001</v>
      </c>
      <c r="N118" s="59"/>
      <c r="O118" s="59"/>
      <c r="P118" s="59"/>
      <c r="Q118" s="59"/>
      <c r="R118" s="59"/>
      <c r="S118" s="59"/>
      <c r="T118" s="60"/>
      <c r="U118" s="60"/>
    </row>
    <row r="119" spans="2:21" s="52" customFormat="1" ht="13.5" customHeight="1">
      <c r="B119" s="180">
        <f t="shared" si="13"/>
        <v>91</v>
      </c>
      <c r="C119" s="172">
        <v>2</v>
      </c>
      <c r="D119" s="173" t="s">
        <v>67</v>
      </c>
      <c r="E119" s="174">
        <v>91</v>
      </c>
      <c r="F119" s="175">
        <f>VLOOKUP(E119,'Deck Tally'!$B$5:$C$274,2,0)-0.46</f>
        <v>33.94</v>
      </c>
      <c r="G119" s="199">
        <f t="shared" si="12"/>
        <v>33.534499999999994</v>
      </c>
      <c r="H119" s="175" t="s">
        <v>68</v>
      </c>
      <c r="I119" s="176">
        <f t="shared" si="9"/>
        <v>3222.653000000003</v>
      </c>
      <c r="J119" s="176">
        <f t="shared" si="10"/>
        <v>16505.927</v>
      </c>
      <c r="K119" s="177">
        <f t="shared" si="8"/>
        <v>160.89360124598937</v>
      </c>
      <c r="L119" s="471" t="s">
        <v>76</v>
      </c>
      <c r="M119" s="472"/>
      <c r="N119" s="59"/>
      <c r="O119" s="59"/>
      <c r="P119" s="59"/>
      <c r="Q119" s="59"/>
      <c r="R119" s="59"/>
      <c r="S119" s="59"/>
      <c r="T119" s="60"/>
      <c r="U119" s="60"/>
    </row>
    <row r="120" spans="2:21" s="52" customFormat="1" ht="13.5" customHeight="1">
      <c r="B120" s="180">
        <f t="shared" si="13"/>
        <v>92</v>
      </c>
      <c r="C120" s="172">
        <v>2</v>
      </c>
      <c r="D120" s="173" t="s">
        <v>67</v>
      </c>
      <c r="E120" s="174">
        <v>92</v>
      </c>
      <c r="F120" s="175">
        <f>VLOOKUP(E120,'Deck Tally'!$B$5:$C$274,2,0)-0.46</f>
        <v>33.924999999999997</v>
      </c>
      <c r="G120" s="199">
        <f t="shared" si="12"/>
        <v>33.519499999999994</v>
      </c>
      <c r="H120" s="175" t="s">
        <v>68</v>
      </c>
      <c r="I120" s="176">
        <f t="shared" si="9"/>
        <v>3256.1725000000029</v>
      </c>
      <c r="J120" s="176">
        <f t="shared" si="10"/>
        <v>16472.407499999998</v>
      </c>
      <c r="K120" s="177">
        <f t="shared" si="8"/>
        <v>161.68298675133695</v>
      </c>
      <c r="L120" s="488"/>
      <c r="M120" s="489"/>
      <c r="N120" s="59"/>
      <c r="O120" s="59"/>
      <c r="P120" s="59"/>
      <c r="Q120" s="59"/>
      <c r="R120" s="59"/>
      <c r="S120" s="59"/>
      <c r="T120" s="60"/>
      <c r="U120" s="60"/>
    </row>
    <row r="121" spans="2:21" s="52" customFormat="1" ht="13.5" customHeight="1">
      <c r="B121" s="180">
        <f t="shared" si="13"/>
        <v>93</v>
      </c>
      <c r="C121" s="172">
        <v>2</v>
      </c>
      <c r="D121" s="173" t="s">
        <v>67</v>
      </c>
      <c r="E121" s="174">
        <v>93</v>
      </c>
      <c r="F121" s="175">
        <f>VLOOKUP(E121,'Deck Tally'!$B$5:$C$274,2,0)-0.46</f>
        <v>33.93</v>
      </c>
      <c r="G121" s="199">
        <f t="shared" si="12"/>
        <v>33.524500000000003</v>
      </c>
      <c r="H121" s="175" t="s">
        <v>68</v>
      </c>
      <c r="I121" s="176">
        <f t="shared" si="9"/>
        <v>3289.6970000000028</v>
      </c>
      <c r="J121" s="176">
        <f t="shared" si="10"/>
        <v>16438.882999999998</v>
      </c>
      <c r="K121" s="177">
        <f t="shared" si="8"/>
        <v>162.47249000687555</v>
      </c>
      <c r="L121" s="488"/>
      <c r="M121" s="489"/>
      <c r="N121" s="59"/>
      <c r="O121" s="59"/>
      <c r="P121" s="59"/>
      <c r="Q121" s="59"/>
      <c r="R121" s="59"/>
      <c r="S121" s="59"/>
      <c r="T121" s="60"/>
      <c r="U121" s="60"/>
    </row>
    <row r="122" spans="2:21" s="52" customFormat="1" ht="13.5" customHeight="1">
      <c r="B122" s="180">
        <f t="shared" si="13"/>
        <v>94</v>
      </c>
      <c r="C122" s="172">
        <v>2</v>
      </c>
      <c r="D122" s="173" t="s">
        <v>67</v>
      </c>
      <c r="E122" s="174">
        <v>94</v>
      </c>
      <c r="F122" s="175">
        <f>VLOOKUP(E122,'Deck Tally'!$B$5:$C$274,2,0)</f>
        <v>32.905000000000001</v>
      </c>
      <c r="G122" s="176">
        <f t="shared" ref="G122:G153" si="14">F122-($E$11/12)</f>
        <v>32.499499999999998</v>
      </c>
      <c r="H122" s="175" t="s">
        <v>68</v>
      </c>
      <c r="I122" s="176">
        <f t="shared" si="9"/>
        <v>3322.1965000000027</v>
      </c>
      <c r="J122" s="176">
        <f t="shared" si="10"/>
        <v>16406.3835</v>
      </c>
      <c r="K122" s="177">
        <f t="shared" si="8"/>
        <v>163.2378544732621</v>
      </c>
      <c r="L122" s="488"/>
      <c r="M122" s="489"/>
      <c r="N122" s="59"/>
      <c r="O122" s="59"/>
      <c r="P122" s="59"/>
      <c r="Q122" s="59"/>
      <c r="R122" s="59"/>
      <c r="S122" s="59"/>
      <c r="T122" s="60"/>
      <c r="U122" s="60"/>
    </row>
    <row r="123" spans="2:21" s="52" customFormat="1" ht="13.5" customHeight="1">
      <c r="B123" s="180">
        <f t="shared" si="13"/>
        <v>95</v>
      </c>
      <c r="C123" s="172">
        <v>2</v>
      </c>
      <c r="D123" s="173" t="s">
        <v>67</v>
      </c>
      <c r="E123" s="174">
        <v>95</v>
      </c>
      <c r="F123" s="175">
        <f>VLOOKUP(E123,'Deck Tally'!$B$5:$C$274,2,0)-0.46</f>
        <v>33.93</v>
      </c>
      <c r="G123" s="199">
        <f t="shared" si="14"/>
        <v>33.524500000000003</v>
      </c>
      <c r="H123" s="175" t="s">
        <v>68</v>
      </c>
      <c r="I123" s="175">
        <f t="shared" si="9"/>
        <v>3355.7210000000027</v>
      </c>
      <c r="J123" s="175">
        <f t="shared" si="10"/>
        <v>16372.858999999999</v>
      </c>
      <c r="K123" s="205">
        <f t="shared" si="8"/>
        <v>164.02735772880067</v>
      </c>
      <c r="L123" s="488"/>
      <c r="M123" s="489"/>
      <c r="N123" s="59"/>
      <c r="O123" s="59"/>
      <c r="P123" s="59"/>
      <c r="Q123" s="59"/>
      <c r="R123" s="59"/>
      <c r="S123" s="59"/>
      <c r="T123" s="60"/>
      <c r="U123" s="60"/>
    </row>
    <row r="124" spans="2:21" s="52" customFormat="1" ht="13.5" customHeight="1">
      <c r="B124" s="180">
        <f t="shared" si="13"/>
        <v>96</v>
      </c>
      <c r="C124" s="172">
        <v>2</v>
      </c>
      <c r="D124" s="173" t="s">
        <v>67</v>
      </c>
      <c r="E124" s="174">
        <v>96</v>
      </c>
      <c r="F124" s="175">
        <f>VLOOKUP(E124,'Deck Tally'!$B$5:$C$274,2,0)</f>
        <v>33.770000000000003</v>
      </c>
      <c r="G124" s="176">
        <f t="shared" si="14"/>
        <v>33.364500000000007</v>
      </c>
      <c r="H124" s="175" t="s">
        <v>68</v>
      </c>
      <c r="I124" s="176">
        <f t="shared" si="9"/>
        <v>3389.0855000000029</v>
      </c>
      <c r="J124" s="175">
        <f t="shared" si="10"/>
        <v>16339.494499999999</v>
      </c>
      <c r="K124" s="205">
        <f t="shared" si="8"/>
        <v>164.81309297822773</v>
      </c>
      <c r="L124" s="488"/>
      <c r="M124" s="489"/>
      <c r="N124" s="59"/>
      <c r="O124" s="59"/>
      <c r="P124" s="59"/>
      <c r="Q124" s="59"/>
      <c r="R124" s="59"/>
      <c r="S124" s="59"/>
      <c r="T124" s="60"/>
      <c r="U124" s="60"/>
    </row>
    <row r="125" spans="2:21" s="52" customFormat="1" ht="13.5" customHeight="1">
      <c r="B125" s="180">
        <f t="shared" si="13"/>
        <v>97</v>
      </c>
      <c r="C125" s="172">
        <v>2</v>
      </c>
      <c r="D125" s="173" t="s">
        <v>67</v>
      </c>
      <c r="E125" s="174">
        <v>97</v>
      </c>
      <c r="F125" s="175">
        <f>VLOOKUP(E125,'Deck Tally'!$B$5:$C$274,2,0)-0.46</f>
        <v>33.94</v>
      </c>
      <c r="G125" s="199">
        <f t="shared" si="14"/>
        <v>33.534499999999994</v>
      </c>
      <c r="H125" s="175" t="s">
        <v>68</v>
      </c>
      <c r="I125" s="176">
        <f t="shared" si="9"/>
        <v>3422.6200000000031</v>
      </c>
      <c r="J125" s="176">
        <f t="shared" si="10"/>
        <v>16305.96</v>
      </c>
      <c r="K125" s="177">
        <f t="shared" si="8"/>
        <v>165.60283173414828</v>
      </c>
      <c r="L125" s="378"/>
      <c r="M125" s="379"/>
      <c r="N125" s="59"/>
      <c r="O125" s="59"/>
      <c r="P125" s="59"/>
      <c r="Q125" s="59"/>
      <c r="R125" s="59"/>
      <c r="S125" s="59"/>
      <c r="T125" s="60"/>
      <c r="U125" s="60"/>
    </row>
    <row r="126" spans="2:21" s="52" customFormat="1" ht="13.5" customHeight="1">
      <c r="B126" s="180">
        <f t="shared" si="13"/>
        <v>98</v>
      </c>
      <c r="C126" s="172">
        <v>2</v>
      </c>
      <c r="D126" s="173" t="s">
        <v>67</v>
      </c>
      <c r="E126" s="174">
        <v>98</v>
      </c>
      <c r="F126" s="175">
        <f>VLOOKUP(E126,'Deck Tally'!$B$5:$C$274,2,0)</f>
        <v>33.58</v>
      </c>
      <c r="G126" s="176">
        <f t="shared" si="14"/>
        <v>33.174499999999995</v>
      </c>
      <c r="H126" s="175" t="s">
        <v>68</v>
      </c>
      <c r="I126" s="176">
        <f t="shared" si="9"/>
        <v>3455.7945000000032</v>
      </c>
      <c r="J126" s="176">
        <f t="shared" si="10"/>
        <v>16272.785499999998</v>
      </c>
      <c r="K126" s="177">
        <f t="shared" si="8"/>
        <v>166.38409247631787</v>
      </c>
      <c r="L126" s="482"/>
      <c r="M126" s="483"/>
      <c r="N126" s="59"/>
      <c r="O126" s="59"/>
      <c r="P126" s="59"/>
      <c r="Q126" s="59"/>
      <c r="R126" s="59"/>
      <c r="S126" s="59"/>
      <c r="T126" s="60"/>
      <c r="U126" s="60"/>
    </row>
    <row r="127" spans="2:21" s="52" customFormat="1" ht="13.5" customHeight="1">
      <c r="B127" s="180">
        <f t="shared" si="13"/>
        <v>99</v>
      </c>
      <c r="C127" s="172">
        <v>2</v>
      </c>
      <c r="D127" s="173" t="s">
        <v>67</v>
      </c>
      <c r="E127" s="174">
        <v>99</v>
      </c>
      <c r="F127" s="175">
        <f>VLOOKUP(E127,'Deck Tally'!$B$5:$C$274,2,0)-0.46</f>
        <v>33.94</v>
      </c>
      <c r="G127" s="199">
        <f t="shared" si="14"/>
        <v>33.534499999999994</v>
      </c>
      <c r="H127" s="175" t="s">
        <v>68</v>
      </c>
      <c r="I127" s="176">
        <f t="shared" si="9"/>
        <v>3489.3290000000034</v>
      </c>
      <c r="J127" s="176">
        <f t="shared" si="10"/>
        <v>16239.250999999998</v>
      </c>
      <c r="K127" s="177">
        <f t="shared" si="8"/>
        <v>167.17383123223843</v>
      </c>
      <c r="L127" s="484"/>
      <c r="M127" s="485"/>
      <c r="N127" s="59"/>
      <c r="O127" s="59"/>
      <c r="P127" s="59"/>
      <c r="Q127" s="59"/>
      <c r="R127" s="59"/>
      <c r="S127" s="59"/>
      <c r="T127" s="60"/>
      <c r="U127" s="60"/>
    </row>
    <row r="128" spans="2:21" s="202" customFormat="1" ht="13.5" customHeight="1">
      <c r="B128" s="180">
        <f t="shared" si="13"/>
        <v>100</v>
      </c>
      <c r="C128" s="172">
        <v>2</v>
      </c>
      <c r="D128" s="173" t="s">
        <v>67</v>
      </c>
      <c r="E128" s="174">
        <v>100</v>
      </c>
      <c r="F128" s="175">
        <f>VLOOKUP(E128,'Deck Tally'!$B$5:$C$274,2,0)-0.46</f>
        <v>33.94</v>
      </c>
      <c r="G128" s="199">
        <f t="shared" si="14"/>
        <v>33.534499999999994</v>
      </c>
      <c r="H128" s="175" t="s">
        <v>68</v>
      </c>
      <c r="I128" s="176">
        <f t="shared" si="9"/>
        <v>3522.8635000000036</v>
      </c>
      <c r="J128" s="176">
        <f t="shared" si="10"/>
        <v>16205.716499999999</v>
      </c>
      <c r="K128" s="177">
        <f t="shared" si="8"/>
        <v>167.96356998815901</v>
      </c>
      <c r="L128" s="486"/>
      <c r="M128" s="487"/>
      <c r="N128" s="200"/>
      <c r="O128" s="59"/>
      <c r="P128" s="200"/>
      <c r="Q128" s="200"/>
      <c r="R128" s="200"/>
      <c r="S128" s="200"/>
      <c r="T128" s="201"/>
      <c r="U128" s="201"/>
    </row>
    <row r="129" spans="2:21" s="52" customFormat="1" ht="13.5" customHeight="1">
      <c r="B129" s="180">
        <f t="shared" si="13"/>
        <v>101</v>
      </c>
      <c r="C129" s="172">
        <v>2</v>
      </c>
      <c r="D129" s="173" t="s">
        <v>67</v>
      </c>
      <c r="E129" s="174">
        <v>101</v>
      </c>
      <c r="F129" s="175">
        <f>VLOOKUP(E129,'Deck Tally'!$B$5:$C$274,2,0)-0.46</f>
        <v>33.94</v>
      </c>
      <c r="G129" s="199">
        <f t="shared" si="14"/>
        <v>33.534499999999994</v>
      </c>
      <c r="H129" s="175" t="s">
        <v>68</v>
      </c>
      <c r="I129" s="176">
        <f t="shared" si="9"/>
        <v>3556.3980000000038</v>
      </c>
      <c r="J129" s="176">
        <f t="shared" si="10"/>
        <v>16172.181999999997</v>
      </c>
      <c r="K129" s="177">
        <f t="shared" si="8"/>
        <v>168.75330874407953</v>
      </c>
      <c r="L129" s="378"/>
      <c r="M129" s="379"/>
      <c r="N129" s="59"/>
      <c r="O129" s="59"/>
      <c r="P129" s="59"/>
      <c r="Q129" s="59"/>
      <c r="R129" s="59"/>
      <c r="S129" s="59"/>
      <c r="T129" s="60"/>
      <c r="U129" s="60"/>
    </row>
    <row r="130" spans="2:21" s="52" customFormat="1" ht="13.5" customHeight="1">
      <c r="B130" s="180">
        <f t="shared" si="13"/>
        <v>102</v>
      </c>
      <c r="C130" s="172">
        <v>2</v>
      </c>
      <c r="D130" s="173" t="s">
        <v>67</v>
      </c>
      <c r="E130" s="174">
        <v>102</v>
      </c>
      <c r="F130" s="175">
        <f>VLOOKUP(E130,'Deck Tally'!$B$5:$C$274,2,0)-0.46</f>
        <v>33.94</v>
      </c>
      <c r="G130" s="199">
        <f t="shared" si="14"/>
        <v>33.534499999999994</v>
      </c>
      <c r="H130" s="175" t="s">
        <v>68</v>
      </c>
      <c r="I130" s="176">
        <f t="shared" si="9"/>
        <v>3589.932500000004</v>
      </c>
      <c r="J130" s="176">
        <f t="shared" si="10"/>
        <v>16138.647499999997</v>
      </c>
      <c r="K130" s="177">
        <f t="shared" si="8"/>
        <v>169.54304750000011</v>
      </c>
      <c r="L130" s="484"/>
      <c r="M130" s="485"/>
      <c r="N130" s="59"/>
      <c r="O130" s="59"/>
      <c r="P130" s="59"/>
      <c r="Q130" s="59"/>
      <c r="R130" s="59"/>
      <c r="S130" s="59"/>
      <c r="T130" s="60"/>
      <c r="U130" s="60"/>
    </row>
    <row r="131" spans="2:21" s="202" customFormat="1" ht="13.5" customHeight="1">
      <c r="B131" s="180">
        <f t="shared" si="13"/>
        <v>103</v>
      </c>
      <c r="C131" s="172">
        <v>2</v>
      </c>
      <c r="D131" s="173" t="s">
        <v>67</v>
      </c>
      <c r="E131" s="174">
        <v>103</v>
      </c>
      <c r="F131" s="175">
        <f>VLOOKUP(E131,'Deck Tally'!$B$5:$C$274,2,0)-0.46</f>
        <v>33.94</v>
      </c>
      <c r="G131" s="199">
        <f t="shared" si="14"/>
        <v>33.534499999999994</v>
      </c>
      <c r="H131" s="175" t="s">
        <v>68</v>
      </c>
      <c r="I131" s="176">
        <f t="shared" si="9"/>
        <v>3623.4670000000042</v>
      </c>
      <c r="J131" s="176">
        <f t="shared" si="10"/>
        <v>16105.112999999998</v>
      </c>
      <c r="K131" s="177">
        <f t="shared" si="8"/>
        <v>170.33278625592067</v>
      </c>
      <c r="L131" s="486"/>
      <c r="M131" s="487"/>
      <c r="N131" s="200"/>
      <c r="O131" s="59"/>
      <c r="P131" s="200"/>
      <c r="Q131" s="200"/>
      <c r="R131" s="200"/>
      <c r="S131" s="200"/>
      <c r="T131" s="201"/>
      <c r="U131" s="201"/>
    </row>
    <row r="132" spans="2:21" s="52" customFormat="1" ht="13.5" customHeight="1">
      <c r="B132" s="180">
        <f t="shared" si="13"/>
        <v>104</v>
      </c>
      <c r="C132" s="172">
        <v>2</v>
      </c>
      <c r="D132" s="173" t="s">
        <v>67</v>
      </c>
      <c r="E132" s="174">
        <v>104</v>
      </c>
      <c r="F132" s="175">
        <f>VLOOKUP(E132,'Deck Tally'!$B$5:$C$274,2,0)-0.46</f>
        <v>33.935000000000002</v>
      </c>
      <c r="G132" s="199">
        <f t="shared" si="14"/>
        <v>33.529499999999999</v>
      </c>
      <c r="H132" s="175" t="s">
        <v>68</v>
      </c>
      <c r="I132" s="176">
        <f t="shared" si="9"/>
        <v>3656.9965000000043</v>
      </c>
      <c r="J132" s="176">
        <f t="shared" si="10"/>
        <v>16071.583499999997</v>
      </c>
      <c r="K132" s="177">
        <f t="shared" si="8"/>
        <v>171.12240726165021</v>
      </c>
      <c r="L132" s="486"/>
      <c r="M132" s="487"/>
      <c r="N132" s="59"/>
      <c r="O132" s="59"/>
      <c r="P132" s="59"/>
      <c r="Q132" s="59"/>
      <c r="R132" s="59"/>
      <c r="S132" s="59"/>
      <c r="T132" s="60"/>
      <c r="U132" s="60"/>
    </row>
    <row r="133" spans="2:21" s="52" customFormat="1" ht="13.5" customHeight="1">
      <c r="B133" s="180">
        <f t="shared" si="13"/>
        <v>105</v>
      </c>
      <c r="C133" s="172">
        <v>2</v>
      </c>
      <c r="D133" s="173" t="s">
        <v>67</v>
      </c>
      <c r="E133" s="174">
        <v>105</v>
      </c>
      <c r="F133" s="175">
        <f>VLOOKUP(E133,'Deck Tally'!$B$5:$C$274,2,0)-0.46</f>
        <v>33.945</v>
      </c>
      <c r="G133" s="199">
        <f t="shared" si="14"/>
        <v>33.539500000000004</v>
      </c>
      <c r="H133" s="175" t="s">
        <v>68</v>
      </c>
      <c r="I133" s="176">
        <f t="shared" si="9"/>
        <v>3690.5360000000042</v>
      </c>
      <c r="J133" s="176">
        <f t="shared" si="10"/>
        <v>16038.043999999998</v>
      </c>
      <c r="K133" s="177">
        <f t="shared" si="8"/>
        <v>171.91226376776177</v>
      </c>
      <c r="L133" s="486"/>
      <c r="M133" s="487"/>
      <c r="N133" s="59"/>
      <c r="O133" s="59"/>
      <c r="P133" s="59"/>
      <c r="Q133" s="59"/>
      <c r="R133" s="59"/>
      <c r="S133" s="59"/>
      <c r="T133" s="60"/>
      <c r="U133" s="60"/>
    </row>
    <row r="134" spans="2:21" s="52" customFormat="1" ht="13.5" customHeight="1">
      <c r="B134" s="180">
        <f t="shared" si="13"/>
        <v>106</v>
      </c>
      <c r="C134" s="172">
        <v>2</v>
      </c>
      <c r="D134" s="173" t="s">
        <v>67</v>
      </c>
      <c r="E134" s="174">
        <v>106</v>
      </c>
      <c r="F134" s="175">
        <f>VLOOKUP(E134,'Deck Tally'!$B$5:$C$274,2,0)-0.46</f>
        <v>33.935000000000002</v>
      </c>
      <c r="G134" s="199">
        <f t="shared" si="14"/>
        <v>33.529499999999999</v>
      </c>
      <c r="H134" s="175" t="s">
        <v>68</v>
      </c>
      <c r="I134" s="176">
        <f t="shared" si="9"/>
        <v>3724.0655000000042</v>
      </c>
      <c r="J134" s="176">
        <f t="shared" si="10"/>
        <v>16004.514499999997</v>
      </c>
      <c r="K134" s="177">
        <f t="shared" si="8"/>
        <v>172.70188477349132</v>
      </c>
      <c r="L134" s="488"/>
      <c r="M134" s="489"/>
      <c r="N134" s="59"/>
      <c r="O134" s="59"/>
      <c r="P134" s="59"/>
      <c r="Q134" s="59"/>
      <c r="R134" s="59"/>
      <c r="S134" s="59"/>
      <c r="T134" s="60"/>
      <c r="U134" s="60"/>
    </row>
    <row r="135" spans="2:21" s="52" customFormat="1" ht="13.5" customHeight="1">
      <c r="B135" s="180">
        <f t="shared" si="13"/>
        <v>107</v>
      </c>
      <c r="C135" s="172">
        <v>2</v>
      </c>
      <c r="D135" s="173" t="s">
        <v>67</v>
      </c>
      <c r="E135" s="174">
        <v>107</v>
      </c>
      <c r="F135" s="175">
        <f>VLOOKUP(E135,'Deck Tally'!$B$5:$C$274,2,0)-0.46</f>
        <v>33.674999999999997</v>
      </c>
      <c r="G135" s="199">
        <f t="shared" si="14"/>
        <v>33.269499999999994</v>
      </c>
      <c r="H135" s="175" t="s">
        <v>68</v>
      </c>
      <c r="I135" s="176">
        <f t="shared" si="9"/>
        <v>3757.3350000000041</v>
      </c>
      <c r="J135" s="176">
        <f t="shared" si="10"/>
        <v>15971.244999999997</v>
      </c>
      <c r="K135" s="177">
        <f t="shared" si="8"/>
        <v>173.48538276928963</v>
      </c>
      <c r="L135" s="488"/>
      <c r="M135" s="489"/>
      <c r="N135" s="59"/>
      <c r="O135" s="59"/>
      <c r="P135" s="59"/>
      <c r="Q135" s="59"/>
      <c r="R135" s="59"/>
      <c r="S135" s="59"/>
      <c r="T135" s="60"/>
      <c r="U135" s="60"/>
    </row>
    <row r="136" spans="2:21" s="52" customFormat="1" ht="13.5" customHeight="1">
      <c r="B136" s="180">
        <f t="shared" si="13"/>
        <v>108</v>
      </c>
      <c r="C136" s="172">
        <v>2</v>
      </c>
      <c r="D136" s="173" t="s">
        <v>67</v>
      </c>
      <c r="E136" s="174">
        <v>108</v>
      </c>
      <c r="F136" s="175">
        <f>VLOOKUP(E136,'Deck Tally'!$B$5:$C$274,2,0)-0.46</f>
        <v>33.94</v>
      </c>
      <c r="G136" s="199">
        <f t="shared" si="14"/>
        <v>33.534499999999994</v>
      </c>
      <c r="H136" s="175" t="s">
        <v>68</v>
      </c>
      <c r="I136" s="176">
        <f t="shared" si="9"/>
        <v>3790.8695000000043</v>
      </c>
      <c r="J136" s="176">
        <f t="shared" si="10"/>
        <v>15937.710499999997</v>
      </c>
      <c r="K136" s="177">
        <f t="shared" si="8"/>
        <v>174.27512152521018</v>
      </c>
      <c r="L136" s="488"/>
      <c r="M136" s="489"/>
      <c r="N136" s="59"/>
      <c r="O136" s="59"/>
      <c r="P136" s="59"/>
      <c r="Q136" s="59"/>
      <c r="R136" s="59"/>
      <c r="S136" s="59"/>
      <c r="T136" s="60"/>
      <c r="U136" s="60"/>
    </row>
    <row r="137" spans="2:21" s="202" customFormat="1" ht="13.5" customHeight="1">
      <c r="B137" s="180">
        <f t="shared" si="13"/>
        <v>109</v>
      </c>
      <c r="C137" s="172">
        <v>2</v>
      </c>
      <c r="D137" s="173" t="s">
        <v>67</v>
      </c>
      <c r="E137" s="174">
        <v>109</v>
      </c>
      <c r="F137" s="175">
        <f>VLOOKUP(E137,'Deck Tally'!$B$5:$C$274,2,0)-0.46</f>
        <v>33.954999999999998</v>
      </c>
      <c r="G137" s="199">
        <f t="shared" si="14"/>
        <v>33.549499999999995</v>
      </c>
      <c r="H137" s="175" t="s">
        <v>68</v>
      </c>
      <c r="I137" s="176">
        <f t="shared" si="9"/>
        <v>3824.4190000000044</v>
      </c>
      <c r="J137" s="176">
        <f t="shared" si="10"/>
        <v>15904.160999999996</v>
      </c>
      <c r="K137" s="177">
        <f t="shared" si="8"/>
        <v>175.06521353170371</v>
      </c>
      <c r="L137" s="486"/>
      <c r="M137" s="487"/>
      <c r="N137" s="200"/>
      <c r="O137" s="59"/>
      <c r="P137" s="200"/>
      <c r="Q137" s="200"/>
      <c r="R137" s="200"/>
      <c r="S137" s="200"/>
      <c r="T137" s="201"/>
      <c r="U137" s="201"/>
    </row>
    <row r="138" spans="2:21" s="52" customFormat="1" ht="13.5" customHeight="1">
      <c r="B138" s="180">
        <f t="shared" si="13"/>
        <v>110</v>
      </c>
      <c r="C138" s="172">
        <v>2</v>
      </c>
      <c r="D138" s="173" t="s">
        <v>67</v>
      </c>
      <c r="E138" s="174">
        <v>110</v>
      </c>
      <c r="F138" s="175">
        <f>VLOOKUP(E138,'Deck Tally'!$B$5:$C$274,2,0)-0.46</f>
        <v>33.949999999999996</v>
      </c>
      <c r="G138" s="199">
        <f t="shared" si="14"/>
        <v>33.544499999999999</v>
      </c>
      <c r="H138" s="175" t="s">
        <v>68</v>
      </c>
      <c r="I138" s="176">
        <f t="shared" si="9"/>
        <v>3857.9635000000044</v>
      </c>
      <c r="J138" s="176">
        <f t="shared" si="10"/>
        <v>15870.616499999996</v>
      </c>
      <c r="K138" s="177">
        <f t="shared" si="8"/>
        <v>175.85518778800622</v>
      </c>
      <c r="L138" s="378"/>
      <c r="M138" s="379"/>
      <c r="N138" s="59"/>
      <c r="O138" s="59"/>
      <c r="P138" s="59"/>
      <c r="Q138" s="59"/>
      <c r="R138" s="59"/>
      <c r="S138" s="59"/>
      <c r="T138" s="60"/>
      <c r="U138" s="60"/>
    </row>
    <row r="139" spans="2:21" s="52" customFormat="1" ht="13.5" customHeight="1">
      <c r="B139" s="180">
        <f t="shared" si="13"/>
        <v>111</v>
      </c>
      <c r="C139" s="172">
        <v>2</v>
      </c>
      <c r="D139" s="173" t="s">
        <v>67</v>
      </c>
      <c r="E139" s="174">
        <v>111</v>
      </c>
      <c r="F139" s="175">
        <f>VLOOKUP(E139,'Deck Tally'!$B$5:$C$274,2,0)-0.46</f>
        <v>33.924999999999997</v>
      </c>
      <c r="G139" s="199">
        <f t="shared" si="14"/>
        <v>33.519499999999994</v>
      </c>
      <c r="H139" s="175" t="s">
        <v>68</v>
      </c>
      <c r="I139" s="176">
        <f t="shared" si="9"/>
        <v>3891.4830000000043</v>
      </c>
      <c r="J139" s="176">
        <f t="shared" si="10"/>
        <v>15837.096999999998</v>
      </c>
      <c r="K139" s="177">
        <f t="shared" si="8"/>
        <v>176.6445732933538</v>
      </c>
      <c r="L139" s="484"/>
      <c r="M139" s="485"/>
      <c r="N139" s="59"/>
      <c r="O139" s="59"/>
      <c r="P139" s="59"/>
      <c r="Q139" s="59"/>
      <c r="R139" s="59"/>
      <c r="S139" s="59"/>
      <c r="T139" s="60"/>
      <c r="U139" s="60"/>
    </row>
    <row r="140" spans="2:21" s="202" customFormat="1" ht="13.5" customHeight="1">
      <c r="B140" s="180">
        <f t="shared" si="13"/>
        <v>112</v>
      </c>
      <c r="C140" s="172">
        <v>2</v>
      </c>
      <c r="D140" s="173" t="s">
        <v>67</v>
      </c>
      <c r="E140" s="174">
        <v>112</v>
      </c>
      <c r="F140" s="175">
        <f>VLOOKUP(E140,'Deck Tally'!$B$5:$C$274,2,0)-0.46</f>
        <v>33.93</v>
      </c>
      <c r="G140" s="199">
        <f t="shared" si="14"/>
        <v>33.524500000000003</v>
      </c>
      <c r="H140" s="175" t="s">
        <v>68</v>
      </c>
      <c r="I140" s="176">
        <f t="shared" si="9"/>
        <v>3925.0075000000043</v>
      </c>
      <c r="J140" s="176">
        <f t="shared" si="10"/>
        <v>15803.572499999998</v>
      </c>
      <c r="K140" s="177">
        <f t="shared" si="8"/>
        <v>177.43407654889239</v>
      </c>
      <c r="L140" s="486"/>
      <c r="M140" s="487"/>
      <c r="N140" s="200"/>
      <c r="O140" s="59"/>
      <c r="P140" s="200"/>
      <c r="Q140" s="200"/>
      <c r="R140" s="200"/>
      <c r="S140" s="200"/>
      <c r="T140" s="201"/>
      <c r="U140" s="201"/>
    </row>
    <row r="141" spans="2:21" s="52" customFormat="1" ht="13.5" customHeight="1">
      <c r="B141" s="180">
        <f t="shared" si="13"/>
        <v>113</v>
      </c>
      <c r="C141" s="172">
        <v>2</v>
      </c>
      <c r="D141" s="173" t="s">
        <v>67</v>
      </c>
      <c r="E141" s="174">
        <v>113</v>
      </c>
      <c r="F141" s="175">
        <f>VLOOKUP(E141,'Deck Tally'!$B$5:$C$274,2,0)</f>
        <v>31.715</v>
      </c>
      <c r="G141" s="176">
        <f t="shared" si="14"/>
        <v>31.3095</v>
      </c>
      <c r="H141" s="175" t="s">
        <v>68</v>
      </c>
      <c r="I141" s="176">
        <f t="shared" si="9"/>
        <v>3956.3170000000041</v>
      </c>
      <c r="J141" s="176">
        <f t="shared" si="10"/>
        <v>15772.262999999997</v>
      </c>
      <c r="K141" s="177">
        <f t="shared" si="8"/>
        <v>178.17141646982441</v>
      </c>
      <c r="L141" s="486"/>
      <c r="M141" s="487"/>
      <c r="N141" s="59"/>
      <c r="O141" s="59"/>
      <c r="P141" s="59"/>
      <c r="Q141" s="59"/>
      <c r="R141" s="59"/>
      <c r="S141" s="59"/>
      <c r="T141" s="60"/>
      <c r="U141" s="60"/>
    </row>
    <row r="142" spans="2:21" s="52" customFormat="1" ht="13.5" customHeight="1">
      <c r="B142" s="180">
        <f t="shared" si="13"/>
        <v>114</v>
      </c>
      <c r="C142" s="172">
        <v>2</v>
      </c>
      <c r="D142" s="173" t="s">
        <v>67</v>
      </c>
      <c r="E142" s="174">
        <v>114</v>
      </c>
      <c r="F142" s="175">
        <f>VLOOKUP(E142,'Deck Tally'!$B$5:$C$274,2,0)-0.46</f>
        <v>33.93</v>
      </c>
      <c r="G142" s="199">
        <f t="shared" si="14"/>
        <v>33.524500000000003</v>
      </c>
      <c r="H142" s="175" t="s">
        <v>68</v>
      </c>
      <c r="I142" s="176">
        <f t="shared" si="9"/>
        <v>3989.8415000000041</v>
      </c>
      <c r="J142" s="176">
        <f t="shared" si="10"/>
        <v>15738.738499999998</v>
      </c>
      <c r="K142" s="177">
        <f t="shared" si="8"/>
        <v>178.96091972536297</v>
      </c>
      <c r="L142" s="486"/>
      <c r="M142" s="487"/>
      <c r="N142" s="59"/>
      <c r="O142" s="59"/>
      <c r="P142" s="59"/>
      <c r="Q142" s="59"/>
      <c r="R142" s="59"/>
      <c r="S142" s="59"/>
      <c r="T142" s="60"/>
      <c r="U142" s="60"/>
    </row>
    <row r="143" spans="2:21" s="52" customFormat="1" ht="13.5" customHeight="1">
      <c r="B143" s="180">
        <f t="shared" si="13"/>
        <v>115</v>
      </c>
      <c r="C143" s="172">
        <v>2</v>
      </c>
      <c r="D143" s="173" t="s">
        <v>67</v>
      </c>
      <c r="E143" s="174">
        <v>115</v>
      </c>
      <c r="F143" s="175">
        <f>VLOOKUP(E143,'Deck Tally'!$B$5:$C$274,2,0)-0.46</f>
        <v>33.924999999999997</v>
      </c>
      <c r="G143" s="199">
        <f t="shared" si="14"/>
        <v>33.519499999999994</v>
      </c>
      <c r="H143" s="175" t="s">
        <v>68</v>
      </c>
      <c r="I143" s="176">
        <f t="shared" si="9"/>
        <v>4023.361000000004</v>
      </c>
      <c r="J143" s="176">
        <f t="shared" si="10"/>
        <v>15705.218999999997</v>
      </c>
      <c r="K143" s="177">
        <f t="shared" si="8"/>
        <v>179.75030523071058</v>
      </c>
      <c r="L143" s="488"/>
      <c r="M143" s="489"/>
      <c r="N143" s="59"/>
      <c r="O143" s="59"/>
      <c r="P143" s="59"/>
      <c r="Q143" s="59"/>
      <c r="R143" s="59"/>
      <c r="S143" s="59"/>
      <c r="T143" s="60"/>
      <c r="U143" s="60"/>
    </row>
    <row r="144" spans="2:21" s="52" customFormat="1" ht="13.5" customHeight="1">
      <c r="B144" s="180">
        <f t="shared" si="13"/>
        <v>116</v>
      </c>
      <c r="C144" s="172">
        <v>2</v>
      </c>
      <c r="D144" s="173" t="s">
        <v>67</v>
      </c>
      <c r="E144" s="174">
        <v>116</v>
      </c>
      <c r="F144" s="175">
        <f>VLOOKUP(E144,'Deck Tally'!$B$5:$C$274,2,0)-0.46</f>
        <v>33.924999999999997</v>
      </c>
      <c r="G144" s="199">
        <f t="shared" si="14"/>
        <v>33.519499999999994</v>
      </c>
      <c r="H144" s="175" t="s">
        <v>68</v>
      </c>
      <c r="I144" s="176">
        <f t="shared" si="9"/>
        <v>4056.8805000000038</v>
      </c>
      <c r="J144" s="176">
        <f t="shared" si="10"/>
        <v>15671.699499999999</v>
      </c>
      <c r="K144" s="177">
        <f t="shared" si="8"/>
        <v>180.53969073605816</v>
      </c>
      <c r="L144" s="488"/>
      <c r="M144" s="489"/>
      <c r="N144" s="59"/>
      <c r="O144" s="59"/>
      <c r="P144" s="59"/>
      <c r="Q144" s="59"/>
      <c r="R144" s="59"/>
      <c r="S144" s="59"/>
      <c r="T144" s="60"/>
      <c r="U144" s="60"/>
    </row>
    <row r="145" spans="2:21" s="52" customFormat="1" ht="13.5" customHeight="1">
      <c r="B145" s="180">
        <f t="shared" si="13"/>
        <v>117</v>
      </c>
      <c r="C145" s="172">
        <v>2</v>
      </c>
      <c r="D145" s="173" t="s">
        <v>67</v>
      </c>
      <c r="E145" s="174">
        <v>117</v>
      </c>
      <c r="F145" s="175">
        <f>VLOOKUP(E145,'Deck Tally'!$B$5:$C$274,2,0)-0.46</f>
        <v>33.924999999999997</v>
      </c>
      <c r="G145" s="199">
        <f t="shared" si="14"/>
        <v>33.519499999999994</v>
      </c>
      <c r="H145" s="175" t="s">
        <v>68</v>
      </c>
      <c r="I145" s="176">
        <f t="shared" si="9"/>
        <v>4090.4000000000037</v>
      </c>
      <c r="J145" s="176">
        <f t="shared" si="10"/>
        <v>15638.179999999998</v>
      </c>
      <c r="K145" s="177">
        <f t="shared" ref="K145:K208" si="15">$H$8+(I145*$E$9*$H$10/1000)</f>
        <v>181.32907624140574</v>
      </c>
      <c r="L145" s="488"/>
      <c r="M145" s="489"/>
      <c r="N145" s="59"/>
      <c r="O145" s="59"/>
      <c r="P145" s="59"/>
      <c r="Q145" s="59"/>
      <c r="R145" s="59"/>
      <c r="S145" s="59"/>
      <c r="T145" s="60"/>
      <c r="U145" s="60"/>
    </row>
    <row r="146" spans="2:21" s="52" customFormat="1" ht="13.5" customHeight="1">
      <c r="B146" s="180">
        <f t="shared" si="13"/>
        <v>118</v>
      </c>
      <c r="C146" s="172">
        <v>2</v>
      </c>
      <c r="D146" s="173" t="s">
        <v>67</v>
      </c>
      <c r="E146" s="174">
        <v>118</v>
      </c>
      <c r="F146" s="175">
        <f>VLOOKUP(E146,'Deck Tally'!$B$5:$C$274,2,0)-0.46</f>
        <v>33.94</v>
      </c>
      <c r="G146" s="199">
        <f t="shared" si="14"/>
        <v>33.534499999999994</v>
      </c>
      <c r="H146" s="175" t="s">
        <v>68</v>
      </c>
      <c r="I146" s="175">
        <f t="shared" ref="I146:I209" si="16">IF(H146="IN",I145+G146,I145)</f>
        <v>4123.9345000000039</v>
      </c>
      <c r="J146" s="175">
        <f t="shared" ref="J146:J209" si="17">IF(I146="","",$L$8-I146)</f>
        <v>15604.645499999999</v>
      </c>
      <c r="K146" s="205">
        <f t="shared" si="15"/>
        <v>182.1188149973263</v>
      </c>
      <c r="L146" s="488"/>
      <c r="M146" s="489"/>
      <c r="N146" s="59"/>
      <c r="O146" s="59"/>
      <c r="P146" s="59"/>
      <c r="Q146" s="59"/>
      <c r="R146" s="59"/>
      <c r="S146" s="59"/>
      <c r="T146" s="60"/>
      <c r="U146" s="60"/>
    </row>
    <row r="147" spans="2:21" s="52" customFormat="1" ht="13.5" customHeight="1">
      <c r="B147" s="180">
        <f t="shared" si="13"/>
        <v>119</v>
      </c>
      <c r="C147" s="172">
        <v>2</v>
      </c>
      <c r="D147" s="173" t="s">
        <v>67</v>
      </c>
      <c r="E147" s="174">
        <v>119</v>
      </c>
      <c r="F147" s="175">
        <f>VLOOKUP(E147,'Deck Tally'!$B$5:$C$274,2,0)-0.46</f>
        <v>33.94</v>
      </c>
      <c r="G147" s="199">
        <f t="shared" si="14"/>
        <v>33.534499999999994</v>
      </c>
      <c r="H147" s="175" t="s">
        <v>68</v>
      </c>
      <c r="I147" s="175">
        <f t="shared" si="16"/>
        <v>4157.4690000000037</v>
      </c>
      <c r="J147" s="175">
        <f t="shared" si="17"/>
        <v>15571.110999999997</v>
      </c>
      <c r="K147" s="205">
        <f t="shared" si="15"/>
        <v>182.90855375324685</v>
      </c>
      <c r="L147" s="488"/>
      <c r="M147" s="489"/>
      <c r="N147" s="59"/>
      <c r="O147" s="59"/>
      <c r="P147" s="59"/>
      <c r="Q147" s="59"/>
      <c r="R147" s="59"/>
      <c r="S147" s="59"/>
      <c r="T147" s="60"/>
      <c r="U147" s="60"/>
    </row>
    <row r="148" spans="2:21" s="52" customFormat="1" ht="13.5" customHeight="1">
      <c r="B148" s="180">
        <f t="shared" si="13"/>
        <v>120</v>
      </c>
      <c r="C148" s="172">
        <v>2</v>
      </c>
      <c r="D148" s="173" t="s">
        <v>67</v>
      </c>
      <c r="E148" s="174">
        <v>120</v>
      </c>
      <c r="F148" s="176">
        <f>VLOOKUP(E148,'Deck Tally'!$B$5:$C$274,2,0)-0.46</f>
        <v>33.93</v>
      </c>
      <c r="G148" s="199">
        <f t="shared" si="14"/>
        <v>33.524500000000003</v>
      </c>
      <c r="H148" s="176" t="s">
        <v>68</v>
      </c>
      <c r="I148" s="176">
        <f t="shared" si="16"/>
        <v>4190.9935000000041</v>
      </c>
      <c r="J148" s="176">
        <f t="shared" si="17"/>
        <v>15537.586499999998</v>
      </c>
      <c r="K148" s="205">
        <f t="shared" si="15"/>
        <v>183.69805700878544</v>
      </c>
      <c r="N148" s="59"/>
      <c r="O148" s="59"/>
      <c r="P148" s="59"/>
      <c r="Q148" s="59"/>
      <c r="R148" s="59"/>
      <c r="S148" s="59"/>
      <c r="T148" s="60"/>
      <c r="U148" s="60"/>
    </row>
    <row r="149" spans="2:21" s="52" customFormat="1" ht="13.5" customHeight="1">
      <c r="B149" s="180">
        <f t="shared" si="13"/>
        <v>121</v>
      </c>
      <c r="C149" s="174">
        <v>2</v>
      </c>
      <c r="D149" s="209" t="s">
        <v>67</v>
      </c>
      <c r="E149" s="174">
        <v>121</v>
      </c>
      <c r="F149" s="175">
        <f>VLOOKUP(E149,'Deck Tally'!$B$5:$C$274,2,0)-0.46</f>
        <v>33.94</v>
      </c>
      <c r="G149" s="199">
        <f t="shared" si="14"/>
        <v>33.534499999999994</v>
      </c>
      <c r="H149" s="175" t="s">
        <v>68</v>
      </c>
      <c r="I149" s="175">
        <f t="shared" si="16"/>
        <v>4224.5280000000039</v>
      </c>
      <c r="J149" s="175">
        <f t="shared" si="17"/>
        <v>15504.051999999998</v>
      </c>
      <c r="K149" s="205">
        <f t="shared" si="15"/>
        <v>184.48779576470599</v>
      </c>
      <c r="N149" s="59"/>
      <c r="O149" s="59"/>
      <c r="P149" s="59"/>
      <c r="Q149" s="59"/>
      <c r="R149" s="59"/>
      <c r="S149" s="59"/>
      <c r="T149" s="60"/>
      <c r="U149" s="60"/>
    </row>
    <row r="150" spans="2:21" s="52" customFormat="1" ht="13.5" customHeight="1">
      <c r="B150" s="180">
        <f t="shared" ref="B150:B166" si="18">B149+1</f>
        <v>122</v>
      </c>
      <c r="C150" s="172">
        <v>2</v>
      </c>
      <c r="D150" s="173" t="s">
        <v>67</v>
      </c>
      <c r="E150" s="174">
        <v>122</v>
      </c>
      <c r="F150" s="175">
        <f>VLOOKUP(E150,'Deck Tally'!$B$5:$C$274,2,0)-0.46</f>
        <v>33.935000000000002</v>
      </c>
      <c r="G150" s="199">
        <f t="shared" si="14"/>
        <v>33.529499999999999</v>
      </c>
      <c r="H150" s="175" t="s">
        <v>68</v>
      </c>
      <c r="I150" s="176">
        <f t="shared" si="16"/>
        <v>4258.0575000000035</v>
      </c>
      <c r="J150" s="176">
        <f t="shared" si="17"/>
        <v>15470.522499999999</v>
      </c>
      <c r="K150" s="177">
        <f t="shared" si="15"/>
        <v>185.27741677043554</v>
      </c>
      <c r="L150" s="378"/>
      <c r="M150" s="379"/>
      <c r="N150" s="59"/>
      <c r="O150" s="59"/>
      <c r="P150" s="59"/>
      <c r="Q150" s="59"/>
      <c r="R150" s="59"/>
      <c r="S150" s="59"/>
      <c r="T150" s="60"/>
      <c r="U150" s="60"/>
    </row>
    <row r="151" spans="2:21" s="202" customFormat="1" ht="13.5" customHeight="1">
      <c r="B151" s="180">
        <f t="shared" si="18"/>
        <v>123</v>
      </c>
      <c r="C151" s="172">
        <v>2</v>
      </c>
      <c r="D151" s="173" t="s">
        <v>67</v>
      </c>
      <c r="E151" s="174">
        <v>123</v>
      </c>
      <c r="F151" s="175">
        <f>VLOOKUP(E151,'Deck Tally'!$B$5:$C$274,2,0)-0.46</f>
        <v>33.935000000000002</v>
      </c>
      <c r="G151" s="199">
        <f t="shared" si="14"/>
        <v>33.529499999999999</v>
      </c>
      <c r="H151" s="175" t="s">
        <v>68</v>
      </c>
      <c r="I151" s="176">
        <f t="shared" si="16"/>
        <v>4291.5870000000032</v>
      </c>
      <c r="J151" s="176">
        <f t="shared" si="17"/>
        <v>15436.992999999999</v>
      </c>
      <c r="K151" s="177">
        <f t="shared" si="15"/>
        <v>186.06703777616508</v>
      </c>
      <c r="L151" s="378"/>
      <c r="M151" s="379"/>
      <c r="N151" s="200"/>
      <c r="O151" s="59"/>
      <c r="P151" s="200"/>
      <c r="Q151" s="200"/>
      <c r="R151" s="200"/>
      <c r="S151" s="200"/>
      <c r="T151" s="201"/>
      <c r="U151" s="201"/>
    </row>
    <row r="152" spans="2:21" s="52" customFormat="1" ht="13.5" customHeight="1">
      <c r="B152" s="180">
        <f t="shared" si="18"/>
        <v>124</v>
      </c>
      <c r="C152" s="172">
        <v>2</v>
      </c>
      <c r="D152" s="173" t="s">
        <v>67</v>
      </c>
      <c r="E152" s="174">
        <v>124</v>
      </c>
      <c r="F152" s="175">
        <f>VLOOKUP(E152,'Deck Tally'!$B$5:$C$274,2,0)-0.46</f>
        <v>33.94</v>
      </c>
      <c r="G152" s="199">
        <f t="shared" si="14"/>
        <v>33.534499999999994</v>
      </c>
      <c r="H152" s="175" t="s">
        <v>68</v>
      </c>
      <c r="I152" s="176">
        <f t="shared" si="16"/>
        <v>4325.1215000000029</v>
      </c>
      <c r="J152" s="176">
        <f t="shared" si="17"/>
        <v>15403.458499999999</v>
      </c>
      <c r="K152" s="177">
        <f t="shared" si="15"/>
        <v>186.85677653208563</v>
      </c>
      <c r="L152" s="378"/>
      <c r="M152" s="379"/>
      <c r="N152" s="59"/>
      <c r="O152" s="196"/>
      <c r="P152" s="59"/>
      <c r="Q152" s="59"/>
      <c r="R152" s="59"/>
      <c r="S152" s="59"/>
      <c r="T152" s="60"/>
      <c r="U152" s="60"/>
    </row>
    <row r="153" spans="2:21" s="52" customFormat="1" ht="13.5" customHeight="1">
      <c r="B153" s="180">
        <f t="shared" si="18"/>
        <v>125</v>
      </c>
      <c r="C153" s="172">
        <v>2</v>
      </c>
      <c r="D153" s="173" t="s">
        <v>67</v>
      </c>
      <c r="E153" s="174">
        <v>125</v>
      </c>
      <c r="F153" s="175">
        <f>VLOOKUP(E153,'Deck Tally'!$B$5:$C$274,2,0)-0.46</f>
        <v>33.94</v>
      </c>
      <c r="G153" s="199">
        <f t="shared" si="14"/>
        <v>33.534499999999994</v>
      </c>
      <c r="H153" s="175" t="s">
        <v>68</v>
      </c>
      <c r="I153" s="176">
        <f t="shared" si="16"/>
        <v>4358.6560000000027</v>
      </c>
      <c r="J153" s="176">
        <f t="shared" si="17"/>
        <v>15369.923999999999</v>
      </c>
      <c r="K153" s="177">
        <f t="shared" si="15"/>
        <v>187.64651528800619</v>
      </c>
      <c r="L153" s="378"/>
      <c r="M153" s="379"/>
      <c r="N153" s="59"/>
      <c r="O153" s="187"/>
      <c r="P153" s="59"/>
      <c r="Q153" s="59"/>
      <c r="R153" s="59"/>
      <c r="S153" s="59"/>
      <c r="T153" s="60"/>
      <c r="U153" s="60"/>
    </row>
    <row r="154" spans="2:21" s="52" customFormat="1" ht="13.5" customHeight="1">
      <c r="B154" s="180">
        <f t="shared" si="18"/>
        <v>126</v>
      </c>
      <c r="C154" s="172">
        <v>2</v>
      </c>
      <c r="D154" s="173" t="s">
        <v>67</v>
      </c>
      <c r="E154" s="174">
        <v>126</v>
      </c>
      <c r="F154" s="175">
        <f>VLOOKUP(E154,'Deck Tally'!$B$5:$C$274,2,0)-0.46</f>
        <v>33.94</v>
      </c>
      <c r="G154" s="199">
        <f t="shared" ref="G154:G185" si="19">F154-($E$11/12)</f>
        <v>33.534499999999994</v>
      </c>
      <c r="H154" s="175" t="s">
        <v>68</v>
      </c>
      <c r="I154" s="176">
        <f t="shared" si="16"/>
        <v>4392.1905000000024</v>
      </c>
      <c r="J154" s="176">
        <f t="shared" si="17"/>
        <v>15336.389499999999</v>
      </c>
      <c r="K154" s="177">
        <f t="shared" si="15"/>
        <v>188.43625404392674</v>
      </c>
      <c r="L154" s="378"/>
      <c r="M154" s="379"/>
      <c r="N154" s="59"/>
      <c r="O154" s="59"/>
      <c r="P154" s="59"/>
      <c r="Q154" s="59"/>
      <c r="R154" s="59"/>
      <c r="S154" s="59"/>
      <c r="T154" s="60"/>
      <c r="U154" s="60"/>
    </row>
    <row r="155" spans="2:21" s="52" customFormat="1" ht="13.5" customHeight="1">
      <c r="B155" s="180">
        <f t="shared" si="18"/>
        <v>127</v>
      </c>
      <c r="C155" s="172">
        <v>2</v>
      </c>
      <c r="D155" s="173" t="s">
        <v>67</v>
      </c>
      <c r="E155" s="174">
        <v>127</v>
      </c>
      <c r="F155" s="175">
        <f>VLOOKUP(E155,'Deck Tally'!$B$5:$C$274,2,0)-0.46</f>
        <v>33.94</v>
      </c>
      <c r="G155" s="199">
        <f t="shared" si="19"/>
        <v>33.534499999999994</v>
      </c>
      <c r="H155" s="175" t="s">
        <v>68</v>
      </c>
      <c r="I155" s="176">
        <f t="shared" si="16"/>
        <v>4425.7250000000022</v>
      </c>
      <c r="J155" s="176">
        <f t="shared" si="17"/>
        <v>15302.855</v>
      </c>
      <c r="K155" s="177">
        <f t="shared" si="15"/>
        <v>189.22599279984729</v>
      </c>
      <c r="L155" s="484"/>
      <c r="M155" s="485"/>
      <c r="N155" s="59"/>
      <c r="O155" s="59"/>
      <c r="P155" s="59"/>
      <c r="Q155" s="59"/>
      <c r="R155" s="59"/>
      <c r="S155" s="59"/>
      <c r="T155" s="60"/>
      <c r="U155" s="60"/>
    </row>
    <row r="156" spans="2:21" s="202" customFormat="1" ht="13.5" customHeight="1">
      <c r="B156" s="180">
        <f t="shared" si="18"/>
        <v>128</v>
      </c>
      <c r="C156" s="172">
        <v>2</v>
      </c>
      <c r="D156" s="173" t="s">
        <v>67</v>
      </c>
      <c r="E156" s="174">
        <v>128</v>
      </c>
      <c r="F156" s="175">
        <f>VLOOKUP(E156,'Deck Tally'!$B$5:$C$274,2,0)-0.46</f>
        <v>33.945</v>
      </c>
      <c r="G156" s="199">
        <f t="shared" si="19"/>
        <v>33.539500000000004</v>
      </c>
      <c r="H156" s="175" t="s">
        <v>68</v>
      </c>
      <c r="I156" s="176">
        <f t="shared" si="16"/>
        <v>4459.264500000002</v>
      </c>
      <c r="J156" s="176">
        <f t="shared" si="17"/>
        <v>15269.315500000001</v>
      </c>
      <c r="K156" s="177">
        <f t="shared" si="15"/>
        <v>190.0158493059588</v>
      </c>
      <c r="L156" s="486"/>
      <c r="M156" s="487"/>
      <c r="N156" s="200"/>
      <c r="O156" s="59"/>
      <c r="P156" s="200"/>
      <c r="Q156" s="200"/>
      <c r="R156" s="200"/>
      <c r="S156" s="200"/>
      <c r="T156" s="201"/>
      <c r="U156" s="201"/>
    </row>
    <row r="157" spans="2:21" s="52" customFormat="1" ht="13.5" customHeight="1">
      <c r="B157" s="180">
        <f t="shared" si="18"/>
        <v>129</v>
      </c>
      <c r="C157" s="172">
        <v>2</v>
      </c>
      <c r="D157" s="173" t="s">
        <v>67</v>
      </c>
      <c r="E157" s="174">
        <v>129</v>
      </c>
      <c r="F157" s="175">
        <f>VLOOKUP(E157,'Deck Tally'!$B$5:$C$274,2,0)-0.46</f>
        <v>33.945</v>
      </c>
      <c r="G157" s="199">
        <f t="shared" si="19"/>
        <v>33.539500000000004</v>
      </c>
      <c r="H157" s="175" t="s">
        <v>68</v>
      </c>
      <c r="I157" s="176">
        <f t="shared" si="16"/>
        <v>4492.8040000000019</v>
      </c>
      <c r="J157" s="176">
        <f t="shared" si="17"/>
        <v>15235.776</v>
      </c>
      <c r="K157" s="177">
        <f t="shared" si="15"/>
        <v>190.80570581207033</v>
      </c>
      <c r="L157" s="378"/>
      <c r="M157" s="379"/>
      <c r="N157" s="59"/>
      <c r="O157" s="59"/>
      <c r="P157" s="59"/>
      <c r="Q157" s="59"/>
      <c r="R157" s="59"/>
      <c r="S157" s="59"/>
      <c r="T157" s="60"/>
      <c r="U157" s="60"/>
    </row>
    <row r="158" spans="2:21" s="52" customFormat="1" ht="13.5" customHeight="1">
      <c r="B158" s="180">
        <f t="shared" si="18"/>
        <v>130</v>
      </c>
      <c r="C158" s="172">
        <v>2</v>
      </c>
      <c r="D158" s="173" t="s">
        <v>67</v>
      </c>
      <c r="E158" s="174">
        <v>130</v>
      </c>
      <c r="F158" s="175">
        <f>VLOOKUP(E158,'Deck Tally'!$B$5:$C$274,2,0)-0.46</f>
        <v>33.945</v>
      </c>
      <c r="G158" s="199">
        <f t="shared" si="19"/>
        <v>33.539500000000004</v>
      </c>
      <c r="H158" s="175" t="s">
        <v>68</v>
      </c>
      <c r="I158" s="176">
        <f t="shared" si="16"/>
        <v>4526.3435000000018</v>
      </c>
      <c r="J158" s="176">
        <f t="shared" si="17"/>
        <v>15202.236499999999</v>
      </c>
      <c r="K158" s="177">
        <f t="shared" si="15"/>
        <v>191.59556231818186</v>
      </c>
      <c r="L158" s="378"/>
      <c r="M158" s="379"/>
      <c r="N158" s="185"/>
      <c r="O158" s="185"/>
      <c r="P158" s="59"/>
      <c r="Q158" s="59"/>
      <c r="R158" s="59"/>
      <c r="S158" s="59"/>
      <c r="T158" s="60"/>
      <c r="U158" s="60"/>
    </row>
    <row r="159" spans="2:21" s="52" customFormat="1" ht="13.5" customHeight="1">
      <c r="B159" s="180">
        <f t="shared" si="18"/>
        <v>131</v>
      </c>
      <c r="C159" s="172">
        <v>2</v>
      </c>
      <c r="D159" s="173" t="s">
        <v>67</v>
      </c>
      <c r="E159" s="174">
        <v>131</v>
      </c>
      <c r="F159" s="175">
        <f>VLOOKUP(E159,'Deck Tally'!$B$5:$C$274,2,0)-0.46</f>
        <v>33.924999999999997</v>
      </c>
      <c r="G159" s="199">
        <f t="shared" si="19"/>
        <v>33.519499999999994</v>
      </c>
      <c r="H159" s="175" t="s">
        <v>68</v>
      </c>
      <c r="I159" s="176">
        <f t="shared" si="16"/>
        <v>4559.8630000000021</v>
      </c>
      <c r="J159" s="176">
        <f t="shared" si="17"/>
        <v>15168.717000000001</v>
      </c>
      <c r="K159" s="177">
        <f t="shared" si="15"/>
        <v>192.38494782352947</v>
      </c>
      <c r="N159" s="59"/>
      <c r="O159" s="59"/>
      <c r="P159" s="59"/>
      <c r="Q159" s="59"/>
      <c r="R159" s="59"/>
      <c r="S159" s="59"/>
      <c r="T159" s="60"/>
      <c r="U159" s="60"/>
    </row>
    <row r="160" spans="2:21" s="52" customFormat="1" ht="13.5" customHeight="1">
      <c r="B160" s="180">
        <f t="shared" si="18"/>
        <v>132</v>
      </c>
      <c r="C160" s="172">
        <v>2</v>
      </c>
      <c r="D160" s="173" t="s">
        <v>67</v>
      </c>
      <c r="E160" s="174">
        <v>132</v>
      </c>
      <c r="F160" s="175">
        <f>VLOOKUP(E160,'Deck Tally'!$B$5:$C$274,2,0)-0.46</f>
        <v>33.924999999999997</v>
      </c>
      <c r="G160" s="199">
        <f t="shared" si="19"/>
        <v>33.519499999999994</v>
      </c>
      <c r="H160" s="175" t="s">
        <v>68</v>
      </c>
      <c r="I160" s="176">
        <f t="shared" si="16"/>
        <v>4593.3825000000024</v>
      </c>
      <c r="J160" s="176">
        <f t="shared" si="17"/>
        <v>15135.197499999998</v>
      </c>
      <c r="K160" s="177">
        <f t="shared" si="15"/>
        <v>193.17433332887705</v>
      </c>
      <c r="L160" s="378"/>
      <c r="M160" s="379"/>
      <c r="N160" s="59"/>
      <c r="O160" s="196"/>
      <c r="P160" s="59"/>
      <c r="Q160" s="59"/>
      <c r="R160" s="59"/>
      <c r="S160" s="59"/>
      <c r="T160" s="60"/>
      <c r="U160" s="60"/>
    </row>
    <row r="161" spans="2:21" s="52" customFormat="1" ht="13.5" customHeight="1">
      <c r="B161" s="180">
        <f t="shared" si="18"/>
        <v>133</v>
      </c>
      <c r="C161" s="172">
        <v>2</v>
      </c>
      <c r="D161" s="173" t="s">
        <v>67</v>
      </c>
      <c r="E161" s="174">
        <v>133</v>
      </c>
      <c r="F161" s="176">
        <f>VLOOKUP(E161,'Deck Tally'!$B$5:$C$274,2,0)-0.46</f>
        <v>33.93</v>
      </c>
      <c r="G161" s="199">
        <f t="shared" si="19"/>
        <v>33.524500000000003</v>
      </c>
      <c r="H161" s="176" t="s">
        <v>68</v>
      </c>
      <c r="I161" s="176">
        <f t="shared" si="16"/>
        <v>4626.9070000000029</v>
      </c>
      <c r="J161" s="176">
        <f t="shared" si="17"/>
        <v>15101.672999999999</v>
      </c>
      <c r="K161" s="177">
        <f t="shared" si="15"/>
        <v>193.96383658441565</v>
      </c>
      <c r="L161" s="378"/>
      <c r="M161" s="379"/>
      <c r="N161" s="59"/>
      <c r="O161" s="59"/>
      <c r="P161" s="59"/>
      <c r="Q161" s="59"/>
      <c r="R161" s="59"/>
      <c r="S161" s="59"/>
      <c r="T161" s="60"/>
      <c r="U161" s="60"/>
    </row>
    <row r="162" spans="2:21" s="52" customFormat="1" ht="13.5" customHeight="1">
      <c r="B162" s="180">
        <f t="shared" si="18"/>
        <v>134</v>
      </c>
      <c r="C162" s="172">
        <v>2</v>
      </c>
      <c r="D162" s="173" t="s">
        <v>67</v>
      </c>
      <c r="E162" s="174">
        <v>134</v>
      </c>
      <c r="F162" s="176">
        <f>VLOOKUP(E162,'Deck Tally'!$B$5:$C$274,2,0)-0.46</f>
        <v>33.93</v>
      </c>
      <c r="G162" s="199">
        <f t="shared" si="19"/>
        <v>33.524500000000003</v>
      </c>
      <c r="H162" s="176" t="s">
        <v>68</v>
      </c>
      <c r="I162" s="176">
        <f t="shared" si="16"/>
        <v>4660.4315000000033</v>
      </c>
      <c r="J162" s="176">
        <f t="shared" si="17"/>
        <v>15068.148499999999</v>
      </c>
      <c r="K162" s="177">
        <f t="shared" si="15"/>
        <v>194.75333983995424</v>
      </c>
      <c r="L162" s="378"/>
      <c r="M162" s="379"/>
      <c r="N162" s="59"/>
      <c r="O162" s="187"/>
      <c r="P162" s="59"/>
      <c r="Q162" s="59"/>
      <c r="R162" s="59"/>
      <c r="S162" s="59"/>
      <c r="T162" s="60"/>
      <c r="U162" s="60"/>
    </row>
    <row r="163" spans="2:21" s="52" customFormat="1" ht="13.5" customHeight="1">
      <c r="B163" s="180">
        <f t="shared" si="18"/>
        <v>135</v>
      </c>
      <c r="C163" s="172">
        <v>2</v>
      </c>
      <c r="D163" s="173" t="s">
        <v>67</v>
      </c>
      <c r="E163" s="172">
        <v>135</v>
      </c>
      <c r="F163" s="176">
        <f>VLOOKUP(E163,'Deck Tally'!$B$5:$C$274,2,0)-0.46</f>
        <v>33.945</v>
      </c>
      <c r="G163" s="199">
        <f t="shared" si="19"/>
        <v>33.539500000000004</v>
      </c>
      <c r="H163" s="176" t="s">
        <v>68</v>
      </c>
      <c r="I163" s="176">
        <f t="shared" si="16"/>
        <v>4693.9710000000032</v>
      </c>
      <c r="J163" s="176">
        <f t="shared" si="17"/>
        <v>15034.608999999999</v>
      </c>
      <c r="K163" s="177">
        <f t="shared" si="15"/>
        <v>195.54319634606577</v>
      </c>
      <c r="L163" s="378"/>
      <c r="M163" s="379"/>
      <c r="N163" s="59"/>
      <c r="Q163" s="59"/>
      <c r="R163" s="59"/>
      <c r="S163" s="59"/>
      <c r="T163" s="60"/>
      <c r="U163" s="60"/>
    </row>
    <row r="164" spans="2:21" s="52" customFormat="1" ht="13.5" customHeight="1">
      <c r="B164" s="180">
        <f t="shared" si="18"/>
        <v>136</v>
      </c>
      <c r="C164" s="172">
        <v>2</v>
      </c>
      <c r="D164" s="173" t="s">
        <v>67</v>
      </c>
      <c r="E164" s="172">
        <f>E163+1</f>
        <v>136</v>
      </c>
      <c r="F164" s="175">
        <f>VLOOKUP(E164,'Deck Tally'!$B$5:$C$274,2,0)-0.46</f>
        <v>33.94</v>
      </c>
      <c r="G164" s="199">
        <f t="shared" si="19"/>
        <v>33.534499999999994</v>
      </c>
      <c r="H164" s="175" t="s">
        <v>68</v>
      </c>
      <c r="I164" s="176">
        <f t="shared" si="16"/>
        <v>4727.5055000000029</v>
      </c>
      <c r="J164" s="176">
        <f t="shared" si="17"/>
        <v>15001.074499999999</v>
      </c>
      <c r="K164" s="177">
        <f t="shared" si="15"/>
        <v>196.33293510198632</v>
      </c>
      <c r="L164" s="471" t="s">
        <v>76</v>
      </c>
      <c r="M164" s="472"/>
      <c r="N164" s="59"/>
      <c r="Q164" s="59"/>
      <c r="R164" s="59"/>
      <c r="S164" s="59"/>
      <c r="T164" s="60"/>
      <c r="U164" s="60"/>
    </row>
    <row r="165" spans="2:21" s="52" customFormat="1" ht="13.5" customHeight="1">
      <c r="B165" s="180">
        <f t="shared" si="18"/>
        <v>137</v>
      </c>
      <c r="C165" s="188">
        <v>1</v>
      </c>
      <c r="D165" s="189" t="s">
        <v>67</v>
      </c>
      <c r="E165" s="190">
        <f>E164+1</f>
        <v>137</v>
      </c>
      <c r="F165" s="191">
        <f>VLOOKUP(E165,'Deck Tally'!$B$5:$C$274,2,0)-0.46</f>
        <v>33.924999999999997</v>
      </c>
      <c r="G165" s="199">
        <f t="shared" si="19"/>
        <v>33.519499999999994</v>
      </c>
      <c r="H165" s="191" t="s">
        <v>68</v>
      </c>
      <c r="I165" s="191">
        <f t="shared" si="16"/>
        <v>4761.0250000000033</v>
      </c>
      <c r="J165" s="191">
        <f t="shared" si="17"/>
        <v>14967.554999999998</v>
      </c>
      <c r="K165" s="177">
        <f t="shared" si="15"/>
        <v>197.1223206073339</v>
      </c>
      <c r="L165" s="473" t="s">
        <v>87</v>
      </c>
      <c r="M165" s="474"/>
      <c r="N165" s="59"/>
      <c r="O165" s="185"/>
      <c r="P165" s="59"/>
      <c r="Q165" s="59"/>
      <c r="R165" s="59"/>
      <c r="S165" s="59"/>
      <c r="T165" s="60"/>
      <c r="U165" s="60"/>
    </row>
    <row r="166" spans="2:21" s="52" customFormat="1" ht="13.5" customHeight="1">
      <c r="B166" s="180">
        <f t="shared" si="18"/>
        <v>138</v>
      </c>
      <c r="C166" s="172">
        <v>2</v>
      </c>
      <c r="D166" s="173" t="s">
        <v>67</v>
      </c>
      <c r="E166" s="186">
        <f>E165+1</f>
        <v>138</v>
      </c>
      <c r="F166" s="175">
        <f>VLOOKUP(E166,'Deck Tally'!$B$5:$C$274,2,0)-0.46</f>
        <v>33.924999999999997</v>
      </c>
      <c r="G166" s="199">
        <f t="shared" si="19"/>
        <v>33.519499999999994</v>
      </c>
      <c r="H166" s="175" t="s">
        <v>68</v>
      </c>
      <c r="I166" s="176">
        <f t="shared" si="16"/>
        <v>4794.5445000000036</v>
      </c>
      <c r="J166" s="176">
        <f t="shared" si="17"/>
        <v>14934.035499999998</v>
      </c>
      <c r="K166" s="177">
        <f t="shared" si="15"/>
        <v>197.91170611268154</v>
      </c>
      <c r="L166" s="475" t="s">
        <v>88</v>
      </c>
      <c r="M166" s="467"/>
      <c r="N166" s="59"/>
      <c r="O166" s="187">
        <f>14919-M167</f>
        <v>-44.554999999998472</v>
      </c>
      <c r="P166" s="59" t="s">
        <v>74</v>
      </c>
      <c r="Q166" s="59"/>
      <c r="R166" s="59"/>
      <c r="S166" s="59"/>
      <c r="T166" s="60"/>
      <c r="U166" s="60"/>
    </row>
    <row r="167" spans="2:21" s="52" customFormat="1" ht="13.5" customHeight="1">
      <c r="B167" s="180"/>
      <c r="C167" s="181">
        <v>1</v>
      </c>
      <c r="D167" s="182" t="s">
        <v>81</v>
      </c>
      <c r="E167" s="181" t="s">
        <v>89</v>
      </c>
      <c r="F167" s="155">
        <v>10.210000000000001</v>
      </c>
      <c r="G167" s="155">
        <f t="shared" si="19"/>
        <v>9.8045000000000009</v>
      </c>
      <c r="H167" s="155" t="s">
        <v>68</v>
      </c>
      <c r="I167" s="155">
        <f t="shared" si="16"/>
        <v>4804.3490000000038</v>
      </c>
      <c r="J167" s="155">
        <f t="shared" si="17"/>
        <v>14924.230999999998</v>
      </c>
      <c r="K167" s="205">
        <f t="shared" si="15"/>
        <v>198.14260246218498</v>
      </c>
      <c r="L167" s="210" t="s">
        <v>75</v>
      </c>
      <c r="M167" s="211">
        <f>J165-4</f>
        <v>14963.554999999998</v>
      </c>
      <c r="N167" s="59"/>
      <c r="Q167" s="59"/>
      <c r="R167" s="59"/>
      <c r="S167" s="59"/>
      <c r="T167" s="60"/>
      <c r="U167" s="60"/>
    </row>
    <row r="168" spans="2:21" s="52" customFormat="1" ht="13.5" customHeight="1">
      <c r="B168" s="180">
        <f>B166+1</f>
        <v>139</v>
      </c>
      <c r="C168" s="172">
        <v>2</v>
      </c>
      <c r="D168" s="173" t="s">
        <v>67</v>
      </c>
      <c r="E168" s="174">
        <f>E166+1</f>
        <v>139</v>
      </c>
      <c r="F168" s="175">
        <f>VLOOKUP(E168,'Deck Tally'!$B$5:$C$274,2,0)-0.46</f>
        <v>33.924999999999997</v>
      </c>
      <c r="G168" s="199">
        <f t="shared" si="19"/>
        <v>33.519499999999994</v>
      </c>
      <c r="H168" s="175" t="s">
        <v>68</v>
      </c>
      <c r="I168" s="176">
        <f t="shared" si="16"/>
        <v>4837.8685000000041</v>
      </c>
      <c r="J168" s="176">
        <f t="shared" si="17"/>
        <v>14890.711499999998</v>
      </c>
      <c r="K168" s="177">
        <f t="shared" si="15"/>
        <v>198.93198796753256</v>
      </c>
      <c r="L168" s="378"/>
      <c r="M168" s="379"/>
      <c r="N168" s="59"/>
      <c r="O168" s="196"/>
      <c r="P168" s="59"/>
      <c r="Q168" s="59"/>
      <c r="R168" s="59"/>
      <c r="S168" s="59"/>
      <c r="T168" s="60"/>
      <c r="U168" s="60"/>
    </row>
    <row r="169" spans="2:21" s="52" customFormat="1" ht="13.5" customHeight="1">
      <c r="B169" s="180">
        <f t="shared" ref="B169:B198" si="20">B168+1</f>
        <v>140</v>
      </c>
      <c r="C169" s="172">
        <v>2</v>
      </c>
      <c r="D169" s="173" t="s">
        <v>67</v>
      </c>
      <c r="E169" s="174">
        <f t="shared" ref="E169:E198" si="21">E168+1</f>
        <v>140</v>
      </c>
      <c r="F169" s="175">
        <f>VLOOKUP(E169,'Deck Tally'!$B$5:$C$274,2,0)-0.46</f>
        <v>33.935000000000002</v>
      </c>
      <c r="G169" s="199">
        <f t="shared" si="19"/>
        <v>33.529499999999999</v>
      </c>
      <c r="H169" s="175" t="s">
        <v>68</v>
      </c>
      <c r="I169" s="176">
        <f t="shared" si="16"/>
        <v>4871.3980000000038</v>
      </c>
      <c r="J169" s="176">
        <f t="shared" si="17"/>
        <v>14857.181999999997</v>
      </c>
      <c r="K169" s="177">
        <f t="shared" si="15"/>
        <v>199.72160897326211</v>
      </c>
      <c r="L169" s="378"/>
      <c r="M169" s="379"/>
      <c r="N169" s="59"/>
      <c r="O169" s="59"/>
      <c r="P169" s="59"/>
      <c r="Q169" s="59"/>
      <c r="R169" s="59"/>
      <c r="S169" s="59"/>
      <c r="T169" s="60"/>
      <c r="U169" s="60"/>
    </row>
    <row r="170" spans="2:21" s="52" customFormat="1" ht="13.5" customHeight="1">
      <c r="B170" s="180">
        <f t="shared" si="20"/>
        <v>141</v>
      </c>
      <c r="C170" s="172">
        <v>2</v>
      </c>
      <c r="D170" s="173" t="s">
        <v>67</v>
      </c>
      <c r="E170" s="174">
        <f t="shared" si="21"/>
        <v>141</v>
      </c>
      <c r="F170" s="175">
        <f>VLOOKUP(E170,'Deck Tally'!$B$5:$C$274,2,0)-0.46</f>
        <v>33.94</v>
      </c>
      <c r="G170" s="199">
        <f t="shared" si="19"/>
        <v>33.534499999999994</v>
      </c>
      <c r="H170" s="175" t="s">
        <v>68</v>
      </c>
      <c r="I170" s="176">
        <f t="shared" si="16"/>
        <v>4904.9325000000035</v>
      </c>
      <c r="J170" s="176">
        <f t="shared" si="17"/>
        <v>14823.647499999999</v>
      </c>
      <c r="K170" s="177">
        <f t="shared" si="15"/>
        <v>200.51134772918266</v>
      </c>
      <c r="L170" s="378"/>
      <c r="M170" s="379"/>
      <c r="N170" s="59"/>
      <c r="O170" s="59"/>
      <c r="P170" s="59"/>
      <c r="Q170" s="59"/>
      <c r="R170" s="59"/>
      <c r="S170" s="59"/>
      <c r="T170" s="60"/>
      <c r="U170" s="60"/>
    </row>
    <row r="171" spans="2:21" s="52" customFormat="1" ht="13.5" customHeight="1">
      <c r="B171" s="180">
        <f t="shared" si="20"/>
        <v>142</v>
      </c>
      <c r="C171" s="172">
        <v>2</v>
      </c>
      <c r="D171" s="173" t="s">
        <v>67</v>
      </c>
      <c r="E171" s="174">
        <f t="shared" si="21"/>
        <v>142</v>
      </c>
      <c r="F171" s="175">
        <f>VLOOKUP(E171,'Deck Tally'!$B$5:$C$274,2,0)-0.46</f>
        <v>33.94</v>
      </c>
      <c r="G171" s="199">
        <f t="shared" si="19"/>
        <v>33.534499999999994</v>
      </c>
      <c r="H171" s="175" t="s">
        <v>68</v>
      </c>
      <c r="I171" s="176">
        <f t="shared" si="16"/>
        <v>4938.4670000000033</v>
      </c>
      <c r="J171" s="176">
        <f t="shared" si="17"/>
        <v>14790.112999999998</v>
      </c>
      <c r="K171" s="177">
        <f t="shared" si="15"/>
        <v>201.30108648510321</v>
      </c>
      <c r="L171" s="378"/>
      <c r="M171" s="379"/>
      <c r="N171" s="59"/>
      <c r="O171" s="196"/>
      <c r="P171" s="59"/>
      <c r="Q171" s="59"/>
      <c r="R171" s="59"/>
      <c r="S171" s="59"/>
      <c r="T171" s="60"/>
      <c r="U171" s="60"/>
    </row>
    <row r="172" spans="2:21" s="52" customFormat="1" ht="13.5" customHeight="1">
      <c r="B172" s="180">
        <f t="shared" si="20"/>
        <v>143</v>
      </c>
      <c r="C172" s="172">
        <v>2</v>
      </c>
      <c r="D172" s="173" t="s">
        <v>67</v>
      </c>
      <c r="E172" s="174">
        <f t="shared" si="21"/>
        <v>143</v>
      </c>
      <c r="F172" s="175">
        <f>VLOOKUP(E172,'Deck Tally'!$B$5:$C$274,2,0)-0.46</f>
        <v>33.94</v>
      </c>
      <c r="G172" s="199">
        <f t="shared" si="19"/>
        <v>33.534499999999994</v>
      </c>
      <c r="H172" s="175" t="s">
        <v>68</v>
      </c>
      <c r="I172" s="176">
        <f t="shared" si="16"/>
        <v>4972.001500000003</v>
      </c>
      <c r="J172" s="176">
        <f t="shared" si="17"/>
        <v>14756.5785</v>
      </c>
      <c r="K172" s="177">
        <f t="shared" si="15"/>
        <v>202.09082524102377</v>
      </c>
      <c r="L172" s="378"/>
      <c r="M172" s="379"/>
      <c r="N172" s="59"/>
      <c r="O172" s="59"/>
      <c r="P172" s="59"/>
      <c r="Q172" s="59"/>
      <c r="R172" s="59"/>
      <c r="S172" s="59"/>
      <c r="T172" s="60"/>
      <c r="U172" s="60"/>
    </row>
    <row r="173" spans="2:21" s="52" customFormat="1" ht="13.5" customHeight="1">
      <c r="B173" s="180">
        <f t="shared" si="20"/>
        <v>144</v>
      </c>
      <c r="C173" s="172">
        <v>2</v>
      </c>
      <c r="D173" s="173" t="s">
        <v>67</v>
      </c>
      <c r="E173" s="174">
        <f t="shared" si="21"/>
        <v>144</v>
      </c>
      <c r="F173" s="175">
        <f>VLOOKUP(E173,'Deck Tally'!$B$5:$C$274,2,0)-0.46</f>
        <v>33.924999999999997</v>
      </c>
      <c r="G173" s="199">
        <f t="shared" si="19"/>
        <v>33.519499999999994</v>
      </c>
      <c r="H173" s="175" t="s">
        <v>68</v>
      </c>
      <c r="I173" s="176">
        <f t="shared" si="16"/>
        <v>5005.5210000000034</v>
      </c>
      <c r="J173" s="176">
        <f t="shared" si="17"/>
        <v>14723.058999999997</v>
      </c>
      <c r="K173" s="177">
        <f t="shared" si="15"/>
        <v>202.88021074637135</v>
      </c>
      <c r="L173" s="378"/>
      <c r="M173" s="379"/>
      <c r="N173" s="59"/>
      <c r="O173" s="59"/>
      <c r="P173" s="59"/>
      <c r="Q173" s="59"/>
      <c r="R173" s="59"/>
      <c r="S173" s="59"/>
      <c r="T173" s="60"/>
      <c r="U173" s="60"/>
    </row>
    <row r="174" spans="2:21" s="52" customFormat="1" ht="13.5" customHeight="1">
      <c r="B174" s="180">
        <f t="shared" si="20"/>
        <v>145</v>
      </c>
      <c r="C174" s="172">
        <v>2</v>
      </c>
      <c r="D174" s="173" t="s">
        <v>67</v>
      </c>
      <c r="E174" s="174">
        <f t="shared" si="21"/>
        <v>145</v>
      </c>
      <c r="F174" s="175">
        <f>VLOOKUP(E174,'Deck Tally'!$B$5:$C$274,2,0)-0.46</f>
        <v>33.935000000000002</v>
      </c>
      <c r="G174" s="199">
        <f t="shared" si="19"/>
        <v>33.529499999999999</v>
      </c>
      <c r="H174" s="175" t="s">
        <v>68</v>
      </c>
      <c r="I174" s="176">
        <f t="shared" si="16"/>
        <v>5039.050500000003</v>
      </c>
      <c r="J174" s="176">
        <f t="shared" si="17"/>
        <v>14689.529499999999</v>
      </c>
      <c r="K174" s="177">
        <f t="shared" si="15"/>
        <v>203.66983175210092</v>
      </c>
      <c r="L174" s="378"/>
      <c r="M174" s="379"/>
      <c r="N174" s="59"/>
      <c r="O174" s="59"/>
      <c r="P174" s="59"/>
      <c r="Q174" s="59"/>
      <c r="R174" s="59"/>
      <c r="S174" s="59"/>
      <c r="T174" s="60"/>
      <c r="U174" s="60"/>
    </row>
    <row r="175" spans="2:21" s="52" customFormat="1" ht="13.5" customHeight="1">
      <c r="B175" s="180">
        <f t="shared" si="20"/>
        <v>146</v>
      </c>
      <c r="C175" s="172">
        <v>2</v>
      </c>
      <c r="D175" s="173" t="s">
        <v>67</v>
      </c>
      <c r="E175" s="174">
        <f t="shared" si="21"/>
        <v>146</v>
      </c>
      <c r="F175" s="175">
        <f>VLOOKUP(E175,'Deck Tally'!$B$5:$C$274,2,0)-0.46</f>
        <v>33.914999999999999</v>
      </c>
      <c r="G175" s="199">
        <f t="shared" si="19"/>
        <v>33.509500000000003</v>
      </c>
      <c r="H175" s="175" t="s">
        <v>68</v>
      </c>
      <c r="I175" s="176">
        <f t="shared" si="16"/>
        <v>5072.5600000000031</v>
      </c>
      <c r="J175" s="176">
        <f t="shared" si="17"/>
        <v>14656.019999999999</v>
      </c>
      <c r="K175" s="177">
        <f t="shared" si="15"/>
        <v>204.45898175706654</v>
      </c>
      <c r="L175" s="378"/>
      <c r="M175" s="379"/>
      <c r="N175" s="59"/>
      <c r="O175" s="59"/>
      <c r="P175" s="59"/>
      <c r="Q175" s="59"/>
      <c r="R175" s="59"/>
      <c r="S175" s="59"/>
      <c r="T175" s="60"/>
      <c r="U175" s="60"/>
    </row>
    <row r="176" spans="2:21" s="52" customFormat="1" ht="13.5" customHeight="1">
      <c r="B176" s="180">
        <f t="shared" si="20"/>
        <v>147</v>
      </c>
      <c r="C176" s="172">
        <v>2</v>
      </c>
      <c r="D176" s="173" t="s">
        <v>67</v>
      </c>
      <c r="E176" s="174">
        <f t="shared" si="21"/>
        <v>147</v>
      </c>
      <c r="F176" s="175">
        <f>VLOOKUP(E176,'Deck Tally'!$B$5:$C$274,2,0)-0.46</f>
        <v>33.935000000000002</v>
      </c>
      <c r="G176" s="199">
        <f t="shared" si="19"/>
        <v>33.529499999999999</v>
      </c>
      <c r="H176" s="175" t="s">
        <v>68</v>
      </c>
      <c r="I176" s="176">
        <f t="shared" si="16"/>
        <v>5106.0895000000028</v>
      </c>
      <c r="J176" s="176">
        <f t="shared" si="17"/>
        <v>14622.4905</v>
      </c>
      <c r="K176" s="177">
        <f t="shared" si="15"/>
        <v>205.24860276279611</v>
      </c>
      <c r="L176" s="378"/>
      <c r="M176" s="379"/>
      <c r="N176" s="59"/>
      <c r="O176" s="185"/>
      <c r="P176" s="59"/>
      <c r="Q176" s="59"/>
      <c r="R176" s="59"/>
      <c r="S176" s="59"/>
      <c r="T176" s="60"/>
      <c r="U176" s="60"/>
    </row>
    <row r="177" spans="2:21" s="52" customFormat="1" ht="13.5" customHeight="1">
      <c r="B177" s="180">
        <f t="shared" si="20"/>
        <v>148</v>
      </c>
      <c r="C177" s="172">
        <v>2</v>
      </c>
      <c r="D177" s="173" t="s">
        <v>67</v>
      </c>
      <c r="E177" s="174">
        <f t="shared" si="21"/>
        <v>148</v>
      </c>
      <c r="F177" s="175">
        <f>VLOOKUP(E177,'Deck Tally'!$B$5:$C$274,2,0)</f>
        <v>31.885000000000002</v>
      </c>
      <c r="G177" s="176">
        <f t="shared" si="19"/>
        <v>31.479500000000002</v>
      </c>
      <c r="H177" s="175" t="s">
        <v>68</v>
      </c>
      <c r="I177" s="176">
        <f t="shared" si="16"/>
        <v>5137.5690000000031</v>
      </c>
      <c r="J177" s="176">
        <f t="shared" si="17"/>
        <v>14591.010999999999</v>
      </c>
      <c r="K177" s="177">
        <f t="shared" si="15"/>
        <v>205.98994619022164</v>
      </c>
      <c r="L177" s="378"/>
      <c r="M177" s="379"/>
      <c r="N177" s="59"/>
      <c r="O177" s="59"/>
      <c r="P177" s="59"/>
      <c r="Q177" s="59"/>
      <c r="R177" s="59"/>
      <c r="S177" s="59"/>
      <c r="T177" s="60"/>
      <c r="U177" s="60"/>
    </row>
    <row r="178" spans="2:21" s="52" customFormat="1" ht="13.5" customHeight="1">
      <c r="B178" s="180">
        <f t="shared" si="20"/>
        <v>149</v>
      </c>
      <c r="C178" s="172">
        <v>2</v>
      </c>
      <c r="D178" s="173" t="s">
        <v>67</v>
      </c>
      <c r="E178" s="174">
        <f t="shared" si="21"/>
        <v>149</v>
      </c>
      <c r="F178" s="175">
        <f>VLOOKUP(E178,'Deck Tally'!$B$5:$C$274,2,0)-0.46</f>
        <v>33.924999999999997</v>
      </c>
      <c r="G178" s="199">
        <f t="shared" si="19"/>
        <v>33.519499999999994</v>
      </c>
      <c r="H178" s="175" t="s">
        <v>68</v>
      </c>
      <c r="I178" s="176">
        <f t="shared" si="16"/>
        <v>5171.0885000000035</v>
      </c>
      <c r="J178" s="176">
        <f t="shared" si="17"/>
        <v>14557.491499999998</v>
      </c>
      <c r="K178" s="177">
        <f t="shared" si="15"/>
        <v>206.77933169556923</v>
      </c>
      <c r="L178" s="378"/>
      <c r="M178" s="379"/>
      <c r="N178" s="59"/>
      <c r="O178" s="196"/>
      <c r="P178" s="59"/>
      <c r="Q178" s="59"/>
      <c r="R178" s="59"/>
      <c r="S178" s="59"/>
      <c r="T178" s="60"/>
      <c r="U178" s="60"/>
    </row>
    <row r="179" spans="2:21" s="52" customFormat="1" ht="13.5" customHeight="1">
      <c r="B179" s="180">
        <f t="shared" si="20"/>
        <v>150</v>
      </c>
      <c r="C179" s="172">
        <v>2</v>
      </c>
      <c r="D179" s="173" t="s">
        <v>67</v>
      </c>
      <c r="E179" s="174">
        <f t="shared" si="21"/>
        <v>150</v>
      </c>
      <c r="F179" s="175">
        <f>VLOOKUP(E179,'Deck Tally'!$B$5:$C$274,2,0)-0.46</f>
        <v>33.92</v>
      </c>
      <c r="G179" s="199">
        <f t="shared" si="19"/>
        <v>33.514499999999998</v>
      </c>
      <c r="H179" s="175" t="s">
        <v>68</v>
      </c>
      <c r="I179" s="176">
        <f t="shared" si="16"/>
        <v>5204.6030000000037</v>
      </c>
      <c r="J179" s="176">
        <f t="shared" si="17"/>
        <v>14523.976999999999</v>
      </c>
      <c r="K179" s="177">
        <f t="shared" si="15"/>
        <v>207.56859945072586</v>
      </c>
      <c r="L179" s="378"/>
      <c r="M179" s="379"/>
      <c r="N179" s="59"/>
      <c r="O179" s="59"/>
      <c r="P179" s="59"/>
      <c r="Q179" s="59"/>
      <c r="R179" s="59"/>
      <c r="S179" s="59"/>
      <c r="T179" s="60"/>
      <c r="U179" s="60"/>
    </row>
    <row r="180" spans="2:21" s="52" customFormat="1" ht="13.5" customHeight="1">
      <c r="B180" s="180">
        <f t="shared" si="20"/>
        <v>151</v>
      </c>
      <c r="C180" s="172">
        <v>2</v>
      </c>
      <c r="D180" s="173" t="s">
        <v>67</v>
      </c>
      <c r="E180" s="174">
        <f t="shared" si="21"/>
        <v>151</v>
      </c>
      <c r="F180" s="175">
        <f>VLOOKUP(E180,'Deck Tally'!$B$5:$C$274,2,0)-0.46</f>
        <v>33.92</v>
      </c>
      <c r="G180" s="199">
        <f t="shared" si="19"/>
        <v>33.514499999999998</v>
      </c>
      <c r="H180" s="175" t="s">
        <v>68</v>
      </c>
      <c r="I180" s="176">
        <f t="shared" si="16"/>
        <v>5238.1175000000039</v>
      </c>
      <c r="J180" s="176">
        <f t="shared" si="17"/>
        <v>14490.462499999998</v>
      </c>
      <c r="K180" s="177">
        <f t="shared" si="15"/>
        <v>208.35786720588246</v>
      </c>
      <c r="L180" s="378"/>
      <c r="M180" s="379"/>
      <c r="N180" s="59"/>
      <c r="O180" s="59"/>
      <c r="P180" s="59"/>
      <c r="Q180" s="59"/>
      <c r="R180" s="59"/>
      <c r="S180" s="59"/>
      <c r="T180" s="60"/>
      <c r="U180" s="60"/>
    </row>
    <row r="181" spans="2:21" s="52" customFormat="1" ht="13.5" customHeight="1">
      <c r="B181" s="180">
        <f t="shared" si="20"/>
        <v>152</v>
      </c>
      <c r="C181" s="172">
        <v>2</v>
      </c>
      <c r="D181" s="173" t="s">
        <v>67</v>
      </c>
      <c r="E181" s="174">
        <f t="shared" si="21"/>
        <v>152</v>
      </c>
      <c r="F181" s="175">
        <f>VLOOKUP(E181,'Deck Tally'!$B$5:$C$274,2,0)-0.46</f>
        <v>33.924999999999997</v>
      </c>
      <c r="G181" s="199">
        <f t="shared" si="19"/>
        <v>33.519499999999994</v>
      </c>
      <c r="H181" s="175" t="s">
        <v>68</v>
      </c>
      <c r="I181" s="176">
        <f t="shared" si="16"/>
        <v>5271.6370000000043</v>
      </c>
      <c r="J181" s="176">
        <f t="shared" si="17"/>
        <v>14456.942999999997</v>
      </c>
      <c r="K181" s="177">
        <f t="shared" si="15"/>
        <v>209.14725271123004</v>
      </c>
      <c r="L181" s="378"/>
      <c r="M181" s="379"/>
      <c r="N181" s="59"/>
      <c r="O181" s="59"/>
      <c r="P181" s="59"/>
      <c r="Q181" s="59"/>
      <c r="R181" s="59"/>
      <c r="S181" s="59"/>
      <c r="T181" s="60"/>
      <c r="U181" s="60"/>
    </row>
    <row r="182" spans="2:21" s="52" customFormat="1" ht="13.5" customHeight="1">
      <c r="B182" s="180">
        <f t="shared" si="20"/>
        <v>153</v>
      </c>
      <c r="C182" s="172">
        <v>2</v>
      </c>
      <c r="D182" s="173" t="s">
        <v>67</v>
      </c>
      <c r="E182" s="174">
        <f t="shared" si="21"/>
        <v>153</v>
      </c>
      <c r="F182" s="175">
        <f>VLOOKUP(E182,'Deck Tally'!$B$5:$C$274,2,0)-0.46</f>
        <v>33.94</v>
      </c>
      <c r="G182" s="199">
        <f t="shared" si="19"/>
        <v>33.534499999999994</v>
      </c>
      <c r="H182" s="175" t="s">
        <v>68</v>
      </c>
      <c r="I182" s="194">
        <f t="shared" si="16"/>
        <v>5305.171500000004</v>
      </c>
      <c r="J182" s="175">
        <f t="shared" si="17"/>
        <v>14423.408499999998</v>
      </c>
      <c r="K182" s="205">
        <f t="shared" si="15"/>
        <v>209.93699146715059</v>
      </c>
      <c r="L182" s="378"/>
      <c r="M182" s="379"/>
      <c r="N182" s="59"/>
      <c r="O182" s="59"/>
      <c r="P182" s="59"/>
      <c r="Q182" s="59"/>
      <c r="R182" s="59"/>
      <c r="S182" s="59"/>
      <c r="T182" s="60"/>
      <c r="U182" s="60"/>
    </row>
    <row r="183" spans="2:21" s="52" customFormat="1" ht="13.5" customHeight="1">
      <c r="B183" s="180">
        <f t="shared" si="20"/>
        <v>154</v>
      </c>
      <c r="C183" s="172">
        <v>2</v>
      </c>
      <c r="D183" s="173" t="s">
        <v>67</v>
      </c>
      <c r="E183" s="174">
        <f t="shared" si="21"/>
        <v>154</v>
      </c>
      <c r="F183" s="175">
        <f>VLOOKUP(E183,'Deck Tally'!$B$5:$C$274,2,0)-0.46</f>
        <v>33.924999999999997</v>
      </c>
      <c r="G183" s="199">
        <f t="shared" si="19"/>
        <v>33.519499999999994</v>
      </c>
      <c r="H183" s="175" t="s">
        <v>68</v>
      </c>
      <c r="I183" s="176">
        <f t="shared" si="16"/>
        <v>5338.6910000000044</v>
      </c>
      <c r="J183" s="176">
        <f t="shared" si="17"/>
        <v>14389.888999999997</v>
      </c>
      <c r="K183" s="177">
        <f t="shared" si="15"/>
        <v>210.7263769724982</v>
      </c>
      <c r="L183" s="378"/>
      <c r="M183" s="379"/>
      <c r="N183" s="59"/>
      <c r="O183" s="59"/>
      <c r="P183" s="59"/>
      <c r="Q183" s="59"/>
      <c r="R183" s="59"/>
      <c r="S183" s="59"/>
      <c r="T183" s="60"/>
      <c r="U183" s="60"/>
    </row>
    <row r="184" spans="2:21" s="52" customFormat="1" ht="13.5" customHeight="1">
      <c r="B184" s="180">
        <f t="shared" si="20"/>
        <v>155</v>
      </c>
      <c r="C184" s="172">
        <v>2</v>
      </c>
      <c r="D184" s="173" t="s">
        <v>67</v>
      </c>
      <c r="E184" s="174">
        <f t="shared" si="21"/>
        <v>155</v>
      </c>
      <c r="F184" s="175">
        <f>VLOOKUP(E184,'Deck Tally'!$B$5:$C$274,2,0)-0.46</f>
        <v>33.93</v>
      </c>
      <c r="G184" s="199">
        <f t="shared" si="19"/>
        <v>33.524500000000003</v>
      </c>
      <c r="H184" s="175" t="s">
        <v>68</v>
      </c>
      <c r="I184" s="176">
        <f t="shared" si="16"/>
        <v>5372.2155000000048</v>
      </c>
      <c r="J184" s="176">
        <f t="shared" si="17"/>
        <v>14356.364499999996</v>
      </c>
      <c r="K184" s="177">
        <f t="shared" si="15"/>
        <v>211.51588022803679</v>
      </c>
      <c r="L184" s="378"/>
      <c r="M184" s="379"/>
      <c r="N184" s="59"/>
      <c r="O184" s="59"/>
      <c r="P184" s="59"/>
      <c r="Q184" s="59"/>
      <c r="R184" s="59"/>
      <c r="S184" s="59"/>
      <c r="T184" s="60"/>
      <c r="U184" s="60"/>
    </row>
    <row r="185" spans="2:21" s="52" customFormat="1" ht="13.5" customHeight="1">
      <c r="B185" s="180">
        <f t="shared" si="20"/>
        <v>156</v>
      </c>
      <c r="C185" s="172">
        <v>2</v>
      </c>
      <c r="D185" s="173" t="s">
        <v>67</v>
      </c>
      <c r="E185" s="174">
        <f t="shared" si="21"/>
        <v>156</v>
      </c>
      <c r="F185" s="175">
        <f>VLOOKUP(E185,'Deck Tally'!$B$5:$C$274,2,0)-0.46</f>
        <v>33.93</v>
      </c>
      <c r="G185" s="199">
        <f t="shared" si="19"/>
        <v>33.524500000000003</v>
      </c>
      <c r="H185" s="175" t="s">
        <v>68</v>
      </c>
      <c r="I185" s="176">
        <f t="shared" si="16"/>
        <v>5405.7400000000052</v>
      </c>
      <c r="J185" s="176">
        <f t="shared" si="17"/>
        <v>14322.839999999997</v>
      </c>
      <c r="K185" s="177">
        <f t="shared" si="15"/>
        <v>212.30538348357538</v>
      </c>
      <c r="L185" s="378"/>
      <c r="M185" s="379"/>
      <c r="N185" s="59"/>
      <c r="O185" s="59"/>
      <c r="P185" s="59"/>
      <c r="Q185" s="59"/>
      <c r="R185" s="59"/>
      <c r="S185" s="59"/>
      <c r="T185" s="60"/>
      <c r="U185" s="60"/>
    </row>
    <row r="186" spans="2:21" s="52" customFormat="1" ht="13.5" customHeight="1">
      <c r="B186" s="180">
        <f t="shared" si="20"/>
        <v>157</v>
      </c>
      <c r="C186" s="172">
        <v>2</v>
      </c>
      <c r="D186" s="173" t="s">
        <v>67</v>
      </c>
      <c r="E186" s="174">
        <f t="shared" si="21"/>
        <v>157</v>
      </c>
      <c r="F186" s="175">
        <f>VLOOKUP(E186,'Deck Tally'!$B$5:$C$274,2,0)-0.46</f>
        <v>33.93</v>
      </c>
      <c r="G186" s="199">
        <f t="shared" ref="G186:G217" si="22">F186-($E$11/12)</f>
        <v>33.524500000000003</v>
      </c>
      <c r="H186" s="175" t="s">
        <v>68</v>
      </c>
      <c r="I186" s="176">
        <f t="shared" si="16"/>
        <v>5439.2645000000057</v>
      </c>
      <c r="J186" s="176">
        <f t="shared" si="17"/>
        <v>14289.315499999997</v>
      </c>
      <c r="K186" s="177">
        <f t="shared" si="15"/>
        <v>213.09488673911397</v>
      </c>
      <c r="L186" s="385"/>
      <c r="M186" s="386"/>
      <c r="N186" s="59"/>
      <c r="O186" s="59"/>
      <c r="P186" s="59"/>
      <c r="Q186" s="59"/>
      <c r="R186" s="59"/>
      <c r="S186" s="59"/>
      <c r="T186" s="60"/>
      <c r="U186" s="60"/>
    </row>
    <row r="187" spans="2:21" s="52" customFormat="1" ht="13.5" customHeight="1">
      <c r="B187" s="180">
        <f t="shared" si="20"/>
        <v>158</v>
      </c>
      <c r="C187" s="172">
        <v>2</v>
      </c>
      <c r="D187" s="173" t="s">
        <v>67</v>
      </c>
      <c r="E187" s="174">
        <f t="shared" si="21"/>
        <v>158</v>
      </c>
      <c r="F187" s="175">
        <f>VLOOKUP(E187,'Deck Tally'!$B$5:$C$274,2,0)-0.46</f>
        <v>33.96</v>
      </c>
      <c r="G187" s="199">
        <f t="shared" si="22"/>
        <v>33.554500000000004</v>
      </c>
      <c r="H187" s="175" t="s">
        <v>68</v>
      </c>
      <c r="I187" s="176">
        <f t="shared" si="16"/>
        <v>5472.8190000000059</v>
      </c>
      <c r="J187" s="176">
        <f t="shared" si="17"/>
        <v>14255.760999999995</v>
      </c>
      <c r="K187" s="177">
        <f t="shared" si="15"/>
        <v>213.88509649579845</v>
      </c>
      <c r="L187" s="385"/>
      <c r="M187" s="386"/>
      <c r="N187" s="59"/>
      <c r="O187" s="59"/>
      <c r="P187" s="59"/>
      <c r="Q187" s="59"/>
      <c r="R187" s="59"/>
      <c r="S187" s="59"/>
      <c r="T187" s="60"/>
      <c r="U187" s="60"/>
    </row>
    <row r="188" spans="2:21" s="52" customFormat="1" ht="13.5" customHeight="1">
      <c r="B188" s="180">
        <f t="shared" si="20"/>
        <v>159</v>
      </c>
      <c r="C188" s="172">
        <v>2</v>
      </c>
      <c r="D188" s="173" t="s">
        <v>67</v>
      </c>
      <c r="E188" s="174">
        <f t="shared" si="21"/>
        <v>159</v>
      </c>
      <c r="F188" s="176">
        <f>VLOOKUP(E188,'Deck Tally'!$B$5:$C$274,2,0)-0.46</f>
        <v>33.96</v>
      </c>
      <c r="G188" s="199">
        <f t="shared" si="22"/>
        <v>33.554500000000004</v>
      </c>
      <c r="H188" s="176" t="s">
        <v>68</v>
      </c>
      <c r="I188" s="176">
        <f t="shared" si="16"/>
        <v>5506.3735000000061</v>
      </c>
      <c r="J188" s="176">
        <f t="shared" si="17"/>
        <v>14222.206499999997</v>
      </c>
      <c r="K188" s="177">
        <f t="shared" si="15"/>
        <v>214.67530625248295</v>
      </c>
      <c r="N188" s="59"/>
      <c r="Q188" s="59"/>
      <c r="R188" s="59"/>
      <c r="S188" s="59"/>
      <c r="T188" s="60"/>
      <c r="U188" s="60"/>
    </row>
    <row r="189" spans="2:21" s="52" customFormat="1" ht="13.5" customHeight="1">
      <c r="B189" s="180">
        <f t="shared" si="20"/>
        <v>160</v>
      </c>
      <c r="C189" s="172">
        <v>2</v>
      </c>
      <c r="D189" s="173" t="s">
        <v>67</v>
      </c>
      <c r="E189" s="174">
        <f t="shared" si="21"/>
        <v>160</v>
      </c>
      <c r="F189" s="175">
        <f>VLOOKUP(E189,'Deck Tally'!$B$5:$C$274,2,0)-0.46</f>
        <v>33.765000000000001</v>
      </c>
      <c r="G189" s="199">
        <f t="shared" si="22"/>
        <v>33.359499999999997</v>
      </c>
      <c r="H189" s="175" t="s">
        <v>68</v>
      </c>
      <c r="I189" s="176">
        <f t="shared" si="16"/>
        <v>5539.7330000000056</v>
      </c>
      <c r="J189" s="176">
        <f t="shared" si="17"/>
        <v>14188.846999999996</v>
      </c>
      <c r="K189" s="177">
        <f t="shared" si="15"/>
        <v>215.46092375171901</v>
      </c>
      <c r="L189" s="378"/>
      <c r="M189" s="379"/>
      <c r="N189" s="59"/>
      <c r="O189" s="59"/>
      <c r="P189" s="59"/>
      <c r="Q189" s="59"/>
      <c r="R189" s="59"/>
      <c r="S189" s="59"/>
      <c r="T189" s="60"/>
      <c r="U189" s="60"/>
    </row>
    <row r="190" spans="2:21" s="52" customFormat="1" ht="13.5" customHeight="1">
      <c r="B190" s="180">
        <f t="shared" si="20"/>
        <v>161</v>
      </c>
      <c r="C190" s="172">
        <v>2</v>
      </c>
      <c r="D190" s="173" t="s">
        <v>67</v>
      </c>
      <c r="E190" s="174">
        <f t="shared" si="21"/>
        <v>161</v>
      </c>
      <c r="F190" s="175">
        <f>VLOOKUP(E190,'Deck Tally'!$B$5:$C$274,2,0)</f>
        <v>32.494999999999997</v>
      </c>
      <c r="G190" s="176">
        <f t="shared" si="22"/>
        <v>32.089500000000001</v>
      </c>
      <c r="H190" s="175" t="s">
        <v>68</v>
      </c>
      <c r="I190" s="176">
        <f t="shared" si="16"/>
        <v>5571.8225000000057</v>
      </c>
      <c r="J190" s="176">
        <f t="shared" si="17"/>
        <v>14156.757499999996</v>
      </c>
      <c r="K190" s="177">
        <f t="shared" si="15"/>
        <v>216.21663270244474</v>
      </c>
      <c r="L190" s="378"/>
      <c r="M190" s="379"/>
      <c r="N190" s="59"/>
      <c r="O190" s="59"/>
      <c r="P190" s="59"/>
      <c r="Q190" s="59"/>
      <c r="R190" s="59"/>
      <c r="S190" s="59"/>
      <c r="T190" s="60"/>
      <c r="U190" s="60"/>
    </row>
    <row r="191" spans="2:21" s="52" customFormat="1" ht="13.5" customHeight="1">
      <c r="B191" s="180">
        <f t="shared" si="20"/>
        <v>162</v>
      </c>
      <c r="C191" s="172">
        <v>2</v>
      </c>
      <c r="D191" s="173" t="s">
        <v>67</v>
      </c>
      <c r="E191" s="174">
        <f t="shared" si="21"/>
        <v>162</v>
      </c>
      <c r="F191" s="175">
        <f>VLOOKUP(E191,'Deck Tally'!$B$5:$C$274,2,0)-0.46</f>
        <v>33.96</v>
      </c>
      <c r="G191" s="199">
        <f t="shared" si="22"/>
        <v>33.554500000000004</v>
      </c>
      <c r="H191" s="175" t="s">
        <v>68</v>
      </c>
      <c r="I191" s="176">
        <f t="shared" si="16"/>
        <v>5605.3770000000059</v>
      </c>
      <c r="J191" s="176">
        <f t="shared" si="17"/>
        <v>14123.202999999996</v>
      </c>
      <c r="K191" s="177">
        <f t="shared" si="15"/>
        <v>217.00684245912925</v>
      </c>
      <c r="L191" s="378"/>
      <c r="M191" s="379"/>
      <c r="N191" s="59"/>
      <c r="O191" s="59"/>
      <c r="P191" s="59"/>
      <c r="Q191" s="59"/>
      <c r="R191" s="59"/>
      <c r="S191" s="59"/>
      <c r="T191" s="60"/>
      <c r="U191" s="60"/>
    </row>
    <row r="192" spans="2:21" s="52" customFormat="1" ht="13.5" customHeight="1">
      <c r="B192" s="180">
        <f t="shared" si="20"/>
        <v>163</v>
      </c>
      <c r="C192" s="172">
        <v>2</v>
      </c>
      <c r="D192" s="173" t="s">
        <v>67</v>
      </c>
      <c r="E192" s="174">
        <f t="shared" si="21"/>
        <v>163</v>
      </c>
      <c r="F192" s="175">
        <f>VLOOKUP(E192,'Deck Tally'!$B$5:$C$274,2,0)-0.46</f>
        <v>33.93</v>
      </c>
      <c r="G192" s="199">
        <f t="shared" si="22"/>
        <v>33.524500000000003</v>
      </c>
      <c r="H192" s="175" t="s">
        <v>68</v>
      </c>
      <c r="I192" s="176">
        <f t="shared" si="16"/>
        <v>5638.9015000000063</v>
      </c>
      <c r="J192" s="176">
        <f t="shared" si="17"/>
        <v>14089.678499999995</v>
      </c>
      <c r="K192" s="177">
        <f t="shared" si="15"/>
        <v>217.79634571466784</v>
      </c>
      <c r="L192" s="378"/>
      <c r="M192" s="379"/>
      <c r="N192" s="59"/>
      <c r="O192" s="59"/>
      <c r="P192" s="59"/>
      <c r="Q192" s="59"/>
      <c r="R192" s="59"/>
      <c r="S192" s="59"/>
      <c r="T192" s="60"/>
      <c r="U192" s="60"/>
    </row>
    <row r="193" spans="2:21" s="52" customFormat="1" ht="13.5" customHeight="1">
      <c r="B193" s="180">
        <f t="shared" si="20"/>
        <v>164</v>
      </c>
      <c r="C193" s="172">
        <v>2</v>
      </c>
      <c r="D193" s="173" t="s">
        <v>67</v>
      </c>
      <c r="E193" s="174">
        <f t="shared" si="21"/>
        <v>164</v>
      </c>
      <c r="F193" s="175">
        <f>VLOOKUP(E193,'Deck Tally'!$B$5:$C$274,2,0)-0.46</f>
        <v>33.93</v>
      </c>
      <c r="G193" s="199">
        <f t="shared" si="22"/>
        <v>33.524500000000003</v>
      </c>
      <c r="H193" s="175" t="s">
        <v>68</v>
      </c>
      <c r="I193" s="176">
        <f t="shared" si="16"/>
        <v>5672.4260000000068</v>
      </c>
      <c r="J193" s="176">
        <f t="shared" si="17"/>
        <v>14056.153999999995</v>
      </c>
      <c r="K193" s="177">
        <f t="shared" si="15"/>
        <v>218.58584897020643</v>
      </c>
      <c r="L193" s="476"/>
      <c r="M193" s="477"/>
      <c r="N193" s="59"/>
      <c r="O193" s="59"/>
      <c r="P193" s="59"/>
      <c r="Q193" s="59"/>
      <c r="R193" s="59"/>
      <c r="S193" s="59"/>
      <c r="T193" s="60"/>
      <c r="U193" s="60"/>
    </row>
    <row r="194" spans="2:21" s="52" customFormat="1" ht="13.5" customHeight="1">
      <c r="B194" s="180">
        <f t="shared" si="20"/>
        <v>165</v>
      </c>
      <c r="C194" s="172">
        <v>2</v>
      </c>
      <c r="D194" s="173" t="s">
        <v>67</v>
      </c>
      <c r="E194" s="174">
        <f t="shared" si="21"/>
        <v>165</v>
      </c>
      <c r="F194" s="175">
        <f>VLOOKUP(E194,'Deck Tally'!$B$5:$C$274,2,0)-0.46</f>
        <v>33.93</v>
      </c>
      <c r="G194" s="199">
        <f t="shared" si="22"/>
        <v>33.524500000000003</v>
      </c>
      <c r="H194" s="175" t="s">
        <v>68</v>
      </c>
      <c r="I194" s="176">
        <f t="shared" si="16"/>
        <v>5705.9505000000072</v>
      </c>
      <c r="J194" s="176">
        <f t="shared" si="17"/>
        <v>14022.629499999995</v>
      </c>
      <c r="K194" s="177">
        <f t="shared" si="15"/>
        <v>219.37535222574502</v>
      </c>
      <c r="L194" s="457"/>
      <c r="M194" s="458"/>
      <c r="N194" s="59"/>
      <c r="O194" s="187"/>
      <c r="P194" s="59"/>
      <c r="Q194" s="59"/>
      <c r="R194" s="59"/>
      <c r="S194" s="59"/>
      <c r="T194" s="60"/>
      <c r="U194" s="60"/>
    </row>
    <row r="195" spans="2:21" s="52" customFormat="1" ht="13.5" customHeight="1">
      <c r="B195" s="180">
        <f t="shared" si="20"/>
        <v>166</v>
      </c>
      <c r="C195" s="172">
        <v>2</v>
      </c>
      <c r="D195" s="173" t="s">
        <v>67</v>
      </c>
      <c r="E195" s="174">
        <f t="shared" si="21"/>
        <v>166</v>
      </c>
      <c r="F195" s="175">
        <f>VLOOKUP(E195,'Deck Tally'!$B$5:$C$274,2,0)-0.46</f>
        <v>33.93</v>
      </c>
      <c r="G195" s="199">
        <f t="shared" si="22"/>
        <v>33.524500000000003</v>
      </c>
      <c r="H195" s="175" t="s">
        <v>68</v>
      </c>
      <c r="I195" s="176">
        <f t="shared" si="16"/>
        <v>5739.4750000000076</v>
      </c>
      <c r="J195" s="176">
        <f t="shared" si="17"/>
        <v>13989.104999999994</v>
      </c>
      <c r="K195" s="177">
        <f t="shared" si="15"/>
        <v>220.16485548128361</v>
      </c>
      <c r="L195" s="203"/>
      <c r="M195" s="204"/>
      <c r="N195" s="59"/>
      <c r="O195" s="59"/>
      <c r="P195" s="59"/>
      <c r="Q195" s="59"/>
      <c r="R195" s="59"/>
      <c r="S195" s="59"/>
      <c r="T195" s="60"/>
      <c r="U195" s="60"/>
    </row>
    <row r="196" spans="2:21" s="52" customFormat="1" ht="13.5" customHeight="1">
      <c r="B196" s="180">
        <f t="shared" si="20"/>
        <v>167</v>
      </c>
      <c r="C196" s="172">
        <v>2</v>
      </c>
      <c r="D196" s="173" t="s">
        <v>67</v>
      </c>
      <c r="E196" s="174">
        <f t="shared" si="21"/>
        <v>167</v>
      </c>
      <c r="F196" s="175">
        <f>VLOOKUP(E196,'Deck Tally'!$B$5:$C$274,2,0)-0.46</f>
        <v>33.94</v>
      </c>
      <c r="G196" s="199">
        <f t="shared" si="22"/>
        <v>33.534499999999994</v>
      </c>
      <c r="H196" s="175" t="s">
        <v>68</v>
      </c>
      <c r="I196" s="176">
        <f t="shared" si="16"/>
        <v>5773.0095000000074</v>
      </c>
      <c r="J196" s="176">
        <f t="shared" si="17"/>
        <v>13955.570499999994</v>
      </c>
      <c r="K196" s="177">
        <f t="shared" si="15"/>
        <v>220.95459423720413</v>
      </c>
      <c r="L196" s="378"/>
      <c r="M196" s="379"/>
      <c r="N196" s="59"/>
      <c r="O196" s="112"/>
      <c r="P196" s="59"/>
      <c r="Q196" s="59"/>
      <c r="R196" s="59"/>
      <c r="S196" s="59"/>
      <c r="T196" s="60"/>
      <c r="U196" s="60"/>
    </row>
    <row r="197" spans="2:21" s="52" customFormat="1" ht="13.5" customHeight="1">
      <c r="B197" s="180">
        <f t="shared" si="20"/>
        <v>168</v>
      </c>
      <c r="C197" s="172">
        <v>2</v>
      </c>
      <c r="D197" s="173" t="s">
        <v>67</v>
      </c>
      <c r="E197" s="174">
        <f t="shared" si="21"/>
        <v>168</v>
      </c>
      <c r="F197" s="175">
        <f>VLOOKUP(E197,'Deck Tally'!$B$5:$C$274,2,0)-0.46</f>
        <v>33.935000000000002</v>
      </c>
      <c r="G197" s="199">
        <f t="shared" si="22"/>
        <v>33.529499999999999</v>
      </c>
      <c r="H197" s="175" t="s">
        <v>68</v>
      </c>
      <c r="I197" s="176">
        <f t="shared" si="16"/>
        <v>5806.539000000007</v>
      </c>
      <c r="J197" s="176">
        <f t="shared" si="17"/>
        <v>13922.040999999994</v>
      </c>
      <c r="K197" s="177">
        <f t="shared" si="15"/>
        <v>221.74421524293371</v>
      </c>
      <c r="L197" s="378"/>
      <c r="M197" s="379"/>
      <c r="N197" s="59"/>
      <c r="O197" s="59"/>
      <c r="P197" s="59"/>
      <c r="Q197" s="59"/>
      <c r="R197" s="59"/>
      <c r="S197" s="59"/>
      <c r="T197" s="60"/>
      <c r="U197" s="60"/>
    </row>
    <row r="198" spans="2:21" s="52" customFormat="1" ht="13.5" customHeight="1">
      <c r="B198" s="180">
        <f t="shared" si="20"/>
        <v>169</v>
      </c>
      <c r="C198" s="172">
        <v>2</v>
      </c>
      <c r="D198" s="173" t="s">
        <v>67</v>
      </c>
      <c r="E198" s="174">
        <f t="shared" si="21"/>
        <v>169</v>
      </c>
      <c r="F198" s="175">
        <f>VLOOKUP(E198,'Deck Tally'!$B$5:$C$274,2,0)-0.46</f>
        <v>33.92</v>
      </c>
      <c r="G198" s="199">
        <f t="shared" si="22"/>
        <v>33.514499999999998</v>
      </c>
      <c r="H198" s="175" t="s">
        <v>68</v>
      </c>
      <c r="I198" s="176">
        <f t="shared" si="16"/>
        <v>5840.0535000000073</v>
      </c>
      <c r="J198" s="176">
        <f t="shared" si="17"/>
        <v>13888.526499999994</v>
      </c>
      <c r="K198" s="177">
        <f t="shared" si="15"/>
        <v>222.53348299809034</v>
      </c>
      <c r="N198" s="59"/>
      <c r="O198" s="59"/>
      <c r="P198" s="59"/>
      <c r="Q198" s="59"/>
      <c r="R198" s="59"/>
      <c r="S198" s="59"/>
      <c r="T198" s="60"/>
      <c r="U198" s="60"/>
    </row>
    <row r="199" spans="2:21" s="52" customFormat="1" ht="13.5" customHeight="1">
      <c r="B199" s="180"/>
      <c r="C199" s="181">
        <v>1</v>
      </c>
      <c r="D199" s="182" t="s">
        <v>83</v>
      </c>
      <c r="E199" s="181" t="s">
        <v>90</v>
      </c>
      <c r="F199" s="155">
        <v>20.22</v>
      </c>
      <c r="G199" s="183">
        <f t="shared" si="22"/>
        <v>19.814499999999999</v>
      </c>
      <c r="H199" s="155" t="s">
        <v>68</v>
      </c>
      <c r="I199" s="155">
        <f t="shared" si="16"/>
        <v>5859.8680000000077</v>
      </c>
      <c r="J199" s="155">
        <f t="shared" si="17"/>
        <v>13868.711999999994</v>
      </c>
      <c r="K199" s="177">
        <f t="shared" si="15"/>
        <v>223.00011522994672</v>
      </c>
      <c r="L199" s="473" t="s">
        <v>91</v>
      </c>
      <c r="M199" s="474"/>
      <c r="N199" s="59"/>
      <c r="O199" s="59"/>
      <c r="P199" s="59"/>
      <c r="Q199" s="59"/>
      <c r="R199" s="59"/>
      <c r="S199" s="59"/>
      <c r="T199" s="60"/>
      <c r="U199" s="60"/>
    </row>
    <row r="200" spans="2:21" s="52" customFormat="1" ht="13.5" customHeight="1">
      <c r="B200" s="180">
        <f>B198+1</f>
        <v>170</v>
      </c>
      <c r="C200" s="172">
        <v>2</v>
      </c>
      <c r="D200" s="173" t="s">
        <v>67</v>
      </c>
      <c r="E200" s="186">
        <f>E198+1</f>
        <v>170</v>
      </c>
      <c r="F200" s="175">
        <f>VLOOKUP(E200,'Deck Tally'!$B$5:$C$274,2,0)-0.46</f>
        <v>33.935000000000002</v>
      </c>
      <c r="G200" s="199">
        <f t="shared" si="22"/>
        <v>33.529499999999999</v>
      </c>
      <c r="H200" s="175" t="s">
        <v>68</v>
      </c>
      <c r="I200" s="176">
        <f t="shared" si="16"/>
        <v>5893.3975000000073</v>
      </c>
      <c r="J200" s="176">
        <f t="shared" si="17"/>
        <v>13835.182499999995</v>
      </c>
      <c r="K200" s="177">
        <f t="shared" si="15"/>
        <v>223.78973623567626</v>
      </c>
      <c r="L200" s="475" t="s">
        <v>92</v>
      </c>
      <c r="M200" s="467"/>
      <c r="N200" s="59"/>
      <c r="O200" s="187">
        <f>13813-M201</f>
        <v>-51.711999999994077</v>
      </c>
      <c r="P200" s="59" t="s">
        <v>74</v>
      </c>
      <c r="Q200" s="59"/>
      <c r="R200" s="59"/>
      <c r="S200" s="59"/>
      <c r="T200" s="60"/>
      <c r="U200" s="60"/>
    </row>
    <row r="201" spans="2:21" s="52" customFormat="1" ht="13.5" customHeight="1">
      <c r="B201" s="180">
        <f t="shared" ref="B201:B232" si="23">B200+1</f>
        <v>171</v>
      </c>
      <c r="C201" s="188">
        <v>1</v>
      </c>
      <c r="D201" s="189" t="s">
        <v>67</v>
      </c>
      <c r="E201" s="190">
        <f>E200+1</f>
        <v>171</v>
      </c>
      <c r="F201" s="191">
        <f>VLOOKUP(E201,'Deck Tally'!$B$5:$C$274,2,0)-0.46</f>
        <v>33.94</v>
      </c>
      <c r="G201" s="199">
        <f t="shared" si="22"/>
        <v>33.534499999999994</v>
      </c>
      <c r="H201" s="191" t="s">
        <v>68</v>
      </c>
      <c r="I201" s="191">
        <f t="shared" si="16"/>
        <v>5926.9320000000071</v>
      </c>
      <c r="J201" s="191">
        <f t="shared" si="17"/>
        <v>13801.647999999994</v>
      </c>
      <c r="K201" s="177">
        <f t="shared" si="15"/>
        <v>224.57947499159681</v>
      </c>
      <c r="L201" s="184" t="s">
        <v>75</v>
      </c>
      <c r="M201" s="193">
        <f>J199-4</f>
        <v>13864.711999999994</v>
      </c>
      <c r="N201" s="59"/>
      <c r="O201" s="59"/>
      <c r="P201" s="59"/>
      <c r="Q201" s="59"/>
      <c r="R201" s="59"/>
      <c r="S201" s="59"/>
      <c r="T201" s="60"/>
      <c r="U201" s="60"/>
    </row>
    <row r="202" spans="2:21" s="52" customFormat="1" ht="13.5" customHeight="1">
      <c r="B202" s="180">
        <f t="shared" si="23"/>
        <v>172</v>
      </c>
      <c r="C202" s="172">
        <v>2</v>
      </c>
      <c r="D202" s="173" t="s">
        <v>67</v>
      </c>
      <c r="E202" s="174">
        <f>E201+1</f>
        <v>172</v>
      </c>
      <c r="F202" s="175">
        <f>VLOOKUP(E202,'Deck Tally'!$B$5:$C$274,2,0)-0.46</f>
        <v>33.94</v>
      </c>
      <c r="G202" s="199">
        <f t="shared" si="22"/>
        <v>33.534499999999994</v>
      </c>
      <c r="H202" s="175" t="s">
        <v>68</v>
      </c>
      <c r="I202" s="176">
        <f t="shared" si="16"/>
        <v>5960.4665000000068</v>
      </c>
      <c r="J202" s="176">
        <f t="shared" si="17"/>
        <v>13768.113499999996</v>
      </c>
      <c r="K202" s="177">
        <f t="shared" si="15"/>
        <v>225.36921374751736</v>
      </c>
      <c r="L202" s="471" t="s">
        <v>76</v>
      </c>
      <c r="M202" s="472"/>
      <c r="N202" s="59"/>
      <c r="Q202" s="59"/>
      <c r="R202" s="59"/>
      <c r="S202" s="59"/>
      <c r="T202" s="60"/>
      <c r="U202" s="60"/>
    </row>
    <row r="203" spans="2:21" s="52" customFormat="1" ht="13.5" customHeight="1">
      <c r="B203" s="180">
        <f t="shared" si="23"/>
        <v>173</v>
      </c>
      <c r="C203" s="172">
        <v>2</v>
      </c>
      <c r="D203" s="173" t="s">
        <v>67</v>
      </c>
      <c r="E203" s="174">
        <v>173</v>
      </c>
      <c r="F203" s="175">
        <f>VLOOKUP(E203,'Deck Tally'!$B$5:$C$274,2,0)-0.46</f>
        <v>33.935000000000002</v>
      </c>
      <c r="G203" s="199">
        <f t="shared" si="22"/>
        <v>33.529499999999999</v>
      </c>
      <c r="H203" s="175" t="s">
        <v>68</v>
      </c>
      <c r="I203" s="176">
        <f t="shared" si="16"/>
        <v>5993.9960000000065</v>
      </c>
      <c r="J203" s="176">
        <f t="shared" si="17"/>
        <v>13734.583999999995</v>
      </c>
      <c r="K203" s="177">
        <f t="shared" si="15"/>
        <v>226.15883475324691</v>
      </c>
      <c r="L203" s="378"/>
      <c r="M203" s="379"/>
      <c r="N203" s="59"/>
      <c r="Q203" s="59"/>
      <c r="R203" s="59"/>
      <c r="S203" s="59"/>
      <c r="T203" s="60"/>
      <c r="U203" s="60"/>
    </row>
    <row r="204" spans="2:21" s="52" customFormat="1" ht="13.5" customHeight="1">
      <c r="B204" s="180">
        <f t="shared" si="23"/>
        <v>174</v>
      </c>
      <c r="C204" s="172">
        <v>2</v>
      </c>
      <c r="D204" s="173" t="s">
        <v>67</v>
      </c>
      <c r="E204" s="172">
        <v>174</v>
      </c>
      <c r="F204" s="176">
        <f>VLOOKUP(E204,'Deck Tally'!$B$5:$C$274,2,0)-0.46</f>
        <v>33.935000000000002</v>
      </c>
      <c r="G204" s="199">
        <f t="shared" si="22"/>
        <v>33.529499999999999</v>
      </c>
      <c r="H204" s="176" t="s">
        <v>68</v>
      </c>
      <c r="I204" s="176">
        <f t="shared" si="16"/>
        <v>6027.5255000000061</v>
      </c>
      <c r="J204" s="176">
        <f t="shared" si="17"/>
        <v>13701.054499999995</v>
      </c>
      <c r="K204" s="177">
        <f t="shared" si="15"/>
        <v>226.94845575897645</v>
      </c>
      <c r="L204" s="378"/>
      <c r="M204" s="379"/>
      <c r="N204" s="59"/>
      <c r="O204" s="59"/>
      <c r="P204" s="59"/>
      <c r="Q204" s="59"/>
      <c r="R204" s="59"/>
      <c r="S204" s="59"/>
      <c r="T204" s="60"/>
      <c r="U204" s="60"/>
    </row>
    <row r="205" spans="2:21" s="52" customFormat="1" ht="13.5" customHeight="1">
      <c r="B205" s="180">
        <f t="shared" si="23"/>
        <v>175</v>
      </c>
      <c r="C205" s="172">
        <v>2</v>
      </c>
      <c r="D205" s="173" t="s">
        <v>67</v>
      </c>
      <c r="E205" s="174">
        <f t="shared" ref="E205:E236" si="24">E204+1</f>
        <v>175</v>
      </c>
      <c r="F205" s="175">
        <f>VLOOKUP(E205,'Deck Tally'!$B$5:$C$274,2,0)-0.46</f>
        <v>33.94</v>
      </c>
      <c r="G205" s="199">
        <f t="shared" si="22"/>
        <v>33.534499999999994</v>
      </c>
      <c r="H205" s="175" t="s">
        <v>68</v>
      </c>
      <c r="I205" s="176">
        <f t="shared" si="16"/>
        <v>6061.0600000000059</v>
      </c>
      <c r="J205" s="176">
        <f t="shared" si="17"/>
        <v>13667.519999999997</v>
      </c>
      <c r="K205" s="177">
        <f t="shared" si="15"/>
        <v>227.738194514897</v>
      </c>
      <c r="L205" s="378"/>
      <c r="M205" s="379"/>
      <c r="N205" s="59"/>
      <c r="O205" s="59"/>
      <c r="P205" s="59"/>
      <c r="Q205" s="59"/>
      <c r="R205" s="59"/>
      <c r="S205" s="59"/>
      <c r="T205" s="60"/>
      <c r="U205" s="60"/>
    </row>
    <row r="206" spans="2:21" s="52" customFormat="1" ht="13.5" customHeight="1">
      <c r="B206" s="180">
        <f t="shared" si="23"/>
        <v>176</v>
      </c>
      <c r="C206" s="172">
        <v>2</v>
      </c>
      <c r="D206" s="173" t="s">
        <v>67</v>
      </c>
      <c r="E206" s="174">
        <f t="shared" si="24"/>
        <v>176</v>
      </c>
      <c r="F206" s="175">
        <f>VLOOKUP(E206,'Deck Tally'!$B$5:$C$274,2,0)-0.46</f>
        <v>33.935000000000002</v>
      </c>
      <c r="G206" s="199">
        <f t="shared" si="22"/>
        <v>33.529499999999999</v>
      </c>
      <c r="H206" s="175" t="s">
        <v>68</v>
      </c>
      <c r="I206" s="176">
        <f t="shared" si="16"/>
        <v>6094.5895000000055</v>
      </c>
      <c r="J206" s="176">
        <f t="shared" si="17"/>
        <v>13633.990499999996</v>
      </c>
      <c r="K206" s="177">
        <f t="shared" si="15"/>
        <v>228.52781552062658</v>
      </c>
      <c r="L206" s="378"/>
      <c r="M206" s="379"/>
      <c r="N206" s="59"/>
      <c r="O206" s="59"/>
      <c r="P206" s="59"/>
      <c r="Q206" s="59"/>
      <c r="R206" s="59"/>
      <c r="S206" s="59"/>
      <c r="T206" s="60"/>
      <c r="U206" s="60"/>
    </row>
    <row r="207" spans="2:21" s="52" customFormat="1" ht="13.5" customHeight="1">
      <c r="B207" s="180">
        <f t="shared" si="23"/>
        <v>177</v>
      </c>
      <c r="C207" s="172">
        <v>2</v>
      </c>
      <c r="D207" s="173" t="s">
        <v>67</v>
      </c>
      <c r="E207" s="174">
        <f t="shared" si="24"/>
        <v>177</v>
      </c>
      <c r="F207" s="175">
        <f>VLOOKUP(E207,'Deck Tally'!$B$5:$C$274,2,0)-0.46</f>
        <v>33.935000000000002</v>
      </c>
      <c r="G207" s="199">
        <f t="shared" si="22"/>
        <v>33.529499999999999</v>
      </c>
      <c r="H207" s="175" t="s">
        <v>68</v>
      </c>
      <c r="I207" s="176">
        <f t="shared" si="16"/>
        <v>6128.1190000000051</v>
      </c>
      <c r="J207" s="176">
        <f t="shared" si="17"/>
        <v>13600.460999999996</v>
      </c>
      <c r="K207" s="177">
        <f t="shared" si="15"/>
        <v>229.31743652635612</v>
      </c>
      <c r="L207" s="378"/>
      <c r="M207" s="379"/>
      <c r="N207" s="59"/>
      <c r="O207" s="59"/>
      <c r="P207" s="59"/>
      <c r="Q207" s="59"/>
      <c r="R207" s="59"/>
      <c r="S207" s="59"/>
      <c r="T207" s="60"/>
      <c r="U207" s="60"/>
    </row>
    <row r="208" spans="2:21" s="52" customFormat="1" ht="13.5" customHeight="1">
      <c r="B208" s="180">
        <f t="shared" si="23"/>
        <v>178</v>
      </c>
      <c r="C208" s="172">
        <v>2</v>
      </c>
      <c r="D208" s="173" t="s">
        <v>67</v>
      </c>
      <c r="E208" s="174">
        <f t="shared" si="24"/>
        <v>178</v>
      </c>
      <c r="F208" s="175">
        <f>VLOOKUP(E208,'Deck Tally'!$B$5:$C$274,2,0)-0.46</f>
        <v>33.935000000000002</v>
      </c>
      <c r="G208" s="199">
        <f t="shared" si="22"/>
        <v>33.529499999999999</v>
      </c>
      <c r="H208" s="175" t="s">
        <v>68</v>
      </c>
      <c r="I208" s="176">
        <f t="shared" si="16"/>
        <v>6161.6485000000048</v>
      </c>
      <c r="J208" s="176">
        <f t="shared" si="17"/>
        <v>13566.931499999997</v>
      </c>
      <c r="K208" s="177">
        <f t="shared" si="15"/>
        <v>230.10705753208569</v>
      </c>
      <c r="L208" s="378"/>
      <c r="M208" s="379"/>
      <c r="N208" s="59"/>
      <c r="O208" s="59"/>
      <c r="P208" s="59"/>
      <c r="Q208" s="59"/>
      <c r="R208" s="59"/>
      <c r="S208" s="59"/>
      <c r="T208" s="60"/>
      <c r="U208" s="60"/>
    </row>
    <row r="209" spans="2:21" s="52" customFormat="1" ht="13.5" customHeight="1">
      <c r="B209" s="180">
        <f t="shared" si="23"/>
        <v>179</v>
      </c>
      <c r="C209" s="172">
        <v>2</v>
      </c>
      <c r="D209" s="173" t="s">
        <v>67</v>
      </c>
      <c r="E209" s="174">
        <f t="shared" si="24"/>
        <v>179</v>
      </c>
      <c r="F209" s="175">
        <f>VLOOKUP(E209,'Deck Tally'!$B$5:$C$274,2,0)-0.46</f>
        <v>33.574999999999996</v>
      </c>
      <c r="G209" s="199">
        <f>F209-($E$11/12)-$O$351</f>
        <v>32.709499999999998</v>
      </c>
      <c r="H209" s="175" t="s">
        <v>68</v>
      </c>
      <c r="I209" s="176">
        <f t="shared" si="16"/>
        <v>6194.3580000000047</v>
      </c>
      <c r="J209" s="176">
        <f t="shared" si="17"/>
        <v>13534.221999999998</v>
      </c>
      <c r="K209" s="177">
        <f t="shared" ref="K209:K272" si="25">$H$8+(I209*$E$9*$H$10/1000)</f>
        <v>230.87736750649361</v>
      </c>
      <c r="L209" s="378"/>
      <c r="M209" s="379"/>
      <c r="N209" s="59"/>
      <c r="O209" s="59"/>
      <c r="P209" s="59"/>
      <c r="Q209" s="59"/>
      <c r="R209" s="59"/>
      <c r="S209" s="59"/>
      <c r="T209" s="60"/>
      <c r="U209" s="60"/>
    </row>
    <row r="210" spans="2:21" s="52" customFormat="1" ht="13.5" customHeight="1">
      <c r="B210" s="180">
        <f t="shared" si="23"/>
        <v>180</v>
      </c>
      <c r="C210" s="172">
        <v>2</v>
      </c>
      <c r="D210" s="173" t="s">
        <v>67</v>
      </c>
      <c r="E210" s="174">
        <f t="shared" si="24"/>
        <v>180</v>
      </c>
      <c r="F210" s="175">
        <f>VLOOKUP(E210,'Deck Tally'!$B$5:$C$274,2,0)-0.46</f>
        <v>33.935000000000002</v>
      </c>
      <c r="G210" s="199">
        <f t="shared" ref="G210:G241" si="26">F210-($E$11/12)</f>
        <v>33.529499999999999</v>
      </c>
      <c r="H210" s="175" t="s">
        <v>68</v>
      </c>
      <c r="I210" s="176">
        <f t="shared" ref="I210:I273" si="27">IF(H210="IN",I209+G210,I209)</f>
        <v>6227.8875000000044</v>
      </c>
      <c r="J210" s="176">
        <f t="shared" ref="J210:J273" si="28">IF(I210="","",$L$8-I210)</f>
        <v>13500.692499999997</v>
      </c>
      <c r="K210" s="177">
        <f t="shared" si="25"/>
        <v>231.66698851222318</v>
      </c>
      <c r="L210" s="378"/>
      <c r="M210" s="379"/>
      <c r="N210" s="59"/>
      <c r="O210" s="59"/>
      <c r="P210" s="59"/>
      <c r="Q210" s="59"/>
      <c r="R210" s="59"/>
      <c r="S210" s="59"/>
      <c r="T210" s="60"/>
      <c r="U210" s="60"/>
    </row>
    <row r="211" spans="2:21" s="52" customFormat="1" ht="13.5" customHeight="1">
      <c r="B211" s="180">
        <f t="shared" si="23"/>
        <v>181</v>
      </c>
      <c r="C211" s="172">
        <v>2</v>
      </c>
      <c r="D211" s="173" t="s">
        <v>67</v>
      </c>
      <c r="E211" s="174">
        <f t="shared" si="24"/>
        <v>181</v>
      </c>
      <c r="F211" s="175">
        <f>VLOOKUP(E211,'Deck Tally'!$B$5:$C$274,2,0)-0.46</f>
        <v>33.935000000000002</v>
      </c>
      <c r="G211" s="199">
        <f t="shared" si="26"/>
        <v>33.529499999999999</v>
      </c>
      <c r="H211" s="175" t="s">
        <v>68</v>
      </c>
      <c r="I211" s="176">
        <f t="shared" si="27"/>
        <v>6261.417000000004</v>
      </c>
      <c r="J211" s="176">
        <f t="shared" si="28"/>
        <v>13467.162999999997</v>
      </c>
      <c r="K211" s="177">
        <f t="shared" si="25"/>
        <v>232.45660951795273</v>
      </c>
      <c r="L211" s="378"/>
      <c r="M211" s="379"/>
      <c r="N211" s="59"/>
      <c r="O211" s="59"/>
      <c r="P211" s="59"/>
      <c r="Q211" s="59"/>
      <c r="R211" s="59"/>
      <c r="S211" s="59"/>
      <c r="T211" s="60"/>
      <c r="U211" s="60"/>
    </row>
    <row r="212" spans="2:21" s="52" customFormat="1" ht="13.5" customHeight="1">
      <c r="B212" s="180">
        <f t="shared" si="23"/>
        <v>182</v>
      </c>
      <c r="C212" s="172">
        <v>2</v>
      </c>
      <c r="D212" s="173" t="s">
        <v>67</v>
      </c>
      <c r="E212" s="174">
        <f t="shared" si="24"/>
        <v>182</v>
      </c>
      <c r="F212" s="175">
        <f>VLOOKUP(E212,'Deck Tally'!$B$5:$C$274,2,0)-0.46</f>
        <v>33.93</v>
      </c>
      <c r="G212" s="199">
        <f t="shared" si="26"/>
        <v>33.524500000000003</v>
      </c>
      <c r="H212" s="175" t="s">
        <v>68</v>
      </c>
      <c r="I212" s="176">
        <f t="shared" si="27"/>
        <v>6294.9415000000045</v>
      </c>
      <c r="J212" s="176">
        <f t="shared" si="28"/>
        <v>13433.638499999997</v>
      </c>
      <c r="K212" s="177">
        <f t="shared" si="25"/>
        <v>233.24611277349132</v>
      </c>
      <c r="L212" s="378"/>
      <c r="M212" s="379"/>
      <c r="N212" s="59"/>
      <c r="O212" s="59"/>
      <c r="P212" s="59"/>
      <c r="Q212" s="59"/>
      <c r="R212" s="59"/>
      <c r="S212" s="59"/>
      <c r="T212" s="60"/>
      <c r="U212" s="60"/>
    </row>
    <row r="213" spans="2:21" s="52" customFormat="1" ht="13.5" customHeight="1">
      <c r="B213" s="180">
        <f t="shared" si="23"/>
        <v>183</v>
      </c>
      <c r="C213" s="172">
        <v>2</v>
      </c>
      <c r="D213" s="173" t="s">
        <v>67</v>
      </c>
      <c r="E213" s="174">
        <f t="shared" si="24"/>
        <v>183</v>
      </c>
      <c r="F213" s="175">
        <f>VLOOKUP(E213,'Deck Tally'!$B$5:$C$274,2,0)-0.46</f>
        <v>33.935000000000002</v>
      </c>
      <c r="G213" s="199">
        <f t="shared" si="26"/>
        <v>33.529499999999999</v>
      </c>
      <c r="H213" s="175" t="s">
        <v>68</v>
      </c>
      <c r="I213" s="176">
        <f t="shared" si="27"/>
        <v>6328.4710000000041</v>
      </c>
      <c r="J213" s="176">
        <f t="shared" si="28"/>
        <v>13400.108999999997</v>
      </c>
      <c r="K213" s="177">
        <f t="shared" si="25"/>
        <v>234.03573377922089</v>
      </c>
      <c r="L213" s="378"/>
      <c r="M213" s="379"/>
      <c r="N213" s="59"/>
      <c r="O213" s="59"/>
      <c r="P213" s="59"/>
      <c r="Q213" s="59"/>
      <c r="R213" s="59"/>
      <c r="S213" s="59"/>
      <c r="T213" s="60"/>
      <c r="U213" s="60"/>
    </row>
    <row r="214" spans="2:21" s="52" customFormat="1" ht="13.5" customHeight="1">
      <c r="B214" s="180">
        <f t="shared" si="23"/>
        <v>184</v>
      </c>
      <c r="C214" s="172">
        <v>2</v>
      </c>
      <c r="D214" s="173" t="s">
        <v>67</v>
      </c>
      <c r="E214" s="174">
        <f t="shared" si="24"/>
        <v>184</v>
      </c>
      <c r="F214" s="175">
        <f>VLOOKUP(E214,'Deck Tally'!$B$5:$C$274,2,0)-0.46</f>
        <v>33.945</v>
      </c>
      <c r="G214" s="199">
        <f t="shared" si="26"/>
        <v>33.539500000000004</v>
      </c>
      <c r="H214" s="175" t="s">
        <v>68</v>
      </c>
      <c r="I214" s="176">
        <f t="shared" si="27"/>
        <v>6362.010500000004</v>
      </c>
      <c r="J214" s="176">
        <f t="shared" si="28"/>
        <v>13366.569499999998</v>
      </c>
      <c r="K214" s="177">
        <f t="shared" si="25"/>
        <v>234.8255902853324</v>
      </c>
      <c r="L214" s="378"/>
      <c r="M214" s="379"/>
      <c r="N214" s="59"/>
      <c r="O214" s="59"/>
      <c r="P214" s="59"/>
      <c r="Q214" s="59"/>
      <c r="R214" s="59"/>
      <c r="S214" s="59"/>
      <c r="T214" s="60"/>
      <c r="U214" s="60"/>
    </row>
    <row r="215" spans="2:21" s="52" customFormat="1" ht="13.5" customHeight="1">
      <c r="B215" s="180">
        <f t="shared" si="23"/>
        <v>185</v>
      </c>
      <c r="C215" s="172">
        <v>2</v>
      </c>
      <c r="D215" s="173" t="s">
        <v>67</v>
      </c>
      <c r="E215" s="174">
        <f t="shared" si="24"/>
        <v>185</v>
      </c>
      <c r="F215" s="175">
        <f>VLOOKUP(E215,'Deck Tally'!$B$5:$C$274,2,0)</f>
        <v>31.545000000000002</v>
      </c>
      <c r="G215" s="176">
        <f t="shared" si="26"/>
        <v>31.139500000000002</v>
      </c>
      <c r="H215" s="175" t="s">
        <v>68</v>
      </c>
      <c r="I215" s="176">
        <f t="shared" si="27"/>
        <v>6393.1500000000042</v>
      </c>
      <c r="J215" s="176">
        <f t="shared" si="28"/>
        <v>13335.429999999997</v>
      </c>
      <c r="K215" s="177">
        <f t="shared" si="25"/>
        <v>235.55892669977092</v>
      </c>
      <c r="L215" s="476"/>
      <c r="M215" s="477"/>
      <c r="N215" s="59"/>
      <c r="O215" s="59"/>
      <c r="P215" s="59"/>
      <c r="Q215" s="59"/>
      <c r="R215" s="59"/>
      <c r="S215" s="59"/>
      <c r="T215" s="60"/>
      <c r="U215" s="60"/>
    </row>
    <row r="216" spans="2:21" s="52" customFormat="1" ht="13.5" customHeight="1">
      <c r="B216" s="180">
        <f t="shared" si="23"/>
        <v>186</v>
      </c>
      <c r="C216" s="172">
        <v>2</v>
      </c>
      <c r="D216" s="173" t="s">
        <v>67</v>
      </c>
      <c r="E216" s="174">
        <f t="shared" si="24"/>
        <v>186</v>
      </c>
      <c r="F216" s="175">
        <f>VLOOKUP(E216,'Deck Tally'!$B$5:$C$274,2,0)-0.46</f>
        <v>33.945</v>
      </c>
      <c r="G216" s="199">
        <f t="shared" si="26"/>
        <v>33.539500000000004</v>
      </c>
      <c r="H216" s="175" t="s">
        <v>68</v>
      </c>
      <c r="I216" s="176">
        <f t="shared" si="27"/>
        <v>6426.689500000004</v>
      </c>
      <c r="J216" s="176">
        <f t="shared" si="28"/>
        <v>13301.890499999998</v>
      </c>
      <c r="K216" s="177">
        <f t="shared" si="25"/>
        <v>236.34878320588246</v>
      </c>
      <c r="L216" s="457"/>
      <c r="M216" s="458"/>
      <c r="N216" s="59"/>
      <c r="O216" s="187"/>
      <c r="P216" s="59"/>
      <c r="Q216" s="59"/>
      <c r="R216" s="59"/>
      <c r="S216" s="59"/>
      <c r="T216" s="60"/>
      <c r="U216" s="60"/>
    </row>
    <row r="217" spans="2:21" s="202" customFormat="1" ht="13.5" customHeight="1">
      <c r="B217" s="180">
        <f t="shared" si="23"/>
        <v>187</v>
      </c>
      <c r="C217" s="172">
        <v>2</v>
      </c>
      <c r="D217" s="173" t="s">
        <v>67</v>
      </c>
      <c r="E217" s="174">
        <f t="shared" si="24"/>
        <v>187</v>
      </c>
      <c r="F217" s="176">
        <f>VLOOKUP(E217,'Deck Tally'!$B$5:$C$274,2,0)-0.46</f>
        <v>33.94</v>
      </c>
      <c r="G217" s="199">
        <f t="shared" si="26"/>
        <v>33.534499999999994</v>
      </c>
      <c r="H217" s="176" t="s">
        <v>68</v>
      </c>
      <c r="I217" s="176">
        <f t="shared" si="27"/>
        <v>6460.2240000000038</v>
      </c>
      <c r="J217" s="176">
        <f t="shared" si="28"/>
        <v>13268.355999999998</v>
      </c>
      <c r="K217" s="177">
        <f t="shared" si="25"/>
        <v>237.13852196180301</v>
      </c>
      <c r="L217" s="482"/>
      <c r="M217" s="483"/>
      <c r="N217" s="200"/>
      <c r="O217" s="200"/>
      <c r="P217" s="200"/>
      <c r="Q217" s="200"/>
      <c r="R217" s="200"/>
      <c r="S217" s="200"/>
      <c r="T217" s="201"/>
      <c r="U217" s="201"/>
    </row>
    <row r="218" spans="2:21" s="52" customFormat="1" ht="13.5" customHeight="1">
      <c r="B218" s="180">
        <f t="shared" si="23"/>
        <v>188</v>
      </c>
      <c r="C218" s="172">
        <v>2</v>
      </c>
      <c r="D218" s="173" t="s">
        <v>67</v>
      </c>
      <c r="E218" s="174">
        <f t="shared" si="24"/>
        <v>188</v>
      </c>
      <c r="F218" s="175">
        <f>VLOOKUP(E218,'Deck Tally'!$B$5:$C$274,2,0)-0.46</f>
        <v>33.949999999999996</v>
      </c>
      <c r="G218" s="199">
        <f t="shared" si="26"/>
        <v>33.544499999999999</v>
      </c>
      <c r="H218" s="175" t="s">
        <v>68</v>
      </c>
      <c r="I218" s="176">
        <f t="shared" si="27"/>
        <v>6493.7685000000038</v>
      </c>
      <c r="J218" s="176">
        <f t="shared" si="28"/>
        <v>13234.811499999998</v>
      </c>
      <c r="K218" s="177">
        <f t="shared" si="25"/>
        <v>237.92849621810552</v>
      </c>
      <c r="L218" s="203"/>
      <c r="M218" s="204"/>
      <c r="N218" s="59"/>
      <c r="O218" s="59"/>
      <c r="P218" s="59"/>
      <c r="Q218" s="59"/>
      <c r="R218" s="59"/>
      <c r="S218" s="59"/>
      <c r="T218" s="60"/>
      <c r="U218" s="60"/>
    </row>
    <row r="219" spans="2:21" s="52" customFormat="1" ht="13.5" customHeight="1">
      <c r="B219" s="180">
        <f t="shared" si="23"/>
        <v>189</v>
      </c>
      <c r="C219" s="172">
        <v>2</v>
      </c>
      <c r="D219" s="173" t="s">
        <v>67</v>
      </c>
      <c r="E219" s="174">
        <f t="shared" si="24"/>
        <v>189</v>
      </c>
      <c r="F219" s="175">
        <f>VLOOKUP(E219,'Deck Tally'!$B$5:$C$274,2,0)-0.46</f>
        <v>33.945</v>
      </c>
      <c r="G219" s="199">
        <f t="shared" si="26"/>
        <v>33.539500000000004</v>
      </c>
      <c r="H219" s="175" t="s">
        <v>68</v>
      </c>
      <c r="I219" s="176">
        <f t="shared" si="27"/>
        <v>6527.3080000000036</v>
      </c>
      <c r="J219" s="176">
        <f t="shared" si="28"/>
        <v>13201.271999999997</v>
      </c>
      <c r="K219" s="177">
        <f t="shared" si="25"/>
        <v>238.71835272421706</v>
      </c>
      <c r="L219" s="378"/>
      <c r="M219" s="379"/>
      <c r="N219" s="59"/>
      <c r="O219" s="59"/>
      <c r="P219" s="59"/>
      <c r="Q219" s="59"/>
      <c r="R219" s="59"/>
      <c r="S219" s="59"/>
      <c r="T219" s="60"/>
      <c r="U219" s="60"/>
    </row>
    <row r="220" spans="2:21" s="52" customFormat="1" ht="13.5" customHeight="1">
      <c r="B220" s="180">
        <f t="shared" si="23"/>
        <v>190</v>
      </c>
      <c r="C220" s="172">
        <v>2</v>
      </c>
      <c r="D220" s="173" t="s">
        <v>67</v>
      </c>
      <c r="E220" s="174">
        <f t="shared" si="24"/>
        <v>190</v>
      </c>
      <c r="F220" s="175">
        <f>VLOOKUP(E220,'Deck Tally'!$B$5:$C$274,2,0)-0.46</f>
        <v>33.93</v>
      </c>
      <c r="G220" s="199">
        <f t="shared" si="26"/>
        <v>33.524500000000003</v>
      </c>
      <c r="H220" s="175" t="s">
        <v>68</v>
      </c>
      <c r="I220" s="176">
        <f t="shared" si="27"/>
        <v>6560.8325000000041</v>
      </c>
      <c r="J220" s="176">
        <f t="shared" si="28"/>
        <v>13167.747499999998</v>
      </c>
      <c r="K220" s="177">
        <f t="shared" si="25"/>
        <v>239.50785597975567</v>
      </c>
      <c r="L220" s="378"/>
      <c r="M220" s="379"/>
      <c r="N220" s="59"/>
      <c r="O220" s="59"/>
      <c r="P220" s="59"/>
      <c r="Q220" s="59"/>
      <c r="R220" s="59"/>
      <c r="S220" s="59"/>
      <c r="T220" s="60"/>
      <c r="U220" s="60"/>
    </row>
    <row r="221" spans="2:21" s="52" customFormat="1" ht="13.5" customHeight="1">
      <c r="B221" s="180">
        <f t="shared" si="23"/>
        <v>191</v>
      </c>
      <c r="C221" s="174">
        <v>2</v>
      </c>
      <c r="D221" s="209" t="s">
        <v>67</v>
      </c>
      <c r="E221" s="174">
        <f t="shared" si="24"/>
        <v>191</v>
      </c>
      <c r="F221" s="175">
        <f>VLOOKUP(E221,'Deck Tally'!$B$5:$C$274,2,0)-0.46</f>
        <v>33.93</v>
      </c>
      <c r="G221" s="199">
        <f t="shared" si="26"/>
        <v>33.524500000000003</v>
      </c>
      <c r="H221" s="175" t="s">
        <v>68</v>
      </c>
      <c r="I221" s="176">
        <f t="shared" si="27"/>
        <v>6594.3570000000045</v>
      </c>
      <c r="J221" s="176">
        <f t="shared" si="28"/>
        <v>13134.222999999998</v>
      </c>
      <c r="K221" s="177">
        <f t="shared" si="25"/>
        <v>240.29735923529421</v>
      </c>
      <c r="L221" s="378"/>
      <c r="M221" s="379"/>
      <c r="N221" s="59"/>
      <c r="O221" s="59"/>
      <c r="P221" s="59"/>
      <c r="Q221" s="59"/>
      <c r="R221" s="59"/>
      <c r="S221" s="59"/>
      <c r="T221" s="60"/>
      <c r="U221" s="60"/>
    </row>
    <row r="222" spans="2:21" s="52" customFormat="1" ht="13.5" customHeight="1">
      <c r="B222" s="180">
        <f t="shared" si="23"/>
        <v>192</v>
      </c>
      <c r="C222" s="172">
        <v>2</v>
      </c>
      <c r="D222" s="173" t="s">
        <v>67</v>
      </c>
      <c r="E222" s="174">
        <f t="shared" si="24"/>
        <v>192</v>
      </c>
      <c r="F222" s="175">
        <f>VLOOKUP(E222,'Deck Tally'!$B$5:$C$274,2,0)-0.46</f>
        <v>33.935000000000002</v>
      </c>
      <c r="G222" s="199">
        <f t="shared" si="26"/>
        <v>33.529499999999999</v>
      </c>
      <c r="H222" s="175" t="s">
        <v>68</v>
      </c>
      <c r="I222" s="176">
        <f t="shared" si="27"/>
        <v>6627.8865000000042</v>
      </c>
      <c r="J222" s="176">
        <f t="shared" si="28"/>
        <v>13100.693499999998</v>
      </c>
      <c r="K222" s="177">
        <f t="shared" si="25"/>
        <v>241.08698024102378</v>
      </c>
      <c r="L222" s="378"/>
      <c r="M222" s="379"/>
      <c r="N222" s="59"/>
      <c r="O222" s="196"/>
      <c r="P222" s="59"/>
      <c r="Q222" s="59"/>
      <c r="R222" s="59"/>
      <c r="S222" s="59"/>
      <c r="T222" s="60"/>
      <c r="U222" s="60"/>
    </row>
    <row r="223" spans="2:21" s="52" customFormat="1" ht="13.5" customHeight="1">
      <c r="B223" s="180">
        <f t="shared" si="23"/>
        <v>193</v>
      </c>
      <c r="C223" s="172">
        <v>2</v>
      </c>
      <c r="D223" s="173" t="s">
        <v>67</v>
      </c>
      <c r="E223" s="174">
        <f t="shared" si="24"/>
        <v>193</v>
      </c>
      <c r="F223" s="175">
        <f>VLOOKUP(E223,'Deck Tally'!$B$5:$C$274,2,0)-0.46</f>
        <v>33.94</v>
      </c>
      <c r="G223" s="199">
        <f t="shared" si="26"/>
        <v>33.534499999999994</v>
      </c>
      <c r="H223" s="175" t="s">
        <v>68</v>
      </c>
      <c r="I223" s="176">
        <f t="shared" si="27"/>
        <v>6661.4210000000039</v>
      </c>
      <c r="J223" s="176">
        <f t="shared" si="28"/>
        <v>13067.158999999998</v>
      </c>
      <c r="K223" s="177">
        <f t="shared" si="25"/>
        <v>241.87671899694433</v>
      </c>
      <c r="L223" s="378"/>
      <c r="M223" s="379"/>
      <c r="N223" s="59"/>
      <c r="O223" s="59"/>
      <c r="P223" s="59"/>
      <c r="Q223" s="59"/>
      <c r="R223" s="59"/>
      <c r="S223" s="59"/>
      <c r="T223" s="60"/>
      <c r="U223" s="60"/>
    </row>
    <row r="224" spans="2:21" s="52" customFormat="1" ht="13.5" customHeight="1">
      <c r="B224" s="180">
        <f t="shared" si="23"/>
        <v>194</v>
      </c>
      <c r="C224" s="172">
        <v>2</v>
      </c>
      <c r="D224" s="173" t="s">
        <v>67</v>
      </c>
      <c r="E224" s="174">
        <f t="shared" si="24"/>
        <v>194</v>
      </c>
      <c r="F224" s="175">
        <f>VLOOKUP(E224,'Deck Tally'!$B$5:$C$274,2,0)-0.46</f>
        <v>33.935000000000002</v>
      </c>
      <c r="G224" s="199">
        <f t="shared" si="26"/>
        <v>33.529499999999999</v>
      </c>
      <c r="H224" s="175" t="s">
        <v>68</v>
      </c>
      <c r="I224" s="176">
        <f t="shared" si="27"/>
        <v>6694.9505000000036</v>
      </c>
      <c r="J224" s="176">
        <f t="shared" si="28"/>
        <v>13033.629499999999</v>
      </c>
      <c r="K224" s="177">
        <f t="shared" si="25"/>
        <v>242.66634000267388</v>
      </c>
      <c r="L224" s="378"/>
      <c r="M224" s="379"/>
      <c r="N224" s="59"/>
      <c r="O224" s="59"/>
      <c r="P224" s="59"/>
      <c r="Q224" s="59"/>
      <c r="R224" s="59"/>
      <c r="S224" s="59"/>
      <c r="T224" s="60"/>
      <c r="U224" s="60"/>
    </row>
    <row r="225" spans="2:21" s="52" customFormat="1" ht="13.5" customHeight="1">
      <c r="B225" s="180">
        <f t="shared" si="23"/>
        <v>195</v>
      </c>
      <c r="C225" s="172">
        <v>2</v>
      </c>
      <c r="D225" s="173" t="s">
        <v>67</v>
      </c>
      <c r="E225" s="174">
        <f t="shared" si="24"/>
        <v>195</v>
      </c>
      <c r="F225" s="175">
        <f>VLOOKUP(E225,'Deck Tally'!$B$5:$C$274,2,0)-0.46</f>
        <v>33.935000000000002</v>
      </c>
      <c r="G225" s="199">
        <f t="shared" si="26"/>
        <v>33.529499999999999</v>
      </c>
      <c r="H225" s="175" t="s">
        <v>68</v>
      </c>
      <c r="I225" s="175">
        <f t="shared" si="27"/>
        <v>6728.4800000000032</v>
      </c>
      <c r="J225" s="175">
        <f t="shared" si="28"/>
        <v>13000.099999999999</v>
      </c>
      <c r="K225" s="177">
        <f t="shared" si="25"/>
        <v>243.45596100840345</v>
      </c>
      <c r="L225" s="378"/>
      <c r="M225" s="379"/>
      <c r="N225" s="59"/>
      <c r="O225" s="59"/>
      <c r="P225" s="59"/>
      <c r="Q225" s="59"/>
      <c r="R225" s="59"/>
      <c r="S225" s="59"/>
      <c r="T225" s="60"/>
      <c r="U225" s="60"/>
    </row>
    <row r="226" spans="2:21" s="52" customFormat="1" ht="13.5" customHeight="1">
      <c r="B226" s="180">
        <f t="shared" si="23"/>
        <v>196</v>
      </c>
      <c r="C226" s="172">
        <v>2</v>
      </c>
      <c r="D226" s="173" t="s">
        <v>67</v>
      </c>
      <c r="E226" s="174">
        <f t="shared" si="24"/>
        <v>196</v>
      </c>
      <c r="F226" s="175">
        <f>VLOOKUP(E226,'Deck Tally'!$B$5:$C$274,2,0)-0.46</f>
        <v>33.93</v>
      </c>
      <c r="G226" s="199">
        <f t="shared" si="26"/>
        <v>33.524500000000003</v>
      </c>
      <c r="H226" s="175" t="s">
        <v>68</v>
      </c>
      <c r="I226" s="175">
        <f t="shared" si="27"/>
        <v>6762.0045000000036</v>
      </c>
      <c r="J226" s="175">
        <f t="shared" si="28"/>
        <v>12966.575499999999</v>
      </c>
      <c r="K226" s="177">
        <f t="shared" si="25"/>
        <v>244.24546426394204</v>
      </c>
      <c r="L226" s="378"/>
      <c r="M226" s="379"/>
      <c r="N226" s="59"/>
      <c r="O226" s="59"/>
      <c r="P226" s="59"/>
      <c r="Q226" s="59"/>
      <c r="R226" s="59"/>
      <c r="S226" s="59"/>
      <c r="T226" s="60"/>
      <c r="U226" s="60"/>
    </row>
    <row r="227" spans="2:21" s="52" customFormat="1" ht="13.5" customHeight="1">
      <c r="B227" s="180">
        <f t="shared" si="23"/>
        <v>197</v>
      </c>
      <c r="C227" s="172">
        <v>2</v>
      </c>
      <c r="D227" s="173" t="s">
        <v>67</v>
      </c>
      <c r="E227" s="174">
        <f t="shared" si="24"/>
        <v>197</v>
      </c>
      <c r="F227" s="175">
        <f>VLOOKUP(E227,'Deck Tally'!$B$5:$C$274,2,0)</f>
        <v>33.049999999999997</v>
      </c>
      <c r="G227" s="176">
        <f t="shared" si="26"/>
        <v>32.644499999999994</v>
      </c>
      <c r="H227" s="175" t="s">
        <v>68</v>
      </c>
      <c r="I227" s="175">
        <f t="shared" si="27"/>
        <v>6794.649000000004</v>
      </c>
      <c r="J227" s="175">
        <f t="shared" si="28"/>
        <v>12933.930999999997</v>
      </c>
      <c r="K227" s="177">
        <f t="shared" si="25"/>
        <v>245.01424348586715</v>
      </c>
      <c r="L227" s="378"/>
      <c r="M227" s="379"/>
      <c r="N227" s="59"/>
      <c r="O227" s="185"/>
      <c r="P227" s="59"/>
      <c r="Q227" s="59"/>
      <c r="R227" s="59"/>
      <c r="S227" s="59"/>
      <c r="T227" s="60"/>
      <c r="U227" s="60"/>
    </row>
    <row r="228" spans="2:21" s="52" customFormat="1" ht="13.5" customHeight="1">
      <c r="B228" s="180">
        <f t="shared" si="23"/>
        <v>198</v>
      </c>
      <c r="C228" s="172">
        <v>2</v>
      </c>
      <c r="D228" s="173" t="s">
        <v>67</v>
      </c>
      <c r="E228" s="174">
        <f t="shared" si="24"/>
        <v>198</v>
      </c>
      <c r="F228" s="175">
        <f>VLOOKUP(E228,'Deck Tally'!$B$5:$C$274,2,0)-0.46</f>
        <v>33.935000000000002</v>
      </c>
      <c r="G228" s="199">
        <f t="shared" si="26"/>
        <v>33.529499999999999</v>
      </c>
      <c r="H228" s="175" t="s">
        <v>68</v>
      </c>
      <c r="I228" s="175">
        <f t="shared" si="27"/>
        <v>6828.1785000000036</v>
      </c>
      <c r="J228" s="175">
        <f t="shared" si="28"/>
        <v>12900.401499999998</v>
      </c>
      <c r="K228" s="177">
        <f t="shared" si="25"/>
        <v>245.80386449159673</v>
      </c>
      <c r="L228" s="378"/>
      <c r="M228" s="379"/>
      <c r="N228" s="59"/>
      <c r="O228" s="59"/>
      <c r="P228" s="59"/>
      <c r="Q228" s="59"/>
      <c r="R228" s="59"/>
      <c r="S228" s="59"/>
      <c r="T228" s="60"/>
      <c r="U228" s="60"/>
    </row>
    <row r="229" spans="2:21" s="52" customFormat="1" ht="13.5" customHeight="1">
      <c r="B229" s="180">
        <f t="shared" si="23"/>
        <v>199</v>
      </c>
      <c r="C229" s="174">
        <v>2</v>
      </c>
      <c r="D229" s="209" t="s">
        <v>67</v>
      </c>
      <c r="E229" s="174">
        <f t="shared" si="24"/>
        <v>199</v>
      </c>
      <c r="F229" s="175">
        <f>VLOOKUP(E229,'Deck Tally'!$B$5:$C$274,2,0)-0.46</f>
        <v>33.92</v>
      </c>
      <c r="G229" s="199">
        <f t="shared" si="26"/>
        <v>33.514499999999998</v>
      </c>
      <c r="H229" s="175" t="s">
        <v>68</v>
      </c>
      <c r="I229" s="175">
        <f t="shared" si="27"/>
        <v>6861.6930000000038</v>
      </c>
      <c r="J229" s="175">
        <f t="shared" si="28"/>
        <v>12866.886999999999</v>
      </c>
      <c r="K229" s="205">
        <f t="shared" si="25"/>
        <v>246.59313224675336</v>
      </c>
      <c r="L229" s="378"/>
      <c r="M229" s="379"/>
      <c r="N229" s="59"/>
      <c r="O229" s="59"/>
      <c r="P229" s="59"/>
      <c r="Q229" s="59"/>
      <c r="R229" s="59"/>
      <c r="S229" s="59"/>
      <c r="T229" s="60"/>
      <c r="U229" s="60"/>
    </row>
    <row r="230" spans="2:21" s="52" customFormat="1" ht="13.5" customHeight="1">
      <c r="B230" s="180">
        <f t="shared" si="23"/>
        <v>200</v>
      </c>
      <c r="C230" s="174">
        <v>2</v>
      </c>
      <c r="D230" s="209" t="s">
        <v>67</v>
      </c>
      <c r="E230" s="174">
        <f t="shared" si="24"/>
        <v>200</v>
      </c>
      <c r="F230" s="175">
        <f>VLOOKUP(E230,'Deck Tally'!$B$5:$C$274,2,0)-0.46</f>
        <v>33.954999999999998</v>
      </c>
      <c r="G230" s="199">
        <f t="shared" si="26"/>
        <v>33.549499999999995</v>
      </c>
      <c r="H230" s="175" t="s">
        <v>68</v>
      </c>
      <c r="I230" s="175">
        <f t="shared" si="27"/>
        <v>6895.2425000000039</v>
      </c>
      <c r="J230" s="175">
        <f t="shared" si="28"/>
        <v>12833.337499999998</v>
      </c>
      <c r="K230" s="205">
        <f t="shared" si="25"/>
        <v>247.38322425324685</v>
      </c>
      <c r="L230" s="378"/>
      <c r="M230" s="379"/>
      <c r="N230" s="59"/>
      <c r="O230" s="59"/>
      <c r="P230" s="59"/>
      <c r="Q230" s="59"/>
      <c r="R230" s="59"/>
      <c r="S230" s="59"/>
      <c r="T230" s="60"/>
      <c r="U230" s="60"/>
    </row>
    <row r="231" spans="2:21" s="52" customFormat="1" ht="13.5" customHeight="1">
      <c r="B231" s="180">
        <f t="shared" si="23"/>
        <v>201</v>
      </c>
      <c r="C231" s="174">
        <v>2</v>
      </c>
      <c r="D231" s="209" t="s">
        <v>67</v>
      </c>
      <c r="E231" s="174">
        <f t="shared" si="24"/>
        <v>201</v>
      </c>
      <c r="F231" s="175">
        <f>VLOOKUP(E231,'Deck Tally'!$B$5:$C$274,2,0)-0.46</f>
        <v>33.954999999999998</v>
      </c>
      <c r="G231" s="199">
        <f t="shared" si="26"/>
        <v>33.549499999999995</v>
      </c>
      <c r="H231" s="175" t="s">
        <v>68</v>
      </c>
      <c r="I231" s="175">
        <f t="shared" si="27"/>
        <v>6928.792000000004</v>
      </c>
      <c r="J231" s="176">
        <f t="shared" si="28"/>
        <v>12799.787999999997</v>
      </c>
      <c r="K231" s="205">
        <f t="shared" si="25"/>
        <v>248.17331625974035</v>
      </c>
      <c r="L231" s="378"/>
      <c r="M231" s="379"/>
      <c r="N231" s="59"/>
      <c r="O231" s="59"/>
      <c r="P231" s="59"/>
      <c r="Q231" s="59"/>
      <c r="R231" s="59"/>
      <c r="S231" s="59"/>
      <c r="T231" s="60"/>
      <c r="U231" s="60"/>
    </row>
    <row r="232" spans="2:21" s="52" customFormat="1" ht="13.5" customHeight="1">
      <c r="B232" s="180">
        <f t="shared" si="23"/>
        <v>202</v>
      </c>
      <c r="C232" s="174">
        <v>2</v>
      </c>
      <c r="D232" s="209" t="s">
        <v>67</v>
      </c>
      <c r="E232" s="174">
        <f t="shared" si="24"/>
        <v>202</v>
      </c>
      <c r="F232" s="175">
        <f>VLOOKUP(E232,'Deck Tally'!$B$5:$C$274,2,0)-0.46</f>
        <v>33.949999999999996</v>
      </c>
      <c r="G232" s="199">
        <f t="shared" si="26"/>
        <v>33.544499999999999</v>
      </c>
      <c r="H232" s="175" t="s">
        <v>68</v>
      </c>
      <c r="I232" s="175">
        <f t="shared" si="27"/>
        <v>6962.336500000004</v>
      </c>
      <c r="J232" s="175">
        <f t="shared" si="28"/>
        <v>12766.243499999997</v>
      </c>
      <c r="K232" s="205">
        <f t="shared" si="25"/>
        <v>248.96329051604289</v>
      </c>
      <c r="L232" s="378"/>
      <c r="M232" s="379"/>
      <c r="N232" s="59"/>
      <c r="Q232" s="59"/>
      <c r="R232" s="59"/>
      <c r="S232" s="59"/>
      <c r="T232" s="60"/>
      <c r="U232" s="60"/>
    </row>
    <row r="233" spans="2:21" s="52" customFormat="1" ht="13.5" customHeight="1">
      <c r="B233" s="180">
        <f t="shared" ref="B233:B264" si="29">B232+1</f>
        <v>203</v>
      </c>
      <c r="C233" s="174">
        <v>2</v>
      </c>
      <c r="D233" s="209" t="s">
        <v>67</v>
      </c>
      <c r="E233" s="174">
        <f t="shared" si="24"/>
        <v>203</v>
      </c>
      <c r="F233" s="175">
        <f>VLOOKUP(E233,'Deck Tally'!$B$5:$C$274,2,0)-0.46</f>
        <v>33.92</v>
      </c>
      <c r="G233" s="199">
        <f t="shared" si="26"/>
        <v>33.514499999999998</v>
      </c>
      <c r="H233" s="175" t="s">
        <v>68</v>
      </c>
      <c r="I233" s="175">
        <f t="shared" si="27"/>
        <v>6995.8510000000042</v>
      </c>
      <c r="J233" s="175">
        <f t="shared" si="28"/>
        <v>12732.728999999998</v>
      </c>
      <c r="K233" s="205">
        <f t="shared" si="25"/>
        <v>249.75255827119949</v>
      </c>
      <c r="N233" s="59"/>
      <c r="O233" s="59"/>
      <c r="P233" s="59"/>
      <c r="Q233" s="59"/>
      <c r="R233" s="59"/>
      <c r="S233" s="59"/>
      <c r="T233" s="60"/>
      <c r="U233" s="60"/>
    </row>
    <row r="234" spans="2:21" s="52" customFormat="1" ht="13.5" customHeight="1">
      <c r="B234" s="180">
        <f t="shared" si="29"/>
        <v>204</v>
      </c>
      <c r="C234" s="174">
        <v>2</v>
      </c>
      <c r="D234" s="209" t="s">
        <v>67</v>
      </c>
      <c r="E234" s="174">
        <f t="shared" si="24"/>
        <v>204</v>
      </c>
      <c r="F234" s="175">
        <f>VLOOKUP(E234,'Deck Tally'!$B$5:$C$274,2,0)-0.46</f>
        <v>33.92</v>
      </c>
      <c r="G234" s="199">
        <f t="shared" si="26"/>
        <v>33.514499999999998</v>
      </c>
      <c r="H234" s="175" t="s">
        <v>68</v>
      </c>
      <c r="I234" s="175">
        <f t="shared" si="27"/>
        <v>7029.3655000000044</v>
      </c>
      <c r="J234" s="175">
        <f t="shared" si="28"/>
        <v>12699.214499999998</v>
      </c>
      <c r="K234" s="205">
        <f t="shared" si="25"/>
        <v>250.54182602635612</v>
      </c>
      <c r="L234" s="178"/>
      <c r="M234" s="179"/>
      <c r="N234" s="59"/>
      <c r="O234" s="59"/>
      <c r="P234" s="59"/>
      <c r="Q234" s="59"/>
      <c r="R234" s="59"/>
      <c r="S234" s="59"/>
      <c r="T234" s="60"/>
      <c r="U234" s="60"/>
    </row>
    <row r="235" spans="2:21" s="52" customFormat="1" ht="13.5" customHeight="1">
      <c r="B235" s="180">
        <f t="shared" si="29"/>
        <v>205</v>
      </c>
      <c r="C235" s="174">
        <v>2</v>
      </c>
      <c r="D235" s="209" t="s">
        <v>67</v>
      </c>
      <c r="E235" s="174">
        <f t="shared" si="24"/>
        <v>205</v>
      </c>
      <c r="F235" s="175">
        <f>VLOOKUP(E235,'Deck Tally'!$B$5:$C$274,2,0)</f>
        <v>33.945</v>
      </c>
      <c r="G235" s="175">
        <f t="shared" si="26"/>
        <v>33.539500000000004</v>
      </c>
      <c r="H235" s="175" t="s">
        <v>68</v>
      </c>
      <c r="I235" s="175">
        <f t="shared" si="27"/>
        <v>7062.9050000000043</v>
      </c>
      <c r="J235" s="175">
        <f t="shared" si="28"/>
        <v>12665.674999999997</v>
      </c>
      <c r="K235" s="205">
        <f t="shared" si="25"/>
        <v>251.33168253246762</v>
      </c>
      <c r="L235" s="178"/>
      <c r="M235" s="179"/>
      <c r="N235" s="59"/>
      <c r="O235" s="59"/>
      <c r="P235" s="59"/>
      <c r="Q235" s="59"/>
      <c r="R235" s="59"/>
      <c r="S235" s="59"/>
      <c r="T235" s="60"/>
      <c r="U235" s="60"/>
    </row>
    <row r="236" spans="2:21" s="52" customFormat="1" ht="13.5" customHeight="1">
      <c r="B236" s="180">
        <f t="shared" si="29"/>
        <v>206</v>
      </c>
      <c r="C236" s="174">
        <v>2</v>
      </c>
      <c r="D236" s="209" t="s">
        <v>67</v>
      </c>
      <c r="E236" s="174">
        <f t="shared" si="24"/>
        <v>206</v>
      </c>
      <c r="F236" s="175">
        <f>VLOOKUP(E236,'Deck Tally'!$B$5:$C$274,2,0)</f>
        <v>32.200000000000003</v>
      </c>
      <c r="G236" s="175">
        <f t="shared" si="26"/>
        <v>31.794500000000003</v>
      </c>
      <c r="H236" s="175" t="s">
        <v>68</v>
      </c>
      <c r="I236" s="175">
        <f t="shared" si="27"/>
        <v>7094.6995000000043</v>
      </c>
      <c r="J236" s="175">
        <f t="shared" si="28"/>
        <v>12633.880499999997</v>
      </c>
      <c r="K236" s="205">
        <f t="shared" si="25"/>
        <v>252.08044422192523</v>
      </c>
      <c r="L236" s="178"/>
      <c r="M236" s="179"/>
      <c r="N236" s="59"/>
      <c r="O236" s="59"/>
      <c r="P236" s="59"/>
      <c r="Q236" s="59"/>
      <c r="R236" s="59"/>
      <c r="S236" s="59"/>
      <c r="T236" s="60"/>
      <c r="U236" s="60"/>
    </row>
    <row r="237" spans="2:21" s="52" customFormat="1" ht="13.5" customHeight="1">
      <c r="B237" s="180">
        <f t="shared" si="29"/>
        <v>207</v>
      </c>
      <c r="C237" s="174">
        <v>2</v>
      </c>
      <c r="D237" s="209" t="s">
        <v>67</v>
      </c>
      <c r="E237" s="174">
        <f t="shared" ref="E237:E268" si="30">E236+1</f>
        <v>207</v>
      </c>
      <c r="F237" s="175">
        <f>VLOOKUP(E237,'Deck Tally'!$B$5:$C$274,2,0)</f>
        <v>33.965000000000003</v>
      </c>
      <c r="G237" s="175">
        <f t="shared" si="26"/>
        <v>33.5595</v>
      </c>
      <c r="H237" s="175" t="s">
        <v>68</v>
      </c>
      <c r="I237" s="175">
        <f t="shared" si="27"/>
        <v>7128.2590000000046</v>
      </c>
      <c r="J237" s="175">
        <f t="shared" si="28"/>
        <v>12600.320999999996</v>
      </c>
      <c r="K237" s="205">
        <f t="shared" si="25"/>
        <v>252.87077172880072</v>
      </c>
      <c r="L237" s="178"/>
      <c r="M237" s="179"/>
      <c r="N237" s="59"/>
      <c r="O237" s="59"/>
      <c r="P237" s="59"/>
      <c r="Q237" s="59"/>
      <c r="R237" s="59"/>
      <c r="S237" s="59"/>
      <c r="T237" s="60"/>
      <c r="U237" s="60"/>
    </row>
    <row r="238" spans="2:21" s="52" customFormat="1" ht="13.5" customHeight="1">
      <c r="B238" s="180">
        <f t="shared" si="29"/>
        <v>208</v>
      </c>
      <c r="C238" s="174">
        <v>2</v>
      </c>
      <c r="D238" s="209" t="s">
        <v>67</v>
      </c>
      <c r="E238" s="174">
        <f t="shared" si="30"/>
        <v>208</v>
      </c>
      <c r="F238" s="175">
        <f>VLOOKUP(E238,'Deck Tally'!$B$5:$C$274,2,0)</f>
        <v>33.950000000000003</v>
      </c>
      <c r="G238" s="175">
        <f t="shared" si="26"/>
        <v>33.544499999999999</v>
      </c>
      <c r="H238" s="175" t="s">
        <v>68</v>
      </c>
      <c r="I238" s="175">
        <f t="shared" si="27"/>
        <v>7161.8035000000045</v>
      </c>
      <c r="J238" s="175">
        <f t="shared" si="28"/>
        <v>12566.776499999996</v>
      </c>
      <c r="K238" s="205">
        <f t="shared" si="25"/>
        <v>253.66074598510323</v>
      </c>
      <c r="L238" s="178"/>
      <c r="M238" s="179"/>
      <c r="N238" s="59"/>
      <c r="O238" s="59"/>
      <c r="P238" s="59"/>
      <c r="Q238" s="59"/>
      <c r="R238" s="59"/>
      <c r="S238" s="59"/>
      <c r="T238" s="60"/>
      <c r="U238" s="60"/>
    </row>
    <row r="239" spans="2:21" s="52" customFormat="1" ht="13.5" customHeight="1">
      <c r="B239" s="180">
        <f t="shared" si="29"/>
        <v>209</v>
      </c>
      <c r="C239" s="174">
        <v>2</v>
      </c>
      <c r="D239" s="209" t="s">
        <v>67</v>
      </c>
      <c r="E239" s="174">
        <f t="shared" si="30"/>
        <v>209</v>
      </c>
      <c r="F239" s="175">
        <f>VLOOKUP(E239,'Deck Tally'!$B$5:$C$274,2,0)</f>
        <v>33.954999999999998</v>
      </c>
      <c r="G239" s="175">
        <f t="shared" si="26"/>
        <v>33.549499999999995</v>
      </c>
      <c r="H239" s="175" t="s">
        <v>68</v>
      </c>
      <c r="I239" s="175">
        <f t="shared" si="27"/>
        <v>7195.3530000000046</v>
      </c>
      <c r="J239" s="175">
        <f t="shared" si="28"/>
        <v>12533.226999999997</v>
      </c>
      <c r="K239" s="205">
        <f t="shared" si="25"/>
        <v>254.45083799159676</v>
      </c>
      <c r="L239" s="478"/>
      <c r="M239" s="479"/>
      <c r="N239" s="59"/>
      <c r="O239" s="59"/>
      <c r="P239" s="59"/>
      <c r="Q239" s="59"/>
      <c r="R239" s="59"/>
      <c r="S239" s="59"/>
      <c r="T239" s="60"/>
      <c r="U239" s="60"/>
    </row>
    <row r="240" spans="2:21" s="52" customFormat="1" ht="13.5" customHeight="1">
      <c r="B240" s="180">
        <f t="shared" si="29"/>
        <v>210</v>
      </c>
      <c r="C240" s="174">
        <v>2</v>
      </c>
      <c r="D240" s="209" t="s">
        <v>67</v>
      </c>
      <c r="E240" s="174">
        <f t="shared" si="30"/>
        <v>210</v>
      </c>
      <c r="F240" s="175">
        <f>VLOOKUP(E240,'Deck Tally'!$B$5:$C$274,2,0)</f>
        <v>33.945</v>
      </c>
      <c r="G240" s="175">
        <f t="shared" si="26"/>
        <v>33.539500000000004</v>
      </c>
      <c r="H240" s="175" t="s">
        <v>68</v>
      </c>
      <c r="I240" s="175">
        <f t="shared" si="27"/>
        <v>7228.8925000000045</v>
      </c>
      <c r="J240" s="175">
        <f t="shared" si="28"/>
        <v>12499.687499999996</v>
      </c>
      <c r="K240" s="205">
        <f t="shared" si="25"/>
        <v>255.24069449770829</v>
      </c>
      <c r="L240" s="480"/>
      <c r="M240" s="481"/>
      <c r="N240" s="59"/>
      <c r="O240" s="59"/>
      <c r="P240" s="59"/>
      <c r="Q240" s="59"/>
      <c r="R240" s="59"/>
      <c r="S240" s="59"/>
      <c r="T240" s="60"/>
      <c r="U240" s="60"/>
    </row>
    <row r="241" spans="2:21" s="52" customFormat="1" ht="13.5" customHeight="1">
      <c r="B241" s="180">
        <f t="shared" si="29"/>
        <v>211</v>
      </c>
      <c r="C241" s="174">
        <v>2</v>
      </c>
      <c r="D241" s="209" t="s">
        <v>67</v>
      </c>
      <c r="E241" s="174">
        <f t="shared" si="30"/>
        <v>211</v>
      </c>
      <c r="F241" s="175">
        <f>VLOOKUP(E241,'Deck Tally'!$B$5:$C$274,2,0)</f>
        <v>32.6</v>
      </c>
      <c r="G241" s="175">
        <f t="shared" si="26"/>
        <v>32.194500000000005</v>
      </c>
      <c r="H241" s="175" t="s">
        <v>68</v>
      </c>
      <c r="I241" s="175">
        <f t="shared" si="27"/>
        <v>7261.0870000000041</v>
      </c>
      <c r="J241" s="175">
        <f t="shared" si="28"/>
        <v>12467.492999999999</v>
      </c>
      <c r="K241" s="205">
        <f t="shared" si="25"/>
        <v>255.99887620244473</v>
      </c>
      <c r="L241" s="478"/>
      <c r="M241" s="479"/>
      <c r="N241" s="59"/>
      <c r="O241" s="59"/>
      <c r="P241" s="59"/>
      <c r="Q241" s="59"/>
      <c r="R241" s="59"/>
      <c r="S241" s="59"/>
      <c r="T241" s="60"/>
      <c r="U241" s="60"/>
    </row>
    <row r="242" spans="2:21" s="52" customFormat="1" ht="13.5" customHeight="1">
      <c r="B242" s="180">
        <f t="shared" si="29"/>
        <v>212</v>
      </c>
      <c r="C242" s="174">
        <v>2</v>
      </c>
      <c r="D242" s="209" t="s">
        <v>67</v>
      </c>
      <c r="E242" s="174">
        <f t="shared" si="30"/>
        <v>212</v>
      </c>
      <c r="F242" s="175">
        <f>VLOOKUP(E242,'Deck Tally'!$B$5:$C$274,2,0)</f>
        <v>33.1</v>
      </c>
      <c r="G242" s="175">
        <f t="shared" ref="G242:G273" si="31">F242-($E$11/12)</f>
        <v>32.694500000000005</v>
      </c>
      <c r="H242" s="175" t="s">
        <v>68</v>
      </c>
      <c r="I242" s="175">
        <f t="shared" si="27"/>
        <v>7293.7815000000037</v>
      </c>
      <c r="J242" s="175">
        <f t="shared" si="28"/>
        <v>12434.798499999997</v>
      </c>
      <c r="K242" s="205">
        <f t="shared" si="25"/>
        <v>256.76883292627969</v>
      </c>
      <c r="L242" s="478"/>
      <c r="M242" s="479"/>
      <c r="N242" s="59"/>
      <c r="O242" s="59"/>
      <c r="P242" s="59"/>
      <c r="Q242" s="59"/>
      <c r="R242" s="59"/>
      <c r="S242" s="59"/>
      <c r="T242" s="60"/>
      <c r="U242" s="60"/>
    </row>
    <row r="243" spans="2:21" s="52" customFormat="1" ht="13.5" customHeight="1">
      <c r="B243" s="180">
        <f t="shared" si="29"/>
        <v>213</v>
      </c>
      <c r="C243" s="174">
        <v>2</v>
      </c>
      <c r="D243" s="209" t="s">
        <v>67</v>
      </c>
      <c r="E243" s="174">
        <f t="shared" si="30"/>
        <v>213</v>
      </c>
      <c r="F243" s="175">
        <f>VLOOKUP(E243,'Deck Tally'!$B$5:$C$274,2,0)</f>
        <v>33.954999999999998</v>
      </c>
      <c r="G243" s="175">
        <f t="shared" si="31"/>
        <v>33.549499999999995</v>
      </c>
      <c r="H243" s="175" t="s">
        <v>68</v>
      </c>
      <c r="I243" s="175">
        <f t="shared" si="27"/>
        <v>7327.3310000000038</v>
      </c>
      <c r="J243" s="175">
        <f t="shared" si="28"/>
        <v>12401.248999999998</v>
      </c>
      <c r="K243" s="205">
        <f t="shared" si="25"/>
        <v>257.55892493277321</v>
      </c>
      <c r="L243" s="478"/>
      <c r="M243" s="479"/>
      <c r="N243" s="59"/>
      <c r="O243" s="59"/>
      <c r="P243" s="59"/>
      <c r="Q243" s="59"/>
      <c r="R243" s="59"/>
      <c r="S243" s="59"/>
      <c r="T243" s="60"/>
      <c r="U243" s="60"/>
    </row>
    <row r="244" spans="2:21" s="52" customFormat="1" ht="13.5" customHeight="1">
      <c r="B244" s="180">
        <f t="shared" si="29"/>
        <v>214</v>
      </c>
      <c r="C244" s="174">
        <v>2</v>
      </c>
      <c r="D244" s="209" t="s">
        <v>67</v>
      </c>
      <c r="E244" s="174">
        <f t="shared" si="30"/>
        <v>214</v>
      </c>
      <c r="F244" s="175">
        <f>VLOOKUP(E244,'Deck Tally'!$B$5:$C$274,2,0)</f>
        <v>33.950000000000003</v>
      </c>
      <c r="G244" s="175">
        <f t="shared" si="31"/>
        <v>33.544499999999999</v>
      </c>
      <c r="H244" s="175" t="s">
        <v>68</v>
      </c>
      <c r="I244" s="175">
        <f t="shared" si="27"/>
        <v>7360.8755000000037</v>
      </c>
      <c r="J244" s="175">
        <f t="shared" si="28"/>
        <v>12367.704499999998</v>
      </c>
      <c r="K244" s="205">
        <f t="shared" si="25"/>
        <v>258.34889918907572</v>
      </c>
      <c r="L244" s="478"/>
      <c r="M244" s="479"/>
      <c r="N244" s="59"/>
      <c r="O244" s="59"/>
      <c r="P244" s="59"/>
      <c r="Q244" s="59"/>
      <c r="R244" s="59"/>
      <c r="S244" s="59"/>
      <c r="T244" s="60"/>
      <c r="U244" s="60"/>
    </row>
    <row r="245" spans="2:21" s="52" customFormat="1" ht="13.5" customHeight="1">
      <c r="B245" s="180">
        <f t="shared" si="29"/>
        <v>215</v>
      </c>
      <c r="C245" s="174">
        <v>2</v>
      </c>
      <c r="D245" s="209" t="s">
        <v>67</v>
      </c>
      <c r="E245" s="174">
        <f t="shared" si="30"/>
        <v>215</v>
      </c>
      <c r="F245" s="175">
        <f>VLOOKUP(E245,'Deck Tally'!$B$5:$C$274,2,0)</f>
        <v>33.96</v>
      </c>
      <c r="G245" s="175">
        <f t="shared" si="31"/>
        <v>33.554500000000004</v>
      </c>
      <c r="H245" s="175" t="s">
        <v>68</v>
      </c>
      <c r="I245" s="175">
        <f t="shared" si="27"/>
        <v>7394.4300000000039</v>
      </c>
      <c r="J245" s="175">
        <f t="shared" si="28"/>
        <v>12334.149999999998</v>
      </c>
      <c r="K245" s="205">
        <f t="shared" si="25"/>
        <v>259.1391089457602</v>
      </c>
      <c r="L245" s="478"/>
      <c r="M245" s="479">
        <f>J243-4</f>
        <v>12397.248999999998</v>
      </c>
      <c r="N245" s="59"/>
      <c r="O245" s="187"/>
      <c r="P245" s="59"/>
      <c r="Q245" s="59"/>
      <c r="R245" s="59"/>
      <c r="S245" s="59"/>
      <c r="T245" s="60"/>
      <c r="U245" s="60"/>
    </row>
    <row r="246" spans="2:21" s="52" customFormat="1" ht="13.5" customHeight="1">
      <c r="B246" s="180">
        <f t="shared" si="29"/>
        <v>216</v>
      </c>
      <c r="C246" s="174">
        <v>2</v>
      </c>
      <c r="D246" s="209" t="s">
        <v>67</v>
      </c>
      <c r="E246" s="174">
        <f t="shared" si="30"/>
        <v>216</v>
      </c>
      <c r="F246" s="175">
        <f>VLOOKUP(E246,'Deck Tally'!$B$5:$C$274,2,0)</f>
        <v>33.954999999999998</v>
      </c>
      <c r="G246" s="175">
        <f t="shared" si="31"/>
        <v>33.549499999999995</v>
      </c>
      <c r="H246" s="175" t="s">
        <v>68</v>
      </c>
      <c r="I246" s="175">
        <f t="shared" si="27"/>
        <v>7427.979500000004</v>
      </c>
      <c r="J246" s="175">
        <f t="shared" si="28"/>
        <v>12300.600499999997</v>
      </c>
      <c r="K246" s="205">
        <f t="shared" si="25"/>
        <v>259.92920095225372</v>
      </c>
      <c r="L246" s="478"/>
      <c r="M246" s="479"/>
      <c r="N246" s="59"/>
      <c r="O246" s="59"/>
      <c r="P246" s="59"/>
      <c r="Q246" s="59"/>
      <c r="R246" s="59"/>
      <c r="S246" s="59"/>
      <c r="T246" s="60"/>
      <c r="U246" s="60"/>
    </row>
    <row r="247" spans="2:21" s="52" customFormat="1" ht="13.5" customHeight="1">
      <c r="B247" s="180">
        <f t="shared" si="29"/>
        <v>217</v>
      </c>
      <c r="C247" s="174">
        <v>2</v>
      </c>
      <c r="D247" s="209" t="s">
        <v>67</v>
      </c>
      <c r="E247" s="174">
        <f t="shared" si="30"/>
        <v>217</v>
      </c>
      <c r="F247" s="175">
        <f>VLOOKUP(E247,'Deck Tally'!$B$5:$C$274,2,0)</f>
        <v>33.94</v>
      </c>
      <c r="G247" s="175">
        <f t="shared" si="31"/>
        <v>33.534499999999994</v>
      </c>
      <c r="H247" s="175" t="s">
        <v>68</v>
      </c>
      <c r="I247" s="175">
        <f t="shared" si="27"/>
        <v>7461.5140000000038</v>
      </c>
      <c r="J247" s="175">
        <f t="shared" si="28"/>
        <v>12267.065999999999</v>
      </c>
      <c r="K247" s="205">
        <f t="shared" si="25"/>
        <v>260.71893970817428</v>
      </c>
      <c r="L247" s="478"/>
      <c r="M247" s="479"/>
      <c r="N247" s="59"/>
      <c r="O247" s="59"/>
      <c r="P247" s="59"/>
      <c r="Q247" s="59"/>
      <c r="R247" s="59"/>
      <c r="S247" s="59"/>
      <c r="T247" s="60"/>
      <c r="U247" s="60"/>
    </row>
    <row r="248" spans="2:21" s="52" customFormat="1" ht="13.5" customHeight="1">
      <c r="B248" s="180">
        <f t="shared" si="29"/>
        <v>218</v>
      </c>
      <c r="C248" s="174">
        <v>2</v>
      </c>
      <c r="D248" s="209" t="s">
        <v>67</v>
      </c>
      <c r="E248" s="174">
        <f t="shared" si="30"/>
        <v>218</v>
      </c>
      <c r="F248" s="175">
        <f>VLOOKUP(E248,'Deck Tally'!$B$5:$C$274,2,0)</f>
        <v>32.56</v>
      </c>
      <c r="G248" s="175">
        <f t="shared" si="31"/>
        <v>32.154499999999999</v>
      </c>
      <c r="H248" s="175" t="s">
        <v>68</v>
      </c>
      <c r="I248" s="175">
        <f t="shared" si="27"/>
        <v>7493.6685000000034</v>
      </c>
      <c r="J248" s="175">
        <f t="shared" si="28"/>
        <v>12234.911499999998</v>
      </c>
      <c r="K248" s="205">
        <f t="shared" si="25"/>
        <v>261.47617941138282</v>
      </c>
      <c r="L248" s="478"/>
      <c r="M248" s="479"/>
      <c r="N248" s="59"/>
      <c r="O248" s="59"/>
      <c r="P248" s="59"/>
      <c r="Q248" s="59"/>
      <c r="R248" s="59"/>
      <c r="S248" s="59"/>
      <c r="T248" s="60"/>
      <c r="U248" s="60"/>
    </row>
    <row r="249" spans="2:21" s="52" customFormat="1" ht="13.5" customHeight="1">
      <c r="B249" s="180">
        <f t="shared" si="29"/>
        <v>219</v>
      </c>
      <c r="C249" s="174">
        <v>2</v>
      </c>
      <c r="D249" s="209" t="s">
        <v>67</v>
      </c>
      <c r="E249" s="174">
        <f t="shared" si="30"/>
        <v>219</v>
      </c>
      <c r="F249" s="175">
        <f>VLOOKUP(E249,'Deck Tally'!$B$5:$C$274,2,0)</f>
        <v>33.814999999999998</v>
      </c>
      <c r="G249" s="175">
        <f t="shared" si="31"/>
        <v>33.409499999999994</v>
      </c>
      <c r="H249" s="175" t="s">
        <v>68</v>
      </c>
      <c r="I249" s="175">
        <f t="shared" si="27"/>
        <v>7527.0780000000032</v>
      </c>
      <c r="J249" s="175">
        <f t="shared" si="28"/>
        <v>12201.501999999999</v>
      </c>
      <c r="K249" s="205">
        <f t="shared" si="25"/>
        <v>262.26297441252871</v>
      </c>
      <c r="L249" s="212"/>
      <c r="M249" s="213"/>
      <c r="N249" s="59"/>
      <c r="O249" s="59"/>
      <c r="P249" s="59"/>
      <c r="Q249" s="59"/>
      <c r="R249" s="59"/>
      <c r="S249" s="59"/>
      <c r="T249" s="60"/>
      <c r="U249" s="60"/>
    </row>
    <row r="250" spans="2:21" s="52" customFormat="1" ht="13.5" customHeight="1">
      <c r="B250" s="180">
        <f t="shared" si="29"/>
        <v>220</v>
      </c>
      <c r="C250" s="174">
        <v>2</v>
      </c>
      <c r="D250" s="209" t="s">
        <v>67</v>
      </c>
      <c r="E250" s="174">
        <f t="shared" si="30"/>
        <v>220</v>
      </c>
      <c r="F250" s="175">
        <f>VLOOKUP(E250,'Deck Tally'!$B$5:$C$274,2,0)</f>
        <v>33.94</v>
      </c>
      <c r="G250" s="175">
        <f t="shared" si="31"/>
        <v>33.534499999999994</v>
      </c>
      <c r="H250" s="175" t="s">
        <v>68</v>
      </c>
      <c r="I250" s="175">
        <f t="shared" si="27"/>
        <v>7560.6125000000029</v>
      </c>
      <c r="J250" s="175">
        <f t="shared" si="28"/>
        <v>12167.967499999999</v>
      </c>
      <c r="K250" s="205">
        <f t="shared" si="25"/>
        <v>263.05271316844926</v>
      </c>
      <c r="L250" s="178"/>
      <c r="M250" s="179"/>
      <c r="N250" s="59"/>
      <c r="O250" s="59"/>
      <c r="P250" s="59"/>
      <c r="Q250" s="59"/>
      <c r="R250" s="59"/>
      <c r="S250" s="59"/>
      <c r="T250" s="60"/>
      <c r="U250" s="60"/>
    </row>
    <row r="251" spans="2:21" s="52" customFormat="1" ht="13.5" customHeight="1">
      <c r="B251" s="180">
        <f t="shared" si="29"/>
        <v>221</v>
      </c>
      <c r="C251" s="174">
        <v>2</v>
      </c>
      <c r="D251" s="209" t="s">
        <v>67</v>
      </c>
      <c r="E251" s="174">
        <f t="shared" si="30"/>
        <v>221</v>
      </c>
      <c r="F251" s="175">
        <f>VLOOKUP(E251,'Deck Tally'!$B$5:$C$274,2,0)</f>
        <v>33.94</v>
      </c>
      <c r="G251" s="175">
        <f t="shared" si="31"/>
        <v>33.534499999999994</v>
      </c>
      <c r="H251" s="175" t="s">
        <v>68</v>
      </c>
      <c r="I251" s="175">
        <f t="shared" si="27"/>
        <v>7594.1470000000027</v>
      </c>
      <c r="J251" s="175">
        <f t="shared" si="28"/>
        <v>12134.432999999999</v>
      </c>
      <c r="K251" s="205">
        <f t="shared" si="25"/>
        <v>263.84245192436981</v>
      </c>
      <c r="L251" s="178"/>
      <c r="M251" s="179"/>
      <c r="N251" s="59"/>
      <c r="O251" s="59"/>
      <c r="P251" s="59"/>
      <c r="Q251" s="59"/>
      <c r="R251" s="59"/>
      <c r="S251" s="59"/>
      <c r="T251" s="60"/>
      <c r="U251" s="60"/>
    </row>
    <row r="252" spans="2:21" s="52" customFormat="1" ht="13.5" customHeight="1">
      <c r="B252" s="180">
        <f t="shared" si="29"/>
        <v>222</v>
      </c>
      <c r="C252" s="174">
        <v>2</v>
      </c>
      <c r="D252" s="209" t="s">
        <v>67</v>
      </c>
      <c r="E252" s="174">
        <f t="shared" si="30"/>
        <v>222</v>
      </c>
      <c r="F252" s="175">
        <f>VLOOKUP(E252,'Deck Tally'!$B$5:$C$274,2,0)</f>
        <v>33.94</v>
      </c>
      <c r="G252" s="175">
        <f t="shared" si="31"/>
        <v>33.534499999999994</v>
      </c>
      <c r="H252" s="175" t="s">
        <v>68</v>
      </c>
      <c r="I252" s="175">
        <f t="shared" si="27"/>
        <v>7627.6815000000024</v>
      </c>
      <c r="J252" s="175">
        <f t="shared" si="28"/>
        <v>12100.898499999999</v>
      </c>
      <c r="K252" s="205">
        <f t="shared" si="25"/>
        <v>264.63219068029036</v>
      </c>
      <c r="L252" s="478"/>
      <c r="M252" s="479"/>
      <c r="N252" s="59"/>
      <c r="O252" s="59"/>
      <c r="P252" s="59"/>
      <c r="Q252" s="59"/>
      <c r="R252" s="59"/>
      <c r="S252" s="59"/>
      <c r="T252" s="60"/>
      <c r="U252" s="60"/>
    </row>
    <row r="253" spans="2:21" s="52" customFormat="1" ht="13.5" customHeight="1">
      <c r="B253" s="180">
        <f t="shared" si="29"/>
        <v>223</v>
      </c>
      <c r="C253" s="174">
        <v>2</v>
      </c>
      <c r="D253" s="209" t="s">
        <v>67</v>
      </c>
      <c r="E253" s="174">
        <f t="shared" si="30"/>
        <v>223</v>
      </c>
      <c r="F253" s="175">
        <f>VLOOKUP(E253,'Deck Tally'!$B$5:$C$274,2,0)</f>
        <v>33.950000000000003</v>
      </c>
      <c r="G253" s="175">
        <f t="shared" si="31"/>
        <v>33.544499999999999</v>
      </c>
      <c r="H253" s="175" t="s">
        <v>68</v>
      </c>
      <c r="I253" s="175">
        <f t="shared" si="27"/>
        <v>7661.2260000000024</v>
      </c>
      <c r="J253" s="175">
        <f t="shared" si="28"/>
        <v>12067.353999999999</v>
      </c>
      <c r="K253" s="205">
        <f t="shared" si="25"/>
        <v>265.42216493659288</v>
      </c>
      <c r="L253" s="480"/>
      <c r="M253" s="481"/>
      <c r="N253" s="59"/>
      <c r="O253" s="59"/>
      <c r="P253" s="59"/>
      <c r="Q253" s="59"/>
      <c r="R253" s="59"/>
      <c r="S253" s="59"/>
      <c r="T253" s="60"/>
      <c r="U253" s="60"/>
    </row>
    <row r="254" spans="2:21" s="52" customFormat="1" ht="13.5" customHeight="1">
      <c r="B254" s="180">
        <f t="shared" si="29"/>
        <v>224</v>
      </c>
      <c r="C254" s="174">
        <v>2</v>
      </c>
      <c r="D254" s="209" t="s">
        <v>67</v>
      </c>
      <c r="E254" s="174">
        <f t="shared" si="30"/>
        <v>224</v>
      </c>
      <c r="F254" s="175">
        <f>VLOOKUP(E254,'Deck Tally'!$B$5:$C$274,2,0)</f>
        <v>33.950000000000003</v>
      </c>
      <c r="G254" s="175">
        <f t="shared" si="31"/>
        <v>33.544499999999999</v>
      </c>
      <c r="H254" s="175" t="s">
        <v>68</v>
      </c>
      <c r="I254" s="175">
        <f t="shared" si="27"/>
        <v>7694.7705000000024</v>
      </c>
      <c r="J254" s="175">
        <f t="shared" si="28"/>
        <v>12033.809499999999</v>
      </c>
      <c r="K254" s="205">
        <f t="shared" si="25"/>
        <v>266.21213919289539</v>
      </c>
      <c r="L254" s="212"/>
      <c r="M254" s="213"/>
      <c r="N254" s="59"/>
      <c r="O254" s="59"/>
      <c r="P254" s="59"/>
      <c r="Q254" s="59"/>
      <c r="R254" s="59"/>
      <c r="S254" s="59"/>
      <c r="T254" s="60"/>
      <c r="U254" s="60"/>
    </row>
    <row r="255" spans="2:21" s="52" customFormat="1" ht="13.5" customHeight="1">
      <c r="B255" s="180">
        <f t="shared" si="29"/>
        <v>225</v>
      </c>
      <c r="C255" s="174">
        <v>2</v>
      </c>
      <c r="D255" s="209" t="s">
        <v>67</v>
      </c>
      <c r="E255" s="174">
        <f t="shared" si="30"/>
        <v>225</v>
      </c>
      <c r="F255" s="175">
        <f>VLOOKUP(E255,'Deck Tally'!$B$5:$C$274,2,0)</f>
        <v>33.945</v>
      </c>
      <c r="G255" s="175">
        <f t="shared" si="31"/>
        <v>33.539500000000004</v>
      </c>
      <c r="H255" s="175" t="s">
        <v>68</v>
      </c>
      <c r="I255" s="175">
        <f t="shared" si="27"/>
        <v>7728.3100000000022</v>
      </c>
      <c r="J255" s="175">
        <f t="shared" si="28"/>
        <v>12000.27</v>
      </c>
      <c r="K255" s="205">
        <f t="shared" si="25"/>
        <v>267.00199569900695</v>
      </c>
      <c r="L255" s="212"/>
      <c r="M255" s="213"/>
      <c r="N255" s="59"/>
      <c r="O255" s="59"/>
      <c r="P255" s="59"/>
      <c r="Q255" s="59"/>
      <c r="R255" s="59"/>
      <c r="S255" s="59"/>
      <c r="T255" s="60"/>
      <c r="U255" s="60"/>
    </row>
    <row r="256" spans="2:21" s="52" customFormat="1" ht="13.5" customHeight="1">
      <c r="B256" s="180">
        <f t="shared" si="29"/>
        <v>226</v>
      </c>
      <c r="C256" s="174">
        <v>2</v>
      </c>
      <c r="D256" s="209" t="s">
        <v>67</v>
      </c>
      <c r="E256" s="174">
        <f t="shared" si="30"/>
        <v>226</v>
      </c>
      <c r="F256" s="175">
        <f>VLOOKUP(E256,'Deck Tally'!$B$5:$C$274,2,0)</f>
        <v>33.950000000000003</v>
      </c>
      <c r="G256" s="175">
        <f t="shared" si="31"/>
        <v>33.544499999999999</v>
      </c>
      <c r="H256" s="175" t="s">
        <v>68</v>
      </c>
      <c r="I256" s="175">
        <f t="shared" si="27"/>
        <v>7761.8545000000022</v>
      </c>
      <c r="J256" s="175">
        <f t="shared" si="28"/>
        <v>11966.7255</v>
      </c>
      <c r="K256" s="205">
        <f t="shared" si="25"/>
        <v>267.79196995530947</v>
      </c>
      <c r="L256" s="178"/>
      <c r="M256" s="179"/>
      <c r="N256" s="59"/>
      <c r="O256" s="59"/>
      <c r="P256" s="59"/>
      <c r="Q256" s="59"/>
      <c r="R256" s="59"/>
      <c r="S256" s="59"/>
      <c r="T256" s="60"/>
      <c r="U256" s="60"/>
    </row>
    <row r="257" spans="2:21" s="52" customFormat="1" ht="13.5" customHeight="1">
      <c r="B257" s="180">
        <f t="shared" si="29"/>
        <v>227</v>
      </c>
      <c r="C257" s="174">
        <v>2</v>
      </c>
      <c r="D257" s="209" t="s">
        <v>67</v>
      </c>
      <c r="E257" s="174">
        <f t="shared" si="30"/>
        <v>227</v>
      </c>
      <c r="F257" s="175">
        <f>VLOOKUP(E257,'Deck Tally'!$B$5:$C$274,2,0)</f>
        <v>33.950000000000003</v>
      </c>
      <c r="G257" s="175">
        <f t="shared" si="31"/>
        <v>33.544499999999999</v>
      </c>
      <c r="H257" s="175" t="s">
        <v>68</v>
      </c>
      <c r="I257" s="175">
        <f t="shared" si="27"/>
        <v>7795.3990000000022</v>
      </c>
      <c r="J257" s="175">
        <f t="shared" si="28"/>
        <v>11933.181</v>
      </c>
      <c r="K257" s="205">
        <f t="shared" si="25"/>
        <v>268.58194421161193</v>
      </c>
      <c r="L257" s="178"/>
      <c r="M257" s="179"/>
      <c r="N257" s="59"/>
      <c r="O257" s="59"/>
      <c r="P257" s="59"/>
      <c r="Q257" s="59"/>
      <c r="R257" s="59"/>
      <c r="S257" s="59"/>
      <c r="T257" s="60"/>
      <c r="U257" s="60"/>
    </row>
    <row r="258" spans="2:21" s="52" customFormat="1" ht="13.5" customHeight="1">
      <c r="B258" s="180">
        <f t="shared" si="29"/>
        <v>228</v>
      </c>
      <c r="C258" s="174">
        <v>2</v>
      </c>
      <c r="D258" s="209" t="s">
        <v>67</v>
      </c>
      <c r="E258" s="174">
        <f t="shared" si="30"/>
        <v>228</v>
      </c>
      <c r="F258" s="175">
        <f>VLOOKUP(E258,'Deck Tally'!$B$5:$C$274,2,0)</f>
        <v>33.950000000000003</v>
      </c>
      <c r="G258" s="175">
        <f t="shared" si="31"/>
        <v>33.544499999999999</v>
      </c>
      <c r="H258" s="175" t="s">
        <v>68</v>
      </c>
      <c r="I258" s="175">
        <f t="shared" si="27"/>
        <v>7828.9435000000021</v>
      </c>
      <c r="J258" s="175">
        <f t="shared" si="28"/>
        <v>11899.636500000001</v>
      </c>
      <c r="K258" s="205">
        <f t="shared" si="25"/>
        <v>269.3719184679145</v>
      </c>
      <c r="L258" s="214"/>
      <c r="M258" s="215"/>
      <c r="N258" s="59"/>
      <c r="O258" s="59"/>
      <c r="P258" s="59"/>
      <c r="Q258" s="59"/>
      <c r="R258" s="59"/>
      <c r="S258" s="59"/>
      <c r="T258" s="60"/>
      <c r="U258" s="60"/>
    </row>
    <row r="259" spans="2:21" s="52" customFormat="1" ht="13.5" customHeight="1">
      <c r="B259" s="180">
        <f t="shared" si="29"/>
        <v>229</v>
      </c>
      <c r="C259" s="174">
        <v>2</v>
      </c>
      <c r="D259" s="209" t="s">
        <v>67</v>
      </c>
      <c r="E259" s="174">
        <f t="shared" si="30"/>
        <v>229</v>
      </c>
      <c r="F259" s="175">
        <f>VLOOKUP(E259,'Deck Tally'!$B$5:$C$274,2,0)</f>
        <v>33.950000000000003</v>
      </c>
      <c r="G259" s="175">
        <f t="shared" si="31"/>
        <v>33.544499999999999</v>
      </c>
      <c r="H259" s="175" t="s">
        <v>68</v>
      </c>
      <c r="I259" s="175">
        <f t="shared" si="27"/>
        <v>7862.4880000000021</v>
      </c>
      <c r="J259" s="175">
        <f t="shared" si="28"/>
        <v>11866.092000000001</v>
      </c>
      <c r="K259" s="205">
        <f t="shared" si="25"/>
        <v>270.16189272421707</v>
      </c>
      <c r="L259" s="478"/>
      <c r="M259" s="479"/>
      <c r="N259" s="59"/>
      <c r="O259" s="59"/>
      <c r="P259" s="59"/>
      <c r="Q259" s="59"/>
      <c r="R259" s="59"/>
      <c r="S259" s="59"/>
      <c r="T259" s="60"/>
      <c r="U259" s="60"/>
    </row>
    <row r="260" spans="2:21" s="52" customFormat="1" ht="13.5" customHeight="1">
      <c r="B260" s="180">
        <f t="shared" si="29"/>
        <v>230</v>
      </c>
      <c r="C260" s="174">
        <v>2</v>
      </c>
      <c r="D260" s="209" t="s">
        <v>67</v>
      </c>
      <c r="E260" s="174">
        <f t="shared" si="30"/>
        <v>230</v>
      </c>
      <c r="F260" s="175">
        <f>VLOOKUP(E260,'Deck Tally'!$B$5:$C$274,2,0)</f>
        <v>33.950000000000003</v>
      </c>
      <c r="G260" s="175">
        <f t="shared" si="31"/>
        <v>33.544499999999999</v>
      </c>
      <c r="H260" s="175" t="s">
        <v>68</v>
      </c>
      <c r="I260" s="175">
        <f t="shared" si="27"/>
        <v>7896.0325000000021</v>
      </c>
      <c r="J260" s="175">
        <f t="shared" si="28"/>
        <v>11832.547500000001</v>
      </c>
      <c r="K260" s="205">
        <f t="shared" si="25"/>
        <v>270.95186698051953</v>
      </c>
      <c r="L260" s="480"/>
      <c r="M260" s="481"/>
      <c r="N260" s="59"/>
      <c r="O260" s="59"/>
      <c r="P260" s="59"/>
      <c r="Q260" s="59"/>
      <c r="R260" s="59"/>
      <c r="S260" s="59"/>
      <c r="T260" s="60"/>
      <c r="U260" s="60"/>
    </row>
    <row r="261" spans="2:21" s="52" customFormat="1" ht="13.5" customHeight="1">
      <c r="B261" s="180">
        <f t="shared" si="29"/>
        <v>231</v>
      </c>
      <c r="C261" s="174">
        <v>2</v>
      </c>
      <c r="D261" s="209" t="s">
        <v>67</v>
      </c>
      <c r="E261" s="174">
        <f t="shared" si="30"/>
        <v>231</v>
      </c>
      <c r="F261" s="175">
        <f>VLOOKUP(E261,'Deck Tally'!$B$5:$C$274,2,0)</f>
        <v>33.64</v>
      </c>
      <c r="G261" s="175">
        <f t="shared" si="31"/>
        <v>33.234499999999997</v>
      </c>
      <c r="H261" s="175" t="s">
        <v>68</v>
      </c>
      <c r="I261" s="175">
        <f t="shared" si="27"/>
        <v>7929.2670000000016</v>
      </c>
      <c r="J261" s="175">
        <f t="shared" si="28"/>
        <v>11799.313</v>
      </c>
      <c r="K261" s="205">
        <f t="shared" si="25"/>
        <v>271.73454072498095</v>
      </c>
      <c r="L261" s="473" t="s">
        <v>93</v>
      </c>
      <c r="M261" s="474"/>
      <c r="N261" s="59"/>
      <c r="O261" s="59"/>
      <c r="P261" s="59"/>
      <c r="Q261" s="59"/>
      <c r="R261" s="59"/>
      <c r="S261" s="59"/>
      <c r="T261" s="60"/>
      <c r="U261" s="60"/>
    </row>
    <row r="262" spans="2:21" s="52" customFormat="1" ht="13.5" customHeight="1">
      <c r="B262" s="180">
        <f t="shared" si="29"/>
        <v>232</v>
      </c>
      <c r="C262" s="174">
        <v>2</v>
      </c>
      <c r="D262" s="209" t="s">
        <v>67</v>
      </c>
      <c r="E262" s="186">
        <f t="shared" si="30"/>
        <v>232</v>
      </c>
      <c r="F262" s="175">
        <f>VLOOKUP(E262,'Deck Tally'!$B$5:$C$274,2,0)</f>
        <v>33.844999999999999</v>
      </c>
      <c r="G262" s="175">
        <f t="shared" si="31"/>
        <v>33.439499999999995</v>
      </c>
      <c r="H262" s="175" t="s">
        <v>68</v>
      </c>
      <c r="I262" s="175">
        <f t="shared" si="27"/>
        <v>7962.7065000000021</v>
      </c>
      <c r="J262" s="175">
        <f t="shared" si="28"/>
        <v>11765.8735</v>
      </c>
      <c r="K262" s="205">
        <f t="shared" si="25"/>
        <v>272.52204222727278</v>
      </c>
      <c r="L262" s="475" t="s">
        <v>94</v>
      </c>
      <c r="M262" s="467"/>
      <c r="N262" s="59"/>
      <c r="O262" s="187">
        <f>11713-M263</f>
        <v>-82.313000000000102</v>
      </c>
      <c r="P262" s="59" t="s">
        <v>74</v>
      </c>
      <c r="Q262" s="59"/>
      <c r="R262" s="59"/>
      <c r="S262" s="59"/>
      <c r="T262" s="60"/>
      <c r="U262" s="60"/>
    </row>
    <row r="263" spans="2:21" s="52" customFormat="1" ht="13.5" customHeight="1">
      <c r="B263" s="180">
        <f t="shared" si="29"/>
        <v>233</v>
      </c>
      <c r="C263" s="174">
        <v>2</v>
      </c>
      <c r="D263" s="209" t="s">
        <v>67</v>
      </c>
      <c r="E263" s="174">
        <f t="shared" si="30"/>
        <v>233</v>
      </c>
      <c r="F263" s="175">
        <f>VLOOKUP(E263,'Deck Tally'!$B$5:$C$274,2,0)</f>
        <v>33.905000000000001</v>
      </c>
      <c r="G263" s="175">
        <f t="shared" si="31"/>
        <v>33.499499999999998</v>
      </c>
      <c r="H263" s="175" t="s">
        <v>68</v>
      </c>
      <c r="I263" s="175">
        <f t="shared" si="27"/>
        <v>7996.2060000000019</v>
      </c>
      <c r="J263" s="175">
        <f t="shared" si="28"/>
        <v>11732.374</v>
      </c>
      <c r="K263" s="205">
        <f t="shared" si="25"/>
        <v>273.31095673185644</v>
      </c>
      <c r="L263" s="184" t="s">
        <v>75</v>
      </c>
      <c r="M263" s="193">
        <f>J261-4</f>
        <v>11795.313</v>
      </c>
      <c r="N263" s="59"/>
      <c r="O263" s="59"/>
      <c r="P263" s="59"/>
      <c r="Q263" s="59"/>
      <c r="R263" s="59"/>
      <c r="S263" s="59"/>
      <c r="T263" s="60"/>
      <c r="U263" s="60"/>
    </row>
    <row r="264" spans="2:21" s="52" customFormat="1" ht="13.5" customHeight="1">
      <c r="B264" s="180">
        <f t="shared" si="29"/>
        <v>234</v>
      </c>
      <c r="C264" s="174">
        <v>2</v>
      </c>
      <c r="D264" s="209" t="s">
        <v>67</v>
      </c>
      <c r="E264" s="174">
        <f t="shared" si="30"/>
        <v>234</v>
      </c>
      <c r="F264" s="175">
        <f>VLOOKUP(E264,'Deck Tally'!$B$5:$C$274,2,0)</f>
        <v>33.935000000000002</v>
      </c>
      <c r="G264" s="175">
        <f t="shared" si="31"/>
        <v>33.529499999999999</v>
      </c>
      <c r="H264" s="175" t="s">
        <v>68</v>
      </c>
      <c r="I264" s="175">
        <f t="shared" si="27"/>
        <v>8029.7355000000016</v>
      </c>
      <c r="J264" s="175">
        <f t="shared" si="28"/>
        <v>11698.844499999999</v>
      </c>
      <c r="K264" s="205">
        <f t="shared" si="25"/>
        <v>274.10057773758598</v>
      </c>
      <c r="L264" s="212"/>
      <c r="M264" s="213"/>
      <c r="N264" s="59"/>
      <c r="O264" s="59"/>
      <c r="P264" s="59"/>
      <c r="Q264" s="59"/>
      <c r="R264" s="59"/>
      <c r="S264" s="59"/>
      <c r="T264" s="60"/>
      <c r="U264" s="60"/>
    </row>
    <row r="265" spans="2:21" s="52" customFormat="1" ht="13.5" customHeight="1">
      <c r="B265" s="180">
        <f t="shared" ref="B265:B291" si="32">B264+1</f>
        <v>235</v>
      </c>
      <c r="C265" s="174">
        <v>2</v>
      </c>
      <c r="D265" s="209" t="s">
        <v>67</v>
      </c>
      <c r="E265" s="174">
        <f t="shared" si="30"/>
        <v>235</v>
      </c>
      <c r="F265" s="175">
        <f>VLOOKUP(E265,'Deck Tally'!$B$5:$C$274,2,0)</f>
        <v>33.94</v>
      </c>
      <c r="G265" s="175">
        <f t="shared" si="31"/>
        <v>33.534499999999994</v>
      </c>
      <c r="H265" s="175" t="s">
        <v>68</v>
      </c>
      <c r="I265" s="175">
        <f t="shared" si="27"/>
        <v>8063.2700000000013</v>
      </c>
      <c r="J265" s="175">
        <f t="shared" si="28"/>
        <v>11665.310000000001</v>
      </c>
      <c r="K265" s="205">
        <f t="shared" si="25"/>
        <v>274.89031649350653</v>
      </c>
      <c r="L265" s="178"/>
      <c r="M265" s="179"/>
      <c r="N265" s="59"/>
      <c r="O265" s="59"/>
      <c r="P265" s="59"/>
      <c r="Q265" s="59"/>
      <c r="R265" s="59"/>
      <c r="S265" s="59"/>
      <c r="T265" s="60"/>
      <c r="U265" s="60"/>
    </row>
    <row r="266" spans="2:21" s="52" customFormat="1" ht="13.5" customHeight="1">
      <c r="B266" s="180">
        <f t="shared" si="32"/>
        <v>236</v>
      </c>
      <c r="C266" s="174">
        <v>2</v>
      </c>
      <c r="D266" s="209" t="s">
        <v>67</v>
      </c>
      <c r="E266" s="174">
        <f t="shared" si="30"/>
        <v>236</v>
      </c>
      <c r="F266" s="175">
        <f>VLOOKUP(E266,'Deck Tally'!$B$5:$C$274,2,0)</f>
        <v>33.94</v>
      </c>
      <c r="G266" s="175">
        <f t="shared" si="31"/>
        <v>33.534499999999994</v>
      </c>
      <c r="H266" s="175" t="s">
        <v>68</v>
      </c>
      <c r="I266" s="175">
        <f t="shared" si="27"/>
        <v>8096.8045000000011</v>
      </c>
      <c r="J266" s="175">
        <f t="shared" si="28"/>
        <v>11631.7755</v>
      </c>
      <c r="K266" s="205">
        <f t="shared" si="25"/>
        <v>275.68005524942708</v>
      </c>
      <c r="L266" s="178"/>
      <c r="M266" s="179"/>
      <c r="N266" s="59"/>
      <c r="O266" s="59"/>
      <c r="P266" s="59"/>
      <c r="Q266" s="59"/>
      <c r="R266" s="59"/>
      <c r="S266" s="59"/>
      <c r="T266" s="60"/>
      <c r="U266" s="60"/>
    </row>
    <row r="267" spans="2:21" s="52" customFormat="1" ht="13.5" customHeight="1">
      <c r="B267" s="180">
        <f t="shared" si="32"/>
        <v>237</v>
      </c>
      <c r="C267" s="174">
        <v>2</v>
      </c>
      <c r="D267" s="209" t="s">
        <v>67</v>
      </c>
      <c r="E267" s="174">
        <f t="shared" si="30"/>
        <v>237</v>
      </c>
      <c r="F267" s="175">
        <f>VLOOKUP(E267,'Deck Tally'!$B$5:$C$274,2,0)</f>
        <v>33.935000000000002</v>
      </c>
      <c r="G267" s="175">
        <f t="shared" si="31"/>
        <v>33.529499999999999</v>
      </c>
      <c r="H267" s="175" t="s">
        <v>68</v>
      </c>
      <c r="I267" s="175">
        <f t="shared" si="27"/>
        <v>8130.3340000000007</v>
      </c>
      <c r="J267" s="175">
        <f t="shared" si="28"/>
        <v>11598.246000000001</v>
      </c>
      <c r="K267" s="205">
        <f t="shared" si="25"/>
        <v>276.46967625515663</v>
      </c>
      <c r="L267" s="178"/>
      <c r="M267" s="179"/>
      <c r="N267" s="59"/>
      <c r="Q267" s="59"/>
      <c r="R267" s="59"/>
      <c r="S267" s="59"/>
      <c r="T267" s="60"/>
      <c r="U267" s="60"/>
    </row>
    <row r="268" spans="2:21" s="52" customFormat="1" ht="13.5" customHeight="1">
      <c r="B268" s="180">
        <f t="shared" si="32"/>
        <v>238</v>
      </c>
      <c r="C268" s="174">
        <v>2</v>
      </c>
      <c r="D268" s="209" t="s">
        <v>67</v>
      </c>
      <c r="E268" s="174">
        <f t="shared" si="30"/>
        <v>238</v>
      </c>
      <c r="F268" s="175">
        <f>VLOOKUP(E268,'Deck Tally'!$B$5:$C$274,2,0)</f>
        <v>33.945</v>
      </c>
      <c r="G268" s="175">
        <f t="shared" si="31"/>
        <v>33.539500000000004</v>
      </c>
      <c r="H268" s="175" t="s">
        <v>68</v>
      </c>
      <c r="I268" s="175">
        <f t="shared" si="27"/>
        <v>8163.8735000000006</v>
      </c>
      <c r="J268" s="175">
        <f t="shared" si="28"/>
        <v>11564.7065</v>
      </c>
      <c r="K268" s="205">
        <f t="shared" si="25"/>
        <v>277.25953276126813</v>
      </c>
      <c r="L268" s="178"/>
      <c r="M268" s="179"/>
      <c r="N268" s="59"/>
      <c r="O268" s="59"/>
      <c r="P268" s="59"/>
      <c r="Q268" s="59"/>
      <c r="R268" s="59"/>
      <c r="S268" s="59"/>
      <c r="T268" s="60"/>
      <c r="U268" s="60"/>
    </row>
    <row r="269" spans="2:21" s="52" customFormat="1" ht="13.5" customHeight="1">
      <c r="B269" s="180">
        <f t="shared" si="32"/>
        <v>239</v>
      </c>
      <c r="C269" s="174">
        <v>2</v>
      </c>
      <c r="D269" s="209" t="s">
        <v>67</v>
      </c>
      <c r="E269" s="174">
        <f t="shared" ref="E269:E291" si="33">E268+1</f>
        <v>239</v>
      </c>
      <c r="F269" s="175">
        <f>VLOOKUP(E269,'Deck Tally'!$B$5:$C$274,2,0)</f>
        <v>33.93</v>
      </c>
      <c r="G269" s="175">
        <f t="shared" si="31"/>
        <v>33.524500000000003</v>
      </c>
      <c r="H269" s="175" t="s">
        <v>68</v>
      </c>
      <c r="I269" s="175">
        <f t="shared" si="27"/>
        <v>8197.398000000001</v>
      </c>
      <c r="J269" s="175">
        <f t="shared" si="28"/>
        <v>11531.182000000001</v>
      </c>
      <c r="K269" s="205">
        <f t="shared" si="25"/>
        <v>278.04903601680678</v>
      </c>
      <c r="L269" s="478"/>
      <c r="M269" s="479" t="e">
        <f>#REF!-4</f>
        <v>#REF!</v>
      </c>
      <c r="N269" s="59"/>
      <c r="O269" s="59"/>
      <c r="P269" s="59"/>
      <c r="Q269" s="59"/>
      <c r="R269" s="59"/>
      <c r="S269" s="59"/>
      <c r="T269" s="60"/>
      <c r="U269" s="60"/>
    </row>
    <row r="270" spans="2:21" s="52" customFormat="1" ht="13.5" customHeight="1">
      <c r="B270" s="180">
        <f t="shared" si="32"/>
        <v>240</v>
      </c>
      <c r="C270" s="174">
        <v>2</v>
      </c>
      <c r="D270" s="209" t="s">
        <v>67</v>
      </c>
      <c r="E270" s="174">
        <f t="shared" si="33"/>
        <v>240</v>
      </c>
      <c r="F270" s="175">
        <f>VLOOKUP(E270,'Deck Tally'!$B$5:$C$274,2,0)</f>
        <v>33.5</v>
      </c>
      <c r="G270" s="175">
        <f t="shared" si="31"/>
        <v>33.094499999999996</v>
      </c>
      <c r="H270" s="175" t="s">
        <v>68</v>
      </c>
      <c r="I270" s="175">
        <f t="shared" si="27"/>
        <v>8230.4925000000003</v>
      </c>
      <c r="J270" s="175">
        <f t="shared" si="28"/>
        <v>11498.087500000001</v>
      </c>
      <c r="K270" s="205">
        <f t="shared" si="25"/>
        <v>278.82841275592057</v>
      </c>
      <c r="L270" s="478"/>
      <c r="M270" s="479" t="e">
        <f>#REF!-4</f>
        <v>#REF!</v>
      </c>
      <c r="N270" s="59"/>
      <c r="O270" s="59"/>
      <c r="P270" s="59"/>
      <c r="Q270" s="59"/>
      <c r="R270" s="59"/>
      <c r="S270" s="59"/>
      <c r="T270" s="60"/>
      <c r="U270" s="60"/>
    </row>
    <row r="271" spans="2:21" s="52" customFormat="1" ht="13.5" customHeight="1">
      <c r="B271" s="180">
        <f t="shared" si="32"/>
        <v>241</v>
      </c>
      <c r="C271" s="174">
        <v>2</v>
      </c>
      <c r="D271" s="209" t="s">
        <v>67</v>
      </c>
      <c r="E271" s="174">
        <f t="shared" si="33"/>
        <v>241</v>
      </c>
      <c r="F271" s="175">
        <f>VLOOKUP(E271,'Deck Tally'!$B$5:$C$274,2,0)</f>
        <v>33.94</v>
      </c>
      <c r="G271" s="175">
        <f t="shared" si="31"/>
        <v>33.534499999999994</v>
      </c>
      <c r="H271" s="175" t="s">
        <v>68</v>
      </c>
      <c r="I271" s="175">
        <f t="shared" si="27"/>
        <v>8264.027</v>
      </c>
      <c r="J271" s="175">
        <f t="shared" si="28"/>
        <v>11464.553000000002</v>
      </c>
      <c r="K271" s="205">
        <f t="shared" si="25"/>
        <v>279.61815151184112</v>
      </c>
      <c r="L271" s="478"/>
      <c r="M271" s="479"/>
      <c r="N271" s="59"/>
      <c r="O271" s="59"/>
      <c r="P271" s="59"/>
      <c r="Q271" s="59"/>
      <c r="R271" s="59"/>
      <c r="S271" s="59"/>
      <c r="T271" s="60"/>
      <c r="U271" s="60"/>
    </row>
    <row r="272" spans="2:21" s="52" customFormat="1" ht="13.5" customHeight="1">
      <c r="B272" s="180">
        <f t="shared" si="32"/>
        <v>242</v>
      </c>
      <c r="C272" s="174">
        <v>2</v>
      </c>
      <c r="D272" s="173" t="s">
        <v>67</v>
      </c>
      <c r="E272" s="174">
        <f t="shared" si="33"/>
        <v>242</v>
      </c>
      <c r="F272" s="176">
        <f>VLOOKUP(E272,'Deck Tally'!$B$5:$C$274,2,0)</f>
        <v>33.93</v>
      </c>
      <c r="G272" s="176">
        <f t="shared" si="31"/>
        <v>33.524500000000003</v>
      </c>
      <c r="H272" s="176" t="s">
        <v>68</v>
      </c>
      <c r="I272" s="176">
        <f t="shared" si="27"/>
        <v>8297.5514999999996</v>
      </c>
      <c r="J272" s="176">
        <f t="shared" si="28"/>
        <v>11431.028500000002</v>
      </c>
      <c r="K272" s="205">
        <f t="shared" si="25"/>
        <v>280.40765476737965</v>
      </c>
      <c r="L272" s="478"/>
      <c r="M272" s="479"/>
      <c r="N272" s="59"/>
      <c r="O272" s="59"/>
      <c r="P272" s="59"/>
      <c r="Q272" s="59"/>
      <c r="R272" s="59"/>
      <c r="S272" s="59"/>
      <c r="T272" s="60"/>
      <c r="U272" s="60"/>
    </row>
    <row r="273" spans="2:21" s="52" customFormat="1" ht="13.5" customHeight="1">
      <c r="B273" s="180">
        <f t="shared" si="32"/>
        <v>243</v>
      </c>
      <c r="C273" s="174">
        <v>2</v>
      </c>
      <c r="D273" s="173" t="s">
        <v>67</v>
      </c>
      <c r="E273" s="174">
        <f t="shared" si="33"/>
        <v>243</v>
      </c>
      <c r="F273" s="176">
        <f>VLOOKUP(E273,'Deck Tally'!$B$5:$C$274,2,0)</f>
        <v>33.954999999999998</v>
      </c>
      <c r="G273" s="176">
        <f t="shared" si="31"/>
        <v>33.549499999999995</v>
      </c>
      <c r="H273" s="176" t="s">
        <v>68</v>
      </c>
      <c r="I273" s="176">
        <f t="shared" si="27"/>
        <v>8331.1009999999987</v>
      </c>
      <c r="J273" s="176">
        <f t="shared" si="28"/>
        <v>11397.479000000003</v>
      </c>
      <c r="K273" s="205">
        <f t="shared" ref="K273:K338" si="34">$H$8+(I273*$E$9*$H$10/1000)</f>
        <v>281.19774677387318</v>
      </c>
      <c r="N273" s="59"/>
      <c r="O273" s="59"/>
      <c r="P273" s="59"/>
      <c r="Q273" s="59"/>
      <c r="R273" s="59"/>
      <c r="S273" s="59"/>
      <c r="T273" s="60"/>
      <c r="U273" s="60"/>
    </row>
    <row r="274" spans="2:21" s="52" customFormat="1" ht="13.5" customHeight="1">
      <c r="B274" s="180">
        <f t="shared" si="32"/>
        <v>244</v>
      </c>
      <c r="C274" s="174">
        <v>2</v>
      </c>
      <c r="D274" s="209" t="s">
        <v>67</v>
      </c>
      <c r="E274" s="174">
        <f t="shared" si="33"/>
        <v>244</v>
      </c>
      <c r="F274" s="175">
        <f>VLOOKUP(E274,'Deck Tally'!$B$5:$C$274,2,0)</f>
        <v>33.945</v>
      </c>
      <c r="G274" s="175">
        <f t="shared" ref="G274:G305" si="35">F274-($E$11/12)</f>
        <v>33.539500000000004</v>
      </c>
      <c r="H274" s="175" t="s">
        <v>68</v>
      </c>
      <c r="I274" s="175">
        <f t="shared" ref="I274:I337" si="36">IF(H274="IN",I273+G274,I273)</f>
        <v>8364.6404999999995</v>
      </c>
      <c r="J274" s="175">
        <f t="shared" ref="J274:J337" si="37">IF(I274="","",$L$8-I274)</f>
        <v>11363.939500000002</v>
      </c>
      <c r="K274" s="205">
        <f t="shared" si="34"/>
        <v>281.98760327998474</v>
      </c>
      <c r="L274" s="178"/>
      <c r="M274" s="179"/>
      <c r="N274" s="59"/>
      <c r="O274" s="59"/>
      <c r="P274" s="59"/>
      <c r="Q274" s="59"/>
      <c r="R274" s="59"/>
      <c r="S274" s="59"/>
      <c r="T274" s="60"/>
      <c r="U274" s="60"/>
    </row>
    <row r="275" spans="2:21" s="52" customFormat="1" ht="13.5" customHeight="1">
      <c r="B275" s="180">
        <f t="shared" si="32"/>
        <v>245</v>
      </c>
      <c r="C275" s="174">
        <v>2</v>
      </c>
      <c r="D275" s="209" t="s">
        <v>67</v>
      </c>
      <c r="E275" s="174">
        <f t="shared" si="33"/>
        <v>245</v>
      </c>
      <c r="F275" s="175">
        <f>VLOOKUP(E275,'Deck Tally'!$B$5:$C$274,2,0)</f>
        <v>33.945</v>
      </c>
      <c r="G275" s="175">
        <f t="shared" si="35"/>
        <v>33.539500000000004</v>
      </c>
      <c r="H275" s="175" t="s">
        <v>68</v>
      </c>
      <c r="I275" s="175">
        <f t="shared" si="36"/>
        <v>8398.18</v>
      </c>
      <c r="J275" s="175">
        <f t="shared" si="37"/>
        <v>11330.400000000001</v>
      </c>
      <c r="K275" s="205">
        <f t="shared" si="34"/>
        <v>282.7774597860963</v>
      </c>
      <c r="L275" s="178"/>
      <c r="M275" s="179"/>
      <c r="N275" s="59"/>
      <c r="O275" s="59"/>
      <c r="P275" s="59"/>
      <c r="Q275" s="59"/>
      <c r="R275" s="59"/>
      <c r="S275" s="59"/>
      <c r="T275" s="60"/>
      <c r="U275" s="60"/>
    </row>
    <row r="276" spans="2:21" s="52" customFormat="1" ht="13.5" customHeight="1">
      <c r="B276" s="180">
        <f t="shared" si="32"/>
        <v>246</v>
      </c>
      <c r="C276" s="174">
        <v>2</v>
      </c>
      <c r="D276" s="209" t="s">
        <v>67</v>
      </c>
      <c r="E276" s="174">
        <f t="shared" si="33"/>
        <v>246</v>
      </c>
      <c r="F276" s="175">
        <f>VLOOKUP(E276,'Deck Tally'!$B$5:$C$274,2,0)</f>
        <v>33.950000000000003</v>
      </c>
      <c r="G276" s="175">
        <f t="shared" si="35"/>
        <v>33.544499999999999</v>
      </c>
      <c r="H276" s="175" t="s">
        <v>68</v>
      </c>
      <c r="I276" s="175">
        <f t="shared" si="36"/>
        <v>8431.7245000000003</v>
      </c>
      <c r="J276" s="175">
        <f t="shared" si="37"/>
        <v>11296.855500000001</v>
      </c>
      <c r="K276" s="205">
        <f t="shared" si="34"/>
        <v>283.56743404239876</v>
      </c>
      <c r="L276" s="478"/>
      <c r="M276" s="479"/>
      <c r="N276" s="59"/>
      <c r="O276" s="59"/>
      <c r="P276" s="59"/>
      <c r="Q276" s="59"/>
      <c r="R276" s="59"/>
      <c r="S276" s="59"/>
      <c r="T276" s="60"/>
      <c r="U276" s="60"/>
    </row>
    <row r="277" spans="2:21" s="52" customFormat="1" ht="13.5" customHeight="1">
      <c r="B277" s="180">
        <f t="shared" si="32"/>
        <v>247</v>
      </c>
      <c r="C277" s="174">
        <v>2</v>
      </c>
      <c r="D277" s="209" t="s">
        <v>67</v>
      </c>
      <c r="E277" s="174">
        <f t="shared" si="33"/>
        <v>247</v>
      </c>
      <c r="F277" s="175">
        <f>VLOOKUP(E277,'Deck Tally'!$B$5:$C$274,2,0)</f>
        <v>33.96</v>
      </c>
      <c r="G277" s="175">
        <f t="shared" si="35"/>
        <v>33.554500000000004</v>
      </c>
      <c r="H277" s="175" t="s">
        <v>68</v>
      </c>
      <c r="I277" s="175">
        <f t="shared" si="36"/>
        <v>8465.2790000000005</v>
      </c>
      <c r="J277" s="175">
        <f t="shared" si="37"/>
        <v>11263.301000000001</v>
      </c>
      <c r="K277" s="205">
        <f t="shared" si="34"/>
        <v>284.35764379908329</v>
      </c>
      <c r="L277" s="212"/>
      <c r="M277" s="213"/>
      <c r="N277" s="59"/>
      <c r="O277" s="59"/>
      <c r="P277" s="59"/>
      <c r="Q277" s="59"/>
      <c r="R277" s="59"/>
      <c r="S277" s="59"/>
      <c r="T277" s="60"/>
      <c r="U277" s="60"/>
    </row>
    <row r="278" spans="2:21" s="52" customFormat="1" ht="13.5" customHeight="1">
      <c r="B278" s="180">
        <f t="shared" si="32"/>
        <v>248</v>
      </c>
      <c r="C278" s="174">
        <v>2</v>
      </c>
      <c r="D278" s="209" t="s">
        <v>67</v>
      </c>
      <c r="E278" s="174">
        <f t="shared" si="33"/>
        <v>248</v>
      </c>
      <c r="F278" s="175">
        <f>VLOOKUP(E278,'Deck Tally'!$B$5:$C$274,2,0)</f>
        <v>33.94</v>
      </c>
      <c r="G278" s="175">
        <f t="shared" si="35"/>
        <v>33.534499999999994</v>
      </c>
      <c r="H278" s="175" t="s">
        <v>68</v>
      </c>
      <c r="I278" s="175">
        <f t="shared" si="36"/>
        <v>8498.8135000000002</v>
      </c>
      <c r="J278" s="175">
        <f t="shared" si="37"/>
        <v>11229.766500000002</v>
      </c>
      <c r="K278" s="205">
        <f t="shared" si="34"/>
        <v>285.14738255500384</v>
      </c>
      <c r="L278" s="212"/>
      <c r="M278" s="213"/>
      <c r="N278" s="59"/>
      <c r="O278" s="59"/>
      <c r="P278" s="59"/>
      <c r="Q278" s="59"/>
      <c r="R278" s="59"/>
      <c r="S278" s="59"/>
      <c r="T278" s="60"/>
      <c r="U278" s="60"/>
    </row>
    <row r="279" spans="2:21" s="52" customFormat="1" ht="13.5" customHeight="1">
      <c r="B279" s="180">
        <f t="shared" si="32"/>
        <v>249</v>
      </c>
      <c r="C279" s="174">
        <v>2</v>
      </c>
      <c r="D279" s="209" t="s">
        <v>67</v>
      </c>
      <c r="E279" s="174">
        <f t="shared" si="33"/>
        <v>249</v>
      </c>
      <c r="F279" s="175">
        <f>VLOOKUP(E279,'Deck Tally'!$B$5:$C$274,2,0)</f>
        <v>33.950000000000003</v>
      </c>
      <c r="G279" s="175">
        <f t="shared" si="35"/>
        <v>33.544499999999999</v>
      </c>
      <c r="H279" s="175" t="s">
        <v>68</v>
      </c>
      <c r="I279" s="175">
        <f t="shared" si="36"/>
        <v>8532.3580000000002</v>
      </c>
      <c r="J279" s="175">
        <f t="shared" si="37"/>
        <v>11196.222000000002</v>
      </c>
      <c r="K279" s="205">
        <f t="shared" si="34"/>
        <v>285.93735681130636</v>
      </c>
      <c r="L279" s="178"/>
      <c r="M279" s="179"/>
      <c r="N279" s="59"/>
      <c r="O279" s="59"/>
      <c r="P279" s="59"/>
      <c r="Q279" s="59"/>
      <c r="R279" s="59"/>
      <c r="S279" s="59"/>
      <c r="T279" s="60"/>
      <c r="U279" s="60"/>
    </row>
    <row r="280" spans="2:21" s="52" customFormat="1" ht="13.5" customHeight="1">
      <c r="B280" s="180">
        <f t="shared" si="32"/>
        <v>250</v>
      </c>
      <c r="C280" s="174">
        <v>2</v>
      </c>
      <c r="D280" s="209" t="s">
        <v>67</v>
      </c>
      <c r="E280" s="174">
        <f t="shared" si="33"/>
        <v>250</v>
      </c>
      <c r="F280" s="175">
        <f>VLOOKUP(E280,'Deck Tally'!$B$5:$C$274,2,0)</f>
        <v>33.935000000000002</v>
      </c>
      <c r="G280" s="175">
        <f t="shared" si="35"/>
        <v>33.529499999999999</v>
      </c>
      <c r="H280" s="175" t="s">
        <v>68</v>
      </c>
      <c r="I280" s="175">
        <f t="shared" si="36"/>
        <v>8565.8875000000007</v>
      </c>
      <c r="J280" s="175">
        <f t="shared" si="37"/>
        <v>11162.692500000001</v>
      </c>
      <c r="K280" s="205">
        <f t="shared" si="34"/>
        <v>286.72697781703596</v>
      </c>
      <c r="L280" s="178"/>
      <c r="M280" s="179"/>
      <c r="N280" s="59"/>
      <c r="O280" s="59"/>
      <c r="P280" s="59"/>
      <c r="Q280" s="59"/>
      <c r="R280" s="59"/>
      <c r="S280" s="59"/>
      <c r="T280" s="60"/>
      <c r="U280" s="60"/>
    </row>
    <row r="281" spans="2:21" s="52" customFormat="1" ht="13.5" customHeight="1">
      <c r="B281" s="180">
        <f t="shared" si="32"/>
        <v>251</v>
      </c>
      <c r="C281" s="174">
        <v>2</v>
      </c>
      <c r="D281" s="209" t="s">
        <v>67</v>
      </c>
      <c r="E281" s="174">
        <f t="shared" si="33"/>
        <v>251</v>
      </c>
      <c r="F281" s="175">
        <f>VLOOKUP(E281,'Deck Tally'!$B$5:$C$274,2,0)</f>
        <v>33.94</v>
      </c>
      <c r="G281" s="175">
        <f t="shared" si="35"/>
        <v>33.534499999999994</v>
      </c>
      <c r="H281" s="175" t="s">
        <v>68</v>
      </c>
      <c r="I281" s="175">
        <f t="shared" si="36"/>
        <v>8599.4220000000005</v>
      </c>
      <c r="J281" s="175">
        <f t="shared" si="37"/>
        <v>11129.158000000001</v>
      </c>
      <c r="K281" s="205">
        <f t="shared" si="34"/>
        <v>287.51671657295651</v>
      </c>
      <c r="L281" s="480"/>
      <c r="M281" s="481"/>
      <c r="N281" s="59"/>
      <c r="O281" s="59"/>
      <c r="P281" s="59"/>
      <c r="Q281" s="59"/>
      <c r="R281" s="59"/>
      <c r="S281" s="59"/>
      <c r="T281" s="60"/>
      <c r="U281" s="60"/>
    </row>
    <row r="282" spans="2:21" s="52" customFormat="1" ht="13.5" customHeight="1">
      <c r="B282" s="180">
        <f t="shared" si="32"/>
        <v>252</v>
      </c>
      <c r="C282" s="174">
        <v>2</v>
      </c>
      <c r="D282" s="209" t="s">
        <v>67</v>
      </c>
      <c r="E282" s="174">
        <f t="shared" si="33"/>
        <v>252</v>
      </c>
      <c r="F282" s="175">
        <f>VLOOKUP(E282,'Deck Tally'!$B$5:$C$274,2,0)</f>
        <v>33.94</v>
      </c>
      <c r="G282" s="175">
        <f t="shared" si="35"/>
        <v>33.534499999999994</v>
      </c>
      <c r="H282" s="175" t="s">
        <v>68</v>
      </c>
      <c r="I282" s="175">
        <f t="shared" si="36"/>
        <v>8632.9565000000002</v>
      </c>
      <c r="J282" s="175">
        <f t="shared" si="37"/>
        <v>11095.623500000002</v>
      </c>
      <c r="K282" s="205">
        <f t="shared" si="34"/>
        <v>288.30645532887706</v>
      </c>
      <c r="L282" s="212"/>
      <c r="M282" s="213"/>
      <c r="N282" s="59"/>
      <c r="O282" s="59"/>
      <c r="P282" s="59"/>
      <c r="Q282" s="59"/>
      <c r="R282" s="59"/>
      <c r="S282" s="59"/>
      <c r="T282" s="60"/>
      <c r="U282" s="60"/>
    </row>
    <row r="283" spans="2:21" s="52" customFormat="1" ht="13.5" customHeight="1">
      <c r="B283" s="180">
        <f t="shared" si="32"/>
        <v>253</v>
      </c>
      <c r="C283" s="174">
        <v>2</v>
      </c>
      <c r="D283" s="209" t="s">
        <v>67</v>
      </c>
      <c r="E283" s="174">
        <f t="shared" si="33"/>
        <v>253</v>
      </c>
      <c r="F283" s="175">
        <f>VLOOKUP(E283,'Deck Tally'!$B$5:$C$274,2,0)</f>
        <v>33.93</v>
      </c>
      <c r="G283" s="175">
        <f t="shared" si="35"/>
        <v>33.524500000000003</v>
      </c>
      <c r="H283" s="175" t="s">
        <v>68</v>
      </c>
      <c r="I283" s="175">
        <f t="shared" si="36"/>
        <v>8666.4809999999998</v>
      </c>
      <c r="J283" s="175">
        <f t="shared" si="37"/>
        <v>11062.099000000002</v>
      </c>
      <c r="K283" s="205">
        <f t="shared" si="34"/>
        <v>289.0959585844156</v>
      </c>
      <c r="L283" s="212"/>
      <c r="M283" s="213"/>
      <c r="N283" s="59"/>
      <c r="O283" s="59"/>
      <c r="P283" s="59"/>
      <c r="Q283" s="59"/>
      <c r="R283" s="59"/>
      <c r="S283" s="59"/>
      <c r="T283" s="60"/>
      <c r="U283" s="60"/>
    </row>
    <row r="284" spans="2:21" s="52" customFormat="1" ht="13.5" customHeight="1">
      <c r="B284" s="180">
        <f t="shared" si="32"/>
        <v>254</v>
      </c>
      <c r="C284" s="174">
        <v>2</v>
      </c>
      <c r="D284" s="209" t="s">
        <v>67</v>
      </c>
      <c r="E284" s="174">
        <f t="shared" si="33"/>
        <v>254</v>
      </c>
      <c r="F284" s="175">
        <f>VLOOKUP(E284,'Deck Tally'!$B$5:$C$274,2,0)</f>
        <v>33.950000000000003</v>
      </c>
      <c r="G284" s="175">
        <f t="shared" si="35"/>
        <v>33.544499999999999</v>
      </c>
      <c r="H284" s="175" t="s">
        <v>68</v>
      </c>
      <c r="I284" s="175">
        <f t="shared" si="36"/>
        <v>8700.0254999999997</v>
      </c>
      <c r="J284" s="175">
        <f t="shared" si="37"/>
        <v>11028.554500000002</v>
      </c>
      <c r="K284" s="205">
        <f t="shared" si="34"/>
        <v>289.88593284071811</v>
      </c>
      <c r="L284" s="178"/>
      <c r="M284" s="179"/>
      <c r="N284" s="59"/>
      <c r="O284" s="59"/>
      <c r="P284" s="59"/>
      <c r="Q284" s="59"/>
      <c r="R284" s="59"/>
      <c r="S284" s="59"/>
      <c r="T284" s="60"/>
      <c r="U284" s="60"/>
    </row>
    <row r="285" spans="2:21" s="52" customFormat="1" ht="13.5" customHeight="1">
      <c r="B285" s="180">
        <f t="shared" si="32"/>
        <v>255</v>
      </c>
      <c r="C285" s="174">
        <v>2</v>
      </c>
      <c r="D285" s="209" t="s">
        <v>67</v>
      </c>
      <c r="E285" s="174">
        <f t="shared" si="33"/>
        <v>255</v>
      </c>
      <c r="F285" s="175">
        <f>VLOOKUP(E285,'Deck Tally'!$B$5:$C$274,2,0)</f>
        <v>33.954999999999998</v>
      </c>
      <c r="G285" s="175">
        <f t="shared" si="35"/>
        <v>33.549499999999995</v>
      </c>
      <c r="H285" s="175" t="s">
        <v>68</v>
      </c>
      <c r="I285" s="175">
        <f t="shared" si="36"/>
        <v>8733.5749999999989</v>
      </c>
      <c r="J285" s="175">
        <f t="shared" si="37"/>
        <v>10995.005000000003</v>
      </c>
      <c r="K285" s="205">
        <f t="shared" si="34"/>
        <v>290.67602484721158</v>
      </c>
      <c r="L285" s="178"/>
      <c r="M285" s="179"/>
      <c r="N285" s="59"/>
      <c r="O285" s="59"/>
      <c r="P285" s="59"/>
      <c r="Q285" s="59"/>
      <c r="R285" s="59"/>
      <c r="S285" s="59"/>
      <c r="T285" s="60"/>
      <c r="U285" s="60"/>
    </row>
    <row r="286" spans="2:21" s="52" customFormat="1" ht="13.5" customHeight="1">
      <c r="B286" s="180">
        <f t="shared" si="32"/>
        <v>256</v>
      </c>
      <c r="C286" s="174">
        <v>2</v>
      </c>
      <c r="D286" s="209" t="s">
        <v>67</v>
      </c>
      <c r="E286" s="174">
        <f t="shared" si="33"/>
        <v>256</v>
      </c>
      <c r="F286" s="175">
        <f>VLOOKUP(E286,'Deck Tally'!$B$5:$C$274,2,0)</f>
        <v>33.96</v>
      </c>
      <c r="G286" s="175">
        <f t="shared" si="35"/>
        <v>33.554500000000004</v>
      </c>
      <c r="H286" s="175" t="s">
        <v>68</v>
      </c>
      <c r="I286" s="175">
        <f t="shared" si="36"/>
        <v>8767.1294999999991</v>
      </c>
      <c r="J286" s="175">
        <f t="shared" si="37"/>
        <v>10961.450500000003</v>
      </c>
      <c r="K286" s="205">
        <f t="shared" si="34"/>
        <v>291.46623460389605</v>
      </c>
      <c r="L286" s="178"/>
      <c r="M286" s="179"/>
      <c r="N286" s="59"/>
      <c r="O286" s="59"/>
      <c r="P286" s="59"/>
      <c r="Q286" s="59"/>
      <c r="R286" s="59"/>
      <c r="S286" s="59"/>
      <c r="T286" s="60"/>
      <c r="U286" s="60"/>
    </row>
    <row r="287" spans="2:21" s="52" customFormat="1" ht="13.5" customHeight="1">
      <c r="B287" s="180">
        <f t="shared" si="32"/>
        <v>257</v>
      </c>
      <c r="C287" s="174">
        <v>2</v>
      </c>
      <c r="D287" s="209" t="s">
        <v>67</v>
      </c>
      <c r="E287" s="174">
        <f t="shared" si="33"/>
        <v>257</v>
      </c>
      <c r="F287" s="175">
        <f>VLOOKUP(E287,'Deck Tally'!$B$5:$C$274,2,0)</f>
        <v>33.954999999999998</v>
      </c>
      <c r="G287" s="175">
        <f t="shared" si="35"/>
        <v>33.549499999999995</v>
      </c>
      <c r="H287" s="175" t="s">
        <v>68</v>
      </c>
      <c r="I287" s="175">
        <f t="shared" si="36"/>
        <v>8800.6789999999983</v>
      </c>
      <c r="J287" s="175">
        <f t="shared" si="37"/>
        <v>10927.901000000003</v>
      </c>
      <c r="K287" s="205">
        <f t="shared" si="34"/>
        <v>292.25632661038958</v>
      </c>
      <c r="L287" s="178"/>
      <c r="M287" s="179"/>
      <c r="N287" s="59"/>
      <c r="O287" s="59"/>
      <c r="P287" s="59"/>
      <c r="Q287" s="59"/>
      <c r="R287" s="59"/>
      <c r="S287" s="59"/>
      <c r="T287" s="60"/>
      <c r="U287" s="60"/>
    </row>
    <row r="288" spans="2:21" s="52" customFormat="1" ht="13.5" customHeight="1">
      <c r="B288" s="180">
        <f t="shared" si="32"/>
        <v>258</v>
      </c>
      <c r="C288" s="174">
        <v>2</v>
      </c>
      <c r="D288" s="209" t="s">
        <v>67</v>
      </c>
      <c r="E288" s="174">
        <f t="shared" si="33"/>
        <v>258</v>
      </c>
      <c r="F288" s="175">
        <f>VLOOKUP(E288,'Deck Tally'!$B$5:$C$274,2,0)</f>
        <v>33.835000000000001</v>
      </c>
      <c r="G288" s="175">
        <f t="shared" si="35"/>
        <v>33.429500000000004</v>
      </c>
      <c r="H288" s="175" t="s">
        <v>68</v>
      </c>
      <c r="I288" s="175">
        <f t="shared" si="36"/>
        <v>8834.1084999999985</v>
      </c>
      <c r="J288" s="175">
        <f t="shared" si="37"/>
        <v>10894.471500000003</v>
      </c>
      <c r="K288" s="205">
        <f t="shared" si="34"/>
        <v>293.04359261229945</v>
      </c>
      <c r="L288" s="480"/>
      <c r="M288" s="481"/>
      <c r="N288" s="59"/>
      <c r="O288" s="59"/>
      <c r="P288" s="59"/>
      <c r="Q288" s="59"/>
      <c r="R288" s="59"/>
      <c r="S288" s="59"/>
      <c r="T288" s="60"/>
      <c r="U288" s="60"/>
    </row>
    <row r="289" spans="2:21" s="52" customFormat="1" ht="13.5" customHeight="1">
      <c r="B289" s="180">
        <f t="shared" si="32"/>
        <v>259</v>
      </c>
      <c r="C289" s="174">
        <v>2</v>
      </c>
      <c r="D289" s="209" t="s">
        <v>67</v>
      </c>
      <c r="E289" s="174">
        <f t="shared" si="33"/>
        <v>259</v>
      </c>
      <c r="F289" s="175">
        <f>VLOOKUP(E289,'Deck Tally'!$B$5:$C$274,2,0)</f>
        <v>33.840000000000003</v>
      </c>
      <c r="G289" s="175">
        <f t="shared" si="35"/>
        <v>33.4345</v>
      </c>
      <c r="H289" s="175" t="s">
        <v>68</v>
      </c>
      <c r="I289" s="175">
        <f t="shared" si="36"/>
        <v>8867.5429999999978</v>
      </c>
      <c r="J289" s="175">
        <f t="shared" si="37"/>
        <v>10861.037000000004</v>
      </c>
      <c r="K289" s="205">
        <f t="shared" si="34"/>
        <v>293.83097636440027</v>
      </c>
      <c r="L289" s="471" t="s">
        <v>76</v>
      </c>
      <c r="M289" s="472"/>
      <c r="N289" s="59"/>
      <c r="O289" s="59"/>
      <c r="P289" s="59"/>
      <c r="Q289" s="59"/>
      <c r="R289" s="59"/>
      <c r="S289" s="59"/>
      <c r="T289" s="60"/>
      <c r="U289" s="60"/>
    </row>
    <row r="290" spans="2:21" s="52" customFormat="1" ht="13.5" customHeight="1">
      <c r="B290" s="180">
        <f t="shared" si="32"/>
        <v>260</v>
      </c>
      <c r="C290" s="216">
        <v>1</v>
      </c>
      <c r="D290" s="190" t="s">
        <v>67</v>
      </c>
      <c r="E290" s="190">
        <f t="shared" si="33"/>
        <v>260</v>
      </c>
      <c r="F290" s="191">
        <f>VLOOKUP(E290,'Deck Tally'!$B$5:$C$274,2,0)</f>
        <v>33.840000000000003</v>
      </c>
      <c r="G290" s="191">
        <f t="shared" si="35"/>
        <v>33.4345</v>
      </c>
      <c r="H290" s="191" t="s">
        <v>68</v>
      </c>
      <c r="I290" s="191">
        <f t="shared" si="36"/>
        <v>8900.9774999999972</v>
      </c>
      <c r="J290" s="191">
        <f t="shared" si="37"/>
        <v>10827.602500000005</v>
      </c>
      <c r="K290" s="205">
        <f t="shared" si="34"/>
        <v>294.61836011650109</v>
      </c>
      <c r="L290" s="473" t="s">
        <v>95</v>
      </c>
      <c r="M290" s="474"/>
      <c r="N290" s="59"/>
      <c r="Q290" s="59"/>
      <c r="R290" s="59"/>
      <c r="S290" s="59"/>
      <c r="T290" s="60"/>
      <c r="U290" s="60"/>
    </row>
    <row r="291" spans="2:21" s="52" customFormat="1" ht="13.5" customHeight="1">
      <c r="B291" s="180">
        <f t="shared" si="32"/>
        <v>261</v>
      </c>
      <c r="C291" s="174">
        <v>2</v>
      </c>
      <c r="D291" s="209" t="s">
        <v>67</v>
      </c>
      <c r="E291" s="186">
        <f t="shared" si="33"/>
        <v>261</v>
      </c>
      <c r="F291" s="175">
        <f>VLOOKUP(E291,'Deck Tally'!$B$5:$C$274,2,0)</f>
        <v>33.835000000000001</v>
      </c>
      <c r="G291" s="175">
        <f t="shared" si="35"/>
        <v>33.429500000000004</v>
      </c>
      <c r="H291" s="175" t="s">
        <v>68</v>
      </c>
      <c r="I291" s="175">
        <f t="shared" si="36"/>
        <v>8934.4069999999974</v>
      </c>
      <c r="J291" s="175">
        <f t="shared" si="37"/>
        <v>10794.173000000004</v>
      </c>
      <c r="K291" s="205">
        <f t="shared" si="34"/>
        <v>295.40562611841096</v>
      </c>
      <c r="L291" s="475" t="s">
        <v>96</v>
      </c>
      <c r="M291" s="467"/>
      <c r="N291" s="59"/>
      <c r="O291" s="187">
        <f>10763-M292</f>
        <v>-60.602500000004511</v>
      </c>
      <c r="P291" s="59" t="s">
        <v>74</v>
      </c>
      <c r="Q291" s="59"/>
      <c r="R291" s="59"/>
      <c r="S291" s="59"/>
      <c r="T291" s="60"/>
      <c r="U291" s="60"/>
    </row>
    <row r="292" spans="2:21" s="52" customFormat="1" ht="13.5" customHeight="1">
      <c r="B292" s="180"/>
      <c r="C292" s="181">
        <v>1</v>
      </c>
      <c r="D292" s="182" t="s">
        <v>81</v>
      </c>
      <c r="E292" s="181" t="s">
        <v>97</v>
      </c>
      <c r="F292" s="155">
        <v>10.220000000000001</v>
      </c>
      <c r="G292" s="155">
        <f t="shared" si="35"/>
        <v>9.8145000000000007</v>
      </c>
      <c r="H292" s="155" t="s">
        <v>68</v>
      </c>
      <c r="I292" s="155">
        <f t="shared" si="36"/>
        <v>8944.2214999999978</v>
      </c>
      <c r="J292" s="155">
        <f t="shared" si="37"/>
        <v>10784.358500000004</v>
      </c>
      <c r="K292" s="205">
        <f t="shared" si="34"/>
        <v>295.63675796829637</v>
      </c>
      <c r="L292" s="210" t="s">
        <v>75</v>
      </c>
      <c r="M292" s="211">
        <f>J290-4</f>
        <v>10823.602500000005</v>
      </c>
      <c r="N292" s="59"/>
      <c r="Q292" s="59"/>
      <c r="R292" s="59"/>
      <c r="S292" s="59"/>
      <c r="T292" s="60"/>
      <c r="U292" s="60"/>
    </row>
    <row r="293" spans="2:21" s="52" customFormat="1" ht="13.5" customHeight="1">
      <c r="B293" s="180">
        <f>B291+1</f>
        <v>262</v>
      </c>
      <c r="C293" s="174">
        <v>2</v>
      </c>
      <c r="D293" s="209" t="s">
        <v>67</v>
      </c>
      <c r="E293" s="174">
        <f>E291+1</f>
        <v>262</v>
      </c>
      <c r="F293" s="175">
        <f>VLOOKUP(E293,'Deck Tally'!$B$5:$C$274,2,0)</f>
        <v>33.935000000000002</v>
      </c>
      <c r="G293" s="175">
        <f t="shared" si="35"/>
        <v>33.529499999999999</v>
      </c>
      <c r="H293" s="175" t="s">
        <v>68</v>
      </c>
      <c r="I293" s="175">
        <f t="shared" si="36"/>
        <v>8977.7509999999984</v>
      </c>
      <c r="J293" s="175">
        <f t="shared" si="37"/>
        <v>10750.829000000003</v>
      </c>
      <c r="K293" s="205">
        <f t="shared" si="34"/>
        <v>296.42637897402597</v>
      </c>
      <c r="N293" s="59"/>
      <c r="O293" s="59"/>
      <c r="P293" s="59"/>
      <c r="Q293" s="59"/>
      <c r="R293" s="59"/>
      <c r="S293" s="59"/>
      <c r="T293" s="60"/>
      <c r="U293" s="60"/>
    </row>
    <row r="294" spans="2:21" s="52" customFormat="1" ht="13.5" customHeight="1">
      <c r="B294" s="180">
        <f t="shared" ref="B294:B328" si="38">B293+1</f>
        <v>263</v>
      </c>
      <c r="C294" s="174">
        <v>2</v>
      </c>
      <c r="D294" s="209" t="s">
        <v>67</v>
      </c>
      <c r="E294" s="174">
        <f t="shared" ref="E294:E328" si="39">E293+1</f>
        <v>263</v>
      </c>
      <c r="F294" s="175">
        <f>VLOOKUP(E294,'Deck Tally'!$B$5:$C$274,2,0)</f>
        <v>33.954999999999998</v>
      </c>
      <c r="G294" s="175">
        <f t="shared" si="35"/>
        <v>33.549499999999995</v>
      </c>
      <c r="H294" s="175" t="s">
        <v>68</v>
      </c>
      <c r="I294" s="175">
        <f t="shared" si="36"/>
        <v>9011.3004999999976</v>
      </c>
      <c r="J294" s="175">
        <f t="shared" si="37"/>
        <v>10717.279500000004</v>
      </c>
      <c r="K294" s="205">
        <f t="shared" si="34"/>
        <v>297.21647098051949</v>
      </c>
      <c r="L294" s="178"/>
      <c r="M294" s="179"/>
      <c r="N294" s="59"/>
      <c r="O294" s="59"/>
      <c r="P294" s="59"/>
      <c r="Q294" s="59"/>
      <c r="R294" s="59"/>
      <c r="S294" s="59"/>
      <c r="T294" s="60"/>
      <c r="U294" s="60"/>
    </row>
    <row r="295" spans="2:21" s="52" customFormat="1" ht="13.5" customHeight="1">
      <c r="B295" s="180">
        <f t="shared" si="38"/>
        <v>264</v>
      </c>
      <c r="C295" s="174">
        <v>2</v>
      </c>
      <c r="D295" s="209" t="s">
        <v>67</v>
      </c>
      <c r="E295" s="174">
        <f t="shared" si="39"/>
        <v>264</v>
      </c>
      <c r="F295" s="175">
        <f>VLOOKUP(E295,'Deck Tally'!$B$5:$C$274,2,0)</f>
        <v>33.935000000000002</v>
      </c>
      <c r="G295" s="175">
        <f t="shared" si="35"/>
        <v>33.529499999999999</v>
      </c>
      <c r="H295" s="175" t="s">
        <v>68</v>
      </c>
      <c r="I295" s="175">
        <f t="shared" si="36"/>
        <v>9044.8299999999981</v>
      </c>
      <c r="J295" s="175">
        <f t="shared" si="37"/>
        <v>10683.750000000004</v>
      </c>
      <c r="K295" s="205">
        <f t="shared" si="34"/>
        <v>298.00609198624903</v>
      </c>
      <c r="L295" s="178"/>
      <c r="M295" s="179"/>
      <c r="N295" s="59"/>
      <c r="O295" s="59"/>
      <c r="P295" s="59"/>
      <c r="Q295" s="59"/>
      <c r="R295" s="59"/>
      <c r="S295" s="59"/>
      <c r="T295" s="60"/>
      <c r="U295" s="60"/>
    </row>
    <row r="296" spans="2:21" s="52" customFormat="1" ht="13.5" customHeight="1">
      <c r="B296" s="180">
        <f t="shared" si="38"/>
        <v>265</v>
      </c>
      <c r="C296" s="174">
        <v>2</v>
      </c>
      <c r="D296" s="209" t="s">
        <v>67</v>
      </c>
      <c r="E296" s="174">
        <f t="shared" si="39"/>
        <v>265</v>
      </c>
      <c r="F296" s="175">
        <f>VLOOKUP(E296,'Deck Tally'!$B$5:$C$274,2,0)</f>
        <v>33.935000000000002</v>
      </c>
      <c r="G296" s="175">
        <f t="shared" si="35"/>
        <v>33.529499999999999</v>
      </c>
      <c r="H296" s="175" t="s">
        <v>68</v>
      </c>
      <c r="I296" s="175">
        <f t="shared" si="36"/>
        <v>9078.3594999999987</v>
      </c>
      <c r="J296" s="175">
        <f t="shared" si="37"/>
        <v>10650.220500000003</v>
      </c>
      <c r="K296" s="205">
        <f t="shared" si="34"/>
        <v>298.79571299197858</v>
      </c>
      <c r="L296" s="178"/>
      <c r="M296" s="179"/>
      <c r="N296" s="59"/>
      <c r="O296" s="59"/>
      <c r="P296" s="59"/>
      <c r="Q296" s="59"/>
      <c r="R296" s="59"/>
      <c r="S296" s="59"/>
      <c r="T296" s="60"/>
      <c r="U296" s="60"/>
    </row>
    <row r="297" spans="2:21" s="52" customFormat="1" ht="13.5" customHeight="1">
      <c r="B297" s="180">
        <f t="shared" si="38"/>
        <v>266</v>
      </c>
      <c r="C297" s="174">
        <v>2</v>
      </c>
      <c r="D297" s="209" t="s">
        <v>67</v>
      </c>
      <c r="E297" s="174">
        <f t="shared" si="39"/>
        <v>266</v>
      </c>
      <c r="F297" s="175">
        <f>VLOOKUP(E297,'Deck Tally'!$B$5:$C$274,2,0)</f>
        <v>33.950000000000003</v>
      </c>
      <c r="G297" s="175">
        <f t="shared" si="35"/>
        <v>33.544499999999999</v>
      </c>
      <c r="H297" s="175" t="s">
        <v>68</v>
      </c>
      <c r="I297" s="175">
        <f t="shared" si="36"/>
        <v>9111.9039999999986</v>
      </c>
      <c r="J297" s="175">
        <f t="shared" si="37"/>
        <v>10616.676000000003</v>
      </c>
      <c r="K297" s="205">
        <f t="shared" si="34"/>
        <v>299.58568724828115</v>
      </c>
      <c r="L297" s="212"/>
      <c r="M297" s="213"/>
      <c r="N297" s="59"/>
      <c r="O297" s="59"/>
      <c r="P297" s="59"/>
      <c r="Q297" s="59"/>
      <c r="R297" s="59"/>
      <c r="S297" s="59"/>
      <c r="T297" s="60"/>
      <c r="U297" s="60"/>
    </row>
    <row r="298" spans="2:21" s="52" customFormat="1" ht="13.5" customHeight="1">
      <c r="B298" s="180">
        <f t="shared" si="38"/>
        <v>267</v>
      </c>
      <c r="C298" s="174">
        <v>2</v>
      </c>
      <c r="D298" s="209" t="s">
        <v>67</v>
      </c>
      <c r="E298" s="174">
        <f t="shared" si="39"/>
        <v>267</v>
      </c>
      <c r="F298" s="175">
        <f>VLOOKUP(E298,'Deck Tally'!$B$5:$C$275,2,0)</f>
        <v>33.93</v>
      </c>
      <c r="G298" s="175">
        <f t="shared" si="35"/>
        <v>33.524500000000003</v>
      </c>
      <c r="H298" s="175" t="s">
        <v>68</v>
      </c>
      <c r="I298" s="175">
        <f t="shared" si="36"/>
        <v>9145.4284999999982</v>
      </c>
      <c r="J298" s="175">
        <f t="shared" si="37"/>
        <v>10583.151500000004</v>
      </c>
      <c r="K298" s="205">
        <f t="shared" si="34"/>
        <v>300.37519050381968</v>
      </c>
      <c r="L298" s="212"/>
      <c r="M298" s="213"/>
      <c r="N298" s="59"/>
      <c r="O298" s="59"/>
      <c r="P298" s="59"/>
      <c r="Q298" s="59"/>
      <c r="R298" s="59"/>
      <c r="S298" s="59"/>
      <c r="T298" s="60"/>
      <c r="U298" s="60"/>
    </row>
    <row r="299" spans="2:21" s="52" customFormat="1" ht="13.5" customHeight="1">
      <c r="B299" s="180">
        <f t="shared" si="38"/>
        <v>268</v>
      </c>
      <c r="C299" s="174">
        <v>2</v>
      </c>
      <c r="D299" s="209" t="s">
        <v>67</v>
      </c>
      <c r="E299" s="174">
        <f t="shared" si="39"/>
        <v>268</v>
      </c>
      <c r="F299" s="175">
        <f>VLOOKUP(E299,'Deck Tally'!$B$5:$C$276,2,0)</f>
        <v>33.895000000000003</v>
      </c>
      <c r="G299" s="175">
        <f t="shared" si="35"/>
        <v>33.489500000000007</v>
      </c>
      <c r="H299" s="175" t="s">
        <v>68</v>
      </c>
      <c r="I299" s="175">
        <f t="shared" si="36"/>
        <v>9178.9179999999978</v>
      </c>
      <c r="J299" s="175">
        <f t="shared" si="37"/>
        <v>10549.662000000004</v>
      </c>
      <c r="K299" s="205">
        <f t="shared" si="34"/>
        <v>301.16386950802132</v>
      </c>
      <c r="L299" s="212"/>
      <c r="M299" s="213"/>
      <c r="N299" s="59"/>
      <c r="O299" s="59"/>
      <c r="P299" s="59"/>
      <c r="Q299" s="59"/>
      <c r="R299" s="59"/>
      <c r="S299" s="59"/>
      <c r="T299" s="60"/>
      <c r="U299" s="60"/>
    </row>
    <row r="300" spans="2:21" s="52" customFormat="1" ht="13.5" customHeight="1">
      <c r="B300" s="180">
        <f t="shared" si="38"/>
        <v>269</v>
      </c>
      <c r="C300" s="172">
        <v>2</v>
      </c>
      <c r="D300" s="173" t="s">
        <v>67</v>
      </c>
      <c r="E300" s="174">
        <f t="shared" si="39"/>
        <v>269</v>
      </c>
      <c r="F300" s="176">
        <f>VLOOKUP(E300,'Deck Tally'!$B$5:$C$280,2,0)</f>
        <v>32.484999999999999</v>
      </c>
      <c r="G300" s="176">
        <f t="shared" si="35"/>
        <v>32.079499999999996</v>
      </c>
      <c r="H300" s="176" t="s">
        <v>68</v>
      </c>
      <c r="I300" s="176">
        <f t="shared" si="36"/>
        <v>9210.9974999999977</v>
      </c>
      <c r="J300" s="176">
        <f t="shared" si="37"/>
        <v>10517.582500000004</v>
      </c>
      <c r="K300" s="177">
        <f t="shared" si="34"/>
        <v>301.91934295836512</v>
      </c>
      <c r="L300" s="217"/>
      <c r="M300" s="218"/>
      <c r="N300" s="59"/>
      <c r="O300" s="59"/>
      <c r="P300" s="59"/>
      <c r="Q300" s="59"/>
      <c r="R300" s="59"/>
      <c r="S300" s="59"/>
      <c r="T300" s="60"/>
      <c r="U300" s="60"/>
    </row>
    <row r="301" spans="2:21" s="52" customFormat="1" ht="13.5" customHeight="1">
      <c r="B301" s="180">
        <f t="shared" si="38"/>
        <v>270</v>
      </c>
      <c r="C301" s="172">
        <v>2</v>
      </c>
      <c r="D301" s="173" t="s">
        <v>67</v>
      </c>
      <c r="E301" s="174">
        <f t="shared" si="39"/>
        <v>270</v>
      </c>
      <c r="F301" s="176">
        <f>VLOOKUP(E301,'Deck Tally'!$B$5:$C$281,2,0)</f>
        <v>33.844999999999999</v>
      </c>
      <c r="G301" s="176">
        <f t="shared" si="35"/>
        <v>33.439499999999995</v>
      </c>
      <c r="H301" s="176" t="s">
        <v>68</v>
      </c>
      <c r="I301" s="176">
        <f t="shared" si="36"/>
        <v>9244.4369999999981</v>
      </c>
      <c r="J301" s="176">
        <f t="shared" si="37"/>
        <v>10484.143000000004</v>
      </c>
      <c r="K301" s="177">
        <f t="shared" si="34"/>
        <v>302.70684446065695</v>
      </c>
      <c r="L301" s="217"/>
      <c r="M301" s="218"/>
      <c r="N301" s="59"/>
      <c r="O301" s="59"/>
      <c r="P301" s="59"/>
      <c r="Q301" s="59"/>
      <c r="R301" s="59"/>
      <c r="S301" s="59"/>
      <c r="T301" s="60"/>
      <c r="U301" s="60"/>
    </row>
    <row r="302" spans="2:21" s="52" customFormat="1" ht="13.5" customHeight="1">
      <c r="B302" s="180">
        <f t="shared" si="38"/>
        <v>271</v>
      </c>
      <c r="C302" s="172">
        <v>2</v>
      </c>
      <c r="D302" s="173" t="s">
        <v>67</v>
      </c>
      <c r="E302" s="174">
        <f t="shared" si="39"/>
        <v>271</v>
      </c>
      <c r="F302" s="176">
        <f>VLOOKUP(E302,'Deck Tally'!$B$5:$C$282,2,0)</f>
        <v>33.950000000000003</v>
      </c>
      <c r="G302" s="176">
        <f t="shared" si="35"/>
        <v>33.544499999999999</v>
      </c>
      <c r="H302" s="176" t="s">
        <v>68</v>
      </c>
      <c r="I302" s="176">
        <f t="shared" si="36"/>
        <v>9277.9814999999981</v>
      </c>
      <c r="J302" s="176">
        <f t="shared" si="37"/>
        <v>10450.598500000004</v>
      </c>
      <c r="K302" s="177">
        <f t="shared" si="34"/>
        <v>303.49681871695947</v>
      </c>
      <c r="L302" s="476"/>
      <c r="M302" s="477"/>
      <c r="N302" s="59"/>
      <c r="O302" s="59"/>
      <c r="P302" s="59"/>
      <c r="Q302" s="59"/>
      <c r="R302" s="59"/>
      <c r="S302" s="59"/>
      <c r="T302" s="60"/>
      <c r="U302" s="60"/>
    </row>
    <row r="303" spans="2:21" s="52" customFormat="1" ht="13.5" customHeight="1">
      <c r="B303" s="180">
        <f t="shared" si="38"/>
        <v>272</v>
      </c>
      <c r="C303" s="172">
        <v>2</v>
      </c>
      <c r="D303" s="173" t="s">
        <v>67</v>
      </c>
      <c r="E303" s="174">
        <f t="shared" si="39"/>
        <v>272</v>
      </c>
      <c r="F303" s="176">
        <f>VLOOKUP(E303,'Deck Tally'!$B$5:$C$283,2,0)</f>
        <v>33.950000000000003</v>
      </c>
      <c r="G303" s="176">
        <f t="shared" si="35"/>
        <v>33.544499999999999</v>
      </c>
      <c r="H303" s="176" t="s">
        <v>68</v>
      </c>
      <c r="I303" s="176">
        <f t="shared" si="36"/>
        <v>9311.525999999998</v>
      </c>
      <c r="J303" s="176">
        <f t="shared" si="37"/>
        <v>10417.054000000004</v>
      </c>
      <c r="K303" s="177">
        <f t="shared" si="34"/>
        <v>304.28679297326198</v>
      </c>
      <c r="L303" s="457"/>
      <c r="M303" s="458"/>
      <c r="N303" s="59"/>
      <c r="O303" s="187"/>
      <c r="P303" s="59"/>
      <c r="Q303" s="59"/>
      <c r="R303" s="59"/>
      <c r="S303" s="59"/>
      <c r="T303" s="60"/>
      <c r="U303" s="60"/>
    </row>
    <row r="304" spans="2:21" s="52" customFormat="1" ht="13.5" customHeight="1">
      <c r="B304" s="180">
        <f t="shared" si="38"/>
        <v>273</v>
      </c>
      <c r="C304" s="172">
        <v>2</v>
      </c>
      <c r="D304" s="173" t="s">
        <v>67</v>
      </c>
      <c r="E304" s="174">
        <f t="shared" si="39"/>
        <v>273</v>
      </c>
      <c r="F304" s="176">
        <f>VLOOKUP(E304,'Deck Tally'!$B$5:$C$284,2,0)</f>
        <v>33.954999999999998</v>
      </c>
      <c r="G304" s="176">
        <f t="shared" si="35"/>
        <v>33.549499999999995</v>
      </c>
      <c r="H304" s="176" t="s">
        <v>68</v>
      </c>
      <c r="I304" s="176">
        <f t="shared" si="36"/>
        <v>9345.0754999999972</v>
      </c>
      <c r="J304" s="176">
        <f t="shared" si="37"/>
        <v>10383.504500000005</v>
      </c>
      <c r="K304" s="177">
        <f t="shared" si="34"/>
        <v>305.0768849797555</v>
      </c>
      <c r="L304" s="203"/>
      <c r="M304" s="204"/>
      <c r="N304" s="59"/>
      <c r="O304" s="59"/>
      <c r="P304" s="59"/>
      <c r="Q304" s="59"/>
      <c r="R304" s="59"/>
      <c r="S304" s="59"/>
      <c r="T304" s="60"/>
      <c r="U304" s="60"/>
    </row>
    <row r="305" spans="2:21" s="52" customFormat="1" ht="13.5" customHeight="1">
      <c r="B305" s="180">
        <f t="shared" si="38"/>
        <v>274</v>
      </c>
      <c r="C305" s="172">
        <v>2</v>
      </c>
      <c r="D305" s="173" t="s">
        <v>67</v>
      </c>
      <c r="E305" s="174">
        <f t="shared" si="39"/>
        <v>274</v>
      </c>
      <c r="F305" s="176">
        <f>VLOOKUP(E305,'Deck Tally'!$B$5:$C$284,2,0)</f>
        <v>33.950000000000003</v>
      </c>
      <c r="G305" s="176">
        <f t="shared" si="35"/>
        <v>33.544499999999999</v>
      </c>
      <c r="H305" s="176" t="s">
        <v>68</v>
      </c>
      <c r="I305" s="176">
        <f t="shared" si="36"/>
        <v>9378.6199999999972</v>
      </c>
      <c r="J305" s="176">
        <f t="shared" si="37"/>
        <v>10349.960000000005</v>
      </c>
      <c r="K305" s="177">
        <f t="shared" si="34"/>
        <v>305.86685923605802</v>
      </c>
      <c r="L305" s="219"/>
      <c r="M305" s="220"/>
      <c r="N305" s="59"/>
      <c r="O305" s="59"/>
      <c r="P305" s="59"/>
      <c r="Q305" s="59"/>
      <c r="R305" s="59"/>
      <c r="S305" s="59"/>
      <c r="T305" s="60"/>
      <c r="U305" s="60"/>
    </row>
    <row r="306" spans="2:21" s="52" customFormat="1" ht="13.5" customHeight="1">
      <c r="B306" s="180">
        <f t="shared" si="38"/>
        <v>275</v>
      </c>
      <c r="C306" s="174">
        <v>2</v>
      </c>
      <c r="D306" s="209" t="s">
        <v>67</v>
      </c>
      <c r="E306" s="174">
        <f t="shared" si="39"/>
        <v>275</v>
      </c>
      <c r="F306" s="175">
        <f>VLOOKUP(E306,'Deck Tally'!$B$5:$C$284,2,0)</f>
        <v>33.950000000000003</v>
      </c>
      <c r="G306" s="175">
        <f t="shared" ref="G306:G337" si="40">F306-($E$11/12)</f>
        <v>33.544499999999999</v>
      </c>
      <c r="H306" s="175" t="s">
        <v>68</v>
      </c>
      <c r="I306" s="175">
        <f t="shared" si="36"/>
        <v>9412.1644999999971</v>
      </c>
      <c r="J306" s="175">
        <f t="shared" si="37"/>
        <v>10316.415500000005</v>
      </c>
      <c r="K306" s="205">
        <f t="shared" si="34"/>
        <v>306.65683349236053</v>
      </c>
      <c r="L306" s="219"/>
      <c r="M306" s="220"/>
      <c r="N306" s="59"/>
      <c r="O306" s="59"/>
      <c r="P306" s="59"/>
      <c r="Q306" s="59"/>
      <c r="R306" s="59"/>
      <c r="S306" s="59"/>
      <c r="T306" s="60"/>
      <c r="U306" s="60"/>
    </row>
    <row r="307" spans="2:21" s="52" customFormat="1" ht="13.5" customHeight="1">
      <c r="B307" s="180">
        <f t="shared" si="38"/>
        <v>276</v>
      </c>
      <c r="C307" s="174">
        <v>2</v>
      </c>
      <c r="D307" s="209" t="s">
        <v>67</v>
      </c>
      <c r="E307" s="174">
        <f t="shared" si="39"/>
        <v>276</v>
      </c>
      <c r="F307" s="175">
        <f>VLOOKUP(E307,'Deck Tally'!$B$5:$C$284,2,0)</f>
        <v>33.950000000000003</v>
      </c>
      <c r="G307" s="175">
        <f t="shared" si="40"/>
        <v>33.544499999999999</v>
      </c>
      <c r="H307" s="175" t="s">
        <v>68</v>
      </c>
      <c r="I307" s="175">
        <f t="shared" si="36"/>
        <v>9445.7089999999971</v>
      </c>
      <c r="J307" s="175">
        <f t="shared" si="37"/>
        <v>10282.871000000005</v>
      </c>
      <c r="K307" s="205">
        <f t="shared" si="34"/>
        <v>307.4468077486631</v>
      </c>
      <c r="L307" s="219"/>
      <c r="M307" s="220"/>
      <c r="N307" s="59"/>
      <c r="O307" s="59"/>
      <c r="P307" s="59"/>
      <c r="Q307" s="59"/>
      <c r="R307" s="59"/>
      <c r="S307" s="59"/>
      <c r="T307" s="60"/>
      <c r="U307" s="60"/>
    </row>
    <row r="308" spans="2:21" s="52" customFormat="1" ht="13.5" customHeight="1">
      <c r="B308" s="180">
        <f t="shared" si="38"/>
        <v>277</v>
      </c>
      <c r="C308" s="174">
        <v>2</v>
      </c>
      <c r="D308" s="209" t="s">
        <v>67</v>
      </c>
      <c r="E308" s="174">
        <f t="shared" si="39"/>
        <v>277</v>
      </c>
      <c r="F308" s="175">
        <f>VLOOKUP(E308,'Deck Tally'!$B$5:$C$284,2,0)</f>
        <v>33.950000000000003</v>
      </c>
      <c r="G308" s="175">
        <f t="shared" si="40"/>
        <v>33.544499999999999</v>
      </c>
      <c r="H308" s="175" t="s">
        <v>68</v>
      </c>
      <c r="I308" s="175">
        <f t="shared" si="36"/>
        <v>9479.2534999999971</v>
      </c>
      <c r="J308" s="175">
        <f t="shared" si="37"/>
        <v>10249.326500000005</v>
      </c>
      <c r="K308" s="205">
        <f t="shared" si="34"/>
        <v>308.23678200496556</v>
      </c>
      <c r="L308" s="219"/>
      <c r="M308" s="220"/>
      <c r="N308" s="59"/>
      <c r="O308" s="59"/>
      <c r="P308" s="59"/>
      <c r="Q308" s="59"/>
      <c r="R308" s="59"/>
      <c r="S308" s="59"/>
      <c r="T308" s="60"/>
      <c r="U308" s="60"/>
    </row>
    <row r="309" spans="2:21" s="52" customFormat="1" ht="13.5" customHeight="1">
      <c r="B309" s="180">
        <f t="shared" si="38"/>
        <v>278</v>
      </c>
      <c r="C309" s="174">
        <v>2</v>
      </c>
      <c r="D309" s="209" t="s">
        <v>67</v>
      </c>
      <c r="E309" s="174">
        <f t="shared" si="39"/>
        <v>278</v>
      </c>
      <c r="F309" s="175">
        <f>VLOOKUP(E309,'Deck Tally'!$B$5:$C$284,2,0)</f>
        <v>33.950000000000003</v>
      </c>
      <c r="G309" s="175">
        <f t="shared" si="40"/>
        <v>33.544499999999999</v>
      </c>
      <c r="H309" s="175" t="s">
        <v>68</v>
      </c>
      <c r="I309" s="175">
        <f t="shared" si="36"/>
        <v>9512.797999999997</v>
      </c>
      <c r="J309" s="175">
        <f t="shared" si="37"/>
        <v>10215.782000000005</v>
      </c>
      <c r="K309" s="205">
        <f t="shared" si="34"/>
        <v>309.02675626126813</v>
      </c>
      <c r="N309" s="59"/>
      <c r="O309" s="59"/>
      <c r="P309" s="59"/>
      <c r="Q309" s="59"/>
      <c r="R309" s="59"/>
      <c r="S309" s="59"/>
      <c r="T309" s="60"/>
      <c r="U309" s="60"/>
    </row>
    <row r="310" spans="2:21" s="52" customFormat="1" ht="13.5" customHeight="1">
      <c r="B310" s="172">
        <f t="shared" si="38"/>
        <v>279</v>
      </c>
      <c r="C310" s="174">
        <v>2</v>
      </c>
      <c r="D310" s="209" t="s">
        <v>67</v>
      </c>
      <c r="E310" s="174">
        <f t="shared" si="39"/>
        <v>279</v>
      </c>
      <c r="F310" s="175">
        <f>VLOOKUP(E310,'Deck Tally'!$B$5:$C$319,2,0)</f>
        <v>33.950000000000003</v>
      </c>
      <c r="G310" s="175">
        <f t="shared" si="40"/>
        <v>33.544499999999999</v>
      </c>
      <c r="H310" s="175" t="s">
        <v>68</v>
      </c>
      <c r="I310" s="175">
        <f t="shared" si="36"/>
        <v>9546.342499999997</v>
      </c>
      <c r="J310" s="175">
        <f t="shared" si="37"/>
        <v>10182.237500000005</v>
      </c>
      <c r="K310" s="205">
        <f t="shared" si="34"/>
        <v>309.81673051757059</v>
      </c>
      <c r="L310" s="476"/>
      <c r="M310" s="477"/>
      <c r="N310" s="59"/>
      <c r="Q310" s="59"/>
      <c r="R310" s="59"/>
      <c r="S310" s="59"/>
      <c r="T310" s="60"/>
      <c r="U310" s="60"/>
    </row>
    <row r="311" spans="2:21" s="52" customFormat="1" ht="14.1" customHeight="1">
      <c r="B311" s="180">
        <f t="shared" si="38"/>
        <v>280</v>
      </c>
      <c r="C311" s="174">
        <v>2</v>
      </c>
      <c r="D311" s="209" t="s">
        <v>67</v>
      </c>
      <c r="E311" s="174">
        <f t="shared" si="39"/>
        <v>280</v>
      </c>
      <c r="F311" s="175">
        <f>VLOOKUP(E311,'Deck Tally'!$B$5:$C$319,2,0)</f>
        <v>33.950000000000003</v>
      </c>
      <c r="G311" s="175">
        <f t="shared" si="40"/>
        <v>33.544499999999999</v>
      </c>
      <c r="H311" s="175" t="s">
        <v>68</v>
      </c>
      <c r="I311" s="175">
        <f t="shared" si="36"/>
        <v>9579.886999999997</v>
      </c>
      <c r="J311" s="175">
        <f t="shared" si="37"/>
        <v>10148.693000000005</v>
      </c>
      <c r="K311" s="205">
        <f t="shared" si="34"/>
        <v>310.60670477387316</v>
      </c>
      <c r="L311" s="457"/>
      <c r="M311" s="458"/>
      <c r="N311" s="59"/>
      <c r="Q311" s="59"/>
      <c r="R311" s="59"/>
      <c r="S311" s="59"/>
      <c r="T311" s="60"/>
      <c r="U311" s="60"/>
    </row>
    <row r="312" spans="2:21" s="52" customFormat="1" ht="13.5" customHeight="1">
      <c r="B312" s="180">
        <f t="shared" si="38"/>
        <v>281</v>
      </c>
      <c r="C312" s="174">
        <v>2</v>
      </c>
      <c r="D312" s="209" t="s">
        <v>67</v>
      </c>
      <c r="E312" s="174">
        <f t="shared" si="39"/>
        <v>281</v>
      </c>
      <c r="F312" s="175">
        <f>VLOOKUP(E312,'Deck Tally'!$B$5:$C$319,2,0)</f>
        <v>33.215000000000003</v>
      </c>
      <c r="G312" s="175">
        <f t="shared" si="40"/>
        <v>32.8095</v>
      </c>
      <c r="H312" s="175" t="s">
        <v>68</v>
      </c>
      <c r="I312" s="175">
        <f t="shared" si="36"/>
        <v>9612.6964999999964</v>
      </c>
      <c r="J312" s="175">
        <f t="shared" si="37"/>
        <v>10115.883500000005</v>
      </c>
      <c r="K312" s="205">
        <f t="shared" si="34"/>
        <v>311.37936975210073</v>
      </c>
      <c r="L312" s="219"/>
      <c r="M312" s="220"/>
      <c r="N312" s="59"/>
      <c r="O312" s="59"/>
      <c r="P312" s="59"/>
      <c r="Q312" s="59"/>
      <c r="R312" s="59"/>
      <c r="S312" s="59"/>
      <c r="T312" s="60"/>
      <c r="U312" s="60"/>
    </row>
    <row r="313" spans="2:21" s="52" customFormat="1" ht="13.5" customHeight="1">
      <c r="B313" s="180">
        <f t="shared" si="38"/>
        <v>282</v>
      </c>
      <c r="C313" s="174">
        <v>2</v>
      </c>
      <c r="D313" s="209" t="s">
        <v>67</v>
      </c>
      <c r="E313" s="174">
        <f t="shared" si="39"/>
        <v>282</v>
      </c>
      <c r="F313" s="175">
        <f>VLOOKUP(E313,'Deck Tally'!$B$5:$C$319,2,0)</f>
        <v>33.954999999999998</v>
      </c>
      <c r="G313" s="175">
        <f t="shared" si="40"/>
        <v>33.549499999999995</v>
      </c>
      <c r="H313" s="175" t="s">
        <v>68</v>
      </c>
      <c r="I313" s="175">
        <f t="shared" si="36"/>
        <v>9646.2459999999955</v>
      </c>
      <c r="J313" s="175">
        <f t="shared" si="37"/>
        <v>10082.334000000006</v>
      </c>
      <c r="K313" s="205">
        <f t="shared" si="34"/>
        <v>312.16946175859425</v>
      </c>
      <c r="L313" s="459" t="s">
        <v>98</v>
      </c>
      <c r="M313" s="460"/>
      <c r="N313" s="59"/>
      <c r="O313" s="59"/>
      <c r="P313" s="59"/>
      <c r="Q313" s="59"/>
      <c r="R313" s="59"/>
      <c r="S313" s="59"/>
      <c r="T313" s="60"/>
      <c r="U313" s="60"/>
    </row>
    <row r="314" spans="2:21" s="52" customFormat="1" ht="13.5" customHeight="1">
      <c r="B314" s="180">
        <f t="shared" si="38"/>
        <v>283</v>
      </c>
      <c r="C314" s="174">
        <v>2</v>
      </c>
      <c r="D314" s="209" t="s">
        <v>67</v>
      </c>
      <c r="E314" s="174">
        <f t="shared" si="39"/>
        <v>283</v>
      </c>
      <c r="F314" s="175">
        <f>VLOOKUP(E314,'Deck Tally'!$B$5:$C$319,2,0)</f>
        <v>33.93</v>
      </c>
      <c r="G314" s="175">
        <f t="shared" si="40"/>
        <v>33.524500000000003</v>
      </c>
      <c r="H314" s="175" t="s">
        <v>68</v>
      </c>
      <c r="I314" s="175">
        <f t="shared" si="36"/>
        <v>9679.7704999999951</v>
      </c>
      <c r="J314" s="175">
        <f t="shared" si="37"/>
        <v>10048.809500000007</v>
      </c>
      <c r="K314" s="205">
        <f t="shared" si="34"/>
        <v>312.95896501413279</v>
      </c>
      <c r="L314" s="459" t="s">
        <v>99</v>
      </c>
      <c r="M314" s="460"/>
      <c r="N314" s="59"/>
      <c r="O314" s="59"/>
      <c r="P314" s="59"/>
      <c r="Q314" s="59"/>
      <c r="R314" s="59"/>
      <c r="S314" s="59"/>
      <c r="T314" s="60"/>
      <c r="U314" s="60"/>
    </row>
    <row r="315" spans="2:21" s="52" customFormat="1" ht="13.5" customHeight="1">
      <c r="B315" s="180">
        <f t="shared" si="38"/>
        <v>284</v>
      </c>
      <c r="C315" s="174">
        <v>2</v>
      </c>
      <c r="D315" s="209" t="s">
        <v>67</v>
      </c>
      <c r="E315" s="174">
        <f t="shared" si="39"/>
        <v>284</v>
      </c>
      <c r="F315" s="175">
        <f>VLOOKUP(E315,'Deck Tally'!$B$5:$C$319,2,0)</f>
        <v>32.89</v>
      </c>
      <c r="G315" s="175">
        <f t="shared" si="40"/>
        <v>32.484499999999997</v>
      </c>
      <c r="H315" s="175" t="s">
        <v>68</v>
      </c>
      <c r="I315" s="175">
        <f t="shared" si="36"/>
        <v>9712.2549999999956</v>
      </c>
      <c r="J315" s="175">
        <f t="shared" si="37"/>
        <v>10016.325000000006</v>
      </c>
      <c r="K315" s="205">
        <f t="shared" si="34"/>
        <v>313.7239762299464</v>
      </c>
      <c r="L315" s="219"/>
      <c r="M315" s="220"/>
      <c r="N315" s="59"/>
      <c r="O315" s="59"/>
      <c r="P315" s="59"/>
      <c r="Q315" s="59"/>
      <c r="R315" s="59"/>
      <c r="S315" s="59"/>
      <c r="T315" s="60"/>
      <c r="U315" s="60"/>
    </row>
    <row r="316" spans="2:21" s="52" customFormat="1" ht="13.5" customHeight="1">
      <c r="B316" s="180">
        <f t="shared" si="38"/>
        <v>285</v>
      </c>
      <c r="C316" s="174">
        <v>2</v>
      </c>
      <c r="D316" s="209" t="s">
        <v>67</v>
      </c>
      <c r="E316" s="174">
        <f t="shared" si="39"/>
        <v>285</v>
      </c>
      <c r="F316" s="175">
        <f>VLOOKUP(E316,'Deck Tally'!$B$5:$C$319,2,0)</f>
        <v>33.950000000000003</v>
      </c>
      <c r="G316" s="175">
        <f t="shared" si="40"/>
        <v>33.544499999999999</v>
      </c>
      <c r="H316" s="175" t="s">
        <v>68</v>
      </c>
      <c r="I316" s="175">
        <f t="shared" si="36"/>
        <v>9745.7994999999955</v>
      </c>
      <c r="J316" s="175">
        <f t="shared" si="37"/>
        <v>9982.7805000000062</v>
      </c>
      <c r="K316" s="205">
        <f t="shared" si="34"/>
        <v>314.51395048624897</v>
      </c>
      <c r="L316" s="219"/>
      <c r="M316" s="220"/>
      <c r="N316" s="59"/>
      <c r="O316" s="59"/>
      <c r="P316" s="59"/>
      <c r="Q316" s="59"/>
      <c r="R316" s="59"/>
      <c r="S316" s="59"/>
      <c r="T316" s="60"/>
      <c r="U316" s="60"/>
    </row>
    <row r="317" spans="2:21" s="52" customFormat="1" ht="13.5" customHeight="1">
      <c r="B317" s="180">
        <f t="shared" si="38"/>
        <v>286</v>
      </c>
      <c r="C317" s="174">
        <v>2</v>
      </c>
      <c r="D317" s="209" t="s">
        <v>67</v>
      </c>
      <c r="E317" s="174">
        <f t="shared" si="39"/>
        <v>286</v>
      </c>
      <c r="F317" s="175">
        <f>VLOOKUP(E317,'Deck Tally'!$B$5:$C$319,2,0)</f>
        <v>33.954999999999998</v>
      </c>
      <c r="G317" s="175">
        <f t="shared" si="40"/>
        <v>33.549499999999995</v>
      </c>
      <c r="H317" s="175" t="s">
        <v>68</v>
      </c>
      <c r="I317" s="175">
        <f t="shared" si="36"/>
        <v>9779.3489999999947</v>
      </c>
      <c r="J317" s="175">
        <f t="shared" si="37"/>
        <v>9949.231000000007</v>
      </c>
      <c r="K317" s="205">
        <f t="shared" si="34"/>
        <v>315.30404249274244</v>
      </c>
      <c r="L317" s="219"/>
      <c r="M317" s="220"/>
      <c r="N317" s="59"/>
      <c r="O317" s="59"/>
      <c r="P317" s="59"/>
      <c r="Q317" s="59"/>
      <c r="R317" s="59"/>
      <c r="S317" s="59"/>
      <c r="T317" s="60"/>
      <c r="U317" s="60"/>
    </row>
    <row r="318" spans="2:21" s="52" customFormat="1" ht="13.5" hidden="1" customHeight="1">
      <c r="B318" s="221">
        <f t="shared" si="38"/>
        <v>287</v>
      </c>
      <c r="C318" s="222">
        <v>2</v>
      </c>
      <c r="D318" s="223" t="s">
        <v>67</v>
      </c>
      <c r="E318" s="222">
        <f t="shared" si="39"/>
        <v>287</v>
      </c>
      <c r="F318" s="224">
        <f>VLOOKUP(E318,'Deck Tally'!$B$5:$C$319,2,0)</f>
        <v>33.770000000000003</v>
      </c>
      <c r="G318" s="224">
        <f t="shared" si="40"/>
        <v>33.364500000000007</v>
      </c>
      <c r="H318" s="224" t="s">
        <v>100</v>
      </c>
      <c r="I318" s="224">
        <f t="shared" si="36"/>
        <v>9779.3489999999947</v>
      </c>
      <c r="J318" s="224">
        <f t="shared" si="37"/>
        <v>9949.231000000007</v>
      </c>
      <c r="K318" s="225">
        <f t="shared" si="34"/>
        <v>315.30404249274244</v>
      </c>
      <c r="L318" s="219"/>
      <c r="M318" s="220"/>
      <c r="N318" s="59"/>
      <c r="O318" s="59"/>
      <c r="P318" s="59"/>
      <c r="Q318" s="59"/>
      <c r="R318" s="59"/>
      <c r="S318" s="59"/>
      <c r="T318" s="60"/>
      <c r="U318" s="60"/>
    </row>
    <row r="319" spans="2:21" s="52" customFormat="1" ht="13.5" hidden="1" customHeight="1">
      <c r="B319" s="221">
        <f t="shared" si="38"/>
        <v>288</v>
      </c>
      <c r="C319" s="222">
        <v>2</v>
      </c>
      <c r="D319" s="223" t="s">
        <v>67</v>
      </c>
      <c r="E319" s="222">
        <f t="shared" si="39"/>
        <v>288</v>
      </c>
      <c r="F319" s="224">
        <f>VLOOKUP(E319,'Deck Tally'!$B$5:$C$319,2,0)</f>
        <v>33.954999999999998</v>
      </c>
      <c r="G319" s="224">
        <f t="shared" si="40"/>
        <v>33.549499999999995</v>
      </c>
      <c r="H319" s="224" t="s">
        <v>100</v>
      </c>
      <c r="I319" s="224">
        <f t="shared" si="36"/>
        <v>9779.3489999999947</v>
      </c>
      <c r="J319" s="224">
        <f t="shared" si="37"/>
        <v>9949.231000000007</v>
      </c>
      <c r="K319" s="225">
        <f t="shared" si="34"/>
        <v>315.30404249274244</v>
      </c>
      <c r="L319" s="219"/>
      <c r="M319" s="220"/>
      <c r="N319" s="59"/>
      <c r="O319" s="59"/>
      <c r="P319" s="59"/>
      <c r="Q319" s="59"/>
      <c r="R319" s="59"/>
      <c r="S319" s="59"/>
      <c r="T319" s="60"/>
      <c r="U319" s="60"/>
    </row>
    <row r="320" spans="2:21" s="52" customFormat="1" ht="13.5" hidden="1" customHeight="1">
      <c r="B320" s="221">
        <f t="shared" si="38"/>
        <v>289</v>
      </c>
      <c r="C320" s="222">
        <v>2</v>
      </c>
      <c r="D320" s="223" t="s">
        <v>67</v>
      </c>
      <c r="E320" s="222">
        <f t="shared" si="39"/>
        <v>289</v>
      </c>
      <c r="F320" s="224">
        <f>VLOOKUP(E320,'Deck Tally'!$B$5:$C$319,2,0)</f>
        <v>33.950000000000003</v>
      </c>
      <c r="G320" s="224">
        <f t="shared" si="40"/>
        <v>33.544499999999999</v>
      </c>
      <c r="H320" s="224" t="s">
        <v>100</v>
      </c>
      <c r="I320" s="224">
        <f t="shared" si="36"/>
        <v>9779.3489999999947</v>
      </c>
      <c r="J320" s="224">
        <f t="shared" si="37"/>
        <v>9949.231000000007</v>
      </c>
      <c r="K320" s="225">
        <f t="shared" si="34"/>
        <v>315.30404249274244</v>
      </c>
      <c r="L320" s="219"/>
      <c r="M320" s="220"/>
      <c r="N320" s="59"/>
      <c r="O320" s="59"/>
      <c r="P320" s="59"/>
      <c r="Q320" s="59"/>
      <c r="R320" s="59"/>
      <c r="S320" s="59"/>
      <c r="T320" s="60"/>
      <c r="U320" s="60"/>
    </row>
    <row r="321" spans="2:21" s="52" customFormat="1" ht="13.5" hidden="1" customHeight="1">
      <c r="B321" s="221">
        <f t="shared" si="38"/>
        <v>290</v>
      </c>
      <c r="C321" s="222">
        <v>2</v>
      </c>
      <c r="D321" s="223" t="s">
        <v>67</v>
      </c>
      <c r="E321" s="222">
        <f t="shared" si="39"/>
        <v>290</v>
      </c>
      <c r="F321" s="224">
        <f>VLOOKUP(E321,'Deck Tally'!$B$5:$C$319,2,0)</f>
        <v>33.945</v>
      </c>
      <c r="G321" s="224">
        <f t="shared" si="40"/>
        <v>33.539500000000004</v>
      </c>
      <c r="H321" s="224" t="s">
        <v>100</v>
      </c>
      <c r="I321" s="224">
        <f t="shared" si="36"/>
        <v>9779.3489999999947</v>
      </c>
      <c r="J321" s="224">
        <f t="shared" si="37"/>
        <v>9949.231000000007</v>
      </c>
      <c r="K321" s="225">
        <f t="shared" si="34"/>
        <v>315.30404249274244</v>
      </c>
      <c r="L321" s="219"/>
      <c r="M321" s="220"/>
      <c r="N321" s="59"/>
      <c r="O321" s="59"/>
      <c r="P321" s="59"/>
      <c r="Q321" s="59"/>
      <c r="R321" s="59"/>
      <c r="S321" s="59"/>
      <c r="T321" s="60"/>
      <c r="U321" s="60"/>
    </row>
    <row r="322" spans="2:21" s="52" customFormat="1" ht="13.5" hidden="1" customHeight="1">
      <c r="B322" s="221">
        <f t="shared" si="38"/>
        <v>291</v>
      </c>
      <c r="C322" s="222">
        <v>2</v>
      </c>
      <c r="D322" s="223" t="s">
        <v>67</v>
      </c>
      <c r="E322" s="222">
        <f t="shared" si="39"/>
        <v>291</v>
      </c>
      <c r="F322" s="224">
        <f>VLOOKUP(E322,'Deck Tally'!$B$5:$C$319,2,0)</f>
        <v>33.93</v>
      </c>
      <c r="G322" s="224">
        <f t="shared" si="40"/>
        <v>33.524500000000003</v>
      </c>
      <c r="H322" s="224" t="s">
        <v>100</v>
      </c>
      <c r="I322" s="224">
        <f t="shared" si="36"/>
        <v>9779.3489999999947</v>
      </c>
      <c r="J322" s="224">
        <f t="shared" si="37"/>
        <v>9949.231000000007</v>
      </c>
      <c r="K322" s="225">
        <f t="shared" si="34"/>
        <v>315.30404249274244</v>
      </c>
      <c r="L322" s="219"/>
      <c r="M322" s="220"/>
      <c r="N322" s="59"/>
      <c r="O322" s="59"/>
      <c r="P322" s="59"/>
      <c r="Q322" s="59"/>
      <c r="R322" s="59"/>
      <c r="S322" s="59"/>
      <c r="T322" s="60"/>
      <c r="U322" s="60"/>
    </row>
    <row r="323" spans="2:21" s="52" customFormat="1" ht="13.5" hidden="1" customHeight="1">
      <c r="B323" s="221">
        <f t="shared" si="38"/>
        <v>292</v>
      </c>
      <c r="C323" s="222">
        <v>2</v>
      </c>
      <c r="D323" s="223" t="s">
        <v>67</v>
      </c>
      <c r="E323" s="222">
        <f t="shared" si="39"/>
        <v>292</v>
      </c>
      <c r="F323" s="224">
        <f>VLOOKUP(E323,'Deck Tally'!$B$5:$C$319,2,0)</f>
        <v>33.924999999999997</v>
      </c>
      <c r="G323" s="224">
        <f t="shared" si="40"/>
        <v>33.519499999999994</v>
      </c>
      <c r="H323" s="224" t="s">
        <v>100</v>
      </c>
      <c r="I323" s="224">
        <f t="shared" si="36"/>
        <v>9779.3489999999947</v>
      </c>
      <c r="J323" s="224">
        <f t="shared" si="37"/>
        <v>9949.231000000007</v>
      </c>
      <c r="K323" s="225">
        <f t="shared" si="34"/>
        <v>315.30404249274244</v>
      </c>
      <c r="L323" s="219"/>
      <c r="M323" s="220"/>
      <c r="N323" s="59"/>
      <c r="O323" s="59"/>
      <c r="P323" s="59"/>
      <c r="Q323" s="59"/>
      <c r="R323" s="59"/>
      <c r="S323" s="59"/>
      <c r="T323" s="60"/>
      <c r="U323" s="60"/>
    </row>
    <row r="324" spans="2:21" s="52" customFormat="1" ht="13.5" hidden="1" customHeight="1">
      <c r="B324" s="221">
        <f t="shared" si="38"/>
        <v>293</v>
      </c>
      <c r="C324" s="222">
        <v>2</v>
      </c>
      <c r="D324" s="223" t="s">
        <v>67</v>
      </c>
      <c r="E324" s="222">
        <f t="shared" si="39"/>
        <v>293</v>
      </c>
      <c r="F324" s="224">
        <f>VLOOKUP(E324,'Deck Tally'!$B$5:$C$319,2,0)</f>
        <v>33.94</v>
      </c>
      <c r="G324" s="224">
        <f t="shared" si="40"/>
        <v>33.534499999999994</v>
      </c>
      <c r="H324" s="224" t="s">
        <v>100</v>
      </c>
      <c r="I324" s="224">
        <f t="shared" si="36"/>
        <v>9779.3489999999947</v>
      </c>
      <c r="J324" s="224">
        <f t="shared" si="37"/>
        <v>9949.231000000007</v>
      </c>
      <c r="K324" s="225">
        <f t="shared" si="34"/>
        <v>315.30404249274244</v>
      </c>
      <c r="L324" s="219"/>
      <c r="M324" s="220"/>
      <c r="N324" s="59"/>
      <c r="O324" s="59"/>
      <c r="P324" s="59"/>
      <c r="Q324" s="59"/>
      <c r="R324" s="59"/>
      <c r="S324" s="59"/>
      <c r="T324" s="60"/>
      <c r="U324" s="60"/>
    </row>
    <row r="325" spans="2:21" s="52" customFormat="1" ht="13.5" hidden="1" customHeight="1">
      <c r="B325" s="221">
        <f t="shared" si="38"/>
        <v>294</v>
      </c>
      <c r="C325" s="222">
        <v>2</v>
      </c>
      <c r="D325" s="223" t="s">
        <v>67</v>
      </c>
      <c r="E325" s="222">
        <f t="shared" si="39"/>
        <v>294</v>
      </c>
      <c r="F325" s="224">
        <f>VLOOKUP(E325,'Deck Tally'!$B$5:$C$319,2,0)</f>
        <v>33.924999999999997</v>
      </c>
      <c r="G325" s="224">
        <f t="shared" si="40"/>
        <v>33.519499999999994</v>
      </c>
      <c r="H325" s="224" t="s">
        <v>100</v>
      </c>
      <c r="I325" s="224">
        <f t="shared" si="36"/>
        <v>9779.3489999999947</v>
      </c>
      <c r="J325" s="224">
        <f t="shared" si="37"/>
        <v>9949.231000000007</v>
      </c>
      <c r="K325" s="225">
        <f t="shared" si="34"/>
        <v>315.30404249274244</v>
      </c>
      <c r="L325" s="219"/>
      <c r="M325" s="220"/>
      <c r="N325" s="59"/>
      <c r="O325" s="59"/>
      <c r="P325" s="59"/>
      <c r="Q325" s="59"/>
      <c r="R325" s="59"/>
      <c r="S325" s="59"/>
      <c r="T325" s="60"/>
      <c r="U325" s="60"/>
    </row>
    <row r="326" spans="2:21" s="52" customFormat="1" ht="13.5" hidden="1" customHeight="1">
      <c r="B326" s="221">
        <f t="shared" si="38"/>
        <v>295</v>
      </c>
      <c r="C326" s="222">
        <v>2</v>
      </c>
      <c r="D326" s="223" t="s">
        <v>67</v>
      </c>
      <c r="E326" s="222">
        <f t="shared" si="39"/>
        <v>295</v>
      </c>
      <c r="F326" s="224">
        <f>VLOOKUP(E326,'Deck Tally'!$B$5:$C$319,2,0)</f>
        <v>33.93</v>
      </c>
      <c r="G326" s="224">
        <f t="shared" si="40"/>
        <v>33.524500000000003</v>
      </c>
      <c r="H326" s="224" t="s">
        <v>100</v>
      </c>
      <c r="I326" s="224">
        <f t="shared" si="36"/>
        <v>9779.3489999999947</v>
      </c>
      <c r="J326" s="224">
        <f t="shared" si="37"/>
        <v>9949.231000000007</v>
      </c>
      <c r="K326" s="225">
        <f t="shared" si="34"/>
        <v>315.30404249274244</v>
      </c>
      <c r="L326" s="219"/>
      <c r="M326" s="220"/>
      <c r="N326" s="59"/>
      <c r="O326" s="59"/>
      <c r="P326" s="59"/>
      <c r="Q326" s="59"/>
      <c r="R326" s="59"/>
      <c r="S326" s="59"/>
      <c r="T326" s="60"/>
      <c r="U326" s="60"/>
    </row>
    <row r="327" spans="2:21" s="52" customFormat="1" ht="13.5" hidden="1" customHeight="1">
      <c r="B327" s="221">
        <f t="shared" si="38"/>
        <v>296</v>
      </c>
      <c r="C327" s="222">
        <v>2</v>
      </c>
      <c r="D327" s="223" t="s">
        <v>67</v>
      </c>
      <c r="E327" s="222">
        <f t="shared" si="39"/>
        <v>296</v>
      </c>
      <c r="F327" s="224">
        <f>VLOOKUP(E327,'Deck Tally'!$B$5:$C$319,2,0)</f>
        <v>33.93</v>
      </c>
      <c r="G327" s="224">
        <f t="shared" si="40"/>
        <v>33.524500000000003</v>
      </c>
      <c r="H327" s="224" t="s">
        <v>100</v>
      </c>
      <c r="I327" s="224">
        <f t="shared" si="36"/>
        <v>9779.3489999999947</v>
      </c>
      <c r="J327" s="224">
        <f t="shared" si="37"/>
        <v>9949.231000000007</v>
      </c>
      <c r="K327" s="225">
        <f t="shared" si="34"/>
        <v>315.30404249274244</v>
      </c>
      <c r="L327" s="219"/>
      <c r="M327" s="220"/>
      <c r="N327" s="59"/>
      <c r="O327" s="59"/>
      <c r="P327" s="59"/>
      <c r="Q327" s="59"/>
      <c r="R327" s="59"/>
      <c r="S327" s="59"/>
      <c r="T327" s="60"/>
      <c r="U327" s="60"/>
    </row>
    <row r="328" spans="2:21" s="52" customFormat="1" ht="13.5" hidden="1" customHeight="1">
      <c r="B328" s="221">
        <f t="shared" si="38"/>
        <v>297</v>
      </c>
      <c r="C328" s="222">
        <v>2</v>
      </c>
      <c r="D328" s="223" t="s">
        <v>67</v>
      </c>
      <c r="E328" s="222">
        <f t="shared" si="39"/>
        <v>297</v>
      </c>
      <c r="F328" s="224">
        <f>VLOOKUP(E328,'Deck Tally'!$B$5:$C$319,2,0)</f>
        <v>33.924999999999997</v>
      </c>
      <c r="G328" s="224">
        <f t="shared" si="40"/>
        <v>33.519499999999994</v>
      </c>
      <c r="H328" s="224" t="s">
        <v>100</v>
      </c>
      <c r="I328" s="224">
        <f t="shared" si="36"/>
        <v>9779.3489999999947</v>
      </c>
      <c r="J328" s="224">
        <f t="shared" si="37"/>
        <v>9949.231000000007</v>
      </c>
      <c r="K328" s="225">
        <f t="shared" si="34"/>
        <v>315.30404249274244</v>
      </c>
      <c r="L328" s="219"/>
      <c r="M328" s="220"/>
      <c r="N328" s="59"/>
      <c r="O328" s="59"/>
      <c r="P328" s="59"/>
      <c r="Q328" s="59"/>
      <c r="R328" s="59"/>
      <c r="S328" s="59"/>
      <c r="T328" s="60"/>
      <c r="U328" s="60"/>
    </row>
    <row r="329" spans="2:21" s="52" customFormat="1" ht="13.5" customHeight="1">
      <c r="B329" s="461" t="s">
        <v>101</v>
      </c>
      <c r="C329" s="463" t="s">
        <v>102</v>
      </c>
      <c r="D329" s="464"/>
      <c r="E329" s="465"/>
      <c r="F329" s="226">
        <v>32.76</v>
      </c>
      <c r="G329" s="227">
        <f t="shared" si="40"/>
        <v>32.354500000000002</v>
      </c>
      <c r="H329" s="226" t="s">
        <v>68</v>
      </c>
      <c r="I329" s="228">
        <f t="shared" si="36"/>
        <v>9811.7034999999942</v>
      </c>
      <c r="J329" s="229">
        <f t="shared" si="37"/>
        <v>9916.8765000000076</v>
      </c>
      <c r="K329" s="230">
        <f t="shared" si="34"/>
        <v>316.06599220359038</v>
      </c>
      <c r="L329" s="466" t="s">
        <v>103</v>
      </c>
      <c r="M329" s="467"/>
      <c r="N329" s="59"/>
      <c r="O329" s="187">
        <f>9850-M330</f>
        <v>-95.231000000007043</v>
      </c>
      <c r="P329" s="59" t="s">
        <v>74</v>
      </c>
      <c r="Q329" s="59"/>
      <c r="R329" s="59"/>
      <c r="S329" s="59"/>
      <c r="T329" s="60"/>
      <c r="U329" s="60"/>
    </row>
    <row r="330" spans="2:21" s="52" customFormat="1" ht="13.5" customHeight="1" thickBot="1">
      <c r="B330" s="462"/>
      <c r="C330" s="468" t="s">
        <v>104</v>
      </c>
      <c r="D330" s="469"/>
      <c r="E330" s="470"/>
      <c r="F330" s="231">
        <v>3.85</v>
      </c>
      <c r="G330" s="227">
        <f>F330</f>
        <v>3.85</v>
      </c>
      <c r="H330" s="227" t="s">
        <v>68</v>
      </c>
      <c r="I330" s="227">
        <f t="shared" si="36"/>
        <v>9815.5534999999945</v>
      </c>
      <c r="J330" s="231">
        <f t="shared" si="37"/>
        <v>9913.0265000000072</v>
      </c>
      <c r="K330" s="232">
        <f t="shared" si="34"/>
        <v>316.15665985064925</v>
      </c>
      <c r="L330" s="233" t="s">
        <v>75</v>
      </c>
      <c r="M330" s="193">
        <f>J317-4</f>
        <v>9945.231000000007</v>
      </c>
      <c r="N330" s="59"/>
      <c r="O330" s="59"/>
      <c r="P330" s="234"/>
      <c r="Q330" s="59"/>
      <c r="R330" s="59"/>
      <c r="S330" s="59"/>
      <c r="T330" s="60"/>
      <c r="U330" s="60"/>
    </row>
    <row r="331" spans="2:21" s="52" customFormat="1" ht="13.5" customHeight="1">
      <c r="B331" s="448" t="s">
        <v>105</v>
      </c>
      <c r="C331" s="451" t="s">
        <v>106</v>
      </c>
      <c r="D331" s="452"/>
      <c r="E331" s="453"/>
      <c r="F331" s="235">
        <f>44.12-38.03</f>
        <v>6.0899999999999963</v>
      </c>
      <c r="G331" s="236">
        <f>F331-(4.05/12)</f>
        <v>5.7524999999999959</v>
      </c>
      <c r="H331" s="237" t="s">
        <v>68</v>
      </c>
      <c r="I331" s="237">
        <f t="shared" si="36"/>
        <v>9821.305999999995</v>
      </c>
      <c r="J331" s="238">
        <f t="shared" si="37"/>
        <v>9907.2740000000067</v>
      </c>
      <c r="K331" s="239">
        <f t="shared" si="34"/>
        <v>316.292131445378</v>
      </c>
      <c r="L331" s="451" t="s">
        <v>107</v>
      </c>
      <c r="M331" s="454"/>
      <c r="N331" s="59"/>
      <c r="O331" s="112"/>
      <c r="P331" s="240">
        <v>9764.18</v>
      </c>
      <c r="Q331" s="59"/>
      <c r="R331" s="59"/>
      <c r="S331" s="59"/>
      <c r="T331" s="60"/>
      <c r="U331" s="60"/>
    </row>
    <row r="332" spans="2:21" s="52" customFormat="1" ht="13.5" customHeight="1">
      <c r="B332" s="449"/>
      <c r="C332" s="442" t="s">
        <v>108</v>
      </c>
      <c r="D332" s="443"/>
      <c r="E332" s="443"/>
      <c r="F332" s="241">
        <f>38.03-29.16</f>
        <v>8.870000000000001</v>
      </c>
      <c r="G332" s="242">
        <f t="shared" ref="G332:G341" si="41">F332</f>
        <v>8.870000000000001</v>
      </c>
      <c r="H332" s="238" t="s">
        <v>68</v>
      </c>
      <c r="I332" s="238">
        <f t="shared" si="36"/>
        <v>9830.1759999999958</v>
      </c>
      <c r="J332" s="243">
        <f t="shared" si="37"/>
        <v>9898.4040000000059</v>
      </c>
      <c r="K332" s="244">
        <f t="shared" si="34"/>
        <v>316.50102028418632</v>
      </c>
      <c r="L332" s="442" t="s">
        <v>109</v>
      </c>
      <c r="M332" s="455"/>
      <c r="N332" s="245"/>
      <c r="O332" s="112"/>
      <c r="P332" s="240">
        <v>9809.4</v>
      </c>
      <c r="Q332" s="456"/>
      <c r="R332" s="245"/>
      <c r="S332" s="245"/>
      <c r="T332" s="245"/>
      <c r="U332" s="245"/>
    </row>
    <row r="333" spans="2:21" s="52" customFormat="1" ht="13.5" customHeight="1">
      <c r="B333" s="449"/>
      <c r="C333" s="442" t="s">
        <v>110</v>
      </c>
      <c r="D333" s="443"/>
      <c r="E333" s="443"/>
      <c r="F333" s="241">
        <f>29.16-27.43</f>
        <v>1.7300000000000004</v>
      </c>
      <c r="G333" s="242">
        <f t="shared" si="41"/>
        <v>1.7300000000000004</v>
      </c>
      <c r="H333" s="238" t="s">
        <v>68</v>
      </c>
      <c r="I333" s="238">
        <f t="shared" si="36"/>
        <v>9831.9059999999954</v>
      </c>
      <c r="J333" s="238">
        <f t="shared" si="37"/>
        <v>9896.6740000000063</v>
      </c>
      <c r="K333" s="244">
        <f t="shared" si="34"/>
        <v>316.54176185026728</v>
      </c>
      <c r="L333" s="442" t="s">
        <v>111</v>
      </c>
      <c r="M333" s="455"/>
      <c r="N333" s="246"/>
      <c r="O333" s="112"/>
      <c r="P333" s="240">
        <v>9854.58</v>
      </c>
      <c r="Q333" s="456"/>
      <c r="R333" s="245"/>
      <c r="S333" s="245"/>
      <c r="T333" s="245"/>
      <c r="U333" s="245"/>
    </row>
    <row r="334" spans="2:21" s="52" customFormat="1" ht="13.5" customHeight="1">
      <c r="B334" s="449"/>
      <c r="C334" s="442" t="s">
        <v>112</v>
      </c>
      <c r="D334" s="443"/>
      <c r="E334" s="443"/>
      <c r="F334" s="241">
        <f>27.43-25.51</f>
        <v>1.9199999999999982</v>
      </c>
      <c r="G334" s="242">
        <f t="shared" si="41"/>
        <v>1.9199999999999982</v>
      </c>
      <c r="H334" s="247" t="s">
        <v>68</v>
      </c>
      <c r="I334" s="238">
        <f t="shared" si="36"/>
        <v>9833.8259999999955</v>
      </c>
      <c r="J334" s="243">
        <f t="shared" si="37"/>
        <v>9894.7540000000063</v>
      </c>
      <c r="K334" s="244">
        <f t="shared" si="34"/>
        <v>316.58697792360567</v>
      </c>
      <c r="L334" s="248" t="s">
        <v>113</v>
      </c>
      <c r="M334" s="249">
        <f>I336</f>
        <v>9859.3359999999957</v>
      </c>
      <c r="N334" s="246"/>
      <c r="O334" s="112" t="s">
        <v>114</v>
      </c>
      <c r="P334" s="240">
        <v>9892.7199999999993</v>
      </c>
      <c r="Q334" s="245"/>
      <c r="R334" s="245"/>
      <c r="S334" s="245"/>
      <c r="T334" s="245"/>
      <c r="U334" s="245"/>
    </row>
    <row r="335" spans="2:21" s="52" customFormat="1" ht="13.5" customHeight="1">
      <c r="B335" s="449"/>
      <c r="C335" s="442" t="s">
        <v>115</v>
      </c>
      <c r="D335" s="443"/>
      <c r="E335" s="443"/>
      <c r="F335" s="241">
        <f>25.51-20.78</f>
        <v>4.7300000000000004</v>
      </c>
      <c r="G335" s="242">
        <f t="shared" si="41"/>
        <v>4.7300000000000004</v>
      </c>
      <c r="H335" s="247" t="str">
        <f t="shared" ref="H335:H366" si="42">IF(F335="","OUT","IN")</f>
        <v>IN</v>
      </c>
      <c r="I335" s="238">
        <f t="shared" si="36"/>
        <v>9838.555999999995</v>
      </c>
      <c r="J335" s="238">
        <f t="shared" si="37"/>
        <v>9890.0240000000067</v>
      </c>
      <c r="K335" s="244">
        <f t="shared" si="34"/>
        <v>316.69836960427796</v>
      </c>
      <c r="L335" s="248" t="s">
        <v>116</v>
      </c>
      <c r="M335" s="249">
        <f>L12-J336</f>
        <v>252.30599999999322</v>
      </c>
      <c r="N335" s="245"/>
      <c r="O335" s="112"/>
      <c r="P335" s="250">
        <v>9938.82</v>
      </c>
      <c r="Q335" s="245"/>
      <c r="R335" s="245"/>
      <c r="S335" s="245"/>
      <c r="T335" s="245"/>
      <c r="U335" s="245"/>
    </row>
    <row r="336" spans="2:21" s="52" customFormat="1" ht="13.5" customHeight="1">
      <c r="B336" s="449"/>
      <c r="C336" s="442" t="s">
        <v>117</v>
      </c>
      <c r="D336" s="443"/>
      <c r="E336" s="443"/>
      <c r="F336" s="241">
        <v>20.78</v>
      </c>
      <c r="G336" s="242">
        <f t="shared" si="41"/>
        <v>20.78</v>
      </c>
      <c r="H336" s="251" t="str">
        <f t="shared" si="42"/>
        <v>IN</v>
      </c>
      <c r="I336" s="252">
        <f t="shared" si="36"/>
        <v>9859.3359999999957</v>
      </c>
      <c r="J336" s="253">
        <f t="shared" si="37"/>
        <v>9869.2440000000061</v>
      </c>
      <c r="K336" s="254">
        <f t="shared" si="34"/>
        <v>317.18773939801372</v>
      </c>
      <c r="L336" s="248" t="s">
        <v>118</v>
      </c>
      <c r="M336" s="249">
        <f>J336</f>
        <v>9869.2440000000061</v>
      </c>
      <c r="N336" s="246"/>
      <c r="O336" s="59"/>
      <c r="P336" s="245"/>
      <c r="Q336" s="245"/>
      <c r="R336" s="245"/>
      <c r="S336" s="245"/>
      <c r="T336" s="245"/>
      <c r="U336" s="245"/>
    </row>
    <row r="337" spans="1:21" s="52" customFormat="1" ht="13.5" customHeight="1" thickBot="1">
      <c r="B337" s="450"/>
      <c r="C337" s="444" t="s">
        <v>119</v>
      </c>
      <c r="D337" s="444"/>
      <c r="E337" s="255" t="s">
        <v>120</v>
      </c>
      <c r="F337" s="256">
        <v>8.3800000000000008</v>
      </c>
      <c r="G337" s="257">
        <f t="shared" si="41"/>
        <v>8.3800000000000008</v>
      </c>
      <c r="H337" s="258" t="str">
        <f t="shared" si="42"/>
        <v>IN</v>
      </c>
      <c r="I337" s="259">
        <f t="shared" si="36"/>
        <v>9867.7159999999949</v>
      </c>
      <c r="J337" s="259">
        <f t="shared" si="37"/>
        <v>9860.8640000000069</v>
      </c>
      <c r="K337" s="260">
        <f t="shared" si="34"/>
        <v>317.38508871810529</v>
      </c>
      <c r="L337" s="261"/>
      <c r="M337" s="262"/>
      <c r="N337" s="59"/>
      <c r="O337" s="59"/>
      <c r="P337" s="59"/>
      <c r="Q337" s="59"/>
      <c r="R337" s="59"/>
      <c r="S337" s="59"/>
      <c r="T337" s="60"/>
      <c r="U337" s="60"/>
    </row>
    <row r="338" spans="1:21" s="52" customFormat="1" ht="13.5" customHeight="1">
      <c r="B338" s="263" t="s">
        <v>0</v>
      </c>
      <c r="C338" s="445" t="s">
        <v>121</v>
      </c>
      <c r="D338" s="445"/>
      <c r="E338" s="445"/>
      <c r="F338" s="264">
        <v>3.43</v>
      </c>
      <c r="G338" s="264">
        <f t="shared" si="41"/>
        <v>3.43</v>
      </c>
      <c r="H338" s="265" t="str">
        <f t="shared" si="42"/>
        <v>IN</v>
      </c>
      <c r="I338" s="264">
        <f t="shared" ref="I338:I401" si="43">IF(H338="IN",I337+G338,I337)</f>
        <v>9871.1459999999952</v>
      </c>
      <c r="J338" s="264">
        <f t="shared" ref="J338:J401" si="44">IF(I338="","",$L$8-I338)</f>
        <v>9857.4340000000066</v>
      </c>
      <c r="K338" s="266">
        <f t="shared" si="34"/>
        <v>317.46586534912137</v>
      </c>
      <c r="L338" s="446" t="s">
        <v>122</v>
      </c>
      <c r="M338" s="447"/>
      <c r="N338" s="245"/>
      <c r="O338" s="245"/>
      <c r="P338" s="245"/>
      <c r="Q338" s="245"/>
      <c r="R338" s="245"/>
      <c r="S338" s="245"/>
      <c r="T338" s="245"/>
      <c r="U338" s="245"/>
    </row>
    <row r="339" spans="1:21" s="52" customFormat="1" ht="13.5" customHeight="1">
      <c r="B339" s="416" t="s">
        <v>123</v>
      </c>
      <c r="C339" s="267" t="s">
        <v>124</v>
      </c>
      <c r="D339" s="267"/>
      <c r="E339" s="267"/>
      <c r="F339" s="268">
        <v>31.02</v>
      </c>
      <c r="G339" s="268">
        <f t="shared" si="41"/>
        <v>31.02</v>
      </c>
      <c r="H339" s="269" t="str">
        <f t="shared" si="42"/>
        <v>IN</v>
      </c>
      <c r="I339" s="268">
        <f t="shared" si="43"/>
        <v>9902.1659999999956</v>
      </c>
      <c r="J339" s="268">
        <f t="shared" si="44"/>
        <v>9826.4140000000061</v>
      </c>
      <c r="K339" s="270"/>
      <c r="L339" s="436" t="s">
        <v>125</v>
      </c>
      <c r="M339" s="437"/>
      <c r="N339" s="245"/>
      <c r="O339" s="271" t="s">
        <v>126</v>
      </c>
      <c r="P339" s="271" t="s">
        <v>127</v>
      </c>
      <c r="Q339" s="245"/>
      <c r="R339" s="245"/>
      <c r="S339" s="245"/>
      <c r="T339" s="245"/>
      <c r="U339" s="245"/>
    </row>
    <row r="340" spans="1:21" s="52" customFormat="1" ht="13.5" customHeight="1">
      <c r="B340" s="416"/>
      <c r="C340" s="267" t="s">
        <v>124</v>
      </c>
      <c r="D340" s="267"/>
      <c r="E340" s="267"/>
      <c r="F340" s="268">
        <v>31.26</v>
      </c>
      <c r="G340" s="268">
        <f t="shared" si="41"/>
        <v>31.26</v>
      </c>
      <c r="H340" s="269" t="str">
        <f t="shared" si="42"/>
        <v>IN</v>
      </c>
      <c r="I340" s="268">
        <f t="shared" si="43"/>
        <v>9933.4259999999958</v>
      </c>
      <c r="J340" s="268">
        <f t="shared" si="44"/>
        <v>9795.1540000000059</v>
      </c>
      <c r="K340" s="270"/>
      <c r="L340" s="272" t="s">
        <v>128</v>
      </c>
      <c r="M340" s="273">
        <f>J332</f>
        <v>9898.4040000000059</v>
      </c>
      <c r="N340" s="58"/>
      <c r="O340" s="274">
        <f>M340-P334</f>
        <v>5.6840000000065629</v>
      </c>
      <c r="P340" s="274">
        <f>M340-P335</f>
        <v>-40.415999999993801</v>
      </c>
      <c r="Q340" s="59"/>
      <c r="R340" s="59"/>
      <c r="S340" s="59"/>
      <c r="T340" s="60"/>
      <c r="U340" s="60"/>
    </row>
    <row r="341" spans="1:21" s="52" customFormat="1" ht="13.5" customHeight="1">
      <c r="B341" s="416"/>
      <c r="C341" s="267" t="s">
        <v>124</v>
      </c>
      <c r="D341" s="275"/>
      <c r="E341" s="275"/>
      <c r="F341" s="268">
        <v>30.51</v>
      </c>
      <c r="G341" s="268">
        <f t="shared" si="41"/>
        <v>30.51</v>
      </c>
      <c r="H341" s="269" t="str">
        <f t="shared" si="42"/>
        <v>IN</v>
      </c>
      <c r="I341" s="268">
        <f t="shared" si="43"/>
        <v>9963.9359999999961</v>
      </c>
      <c r="J341" s="268">
        <f t="shared" si="44"/>
        <v>9764.6440000000057</v>
      </c>
      <c r="K341" s="270"/>
      <c r="L341" s="272" t="s">
        <v>129</v>
      </c>
      <c r="M341" s="273">
        <f>J334</f>
        <v>9894.7540000000063</v>
      </c>
      <c r="N341" s="58"/>
      <c r="O341" s="274">
        <f>M341-P334</f>
        <v>2.0340000000069267</v>
      </c>
      <c r="P341" s="274">
        <f>M341-P335</f>
        <v>-44.065999999993437</v>
      </c>
      <c r="Q341" s="59"/>
      <c r="R341" s="59"/>
      <c r="S341" s="59"/>
      <c r="T341" s="60"/>
      <c r="U341" s="60"/>
    </row>
    <row r="342" spans="1:21" s="52" customFormat="1" ht="13.5" customHeight="1">
      <c r="B342" s="408" t="s">
        <v>130</v>
      </c>
      <c r="C342" s="276" t="s">
        <v>131</v>
      </c>
      <c r="D342" s="277"/>
      <c r="E342" s="278"/>
      <c r="F342" s="279">
        <v>30.85</v>
      </c>
      <c r="G342" s="279">
        <v>30.85</v>
      </c>
      <c r="H342" s="280" t="str">
        <f t="shared" si="42"/>
        <v>IN</v>
      </c>
      <c r="I342" s="279">
        <f t="shared" si="43"/>
        <v>9994.7859999999964</v>
      </c>
      <c r="J342" s="279">
        <f t="shared" si="44"/>
        <v>9733.7940000000053</v>
      </c>
      <c r="K342" s="281"/>
      <c r="L342" s="436" t="s">
        <v>132</v>
      </c>
      <c r="M342" s="437"/>
      <c r="N342" s="58"/>
      <c r="O342" s="271" t="s">
        <v>126</v>
      </c>
      <c r="P342" s="271" t="s">
        <v>127</v>
      </c>
      <c r="Q342" s="59"/>
      <c r="R342" s="59"/>
      <c r="S342" s="59"/>
      <c r="T342" s="60"/>
      <c r="U342" s="60"/>
    </row>
    <row r="343" spans="1:21" s="52" customFormat="1" ht="13.5" customHeight="1">
      <c r="B343" s="409"/>
      <c r="C343" s="276" t="s">
        <v>131</v>
      </c>
      <c r="D343" s="277"/>
      <c r="E343" s="278"/>
      <c r="F343" s="279">
        <v>31</v>
      </c>
      <c r="G343" s="279">
        <v>31</v>
      </c>
      <c r="H343" s="280" t="str">
        <f t="shared" si="42"/>
        <v>IN</v>
      </c>
      <c r="I343" s="279">
        <f t="shared" si="43"/>
        <v>10025.785999999996</v>
      </c>
      <c r="J343" s="279">
        <f t="shared" si="44"/>
        <v>9702.7940000000053</v>
      </c>
      <c r="K343" s="281"/>
      <c r="L343" s="272" t="s">
        <v>129</v>
      </c>
      <c r="M343" s="282">
        <f>$J$336-21.522</f>
        <v>9847.7220000000052</v>
      </c>
      <c r="N343" s="58"/>
      <c r="O343" s="274">
        <f>M343-P332</f>
        <v>38.322000000005573</v>
      </c>
      <c r="P343" s="274">
        <f>M343-P333</f>
        <v>-6.8579999999947177</v>
      </c>
      <c r="Q343" s="59"/>
      <c r="R343" s="59"/>
      <c r="S343" s="59"/>
      <c r="T343" s="60"/>
      <c r="U343" s="60"/>
    </row>
    <row r="344" spans="1:21" s="52" customFormat="1" ht="13.5" customHeight="1">
      <c r="B344" s="410"/>
      <c r="C344" s="276" t="s">
        <v>131</v>
      </c>
      <c r="D344" s="277"/>
      <c r="E344" s="278"/>
      <c r="F344" s="279">
        <v>31.15</v>
      </c>
      <c r="G344" s="279">
        <v>31.15</v>
      </c>
      <c r="H344" s="280" t="str">
        <f t="shared" si="42"/>
        <v>IN</v>
      </c>
      <c r="I344" s="279">
        <f t="shared" si="43"/>
        <v>10056.935999999996</v>
      </c>
      <c r="J344" s="279">
        <f t="shared" si="44"/>
        <v>9671.6440000000057</v>
      </c>
      <c r="K344" s="281"/>
      <c r="L344" s="272" t="s">
        <v>133</v>
      </c>
      <c r="M344" s="282">
        <f>$J$336-19.592</f>
        <v>9849.6520000000055</v>
      </c>
      <c r="N344" s="58"/>
      <c r="O344" s="274">
        <f>M344-P332</f>
        <v>40.252000000005864</v>
      </c>
      <c r="P344" s="274">
        <f>M344-P333</f>
        <v>-4.9279999999944266</v>
      </c>
      <c r="Q344" s="59"/>
      <c r="R344" s="59"/>
      <c r="S344" s="59"/>
      <c r="T344" s="60"/>
      <c r="U344" s="60"/>
    </row>
    <row r="345" spans="1:21" s="52" customFormat="1" ht="13.5" customHeight="1">
      <c r="B345" s="420" t="s">
        <v>134</v>
      </c>
      <c r="C345" s="283" t="s">
        <v>131</v>
      </c>
      <c r="D345" s="284"/>
      <c r="E345" s="285"/>
      <c r="F345" s="175">
        <v>31.05</v>
      </c>
      <c r="G345" s="175">
        <v>31.05</v>
      </c>
      <c r="H345" s="194" t="str">
        <f t="shared" si="42"/>
        <v>IN</v>
      </c>
      <c r="I345" s="175">
        <f t="shared" si="43"/>
        <v>10087.985999999995</v>
      </c>
      <c r="J345" s="175">
        <f t="shared" si="44"/>
        <v>9640.5940000000064</v>
      </c>
      <c r="K345" s="205"/>
      <c r="L345" s="436" t="s">
        <v>135</v>
      </c>
      <c r="M345" s="437"/>
      <c r="N345" s="58"/>
      <c r="Q345" s="59"/>
      <c r="R345" s="59"/>
      <c r="S345" s="59"/>
      <c r="T345" s="60"/>
      <c r="U345" s="60"/>
    </row>
    <row r="346" spans="1:21" s="52" customFormat="1" ht="13.5" customHeight="1">
      <c r="B346" s="421"/>
      <c r="C346" s="283" t="s">
        <v>131</v>
      </c>
      <c r="D346" s="284"/>
      <c r="E346" s="285"/>
      <c r="F346" s="175">
        <v>31.02</v>
      </c>
      <c r="G346" s="175">
        <v>31.02</v>
      </c>
      <c r="H346" s="194" t="str">
        <f t="shared" si="42"/>
        <v>IN</v>
      </c>
      <c r="I346" s="175">
        <f t="shared" si="43"/>
        <v>10119.005999999996</v>
      </c>
      <c r="J346" s="175">
        <f t="shared" si="44"/>
        <v>9609.574000000006</v>
      </c>
      <c r="K346" s="205"/>
      <c r="L346" s="438" t="s">
        <v>136</v>
      </c>
      <c r="M346" s="439"/>
      <c r="N346" s="58"/>
      <c r="Q346" s="59"/>
      <c r="R346" s="59"/>
      <c r="S346" s="59"/>
      <c r="T346" s="60"/>
      <c r="U346" s="60"/>
    </row>
    <row r="347" spans="1:21" s="52" customFormat="1" ht="13.5" customHeight="1">
      <c r="B347" s="422"/>
      <c r="C347" s="283" t="s">
        <v>131</v>
      </c>
      <c r="D347" s="284"/>
      <c r="E347" s="285"/>
      <c r="F347" s="175">
        <v>30.92</v>
      </c>
      <c r="G347" s="175">
        <v>30.92</v>
      </c>
      <c r="H347" s="194" t="str">
        <f t="shared" si="42"/>
        <v>IN</v>
      </c>
      <c r="I347" s="175">
        <f t="shared" si="43"/>
        <v>10149.925999999996</v>
      </c>
      <c r="J347" s="175">
        <f t="shared" si="44"/>
        <v>9578.6540000000059</v>
      </c>
      <c r="K347" s="205"/>
      <c r="L347" s="440" t="s">
        <v>137</v>
      </c>
      <c r="M347" s="441"/>
      <c r="N347" s="58"/>
      <c r="O347" s="286"/>
      <c r="P347" s="286"/>
      <c r="Q347" s="59"/>
      <c r="R347" s="59"/>
      <c r="S347" s="59"/>
      <c r="T347" s="60"/>
      <c r="U347" s="60"/>
    </row>
    <row r="348" spans="1:21" s="52" customFormat="1" ht="13.5" customHeight="1">
      <c r="B348" s="408" t="s">
        <v>138</v>
      </c>
      <c r="C348" s="276" t="s">
        <v>131</v>
      </c>
      <c r="D348" s="277"/>
      <c r="E348" s="278"/>
      <c r="F348" s="279">
        <v>30.96</v>
      </c>
      <c r="G348" s="279">
        <v>30.96</v>
      </c>
      <c r="H348" s="280" t="str">
        <f t="shared" si="42"/>
        <v>IN</v>
      </c>
      <c r="I348" s="279">
        <f t="shared" si="43"/>
        <v>10180.885999999995</v>
      </c>
      <c r="J348" s="279">
        <f t="shared" si="44"/>
        <v>9547.6940000000068</v>
      </c>
      <c r="K348" s="281"/>
      <c r="L348" s="378"/>
      <c r="M348" s="379"/>
      <c r="N348" s="58"/>
      <c r="O348" s="57"/>
      <c r="P348" s="57"/>
      <c r="Q348" s="59"/>
      <c r="R348" s="59"/>
      <c r="S348" s="59"/>
      <c r="T348" s="60"/>
      <c r="U348" s="60"/>
    </row>
    <row r="349" spans="1:21" s="52" customFormat="1" ht="13.5" customHeight="1">
      <c r="B349" s="409"/>
      <c r="C349" s="276" t="s">
        <v>131</v>
      </c>
      <c r="D349" s="277"/>
      <c r="E349" s="278"/>
      <c r="F349" s="279">
        <v>30.91</v>
      </c>
      <c r="G349" s="279">
        <v>30.91</v>
      </c>
      <c r="H349" s="280" t="str">
        <f t="shared" si="42"/>
        <v>IN</v>
      </c>
      <c r="I349" s="279">
        <f t="shared" si="43"/>
        <v>10211.795999999995</v>
      </c>
      <c r="J349" s="279">
        <f t="shared" si="44"/>
        <v>9516.7840000000069</v>
      </c>
      <c r="K349" s="281"/>
      <c r="L349" s="429" t="s">
        <v>139</v>
      </c>
      <c r="M349" s="430"/>
      <c r="N349" s="58"/>
      <c r="O349" s="57"/>
      <c r="P349" s="57"/>
      <c r="Q349" s="59"/>
      <c r="R349" s="59"/>
      <c r="S349" s="59"/>
      <c r="T349" s="60"/>
      <c r="U349" s="60"/>
    </row>
    <row r="350" spans="1:21" s="59" customFormat="1" ht="13.5" customHeight="1">
      <c r="A350" s="52"/>
      <c r="B350" s="410"/>
      <c r="C350" s="276" t="s">
        <v>131</v>
      </c>
      <c r="D350" s="277"/>
      <c r="E350" s="278"/>
      <c r="F350" s="279">
        <v>30.94</v>
      </c>
      <c r="G350" s="279">
        <v>30.94</v>
      </c>
      <c r="H350" s="280" t="str">
        <f t="shared" si="42"/>
        <v>IN</v>
      </c>
      <c r="I350" s="279">
        <f t="shared" si="43"/>
        <v>10242.735999999995</v>
      </c>
      <c r="J350" s="279">
        <f t="shared" si="44"/>
        <v>9485.8440000000064</v>
      </c>
      <c r="K350" s="281"/>
      <c r="L350" s="431"/>
      <c r="M350" s="432"/>
      <c r="T350" s="60"/>
      <c r="U350" s="60"/>
    </row>
    <row r="351" spans="1:21" s="59" customFormat="1" ht="13.5" customHeight="1">
      <c r="A351" s="52"/>
      <c r="B351" s="420" t="s">
        <v>140</v>
      </c>
      <c r="C351" s="283" t="s">
        <v>131</v>
      </c>
      <c r="D351" s="284"/>
      <c r="E351" s="285"/>
      <c r="F351" s="175">
        <v>31.16</v>
      </c>
      <c r="G351" s="175">
        <v>31.16</v>
      </c>
      <c r="H351" s="194" t="str">
        <f t="shared" si="42"/>
        <v>IN</v>
      </c>
      <c r="I351" s="175">
        <f t="shared" si="43"/>
        <v>10273.895999999995</v>
      </c>
      <c r="J351" s="175">
        <f t="shared" si="44"/>
        <v>9454.6840000000066</v>
      </c>
      <c r="K351" s="205"/>
      <c r="L351" s="433" t="s">
        <v>141</v>
      </c>
      <c r="M351" s="434"/>
      <c r="O351" s="287">
        <v>0.46</v>
      </c>
      <c r="P351" s="435" t="s">
        <v>142</v>
      </c>
      <c r="Q351" s="435"/>
      <c r="T351" s="60"/>
      <c r="U351" s="60"/>
    </row>
    <row r="352" spans="1:21" s="59" customFormat="1" ht="13.5" customHeight="1">
      <c r="A352" s="52"/>
      <c r="B352" s="421"/>
      <c r="C352" s="283" t="s">
        <v>131</v>
      </c>
      <c r="D352" s="284"/>
      <c r="E352" s="285"/>
      <c r="F352" s="175">
        <v>31.11</v>
      </c>
      <c r="G352" s="175">
        <v>31.11</v>
      </c>
      <c r="H352" s="194" t="str">
        <f t="shared" si="42"/>
        <v>IN</v>
      </c>
      <c r="I352" s="175">
        <f t="shared" si="43"/>
        <v>10305.005999999996</v>
      </c>
      <c r="J352" s="175">
        <f t="shared" si="44"/>
        <v>9423.574000000006</v>
      </c>
      <c r="K352" s="205"/>
      <c r="L352" s="378"/>
      <c r="M352" s="379"/>
      <c r="N352" s="58"/>
      <c r="O352" s="58"/>
      <c r="P352" s="58"/>
      <c r="T352" s="60"/>
      <c r="U352" s="60"/>
    </row>
    <row r="353" spans="1:21" s="59" customFormat="1" ht="13.5" customHeight="1">
      <c r="A353" s="52"/>
      <c r="B353" s="422"/>
      <c r="C353" s="283" t="s">
        <v>131</v>
      </c>
      <c r="D353" s="284"/>
      <c r="E353" s="285"/>
      <c r="F353" s="175">
        <v>31.12</v>
      </c>
      <c r="G353" s="175">
        <v>31.12</v>
      </c>
      <c r="H353" s="194" t="str">
        <f t="shared" si="42"/>
        <v>IN</v>
      </c>
      <c r="I353" s="175">
        <f t="shared" si="43"/>
        <v>10336.125999999997</v>
      </c>
      <c r="J353" s="175">
        <f t="shared" si="44"/>
        <v>9392.4540000000052</v>
      </c>
      <c r="K353" s="205"/>
      <c r="L353" s="385"/>
      <c r="M353" s="386"/>
      <c r="T353" s="60"/>
      <c r="U353" s="60"/>
    </row>
    <row r="354" spans="1:21" s="59" customFormat="1" ht="13.5" customHeight="1">
      <c r="A354" s="52"/>
      <c r="B354" s="408" t="s">
        <v>143</v>
      </c>
      <c r="C354" s="276" t="s">
        <v>131</v>
      </c>
      <c r="D354" s="277"/>
      <c r="E354" s="278"/>
      <c r="F354" s="279">
        <v>31.2</v>
      </c>
      <c r="G354" s="279">
        <v>31.2</v>
      </c>
      <c r="H354" s="280" t="str">
        <f t="shared" si="42"/>
        <v>IN</v>
      </c>
      <c r="I354" s="279">
        <f t="shared" si="43"/>
        <v>10367.325999999997</v>
      </c>
      <c r="J354" s="279">
        <f t="shared" si="44"/>
        <v>9361.2540000000045</v>
      </c>
      <c r="K354" s="281"/>
      <c r="L354" s="385"/>
      <c r="M354" s="386"/>
      <c r="T354" s="60"/>
      <c r="U354" s="60"/>
    </row>
    <row r="355" spans="1:21" s="59" customFormat="1" ht="13.5" customHeight="1">
      <c r="A355" s="52"/>
      <c r="B355" s="409"/>
      <c r="C355" s="276" t="s">
        <v>131</v>
      </c>
      <c r="D355" s="277"/>
      <c r="E355" s="278"/>
      <c r="F355" s="279">
        <v>31.04</v>
      </c>
      <c r="G355" s="279">
        <v>31.04</v>
      </c>
      <c r="H355" s="280" t="str">
        <f t="shared" si="42"/>
        <v>IN</v>
      </c>
      <c r="I355" s="279">
        <f t="shared" si="43"/>
        <v>10398.365999999998</v>
      </c>
      <c r="J355" s="279">
        <f t="shared" si="44"/>
        <v>9330.2140000000036</v>
      </c>
      <c r="K355" s="281"/>
      <c r="L355" s="385"/>
      <c r="M355" s="386"/>
      <c r="T355" s="60"/>
      <c r="U355" s="60"/>
    </row>
    <row r="356" spans="1:21" s="59" customFormat="1" ht="13.5" customHeight="1">
      <c r="A356" s="52"/>
      <c r="B356" s="410"/>
      <c r="C356" s="276" t="s">
        <v>131</v>
      </c>
      <c r="D356" s="277"/>
      <c r="E356" s="278"/>
      <c r="F356" s="279">
        <v>31.01</v>
      </c>
      <c r="G356" s="279">
        <v>31.01</v>
      </c>
      <c r="H356" s="280" t="str">
        <f t="shared" si="42"/>
        <v>IN</v>
      </c>
      <c r="I356" s="279">
        <f t="shared" si="43"/>
        <v>10429.375999999998</v>
      </c>
      <c r="J356" s="279">
        <f t="shared" si="44"/>
        <v>9299.2040000000034</v>
      </c>
      <c r="K356" s="281"/>
      <c r="L356" s="385"/>
      <c r="M356" s="386"/>
      <c r="T356" s="60"/>
      <c r="U356" s="60"/>
    </row>
    <row r="357" spans="1:21" s="59" customFormat="1" ht="13.5" customHeight="1">
      <c r="A357" s="52"/>
      <c r="B357" s="420" t="s">
        <v>144</v>
      </c>
      <c r="C357" s="283" t="s">
        <v>131</v>
      </c>
      <c r="D357" s="284"/>
      <c r="E357" s="285"/>
      <c r="F357" s="175">
        <v>30.98</v>
      </c>
      <c r="G357" s="175">
        <v>30.98</v>
      </c>
      <c r="H357" s="194" t="str">
        <f t="shared" si="42"/>
        <v>IN</v>
      </c>
      <c r="I357" s="175">
        <f t="shared" si="43"/>
        <v>10460.355999999998</v>
      </c>
      <c r="J357" s="175">
        <f t="shared" si="44"/>
        <v>9268.2240000000038</v>
      </c>
      <c r="K357" s="205"/>
      <c r="L357" s="378"/>
      <c r="M357" s="379"/>
      <c r="T357" s="60"/>
      <c r="U357" s="60"/>
    </row>
    <row r="358" spans="1:21" s="59" customFormat="1" ht="13.5" customHeight="1">
      <c r="A358" s="52"/>
      <c r="B358" s="421"/>
      <c r="C358" s="283" t="s">
        <v>131</v>
      </c>
      <c r="D358" s="284"/>
      <c r="E358" s="285"/>
      <c r="F358" s="175">
        <v>31.15</v>
      </c>
      <c r="G358" s="175">
        <v>31.15</v>
      </c>
      <c r="H358" s="194" t="str">
        <f t="shared" si="42"/>
        <v>IN</v>
      </c>
      <c r="I358" s="175">
        <f t="shared" si="43"/>
        <v>10491.505999999998</v>
      </c>
      <c r="J358" s="175">
        <f t="shared" si="44"/>
        <v>9237.0740000000042</v>
      </c>
      <c r="K358" s="205"/>
      <c r="L358" s="378"/>
      <c r="M358" s="379"/>
      <c r="T358" s="60"/>
      <c r="U358" s="60"/>
    </row>
    <row r="359" spans="1:21" s="59" customFormat="1" ht="13.5" customHeight="1">
      <c r="A359" s="52"/>
      <c r="B359" s="422"/>
      <c r="C359" s="283" t="s">
        <v>131</v>
      </c>
      <c r="D359" s="284"/>
      <c r="E359" s="285"/>
      <c r="F359" s="175">
        <v>30.92</v>
      </c>
      <c r="G359" s="175">
        <v>30.92</v>
      </c>
      <c r="H359" s="194" t="str">
        <f t="shared" si="42"/>
        <v>IN</v>
      </c>
      <c r="I359" s="175">
        <f t="shared" si="43"/>
        <v>10522.425999999998</v>
      </c>
      <c r="J359" s="175">
        <f t="shared" si="44"/>
        <v>9206.1540000000041</v>
      </c>
      <c r="K359" s="205"/>
      <c r="L359" s="378"/>
      <c r="M359" s="379"/>
      <c r="T359" s="60"/>
      <c r="U359" s="60"/>
    </row>
    <row r="360" spans="1:21" s="59" customFormat="1" ht="13.5" customHeight="1">
      <c r="A360" s="52"/>
      <c r="B360" s="408" t="s">
        <v>145</v>
      </c>
      <c r="C360" s="276" t="s">
        <v>131</v>
      </c>
      <c r="D360" s="277"/>
      <c r="E360" s="278"/>
      <c r="F360" s="279">
        <v>31.19</v>
      </c>
      <c r="G360" s="279">
        <v>31.19</v>
      </c>
      <c r="H360" s="280" t="str">
        <f t="shared" si="42"/>
        <v>IN</v>
      </c>
      <c r="I360" s="279">
        <f t="shared" si="43"/>
        <v>10553.615999999998</v>
      </c>
      <c r="J360" s="279">
        <f t="shared" si="44"/>
        <v>9174.9640000000036</v>
      </c>
      <c r="K360" s="281"/>
      <c r="L360" s="378"/>
      <c r="M360" s="379"/>
      <c r="T360" s="60"/>
      <c r="U360" s="60"/>
    </row>
    <row r="361" spans="1:21" s="59" customFormat="1" ht="13.5" customHeight="1">
      <c r="A361" s="52"/>
      <c r="B361" s="409"/>
      <c r="C361" s="276" t="s">
        <v>131</v>
      </c>
      <c r="D361" s="277"/>
      <c r="E361" s="278"/>
      <c r="F361" s="279">
        <v>30.96</v>
      </c>
      <c r="G361" s="279">
        <v>30.96</v>
      </c>
      <c r="H361" s="280" t="str">
        <f t="shared" si="42"/>
        <v>IN</v>
      </c>
      <c r="I361" s="279">
        <f t="shared" si="43"/>
        <v>10584.575999999997</v>
      </c>
      <c r="J361" s="279">
        <f t="shared" si="44"/>
        <v>9144.0040000000045</v>
      </c>
      <c r="K361" s="281"/>
      <c r="L361" s="378"/>
      <c r="M361" s="379"/>
      <c r="T361" s="60"/>
      <c r="U361" s="60"/>
    </row>
    <row r="362" spans="1:21" s="59" customFormat="1" ht="13.5" customHeight="1">
      <c r="A362" s="52"/>
      <c r="B362" s="410"/>
      <c r="C362" s="276" t="s">
        <v>131</v>
      </c>
      <c r="D362" s="277"/>
      <c r="E362" s="278"/>
      <c r="F362" s="279">
        <v>31.15</v>
      </c>
      <c r="G362" s="279">
        <v>31.15</v>
      </c>
      <c r="H362" s="280" t="str">
        <f t="shared" si="42"/>
        <v>IN</v>
      </c>
      <c r="I362" s="279">
        <f t="shared" si="43"/>
        <v>10615.725999999997</v>
      </c>
      <c r="J362" s="279">
        <f t="shared" si="44"/>
        <v>9112.8540000000048</v>
      </c>
      <c r="K362" s="281"/>
      <c r="L362" s="378"/>
      <c r="M362" s="379"/>
      <c r="T362" s="60"/>
      <c r="U362" s="60"/>
    </row>
    <row r="363" spans="1:21" s="59" customFormat="1" ht="13.5" customHeight="1">
      <c r="A363" s="52"/>
      <c r="B363" s="420" t="s">
        <v>146</v>
      </c>
      <c r="C363" s="283" t="s">
        <v>131</v>
      </c>
      <c r="D363" s="284"/>
      <c r="E363" s="285"/>
      <c r="F363" s="175">
        <v>30.93</v>
      </c>
      <c r="G363" s="175">
        <v>30.93</v>
      </c>
      <c r="H363" s="194" t="str">
        <f t="shared" si="42"/>
        <v>IN</v>
      </c>
      <c r="I363" s="175">
        <f t="shared" si="43"/>
        <v>10646.655999999997</v>
      </c>
      <c r="J363" s="175">
        <f t="shared" si="44"/>
        <v>9081.9240000000045</v>
      </c>
      <c r="K363" s="205"/>
      <c r="L363" s="378"/>
      <c r="M363" s="379"/>
      <c r="T363" s="60"/>
      <c r="U363" s="60"/>
    </row>
    <row r="364" spans="1:21" s="59" customFormat="1" ht="13.5" customHeight="1">
      <c r="A364" s="52"/>
      <c r="B364" s="421"/>
      <c r="C364" s="283" t="s">
        <v>131</v>
      </c>
      <c r="D364" s="284"/>
      <c r="E364" s="285"/>
      <c r="F364" s="175">
        <v>30.88</v>
      </c>
      <c r="G364" s="175">
        <v>30.88</v>
      </c>
      <c r="H364" s="194" t="str">
        <f t="shared" si="42"/>
        <v>IN</v>
      </c>
      <c r="I364" s="175">
        <f t="shared" si="43"/>
        <v>10677.535999999996</v>
      </c>
      <c r="J364" s="175">
        <f t="shared" si="44"/>
        <v>9051.0440000000053</v>
      </c>
      <c r="K364" s="205"/>
      <c r="L364" s="378"/>
      <c r="M364" s="379"/>
      <c r="T364" s="60"/>
      <c r="U364" s="60"/>
    </row>
    <row r="365" spans="1:21" s="59" customFormat="1" ht="13.5" customHeight="1">
      <c r="A365" s="52"/>
      <c r="B365" s="422"/>
      <c r="C365" s="283" t="s">
        <v>131</v>
      </c>
      <c r="D365" s="284"/>
      <c r="E365" s="285"/>
      <c r="F365" s="175">
        <v>31.3</v>
      </c>
      <c r="G365" s="175">
        <v>31.3</v>
      </c>
      <c r="H365" s="194" t="str">
        <f t="shared" si="42"/>
        <v>IN</v>
      </c>
      <c r="I365" s="175">
        <f t="shared" si="43"/>
        <v>10708.835999999996</v>
      </c>
      <c r="J365" s="175">
        <f t="shared" si="44"/>
        <v>9019.7440000000061</v>
      </c>
      <c r="K365" s="205"/>
      <c r="L365" s="378"/>
      <c r="M365" s="379"/>
      <c r="T365" s="60"/>
      <c r="U365" s="60"/>
    </row>
    <row r="366" spans="1:21" s="59" customFormat="1" ht="13.5" customHeight="1">
      <c r="A366" s="52"/>
      <c r="B366" s="408" t="s">
        <v>147</v>
      </c>
      <c r="C366" s="276" t="s">
        <v>131</v>
      </c>
      <c r="D366" s="277"/>
      <c r="E366" s="278"/>
      <c r="F366" s="279">
        <v>30.95</v>
      </c>
      <c r="G366" s="279">
        <v>30.95</v>
      </c>
      <c r="H366" s="280" t="str">
        <f t="shared" si="42"/>
        <v>IN</v>
      </c>
      <c r="I366" s="279">
        <f t="shared" si="43"/>
        <v>10739.785999999996</v>
      </c>
      <c r="J366" s="279">
        <f t="shared" si="44"/>
        <v>8988.7940000000053</v>
      </c>
      <c r="K366" s="281"/>
      <c r="L366" s="378"/>
      <c r="M366" s="379"/>
      <c r="T366" s="60"/>
      <c r="U366" s="60"/>
    </row>
    <row r="367" spans="1:21" s="59" customFormat="1" ht="13.5" customHeight="1">
      <c r="A367" s="52"/>
      <c r="B367" s="409"/>
      <c r="C367" s="276" t="s">
        <v>131</v>
      </c>
      <c r="D367" s="277"/>
      <c r="E367" s="278"/>
      <c r="F367" s="279">
        <v>30.8</v>
      </c>
      <c r="G367" s="279">
        <v>30.8</v>
      </c>
      <c r="H367" s="280" t="str">
        <f t="shared" ref="H367:H398" si="45">IF(F367="","OUT","IN")</f>
        <v>IN</v>
      </c>
      <c r="I367" s="279">
        <f t="shared" si="43"/>
        <v>10770.585999999996</v>
      </c>
      <c r="J367" s="279">
        <f t="shared" si="44"/>
        <v>8957.9940000000061</v>
      </c>
      <c r="K367" s="281"/>
      <c r="L367" s="378"/>
      <c r="M367" s="379"/>
      <c r="T367" s="60"/>
      <c r="U367" s="60"/>
    </row>
    <row r="368" spans="1:21" s="52" customFormat="1" ht="13.5" customHeight="1">
      <c r="B368" s="410"/>
      <c r="C368" s="276" t="s">
        <v>131</v>
      </c>
      <c r="D368" s="277"/>
      <c r="E368" s="278"/>
      <c r="F368" s="279">
        <v>31.04</v>
      </c>
      <c r="G368" s="279">
        <v>31.04</v>
      </c>
      <c r="H368" s="280" t="str">
        <f t="shared" si="45"/>
        <v>IN</v>
      </c>
      <c r="I368" s="279">
        <f t="shared" si="43"/>
        <v>10801.625999999997</v>
      </c>
      <c r="J368" s="279">
        <f t="shared" si="44"/>
        <v>8926.9540000000052</v>
      </c>
      <c r="K368" s="281"/>
      <c r="L368" s="378"/>
      <c r="M368" s="379"/>
      <c r="N368" s="58"/>
      <c r="O368" s="288"/>
      <c r="P368" s="288"/>
      <c r="Q368" s="59"/>
      <c r="R368" s="59"/>
      <c r="S368" s="59"/>
      <c r="T368" s="60"/>
      <c r="U368" s="60"/>
    </row>
    <row r="369" spans="1:21" s="52" customFormat="1" ht="13.5" customHeight="1">
      <c r="B369" s="420" t="s">
        <v>148</v>
      </c>
      <c r="C369" s="283" t="s">
        <v>131</v>
      </c>
      <c r="D369" s="284"/>
      <c r="E369" s="285"/>
      <c r="F369" s="175">
        <v>31.05</v>
      </c>
      <c r="G369" s="175">
        <v>31.05</v>
      </c>
      <c r="H369" s="194" t="str">
        <f t="shared" si="45"/>
        <v>IN</v>
      </c>
      <c r="I369" s="175">
        <f t="shared" si="43"/>
        <v>10832.675999999996</v>
      </c>
      <c r="J369" s="175">
        <f t="shared" si="44"/>
        <v>8895.9040000000059</v>
      </c>
      <c r="K369" s="205"/>
      <c r="L369" s="289"/>
      <c r="M369" s="290"/>
      <c r="N369" s="58"/>
      <c r="O369" s="291"/>
      <c r="P369" s="291"/>
      <c r="Q369" s="59"/>
      <c r="R369" s="59"/>
      <c r="S369" s="59"/>
      <c r="T369" s="60"/>
      <c r="U369" s="60"/>
    </row>
    <row r="370" spans="1:21" s="52" customFormat="1" ht="13.5" customHeight="1">
      <c r="B370" s="421"/>
      <c r="C370" s="283" t="s">
        <v>131</v>
      </c>
      <c r="D370" s="284"/>
      <c r="E370" s="285"/>
      <c r="F370" s="175">
        <v>30.99</v>
      </c>
      <c r="G370" s="175">
        <v>30.99</v>
      </c>
      <c r="H370" s="194" t="str">
        <f t="shared" si="45"/>
        <v>IN</v>
      </c>
      <c r="I370" s="175">
        <f t="shared" si="43"/>
        <v>10863.665999999996</v>
      </c>
      <c r="J370" s="175">
        <f t="shared" si="44"/>
        <v>8864.9140000000061</v>
      </c>
      <c r="K370" s="205"/>
      <c r="L370" s="289"/>
      <c r="M370" s="290"/>
      <c r="N370" s="58"/>
      <c r="O370" s="291"/>
      <c r="P370" s="291"/>
      <c r="Q370" s="59"/>
      <c r="R370" s="59"/>
      <c r="S370" s="59"/>
      <c r="T370" s="60"/>
      <c r="U370" s="60"/>
    </row>
    <row r="371" spans="1:21" s="52" customFormat="1" ht="13.5" customHeight="1">
      <c r="B371" s="422"/>
      <c r="C371" s="283" t="s">
        <v>131</v>
      </c>
      <c r="D371" s="284"/>
      <c r="E371" s="285"/>
      <c r="F371" s="175">
        <v>31.09</v>
      </c>
      <c r="G371" s="175">
        <v>31.09</v>
      </c>
      <c r="H371" s="194" t="str">
        <f t="shared" si="45"/>
        <v>IN</v>
      </c>
      <c r="I371" s="175">
        <f t="shared" si="43"/>
        <v>10894.755999999996</v>
      </c>
      <c r="J371" s="175">
        <f t="shared" si="44"/>
        <v>8833.824000000006</v>
      </c>
      <c r="K371" s="205"/>
      <c r="L371" s="289"/>
      <c r="M371" s="290"/>
      <c r="N371" s="58"/>
      <c r="O371" s="286"/>
      <c r="P371" s="286"/>
      <c r="Q371" s="59"/>
      <c r="R371" s="59"/>
      <c r="S371" s="59"/>
      <c r="T371" s="60"/>
      <c r="U371" s="60"/>
    </row>
    <row r="372" spans="1:21" s="52" customFormat="1" ht="13.5" customHeight="1">
      <c r="B372" s="408" t="s">
        <v>149</v>
      </c>
      <c r="C372" s="276" t="s">
        <v>131</v>
      </c>
      <c r="D372" s="277"/>
      <c r="E372" s="278"/>
      <c r="F372" s="279">
        <v>30.7</v>
      </c>
      <c r="G372" s="279">
        <v>30.7</v>
      </c>
      <c r="H372" s="280" t="str">
        <f t="shared" si="45"/>
        <v>IN</v>
      </c>
      <c r="I372" s="279">
        <f t="shared" si="43"/>
        <v>10925.455999999996</v>
      </c>
      <c r="J372" s="279">
        <f t="shared" si="44"/>
        <v>8803.1240000000053</v>
      </c>
      <c r="K372" s="281"/>
      <c r="L372" s="289"/>
      <c r="M372" s="290"/>
      <c r="N372" s="58"/>
      <c r="O372" s="57"/>
      <c r="P372" s="57"/>
      <c r="Q372" s="59"/>
      <c r="R372" s="59"/>
      <c r="S372" s="59"/>
      <c r="T372" s="60"/>
      <c r="U372" s="60"/>
    </row>
    <row r="373" spans="1:21" s="52" customFormat="1" ht="13.5" customHeight="1">
      <c r="B373" s="409"/>
      <c r="C373" s="276" t="s">
        <v>131</v>
      </c>
      <c r="D373" s="277"/>
      <c r="E373" s="278"/>
      <c r="F373" s="279">
        <v>31.16</v>
      </c>
      <c r="G373" s="279">
        <v>31.16</v>
      </c>
      <c r="H373" s="280" t="str">
        <f t="shared" si="45"/>
        <v>IN</v>
      </c>
      <c r="I373" s="279">
        <f t="shared" si="43"/>
        <v>10956.615999999996</v>
      </c>
      <c r="J373" s="279">
        <f t="shared" si="44"/>
        <v>8771.9640000000054</v>
      </c>
      <c r="K373" s="281"/>
      <c r="L373" s="289"/>
      <c r="M373" s="290"/>
      <c r="N373" s="58"/>
      <c r="O373" s="57"/>
      <c r="P373" s="57"/>
      <c r="Q373" s="59"/>
      <c r="R373" s="59"/>
      <c r="S373" s="59"/>
      <c r="T373" s="60"/>
      <c r="U373" s="60"/>
    </row>
    <row r="374" spans="1:21" s="59" customFormat="1" ht="13.5" customHeight="1">
      <c r="A374" s="52"/>
      <c r="B374" s="410"/>
      <c r="C374" s="276" t="s">
        <v>131</v>
      </c>
      <c r="D374" s="277"/>
      <c r="E374" s="278"/>
      <c r="F374" s="279">
        <v>31.01</v>
      </c>
      <c r="G374" s="279">
        <v>31.01</v>
      </c>
      <c r="H374" s="280" t="str">
        <f t="shared" si="45"/>
        <v>IN</v>
      </c>
      <c r="I374" s="279">
        <f t="shared" si="43"/>
        <v>10987.625999999997</v>
      </c>
      <c r="J374" s="279">
        <f t="shared" si="44"/>
        <v>8740.9540000000052</v>
      </c>
      <c r="K374" s="281"/>
      <c r="L374" s="289"/>
      <c r="M374" s="290"/>
      <c r="T374" s="60"/>
      <c r="U374" s="60"/>
    </row>
    <row r="375" spans="1:21" s="59" customFormat="1" ht="13.5" customHeight="1">
      <c r="A375" s="52"/>
      <c r="B375" s="420" t="s">
        <v>150</v>
      </c>
      <c r="C375" s="283" t="s">
        <v>131</v>
      </c>
      <c r="D375" s="284"/>
      <c r="E375" s="285"/>
      <c r="F375" s="175">
        <v>31.1</v>
      </c>
      <c r="G375" s="175">
        <v>31.1</v>
      </c>
      <c r="H375" s="194" t="str">
        <f t="shared" si="45"/>
        <v>IN</v>
      </c>
      <c r="I375" s="175">
        <f t="shared" si="43"/>
        <v>11018.725999999997</v>
      </c>
      <c r="J375" s="175">
        <f t="shared" si="44"/>
        <v>8709.8540000000048</v>
      </c>
      <c r="K375" s="205"/>
      <c r="L375" s="289"/>
      <c r="M375" s="290"/>
      <c r="T375" s="60"/>
      <c r="U375" s="60"/>
    </row>
    <row r="376" spans="1:21" s="59" customFormat="1" ht="13.5" customHeight="1">
      <c r="A376" s="52"/>
      <c r="B376" s="421"/>
      <c r="C376" s="283" t="s">
        <v>131</v>
      </c>
      <c r="D376" s="284"/>
      <c r="E376" s="285"/>
      <c r="F376" s="175">
        <v>31.15</v>
      </c>
      <c r="G376" s="175">
        <v>31.15</v>
      </c>
      <c r="H376" s="194" t="str">
        <f t="shared" si="45"/>
        <v>IN</v>
      </c>
      <c r="I376" s="175">
        <f t="shared" si="43"/>
        <v>11049.875999999997</v>
      </c>
      <c r="J376" s="175">
        <f t="shared" si="44"/>
        <v>8678.7040000000052</v>
      </c>
      <c r="K376" s="205"/>
      <c r="L376" s="289"/>
      <c r="M376" s="290"/>
      <c r="N376" s="292"/>
      <c r="O376" s="58"/>
      <c r="P376" s="58"/>
      <c r="T376" s="60"/>
      <c r="U376" s="60"/>
    </row>
    <row r="377" spans="1:21" s="59" customFormat="1" ht="13.5" customHeight="1">
      <c r="A377" s="52"/>
      <c r="B377" s="422"/>
      <c r="C377" s="283" t="s">
        <v>131</v>
      </c>
      <c r="D377" s="284"/>
      <c r="E377" s="285"/>
      <c r="F377" s="175">
        <v>31.2</v>
      </c>
      <c r="G377" s="175">
        <v>31.2</v>
      </c>
      <c r="H377" s="194" t="str">
        <f t="shared" si="45"/>
        <v>IN</v>
      </c>
      <c r="I377" s="175">
        <f t="shared" si="43"/>
        <v>11081.075999999997</v>
      </c>
      <c r="J377" s="175">
        <f t="shared" si="44"/>
        <v>8647.5040000000045</v>
      </c>
      <c r="K377" s="205"/>
      <c r="L377" s="289"/>
      <c r="M377" s="290"/>
      <c r="T377" s="60"/>
      <c r="U377" s="60"/>
    </row>
    <row r="378" spans="1:21" s="59" customFormat="1" ht="13.5" customHeight="1">
      <c r="A378" s="52"/>
      <c r="B378" s="408" t="s">
        <v>151</v>
      </c>
      <c r="C378" s="276" t="s">
        <v>131</v>
      </c>
      <c r="D378" s="277"/>
      <c r="E378" s="278"/>
      <c r="F378" s="279">
        <v>31.11</v>
      </c>
      <c r="G378" s="279">
        <v>31.11</v>
      </c>
      <c r="H378" s="280" t="str">
        <f t="shared" si="45"/>
        <v>IN</v>
      </c>
      <c r="I378" s="279">
        <f t="shared" si="43"/>
        <v>11112.185999999998</v>
      </c>
      <c r="J378" s="279">
        <f t="shared" si="44"/>
        <v>8616.3940000000039</v>
      </c>
      <c r="K378" s="281"/>
      <c r="L378" s="289"/>
      <c r="M378" s="290"/>
      <c r="T378" s="60"/>
      <c r="U378" s="60"/>
    </row>
    <row r="379" spans="1:21" s="59" customFormat="1" ht="13.5" customHeight="1">
      <c r="A379" s="52"/>
      <c r="B379" s="409"/>
      <c r="C379" s="276" t="s">
        <v>131</v>
      </c>
      <c r="D379" s="277"/>
      <c r="E379" s="278"/>
      <c r="F379" s="279">
        <v>30.82</v>
      </c>
      <c r="G379" s="279">
        <v>30.82</v>
      </c>
      <c r="H379" s="280" t="str">
        <f t="shared" si="45"/>
        <v>IN</v>
      </c>
      <c r="I379" s="279">
        <f t="shared" si="43"/>
        <v>11143.005999999998</v>
      </c>
      <c r="J379" s="279">
        <f t="shared" si="44"/>
        <v>8585.5740000000042</v>
      </c>
      <c r="K379" s="281"/>
      <c r="L379" s="289"/>
      <c r="M379" s="290"/>
      <c r="T379" s="60"/>
      <c r="U379" s="60"/>
    </row>
    <row r="380" spans="1:21" s="59" customFormat="1" ht="13.5" customHeight="1">
      <c r="A380" s="52"/>
      <c r="B380" s="410"/>
      <c r="C380" s="276" t="s">
        <v>131</v>
      </c>
      <c r="D380" s="277"/>
      <c r="E380" s="278"/>
      <c r="F380" s="279">
        <v>30.69</v>
      </c>
      <c r="G380" s="279">
        <v>30.69</v>
      </c>
      <c r="H380" s="280" t="str">
        <f t="shared" si="45"/>
        <v>IN</v>
      </c>
      <c r="I380" s="279">
        <f t="shared" si="43"/>
        <v>11173.695999999998</v>
      </c>
      <c r="J380" s="279">
        <f t="shared" si="44"/>
        <v>8554.8840000000037</v>
      </c>
      <c r="K380" s="281"/>
      <c r="L380" s="289"/>
      <c r="M380" s="290"/>
      <c r="T380" s="60"/>
      <c r="U380" s="60"/>
    </row>
    <row r="381" spans="1:21" s="59" customFormat="1" ht="13.5" customHeight="1">
      <c r="A381" s="52"/>
      <c r="B381" s="420" t="s">
        <v>152</v>
      </c>
      <c r="C381" s="283" t="s">
        <v>131</v>
      </c>
      <c r="D381" s="284"/>
      <c r="E381" s="285"/>
      <c r="F381" s="175">
        <v>30.87</v>
      </c>
      <c r="G381" s="175">
        <v>30.87</v>
      </c>
      <c r="H381" s="194" t="str">
        <f t="shared" si="45"/>
        <v>IN</v>
      </c>
      <c r="I381" s="175">
        <f t="shared" si="43"/>
        <v>11204.565999999999</v>
      </c>
      <c r="J381" s="175">
        <f t="shared" si="44"/>
        <v>8524.0140000000029</v>
      </c>
      <c r="K381" s="205"/>
      <c r="L381" s="289"/>
      <c r="M381" s="290"/>
      <c r="T381" s="60"/>
      <c r="U381" s="60"/>
    </row>
    <row r="382" spans="1:21" s="59" customFormat="1" ht="13.5" customHeight="1">
      <c r="A382" s="52"/>
      <c r="B382" s="421"/>
      <c r="C382" s="283" t="s">
        <v>131</v>
      </c>
      <c r="D382" s="284"/>
      <c r="E382" s="285"/>
      <c r="F382" s="175">
        <v>31.03</v>
      </c>
      <c r="G382" s="175">
        <v>31.03</v>
      </c>
      <c r="H382" s="194" t="str">
        <f t="shared" si="45"/>
        <v>IN</v>
      </c>
      <c r="I382" s="175">
        <f t="shared" si="43"/>
        <v>11235.596</v>
      </c>
      <c r="J382" s="175">
        <f t="shared" si="44"/>
        <v>8492.9840000000022</v>
      </c>
      <c r="K382" s="205"/>
      <c r="L382" s="289"/>
      <c r="M382" s="290"/>
      <c r="T382" s="60"/>
      <c r="U382" s="60"/>
    </row>
    <row r="383" spans="1:21" s="59" customFormat="1" ht="13.5" customHeight="1">
      <c r="A383" s="52"/>
      <c r="B383" s="422"/>
      <c r="C383" s="283" t="s">
        <v>131</v>
      </c>
      <c r="D383" s="284"/>
      <c r="E383" s="285"/>
      <c r="F383" s="175">
        <v>30.93</v>
      </c>
      <c r="G383" s="175">
        <v>30.93</v>
      </c>
      <c r="H383" s="194" t="str">
        <f t="shared" si="45"/>
        <v>IN</v>
      </c>
      <c r="I383" s="175">
        <f t="shared" si="43"/>
        <v>11266.526</v>
      </c>
      <c r="J383" s="175">
        <f t="shared" si="44"/>
        <v>8462.0540000000019</v>
      </c>
      <c r="K383" s="205"/>
      <c r="L383" s="289"/>
      <c r="M383" s="290"/>
      <c r="T383" s="60"/>
      <c r="U383" s="60"/>
    </row>
    <row r="384" spans="1:21" s="59" customFormat="1" ht="13.5" customHeight="1">
      <c r="A384" s="52"/>
      <c r="B384" s="408" t="s">
        <v>153</v>
      </c>
      <c r="C384" s="276" t="s">
        <v>131</v>
      </c>
      <c r="D384" s="277"/>
      <c r="E384" s="278"/>
      <c r="F384" s="279">
        <v>30.84</v>
      </c>
      <c r="G384" s="279">
        <v>30.84</v>
      </c>
      <c r="H384" s="280" t="str">
        <f t="shared" si="45"/>
        <v>IN</v>
      </c>
      <c r="I384" s="279">
        <f t="shared" si="43"/>
        <v>11297.366</v>
      </c>
      <c r="J384" s="279">
        <f t="shared" si="44"/>
        <v>8431.2140000000018</v>
      </c>
      <c r="K384" s="281"/>
      <c r="L384" s="289"/>
      <c r="M384" s="290"/>
      <c r="T384" s="60"/>
      <c r="U384" s="60"/>
    </row>
    <row r="385" spans="1:21" s="59" customFormat="1" ht="13.5" customHeight="1">
      <c r="A385" s="52"/>
      <c r="B385" s="409"/>
      <c r="C385" s="276" t="s">
        <v>131</v>
      </c>
      <c r="D385" s="277"/>
      <c r="E385" s="278"/>
      <c r="F385" s="279">
        <v>31</v>
      </c>
      <c r="G385" s="279">
        <v>31</v>
      </c>
      <c r="H385" s="280" t="str">
        <f t="shared" si="45"/>
        <v>IN</v>
      </c>
      <c r="I385" s="279">
        <f t="shared" si="43"/>
        <v>11328.366</v>
      </c>
      <c r="J385" s="279">
        <f t="shared" si="44"/>
        <v>8400.2140000000018</v>
      </c>
      <c r="K385" s="281"/>
      <c r="L385" s="289"/>
      <c r="M385" s="290"/>
      <c r="T385" s="60"/>
      <c r="U385" s="60"/>
    </row>
    <row r="386" spans="1:21" s="59" customFormat="1" ht="13.5" customHeight="1">
      <c r="A386" s="52"/>
      <c r="B386" s="410"/>
      <c r="C386" s="276" t="s">
        <v>131</v>
      </c>
      <c r="D386" s="277"/>
      <c r="E386" s="278"/>
      <c r="F386" s="279">
        <v>31.17</v>
      </c>
      <c r="G386" s="279">
        <v>31.17</v>
      </c>
      <c r="H386" s="280" t="str">
        <f t="shared" si="45"/>
        <v>IN</v>
      </c>
      <c r="I386" s="279">
        <f t="shared" si="43"/>
        <v>11359.536</v>
      </c>
      <c r="J386" s="279">
        <f t="shared" si="44"/>
        <v>8369.0440000000017</v>
      </c>
      <c r="K386" s="281"/>
      <c r="L386" s="289"/>
      <c r="M386" s="290"/>
      <c r="T386" s="60"/>
      <c r="U386" s="60"/>
    </row>
    <row r="387" spans="1:21" s="59" customFormat="1" ht="13.5" customHeight="1">
      <c r="A387" s="52"/>
      <c r="B387" s="420" t="s">
        <v>154</v>
      </c>
      <c r="C387" s="283" t="s">
        <v>131</v>
      </c>
      <c r="D387" s="284"/>
      <c r="E387" s="285"/>
      <c r="F387" s="175">
        <v>31.17</v>
      </c>
      <c r="G387" s="175">
        <v>31.17</v>
      </c>
      <c r="H387" s="194" t="str">
        <f t="shared" si="45"/>
        <v>IN</v>
      </c>
      <c r="I387" s="175">
        <f t="shared" si="43"/>
        <v>11390.706</v>
      </c>
      <c r="J387" s="175">
        <f t="shared" si="44"/>
        <v>8337.8740000000016</v>
      </c>
      <c r="K387" s="205"/>
      <c r="L387" s="289"/>
      <c r="M387" s="290"/>
      <c r="T387" s="60"/>
      <c r="U387" s="60"/>
    </row>
    <row r="388" spans="1:21" s="59" customFormat="1" ht="13.5" customHeight="1">
      <c r="A388" s="52"/>
      <c r="B388" s="421"/>
      <c r="C388" s="283" t="s">
        <v>131</v>
      </c>
      <c r="D388" s="284"/>
      <c r="E388" s="285"/>
      <c r="F388" s="175">
        <v>30.83</v>
      </c>
      <c r="G388" s="175">
        <v>30.83</v>
      </c>
      <c r="H388" s="194" t="str">
        <f t="shared" si="45"/>
        <v>IN</v>
      </c>
      <c r="I388" s="175">
        <f t="shared" si="43"/>
        <v>11421.536</v>
      </c>
      <c r="J388" s="175">
        <f t="shared" si="44"/>
        <v>8307.0440000000017</v>
      </c>
      <c r="K388" s="205"/>
      <c r="L388" s="289"/>
      <c r="M388" s="290"/>
      <c r="T388" s="60"/>
      <c r="U388" s="60"/>
    </row>
    <row r="389" spans="1:21" s="59" customFormat="1" ht="13.5" customHeight="1">
      <c r="A389" s="52"/>
      <c r="B389" s="422"/>
      <c r="C389" s="283" t="s">
        <v>131</v>
      </c>
      <c r="D389" s="284"/>
      <c r="E389" s="285"/>
      <c r="F389" s="175">
        <v>31.09</v>
      </c>
      <c r="G389" s="175">
        <v>31.09</v>
      </c>
      <c r="H389" s="194" t="str">
        <f t="shared" si="45"/>
        <v>IN</v>
      </c>
      <c r="I389" s="175">
        <f t="shared" si="43"/>
        <v>11452.626</v>
      </c>
      <c r="J389" s="175">
        <f t="shared" si="44"/>
        <v>8275.9540000000015</v>
      </c>
      <c r="K389" s="205"/>
      <c r="L389" s="289"/>
      <c r="M389" s="290"/>
      <c r="T389" s="60"/>
      <c r="U389" s="60"/>
    </row>
    <row r="390" spans="1:21" s="59" customFormat="1" ht="13.5" customHeight="1">
      <c r="A390" s="52"/>
      <c r="B390" s="408" t="s">
        <v>155</v>
      </c>
      <c r="C390" s="276" t="s">
        <v>131</v>
      </c>
      <c r="D390" s="277"/>
      <c r="E390" s="278"/>
      <c r="F390" s="279">
        <v>30.83</v>
      </c>
      <c r="G390" s="279">
        <v>30.83</v>
      </c>
      <c r="H390" s="280" t="str">
        <f t="shared" si="45"/>
        <v>IN</v>
      </c>
      <c r="I390" s="279">
        <f t="shared" si="43"/>
        <v>11483.456</v>
      </c>
      <c r="J390" s="279">
        <f t="shared" si="44"/>
        <v>8245.1240000000016</v>
      </c>
      <c r="K390" s="281"/>
      <c r="L390" s="289"/>
      <c r="M390" s="290"/>
      <c r="T390" s="60"/>
      <c r="U390" s="60"/>
    </row>
    <row r="391" spans="1:21" s="59" customFormat="1" ht="13.5" customHeight="1">
      <c r="A391" s="52"/>
      <c r="B391" s="409"/>
      <c r="C391" s="276" t="s">
        <v>131</v>
      </c>
      <c r="D391" s="277"/>
      <c r="E391" s="278"/>
      <c r="F391" s="279">
        <v>30.95</v>
      </c>
      <c r="G391" s="279">
        <v>30.95</v>
      </c>
      <c r="H391" s="280" t="str">
        <f t="shared" si="45"/>
        <v>IN</v>
      </c>
      <c r="I391" s="279">
        <f t="shared" si="43"/>
        <v>11514.406000000001</v>
      </c>
      <c r="J391" s="279">
        <f t="shared" si="44"/>
        <v>8214.1740000000009</v>
      </c>
      <c r="K391" s="281"/>
      <c r="L391" s="289"/>
      <c r="M391" s="290"/>
      <c r="T391" s="60"/>
      <c r="U391" s="60"/>
    </row>
    <row r="392" spans="1:21" s="59" customFormat="1" ht="13.5" customHeight="1">
      <c r="A392" s="52"/>
      <c r="B392" s="410"/>
      <c r="C392" s="276" t="s">
        <v>131</v>
      </c>
      <c r="D392" s="277"/>
      <c r="E392" s="278"/>
      <c r="F392" s="279">
        <v>31.12</v>
      </c>
      <c r="G392" s="279">
        <v>31.12</v>
      </c>
      <c r="H392" s="280" t="str">
        <f t="shared" si="45"/>
        <v>IN</v>
      </c>
      <c r="I392" s="279">
        <f t="shared" si="43"/>
        <v>11545.526000000002</v>
      </c>
      <c r="J392" s="279">
        <f t="shared" si="44"/>
        <v>8183.0540000000001</v>
      </c>
      <c r="K392" s="281"/>
      <c r="L392" s="289"/>
      <c r="M392" s="290"/>
      <c r="T392" s="60"/>
      <c r="U392" s="60"/>
    </row>
    <row r="393" spans="1:21" s="59" customFormat="1" ht="13.5" customHeight="1">
      <c r="A393" s="52"/>
      <c r="B393" s="420" t="s">
        <v>156</v>
      </c>
      <c r="C393" s="283" t="s">
        <v>131</v>
      </c>
      <c r="D393" s="284"/>
      <c r="E393" s="285"/>
      <c r="F393" s="175">
        <v>30.85</v>
      </c>
      <c r="G393" s="175">
        <v>30.85</v>
      </c>
      <c r="H393" s="194" t="str">
        <f t="shared" si="45"/>
        <v>IN</v>
      </c>
      <c r="I393" s="175">
        <f t="shared" si="43"/>
        <v>11576.376000000002</v>
      </c>
      <c r="J393" s="175">
        <f t="shared" si="44"/>
        <v>8152.2039999999997</v>
      </c>
      <c r="K393" s="205"/>
      <c r="L393" s="289"/>
      <c r="M393" s="290"/>
      <c r="T393" s="60"/>
      <c r="U393" s="60"/>
    </row>
    <row r="394" spans="1:21" s="59" customFormat="1" ht="13.5" customHeight="1">
      <c r="A394" s="52"/>
      <c r="B394" s="421"/>
      <c r="C394" s="283" t="s">
        <v>131</v>
      </c>
      <c r="D394" s="284"/>
      <c r="E394" s="285"/>
      <c r="F394" s="175">
        <v>31.08</v>
      </c>
      <c r="G394" s="175">
        <v>31.08</v>
      </c>
      <c r="H394" s="194" t="str">
        <f t="shared" si="45"/>
        <v>IN</v>
      </c>
      <c r="I394" s="175">
        <f t="shared" si="43"/>
        <v>11607.456000000002</v>
      </c>
      <c r="J394" s="175">
        <f t="shared" si="44"/>
        <v>8121.1239999999998</v>
      </c>
      <c r="K394" s="205"/>
      <c r="L394" s="289"/>
      <c r="M394" s="290"/>
      <c r="T394" s="60"/>
      <c r="U394" s="60"/>
    </row>
    <row r="395" spans="1:21" s="59" customFormat="1" ht="13.5" customHeight="1">
      <c r="A395" s="52"/>
      <c r="B395" s="422"/>
      <c r="C395" s="283" t="s">
        <v>131</v>
      </c>
      <c r="D395" s="284"/>
      <c r="E395" s="285"/>
      <c r="F395" s="175">
        <v>30.86</v>
      </c>
      <c r="G395" s="175">
        <v>30.86</v>
      </c>
      <c r="H395" s="194" t="str">
        <f t="shared" si="45"/>
        <v>IN</v>
      </c>
      <c r="I395" s="175">
        <f t="shared" si="43"/>
        <v>11638.316000000003</v>
      </c>
      <c r="J395" s="175">
        <f t="shared" si="44"/>
        <v>8090.2639999999992</v>
      </c>
      <c r="K395" s="205"/>
      <c r="L395" s="289"/>
      <c r="M395" s="290"/>
      <c r="T395" s="60"/>
      <c r="U395" s="60"/>
    </row>
    <row r="396" spans="1:21" s="59" customFormat="1" ht="13.5" customHeight="1">
      <c r="A396" s="52"/>
      <c r="B396" s="408" t="s">
        <v>157</v>
      </c>
      <c r="C396" s="276" t="s">
        <v>131</v>
      </c>
      <c r="D396" s="277"/>
      <c r="E396" s="278"/>
      <c r="F396" s="279">
        <v>31.16</v>
      </c>
      <c r="G396" s="279">
        <v>31.16</v>
      </c>
      <c r="H396" s="280" t="str">
        <f t="shared" si="45"/>
        <v>IN</v>
      </c>
      <c r="I396" s="279">
        <f t="shared" si="43"/>
        <v>11669.476000000002</v>
      </c>
      <c r="J396" s="279">
        <f t="shared" si="44"/>
        <v>8059.1039999999994</v>
      </c>
      <c r="K396" s="281"/>
      <c r="L396" s="289"/>
      <c r="M396" s="290"/>
      <c r="T396" s="60"/>
      <c r="U396" s="60"/>
    </row>
    <row r="397" spans="1:21" s="59" customFormat="1" ht="13.5" customHeight="1">
      <c r="A397" s="52"/>
      <c r="B397" s="409"/>
      <c r="C397" s="276" t="s">
        <v>131</v>
      </c>
      <c r="D397" s="277"/>
      <c r="E397" s="278"/>
      <c r="F397" s="279">
        <v>31.09</v>
      </c>
      <c r="G397" s="279">
        <v>31.09</v>
      </c>
      <c r="H397" s="280" t="str">
        <f t="shared" si="45"/>
        <v>IN</v>
      </c>
      <c r="I397" s="279">
        <f t="shared" si="43"/>
        <v>11700.566000000003</v>
      </c>
      <c r="J397" s="279">
        <f t="shared" si="44"/>
        <v>8028.0139999999992</v>
      </c>
      <c r="K397" s="281"/>
      <c r="L397" s="289"/>
      <c r="M397" s="290"/>
      <c r="T397" s="60"/>
      <c r="U397" s="60"/>
    </row>
    <row r="398" spans="1:21" s="59" customFormat="1" ht="13.5" customHeight="1">
      <c r="A398" s="52"/>
      <c r="B398" s="410"/>
      <c r="C398" s="276" t="s">
        <v>131</v>
      </c>
      <c r="D398" s="277"/>
      <c r="E398" s="278"/>
      <c r="F398" s="279">
        <v>31.22</v>
      </c>
      <c r="G398" s="279">
        <v>31.22</v>
      </c>
      <c r="H398" s="280" t="str">
        <f t="shared" si="45"/>
        <v>IN</v>
      </c>
      <c r="I398" s="279">
        <f t="shared" si="43"/>
        <v>11731.786000000002</v>
      </c>
      <c r="J398" s="279">
        <f t="shared" si="44"/>
        <v>7996.7939999999999</v>
      </c>
      <c r="K398" s="281"/>
      <c r="L398" s="289"/>
      <c r="M398" s="290"/>
      <c r="T398" s="60"/>
      <c r="U398" s="60"/>
    </row>
    <row r="399" spans="1:21" s="59" customFormat="1" ht="13.5" customHeight="1">
      <c r="A399" s="52"/>
      <c r="B399" s="420" t="s">
        <v>158</v>
      </c>
      <c r="C399" s="283" t="s">
        <v>131</v>
      </c>
      <c r="D399" s="284"/>
      <c r="E399" s="285"/>
      <c r="F399" s="175">
        <v>30.9</v>
      </c>
      <c r="G399" s="175">
        <v>30.9</v>
      </c>
      <c r="H399" s="194" t="str">
        <f t="shared" ref="H399:H430" si="46">IF(F399="","OUT","IN")</f>
        <v>IN</v>
      </c>
      <c r="I399" s="175">
        <f t="shared" si="43"/>
        <v>11762.686000000002</v>
      </c>
      <c r="J399" s="175">
        <f t="shared" si="44"/>
        <v>7965.8940000000002</v>
      </c>
      <c r="K399" s="205"/>
      <c r="L399" s="289"/>
      <c r="M399" s="290"/>
      <c r="T399" s="60"/>
      <c r="U399" s="60"/>
    </row>
    <row r="400" spans="1:21" s="59" customFormat="1" ht="13.5" customHeight="1">
      <c r="A400" s="52"/>
      <c r="B400" s="421"/>
      <c r="C400" s="283" t="s">
        <v>131</v>
      </c>
      <c r="D400" s="284"/>
      <c r="E400" s="285"/>
      <c r="F400" s="175">
        <v>30.99</v>
      </c>
      <c r="G400" s="175">
        <v>30.99</v>
      </c>
      <c r="H400" s="194" t="str">
        <f t="shared" si="46"/>
        <v>IN</v>
      </c>
      <c r="I400" s="175">
        <f t="shared" si="43"/>
        <v>11793.676000000001</v>
      </c>
      <c r="J400" s="175">
        <f t="shared" si="44"/>
        <v>7934.9040000000005</v>
      </c>
      <c r="K400" s="205"/>
      <c r="L400" s="289"/>
      <c r="M400" s="290"/>
      <c r="T400" s="60"/>
      <c r="U400" s="60"/>
    </row>
    <row r="401" spans="1:21" s="59" customFormat="1" ht="13.5" customHeight="1">
      <c r="A401" s="52"/>
      <c r="B401" s="422"/>
      <c r="C401" s="283" t="s">
        <v>131</v>
      </c>
      <c r="D401" s="284"/>
      <c r="E401" s="285"/>
      <c r="F401" s="175">
        <v>31.2</v>
      </c>
      <c r="G401" s="175">
        <v>31.2</v>
      </c>
      <c r="H401" s="194" t="str">
        <f t="shared" si="46"/>
        <v>IN</v>
      </c>
      <c r="I401" s="175">
        <f t="shared" si="43"/>
        <v>11824.876000000002</v>
      </c>
      <c r="J401" s="175">
        <f t="shared" si="44"/>
        <v>7903.7039999999997</v>
      </c>
      <c r="K401" s="205"/>
      <c r="L401" s="289"/>
      <c r="M401" s="290"/>
      <c r="T401" s="60"/>
      <c r="U401" s="60"/>
    </row>
    <row r="402" spans="1:21" s="59" customFormat="1" ht="13.5" customHeight="1">
      <c r="A402" s="52"/>
      <c r="B402" s="408" t="s">
        <v>159</v>
      </c>
      <c r="C402" s="276" t="s">
        <v>131</v>
      </c>
      <c r="D402" s="277"/>
      <c r="E402" s="278"/>
      <c r="F402" s="279">
        <v>30.93</v>
      </c>
      <c r="G402" s="279">
        <v>30.93</v>
      </c>
      <c r="H402" s="280" t="str">
        <f t="shared" si="46"/>
        <v>IN</v>
      </c>
      <c r="I402" s="279">
        <f t="shared" ref="I402:I465" si="47">IF(H402="IN",I401+G402,I401)</f>
        <v>11855.806000000002</v>
      </c>
      <c r="J402" s="279">
        <f t="shared" ref="J402:J465" si="48">IF(I402="","",$L$8-I402)</f>
        <v>7872.7739999999994</v>
      </c>
      <c r="K402" s="281"/>
      <c r="L402" s="289"/>
      <c r="M402" s="290"/>
      <c r="T402" s="60"/>
      <c r="U402" s="60"/>
    </row>
    <row r="403" spans="1:21" s="59" customFormat="1" ht="13.5" customHeight="1">
      <c r="A403" s="52"/>
      <c r="B403" s="409"/>
      <c r="C403" s="276" t="s">
        <v>131</v>
      </c>
      <c r="D403" s="277"/>
      <c r="E403" s="278"/>
      <c r="F403" s="279">
        <v>31.04</v>
      </c>
      <c r="G403" s="279">
        <v>31.04</v>
      </c>
      <c r="H403" s="280" t="str">
        <f t="shared" si="46"/>
        <v>IN</v>
      </c>
      <c r="I403" s="279">
        <f t="shared" si="47"/>
        <v>11886.846000000003</v>
      </c>
      <c r="J403" s="279">
        <f t="shared" si="48"/>
        <v>7841.7339999999986</v>
      </c>
      <c r="K403" s="281"/>
      <c r="L403" s="289"/>
      <c r="M403" s="290"/>
      <c r="T403" s="60"/>
      <c r="U403" s="60"/>
    </row>
    <row r="404" spans="1:21" s="59" customFormat="1" ht="13.5" customHeight="1">
      <c r="A404" s="52"/>
      <c r="B404" s="410"/>
      <c r="C404" s="276" t="s">
        <v>131</v>
      </c>
      <c r="D404" s="277"/>
      <c r="E404" s="278"/>
      <c r="F404" s="279">
        <v>30.89</v>
      </c>
      <c r="G404" s="279">
        <v>30.89</v>
      </c>
      <c r="H404" s="280" t="str">
        <f t="shared" si="46"/>
        <v>IN</v>
      </c>
      <c r="I404" s="279">
        <f t="shared" si="47"/>
        <v>11917.736000000003</v>
      </c>
      <c r="J404" s="279">
        <f t="shared" si="48"/>
        <v>7810.8439999999991</v>
      </c>
      <c r="K404" s="281"/>
      <c r="L404" s="289"/>
      <c r="M404" s="290"/>
      <c r="T404" s="60"/>
      <c r="U404" s="60"/>
    </row>
    <row r="405" spans="1:21" s="59" customFormat="1" ht="13.5" customHeight="1">
      <c r="A405" s="52"/>
      <c r="B405" s="420" t="s">
        <v>160</v>
      </c>
      <c r="C405" s="283" t="s">
        <v>131</v>
      </c>
      <c r="D405" s="284"/>
      <c r="E405" s="285"/>
      <c r="F405" s="175">
        <v>30.91</v>
      </c>
      <c r="G405" s="175">
        <v>30.91</v>
      </c>
      <c r="H405" s="194" t="str">
        <f t="shared" si="46"/>
        <v>IN</v>
      </c>
      <c r="I405" s="175">
        <f t="shared" si="47"/>
        <v>11948.646000000002</v>
      </c>
      <c r="J405" s="175">
        <f t="shared" si="48"/>
        <v>7779.9339999999993</v>
      </c>
      <c r="K405" s="205"/>
      <c r="L405" s="289"/>
      <c r="M405" s="290"/>
      <c r="T405" s="60"/>
      <c r="U405" s="60"/>
    </row>
    <row r="406" spans="1:21" s="59" customFormat="1" ht="13.5" customHeight="1">
      <c r="A406" s="52"/>
      <c r="B406" s="421"/>
      <c r="C406" s="283" t="s">
        <v>131</v>
      </c>
      <c r="D406" s="284"/>
      <c r="E406" s="285"/>
      <c r="F406" s="175">
        <v>30.86</v>
      </c>
      <c r="G406" s="175">
        <v>30.86</v>
      </c>
      <c r="H406" s="194" t="str">
        <f t="shared" si="46"/>
        <v>IN</v>
      </c>
      <c r="I406" s="175">
        <f t="shared" si="47"/>
        <v>11979.506000000003</v>
      </c>
      <c r="J406" s="175">
        <f t="shared" si="48"/>
        <v>7749.0739999999987</v>
      </c>
      <c r="K406" s="205"/>
      <c r="L406" s="289"/>
      <c r="M406" s="290"/>
      <c r="T406" s="60"/>
      <c r="U406" s="60"/>
    </row>
    <row r="407" spans="1:21" s="59" customFormat="1" ht="13.5" customHeight="1">
      <c r="A407" s="52"/>
      <c r="B407" s="422"/>
      <c r="C407" s="283" t="s">
        <v>131</v>
      </c>
      <c r="D407" s="284"/>
      <c r="E407" s="285"/>
      <c r="F407" s="175">
        <v>30.89</v>
      </c>
      <c r="G407" s="175">
        <v>30.89</v>
      </c>
      <c r="H407" s="194" t="str">
        <f t="shared" si="46"/>
        <v>IN</v>
      </c>
      <c r="I407" s="175">
        <f t="shared" si="47"/>
        <v>12010.396000000002</v>
      </c>
      <c r="J407" s="175">
        <f t="shared" si="48"/>
        <v>7718.1839999999993</v>
      </c>
      <c r="K407" s="205"/>
      <c r="L407" s="289"/>
      <c r="M407" s="290"/>
      <c r="T407" s="60"/>
      <c r="U407" s="60"/>
    </row>
    <row r="408" spans="1:21" s="59" customFormat="1" ht="13.5" customHeight="1">
      <c r="A408" s="52"/>
      <c r="B408" s="408" t="s">
        <v>161</v>
      </c>
      <c r="C408" s="276" t="s">
        <v>131</v>
      </c>
      <c r="D408" s="277"/>
      <c r="E408" s="278"/>
      <c r="F408" s="279">
        <v>30.91</v>
      </c>
      <c r="G408" s="279">
        <v>30.91</v>
      </c>
      <c r="H408" s="280" t="str">
        <f t="shared" si="46"/>
        <v>IN</v>
      </c>
      <c r="I408" s="279">
        <f t="shared" si="47"/>
        <v>12041.306000000002</v>
      </c>
      <c r="J408" s="279">
        <f t="shared" si="48"/>
        <v>7687.2739999999994</v>
      </c>
      <c r="K408" s="281"/>
      <c r="L408" s="289"/>
      <c r="M408" s="290"/>
      <c r="T408" s="60"/>
      <c r="U408" s="60"/>
    </row>
    <row r="409" spans="1:21" s="59" customFormat="1" ht="13.5" customHeight="1">
      <c r="A409" s="52"/>
      <c r="B409" s="409"/>
      <c r="C409" s="276" t="s">
        <v>131</v>
      </c>
      <c r="D409" s="277"/>
      <c r="E409" s="278"/>
      <c r="F409" s="279">
        <v>31.17</v>
      </c>
      <c r="G409" s="279">
        <v>31.17</v>
      </c>
      <c r="H409" s="280" t="str">
        <f t="shared" si="46"/>
        <v>IN</v>
      </c>
      <c r="I409" s="279">
        <f t="shared" si="47"/>
        <v>12072.476000000002</v>
      </c>
      <c r="J409" s="279">
        <f t="shared" si="48"/>
        <v>7656.1039999999994</v>
      </c>
      <c r="K409" s="281"/>
      <c r="L409" s="289"/>
      <c r="M409" s="290"/>
      <c r="T409" s="60"/>
      <c r="U409" s="60"/>
    </row>
    <row r="410" spans="1:21" s="59" customFormat="1" ht="13.5" customHeight="1">
      <c r="A410" s="52"/>
      <c r="B410" s="410"/>
      <c r="C410" s="276" t="s">
        <v>131</v>
      </c>
      <c r="D410" s="277"/>
      <c r="E410" s="278"/>
      <c r="F410" s="279">
        <v>30.95</v>
      </c>
      <c r="G410" s="279">
        <v>30.95</v>
      </c>
      <c r="H410" s="280" t="str">
        <f t="shared" si="46"/>
        <v>IN</v>
      </c>
      <c r="I410" s="279">
        <f t="shared" si="47"/>
        <v>12103.426000000003</v>
      </c>
      <c r="J410" s="279">
        <f t="shared" si="48"/>
        <v>7625.1539999999986</v>
      </c>
      <c r="K410" s="281"/>
      <c r="L410" s="289"/>
      <c r="M410" s="290"/>
      <c r="T410" s="60"/>
      <c r="U410" s="60"/>
    </row>
    <row r="411" spans="1:21" s="59" customFormat="1" ht="13.5" customHeight="1">
      <c r="A411" s="52"/>
      <c r="B411" s="420" t="s">
        <v>162</v>
      </c>
      <c r="C411" s="283" t="s">
        <v>131</v>
      </c>
      <c r="D411" s="284"/>
      <c r="E411" s="285"/>
      <c r="F411" s="175">
        <v>31.1</v>
      </c>
      <c r="G411" s="175">
        <v>31.1</v>
      </c>
      <c r="H411" s="194" t="str">
        <f t="shared" si="46"/>
        <v>IN</v>
      </c>
      <c r="I411" s="175">
        <f t="shared" si="47"/>
        <v>12134.526000000003</v>
      </c>
      <c r="J411" s="175">
        <f t="shared" si="48"/>
        <v>7594.0539999999983</v>
      </c>
      <c r="K411" s="205"/>
      <c r="L411" s="289"/>
      <c r="M411" s="290"/>
      <c r="T411" s="60"/>
      <c r="U411" s="60"/>
    </row>
    <row r="412" spans="1:21" s="59" customFormat="1" ht="13.5" customHeight="1">
      <c r="A412" s="52"/>
      <c r="B412" s="421"/>
      <c r="C412" s="283" t="s">
        <v>131</v>
      </c>
      <c r="D412" s="284"/>
      <c r="E412" s="285"/>
      <c r="F412" s="175">
        <v>31.19</v>
      </c>
      <c r="G412" s="175">
        <v>31.19</v>
      </c>
      <c r="H412" s="194" t="str">
        <f t="shared" si="46"/>
        <v>IN</v>
      </c>
      <c r="I412" s="175">
        <f t="shared" si="47"/>
        <v>12165.716000000004</v>
      </c>
      <c r="J412" s="175">
        <f t="shared" si="48"/>
        <v>7562.8639999999978</v>
      </c>
      <c r="K412" s="205"/>
      <c r="L412" s="289"/>
      <c r="M412" s="290"/>
      <c r="T412" s="60"/>
      <c r="U412" s="60"/>
    </row>
    <row r="413" spans="1:21" s="59" customFormat="1" ht="13.5" customHeight="1">
      <c r="A413" s="52"/>
      <c r="B413" s="422"/>
      <c r="C413" s="283" t="s">
        <v>131</v>
      </c>
      <c r="D413" s="284"/>
      <c r="E413" s="285"/>
      <c r="F413" s="175">
        <v>31.29</v>
      </c>
      <c r="G413" s="175">
        <v>31.29</v>
      </c>
      <c r="H413" s="194" t="str">
        <f t="shared" si="46"/>
        <v>IN</v>
      </c>
      <c r="I413" s="175">
        <f t="shared" si="47"/>
        <v>12197.006000000005</v>
      </c>
      <c r="J413" s="175">
        <f t="shared" si="48"/>
        <v>7531.5739999999969</v>
      </c>
      <c r="K413" s="205"/>
      <c r="L413" s="289"/>
      <c r="M413" s="290"/>
      <c r="T413" s="60"/>
      <c r="U413" s="60"/>
    </row>
    <row r="414" spans="1:21" s="59" customFormat="1" ht="13.5" customHeight="1">
      <c r="A414" s="52"/>
      <c r="B414" s="416" t="s">
        <v>163</v>
      </c>
      <c r="C414" s="267" t="s">
        <v>124</v>
      </c>
      <c r="D414" s="267"/>
      <c r="E414" s="267"/>
      <c r="F414" s="268">
        <v>30.2</v>
      </c>
      <c r="G414" s="268">
        <f t="shared" ref="G414:G433" si="49">F414</f>
        <v>30.2</v>
      </c>
      <c r="H414" s="269" t="str">
        <f t="shared" si="46"/>
        <v>IN</v>
      </c>
      <c r="I414" s="268">
        <f t="shared" si="47"/>
        <v>12227.206000000006</v>
      </c>
      <c r="J414" s="268">
        <f t="shared" si="48"/>
        <v>7501.3739999999962</v>
      </c>
      <c r="K414" s="270"/>
      <c r="L414" s="423"/>
      <c r="M414" s="424"/>
      <c r="T414" s="60"/>
      <c r="U414" s="60"/>
    </row>
    <row r="415" spans="1:21" s="59" customFormat="1" ht="13.5" customHeight="1">
      <c r="A415" s="52"/>
      <c r="B415" s="416"/>
      <c r="C415" s="267" t="s">
        <v>124</v>
      </c>
      <c r="D415" s="267"/>
      <c r="E415" s="267"/>
      <c r="F415" s="268">
        <v>29.9</v>
      </c>
      <c r="G415" s="268">
        <f t="shared" si="49"/>
        <v>29.9</v>
      </c>
      <c r="H415" s="269" t="str">
        <f t="shared" si="46"/>
        <v>IN</v>
      </c>
      <c r="I415" s="268">
        <f t="shared" si="47"/>
        <v>12257.106000000005</v>
      </c>
      <c r="J415" s="268">
        <f t="shared" si="48"/>
        <v>7471.4739999999965</v>
      </c>
      <c r="K415" s="270"/>
      <c r="L415" s="423"/>
      <c r="M415" s="424"/>
      <c r="T415" s="60"/>
      <c r="U415" s="60"/>
    </row>
    <row r="416" spans="1:21" s="59" customFormat="1" ht="13.5" customHeight="1">
      <c r="A416" s="52"/>
      <c r="B416" s="416"/>
      <c r="C416" s="267" t="s">
        <v>124</v>
      </c>
      <c r="D416" s="275"/>
      <c r="E416" s="275"/>
      <c r="F416" s="268">
        <v>29.9</v>
      </c>
      <c r="G416" s="268">
        <f t="shared" si="49"/>
        <v>29.9</v>
      </c>
      <c r="H416" s="269" t="str">
        <f t="shared" si="46"/>
        <v>IN</v>
      </c>
      <c r="I416" s="268">
        <f t="shared" si="47"/>
        <v>12287.006000000005</v>
      </c>
      <c r="J416" s="268">
        <f t="shared" si="48"/>
        <v>7441.5739999999969</v>
      </c>
      <c r="K416" s="270"/>
      <c r="L416" s="423"/>
      <c r="M416" s="424"/>
      <c r="T416" s="60"/>
      <c r="U416" s="60"/>
    </row>
    <row r="417" spans="1:21" s="59" customFormat="1" ht="13.5" customHeight="1">
      <c r="A417" s="52"/>
      <c r="B417" s="419" t="s">
        <v>164</v>
      </c>
      <c r="C417" s="293" t="s">
        <v>124</v>
      </c>
      <c r="D417" s="293"/>
      <c r="E417" s="293"/>
      <c r="F417" s="176">
        <v>30.21</v>
      </c>
      <c r="G417" s="176">
        <f t="shared" si="49"/>
        <v>30.21</v>
      </c>
      <c r="H417" s="294" t="str">
        <f t="shared" si="46"/>
        <v>IN</v>
      </c>
      <c r="I417" s="176">
        <f t="shared" si="47"/>
        <v>12317.216000000004</v>
      </c>
      <c r="J417" s="176">
        <f t="shared" si="48"/>
        <v>7411.3639999999978</v>
      </c>
      <c r="K417" s="177"/>
      <c r="L417" s="423"/>
      <c r="M417" s="424"/>
      <c r="T417" s="60"/>
      <c r="U417" s="60"/>
    </row>
    <row r="418" spans="1:21" s="59" customFormat="1" ht="13.5" customHeight="1">
      <c r="A418" s="52"/>
      <c r="B418" s="419"/>
      <c r="C418" s="293" t="s">
        <v>124</v>
      </c>
      <c r="D418" s="293"/>
      <c r="E418" s="293"/>
      <c r="F418" s="176">
        <v>29.8</v>
      </c>
      <c r="G418" s="176">
        <f t="shared" si="49"/>
        <v>29.8</v>
      </c>
      <c r="H418" s="294" t="str">
        <f t="shared" si="46"/>
        <v>IN</v>
      </c>
      <c r="I418" s="176">
        <f t="shared" si="47"/>
        <v>12347.016000000003</v>
      </c>
      <c r="J418" s="176">
        <f t="shared" si="48"/>
        <v>7381.5639999999985</v>
      </c>
      <c r="K418" s="177"/>
      <c r="L418" s="425"/>
      <c r="M418" s="426"/>
      <c r="T418" s="60"/>
      <c r="U418" s="60"/>
    </row>
    <row r="419" spans="1:21" s="59" customFormat="1" ht="13.5" customHeight="1">
      <c r="A419" s="52"/>
      <c r="B419" s="419"/>
      <c r="C419" s="293" t="s">
        <v>124</v>
      </c>
      <c r="D419" s="295"/>
      <c r="E419" s="295"/>
      <c r="F419" s="176">
        <v>30.37</v>
      </c>
      <c r="G419" s="176">
        <f t="shared" si="49"/>
        <v>30.37</v>
      </c>
      <c r="H419" s="294" t="str">
        <f t="shared" si="46"/>
        <v>IN</v>
      </c>
      <c r="I419" s="176">
        <f t="shared" si="47"/>
        <v>12377.386000000004</v>
      </c>
      <c r="J419" s="176">
        <f t="shared" si="48"/>
        <v>7351.1939999999977</v>
      </c>
      <c r="K419" s="177"/>
      <c r="L419" s="427"/>
      <c r="M419" s="428"/>
      <c r="T419" s="60"/>
      <c r="U419" s="60"/>
    </row>
    <row r="420" spans="1:21" s="59" customFormat="1" ht="13.5" customHeight="1">
      <c r="A420" s="52"/>
      <c r="B420" s="416" t="s">
        <v>165</v>
      </c>
      <c r="C420" s="267" t="s">
        <v>124</v>
      </c>
      <c r="D420" s="267"/>
      <c r="E420" s="267"/>
      <c r="F420" s="268">
        <v>30.35</v>
      </c>
      <c r="G420" s="268">
        <f t="shared" si="49"/>
        <v>30.35</v>
      </c>
      <c r="H420" s="269" t="str">
        <f t="shared" si="46"/>
        <v>IN</v>
      </c>
      <c r="I420" s="268">
        <f t="shared" si="47"/>
        <v>12407.736000000004</v>
      </c>
      <c r="J420" s="268">
        <f t="shared" si="48"/>
        <v>7320.8439999999973</v>
      </c>
      <c r="K420" s="270"/>
      <c r="L420" s="378"/>
      <c r="M420" s="379"/>
      <c r="P420" s="59" t="s">
        <v>166</v>
      </c>
      <c r="T420" s="60"/>
      <c r="U420" s="60"/>
    </row>
    <row r="421" spans="1:21" s="59" customFormat="1" ht="13.5" customHeight="1">
      <c r="A421" s="52"/>
      <c r="B421" s="416"/>
      <c r="C421" s="267" t="s">
        <v>124</v>
      </c>
      <c r="D421" s="267"/>
      <c r="E421" s="267"/>
      <c r="F421" s="268">
        <v>29.92</v>
      </c>
      <c r="G421" s="268">
        <f t="shared" si="49"/>
        <v>29.92</v>
      </c>
      <c r="H421" s="269" t="str">
        <f t="shared" si="46"/>
        <v>IN</v>
      </c>
      <c r="I421" s="268">
        <f t="shared" si="47"/>
        <v>12437.656000000004</v>
      </c>
      <c r="J421" s="268">
        <f t="shared" si="48"/>
        <v>7290.9239999999972</v>
      </c>
      <c r="K421" s="270"/>
      <c r="L421" s="378"/>
      <c r="M421" s="379"/>
      <c r="T421" s="60"/>
      <c r="U421" s="60"/>
    </row>
    <row r="422" spans="1:21" s="59" customFormat="1" ht="13.5" customHeight="1">
      <c r="A422" s="52"/>
      <c r="B422" s="416"/>
      <c r="C422" s="267" t="s">
        <v>124</v>
      </c>
      <c r="D422" s="275"/>
      <c r="E422" s="275"/>
      <c r="F422" s="268">
        <v>30.3</v>
      </c>
      <c r="G422" s="268">
        <f t="shared" si="49"/>
        <v>30.3</v>
      </c>
      <c r="H422" s="269" t="str">
        <f t="shared" si="46"/>
        <v>IN</v>
      </c>
      <c r="I422" s="268">
        <f t="shared" si="47"/>
        <v>12467.956000000004</v>
      </c>
      <c r="J422" s="268">
        <f t="shared" si="48"/>
        <v>7260.623999999998</v>
      </c>
      <c r="K422" s="270"/>
      <c r="L422" s="378"/>
      <c r="M422" s="379"/>
      <c r="T422" s="60"/>
      <c r="U422" s="60"/>
    </row>
    <row r="423" spans="1:21" s="59" customFormat="1" ht="13.5" customHeight="1">
      <c r="A423" s="52"/>
      <c r="B423" s="419" t="s">
        <v>167</v>
      </c>
      <c r="C423" s="293" t="s">
        <v>124</v>
      </c>
      <c r="D423" s="293"/>
      <c r="E423" s="293"/>
      <c r="F423" s="176">
        <v>29.97</v>
      </c>
      <c r="G423" s="176">
        <f t="shared" si="49"/>
        <v>29.97</v>
      </c>
      <c r="H423" s="294" t="str">
        <f t="shared" si="46"/>
        <v>IN</v>
      </c>
      <c r="I423" s="176">
        <f t="shared" si="47"/>
        <v>12497.926000000003</v>
      </c>
      <c r="J423" s="176">
        <f t="shared" si="48"/>
        <v>7230.6539999999986</v>
      </c>
      <c r="K423" s="177"/>
      <c r="L423" s="378"/>
      <c r="M423" s="379"/>
      <c r="T423" s="60"/>
      <c r="U423" s="60"/>
    </row>
    <row r="424" spans="1:21" s="59" customFormat="1" ht="13.5" customHeight="1">
      <c r="A424" s="52"/>
      <c r="B424" s="419"/>
      <c r="C424" s="293" t="s">
        <v>124</v>
      </c>
      <c r="D424" s="293"/>
      <c r="E424" s="293"/>
      <c r="F424" s="176">
        <v>30.1</v>
      </c>
      <c r="G424" s="176">
        <f t="shared" si="49"/>
        <v>30.1</v>
      </c>
      <c r="H424" s="294" t="str">
        <f t="shared" si="46"/>
        <v>IN</v>
      </c>
      <c r="I424" s="176">
        <f t="shared" si="47"/>
        <v>12528.026000000003</v>
      </c>
      <c r="J424" s="176">
        <f t="shared" si="48"/>
        <v>7200.5539999999983</v>
      </c>
      <c r="K424" s="177"/>
      <c r="L424" s="378"/>
      <c r="M424" s="379"/>
      <c r="T424" s="60"/>
      <c r="U424" s="60"/>
    </row>
    <row r="425" spans="1:21" s="59" customFormat="1" ht="13.5" customHeight="1">
      <c r="A425" s="52"/>
      <c r="B425" s="419"/>
      <c r="C425" s="293" t="s">
        <v>124</v>
      </c>
      <c r="D425" s="295"/>
      <c r="E425" s="295"/>
      <c r="F425" s="176">
        <v>29.99</v>
      </c>
      <c r="G425" s="176">
        <f t="shared" si="49"/>
        <v>29.99</v>
      </c>
      <c r="H425" s="294" t="str">
        <f t="shared" si="46"/>
        <v>IN</v>
      </c>
      <c r="I425" s="176">
        <f t="shared" si="47"/>
        <v>12558.016000000003</v>
      </c>
      <c r="J425" s="176">
        <f t="shared" si="48"/>
        <v>7170.5639999999985</v>
      </c>
      <c r="K425" s="177"/>
      <c r="L425" s="378"/>
      <c r="M425" s="379"/>
      <c r="T425" s="60"/>
      <c r="U425" s="60"/>
    </row>
    <row r="426" spans="1:21" s="59" customFormat="1" ht="13.5" customHeight="1">
      <c r="A426" s="52"/>
      <c r="B426" s="416" t="s">
        <v>168</v>
      </c>
      <c r="C426" s="267" t="s">
        <v>124</v>
      </c>
      <c r="D426" s="267"/>
      <c r="E426" s="267"/>
      <c r="F426" s="268">
        <v>29.86</v>
      </c>
      <c r="G426" s="268">
        <f t="shared" si="49"/>
        <v>29.86</v>
      </c>
      <c r="H426" s="269" t="str">
        <f t="shared" si="46"/>
        <v>IN</v>
      </c>
      <c r="I426" s="268">
        <f t="shared" si="47"/>
        <v>12587.876000000004</v>
      </c>
      <c r="J426" s="268">
        <f t="shared" si="48"/>
        <v>7140.7039999999979</v>
      </c>
      <c r="K426" s="270"/>
      <c r="L426" s="417"/>
      <c r="M426" s="418"/>
      <c r="T426" s="60"/>
      <c r="U426" s="60"/>
    </row>
    <row r="427" spans="1:21" s="59" customFormat="1" ht="13.5" customHeight="1">
      <c r="A427" s="52"/>
      <c r="B427" s="416"/>
      <c r="C427" s="267" t="s">
        <v>124</v>
      </c>
      <c r="D427" s="267"/>
      <c r="E427" s="267"/>
      <c r="F427" s="268">
        <v>30.01</v>
      </c>
      <c r="G427" s="268">
        <f t="shared" si="49"/>
        <v>30.01</v>
      </c>
      <c r="H427" s="269" t="str">
        <f t="shared" si="46"/>
        <v>IN</v>
      </c>
      <c r="I427" s="268">
        <f t="shared" si="47"/>
        <v>12617.886000000004</v>
      </c>
      <c r="J427" s="268">
        <f t="shared" si="48"/>
        <v>7110.6939999999977</v>
      </c>
      <c r="K427" s="270"/>
      <c r="L427" s="417"/>
      <c r="M427" s="418"/>
      <c r="T427" s="60"/>
      <c r="U427" s="60"/>
    </row>
    <row r="428" spans="1:21" s="59" customFormat="1" ht="13.5" customHeight="1">
      <c r="A428" s="52"/>
      <c r="B428" s="416"/>
      <c r="C428" s="267" t="s">
        <v>124</v>
      </c>
      <c r="D428" s="275"/>
      <c r="E428" s="275"/>
      <c r="F428" s="268">
        <v>30.2</v>
      </c>
      <c r="G428" s="268">
        <f t="shared" si="49"/>
        <v>30.2</v>
      </c>
      <c r="H428" s="269" t="str">
        <f t="shared" si="46"/>
        <v>IN</v>
      </c>
      <c r="I428" s="268">
        <f t="shared" si="47"/>
        <v>12648.086000000005</v>
      </c>
      <c r="J428" s="268">
        <f t="shared" si="48"/>
        <v>7080.493999999997</v>
      </c>
      <c r="K428" s="270"/>
      <c r="L428" s="378"/>
      <c r="M428" s="379"/>
      <c r="T428" s="60"/>
      <c r="U428" s="60"/>
    </row>
    <row r="429" spans="1:21" s="59" customFormat="1" ht="13.5" customHeight="1">
      <c r="A429" s="52"/>
      <c r="B429" s="419" t="s">
        <v>169</v>
      </c>
      <c r="C429" s="293" t="s">
        <v>124</v>
      </c>
      <c r="D429" s="293"/>
      <c r="E429" s="293"/>
      <c r="F429" s="176">
        <v>30.13</v>
      </c>
      <c r="G429" s="176">
        <f t="shared" si="49"/>
        <v>30.13</v>
      </c>
      <c r="H429" s="294" t="str">
        <f t="shared" si="46"/>
        <v>IN</v>
      </c>
      <c r="I429" s="176">
        <f t="shared" si="47"/>
        <v>12678.216000000004</v>
      </c>
      <c r="J429" s="176">
        <f t="shared" si="48"/>
        <v>7050.3639999999978</v>
      </c>
      <c r="K429" s="177"/>
      <c r="L429" s="378"/>
      <c r="M429" s="379"/>
      <c r="T429" s="60"/>
      <c r="U429" s="60"/>
    </row>
    <row r="430" spans="1:21" s="59" customFormat="1" ht="13.5" customHeight="1">
      <c r="A430" s="52"/>
      <c r="B430" s="419"/>
      <c r="C430" s="293" t="s">
        <v>124</v>
      </c>
      <c r="D430" s="293"/>
      <c r="E430" s="293"/>
      <c r="F430" s="176">
        <v>29.96</v>
      </c>
      <c r="G430" s="176">
        <f t="shared" si="49"/>
        <v>29.96</v>
      </c>
      <c r="H430" s="294" t="str">
        <f t="shared" si="46"/>
        <v>IN</v>
      </c>
      <c r="I430" s="176">
        <f t="shared" si="47"/>
        <v>12708.176000000003</v>
      </c>
      <c r="J430" s="176">
        <f t="shared" si="48"/>
        <v>7020.4039999999986</v>
      </c>
      <c r="K430" s="177"/>
      <c r="L430" s="378"/>
      <c r="M430" s="379"/>
      <c r="T430" s="60"/>
      <c r="U430" s="60"/>
    </row>
    <row r="431" spans="1:21" s="59" customFormat="1" ht="13.5" customHeight="1">
      <c r="A431" s="52"/>
      <c r="B431" s="419"/>
      <c r="C431" s="293" t="s">
        <v>124</v>
      </c>
      <c r="D431" s="295"/>
      <c r="E431" s="295"/>
      <c r="F431" s="176">
        <v>30.25</v>
      </c>
      <c r="G431" s="176">
        <f t="shared" si="49"/>
        <v>30.25</v>
      </c>
      <c r="H431" s="294" t="str">
        <f t="shared" ref="H431:H460" si="50">IF(F431="","OUT","IN")</f>
        <v>IN</v>
      </c>
      <c r="I431" s="176">
        <f t="shared" si="47"/>
        <v>12738.426000000003</v>
      </c>
      <c r="J431" s="176">
        <f t="shared" si="48"/>
        <v>6990.1539999999986</v>
      </c>
      <c r="K431" s="177"/>
      <c r="L431" s="378"/>
      <c r="M431" s="379"/>
      <c r="T431" s="60"/>
      <c r="U431" s="60"/>
    </row>
    <row r="432" spans="1:21" s="59" customFormat="1" ht="13.5" customHeight="1">
      <c r="A432" s="52"/>
      <c r="B432" s="414" t="s">
        <v>170</v>
      </c>
      <c r="C432" s="267" t="s">
        <v>124</v>
      </c>
      <c r="D432" s="267"/>
      <c r="E432" s="267"/>
      <c r="F432" s="268">
        <v>30.52</v>
      </c>
      <c r="G432" s="268">
        <f t="shared" si="49"/>
        <v>30.52</v>
      </c>
      <c r="H432" s="269" t="str">
        <f t="shared" si="50"/>
        <v>IN</v>
      </c>
      <c r="I432" s="268">
        <f t="shared" si="47"/>
        <v>12768.946000000004</v>
      </c>
      <c r="J432" s="268">
        <f t="shared" si="48"/>
        <v>6959.6339999999982</v>
      </c>
      <c r="K432" s="270"/>
      <c r="L432" s="378"/>
      <c r="M432" s="379"/>
      <c r="T432" s="60"/>
      <c r="U432" s="60"/>
    </row>
    <row r="433" spans="1:21" s="59" customFormat="1" ht="13.5" customHeight="1">
      <c r="A433" s="52"/>
      <c r="B433" s="415"/>
      <c r="C433" s="267" t="s">
        <v>124</v>
      </c>
      <c r="D433" s="267"/>
      <c r="E433" s="267"/>
      <c r="F433" s="268">
        <v>30.15</v>
      </c>
      <c r="G433" s="268">
        <f t="shared" si="49"/>
        <v>30.15</v>
      </c>
      <c r="H433" s="269" t="str">
        <f t="shared" si="50"/>
        <v>IN</v>
      </c>
      <c r="I433" s="268">
        <f t="shared" si="47"/>
        <v>12799.096000000003</v>
      </c>
      <c r="J433" s="268">
        <f t="shared" si="48"/>
        <v>6929.4839999999986</v>
      </c>
      <c r="K433" s="270"/>
      <c r="L433" s="378"/>
      <c r="M433" s="379"/>
      <c r="T433" s="60"/>
      <c r="U433" s="60"/>
    </row>
    <row r="434" spans="1:21" s="59" customFormat="1" ht="13.5" customHeight="1">
      <c r="A434" s="52"/>
      <c r="B434" s="411" t="s">
        <v>171</v>
      </c>
      <c r="C434" s="293" t="s">
        <v>131</v>
      </c>
      <c r="D434" s="296"/>
      <c r="E434" s="272"/>
      <c r="F434" s="176">
        <v>31.08</v>
      </c>
      <c r="G434" s="176">
        <v>31.08</v>
      </c>
      <c r="H434" s="294" t="str">
        <f t="shared" si="50"/>
        <v>IN</v>
      </c>
      <c r="I434" s="176">
        <f t="shared" si="47"/>
        <v>12830.176000000003</v>
      </c>
      <c r="J434" s="176">
        <f t="shared" si="48"/>
        <v>6898.4039999999986</v>
      </c>
      <c r="K434" s="177"/>
      <c r="L434" s="289"/>
      <c r="M434" s="290"/>
      <c r="T434" s="60"/>
      <c r="U434" s="60"/>
    </row>
    <row r="435" spans="1:21" s="59" customFormat="1" ht="13.5" customHeight="1">
      <c r="A435" s="52"/>
      <c r="B435" s="412"/>
      <c r="C435" s="293" t="s">
        <v>131</v>
      </c>
      <c r="D435" s="296"/>
      <c r="E435" s="272"/>
      <c r="F435" s="176">
        <v>31.07</v>
      </c>
      <c r="G435" s="176">
        <v>31.07</v>
      </c>
      <c r="H435" s="294" t="str">
        <f t="shared" si="50"/>
        <v>IN</v>
      </c>
      <c r="I435" s="176">
        <f t="shared" si="47"/>
        <v>12861.246000000003</v>
      </c>
      <c r="J435" s="176">
        <f t="shared" si="48"/>
        <v>6867.3339999999989</v>
      </c>
      <c r="K435" s="177"/>
      <c r="L435" s="289"/>
      <c r="M435" s="290"/>
      <c r="T435" s="60"/>
      <c r="U435" s="60"/>
    </row>
    <row r="436" spans="1:21" s="59" customFormat="1" ht="13.5" customHeight="1">
      <c r="A436" s="52"/>
      <c r="B436" s="413"/>
      <c r="C436" s="293" t="s">
        <v>131</v>
      </c>
      <c r="D436" s="296"/>
      <c r="E436" s="272"/>
      <c r="F436" s="176">
        <v>31.1</v>
      </c>
      <c r="G436" s="176">
        <v>31.1</v>
      </c>
      <c r="H436" s="294" t="str">
        <f t="shared" si="50"/>
        <v>IN</v>
      </c>
      <c r="I436" s="176">
        <f t="shared" si="47"/>
        <v>12892.346000000003</v>
      </c>
      <c r="J436" s="176">
        <f t="shared" si="48"/>
        <v>6836.2339999999986</v>
      </c>
      <c r="K436" s="177"/>
      <c r="L436" s="289"/>
      <c r="M436" s="290"/>
      <c r="T436" s="60"/>
      <c r="U436" s="60"/>
    </row>
    <row r="437" spans="1:21" s="59" customFormat="1" ht="13.5" customHeight="1">
      <c r="A437" s="52"/>
      <c r="B437" s="408" t="s">
        <v>172</v>
      </c>
      <c r="C437" s="276" t="s">
        <v>131</v>
      </c>
      <c r="D437" s="277"/>
      <c r="E437" s="278"/>
      <c r="F437" s="279">
        <v>31.07</v>
      </c>
      <c r="G437" s="279">
        <v>31.07</v>
      </c>
      <c r="H437" s="280" t="str">
        <f t="shared" si="50"/>
        <v>IN</v>
      </c>
      <c r="I437" s="279">
        <f t="shared" si="47"/>
        <v>12923.416000000003</v>
      </c>
      <c r="J437" s="279">
        <f t="shared" si="48"/>
        <v>6805.1639999999989</v>
      </c>
      <c r="K437" s="281"/>
      <c r="L437" s="289"/>
      <c r="M437" s="290"/>
      <c r="T437" s="60"/>
      <c r="U437" s="60"/>
    </row>
    <row r="438" spans="1:21" s="59" customFormat="1" ht="13.5" customHeight="1">
      <c r="A438" s="52"/>
      <c r="B438" s="409"/>
      <c r="C438" s="276" t="s">
        <v>131</v>
      </c>
      <c r="D438" s="277"/>
      <c r="E438" s="278"/>
      <c r="F438" s="279">
        <v>30.81</v>
      </c>
      <c r="G438" s="279">
        <v>30.81</v>
      </c>
      <c r="H438" s="280" t="str">
        <f t="shared" si="50"/>
        <v>IN</v>
      </c>
      <c r="I438" s="279">
        <f t="shared" si="47"/>
        <v>12954.226000000002</v>
      </c>
      <c r="J438" s="279">
        <f t="shared" si="48"/>
        <v>6774.3539999999994</v>
      </c>
      <c r="K438" s="281"/>
      <c r="L438" s="289"/>
      <c r="M438" s="290"/>
      <c r="T438" s="60"/>
      <c r="U438" s="60"/>
    </row>
    <row r="439" spans="1:21" s="59" customFormat="1" ht="13.5" customHeight="1">
      <c r="A439" s="52"/>
      <c r="B439" s="410"/>
      <c r="C439" s="276" t="s">
        <v>131</v>
      </c>
      <c r="D439" s="277"/>
      <c r="E439" s="278"/>
      <c r="F439" s="279">
        <v>31.06</v>
      </c>
      <c r="G439" s="279">
        <v>31.06</v>
      </c>
      <c r="H439" s="280" t="str">
        <f t="shared" si="50"/>
        <v>IN</v>
      </c>
      <c r="I439" s="279">
        <f t="shared" si="47"/>
        <v>12985.286000000002</v>
      </c>
      <c r="J439" s="279">
        <f t="shared" si="48"/>
        <v>6743.2939999999999</v>
      </c>
      <c r="K439" s="281"/>
      <c r="L439" s="289"/>
      <c r="M439" s="290"/>
      <c r="T439" s="60"/>
      <c r="U439" s="60"/>
    </row>
    <row r="440" spans="1:21" s="59" customFormat="1" ht="13.5" customHeight="1">
      <c r="A440" s="52"/>
      <c r="B440" s="411" t="s">
        <v>173</v>
      </c>
      <c r="C440" s="293" t="s">
        <v>131</v>
      </c>
      <c r="D440" s="296"/>
      <c r="E440" s="272"/>
      <c r="F440" s="176">
        <v>30.84</v>
      </c>
      <c r="G440" s="176">
        <v>30.84</v>
      </c>
      <c r="H440" s="294" t="str">
        <f t="shared" si="50"/>
        <v>IN</v>
      </c>
      <c r="I440" s="176">
        <f t="shared" si="47"/>
        <v>13016.126000000002</v>
      </c>
      <c r="J440" s="176">
        <f t="shared" si="48"/>
        <v>6712.4539999999997</v>
      </c>
      <c r="K440" s="177"/>
      <c r="L440" s="289"/>
      <c r="M440" s="290"/>
      <c r="T440" s="60"/>
      <c r="U440" s="60"/>
    </row>
    <row r="441" spans="1:21" s="59" customFormat="1" ht="13.5" customHeight="1">
      <c r="A441" s="52"/>
      <c r="B441" s="412"/>
      <c r="C441" s="293" t="s">
        <v>131</v>
      </c>
      <c r="D441" s="296"/>
      <c r="E441" s="272"/>
      <c r="F441" s="176">
        <v>30.82</v>
      </c>
      <c r="G441" s="176">
        <v>30.82</v>
      </c>
      <c r="H441" s="294" t="str">
        <f t="shared" si="50"/>
        <v>IN</v>
      </c>
      <c r="I441" s="176">
        <f t="shared" si="47"/>
        <v>13046.946000000002</v>
      </c>
      <c r="J441" s="176">
        <f t="shared" si="48"/>
        <v>6681.634</v>
      </c>
      <c r="K441" s="177"/>
      <c r="L441" s="289"/>
      <c r="M441" s="290"/>
      <c r="T441" s="60"/>
      <c r="U441" s="60"/>
    </row>
    <row r="442" spans="1:21" s="59" customFormat="1" ht="13.5" customHeight="1">
      <c r="A442" s="52"/>
      <c r="B442" s="413"/>
      <c r="C442" s="293" t="s">
        <v>131</v>
      </c>
      <c r="D442" s="296"/>
      <c r="E442" s="272"/>
      <c r="F442" s="176">
        <v>30.85</v>
      </c>
      <c r="G442" s="176">
        <v>30.85</v>
      </c>
      <c r="H442" s="294" t="str">
        <f t="shared" si="50"/>
        <v>IN</v>
      </c>
      <c r="I442" s="176">
        <f t="shared" si="47"/>
        <v>13077.796000000002</v>
      </c>
      <c r="J442" s="176">
        <f t="shared" si="48"/>
        <v>6650.7839999999997</v>
      </c>
      <c r="K442" s="177"/>
      <c r="L442" s="289"/>
      <c r="M442" s="290"/>
      <c r="T442" s="60"/>
      <c r="U442" s="60"/>
    </row>
    <row r="443" spans="1:21" s="59" customFormat="1" ht="13.5" customHeight="1">
      <c r="A443" s="52"/>
      <c r="B443" s="408" t="s">
        <v>174</v>
      </c>
      <c r="C443" s="276" t="s">
        <v>131</v>
      </c>
      <c r="D443" s="277"/>
      <c r="E443" s="278"/>
      <c r="F443" s="279">
        <v>30.9</v>
      </c>
      <c r="G443" s="279">
        <v>30.9</v>
      </c>
      <c r="H443" s="280" t="str">
        <f t="shared" si="50"/>
        <v>IN</v>
      </c>
      <c r="I443" s="279">
        <f t="shared" si="47"/>
        <v>13108.696000000002</v>
      </c>
      <c r="J443" s="279">
        <f t="shared" si="48"/>
        <v>6619.884</v>
      </c>
      <c r="K443" s="281"/>
      <c r="L443" s="289"/>
      <c r="M443" s="290"/>
      <c r="T443" s="60"/>
      <c r="U443" s="60"/>
    </row>
    <row r="444" spans="1:21" s="59" customFormat="1" ht="13.5" customHeight="1">
      <c r="A444" s="52"/>
      <c r="B444" s="409"/>
      <c r="C444" s="276" t="s">
        <v>131</v>
      </c>
      <c r="D444" s="277"/>
      <c r="E444" s="278"/>
      <c r="F444" s="279">
        <v>30.91</v>
      </c>
      <c r="G444" s="279">
        <v>30.91</v>
      </c>
      <c r="H444" s="280" t="str">
        <f t="shared" si="50"/>
        <v>IN</v>
      </c>
      <c r="I444" s="279">
        <f t="shared" si="47"/>
        <v>13139.606000000002</v>
      </c>
      <c r="J444" s="279">
        <f t="shared" si="48"/>
        <v>6588.9740000000002</v>
      </c>
      <c r="K444" s="281"/>
      <c r="L444" s="289"/>
      <c r="M444" s="290"/>
      <c r="T444" s="60"/>
      <c r="U444" s="60"/>
    </row>
    <row r="445" spans="1:21" s="59" customFormat="1" ht="13.5" customHeight="1">
      <c r="A445" s="52"/>
      <c r="B445" s="410"/>
      <c r="C445" s="276" t="s">
        <v>131</v>
      </c>
      <c r="D445" s="277"/>
      <c r="E445" s="278"/>
      <c r="F445" s="279">
        <v>30.97</v>
      </c>
      <c r="G445" s="279">
        <v>30.97</v>
      </c>
      <c r="H445" s="280" t="str">
        <f t="shared" si="50"/>
        <v>IN</v>
      </c>
      <c r="I445" s="279">
        <f t="shared" si="47"/>
        <v>13170.576000000001</v>
      </c>
      <c r="J445" s="279">
        <f t="shared" si="48"/>
        <v>6558.0040000000008</v>
      </c>
      <c r="K445" s="281"/>
      <c r="L445" s="289"/>
      <c r="M445" s="290"/>
      <c r="T445" s="60"/>
      <c r="U445" s="60"/>
    </row>
    <row r="446" spans="1:21" s="59" customFormat="1" ht="13.5" customHeight="1">
      <c r="A446" s="52"/>
      <c r="B446" s="411" t="s">
        <v>175</v>
      </c>
      <c r="C446" s="293" t="s">
        <v>131</v>
      </c>
      <c r="D446" s="296"/>
      <c r="E446" s="272"/>
      <c r="F446" s="176">
        <v>30.87</v>
      </c>
      <c r="G446" s="176">
        <v>30.87</v>
      </c>
      <c r="H446" s="294" t="str">
        <f t="shared" si="50"/>
        <v>IN</v>
      </c>
      <c r="I446" s="176">
        <f t="shared" si="47"/>
        <v>13201.446000000002</v>
      </c>
      <c r="J446" s="176">
        <f t="shared" si="48"/>
        <v>6527.134</v>
      </c>
      <c r="K446" s="177"/>
      <c r="L446" s="289"/>
      <c r="M446" s="290"/>
      <c r="T446" s="60"/>
      <c r="U446" s="60"/>
    </row>
    <row r="447" spans="1:21" s="59" customFormat="1" ht="13.5" customHeight="1">
      <c r="A447" s="52"/>
      <c r="B447" s="412"/>
      <c r="C447" s="293" t="s">
        <v>131</v>
      </c>
      <c r="D447" s="296"/>
      <c r="E447" s="272"/>
      <c r="F447" s="176">
        <v>30.94</v>
      </c>
      <c r="G447" s="176">
        <v>30.94</v>
      </c>
      <c r="H447" s="294" t="str">
        <f t="shared" si="50"/>
        <v>IN</v>
      </c>
      <c r="I447" s="176">
        <f t="shared" si="47"/>
        <v>13232.386000000002</v>
      </c>
      <c r="J447" s="176">
        <f t="shared" si="48"/>
        <v>6496.1939999999995</v>
      </c>
      <c r="K447" s="177"/>
      <c r="L447" s="289"/>
      <c r="M447" s="290"/>
      <c r="T447" s="60"/>
      <c r="U447" s="60"/>
    </row>
    <row r="448" spans="1:21" s="59" customFormat="1" ht="13.5" customHeight="1">
      <c r="A448" s="52"/>
      <c r="B448" s="413"/>
      <c r="C448" s="293" t="s">
        <v>131</v>
      </c>
      <c r="D448" s="296"/>
      <c r="E448" s="272"/>
      <c r="F448" s="176">
        <v>31.32</v>
      </c>
      <c r="G448" s="176">
        <v>31.32</v>
      </c>
      <c r="H448" s="294" t="str">
        <f t="shared" si="50"/>
        <v>IN</v>
      </c>
      <c r="I448" s="176">
        <f t="shared" si="47"/>
        <v>13263.706000000002</v>
      </c>
      <c r="J448" s="176">
        <f t="shared" si="48"/>
        <v>6464.8739999999998</v>
      </c>
      <c r="K448" s="177"/>
      <c r="L448" s="289"/>
      <c r="M448" s="290"/>
      <c r="T448" s="60"/>
      <c r="U448" s="60"/>
    </row>
    <row r="449" spans="1:21" s="59" customFormat="1" ht="13.5" customHeight="1">
      <c r="A449" s="52"/>
      <c r="B449" s="408" t="s">
        <v>176</v>
      </c>
      <c r="C449" s="276" t="s">
        <v>131</v>
      </c>
      <c r="D449" s="277"/>
      <c r="E449" s="278"/>
      <c r="F449" s="279">
        <v>31.02</v>
      </c>
      <c r="G449" s="279">
        <v>31.02</v>
      </c>
      <c r="H449" s="280" t="str">
        <f t="shared" si="50"/>
        <v>IN</v>
      </c>
      <c r="I449" s="279">
        <f t="shared" si="47"/>
        <v>13294.726000000002</v>
      </c>
      <c r="J449" s="279">
        <f t="shared" si="48"/>
        <v>6433.8539999999994</v>
      </c>
      <c r="K449" s="281"/>
      <c r="L449" s="289"/>
      <c r="M449" s="290"/>
      <c r="T449" s="60"/>
      <c r="U449" s="60"/>
    </row>
    <row r="450" spans="1:21" s="59" customFormat="1" ht="13.5" customHeight="1">
      <c r="A450" s="52"/>
      <c r="B450" s="409"/>
      <c r="C450" s="276" t="s">
        <v>131</v>
      </c>
      <c r="D450" s="277"/>
      <c r="E450" s="278"/>
      <c r="F450" s="279">
        <v>31.15</v>
      </c>
      <c r="G450" s="279">
        <v>31.15</v>
      </c>
      <c r="H450" s="280" t="str">
        <f t="shared" si="50"/>
        <v>IN</v>
      </c>
      <c r="I450" s="279">
        <f t="shared" si="47"/>
        <v>13325.876000000002</v>
      </c>
      <c r="J450" s="279">
        <f t="shared" si="48"/>
        <v>6402.7039999999997</v>
      </c>
      <c r="K450" s="281"/>
      <c r="L450" s="289"/>
      <c r="M450" s="290"/>
      <c r="T450" s="60"/>
      <c r="U450" s="60"/>
    </row>
    <row r="451" spans="1:21" s="59" customFormat="1" ht="13.5" customHeight="1">
      <c r="A451" s="52"/>
      <c r="B451" s="410"/>
      <c r="C451" s="276" t="s">
        <v>131</v>
      </c>
      <c r="D451" s="277"/>
      <c r="E451" s="278"/>
      <c r="F451" s="279">
        <v>31.07</v>
      </c>
      <c r="G451" s="279">
        <v>31.07</v>
      </c>
      <c r="H451" s="280" t="str">
        <f t="shared" si="50"/>
        <v>IN</v>
      </c>
      <c r="I451" s="279">
        <f t="shared" si="47"/>
        <v>13356.946000000002</v>
      </c>
      <c r="J451" s="279">
        <f t="shared" si="48"/>
        <v>6371.634</v>
      </c>
      <c r="K451" s="281"/>
      <c r="L451" s="289"/>
      <c r="M451" s="290"/>
      <c r="T451" s="60"/>
      <c r="U451" s="60"/>
    </row>
    <row r="452" spans="1:21" s="59" customFormat="1" ht="13.5" customHeight="1">
      <c r="A452" s="52"/>
      <c r="B452" s="411" t="s">
        <v>177</v>
      </c>
      <c r="C452" s="293" t="s">
        <v>131</v>
      </c>
      <c r="D452" s="296"/>
      <c r="E452" s="272"/>
      <c r="F452" s="176">
        <v>31.33</v>
      </c>
      <c r="G452" s="176">
        <v>31.33</v>
      </c>
      <c r="H452" s="294" t="str">
        <f t="shared" si="50"/>
        <v>IN</v>
      </c>
      <c r="I452" s="176">
        <f t="shared" si="47"/>
        <v>13388.276000000002</v>
      </c>
      <c r="J452" s="176">
        <f t="shared" si="48"/>
        <v>6340.3040000000001</v>
      </c>
      <c r="K452" s="177"/>
      <c r="L452" s="289"/>
      <c r="M452" s="290"/>
      <c r="T452" s="60"/>
      <c r="U452" s="60"/>
    </row>
    <row r="453" spans="1:21" s="59" customFormat="1" ht="13.5" customHeight="1">
      <c r="A453" s="52"/>
      <c r="B453" s="412"/>
      <c r="C453" s="293" t="s">
        <v>131</v>
      </c>
      <c r="D453" s="296"/>
      <c r="E453" s="272"/>
      <c r="F453" s="176">
        <v>30.9</v>
      </c>
      <c r="G453" s="176">
        <v>30.9</v>
      </c>
      <c r="H453" s="294" t="str">
        <f t="shared" si="50"/>
        <v>IN</v>
      </c>
      <c r="I453" s="176">
        <f t="shared" si="47"/>
        <v>13419.176000000001</v>
      </c>
      <c r="J453" s="176">
        <f t="shared" si="48"/>
        <v>6309.4040000000005</v>
      </c>
      <c r="K453" s="177"/>
      <c r="L453" s="289"/>
      <c r="M453" s="290"/>
      <c r="T453" s="60"/>
      <c r="U453" s="60"/>
    </row>
    <row r="454" spans="1:21" s="59" customFormat="1" ht="13.5" customHeight="1">
      <c r="A454" s="52"/>
      <c r="B454" s="413"/>
      <c r="C454" s="293" t="s">
        <v>131</v>
      </c>
      <c r="D454" s="296"/>
      <c r="E454" s="272"/>
      <c r="F454" s="176">
        <v>30.95</v>
      </c>
      <c r="G454" s="176">
        <v>30.95</v>
      </c>
      <c r="H454" s="294" t="str">
        <f t="shared" si="50"/>
        <v>IN</v>
      </c>
      <c r="I454" s="176">
        <f t="shared" si="47"/>
        <v>13450.126000000002</v>
      </c>
      <c r="J454" s="176">
        <f t="shared" si="48"/>
        <v>6278.4539999999997</v>
      </c>
      <c r="K454" s="177"/>
      <c r="L454" s="289"/>
      <c r="M454" s="290"/>
      <c r="T454" s="60"/>
      <c r="U454" s="60"/>
    </row>
    <row r="455" spans="1:21" s="59" customFormat="1" ht="13.5" customHeight="1">
      <c r="A455" s="52"/>
      <c r="B455" s="408" t="s">
        <v>178</v>
      </c>
      <c r="C455" s="276" t="s">
        <v>131</v>
      </c>
      <c r="D455" s="277"/>
      <c r="E455" s="278"/>
      <c r="F455" s="279">
        <v>31.22</v>
      </c>
      <c r="G455" s="279">
        <v>31.22</v>
      </c>
      <c r="H455" s="280" t="str">
        <f t="shared" si="50"/>
        <v>IN</v>
      </c>
      <c r="I455" s="279">
        <f t="shared" si="47"/>
        <v>13481.346000000001</v>
      </c>
      <c r="J455" s="279">
        <f t="shared" si="48"/>
        <v>6247.2340000000004</v>
      </c>
      <c r="K455" s="281"/>
      <c r="L455" s="289"/>
      <c r="M455" s="290"/>
      <c r="T455" s="60"/>
      <c r="U455" s="60"/>
    </row>
    <row r="456" spans="1:21" s="59" customFormat="1" ht="13.5" customHeight="1">
      <c r="A456" s="52"/>
      <c r="B456" s="409"/>
      <c r="C456" s="276" t="s">
        <v>131</v>
      </c>
      <c r="D456" s="277"/>
      <c r="E456" s="278"/>
      <c r="F456" s="279">
        <v>31.13</v>
      </c>
      <c r="G456" s="279">
        <v>31.13</v>
      </c>
      <c r="H456" s="280" t="str">
        <f t="shared" si="50"/>
        <v>IN</v>
      </c>
      <c r="I456" s="279">
        <f t="shared" si="47"/>
        <v>13512.476000000001</v>
      </c>
      <c r="J456" s="279">
        <f t="shared" si="48"/>
        <v>6216.1040000000012</v>
      </c>
      <c r="K456" s="281"/>
      <c r="L456" s="289"/>
      <c r="M456" s="290"/>
      <c r="T456" s="60"/>
      <c r="U456" s="60"/>
    </row>
    <row r="457" spans="1:21" s="59" customFormat="1" ht="13.5" customHeight="1">
      <c r="A457" s="52"/>
      <c r="B457" s="410"/>
      <c r="C457" s="276" t="s">
        <v>131</v>
      </c>
      <c r="D457" s="277"/>
      <c r="E457" s="278"/>
      <c r="F457" s="279">
        <v>31.01</v>
      </c>
      <c r="G457" s="279">
        <v>31.01</v>
      </c>
      <c r="H457" s="280" t="str">
        <f t="shared" si="50"/>
        <v>IN</v>
      </c>
      <c r="I457" s="279">
        <f t="shared" si="47"/>
        <v>13543.486000000001</v>
      </c>
      <c r="J457" s="279">
        <f t="shared" si="48"/>
        <v>6185.094000000001</v>
      </c>
      <c r="K457" s="281"/>
      <c r="L457" s="289"/>
      <c r="M457" s="290"/>
      <c r="T457" s="60"/>
      <c r="U457" s="60"/>
    </row>
    <row r="458" spans="1:21" s="59" customFormat="1" ht="13.5" customHeight="1">
      <c r="A458" s="52"/>
      <c r="B458" s="411" t="s">
        <v>179</v>
      </c>
      <c r="C458" s="293" t="s">
        <v>131</v>
      </c>
      <c r="D458" s="296"/>
      <c r="E458" s="272"/>
      <c r="F458" s="176">
        <v>31.18</v>
      </c>
      <c r="G458" s="176">
        <v>31.18</v>
      </c>
      <c r="H458" s="294" t="str">
        <f t="shared" si="50"/>
        <v>IN</v>
      </c>
      <c r="I458" s="176">
        <f t="shared" si="47"/>
        <v>13574.666000000001</v>
      </c>
      <c r="J458" s="176">
        <f t="shared" si="48"/>
        <v>6153.9140000000007</v>
      </c>
      <c r="K458" s="177"/>
      <c r="L458" s="289"/>
      <c r="M458" s="290"/>
      <c r="T458" s="60"/>
      <c r="U458" s="60"/>
    </row>
    <row r="459" spans="1:21" s="59" customFormat="1" ht="13.5" customHeight="1">
      <c r="A459" s="52"/>
      <c r="B459" s="412"/>
      <c r="C459" s="293" t="s">
        <v>131</v>
      </c>
      <c r="D459" s="296"/>
      <c r="E459" s="272"/>
      <c r="F459" s="176">
        <v>31.09</v>
      </c>
      <c r="G459" s="176">
        <v>31.09</v>
      </c>
      <c r="H459" s="294" t="str">
        <f t="shared" si="50"/>
        <v>IN</v>
      </c>
      <c r="I459" s="176">
        <f t="shared" si="47"/>
        <v>13605.756000000001</v>
      </c>
      <c r="J459" s="176">
        <f t="shared" si="48"/>
        <v>6122.8240000000005</v>
      </c>
      <c r="K459" s="177"/>
      <c r="L459" s="289"/>
      <c r="M459" s="290"/>
      <c r="T459" s="60"/>
      <c r="U459" s="60"/>
    </row>
    <row r="460" spans="1:21" s="59" customFormat="1" ht="13.5" customHeight="1">
      <c r="A460" s="52"/>
      <c r="B460" s="413"/>
      <c r="C460" s="293" t="s">
        <v>131</v>
      </c>
      <c r="D460" s="296"/>
      <c r="E460" s="272"/>
      <c r="F460" s="176">
        <v>31</v>
      </c>
      <c r="G460" s="176">
        <v>31</v>
      </c>
      <c r="H460" s="294" t="str">
        <f t="shared" si="50"/>
        <v>IN</v>
      </c>
      <c r="I460" s="176">
        <f t="shared" si="47"/>
        <v>13636.756000000001</v>
      </c>
      <c r="J460" s="176">
        <f t="shared" si="48"/>
        <v>6091.8240000000005</v>
      </c>
      <c r="K460" s="177"/>
      <c r="L460" s="289"/>
      <c r="M460" s="290"/>
      <c r="T460" s="60"/>
      <c r="U460" s="60"/>
    </row>
    <row r="461" spans="1:21" s="59" customFormat="1" ht="13.5" customHeight="1">
      <c r="A461" s="52"/>
      <c r="B461" s="401" t="s">
        <v>180</v>
      </c>
      <c r="C461" s="276" t="s">
        <v>131</v>
      </c>
      <c r="D461" s="277"/>
      <c r="E461" s="278"/>
      <c r="F461" s="279">
        <v>31.19</v>
      </c>
      <c r="G461" s="279">
        <f t="shared" ref="G461:G524" si="51">F461</f>
        <v>31.19</v>
      </c>
      <c r="H461" s="280" t="s">
        <v>68</v>
      </c>
      <c r="I461" s="279">
        <f t="shared" si="47"/>
        <v>13667.946000000002</v>
      </c>
      <c r="J461" s="279">
        <f t="shared" si="48"/>
        <v>6060.634</v>
      </c>
      <c r="K461" s="281"/>
      <c r="L461" s="403" t="s">
        <v>181</v>
      </c>
      <c r="M461" s="404"/>
      <c r="T461" s="60"/>
      <c r="U461" s="60"/>
    </row>
    <row r="462" spans="1:21" s="59" customFormat="1" ht="13.5" customHeight="1">
      <c r="A462" s="52"/>
      <c r="B462" s="402"/>
      <c r="C462" s="276" t="s">
        <v>131</v>
      </c>
      <c r="D462" s="277"/>
      <c r="E462" s="278"/>
      <c r="F462" s="279">
        <v>31.13</v>
      </c>
      <c r="G462" s="279">
        <f t="shared" si="51"/>
        <v>31.13</v>
      </c>
      <c r="H462" s="280" t="s">
        <v>68</v>
      </c>
      <c r="I462" s="279">
        <f t="shared" si="47"/>
        <v>13699.076000000001</v>
      </c>
      <c r="J462" s="279">
        <f t="shared" si="48"/>
        <v>6029.5040000000008</v>
      </c>
      <c r="K462" s="281"/>
      <c r="L462" s="403" t="s">
        <v>181</v>
      </c>
      <c r="M462" s="404"/>
      <c r="T462" s="60"/>
      <c r="U462" s="60"/>
    </row>
    <row r="463" spans="1:21" s="59" customFormat="1" ht="13.5" customHeight="1">
      <c r="A463" s="52"/>
      <c r="B463" s="402"/>
      <c r="C463" s="276" t="s">
        <v>131</v>
      </c>
      <c r="D463" s="277"/>
      <c r="E463" s="278"/>
      <c r="F463" s="279">
        <v>31.23</v>
      </c>
      <c r="G463" s="279">
        <f t="shared" si="51"/>
        <v>31.23</v>
      </c>
      <c r="H463" s="280" t="s">
        <v>68</v>
      </c>
      <c r="I463" s="279">
        <f t="shared" si="47"/>
        <v>13730.306</v>
      </c>
      <c r="J463" s="279">
        <f t="shared" si="48"/>
        <v>5998.2740000000013</v>
      </c>
      <c r="K463" s="281"/>
      <c r="L463" s="403" t="s">
        <v>181</v>
      </c>
      <c r="M463" s="404"/>
      <c r="T463" s="60"/>
      <c r="U463" s="60"/>
    </row>
    <row r="464" spans="1:21" s="59" customFormat="1" ht="13.5" customHeight="1">
      <c r="A464" s="52"/>
      <c r="B464" s="405" t="s">
        <v>182</v>
      </c>
      <c r="C464" s="283" t="s">
        <v>131</v>
      </c>
      <c r="D464" s="284"/>
      <c r="E464" s="285"/>
      <c r="F464" s="175">
        <v>31.21</v>
      </c>
      <c r="G464" s="175">
        <f t="shared" si="51"/>
        <v>31.21</v>
      </c>
      <c r="H464" s="194" t="s">
        <v>68</v>
      </c>
      <c r="I464" s="175">
        <f t="shared" si="47"/>
        <v>13761.516</v>
      </c>
      <c r="J464" s="175">
        <f t="shared" si="48"/>
        <v>5967.0640000000021</v>
      </c>
      <c r="K464" s="205"/>
      <c r="L464" s="403" t="s">
        <v>181</v>
      </c>
      <c r="M464" s="404"/>
      <c r="T464" s="60"/>
      <c r="U464" s="60"/>
    </row>
    <row r="465" spans="1:21" s="59" customFormat="1" ht="13.5" customHeight="1">
      <c r="A465" s="52"/>
      <c r="B465" s="406"/>
      <c r="C465" s="283" t="s">
        <v>131</v>
      </c>
      <c r="D465" s="284"/>
      <c r="E465" s="285"/>
      <c r="F465" s="175">
        <v>31.03</v>
      </c>
      <c r="G465" s="175">
        <f t="shared" si="51"/>
        <v>31.03</v>
      </c>
      <c r="H465" s="194" t="s">
        <v>68</v>
      </c>
      <c r="I465" s="175">
        <f t="shared" si="47"/>
        <v>13792.546</v>
      </c>
      <c r="J465" s="175">
        <f t="shared" si="48"/>
        <v>5936.0340000000015</v>
      </c>
      <c r="K465" s="205"/>
      <c r="L465" s="403" t="s">
        <v>181</v>
      </c>
      <c r="M465" s="404"/>
      <c r="T465" s="60"/>
      <c r="U465" s="60"/>
    </row>
    <row r="466" spans="1:21" s="59" customFormat="1" ht="13.5" customHeight="1">
      <c r="A466" s="52"/>
      <c r="B466" s="406"/>
      <c r="C466" s="283" t="s">
        <v>131</v>
      </c>
      <c r="D466" s="284"/>
      <c r="E466" s="285"/>
      <c r="F466" s="175">
        <v>31.26</v>
      </c>
      <c r="G466" s="175">
        <f t="shared" si="51"/>
        <v>31.26</v>
      </c>
      <c r="H466" s="194" t="s">
        <v>68</v>
      </c>
      <c r="I466" s="175">
        <f t="shared" ref="I466:I529" si="52">IF(H466="IN",I465+G466,I465)</f>
        <v>13823.806</v>
      </c>
      <c r="J466" s="175">
        <f t="shared" ref="J466:J529" si="53">IF(I466="","",$L$8-I466)</f>
        <v>5904.7740000000013</v>
      </c>
      <c r="K466" s="205"/>
      <c r="L466" s="403" t="s">
        <v>181</v>
      </c>
      <c r="M466" s="404"/>
      <c r="T466" s="60"/>
      <c r="U466" s="60"/>
    </row>
    <row r="467" spans="1:21" s="59" customFormat="1" ht="13.5" customHeight="1">
      <c r="A467" s="52"/>
      <c r="B467" s="401" t="s">
        <v>183</v>
      </c>
      <c r="C467" s="276" t="s">
        <v>131</v>
      </c>
      <c r="D467" s="277"/>
      <c r="E467" s="278"/>
      <c r="F467" s="279">
        <v>30.85</v>
      </c>
      <c r="G467" s="279">
        <f t="shared" si="51"/>
        <v>30.85</v>
      </c>
      <c r="H467" s="280" t="s">
        <v>68</v>
      </c>
      <c r="I467" s="279">
        <f t="shared" si="52"/>
        <v>13854.656000000001</v>
      </c>
      <c r="J467" s="279">
        <f t="shared" si="53"/>
        <v>5873.9240000000009</v>
      </c>
      <c r="K467" s="281"/>
      <c r="L467" s="403" t="s">
        <v>181</v>
      </c>
      <c r="M467" s="404"/>
      <c r="T467" s="60"/>
      <c r="U467" s="60"/>
    </row>
    <row r="468" spans="1:21" s="59" customFormat="1" ht="13.5" customHeight="1">
      <c r="A468" s="52"/>
      <c r="B468" s="402"/>
      <c r="C468" s="276" t="s">
        <v>131</v>
      </c>
      <c r="D468" s="277"/>
      <c r="E468" s="278"/>
      <c r="F468" s="279">
        <v>31.03</v>
      </c>
      <c r="G468" s="279">
        <f t="shared" si="51"/>
        <v>31.03</v>
      </c>
      <c r="H468" s="280" t="s">
        <v>68</v>
      </c>
      <c r="I468" s="279">
        <f t="shared" si="52"/>
        <v>13885.686000000002</v>
      </c>
      <c r="J468" s="279">
        <f t="shared" si="53"/>
        <v>5842.8940000000002</v>
      </c>
      <c r="K468" s="281"/>
      <c r="L468" s="403" t="s">
        <v>181</v>
      </c>
      <c r="M468" s="404"/>
      <c r="T468" s="60"/>
      <c r="U468" s="60"/>
    </row>
    <row r="469" spans="1:21" s="59" customFormat="1" ht="13.5" customHeight="1">
      <c r="A469" s="52"/>
      <c r="B469" s="402"/>
      <c r="C469" s="276" t="s">
        <v>131</v>
      </c>
      <c r="D469" s="277"/>
      <c r="E469" s="278"/>
      <c r="F469" s="279">
        <v>31.08</v>
      </c>
      <c r="G469" s="279">
        <f t="shared" si="51"/>
        <v>31.08</v>
      </c>
      <c r="H469" s="280" t="s">
        <v>68</v>
      </c>
      <c r="I469" s="279">
        <f t="shared" si="52"/>
        <v>13916.766000000001</v>
      </c>
      <c r="J469" s="279">
        <f t="shared" si="53"/>
        <v>5811.8140000000003</v>
      </c>
      <c r="K469" s="281"/>
      <c r="L469" s="403" t="s">
        <v>181</v>
      </c>
      <c r="M469" s="404"/>
      <c r="T469" s="60"/>
      <c r="U469" s="60"/>
    </row>
    <row r="470" spans="1:21" s="59" customFormat="1" ht="13.5" customHeight="1">
      <c r="A470" s="52"/>
      <c r="B470" s="405" t="s">
        <v>184</v>
      </c>
      <c r="C470" s="283" t="s">
        <v>131</v>
      </c>
      <c r="D470" s="284"/>
      <c r="E470" s="285"/>
      <c r="F470" s="175">
        <v>30.94</v>
      </c>
      <c r="G470" s="175">
        <f t="shared" si="51"/>
        <v>30.94</v>
      </c>
      <c r="H470" s="194" t="s">
        <v>68</v>
      </c>
      <c r="I470" s="175">
        <f t="shared" si="52"/>
        <v>13947.706000000002</v>
      </c>
      <c r="J470" s="175">
        <f t="shared" si="53"/>
        <v>5780.8739999999998</v>
      </c>
      <c r="K470" s="205"/>
      <c r="L470" s="403" t="s">
        <v>181</v>
      </c>
      <c r="M470" s="404"/>
      <c r="T470" s="60"/>
      <c r="U470" s="60"/>
    </row>
    <row r="471" spans="1:21" s="59" customFormat="1" ht="13.5" customHeight="1">
      <c r="A471" s="52"/>
      <c r="B471" s="406"/>
      <c r="C471" s="283" t="s">
        <v>131</v>
      </c>
      <c r="D471" s="284"/>
      <c r="E471" s="285"/>
      <c r="F471" s="175">
        <v>31.14</v>
      </c>
      <c r="G471" s="175">
        <f t="shared" si="51"/>
        <v>31.14</v>
      </c>
      <c r="H471" s="194" t="s">
        <v>68</v>
      </c>
      <c r="I471" s="175">
        <f t="shared" si="52"/>
        <v>13978.846000000001</v>
      </c>
      <c r="J471" s="175">
        <f t="shared" si="53"/>
        <v>5749.7340000000004</v>
      </c>
      <c r="K471" s="205"/>
      <c r="L471" s="403" t="s">
        <v>181</v>
      </c>
      <c r="M471" s="404"/>
      <c r="T471" s="60"/>
      <c r="U471" s="60"/>
    </row>
    <row r="472" spans="1:21" s="59" customFormat="1" ht="13.5" customHeight="1">
      <c r="A472" s="52"/>
      <c r="B472" s="406"/>
      <c r="C472" s="283" t="s">
        <v>131</v>
      </c>
      <c r="D472" s="284"/>
      <c r="E472" s="285"/>
      <c r="F472" s="175">
        <v>31.17</v>
      </c>
      <c r="G472" s="175">
        <f t="shared" si="51"/>
        <v>31.17</v>
      </c>
      <c r="H472" s="194" t="s">
        <v>68</v>
      </c>
      <c r="I472" s="175">
        <f t="shared" si="52"/>
        <v>14010.016000000001</v>
      </c>
      <c r="J472" s="175">
        <f t="shared" si="53"/>
        <v>5718.5640000000003</v>
      </c>
      <c r="K472" s="205"/>
      <c r="L472" s="403" t="s">
        <v>181</v>
      </c>
      <c r="M472" s="404"/>
      <c r="T472" s="60"/>
      <c r="U472" s="60"/>
    </row>
    <row r="473" spans="1:21" s="59" customFormat="1" ht="13.5" customHeight="1">
      <c r="A473" s="52"/>
      <c r="B473" s="401" t="s">
        <v>185</v>
      </c>
      <c r="C473" s="276" t="s">
        <v>131</v>
      </c>
      <c r="D473" s="277"/>
      <c r="E473" s="278"/>
      <c r="F473" s="279">
        <v>31.03</v>
      </c>
      <c r="G473" s="279">
        <f t="shared" si="51"/>
        <v>31.03</v>
      </c>
      <c r="H473" s="280" t="s">
        <v>68</v>
      </c>
      <c r="I473" s="279">
        <f t="shared" si="52"/>
        <v>14041.046000000002</v>
      </c>
      <c r="J473" s="279">
        <f t="shared" si="53"/>
        <v>5687.5339999999997</v>
      </c>
      <c r="K473" s="281"/>
      <c r="L473" s="403" t="s">
        <v>181</v>
      </c>
      <c r="M473" s="404"/>
      <c r="T473" s="60"/>
      <c r="U473" s="60"/>
    </row>
    <row r="474" spans="1:21" s="59" customFormat="1" ht="13.5" customHeight="1">
      <c r="A474" s="52"/>
      <c r="B474" s="402"/>
      <c r="C474" s="276" t="s">
        <v>131</v>
      </c>
      <c r="D474" s="277"/>
      <c r="E474" s="278"/>
      <c r="F474" s="279">
        <v>31.15</v>
      </c>
      <c r="G474" s="279">
        <f t="shared" si="51"/>
        <v>31.15</v>
      </c>
      <c r="H474" s="280" t="s">
        <v>68</v>
      </c>
      <c r="I474" s="279">
        <f t="shared" si="52"/>
        <v>14072.196000000002</v>
      </c>
      <c r="J474" s="279">
        <f t="shared" si="53"/>
        <v>5656.384</v>
      </c>
      <c r="K474" s="281"/>
      <c r="L474" s="403" t="s">
        <v>181</v>
      </c>
      <c r="M474" s="404"/>
      <c r="T474" s="60"/>
      <c r="U474" s="60"/>
    </row>
    <row r="475" spans="1:21" s="59" customFormat="1" ht="13.5" customHeight="1">
      <c r="A475" s="52"/>
      <c r="B475" s="402"/>
      <c r="C475" s="276" t="s">
        <v>131</v>
      </c>
      <c r="D475" s="277"/>
      <c r="E475" s="278"/>
      <c r="F475" s="279">
        <v>31.05</v>
      </c>
      <c r="G475" s="279">
        <f t="shared" si="51"/>
        <v>31.05</v>
      </c>
      <c r="H475" s="280" t="s">
        <v>68</v>
      </c>
      <c r="I475" s="279">
        <f t="shared" si="52"/>
        <v>14103.246000000001</v>
      </c>
      <c r="J475" s="279">
        <f t="shared" si="53"/>
        <v>5625.3340000000007</v>
      </c>
      <c r="K475" s="281"/>
      <c r="L475" s="403" t="s">
        <v>181</v>
      </c>
      <c r="M475" s="404"/>
      <c r="T475" s="60"/>
      <c r="U475" s="60"/>
    </row>
    <row r="476" spans="1:21" s="59" customFormat="1" ht="13.5" customHeight="1">
      <c r="A476" s="52"/>
      <c r="B476" s="405" t="s">
        <v>186</v>
      </c>
      <c r="C476" s="283" t="s">
        <v>131</v>
      </c>
      <c r="D476" s="284"/>
      <c r="E476" s="285"/>
      <c r="F476" s="175">
        <v>31.12</v>
      </c>
      <c r="G476" s="175">
        <f t="shared" si="51"/>
        <v>31.12</v>
      </c>
      <c r="H476" s="194" t="s">
        <v>68</v>
      </c>
      <c r="I476" s="175">
        <f t="shared" si="52"/>
        <v>14134.366000000002</v>
      </c>
      <c r="J476" s="175">
        <f t="shared" si="53"/>
        <v>5594.2139999999999</v>
      </c>
      <c r="K476" s="205"/>
      <c r="L476" s="403" t="s">
        <v>181</v>
      </c>
      <c r="M476" s="404"/>
      <c r="T476" s="60"/>
      <c r="U476" s="60"/>
    </row>
    <row r="477" spans="1:21" s="59" customFormat="1" ht="13.5" customHeight="1">
      <c r="A477" s="52"/>
      <c r="B477" s="406"/>
      <c r="C477" s="283" t="s">
        <v>131</v>
      </c>
      <c r="D477" s="284"/>
      <c r="E477" s="285"/>
      <c r="F477" s="175">
        <v>31.24</v>
      </c>
      <c r="G477" s="175">
        <f t="shared" si="51"/>
        <v>31.24</v>
      </c>
      <c r="H477" s="194" t="s">
        <v>68</v>
      </c>
      <c r="I477" s="175">
        <f t="shared" si="52"/>
        <v>14165.606000000002</v>
      </c>
      <c r="J477" s="175">
        <f t="shared" si="53"/>
        <v>5562.9740000000002</v>
      </c>
      <c r="K477" s="205"/>
      <c r="L477" s="403" t="s">
        <v>181</v>
      </c>
      <c r="M477" s="404"/>
      <c r="T477" s="60"/>
      <c r="U477" s="60"/>
    </row>
    <row r="478" spans="1:21" s="59" customFormat="1" ht="13.5" customHeight="1">
      <c r="A478" s="52"/>
      <c r="B478" s="406"/>
      <c r="C478" s="283" t="s">
        <v>131</v>
      </c>
      <c r="D478" s="284"/>
      <c r="E478" s="285"/>
      <c r="F478" s="175">
        <v>31.01</v>
      </c>
      <c r="G478" s="175">
        <f t="shared" si="51"/>
        <v>31.01</v>
      </c>
      <c r="H478" s="194" t="s">
        <v>68</v>
      </c>
      <c r="I478" s="175">
        <f t="shared" si="52"/>
        <v>14196.616000000002</v>
      </c>
      <c r="J478" s="175">
        <f t="shared" si="53"/>
        <v>5531.9639999999999</v>
      </c>
      <c r="K478" s="205"/>
      <c r="L478" s="403" t="s">
        <v>181</v>
      </c>
      <c r="M478" s="404"/>
      <c r="T478" s="60"/>
      <c r="U478" s="60"/>
    </row>
    <row r="479" spans="1:21" s="59" customFormat="1" ht="13.5" customHeight="1">
      <c r="A479" s="52"/>
      <c r="B479" s="401" t="s">
        <v>187</v>
      </c>
      <c r="C479" s="276" t="s">
        <v>131</v>
      </c>
      <c r="D479" s="277"/>
      <c r="E479" s="278"/>
      <c r="F479" s="279">
        <v>31.16</v>
      </c>
      <c r="G479" s="279">
        <f t="shared" si="51"/>
        <v>31.16</v>
      </c>
      <c r="H479" s="280" t="s">
        <v>68</v>
      </c>
      <c r="I479" s="279">
        <f t="shared" si="52"/>
        <v>14227.776000000002</v>
      </c>
      <c r="J479" s="279">
        <f t="shared" si="53"/>
        <v>5500.8040000000001</v>
      </c>
      <c r="K479" s="281"/>
      <c r="L479" s="403" t="s">
        <v>181</v>
      </c>
      <c r="M479" s="404"/>
      <c r="T479" s="60"/>
      <c r="U479" s="60"/>
    </row>
    <row r="480" spans="1:21" s="59" customFormat="1" ht="13.5" customHeight="1">
      <c r="A480" s="52"/>
      <c r="B480" s="402"/>
      <c r="C480" s="276" t="s">
        <v>131</v>
      </c>
      <c r="D480" s="277"/>
      <c r="E480" s="278"/>
      <c r="F480" s="279">
        <v>30.95</v>
      </c>
      <c r="G480" s="279">
        <f t="shared" si="51"/>
        <v>30.95</v>
      </c>
      <c r="H480" s="280" t="s">
        <v>68</v>
      </c>
      <c r="I480" s="279">
        <f t="shared" si="52"/>
        <v>14258.726000000002</v>
      </c>
      <c r="J480" s="279">
        <f t="shared" si="53"/>
        <v>5469.8539999999994</v>
      </c>
      <c r="K480" s="281"/>
      <c r="L480" s="403" t="s">
        <v>181</v>
      </c>
      <c r="M480" s="404"/>
      <c r="T480" s="60"/>
      <c r="U480" s="60"/>
    </row>
    <row r="481" spans="1:21" s="59" customFormat="1" ht="13.5" customHeight="1">
      <c r="A481" s="52"/>
      <c r="B481" s="402"/>
      <c r="C481" s="276" t="s">
        <v>131</v>
      </c>
      <c r="D481" s="277"/>
      <c r="E481" s="278"/>
      <c r="F481" s="279">
        <v>31.05</v>
      </c>
      <c r="G481" s="279">
        <f t="shared" si="51"/>
        <v>31.05</v>
      </c>
      <c r="H481" s="280" t="s">
        <v>68</v>
      </c>
      <c r="I481" s="279">
        <f t="shared" si="52"/>
        <v>14289.776000000002</v>
      </c>
      <c r="J481" s="279">
        <f t="shared" si="53"/>
        <v>5438.8040000000001</v>
      </c>
      <c r="K481" s="281"/>
      <c r="L481" s="403" t="s">
        <v>181</v>
      </c>
      <c r="M481" s="404"/>
      <c r="T481" s="60"/>
      <c r="U481" s="60"/>
    </row>
    <row r="482" spans="1:21" s="59" customFormat="1" ht="13.5" customHeight="1">
      <c r="A482" s="52"/>
      <c r="B482" s="405" t="s">
        <v>188</v>
      </c>
      <c r="C482" s="283" t="s">
        <v>131</v>
      </c>
      <c r="D482" s="284"/>
      <c r="E482" s="285"/>
      <c r="F482" s="175">
        <v>31.04</v>
      </c>
      <c r="G482" s="175">
        <f t="shared" si="51"/>
        <v>31.04</v>
      </c>
      <c r="H482" s="194" t="s">
        <v>68</v>
      </c>
      <c r="I482" s="175">
        <f t="shared" si="52"/>
        <v>14320.816000000003</v>
      </c>
      <c r="J482" s="175">
        <f t="shared" si="53"/>
        <v>5407.7639999999992</v>
      </c>
      <c r="K482" s="205"/>
      <c r="L482" s="403" t="s">
        <v>181</v>
      </c>
      <c r="M482" s="404"/>
      <c r="T482" s="60"/>
      <c r="U482" s="60"/>
    </row>
    <row r="483" spans="1:21" s="59" customFormat="1" ht="13.5" customHeight="1">
      <c r="A483" s="52"/>
      <c r="B483" s="406"/>
      <c r="C483" s="283" t="s">
        <v>131</v>
      </c>
      <c r="D483" s="284"/>
      <c r="E483" s="285"/>
      <c r="F483" s="175">
        <v>31.25</v>
      </c>
      <c r="G483" s="175">
        <f t="shared" si="51"/>
        <v>31.25</v>
      </c>
      <c r="H483" s="194" t="s">
        <v>68</v>
      </c>
      <c r="I483" s="175">
        <f t="shared" si="52"/>
        <v>14352.066000000003</v>
      </c>
      <c r="J483" s="175">
        <f t="shared" si="53"/>
        <v>5376.5139999999992</v>
      </c>
      <c r="K483" s="205"/>
      <c r="L483" s="403" t="s">
        <v>181</v>
      </c>
      <c r="M483" s="404"/>
      <c r="T483" s="60"/>
      <c r="U483" s="60"/>
    </row>
    <row r="484" spans="1:21" s="59" customFormat="1" ht="13.5" customHeight="1">
      <c r="A484" s="52"/>
      <c r="B484" s="406"/>
      <c r="C484" s="283" t="s">
        <v>131</v>
      </c>
      <c r="D484" s="284"/>
      <c r="E484" s="285"/>
      <c r="F484" s="175">
        <v>30.98</v>
      </c>
      <c r="G484" s="175">
        <f t="shared" si="51"/>
        <v>30.98</v>
      </c>
      <c r="H484" s="194" t="s">
        <v>68</v>
      </c>
      <c r="I484" s="175">
        <f t="shared" si="52"/>
        <v>14383.046000000002</v>
      </c>
      <c r="J484" s="175">
        <f t="shared" si="53"/>
        <v>5345.5339999999997</v>
      </c>
      <c r="K484" s="205"/>
      <c r="L484" s="403" t="s">
        <v>181</v>
      </c>
      <c r="M484" s="404"/>
      <c r="T484" s="60"/>
      <c r="U484" s="60"/>
    </row>
    <row r="485" spans="1:21" s="59" customFormat="1" ht="13.5" customHeight="1">
      <c r="A485" s="52"/>
      <c r="B485" s="401" t="s">
        <v>189</v>
      </c>
      <c r="C485" s="276" t="s">
        <v>131</v>
      </c>
      <c r="D485" s="277"/>
      <c r="E485" s="278"/>
      <c r="F485" s="279">
        <v>30.84</v>
      </c>
      <c r="G485" s="279">
        <f t="shared" si="51"/>
        <v>30.84</v>
      </c>
      <c r="H485" s="280" t="s">
        <v>68</v>
      </c>
      <c r="I485" s="279">
        <f t="shared" si="52"/>
        <v>14413.886000000002</v>
      </c>
      <c r="J485" s="279">
        <f t="shared" si="53"/>
        <v>5314.6939999999995</v>
      </c>
      <c r="K485" s="281"/>
      <c r="L485" s="403" t="s">
        <v>181</v>
      </c>
      <c r="M485" s="404"/>
      <c r="T485" s="60"/>
      <c r="U485" s="60"/>
    </row>
    <row r="486" spans="1:21" s="59" customFormat="1" ht="13.5" customHeight="1">
      <c r="A486" s="52"/>
      <c r="B486" s="402"/>
      <c r="C486" s="276" t="s">
        <v>131</v>
      </c>
      <c r="D486" s="277"/>
      <c r="E486" s="278"/>
      <c r="F486" s="279">
        <v>31.1</v>
      </c>
      <c r="G486" s="279">
        <f t="shared" si="51"/>
        <v>31.1</v>
      </c>
      <c r="H486" s="280" t="s">
        <v>68</v>
      </c>
      <c r="I486" s="279">
        <f t="shared" si="52"/>
        <v>14444.986000000003</v>
      </c>
      <c r="J486" s="279">
        <f t="shared" si="53"/>
        <v>5283.5939999999991</v>
      </c>
      <c r="K486" s="281"/>
      <c r="L486" s="403" t="s">
        <v>181</v>
      </c>
      <c r="M486" s="404"/>
      <c r="T486" s="60"/>
      <c r="U486" s="60"/>
    </row>
    <row r="487" spans="1:21" s="59" customFormat="1" ht="13.5" customHeight="1">
      <c r="A487" s="52"/>
      <c r="B487" s="402"/>
      <c r="C487" s="276" t="s">
        <v>131</v>
      </c>
      <c r="D487" s="277"/>
      <c r="E487" s="278"/>
      <c r="F487" s="279">
        <v>31.29</v>
      </c>
      <c r="G487" s="279">
        <f t="shared" si="51"/>
        <v>31.29</v>
      </c>
      <c r="H487" s="280" t="s">
        <v>68</v>
      </c>
      <c r="I487" s="279">
        <f t="shared" si="52"/>
        <v>14476.276000000003</v>
      </c>
      <c r="J487" s="279">
        <f t="shared" si="53"/>
        <v>5252.3039999999983</v>
      </c>
      <c r="K487" s="281"/>
      <c r="L487" s="403" t="s">
        <v>181</v>
      </c>
      <c r="M487" s="404"/>
      <c r="T487" s="60"/>
      <c r="U487" s="60"/>
    </row>
    <row r="488" spans="1:21" s="59" customFormat="1" ht="13.5" customHeight="1">
      <c r="A488" s="52"/>
      <c r="B488" s="405" t="s">
        <v>190</v>
      </c>
      <c r="C488" s="283" t="s">
        <v>131</v>
      </c>
      <c r="D488" s="284"/>
      <c r="E488" s="285"/>
      <c r="F488" s="175">
        <v>31.33</v>
      </c>
      <c r="G488" s="175">
        <f t="shared" si="51"/>
        <v>31.33</v>
      </c>
      <c r="H488" s="194" t="s">
        <v>68</v>
      </c>
      <c r="I488" s="175">
        <f t="shared" si="52"/>
        <v>14507.606000000003</v>
      </c>
      <c r="J488" s="175">
        <f t="shared" si="53"/>
        <v>5220.9739999999983</v>
      </c>
      <c r="K488" s="205"/>
      <c r="L488" s="403" t="s">
        <v>181</v>
      </c>
      <c r="M488" s="404"/>
      <c r="T488" s="60"/>
      <c r="U488" s="60"/>
    </row>
    <row r="489" spans="1:21" s="59" customFormat="1" ht="13.5" customHeight="1">
      <c r="A489" s="52"/>
      <c r="B489" s="406"/>
      <c r="C489" s="283" t="s">
        <v>131</v>
      </c>
      <c r="D489" s="284"/>
      <c r="E489" s="285"/>
      <c r="F489" s="175">
        <v>31.18</v>
      </c>
      <c r="G489" s="175">
        <f t="shared" si="51"/>
        <v>31.18</v>
      </c>
      <c r="H489" s="194" t="s">
        <v>68</v>
      </c>
      <c r="I489" s="175">
        <f t="shared" si="52"/>
        <v>14538.786000000004</v>
      </c>
      <c r="J489" s="175">
        <f t="shared" si="53"/>
        <v>5189.7939999999981</v>
      </c>
      <c r="K489" s="205"/>
      <c r="L489" s="403" t="s">
        <v>181</v>
      </c>
      <c r="M489" s="404"/>
      <c r="T489" s="60"/>
      <c r="U489" s="60"/>
    </row>
    <row r="490" spans="1:21" s="59" customFormat="1" ht="13.5" customHeight="1">
      <c r="A490" s="52"/>
      <c r="B490" s="406"/>
      <c r="C490" s="283" t="s">
        <v>131</v>
      </c>
      <c r="D490" s="284"/>
      <c r="E490" s="285"/>
      <c r="F490" s="175">
        <v>31.03</v>
      </c>
      <c r="G490" s="175">
        <f t="shared" si="51"/>
        <v>31.03</v>
      </c>
      <c r="H490" s="194" t="s">
        <v>68</v>
      </c>
      <c r="I490" s="175">
        <f t="shared" si="52"/>
        <v>14569.816000000004</v>
      </c>
      <c r="J490" s="175">
        <f t="shared" si="53"/>
        <v>5158.7639999999974</v>
      </c>
      <c r="K490" s="205"/>
      <c r="L490" s="403" t="s">
        <v>181</v>
      </c>
      <c r="M490" s="404"/>
      <c r="T490" s="60"/>
      <c r="U490" s="60"/>
    </row>
    <row r="491" spans="1:21" s="59" customFormat="1" ht="13.5" customHeight="1">
      <c r="A491" s="52"/>
      <c r="B491" s="401" t="s">
        <v>191</v>
      </c>
      <c r="C491" s="276" t="s">
        <v>131</v>
      </c>
      <c r="D491" s="277"/>
      <c r="E491" s="278"/>
      <c r="F491" s="279">
        <v>31.14</v>
      </c>
      <c r="G491" s="279">
        <f t="shared" si="51"/>
        <v>31.14</v>
      </c>
      <c r="H491" s="280" t="s">
        <v>68</v>
      </c>
      <c r="I491" s="279">
        <f t="shared" si="52"/>
        <v>14600.956000000004</v>
      </c>
      <c r="J491" s="279">
        <f t="shared" si="53"/>
        <v>5127.623999999998</v>
      </c>
      <c r="K491" s="281"/>
      <c r="L491" s="403" t="s">
        <v>181</v>
      </c>
      <c r="M491" s="404"/>
      <c r="T491" s="60"/>
      <c r="U491" s="60"/>
    </row>
    <row r="492" spans="1:21" s="59" customFormat="1" ht="13.5" customHeight="1">
      <c r="A492" s="52"/>
      <c r="B492" s="402"/>
      <c r="C492" s="276" t="s">
        <v>131</v>
      </c>
      <c r="D492" s="277"/>
      <c r="E492" s="278"/>
      <c r="F492" s="279">
        <v>31.09</v>
      </c>
      <c r="G492" s="279">
        <f t="shared" si="51"/>
        <v>31.09</v>
      </c>
      <c r="H492" s="280" t="s">
        <v>68</v>
      </c>
      <c r="I492" s="279">
        <f t="shared" si="52"/>
        <v>14632.046000000004</v>
      </c>
      <c r="J492" s="279">
        <f t="shared" si="53"/>
        <v>5096.5339999999978</v>
      </c>
      <c r="K492" s="281"/>
      <c r="L492" s="403" t="s">
        <v>181</v>
      </c>
      <c r="M492" s="404"/>
      <c r="T492" s="60"/>
      <c r="U492" s="60"/>
    </row>
    <row r="493" spans="1:21" s="59" customFormat="1" ht="13.5" customHeight="1">
      <c r="A493" s="52"/>
      <c r="B493" s="402"/>
      <c r="C493" s="276" t="s">
        <v>131</v>
      </c>
      <c r="D493" s="277"/>
      <c r="E493" s="278"/>
      <c r="F493" s="279">
        <v>31.21</v>
      </c>
      <c r="G493" s="279">
        <f t="shared" si="51"/>
        <v>31.21</v>
      </c>
      <c r="H493" s="280" t="s">
        <v>68</v>
      </c>
      <c r="I493" s="279">
        <f t="shared" si="52"/>
        <v>14663.256000000003</v>
      </c>
      <c r="J493" s="279">
        <f t="shared" si="53"/>
        <v>5065.3239999999987</v>
      </c>
      <c r="K493" s="281"/>
      <c r="L493" s="403" t="s">
        <v>181</v>
      </c>
      <c r="M493" s="404"/>
      <c r="T493" s="60"/>
      <c r="U493" s="60"/>
    </row>
    <row r="494" spans="1:21" s="59" customFormat="1" ht="13.5" customHeight="1">
      <c r="A494" s="52"/>
      <c r="B494" s="405" t="s">
        <v>192</v>
      </c>
      <c r="C494" s="283" t="s">
        <v>131</v>
      </c>
      <c r="D494" s="284"/>
      <c r="E494" s="285"/>
      <c r="F494" s="175">
        <v>30.93</v>
      </c>
      <c r="G494" s="175">
        <f t="shared" si="51"/>
        <v>30.93</v>
      </c>
      <c r="H494" s="194" t="s">
        <v>68</v>
      </c>
      <c r="I494" s="175">
        <f t="shared" si="52"/>
        <v>14694.186000000003</v>
      </c>
      <c r="J494" s="175">
        <f t="shared" si="53"/>
        <v>5034.3939999999984</v>
      </c>
      <c r="K494" s="205"/>
      <c r="L494" s="403" t="s">
        <v>181</v>
      </c>
      <c r="M494" s="404"/>
      <c r="T494" s="60"/>
      <c r="U494" s="60"/>
    </row>
    <row r="495" spans="1:21" s="59" customFormat="1" ht="13.5" customHeight="1">
      <c r="A495" s="52"/>
      <c r="B495" s="406"/>
      <c r="C495" s="283" t="s">
        <v>131</v>
      </c>
      <c r="D495" s="284"/>
      <c r="E495" s="285"/>
      <c r="F495" s="175">
        <v>30.98</v>
      </c>
      <c r="G495" s="175">
        <f t="shared" si="51"/>
        <v>30.98</v>
      </c>
      <c r="H495" s="194" t="s">
        <v>68</v>
      </c>
      <c r="I495" s="175">
        <f t="shared" si="52"/>
        <v>14725.166000000003</v>
      </c>
      <c r="J495" s="175">
        <f t="shared" si="53"/>
        <v>5003.4139999999989</v>
      </c>
      <c r="K495" s="205"/>
      <c r="L495" s="403" t="s">
        <v>181</v>
      </c>
      <c r="M495" s="404"/>
      <c r="T495" s="60"/>
      <c r="U495" s="60"/>
    </row>
    <row r="496" spans="1:21" s="59" customFormat="1" ht="13.5" customHeight="1">
      <c r="A496" s="52"/>
      <c r="B496" s="406"/>
      <c r="C496" s="283" t="s">
        <v>131</v>
      </c>
      <c r="D496" s="284"/>
      <c r="E496" s="285"/>
      <c r="F496" s="175">
        <v>31.1</v>
      </c>
      <c r="G496" s="175">
        <f t="shared" si="51"/>
        <v>31.1</v>
      </c>
      <c r="H496" s="194" t="s">
        <v>68</v>
      </c>
      <c r="I496" s="175">
        <f t="shared" si="52"/>
        <v>14756.266000000003</v>
      </c>
      <c r="J496" s="175">
        <f t="shared" si="53"/>
        <v>4972.3139999999985</v>
      </c>
      <c r="K496" s="205"/>
      <c r="L496" s="403" t="s">
        <v>181</v>
      </c>
      <c r="M496" s="404"/>
      <c r="T496" s="60"/>
      <c r="U496" s="60"/>
    </row>
    <row r="497" spans="1:21" s="59" customFormat="1" ht="13.5" customHeight="1">
      <c r="A497" s="52"/>
      <c r="B497" s="401" t="s">
        <v>193</v>
      </c>
      <c r="C497" s="276" t="s">
        <v>131</v>
      </c>
      <c r="D497" s="277"/>
      <c r="E497" s="278"/>
      <c r="F497" s="279">
        <v>31.24</v>
      </c>
      <c r="G497" s="279">
        <f t="shared" si="51"/>
        <v>31.24</v>
      </c>
      <c r="H497" s="280" t="s">
        <v>68</v>
      </c>
      <c r="I497" s="279">
        <f t="shared" si="52"/>
        <v>14787.506000000003</v>
      </c>
      <c r="J497" s="279">
        <f t="shared" si="53"/>
        <v>4941.0739999999987</v>
      </c>
      <c r="K497" s="281"/>
      <c r="L497" s="403" t="s">
        <v>181</v>
      </c>
      <c r="M497" s="404"/>
      <c r="T497" s="60"/>
      <c r="U497" s="60"/>
    </row>
    <row r="498" spans="1:21" s="59" customFormat="1" ht="13.5" customHeight="1">
      <c r="A498" s="52"/>
      <c r="B498" s="402"/>
      <c r="C498" s="276" t="s">
        <v>131</v>
      </c>
      <c r="D498" s="277"/>
      <c r="E498" s="278"/>
      <c r="F498" s="279">
        <v>31.15</v>
      </c>
      <c r="G498" s="279">
        <f t="shared" si="51"/>
        <v>31.15</v>
      </c>
      <c r="H498" s="280" t="s">
        <v>68</v>
      </c>
      <c r="I498" s="279">
        <f t="shared" si="52"/>
        <v>14818.656000000003</v>
      </c>
      <c r="J498" s="279">
        <f t="shared" si="53"/>
        <v>4909.9239999999991</v>
      </c>
      <c r="K498" s="281"/>
      <c r="L498" s="403" t="s">
        <v>181</v>
      </c>
      <c r="M498" s="404"/>
      <c r="T498" s="60"/>
      <c r="U498" s="60"/>
    </row>
    <row r="499" spans="1:21" s="59" customFormat="1" ht="13.5" customHeight="1">
      <c r="A499" s="52"/>
      <c r="B499" s="402"/>
      <c r="C499" s="276" t="s">
        <v>131</v>
      </c>
      <c r="D499" s="277"/>
      <c r="E499" s="278"/>
      <c r="F499" s="279">
        <v>31.28</v>
      </c>
      <c r="G499" s="279">
        <f t="shared" si="51"/>
        <v>31.28</v>
      </c>
      <c r="H499" s="280" t="s">
        <v>68</v>
      </c>
      <c r="I499" s="279">
        <f t="shared" si="52"/>
        <v>14849.936000000003</v>
      </c>
      <c r="J499" s="279">
        <f t="shared" si="53"/>
        <v>4878.6439999999984</v>
      </c>
      <c r="K499" s="281"/>
      <c r="L499" s="403" t="s">
        <v>181</v>
      </c>
      <c r="M499" s="404"/>
      <c r="T499" s="60"/>
      <c r="U499" s="60"/>
    </row>
    <row r="500" spans="1:21" s="59" customFormat="1" ht="13.5" customHeight="1">
      <c r="A500" s="52"/>
      <c r="B500" s="405" t="s">
        <v>194</v>
      </c>
      <c r="C500" s="283" t="s">
        <v>131</v>
      </c>
      <c r="D500" s="284"/>
      <c r="E500" s="285"/>
      <c r="F500" s="175">
        <v>31.11</v>
      </c>
      <c r="G500" s="175">
        <f t="shared" si="51"/>
        <v>31.11</v>
      </c>
      <c r="H500" s="194" t="s">
        <v>68</v>
      </c>
      <c r="I500" s="175">
        <f t="shared" si="52"/>
        <v>14881.046000000004</v>
      </c>
      <c r="J500" s="175">
        <f t="shared" si="53"/>
        <v>4847.5339999999978</v>
      </c>
      <c r="K500" s="205"/>
      <c r="L500" s="403" t="s">
        <v>181</v>
      </c>
      <c r="M500" s="404"/>
      <c r="T500" s="60"/>
      <c r="U500" s="60"/>
    </row>
    <row r="501" spans="1:21" s="59" customFormat="1" ht="13.5" customHeight="1">
      <c r="A501" s="52"/>
      <c r="B501" s="406"/>
      <c r="C501" s="283" t="s">
        <v>131</v>
      </c>
      <c r="D501" s="284"/>
      <c r="E501" s="285"/>
      <c r="F501" s="175">
        <v>30.85</v>
      </c>
      <c r="G501" s="175">
        <f t="shared" si="51"/>
        <v>30.85</v>
      </c>
      <c r="H501" s="194" t="s">
        <v>68</v>
      </c>
      <c r="I501" s="175">
        <f t="shared" si="52"/>
        <v>14911.896000000004</v>
      </c>
      <c r="J501" s="175">
        <f t="shared" si="53"/>
        <v>4816.6839999999975</v>
      </c>
      <c r="K501" s="205"/>
      <c r="L501" s="403" t="s">
        <v>181</v>
      </c>
      <c r="M501" s="404"/>
      <c r="T501" s="60"/>
      <c r="U501" s="60"/>
    </row>
    <row r="502" spans="1:21" s="59" customFormat="1" ht="13.5" customHeight="1">
      <c r="A502" s="52"/>
      <c r="B502" s="406"/>
      <c r="C502" s="283" t="s">
        <v>131</v>
      </c>
      <c r="D502" s="284"/>
      <c r="E502" s="285"/>
      <c r="F502" s="175">
        <v>31.31</v>
      </c>
      <c r="G502" s="175">
        <f t="shared" si="51"/>
        <v>31.31</v>
      </c>
      <c r="H502" s="194" t="s">
        <v>68</v>
      </c>
      <c r="I502" s="175">
        <f t="shared" si="52"/>
        <v>14943.206000000004</v>
      </c>
      <c r="J502" s="175">
        <f t="shared" si="53"/>
        <v>4785.373999999998</v>
      </c>
      <c r="K502" s="205"/>
      <c r="L502" s="403" t="s">
        <v>181</v>
      </c>
      <c r="M502" s="404"/>
      <c r="T502" s="60"/>
      <c r="U502" s="60"/>
    </row>
    <row r="503" spans="1:21" s="59" customFormat="1" ht="13.5" customHeight="1">
      <c r="A503" s="52"/>
      <c r="B503" s="401" t="s">
        <v>195</v>
      </c>
      <c r="C503" s="276" t="s">
        <v>131</v>
      </c>
      <c r="D503" s="277"/>
      <c r="E503" s="278"/>
      <c r="F503" s="279">
        <v>31.11</v>
      </c>
      <c r="G503" s="279">
        <f t="shared" si="51"/>
        <v>31.11</v>
      </c>
      <c r="H503" s="280" t="s">
        <v>68</v>
      </c>
      <c r="I503" s="279">
        <f t="shared" si="52"/>
        <v>14974.316000000004</v>
      </c>
      <c r="J503" s="279">
        <f t="shared" si="53"/>
        <v>4754.2639999999974</v>
      </c>
      <c r="K503" s="281"/>
      <c r="L503" s="403" t="s">
        <v>181</v>
      </c>
      <c r="M503" s="404"/>
      <c r="T503" s="60"/>
      <c r="U503" s="60"/>
    </row>
    <row r="504" spans="1:21" s="59" customFormat="1" ht="13.5" customHeight="1">
      <c r="A504" s="52"/>
      <c r="B504" s="402"/>
      <c r="C504" s="276" t="s">
        <v>131</v>
      </c>
      <c r="D504" s="277"/>
      <c r="E504" s="278"/>
      <c r="F504" s="279">
        <v>31.23</v>
      </c>
      <c r="G504" s="279">
        <f t="shared" si="51"/>
        <v>31.23</v>
      </c>
      <c r="H504" s="280" t="s">
        <v>68</v>
      </c>
      <c r="I504" s="279">
        <f t="shared" si="52"/>
        <v>15005.546000000004</v>
      </c>
      <c r="J504" s="279">
        <f t="shared" si="53"/>
        <v>4723.0339999999978</v>
      </c>
      <c r="K504" s="281"/>
      <c r="L504" s="403" t="s">
        <v>181</v>
      </c>
      <c r="M504" s="404"/>
      <c r="T504" s="60"/>
      <c r="U504" s="60"/>
    </row>
    <row r="505" spans="1:21" s="59" customFormat="1" ht="13.5" customHeight="1">
      <c r="A505" s="52"/>
      <c r="B505" s="402"/>
      <c r="C505" s="276" t="s">
        <v>131</v>
      </c>
      <c r="D505" s="277"/>
      <c r="E505" s="278"/>
      <c r="F505" s="279">
        <v>31.14</v>
      </c>
      <c r="G505" s="279">
        <f t="shared" si="51"/>
        <v>31.14</v>
      </c>
      <c r="H505" s="280" t="s">
        <v>68</v>
      </c>
      <c r="I505" s="279">
        <f t="shared" si="52"/>
        <v>15036.686000000003</v>
      </c>
      <c r="J505" s="279">
        <f t="shared" si="53"/>
        <v>4691.8939999999984</v>
      </c>
      <c r="K505" s="281"/>
      <c r="L505" s="403" t="s">
        <v>181</v>
      </c>
      <c r="M505" s="404"/>
      <c r="T505" s="60"/>
      <c r="U505" s="60"/>
    </row>
    <row r="506" spans="1:21" s="59" customFormat="1" ht="13.5" customHeight="1">
      <c r="A506" s="52"/>
      <c r="B506" s="405" t="s">
        <v>196</v>
      </c>
      <c r="C506" s="283" t="s">
        <v>131</v>
      </c>
      <c r="D506" s="284"/>
      <c r="E506" s="285"/>
      <c r="F506" s="175">
        <v>30.71</v>
      </c>
      <c r="G506" s="175">
        <f t="shared" si="51"/>
        <v>30.71</v>
      </c>
      <c r="H506" s="194" t="s">
        <v>68</v>
      </c>
      <c r="I506" s="175">
        <f t="shared" si="52"/>
        <v>15067.396000000002</v>
      </c>
      <c r="J506" s="175">
        <f t="shared" si="53"/>
        <v>4661.1839999999993</v>
      </c>
      <c r="K506" s="205"/>
      <c r="L506" s="403" t="s">
        <v>181</v>
      </c>
      <c r="M506" s="404"/>
      <c r="T506" s="60"/>
      <c r="U506" s="60"/>
    </row>
    <row r="507" spans="1:21" s="59" customFormat="1" ht="13.5" customHeight="1">
      <c r="A507" s="52"/>
      <c r="B507" s="406"/>
      <c r="C507" s="283" t="s">
        <v>131</v>
      </c>
      <c r="D507" s="284"/>
      <c r="E507" s="285"/>
      <c r="F507" s="175">
        <v>31.25</v>
      </c>
      <c r="G507" s="175">
        <f t="shared" si="51"/>
        <v>31.25</v>
      </c>
      <c r="H507" s="194" t="s">
        <v>68</v>
      </c>
      <c r="I507" s="175">
        <f t="shared" si="52"/>
        <v>15098.646000000002</v>
      </c>
      <c r="J507" s="175">
        <f t="shared" si="53"/>
        <v>4629.9339999999993</v>
      </c>
      <c r="K507" s="205"/>
      <c r="L507" s="403" t="s">
        <v>181</v>
      </c>
      <c r="M507" s="404"/>
      <c r="T507" s="60"/>
      <c r="U507" s="60"/>
    </row>
    <row r="508" spans="1:21" s="59" customFormat="1" ht="13.5" customHeight="1">
      <c r="A508" s="52"/>
      <c r="B508" s="406"/>
      <c r="C508" s="283" t="s">
        <v>131</v>
      </c>
      <c r="D508" s="284"/>
      <c r="E508" s="285"/>
      <c r="F508" s="175">
        <v>30.84</v>
      </c>
      <c r="G508" s="175">
        <f t="shared" si="51"/>
        <v>30.84</v>
      </c>
      <c r="H508" s="194" t="s">
        <v>68</v>
      </c>
      <c r="I508" s="175">
        <f t="shared" si="52"/>
        <v>15129.486000000003</v>
      </c>
      <c r="J508" s="175">
        <f t="shared" si="53"/>
        <v>4599.0939999999991</v>
      </c>
      <c r="K508" s="205"/>
      <c r="L508" s="403" t="s">
        <v>181</v>
      </c>
      <c r="M508" s="404"/>
      <c r="T508" s="60"/>
      <c r="U508" s="60"/>
    </row>
    <row r="509" spans="1:21" s="59" customFormat="1" ht="13.5" customHeight="1">
      <c r="A509" s="52"/>
      <c r="B509" s="401" t="s">
        <v>197</v>
      </c>
      <c r="C509" s="276" t="s">
        <v>131</v>
      </c>
      <c r="D509" s="277"/>
      <c r="E509" s="278"/>
      <c r="F509" s="279">
        <v>30.65</v>
      </c>
      <c r="G509" s="279">
        <f t="shared" si="51"/>
        <v>30.65</v>
      </c>
      <c r="H509" s="280" t="s">
        <v>68</v>
      </c>
      <c r="I509" s="279">
        <f t="shared" si="52"/>
        <v>15160.136000000002</v>
      </c>
      <c r="J509" s="279">
        <f t="shared" si="53"/>
        <v>4568.4439999999995</v>
      </c>
      <c r="K509" s="281"/>
      <c r="L509" s="403" t="s">
        <v>181</v>
      </c>
      <c r="M509" s="404"/>
      <c r="T509" s="60"/>
      <c r="U509" s="60"/>
    </row>
    <row r="510" spans="1:21" s="59" customFormat="1" ht="13.5" customHeight="1">
      <c r="A510" s="52"/>
      <c r="B510" s="402"/>
      <c r="C510" s="276" t="s">
        <v>131</v>
      </c>
      <c r="D510" s="277"/>
      <c r="E510" s="278"/>
      <c r="F510" s="279">
        <v>30.07</v>
      </c>
      <c r="G510" s="279">
        <f t="shared" si="51"/>
        <v>30.07</v>
      </c>
      <c r="H510" s="280" t="s">
        <v>68</v>
      </c>
      <c r="I510" s="279">
        <f t="shared" si="52"/>
        <v>15190.206000000002</v>
      </c>
      <c r="J510" s="279">
        <f t="shared" si="53"/>
        <v>4538.3739999999998</v>
      </c>
      <c r="K510" s="281"/>
      <c r="L510" s="403" t="s">
        <v>181</v>
      </c>
      <c r="M510" s="404"/>
      <c r="T510" s="60"/>
      <c r="U510" s="60"/>
    </row>
    <row r="511" spans="1:21" s="59" customFormat="1" ht="13.5" customHeight="1">
      <c r="A511" s="52"/>
      <c r="B511" s="402"/>
      <c r="C511" s="276" t="s">
        <v>131</v>
      </c>
      <c r="D511" s="277"/>
      <c r="E511" s="278"/>
      <c r="F511" s="279">
        <v>31.33</v>
      </c>
      <c r="G511" s="279">
        <f t="shared" si="51"/>
        <v>31.33</v>
      </c>
      <c r="H511" s="280" t="s">
        <v>68</v>
      </c>
      <c r="I511" s="279">
        <f t="shared" si="52"/>
        <v>15221.536000000002</v>
      </c>
      <c r="J511" s="279">
        <f t="shared" si="53"/>
        <v>4507.0439999999999</v>
      </c>
      <c r="K511" s="281"/>
      <c r="L511" s="403" t="s">
        <v>181</v>
      </c>
      <c r="M511" s="404"/>
      <c r="T511" s="60"/>
      <c r="U511" s="60"/>
    </row>
    <row r="512" spans="1:21" s="59" customFormat="1" ht="13.5" customHeight="1">
      <c r="A512" s="52"/>
      <c r="B512" s="405" t="s">
        <v>198</v>
      </c>
      <c r="C512" s="283" t="s">
        <v>131</v>
      </c>
      <c r="D512" s="284"/>
      <c r="E512" s="285"/>
      <c r="F512" s="175">
        <v>30.93</v>
      </c>
      <c r="G512" s="175">
        <f t="shared" si="51"/>
        <v>30.93</v>
      </c>
      <c r="H512" s="194" t="s">
        <v>68</v>
      </c>
      <c r="I512" s="175">
        <f t="shared" si="52"/>
        <v>15252.466000000002</v>
      </c>
      <c r="J512" s="175">
        <f t="shared" si="53"/>
        <v>4476.1139999999996</v>
      </c>
      <c r="K512" s="205"/>
      <c r="L512" s="403" t="s">
        <v>181</v>
      </c>
      <c r="M512" s="404"/>
      <c r="T512" s="60"/>
      <c r="U512" s="60"/>
    </row>
    <row r="513" spans="1:21" s="59" customFormat="1" ht="13.5" customHeight="1">
      <c r="A513" s="52"/>
      <c r="B513" s="406"/>
      <c r="C513" s="283" t="s">
        <v>131</v>
      </c>
      <c r="D513" s="284"/>
      <c r="E513" s="285"/>
      <c r="F513" s="175">
        <v>31.2</v>
      </c>
      <c r="G513" s="175">
        <f t="shared" si="51"/>
        <v>31.2</v>
      </c>
      <c r="H513" s="194" t="s">
        <v>68</v>
      </c>
      <c r="I513" s="175">
        <f t="shared" si="52"/>
        <v>15283.666000000003</v>
      </c>
      <c r="J513" s="175">
        <f t="shared" si="53"/>
        <v>4444.9139999999989</v>
      </c>
      <c r="K513" s="205"/>
      <c r="L513" s="403" t="s">
        <v>181</v>
      </c>
      <c r="M513" s="404"/>
      <c r="T513" s="60"/>
      <c r="U513" s="60"/>
    </row>
    <row r="514" spans="1:21" s="59" customFormat="1" ht="13.5" customHeight="1">
      <c r="A514" s="52"/>
      <c r="B514" s="406"/>
      <c r="C514" s="283" t="s">
        <v>131</v>
      </c>
      <c r="D514" s="284"/>
      <c r="E514" s="285"/>
      <c r="F514" s="175">
        <v>31.63</v>
      </c>
      <c r="G514" s="175">
        <f t="shared" si="51"/>
        <v>31.63</v>
      </c>
      <c r="H514" s="194" t="s">
        <v>68</v>
      </c>
      <c r="I514" s="175">
        <f t="shared" si="52"/>
        <v>15315.296000000002</v>
      </c>
      <c r="J514" s="175">
        <f t="shared" si="53"/>
        <v>4413.2839999999997</v>
      </c>
      <c r="K514" s="205"/>
      <c r="L514" s="403" t="s">
        <v>181</v>
      </c>
      <c r="M514" s="404"/>
      <c r="T514" s="60"/>
      <c r="U514" s="60"/>
    </row>
    <row r="515" spans="1:21" s="59" customFormat="1" ht="13.5" customHeight="1">
      <c r="A515" s="52"/>
      <c r="B515" s="401" t="s">
        <v>199</v>
      </c>
      <c r="C515" s="276" t="s">
        <v>131</v>
      </c>
      <c r="D515" s="277"/>
      <c r="E515" s="278"/>
      <c r="F515" s="279">
        <v>31.07</v>
      </c>
      <c r="G515" s="279">
        <f t="shared" si="51"/>
        <v>31.07</v>
      </c>
      <c r="H515" s="280" t="s">
        <v>68</v>
      </c>
      <c r="I515" s="279">
        <f t="shared" si="52"/>
        <v>15346.366000000002</v>
      </c>
      <c r="J515" s="279">
        <f t="shared" si="53"/>
        <v>4382.2139999999999</v>
      </c>
      <c r="K515" s="281"/>
      <c r="L515" s="403" t="s">
        <v>181</v>
      </c>
      <c r="M515" s="404"/>
      <c r="T515" s="60"/>
      <c r="U515" s="60"/>
    </row>
    <row r="516" spans="1:21" s="59" customFormat="1" ht="13.5" customHeight="1">
      <c r="A516" s="52"/>
      <c r="B516" s="402"/>
      <c r="C516" s="276" t="s">
        <v>131</v>
      </c>
      <c r="D516" s="277"/>
      <c r="E516" s="278"/>
      <c r="F516" s="279">
        <v>30.86</v>
      </c>
      <c r="G516" s="279">
        <f t="shared" si="51"/>
        <v>30.86</v>
      </c>
      <c r="H516" s="280" t="s">
        <v>68</v>
      </c>
      <c r="I516" s="279">
        <f t="shared" si="52"/>
        <v>15377.226000000002</v>
      </c>
      <c r="J516" s="279">
        <f t="shared" si="53"/>
        <v>4351.3539999999994</v>
      </c>
      <c r="K516" s="281"/>
      <c r="L516" s="403" t="s">
        <v>181</v>
      </c>
      <c r="M516" s="404"/>
      <c r="T516" s="60"/>
      <c r="U516" s="60"/>
    </row>
    <row r="517" spans="1:21" s="59" customFormat="1" ht="13.5" customHeight="1">
      <c r="A517" s="52"/>
      <c r="B517" s="402"/>
      <c r="C517" s="276" t="s">
        <v>131</v>
      </c>
      <c r="D517" s="277"/>
      <c r="E517" s="278"/>
      <c r="F517" s="279">
        <v>30.84</v>
      </c>
      <c r="G517" s="279">
        <f t="shared" si="51"/>
        <v>30.84</v>
      </c>
      <c r="H517" s="280" t="s">
        <v>68</v>
      </c>
      <c r="I517" s="279">
        <f t="shared" si="52"/>
        <v>15408.066000000003</v>
      </c>
      <c r="J517" s="279">
        <f t="shared" si="53"/>
        <v>4320.5139999999992</v>
      </c>
      <c r="K517" s="281"/>
      <c r="L517" s="403" t="s">
        <v>181</v>
      </c>
      <c r="M517" s="404"/>
      <c r="T517" s="60"/>
      <c r="U517" s="60"/>
    </row>
    <row r="518" spans="1:21" s="59" customFormat="1" ht="13.5" customHeight="1">
      <c r="A518" s="52"/>
      <c r="B518" s="405" t="s">
        <v>200</v>
      </c>
      <c r="C518" s="283" t="s">
        <v>131</v>
      </c>
      <c r="D518" s="284"/>
      <c r="E518" s="285"/>
      <c r="F518" s="175">
        <v>30.88</v>
      </c>
      <c r="G518" s="175">
        <f t="shared" si="51"/>
        <v>30.88</v>
      </c>
      <c r="H518" s="194" t="s">
        <v>68</v>
      </c>
      <c r="I518" s="175">
        <f t="shared" si="52"/>
        <v>15438.946000000002</v>
      </c>
      <c r="J518" s="175">
        <f t="shared" si="53"/>
        <v>4289.634</v>
      </c>
      <c r="K518" s="205"/>
      <c r="L518" s="403" t="s">
        <v>181</v>
      </c>
      <c r="M518" s="404"/>
      <c r="T518" s="60"/>
      <c r="U518" s="60"/>
    </row>
    <row r="519" spans="1:21" s="59" customFormat="1" ht="13.5" customHeight="1">
      <c r="A519" s="52"/>
      <c r="B519" s="406"/>
      <c r="C519" s="283" t="s">
        <v>131</v>
      </c>
      <c r="D519" s="284"/>
      <c r="E519" s="285"/>
      <c r="F519" s="175">
        <v>31.1</v>
      </c>
      <c r="G519" s="175">
        <f t="shared" si="51"/>
        <v>31.1</v>
      </c>
      <c r="H519" s="194" t="s">
        <v>68</v>
      </c>
      <c r="I519" s="175">
        <f t="shared" si="52"/>
        <v>15470.046000000002</v>
      </c>
      <c r="J519" s="175">
        <f t="shared" si="53"/>
        <v>4258.5339999999997</v>
      </c>
      <c r="K519" s="205"/>
      <c r="L519" s="403" t="s">
        <v>181</v>
      </c>
      <c r="M519" s="404"/>
      <c r="T519" s="60"/>
      <c r="U519" s="60"/>
    </row>
    <row r="520" spans="1:21" s="59" customFormat="1" ht="13.5" customHeight="1">
      <c r="A520" s="52"/>
      <c r="B520" s="406"/>
      <c r="C520" s="283" t="s">
        <v>131</v>
      </c>
      <c r="D520" s="284"/>
      <c r="E520" s="285"/>
      <c r="F520" s="175">
        <v>31.2</v>
      </c>
      <c r="G520" s="175">
        <f t="shared" si="51"/>
        <v>31.2</v>
      </c>
      <c r="H520" s="194" t="s">
        <v>68</v>
      </c>
      <c r="I520" s="175">
        <f t="shared" si="52"/>
        <v>15501.246000000003</v>
      </c>
      <c r="J520" s="175">
        <f t="shared" si="53"/>
        <v>4227.3339999999989</v>
      </c>
      <c r="K520" s="205"/>
      <c r="L520" s="403" t="s">
        <v>181</v>
      </c>
      <c r="M520" s="404"/>
      <c r="T520" s="60"/>
      <c r="U520" s="60"/>
    </row>
    <row r="521" spans="1:21" s="59" customFormat="1" ht="13.5" customHeight="1">
      <c r="A521" s="52"/>
      <c r="B521" s="401" t="s">
        <v>201</v>
      </c>
      <c r="C521" s="276" t="s">
        <v>131</v>
      </c>
      <c r="D521" s="277"/>
      <c r="E521" s="278"/>
      <c r="F521" s="279">
        <v>31.07</v>
      </c>
      <c r="G521" s="279">
        <f t="shared" si="51"/>
        <v>31.07</v>
      </c>
      <c r="H521" s="280" t="s">
        <v>68</v>
      </c>
      <c r="I521" s="279">
        <f t="shared" si="52"/>
        <v>15532.316000000003</v>
      </c>
      <c r="J521" s="279">
        <f t="shared" si="53"/>
        <v>4196.2639999999992</v>
      </c>
      <c r="K521" s="281"/>
      <c r="L521" s="403" t="s">
        <v>181</v>
      </c>
      <c r="M521" s="404"/>
      <c r="T521" s="60"/>
      <c r="U521" s="60"/>
    </row>
    <row r="522" spans="1:21" s="59" customFormat="1" ht="13.5" customHeight="1">
      <c r="A522" s="52"/>
      <c r="B522" s="402"/>
      <c r="C522" s="276" t="s">
        <v>131</v>
      </c>
      <c r="D522" s="277"/>
      <c r="E522" s="278"/>
      <c r="F522" s="279">
        <v>30.97</v>
      </c>
      <c r="G522" s="279">
        <f t="shared" si="51"/>
        <v>30.97</v>
      </c>
      <c r="H522" s="280" t="s">
        <v>68</v>
      </c>
      <c r="I522" s="279">
        <f t="shared" si="52"/>
        <v>15563.286000000002</v>
      </c>
      <c r="J522" s="279">
        <f t="shared" si="53"/>
        <v>4165.2939999999999</v>
      </c>
      <c r="K522" s="281"/>
      <c r="L522" s="403" t="s">
        <v>181</v>
      </c>
      <c r="M522" s="404"/>
      <c r="T522" s="60"/>
      <c r="U522" s="60"/>
    </row>
    <row r="523" spans="1:21" s="59" customFormat="1" ht="13.5" customHeight="1">
      <c r="A523" s="52"/>
      <c r="B523" s="402"/>
      <c r="C523" s="276" t="s">
        <v>131</v>
      </c>
      <c r="D523" s="277"/>
      <c r="E523" s="278"/>
      <c r="F523" s="279">
        <v>30.93</v>
      </c>
      <c r="G523" s="279">
        <f t="shared" si="51"/>
        <v>30.93</v>
      </c>
      <c r="H523" s="280" t="s">
        <v>68</v>
      </c>
      <c r="I523" s="279">
        <f t="shared" si="52"/>
        <v>15594.216000000002</v>
      </c>
      <c r="J523" s="279">
        <f t="shared" si="53"/>
        <v>4134.3639999999996</v>
      </c>
      <c r="K523" s="281"/>
      <c r="L523" s="403" t="s">
        <v>181</v>
      </c>
      <c r="M523" s="404"/>
      <c r="T523" s="60"/>
      <c r="U523" s="60"/>
    </row>
    <row r="524" spans="1:21" s="59" customFormat="1" ht="13.5" customHeight="1">
      <c r="A524" s="52"/>
      <c r="B524" s="405" t="s">
        <v>202</v>
      </c>
      <c r="C524" s="283" t="s">
        <v>131</v>
      </c>
      <c r="D524" s="284"/>
      <c r="E524" s="285"/>
      <c r="F524" s="175">
        <v>31.17</v>
      </c>
      <c r="G524" s="175">
        <f t="shared" si="51"/>
        <v>31.17</v>
      </c>
      <c r="H524" s="194" t="s">
        <v>68</v>
      </c>
      <c r="I524" s="175">
        <f t="shared" si="52"/>
        <v>15625.386000000002</v>
      </c>
      <c r="J524" s="175">
        <f t="shared" si="53"/>
        <v>4103.1939999999995</v>
      </c>
      <c r="K524" s="205"/>
      <c r="L524" s="403" t="s">
        <v>181</v>
      </c>
      <c r="M524" s="404"/>
      <c r="T524" s="60"/>
      <c r="U524" s="60"/>
    </row>
    <row r="525" spans="1:21" s="59" customFormat="1" ht="13.5" customHeight="1">
      <c r="A525" s="52"/>
      <c r="B525" s="406"/>
      <c r="C525" s="283" t="s">
        <v>131</v>
      </c>
      <c r="D525" s="284"/>
      <c r="E525" s="285"/>
      <c r="F525" s="175">
        <v>31.23</v>
      </c>
      <c r="G525" s="175">
        <f t="shared" ref="G525:G588" si="54">F525</f>
        <v>31.23</v>
      </c>
      <c r="H525" s="194" t="s">
        <v>68</v>
      </c>
      <c r="I525" s="175">
        <f t="shared" si="52"/>
        <v>15656.616000000002</v>
      </c>
      <c r="J525" s="175">
        <f t="shared" si="53"/>
        <v>4071.9639999999999</v>
      </c>
      <c r="K525" s="205"/>
      <c r="L525" s="403" t="s">
        <v>181</v>
      </c>
      <c r="M525" s="404"/>
      <c r="T525" s="60"/>
      <c r="U525" s="60"/>
    </row>
    <row r="526" spans="1:21" s="59" customFormat="1" ht="13.5" customHeight="1">
      <c r="A526" s="52"/>
      <c r="B526" s="406"/>
      <c r="C526" s="283" t="s">
        <v>131</v>
      </c>
      <c r="D526" s="284"/>
      <c r="E526" s="285"/>
      <c r="F526" s="175">
        <v>30.39</v>
      </c>
      <c r="G526" s="175">
        <f t="shared" si="54"/>
        <v>30.39</v>
      </c>
      <c r="H526" s="194" t="s">
        <v>68</v>
      </c>
      <c r="I526" s="175">
        <f t="shared" si="52"/>
        <v>15687.006000000001</v>
      </c>
      <c r="J526" s="175">
        <f t="shared" si="53"/>
        <v>4041.5740000000005</v>
      </c>
      <c r="K526" s="205"/>
      <c r="L526" s="403" t="s">
        <v>181</v>
      </c>
      <c r="M526" s="404"/>
      <c r="T526" s="60"/>
      <c r="U526" s="60"/>
    </row>
    <row r="527" spans="1:21" s="59" customFormat="1" ht="13.5" customHeight="1">
      <c r="A527" s="52"/>
      <c r="B527" s="401" t="s">
        <v>203</v>
      </c>
      <c r="C527" s="276" t="s">
        <v>131</v>
      </c>
      <c r="D527" s="277"/>
      <c r="E527" s="278"/>
      <c r="F527" s="279">
        <v>31.24</v>
      </c>
      <c r="G527" s="279">
        <f t="shared" si="54"/>
        <v>31.24</v>
      </c>
      <c r="H527" s="280" t="s">
        <v>68</v>
      </c>
      <c r="I527" s="279">
        <f t="shared" si="52"/>
        <v>15718.246000000001</v>
      </c>
      <c r="J527" s="279">
        <f t="shared" si="53"/>
        <v>4010.3340000000007</v>
      </c>
      <c r="K527" s="281"/>
      <c r="L527" s="403" t="s">
        <v>181</v>
      </c>
      <c r="M527" s="404"/>
      <c r="T527" s="60"/>
      <c r="U527" s="60"/>
    </row>
    <row r="528" spans="1:21" s="59" customFormat="1" ht="13.5" customHeight="1">
      <c r="A528" s="52"/>
      <c r="B528" s="402"/>
      <c r="C528" s="276" t="s">
        <v>131</v>
      </c>
      <c r="D528" s="277"/>
      <c r="E528" s="278"/>
      <c r="F528" s="279">
        <v>31.37</v>
      </c>
      <c r="G528" s="279">
        <f t="shared" si="54"/>
        <v>31.37</v>
      </c>
      <c r="H528" s="280" t="s">
        <v>68</v>
      </c>
      <c r="I528" s="279">
        <f t="shared" si="52"/>
        <v>15749.616000000002</v>
      </c>
      <c r="J528" s="279">
        <f t="shared" si="53"/>
        <v>3978.9639999999999</v>
      </c>
      <c r="K528" s="281"/>
      <c r="L528" s="403" t="s">
        <v>181</v>
      </c>
      <c r="M528" s="404"/>
      <c r="T528" s="60"/>
      <c r="U528" s="60"/>
    </row>
    <row r="529" spans="1:21" s="59" customFormat="1" ht="13.5" customHeight="1">
      <c r="A529" s="52"/>
      <c r="B529" s="402"/>
      <c r="C529" s="276" t="s">
        <v>131</v>
      </c>
      <c r="D529" s="277"/>
      <c r="E529" s="278"/>
      <c r="F529" s="279">
        <v>31.36</v>
      </c>
      <c r="G529" s="279">
        <f t="shared" si="54"/>
        <v>31.36</v>
      </c>
      <c r="H529" s="280" t="s">
        <v>68</v>
      </c>
      <c r="I529" s="279">
        <f t="shared" si="52"/>
        <v>15780.976000000002</v>
      </c>
      <c r="J529" s="279">
        <f t="shared" si="53"/>
        <v>3947.6039999999994</v>
      </c>
      <c r="K529" s="281"/>
      <c r="L529" s="403" t="s">
        <v>181</v>
      </c>
      <c r="M529" s="404"/>
      <c r="T529" s="60"/>
      <c r="U529" s="60"/>
    </row>
    <row r="530" spans="1:21" s="59" customFormat="1" ht="13.5" customHeight="1">
      <c r="A530" s="52"/>
      <c r="B530" s="405" t="s">
        <v>204</v>
      </c>
      <c r="C530" s="283" t="s">
        <v>131</v>
      </c>
      <c r="D530" s="284"/>
      <c r="E530" s="285"/>
      <c r="F530" s="175">
        <v>31.19</v>
      </c>
      <c r="G530" s="175">
        <f t="shared" si="54"/>
        <v>31.19</v>
      </c>
      <c r="H530" s="194" t="s">
        <v>68</v>
      </c>
      <c r="I530" s="175">
        <f t="shared" ref="I530:I593" si="55">IF(H530="IN",I529+G530,I529)</f>
        <v>15812.166000000003</v>
      </c>
      <c r="J530" s="175">
        <f t="shared" ref="J530:J593" si="56">IF(I530="","",$L$8-I530)</f>
        <v>3916.4139999999989</v>
      </c>
      <c r="K530" s="205"/>
      <c r="L530" s="403" t="s">
        <v>181</v>
      </c>
      <c r="M530" s="404"/>
      <c r="T530" s="60"/>
      <c r="U530" s="60"/>
    </row>
    <row r="531" spans="1:21" s="59" customFormat="1" ht="13.5" customHeight="1">
      <c r="A531" s="52"/>
      <c r="B531" s="406"/>
      <c r="C531" s="283" t="s">
        <v>131</v>
      </c>
      <c r="D531" s="284"/>
      <c r="E531" s="285"/>
      <c r="F531" s="175">
        <v>31.04</v>
      </c>
      <c r="G531" s="175">
        <f t="shared" si="54"/>
        <v>31.04</v>
      </c>
      <c r="H531" s="194" t="s">
        <v>68</v>
      </c>
      <c r="I531" s="175">
        <f t="shared" si="55"/>
        <v>15843.206000000004</v>
      </c>
      <c r="J531" s="175">
        <f t="shared" si="56"/>
        <v>3885.373999999998</v>
      </c>
      <c r="K531" s="205"/>
      <c r="L531" s="403" t="s">
        <v>181</v>
      </c>
      <c r="M531" s="404"/>
      <c r="T531" s="60"/>
      <c r="U531" s="60"/>
    </row>
    <row r="532" spans="1:21" s="59" customFormat="1" ht="13.5" customHeight="1">
      <c r="A532" s="52"/>
      <c r="B532" s="406"/>
      <c r="C532" s="283" t="s">
        <v>131</v>
      </c>
      <c r="D532" s="284"/>
      <c r="E532" s="285"/>
      <c r="F532" s="175">
        <v>31</v>
      </c>
      <c r="G532" s="175">
        <f t="shared" si="54"/>
        <v>31</v>
      </c>
      <c r="H532" s="194" t="s">
        <v>68</v>
      </c>
      <c r="I532" s="175">
        <f t="shared" si="55"/>
        <v>15874.206000000004</v>
      </c>
      <c r="J532" s="175">
        <f t="shared" si="56"/>
        <v>3854.373999999998</v>
      </c>
      <c r="K532" s="205"/>
      <c r="L532" s="403" t="s">
        <v>181</v>
      </c>
      <c r="M532" s="404"/>
      <c r="T532" s="60"/>
      <c r="U532" s="60"/>
    </row>
    <row r="533" spans="1:21" s="59" customFormat="1" ht="13.5" customHeight="1">
      <c r="A533" s="52"/>
      <c r="B533" s="401" t="s">
        <v>205</v>
      </c>
      <c r="C533" s="276" t="s">
        <v>131</v>
      </c>
      <c r="D533" s="277"/>
      <c r="E533" s="278"/>
      <c r="F533" s="279">
        <v>31.15</v>
      </c>
      <c r="G533" s="279">
        <f t="shared" si="54"/>
        <v>31.15</v>
      </c>
      <c r="H533" s="280" t="s">
        <v>68</v>
      </c>
      <c r="I533" s="279">
        <f t="shared" si="55"/>
        <v>15905.356000000003</v>
      </c>
      <c r="J533" s="279">
        <f t="shared" si="56"/>
        <v>3823.2239999999983</v>
      </c>
      <c r="K533" s="281"/>
      <c r="L533" s="403" t="s">
        <v>181</v>
      </c>
      <c r="M533" s="404"/>
      <c r="T533" s="60"/>
      <c r="U533" s="60"/>
    </row>
    <row r="534" spans="1:21" s="59" customFormat="1" ht="13.5" customHeight="1">
      <c r="A534" s="52"/>
      <c r="B534" s="402"/>
      <c r="C534" s="276" t="s">
        <v>131</v>
      </c>
      <c r="D534" s="277"/>
      <c r="E534" s="278"/>
      <c r="F534" s="279">
        <v>31.1</v>
      </c>
      <c r="G534" s="279">
        <f t="shared" si="54"/>
        <v>31.1</v>
      </c>
      <c r="H534" s="280" t="s">
        <v>68</v>
      </c>
      <c r="I534" s="279">
        <f t="shared" si="55"/>
        <v>15936.456000000004</v>
      </c>
      <c r="J534" s="279">
        <f t="shared" si="56"/>
        <v>3792.123999999998</v>
      </c>
      <c r="K534" s="281"/>
      <c r="L534" s="403" t="s">
        <v>181</v>
      </c>
      <c r="M534" s="404"/>
      <c r="T534" s="60"/>
      <c r="U534" s="60"/>
    </row>
    <row r="535" spans="1:21" s="59" customFormat="1" ht="13.5" customHeight="1">
      <c r="A535" s="52"/>
      <c r="B535" s="402"/>
      <c r="C535" s="276" t="s">
        <v>131</v>
      </c>
      <c r="D535" s="277"/>
      <c r="E535" s="278"/>
      <c r="F535" s="279">
        <v>31.03</v>
      </c>
      <c r="G535" s="279">
        <f t="shared" si="54"/>
        <v>31.03</v>
      </c>
      <c r="H535" s="280" t="s">
        <v>68</v>
      </c>
      <c r="I535" s="279">
        <f t="shared" si="55"/>
        <v>15967.486000000004</v>
      </c>
      <c r="J535" s="279">
        <f t="shared" si="56"/>
        <v>3761.0939999999973</v>
      </c>
      <c r="K535" s="281"/>
      <c r="L535" s="403" t="s">
        <v>181</v>
      </c>
      <c r="M535" s="404"/>
      <c r="T535" s="60"/>
      <c r="U535" s="60"/>
    </row>
    <row r="536" spans="1:21" s="59" customFormat="1" ht="13.5" customHeight="1">
      <c r="A536" s="52"/>
      <c r="B536" s="405" t="s">
        <v>206</v>
      </c>
      <c r="C536" s="283" t="s">
        <v>131</v>
      </c>
      <c r="D536" s="284"/>
      <c r="E536" s="285"/>
      <c r="F536" s="175">
        <v>31.43</v>
      </c>
      <c r="G536" s="175">
        <f t="shared" si="54"/>
        <v>31.43</v>
      </c>
      <c r="H536" s="194" t="s">
        <v>68</v>
      </c>
      <c r="I536" s="175">
        <f t="shared" si="55"/>
        <v>15998.916000000005</v>
      </c>
      <c r="J536" s="175">
        <f t="shared" si="56"/>
        <v>3729.663999999997</v>
      </c>
      <c r="K536" s="205"/>
      <c r="L536" s="403" t="s">
        <v>181</v>
      </c>
      <c r="M536" s="404"/>
      <c r="T536" s="60"/>
      <c r="U536" s="60"/>
    </row>
    <row r="537" spans="1:21" s="59" customFormat="1" ht="13.5" customHeight="1">
      <c r="A537" s="52"/>
      <c r="B537" s="406"/>
      <c r="C537" s="283" t="s">
        <v>131</v>
      </c>
      <c r="D537" s="284"/>
      <c r="E537" s="285"/>
      <c r="F537" s="175">
        <v>30.98</v>
      </c>
      <c r="G537" s="175">
        <f t="shared" si="54"/>
        <v>30.98</v>
      </c>
      <c r="H537" s="194" t="s">
        <v>68</v>
      </c>
      <c r="I537" s="175">
        <f t="shared" si="55"/>
        <v>16029.896000000004</v>
      </c>
      <c r="J537" s="175">
        <f t="shared" si="56"/>
        <v>3698.6839999999975</v>
      </c>
      <c r="K537" s="205"/>
      <c r="L537" s="403" t="s">
        <v>181</v>
      </c>
      <c r="M537" s="404"/>
      <c r="T537" s="60"/>
      <c r="U537" s="60"/>
    </row>
    <row r="538" spans="1:21" s="59" customFormat="1" ht="13.5" customHeight="1">
      <c r="A538" s="52"/>
      <c r="B538" s="406"/>
      <c r="C538" s="283" t="s">
        <v>131</v>
      </c>
      <c r="D538" s="284"/>
      <c r="E538" s="285"/>
      <c r="F538" s="175">
        <v>31.03</v>
      </c>
      <c r="G538" s="175">
        <f t="shared" si="54"/>
        <v>31.03</v>
      </c>
      <c r="H538" s="194" t="s">
        <v>68</v>
      </c>
      <c r="I538" s="175">
        <f t="shared" si="55"/>
        <v>16060.926000000005</v>
      </c>
      <c r="J538" s="175">
        <f t="shared" si="56"/>
        <v>3667.6539999999968</v>
      </c>
      <c r="K538" s="205"/>
      <c r="L538" s="403" t="s">
        <v>181</v>
      </c>
      <c r="M538" s="404"/>
      <c r="T538" s="60"/>
      <c r="U538" s="60"/>
    </row>
    <row r="539" spans="1:21" s="59" customFormat="1" ht="13.5" customHeight="1">
      <c r="A539" s="52"/>
      <c r="B539" s="401" t="s">
        <v>207</v>
      </c>
      <c r="C539" s="276" t="s">
        <v>131</v>
      </c>
      <c r="D539" s="277"/>
      <c r="E539" s="278"/>
      <c r="F539" s="279">
        <v>30.67</v>
      </c>
      <c r="G539" s="279">
        <f t="shared" si="54"/>
        <v>30.67</v>
      </c>
      <c r="H539" s="280" t="s">
        <v>68</v>
      </c>
      <c r="I539" s="279">
        <f t="shared" si="55"/>
        <v>16091.596000000005</v>
      </c>
      <c r="J539" s="279">
        <f t="shared" si="56"/>
        <v>3636.9839999999967</v>
      </c>
      <c r="K539" s="281"/>
      <c r="L539" s="403" t="s">
        <v>181</v>
      </c>
      <c r="M539" s="404"/>
      <c r="T539" s="60"/>
      <c r="U539" s="60"/>
    </row>
    <row r="540" spans="1:21" s="59" customFormat="1" ht="13.5" customHeight="1">
      <c r="A540" s="52"/>
      <c r="B540" s="402"/>
      <c r="C540" s="276" t="s">
        <v>131</v>
      </c>
      <c r="D540" s="277"/>
      <c r="E540" s="278"/>
      <c r="F540" s="279">
        <v>31.21</v>
      </c>
      <c r="G540" s="279">
        <f t="shared" si="54"/>
        <v>31.21</v>
      </c>
      <c r="H540" s="280" t="s">
        <v>68</v>
      </c>
      <c r="I540" s="279">
        <f t="shared" si="55"/>
        <v>16122.806000000004</v>
      </c>
      <c r="J540" s="279">
        <f t="shared" si="56"/>
        <v>3605.7739999999976</v>
      </c>
      <c r="K540" s="281"/>
      <c r="L540" s="403" t="s">
        <v>181</v>
      </c>
      <c r="M540" s="404"/>
      <c r="T540" s="60"/>
      <c r="U540" s="60"/>
    </row>
    <row r="541" spans="1:21" s="59" customFormat="1" ht="13.5" customHeight="1">
      <c r="A541" s="52"/>
      <c r="B541" s="402"/>
      <c r="C541" s="276" t="s">
        <v>131</v>
      </c>
      <c r="D541" s="277"/>
      <c r="E541" s="278"/>
      <c r="F541" s="279">
        <v>30.78</v>
      </c>
      <c r="G541" s="279">
        <f t="shared" si="54"/>
        <v>30.78</v>
      </c>
      <c r="H541" s="280" t="s">
        <v>68</v>
      </c>
      <c r="I541" s="279">
        <f t="shared" si="55"/>
        <v>16153.586000000005</v>
      </c>
      <c r="J541" s="279">
        <f t="shared" si="56"/>
        <v>3574.993999999997</v>
      </c>
      <c r="K541" s="281"/>
      <c r="L541" s="403" t="s">
        <v>181</v>
      </c>
      <c r="M541" s="404"/>
      <c r="T541" s="60"/>
      <c r="U541" s="60"/>
    </row>
    <row r="542" spans="1:21" s="59" customFormat="1" ht="13.5" customHeight="1">
      <c r="A542" s="52"/>
      <c r="B542" s="405" t="s">
        <v>208</v>
      </c>
      <c r="C542" s="283" t="s">
        <v>131</v>
      </c>
      <c r="D542" s="284"/>
      <c r="E542" s="285"/>
      <c r="F542" s="175">
        <v>30.9</v>
      </c>
      <c r="G542" s="175">
        <f t="shared" si="54"/>
        <v>30.9</v>
      </c>
      <c r="H542" s="194" t="s">
        <v>68</v>
      </c>
      <c r="I542" s="175">
        <f t="shared" si="55"/>
        <v>16184.486000000004</v>
      </c>
      <c r="J542" s="175">
        <f t="shared" si="56"/>
        <v>3544.0939999999973</v>
      </c>
      <c r="K542" s="205"/>
      <c r="L542" s="403" t="s">
        <v>181</v>
      </c>
      <c r="M542" s="404"/>
      <c r="T542" s="60"/>
      <c r="U542" s="60"/>
    </row>
    <row r="543" spans="1:21" s="59" customFormat="1" ht="13.5" customHeight="1">
      <c r="A543" s="52"/>
      <c r="B543" s="406"/>
      <c r="C543" s="283" t="s">
        <v>131</v>
      </c>
      <c r="D543" s="284"/>
      <c r="E543" s="285"/>
      <c r="F543" s="175">
        <v>31.22</v>
      </c>
      <c r="G543" s="175">
        <f t="shared" si="54"/>
        <v>31.22</v>
      </c>
      <c r="H543" s="194" t="s">
        <v>68</v>
      </c>
      <c r="I543" s="175">
        <f t="shared" si="55"/>
        <v>16215.706000000004</v>
      </c>
      <c r="J543" s="175">
        <f t="shared" si="56"/>
        <v>3512.873999999998</v>
      </c>
      <c r="K543" s="205"/>
      <c r="L543" s="403" t="s">
        <v>181</v>
      </c>
      <c r="M543" s="404"/>
      <c r="T543" s="60"/>
      <c r="U543" s="60"/>
    </row>
    <row r="544" spans="1:21" s="59" customFormat="1" ht="13.5" customHeight="1">
      <c r="A544" s="52"/>
      <c r="B544" s="406"/>
      <c r="C544" s="283" t="s">
        <v>131</v>
      </c>
      <c r="D544" s="284"/>
      <c r="E544" s="285"/>
      <c r="F544" s="175">
        <v>31.09</v>
      </c>
      <c r="G544" s="175">
        <f t="shared" si="54"/>
        <v>31.09</v>
      </c>
      <c r="H544" s="194" t="s">
        <v>68</v>
      </c>
      <c r="I544" s="175">
        <f t="shared" si="55"/>
        <v>16246.796000000004</v>
      </c>
      <c r="J544" s="175">
        <f t="shared" si="56"/>
        <v>3481.7839999999978</v>
      </c>
      <c r="K544" s="205"/>
      <c r="L544" s="403" t="s">
        <v>181</v>
      </c>
      <c r="M544" s="404"/>
      <c r="T544" s="60"/>
      <c r="U544" s="60"/>
    </row>
    <row r="545" spans="1:21" s="59" customFormat="1" ht="13.5" customHeight="1">
      <c r="A545" s="52"/>
      <c r="B545" s="401" t="s">
        <v>209</v>
      </c>
      <c r="C545" s="276" t="s">
        <v>131</v>
      </c>
      <c r="D545" s="277"/>
      <c r="E545" s="278"/>
      <c r="F545" s="279">
        <v>31.1</v>
      </c>
      <c r="G545" s="279">
        <f t="shared" si="54"/>
        <v>31.1</v>
      </c>
      <c r="H545" s="280" t="s">
        <v>68</v>
      </c>
      <c r="I545" s="279">
        <f t="shared" si="55"/>
        <v>16277.896000000004</v>
      </c>
      <c r="J545" s="279">
        <f t="shared" si="56"/>
        <v>3450.6839999999975</v>
      </c>
      <c r="K545" s="281"/>
      <c r="L545" s="403" t="s">
        <v>181</v>
      </c>
      <c r="M545" s="404"/>
      <c r="T545" s="60"/>
      <c r="U545" s="60"/>
    </row>
    <row r="546" spans="1:21" s="59" customFormat="1" ht="13.5" customHeight="1">
      <c r="A546" s="52"/>
      <c r="B546" s="402"/>
      <c r="C546" s="276" t="s">
        <v>131</v>
      </c>
      <c r="D546" s="277"/>
      <c r="E546" s="278"/>
      <c r="F546" s="279">
        <v>31.18</v>
      </c>
      <c r="G546" s="279">
        <f t="shared" si="54"/>
        <v>31.18</v>
      </c>
      <c r="H546" s="280" t="s">
        <v>68</v>
      </c>
      <c r="I546" s="279">
        <f t="shared" si="55"/>
        <v>16309.076000000005</v>
      </c>
      <c r="J546" s="279">
        <f t="shared" si="56"/>
        <v>3419.5039999999972</v>
      </c>
      <c r="K546" s="281"/>
      <c r="L546" s="403" t="s">
        <v>181</v>
      </c>
      <c r="M546" s="404"/>
      <c r="T546" s="60"/>
      <c r="U546" s="60"/>
    </row>
    <row r="547" spans="1:21" s="59" customFormat="1" ht="13.5" customHeight="1">
      <c r="A547" s="52"/>
      <c r="B547" s="402"/>
      <c r="C547" s="276" t="s">
        <v>131</v>
      </c>
      <c r="D547" s="277"/>
      <c r="E547" s="278"/>
      <c r="F547" s="279">
        <v>31.07</v>
      </c>
      <c r="G547" s="279">
        <f t="shared" si="54"/>
        <v>31.07</v>
      </c>
      <c r="H547" s="280" t="s">
        <v>68</v>
      </c>
      <c r="I547" s="279">
        <f t="shared" si="55"/>
        <v>16340.146000000004</v>
      </c>
      <c r="J547" s="279">
        <f t="shared" si="56"/>
        <v>3388.4339999999975</v>
      </c>
      <c r="K547" s="281"/>
      <c r="L547" s="403" t="s">
        <v>181</v>
      </c>
      <c r="M547" s="404"/>
      <c r="T547" s="60"/>
      <c r="U547" s="60"/>
    </row>
    <row r="548" spans="1:21" s="59" customFormat="1" ht="13.5" customHeight="1">
      <c r="A548" s="52"/>
      <c r="B548" s="405" t="s">
        <v>210</v>
      </c>
      <c r="C548" s="283" t="s">
        <v>131</v>
      </c>
      <c r="D548" s="284"/>
      <c r="E548" s="285"/>
      <c r="F548" s="175">
        <v>31.16</v>
      </c>
      <c r="G548" s="175">
        <f t="shared" si="54"/>
        <v>31.16</v>
      </c>
      <c r="H548" s="194" t="s">
        <v>68</v>
      </c>
      <c r="I548" s="175">
        <f t="shared" si="55"/>
        <v>16371.306000000004</v>
      </c>
      <c r="J548" s="175">
        <f t="shared" si="56"/>
        <v>3357.2739999999976</v>
      </c>
      <c r="K548" s="205"/>
      <c r="L548" s="403" t="s">
        <v>181</v>
      </c>
      <c r="M548" s="404"/>
      <c r="T548" s="60"/>
      <c r="U548" s="60"/>
    </row>
    <row r="549" spans="1:21" s="59" customFormat="1" ht="13.5" customHeight="1">
      <c r="A549" s="52"/>
      <c r="B549" s="406"/>
      <c r="C549" s="283" t="s">
        <v>131</v>
      </c>
      <c r="D549" s="284"/>
      <c r="E549" s="285"/>
      <c r="F549" s="175">
        <v>31.23</v>
      </c>
      <c r="G549" s="175">
        <f t="shared" si="54"/>
        <v>31.23</v>
      </c>
      <c r="H549" s="194" t="s">
        <v>68</v>
      </c>
      <c r="I549" s="175">
        <f t="shared" si="55"/>
        <v>16402.536000000004</v>
      </c>
      <c r="J549" s="175">
        <f t="shared" si="56"/>
        <v>3326.0439999999981</v>
      </c>
      <c r="K549" s="205"/>
      <c r="L549" s="403" t="s">
        <v>181</v>
      </c>
      <c r="M549" s="404"/>
      <c r="T549" s="60"/>
      <c r="U549" s="60"/>
    </row>
    <row r="550" spans="1:21" s="59" customFormat="1" ht="13.5" customHeight="1">
      <c r="A550" s="52"/>
      <c r="B550" s="406"/>
      <c r="C550" s="283" t="s">
        <v>131</v>
      </c>
      <c r="D550" s="284"/>
      <c r="E550" s="285"/>
      <c r="F550" s="175">
        <v>30.97</v>
      </c>
      <c r="G550" s="175">
        <f t="shared" si="54"/>
        <v>30.97</v>
      </c>
      <c r="H550" s="194" t="s">
        <v>68</v>
      </c>
      <c r="I550" s="175">
        <f t="shared" si="55"/>
        <v>16433.506000000005</v>
      </c>
      <c r="J550" s="175">
        <f t="shared" si="56"/>
        <v>3295.0739999999969</v>
      </c>
      <c r="K550" s="205"/>
      <c r="L550" s="403" t="s">
        <v>181</v>
      </c>
      <c r="M550" s="404"/>
      <c r="T550" s="60"/>
      <c r="U550" s="60"/>
    </row>
    <row r="551" spans="1:21" s="59" customFormat="1" ht="13.5" customHeight="1">
      <c r="A551" s="52"/>
      <c r="B551" s="401" t="s">
        <v>211</v>
      </c>
      <c r="C551" s="276" t="s">
        <v>131</v>
      </c>
      <c r="D551" s="277"/>
      <c r="E551" s="278"/>
      <c r="F551" s="279">
        <v>31.02</v>
      </c>
      <c r="G551" s="279">
        <f t="shared" si="54"/>
        <v>31.02</v>
      </c>
      <c r="H551" s="280" t="s">
        <v>68</v>
      </c>
      <c r="I551" s="279">
        <f t="shared" si="55"/>
        <v>16464.526000000005</v>
      </c>
      <c r="J551" s="279">
        <f t="shared" si="56"/>
        <v>3264.0539999999964</v>
      </c>
      <c r="K551" s="281"/>
      <c r="L551" s="403" t="s">
        <v>181</v>
      </c>
      <c r="M551" s="404"/>
      <c r="T551" s="60"/>
      <c r="U551" s="60"/>
    </row>
    <row r="552" spans="1:21" s="59" customFormat="1" ht="13.5" customHeight="1">
      <c r="A552" s="52"/>
      <c r="B552" s="402"/>
      <c r="C552" s="276" t="s">
        <v>131</v>
      </c>
      <c r="D552" s="277"/>
      <c r="E552" s="278"/>
      <c r="F552" s="279">
        <v>31.12</v>
      </c>
      <c r="G552" s="279">
        <f t="shared" si="54"/>
        <v>31.12</v>
      </c>
      <c r="H552" s="280" t="s">
        <v>68</v>
      </c>
      <c r="I552" s="279">
        <f t="shared" si="55"/>
        <v>16495.646000000004</v>
      </c>
      <c r="J552" s="279">
        <f t="shared" si="56"/>
        <v>3232.9339999999975</v>
      </c>
      <c r="K552" s="281"/>
      <c r="L552" s="403" t="s">
        <v>181</v>
      </c>
      <c r="M552" s="404"/>
      <c r="T552" s="60"/>
      <c r="U552" s="60"/>
    </row>
    <row r="553" spans="1:21" s="59" customFormat="1" ht="13.5" customHeight="1">
      <c r="A553" s="52"/>
      <c r="B553" s="407"/>
      <c r="C553" s="276" t="s">
        <v>131</v>
      </c>
      <c r="D553" s="277"/>
      <c r="E553" s="278"/>
      <c r="F553" s="279">
        <v>31.07</v>
      </c>
      <c r="G553" s="279">
        <f t="shared" si="54"/>
        <v>31.07</v>
      </c>
      <c r="H553" s="280" t="s">
        <v>68</v>
      </c>
      <c r="I553" s="279">
        <f t="shared" si="55"/>
        <v>16526.716000000004</v>
      </c>
      <c r="J553" s="279">
        <f t="shared" si="56"/>
        <v>3201.8639999999978</v>
      </c>
      <c r="K553" s="281"/>
      <c r="L553" s="403" t="s">
        <v>181</v>
      </c>
      <c r="M553" s="404"/>
      <c r="T553" s="60"/>
      <c r="U553" s="60"/>
    </row>
    <row r="554" spans="1:21" s="59" customFormat="1" ht="13.5" customHeight="1">
      <c r="A554" s="52"/>
      <c r="B554" s="405" t="s">
        <v>212</v>
      </c>
      <c r="C554" s="293" t="s">
        <v>131</v>
      </c>
      <c r="D554" s="296"/>
      <c r="E554" s="272"/>
      <c r="F554" s="176">
        <v>31.12</v>
      </c>
      <c r="G554" s="176">
        <f t="shared" si="54"/>
        <v>31.12</v>
      </c>
      <c r="H554" s="294" t="s">
        <v>68</v>
      </c>
      <c r="I554" s="176">
        <f t="shared" si="55"/>
        <v>16557.836000000003</v>
      </c>
      <c r="J554" s="176">
        <f t="shared" si="56"/>
        <v>3170.7439999999988</v>
      </c>
      <c r="K554" s="177"/>
      <c r="L554" s="403" t="s">
        <v>181</v>
      </c>
      <c r="M554" s="404"/>
      <c r="T554" s="60"/>
      <c r="U554" s="60"/>
    </row>
    <row r="555" spans="1:21" s="59" customFormat="1" ht="13.5" customHeight="1">
      <c r="A555" s="52"/>
      <c r="B555" s="406"/>
      <c r="C555" s="293" t="s">
        <v>131</v>
      </c>
      <c r="D555" s="296"/>
      <c r="E555" s="272"/>
      <c r="F555" s="176">
        <v>30.97</v>
      </c>
      <c r="G555" s="176">
        <f t="shared" si="54"/>
        <v>30.97</v>
      </c>
      <c r="H555" s="294" t="s">
        <v>68</v>
      </c>
      <c r="I555" s="176">
        <f t="shared" si="55"/>
        <v>16588.806000000004</v>
      </c>
      <c r="J555" s="176">
        <f t="shared" si="56"/>
        <v>3139.7739999999976</v>
      </c>
      <c r="K555" s="177"/>
      <c r="L555" s="403" t="s">
        <v>181</v>
      </c>
      <c r="M555" s="404"/>
      <c r="T555" s="60"/>
      <c r="U555" s="60"/>
    </row>
    <row r="556" spans="1:21" s="59" customFormat="1" ht="13.5" customHeight="1">
      <c r="A556" s="52"/>
      <c r="B556" s="406"/>
      <c r="C556" s="293" t="s">
        <v>131</v>
      </c>
      <c r="D556" s="296"/>
      <c r="E556" s="272"/>
      <c r="F556" s="176">
        <v>30.97</v>
      </c>
      <c r="G556" s="176">
        <f t="shared" si="54"/>
        <v>30.97</v>
      </c>
      <c r="H556" s="294" t="s">
        <v>68</v>
      </c>
      <c r="I556" s="176">
        <f t="shared" si="55"/>
        <v>16619.776000000005</v>
      </c>
      <c r="J556" s="176">
        <f t="shared" si="56"/>
        <v>3108.8039999999964</v>
      </c>
      <c r="K556" s="177"/>
      <c r="L556" s="403" t="s">
        <v>181</v>
      </c>
      <c r="M556" s="404"/>
      <c r="T556" s="60"/>
      <c r="U556" s="60"/>
    </row>
    <row r="557" spans="1:21" s="59" customFormat="1" ht="13.5" customHeight="1">
      <c r="A557" s="52"/>
      <c r="B557" s="401" t="s">
        <v>213</v>
      </c>
      <c r="C557" s="276" t="s">
        <v>131</v>
      </c>
      <c r="D557" s="277"/>
      <c r="E557" s="278"/>
      <c r="F557" s="279">
        <v>31.42</v>
      </c>
      <c r="G557" s="279">
        <f t="shared" si="54"/>
        <v>31.42</v>
      </c>
      <c r="H557" s="280" t="s">
        <v>68</v>
      </c>
      <c r="I557" s="279">
        <f t="shared" si="55"/>
        <v>16651.196000000004</v>
      </c>
      <c r="J557" s="279">
        <f t="shared" si="56"/>
        <v>3077.3839999999982</v>
      </c>
      <c r="K557" s="281"/>
      <c r="L557" s="403" t="s">
        <v>181</v>
      </c>
      <c r="M557" s="404"/>
      <c r="T557" s="60"/>
      <c r="U557" s="60"/>
    </row>
    <row r="558" spans="1:21" s="59" customFormat="1" ht="13.5" customHeight="1">
      <c r="A558" s="52"/>
      <c r="B558" s="402"/>
      <c r="C558" s="276" t="s">
        <v>131</v>
      </c>
      <c r="D558" s="277"/>
      <c r="E558" s="278"/>
      <c r="F558" s="279">
        <v>31.05</v>
      </c>
      <c r="G558" s="279">
        <f t="shared" si="54"/>
        <v>31.05</v>
      </c>
      <c r="H558" s="280" t="s">
        <v>68</v>
      </c>
      <c r="I558" s="279">
        <f t="shared" si="55"/>
        <v>16682.246000000003</v>
      </c>
      <c r="J558" s="279">
        <f t="shared" si="56"/>
        <v>3046.3339999999989</v>
      </c>
      <c r="K558" s="281"/>
      <c r="L558" s="403" t="s">
        <v>181</v>
      </c>
      <c r="M558" s="404"/>
      <c r="T558" s="60"/>
      <c r="U558" s="60"/>
    </row>
    <row r="559" spans="1:21" s="59" customFormat="1" ht="13.5" customHeight="1">
      <c r="A559" s="52"/>
      <c r="B559" s="407"/>
      <c r="C559" s="276" t="s">
        <v>131</v>
      </c>
      <c r="D559" s="277"/>
      <c r="E559" s="278"/>
      <c r="F559" s="279">
        <v>31.42</v>
      </c>
      <c r="G559" s="279">
        <f t="shared" si="54"/>
        <v>31.42</v>
      </c>
      <c r="H559" s="280" t="s">
        <v>68</v>
      </c>
      <c r="I559" s="279">
        <f t="shared" si="55"/>
        <v>16713.666000000001</v>
      </c>
      <c r="J559" s="279">
        <f t="shared" si="56"/>
        <v>3014.9140000000007</v>
      </c>
      <c r="K559" s="281"/>
      <c r="L559" s="403" t="s">
        <v>181</v>
      </c>
      <c r="M559" s="404"/>
      <c r="T559" s="60"/>
      <c r="U559" s="60"/>
    </row>
    <row r="560" spans="1:21" s="59" customFormat="1" ht="13.5" customHeight="1">
      <c r="A560" s="52"/>
      <c r="B560" s="405" t="s">
        <v>214</v>
      </c>
      <c r="C560" s="293" t="s">
        <v>131</v>
      </c>
      <c r="D560" s="296"/>
      <c r="E560" s="272"/>
      <c r="F560" s="176">
        <v>31.15</v>
      </c>
      <c r="G560" s="176">
        <f t="shared" si="54"/>
        <v>31.15</v>
      </c>
      <c r="H560" s="294" t="s">
        <v>68</v>
      </c>
      <c r="I560" s="176">
        <f t="shared" si="55"/>
        <v>16744.816000000003</v>
      </c>
      <c r="J560" s="176">
        <f t="shared" si="56"/>
        <v>2983.7639999999992</v>
      </c>
      <c r="K560" s="177"/>
      <c r="L560" s="403" t="s">
        <v>181</v>
      </c>
      <c r="M560" s="404"/>
      <c r="T560" s="60"/>
      <c r="U560" s="60"/>
    </row>
    <row r="561" spans="1:21" s="59" customFormat="1" ht="13.5" customHeight="1">
      <c r="A561" s="52"/>
      <c r="B561" s="406"/>
      <c r="C561" s="293" t="s">
        <v>131</v>
      </c>
      <c r="D561" s="296"/>
      <c r="E561" s="272"/>
      <c r="F561" s="176">
        <v>30.88</v>
      </c>
      <c r="G561" s="176">
        <f t="shared" si="54"/>
        <v>30.88</v>
      </c>
      <c r="H561" s="294" t="s">
        <v>68</v>
      </c>
      <c r="I561" s="176">
        <f t="shared" si="55"/>
        <v>16775.696000000004</v>
      </c>
      <c r="J561" s="176">
        <f t="shared" si="56"/>
        <v>2952.8839999999982</v>
      </c>
      <c r="K561" s="177"/>
      <c r="L561" s="403" t="s">
        <v>181</v>
      </c>
      <c r="M561" s="404"/>
      <c r="T561" s="60"/>
      <c r="U561" s="60"/>
    </row>
    <row r="562" spans="1:21" s="59" customFormat="1" ht="13.5" customHeight="1">
      <c r="A562" s="52"/>
      <c r="B562" s="406"/>
      <c r="C562" s="293" t="s">
        <v>131</v>
      </c>
      <c r="D562" s="296"/>
      <c r="E562" s="272"/>
      <c r="F562" s="176">
        <v>30.84</v>
      </c>
      <c r="G562" s="176">
        <f t="shared" si="54"/>
        <v>30.84</v>
      </c>
      <c r="H562" s="294" t="s">
        <v>68</v>
      </c>
      <c r="I562" s="176">
        <f t="shared" si="55"/>
        <v>16806.536000000004</v>
      </c>
      <c r="J562" s="176">
        <f t="shared" si="56"/>
        <v>2922.0439999999981</v>
      </c>
      <c r="K562" s="177"/>
      <c r="L562" s="403" t="s">
        <v>181</v>
      </c>
      <c r="M562" s="404"/>
      <c r="T562" s="60"/>
      <c r="U562" s="60"/>
    </row>
    <row r="563" spans="1:21" s="59" customFormat="1" ht="13.5" customHeight="1">
      <c r="A563" s="52"/>
      <c r="B563" s="401" t="s">
        <v>215</v>
      </c>
      <c r="C563" s="276" t="s">
        <v>131</v>
      </c>
      <c r="D563" s="277"/>
      <c r="E563" s="278"/>
      <c r="F563" s="279">
        <v>31.21</v>
      </c>
      <c r="G563" s="279">
        <f t="shared" si="54"/>
        <v>31.21</v>
      </c>
      <c r="H563" s="280" t="s">
        <v>68</v>
      </c>
      <c r="I563" s="279">
        <f t="shared" si="55"/>
        <v>16837.746000000003</v>
      </c>
      <c r="J563" s="279">
        <f t="shared" si="56"/>
        <v>2890.8339999999989</v>
      </c>
      <c r="K563" s="281"/>
      <c r="L563" s="403" t="s">
        <v>181</v>
      </c>
      <c r="M563" s="404"/>
      <c r="T563" s="60"/>
      <c r="U563" s="60"/>
    </row>
    <row r="564" spans="1:21" s="59" customFormat="1" ht="13.5" customHeight="1">
      <c r="A564" s="52"/>
      <c r="B564" s="402"/>
      <c r="C564" s="276" t="s">
        <v>131</v>
      </c>
      <c r="D564" s="277"/>
      <c r="E564" s="278"/>
      <c r="F564" s="279">
        <v>31.13</v>
      </c>
      <c r="G564" s="279">
        <f t="shared" si="54"/>
        <v>31.13</v>
      </c>
      <c r="H564" s="280" t="s">
        <v>68</v>
      </c>
      <c r="I564" s="279">
        <f t="shared" si="55"/>
        <v>16868.876000000004</v>
      </c>
      <c r="J564" s="279">
        <f t="shared" si="56"/>
        <v>2859.7039999999979</v>
      </c>
      <c r="K564" s="281"/>
      <c r="L564" s="403" t="s">
        <v>181</v>
      </c>
      <c r="M564" s="404"/>
      <c r="T564" s="60"/>
      <c r="U564" s="60"/>
    </row>
    <row r="565" spans="1:21" s="59" customFormat="1" ht="13.5" customHeight="1">
      <c r="A565" s="52"/>
      <c r="B565" s="402"/>
      <c r="C565" s="276" t="s">
        <v>131</v>
      </c>
      <c r="D565" s="277"/>
      <c r="E565" s="278"/>
      <c r="F565" s="279">
        <v>31.17</v>
      </c>
      <c r="G565" s="279">
        <f t="shared" si="54"/>
        <v>31.17</v>
      </c>
      <c r="H565" s="280" t="s">
        <v>68</v>
      </c>
      <c r="I565" s="279">
        <f t="shared" si="55"/>
        <v>16900.046000000002</v>
      </c>
      <c r="J565" s="279">
        <f t="shared" si="56"/>
        <v>2828.5339999999997</v>
      </c>
      <c r="K565" s="281"/>
      <c r="L565" s="403" t="s">
        <v>181</v>
      </c>
      <c r="M565" s="404"/>
      <c r="T565" s="60"/>
      <c r="U565" s="60"/>
    </row>
    <row r="566" spans="1:21" s="59" customFormat="1" ht="13.5" customHeight="1">
      <c r="A566" s="52"/>
      <c r="B566" s="405" t="s">
        <v>216</v>
      </c>
      <c r="C566" s="293" t="s">
        <v>131</v>
      </c>
      <c r="D566" s="296"/>
      <c r="E566" s="272"/>
      <c r="F566" s="176">
        <v>30.95</v>
      </c>
      <c r="G566" s="176">
        <f t="shared" si="54"/>
        <v>30.95</v>
      </c>
      <c r="H566" s="294" t="s">
        <v>68</v>
      </c>
      <c r="I566" s="176">
        <f t="shared" si="55"/>
        <v>16930.996000000003</v>
      </c>
      <c r="J566" s="176">
        <f t="shared" si="56"/>
        <v>2797.5839999999989</v>
      </c>
      <c r="K566" s="177"/>
      <c r="L566" s="403" t="s">
        <v>181</v>
      </c>
      <c r="M566" s="404"/>
      <c r="T566" s="60"/>
      <c r="U566" s="60"/>
    </row>
    <row r="567" spans="1:21" s="59" customFormat="1" ht="13.5" customHeight="1">
      <c r="A567" s="52"/>
      <c r="B567" s="406"/>
      <c r="C567" s="293" t="s">
        <v>131</v>
      </c>
      <c r="D567" s="296"/>
      <c r="E567" s="272"/>
      <c r="F567" s="176">
        <v>31.2</v>
      </c>
      <c r="G567" s="176">
        <f t="shared" si="54"/>
        <v>31.2</v>
      </c>
      <c r="H567" s="294" t="s">
        <v>68</v>
      </c>
      <c r="I567" s="176">
        <f t="shared" si="55"/>
        <v>16962.196000000004</v>
      </c>
      <c r="J567" s="176">
        <f t="shared" si="56"/>
        <v>2766.3839999999982</v>
      </c>
      <c r="K567" s="177"/>
      <c r="L567" s="403" t="s">
        <v>181</v>
      </c>
      <c r="M567" s="404"/>
      <c r="T567" s="60"/>
      <c r="U567" s="60"/>
    </row>
    <row r="568" spans="1:21" s="59" customFormat="1" ht="13.5" customHeight="1">
      <c r="A568" s="52"/>
      <c r="B568" s="406"/>
      <c r="C568" s="293" t="s">
        <v>131</v>
      </c>
      <c r="D568" s="296"/>
      <c r="E568" s="272"/>
      <c r="F568" s="176">
        <v>31.24</v>
      </c>
      <c r="G568" s="176">
        <f t="shared" si="54"/>
        <v>31.24</v>
      </c>
      <c r="H568" s="294" t="s">
        <v>68</v>
      </c>
      <c r="I568" s="176">
        <f t="shared" si="55"/>
        <v>16993.436000000005</v>
      </c>
      <c r="J568" s="176">
        <f t="shared" si="56"/>
        <v>2735.1439999999966</v>
      </c>
      <c r="K568" s="177"/>
      <c r="L568" s="403" t="s">
        <v>181</v>
      </c>
      <c r="M568" s="404"/>
      <c r="T568" s="60"/>
      <c r="U568" s="60"/>
    </row>
    <row r="569" spans="1:21" s="59" customFormat="1" ht="13.5" customHeight="1">
      <c r="A569" s="52"/>
      <c r="B569" s="401" t="s">
        <v>217</v>
      </c>
      <c r="C569" s="276" t="s">
        <v>131</v>
      </c>
      <c r="D569" s="277"/>
      <c r="E569" s="278"/>
      <c r="F569" s="279">
        <v>31.06</v>
      </c>
      <c r="G569" s="279">
        <f t="shared" si="54"/>
        <v>31.06</v>
      </c>
      <c r="H569" s="280" t="s">
        <v>68</v>
      </c>
      <c r="I569" s="279">
        <f t="shared" si="55"/>
        <v>17024.496000000006</v>
      </c>
      <c r="J569" s="279">
        <f t="shared" si="56"/>
        <v>2704.0839999999953</v>
      </c>
      <c r="K569" s="281"/>
      <c r="L569" s="403" t="s">
        <v>181</v>
      </c>
      <c r="M569" s="404"/>
      <c r="T569" s="60"/>
      <c r="U569" s="60"/>
    </row>
    <row r="570" spans="1:21" s="59" customFormat="1" ht="13.5" customHeight="1">
      <c r="A570" s="52"/>
      <c r="B570" s="402"/>
      <c r="C570" s="276" t="s">
        <v>131</v>
      </c>
      <c r="D570" s="277"/>
      <c r="E570" s="278"/>
      <c r="F570" s="279">
        <v>31</v>
      </c>
      <c r="G570" s="279">
        <f t="shared" si="54"/>
        <v>31</v>
      </c>
      <c r="H570" s="280" t="s">
        <v>68</v>
      </c>
      <c r="I570" s="279">
        <f t="shared" si="55"/>
        <v>17055.496000000006</v>
      </c>
      <c r="J570" s="279">
        <f t="shared" si="56"/>
        <v>2673.0839999999953</v>
      </c>
      <c r="K570" s="281"/>
      <c r="L570" s="403" t="s">
        <v>181</v>
      </c>
      <c r="M570" s="404"/>
      <c r="T570" s="60"/>
      <c r="U570" s="60"/>
    </row>
    <row r="571" spans="1:21" s="59" customFormat="1" ht="13.5" customHeight="1">
      <c r="A571" s="52"/>
      <c r="B571" s="402"/>
      <c r="C571" s="276" t="s">
        <v>131</v>
      </c>
      <c r="D571" s="277"/>
      <c r="E571" s="278"/>
      <c r="F571" s="279">
        <v>31.26</v>
      </c>
      <c r="G571" s="279">
        <f t="shared" si="54"/>
        <v>31.26</v>
      </c>
      <c r="H571" s="280" t="s">
        <v>68</v>
      </c>
      <c r="I571" s="279">
        <f t="shared" si="55"/>
        <v>17086.756000000005</v>
      </c>
      <c r="J571" s="279">
        <f t="shared" si="56"/>
        <v>2641.8239999999969</v>
      </c>
      <c r="K571" s="281"/>
      <c r="L571" s="403" t="s">
        <v>181</v>
      </c>
      <c r="M571" s="404"/>
      <c r="T571" s="60"/>
      <c r="U571" s="60"/>
    </row>
    <row r="572" spans="1:21" s="59" customFormat="1" ht="13.5" customHeight="1">
      <c r="A572" s="52"/>
      <c r="B572" s="405" t="s">
        <v>218</v>
      </c>
      <c r="C572" s="293" t="s">
        <v>131</v>
      </c>
      <c r="D572" s="296"/>
      <c r="E572" s="272"/>
      <c r="F572" s="176">
        <v>31.4</v>
      </c>
      <c r="G572" s="176">
        <f t="shared" si="54"/>
        <v>31.4</v>
      </c>
      <c r="H572" s="294" t="s">
        <v>68</v>
      </c>
      <c r="I572" s="176">
        <f t="shared" si="55"/>
        <v>17118.156000000006</v>
      </c>
      <c r="J572" s="176">
        <f t="shared" si="56"/>
        <v>2610.4239999999954</v>
      </c>
      <c r="K572" s="177"/>
      <c r="L572" s="403" t="s">
        <v>181</v>
      </c>
      <c r="M572" s="404"/>
      <c r="T572" s="60"/>
      <c r="U572" s="60"/>
    </row>
    <row r="573" spans="1:21" s="59" customFormat="1" ht="13.5" customHeight="1">
      <c r="A573" s="52"/>
      <c r="B573" s="406"/>
      <c r="C573" s="293" t="s">
        <v>131</v>
      </c>
      <c r="D573" s="296"/>
      <c r="E573" s="272"/>
      <c r="F573" s="176">
        <v>30.86</v>
      </c>
      <c r="G573" s="176">
        <f t="shared" si="54"/>
        <v>30.86</v>
      </c>
      <c r="H573" s="294" t="s">
        <v>68</v>
      </c>
      <c r="I573" s="176">
        <f t="shared" si="55"/>
        <v>17149.016000000007</v>
      </c>
      <c r="J573" s="176">
        <f t="shared" si="56"/>
        <v>2579.5639999999948</v>
      </c>
      <c r="K573" s="177"/>
      <c r="L573" s="403" t="s">
        <v>181</v>
      </c>
      <c r="M573" s="404"/>
      <c r="T573" s="60"/>
      <c r="U573" s="60"/>
    </row>
    <row r="574" spans="1:21" s="59" customFormat="1" ht="13.5" customHeight="1">
      <c r="A574" s="52"/>
      <c r="B574" s="406"/>
      <c r="C574" s="293" t="s">
        <v>131</v>
      </c>
      <c r="D574" s="296"/>
      <c r="E574" s="272"/>
      <c r="F574" s="176">
        <v>31.21</v>
      </c>
      <c r="G574" s="176">
        <f t="shared" si="54"/>
        <v>31.21</v>
      </c>
      <c r="H574" s="294" t="s">
        <v>68</v>
      </c>
      <c r="I574" s="176">
        <f t="shared" si="55"/>
        <v>17180.226000000006</v>
      </c>
      <c r="J574" s="176">
        <f t="shared" si="56"/>
        <v>2548.3539999999957</v>
      </c>
      <c r="K574" s="177"/>
      <c r="L574" s="403" t="s">
        <v>181</v>
      </c>
      <c r="M574" s="404"/>
      <c r="T574" s="60"/>
      <c r="U574" s="60"/>
    </row>
    <row r="575" spans="1:21" s="59" customFormat="1" ht="13.5" customHeight="1">
      <c r="A575" s="52"/>
      <c r="B575" s="401" t="s">
        <v>219</v>
      </c>
      <c r="C575" s="276" t="s">
        <v>131</v>
      </c>
      <c r="D575" s="277"/>
      <c r="E575" s="278"/>
      <c r="F575" s="279">
        <v>31.16</v>
      </c>
      <c r="G575" s="279">
        <f t="shared" si="54"/>
        <v>31.16</v>
      </c>
      <c r="H575" s="280" t="s">
        <v>68</v>
      </c>
      <c r="I575" s="279">
        <f t="shared" si="55"/>
        <v>17211.386000000006</v>
      </c>
      <c r="J575" s="279">
        <f t="shared" si="56"/>
        <v>2517.1939999999959</v>
      </c>
      <c r="K575" s="281"/>
      <c r="L575" s="403" t="s">
        <v>181</v>
      </c>
      <c r="M575" s="404"/>
      <c r="T575" s="60"/>
      <c r="U575" s="60"/>
    </row>
    <row r="576" spans="1:21" s="59" customFormat="1" ht="13.5" customHeight="1">
      <c r="A576" s="52"/>
      <c r="B576" s="402"/>
      <c r="C576" s="276" t="s">
        <v>131</v>
      </c>
      <c r="D576" s="277"/>
      <c r="E576" s="278"/>
      <c r="F576" s="279">
        <v>31</v>
      </c>
      <c r="G576" s="279">
        <f t="shared" si="54"/>
        <v>31</v>
      </c>
      <c r="H576" s="280" t="s">
        <v>68</v>
      </c>
      <c r="I576" s="279">
        <f t="shared" si="55"/>
        <v>17242.386000000006</v>
      </c>
      <c r="J576" s="279">
        <f t="shared" si="56"/>
        <v>2486.1939999999959</v>
      </c>
      <c r="K576" s="281"/>
      <c r="L576" s="403" t="s">
        <v>181</v>
      </c>
      <c r="M576" s="404"/>
      <c r="T576" s="60"/>
      <c r="U576" s="60"/>
    </row>
    <row r="577" spans="1:21" s="59" customFormat="1" ht="13.5" customHeight="1">
      <c r="A577" s="52"/>
      <c r="B577" s="402"/>
      <c r="C577" s="276" t="s">
        <v>131</v>
      </c>
      <c r="D577" s="277"/>
      <c r="E577" s="278"/>
      <c r="F577" s="279">
        <v>31.19</v>
      </c>
      <c r="G577" s="279">
        <f t="shared" si="54"/>
        <v>31.19</v>
      </c>
      <c r="H577" s="280" t="s">
        <v>68</v>
      </c>
      <c r="I577" s="279">
        <f t="shared" si="55"/>
        <v>17273.576000000005</v>
      </c>
      <c r="J577" s="279">
        <f t="shared" si="56"/>
        <v>2455.0039999999972</v>
      </c>
      <c r="K577" s="281"/>
      <c r="L577" s="403" t="s">
        <v>181</v>
      </c>
      <c r="M577" s="404"/>
      <c r="T577" s="60"/>
      <c r="U577" s="60"/>
    </row>
    <row r="578" spans="1:21" s="59" customFormat="1" ht="13.5" customHeight="1">
      <c r="A578" s="52"/>
      <c r="B578" s="405" t="s">
        <v>220</v>
      </c>
      <c r="C578" s="293" t="s">
        <v>131</v>
      </c>
      <c r="D578" s="296"/>
      <c r="E578" s="272"/>
      <c r="F578" s="176">
        <v>31.2</v>
      </c>
      <c r="G578" s="176">
        <f t="shared" si="54"/>
        <v>31.2</v>
      </c>
      <c r="H578" s="294" t="s">
        <v>68</v>
      </c>
      <c r="I578" s="176">
        <f t="shared" si="55"/>
        <v>17304.776000000005</v>
      </c>
      <c r="J578" s="176">
        <f t="shared" si="56"/>
        <v>2423.8039999999964</v>
      </c>
      <c r="K578" s="177"/>
      <c r="L578" s="403" t="s">
        <v>181</v>
      </c>
      <c r="M578" s="404"/>
      <c r="T578" s="60"/>
      <c r="U578" s="60"/>
    </row>
    <row r="579" spans="1:21" s="59" customFormat="1" ht="13.5" customHeight="1">
      <c r="A579" s="52"/>
      <c r="B579" s="406"/>
      <c r="C579" s="293" t="s">
        <v>131</v>
      </c>
      <c r="D579" s="296"/>
      <c r="E579" s="272"/>
      <c r="F579" s="176">
        <v>31.34</v>
      </c>
      <c r="G579" s="176">
        <f t="shared" si="54"/>
        <v>31.34</v>
      </c>
      <c r="H579" s="294" t="s">
        <v>68</v>
      </c>
      <c r="I579" s="176">
        <f t="shared" si="55"/>
        <v>17336.116000000005</v>
      </c>
      <c r="J579" s="176">
        <f t="shared" si="56"/>
        <v>2392.4639999999963</v>
      </c>
      <c r="K579" s="177"/>
      <c r="L579" s="403" t="s">
        <v>181</v>
      </c>
      <c r="M579" s="404"/>
      <c r="T579" s="60"/>
      <c r="U579" s="60"/>
    </row>
    <row r="580" spans="1:21" s="59" customFormat="1" ht="13.5" customHeight="1">
      <c r="A580" s="52"/>
      <c r="B580" s="406"/>
      <c r="C580" s="293" t="s">
        <v>131</v>
      </c>
      <c r="D580" s="296"/>
      <c r="E580" s="272"/>
      <c r="F580" s="176">
        <v>30.9</v>
      </c>
      <c r="G580" s="176">
        <f t="shared" si="54"/>
        <v>30.9</v>
      </c>
      <c r="H580" s="294" t="s">
        <v>68</v>
      </c>
      <c r="I580" s="176">
        <f t="shared" si="55"/>
        <v>17367.016000000007</v>
      </c>
      <c r="J580" s="176">
        <f t="shared" si="56"/>
        <v>2361.5639999999948</v>
      </c>
      <c r="K580" s="177"/>
      <c r="L580" s="403" t="s">
        <v>181</v>
      </c>
      <c r="M580" s="404"/>
      <c r="T580" s="60"/>
      <c r="U580" s="60"/>
    </row>
    <row r="581" spans="1:21" s="59" customFormat="1" ht="13.5" customHeight="1">
      <c r="A581" s="52"/>
      <c r="B581" s="401" t="s">
        <v>221</v>
      </c>
      <c r="C581" s="276" t="s">
        <v>131</v>
      </c>
      <c r="D581" s="277"/>
      <c r="E581" s="278"/>
      <c r="F581" s="279">
        <v>31.01</v>
      </c>
      <c r="G581" s="279">
        <f t="shared" si="54"/>
        <v>31.01</v>
      </c>
      <c r="H581" s="280" t="s">
        <v>68</v>
      </c>
      <c r="I581" s="279">
        <f t="shared" si="55"/>
        <v>17398.026000000005</v>
      </c>
      <c r="J581" s="279">
        <f t="shared" si="56"/>
        <v>2330.5539999999964</v>
      </c>
      <c r="K581" s="281"/>
      <c r="L581" s="403" t="s">
        <v>181</v>
      </c>
      <c r="M581" s="404"/>
      <c r="T581" s="60"/>
      <c r="U581" s="60"/>
    </row>
    <row r="582" spans="1:21" s="59" customFormat="1" ht="13.5" customHeight="1">
      <c r="A582" s="52"/>
      <c r="B582" s="402"/>
      <c r="C582" s="276" t="s">
        <v>131</v>
      </c>
      <c r="D582" s="277"/>
      <c r="E582" s="278"/>
      <c r="F582" s="279">
        <v>31.23</v>
      </c>
      <c r="G582" s="279">
        <f t="shared" si="54"/>
        <v>31.23</v>
      </c>
      <c r="H582" s="280" t="s">
        <v>68</v>
      </c>
      <c r="I582" s="279">
        <f t="shared" si="55"/>
        <v>17429.256000000005</v>
      </c>
      <c r="J582" s="279">
        <f t="shared" si="56"/>
        <v>2299.3239999999969</v>
      </c>
      <c r="K582" s="281"/>
      <c r="L582" s="403" t="s">
        <v>181</v>
      </c>
      <c r="M582" s="404"/>
      <c r="T582" s="60"/>
      <c r="U582" s="60"/>
    </row>
    <row r="583" spans="1:21" s="59" customFormat="1" ht="13.5" customHeight="1">
      <c r="A583" s="52"/>
      <c r="B583" s="402"/>
      <c r="C583" s="276" t="s">
        <v>131</v>
      </c>
      <c r="D583" s="277"/>
      <c r="E583" s="278"/>
      <c r="F583" s="279">
        <v>31.19</v>
      </c>
      <c r="G583" s="279">
        <f t="shared" si="54"/>
        <v>31.19</v>
      </c>
      <c r="H583" s="280" t="s">
        <v>68</v>
      </c>
      <c r="I583" s="279">
        <f t="shared" si="55"/>
        <v>17460.446000000004</v>
      </c>
      <c r="J583" s="279">
        <f t="shared" si="56"/>
        <v>2268.1339999999982</v>
      </c>
      <c r="K583" s="281"/>
      <c r="L583" s="403" t="s">
        <v>181</v>
      </c>
      <c r="M583" s="404"/>
      <c r="T583" s="60"/>
      <c r="U583" s="60"/>
    </row>
    <row r="584" spans="1:21" s="59" customFormat="1" ht="13.5" customHeight="1">
      <c r="A584" s="52"/>
      <c r="B584" s="405" t="s">
        <v>222</v>
      </c>
      <c r="C584" s="293" t="s">
        <v>131</v>
      </c>
      <c r="D584" s="296"/>
      <c r="E584" s="272"/>
      <c r="F584" s="176">
        <v>31.22</v>
      </c>
      <c r="G584" s="176">
        <f t="shared" si="54"/>
        <v>31.22</v>
      </c>
      <c r="H584" s="294" t="s">
        <v>68</v>
      </c>
      <c r="I584" s="176">
        <f t="shared" si="55"/>
        <v>17491.666000000005</v>
      </c>
      <c r="J584" s="176">
        <f t="shared" si="56"/>
        <v>2236.913999999997</v>
      </c>
      <c r="K584" s="177"/>
      <c r="L584" s="403" t="s">
        <v>181</v>
      </c>
      <c r="M584" s="404"/>
      <c r="T584" s="60"/>
      <c r="U584" s="60"/>
    </row>
    <row r="585" spans="1:21" s="59" customFormat="1" ht="13.5" customHeight="1">
      <c r="A585" s="52"/>
      <c r="B585" s="406"/>
      <c r="C585" s="293" t="s">
        <v>131</v>
      </c>
      <c r="D585" s="296"/>
      <c r="E585" s="272"/>
      <c r="F585" s="176">
        <v>31.06</v>
      </c>
      <c r="G585" s="176">
        <f t="shared" si="54"/>
        <v>31.06</v>
      </c>
      <c r="H585" s="294" t="s">
        <v>68</v>
      </c>
      <c r="I585" s="176">
        <f t="shared" si="55"/>
        <v>17522.726000000006</v>
      </c>
      <c r="J585" s="176">
        <f t="shared" si="56"/>
        <v>2205.8539999999957</v>
      </c>
      <c r="K585" s="177"/>
      <c r="L585" s="403" t="s">
        <v>181</v>
      </c>
      <c r="M585" s="404"/>
      <c r="T585" s="60"/>
      <c r="U585" s="60"/>
    </row>
    <row r="586" spans="1:21" s="59" customFormat="1" ht="13.5" customHeight="1">
      <c r="A586" s="52"/>
      <c r="B586" s="406"/>
      <c r="C586" s="293" t="s">
        <v>131</v>
      </c>
      <c r="D586" s="296"/>
      <c r="E586" s="272"/>
      <c r="F586" s="176">
        <v>31.21</v>
      </c>
      <c r="G586" s="176">
        <f t="shared" si="54"/>
        <v>31.21</v>
      </c>
      <c r="H586" s="294" t="s">
        <v>68</v>
      </c>
      <c r="I586" s="176">
        <f t="shared" si="55"/>
        <v>17553.936000000005</v>
      </c>
      <c r="J586" s="176">
        <f t="shared" si="56"/>
        <v>2174.6439999999966</v>
      </c>
      <c r="K586" s="177"/>
      <c r="L586" s="403" t="s">
        <v>181</v>
      </c>
      <c r="M586" s="404"/>
      <c r="T586" s="60"/>
      <c r="U586" s="60"/>
    </row>
    <row r="587" spans="1:21" s="59" customFormat="1" ht="13.5" customHeight="1">
      <c r="A587" s="52"/>
      <c r="B587" s="401" t="s">
        <v>223</v>
      </c>
      <c r="C587" s="276" t="s">
        <v>131</v>
      </c>
      <c r="D587" s="277"/>
      <c r="E587" s="278"/>
      <c r="F587" s="279">
        <v>31.06</v>
      </c>
      <c r="G587" s="279">
        <f t="shared" si="54"/>
        <v>31.06</v>
      </c>
      <c r="H587" s="280" t="s">
        <v>68</v>
      </c>
      <c r="I587" s="279">
        <f t="shared" si="55"/>
        <v>17584.996000000006</v>
      </c>
      <c r="J587" s="279">
        <f t="shared" si="56"/>
        <v>2143.5839999999953</v>
      </c>
      <c r="K587" s="281"/>
      <c r="L587" s="403" t="s">
        <v>181</v>
      </c>
      <c r="M587" s="404"/>
      <c r="T587" s="60"/>
      <c r="U587" s="60"/>
    </row>
    <row r="588" spans="1:21" s="59" customFormat="1" ht="13.5" customHeight="1">
      <c r="A588" s="52"/>
      <c r="B588" s="402"/>
      <c r="C588" s="276" t="s">
        <v>131</v>
      </c>
      <c r="D588" s="277"/>
      <c r="E588" s="278"/>
      <c r="F588" s="279">
        <v>30.77</v>
      </c>
      <c r="G588" s="279">
        <f t="shared" si="54"/>
        <v>30.77</v>
      </c>
      <c r="H588" s="280" t="s">
        <v>68</v>
      </c>
      <c r="I588" s="279">
        <f t="shared" si="55"/>
        <v>17615.766000000007</v>
      </c>
      <c r="J588" s="279">
        <f t="shared" si="56"/>
        <v>2112.8139999999948</v>
      </c>
      <c r="K588" s="281"/>
      <c r="L588" s="403" t="s">
        <v>181</v>
      </c>
      <c r="M588" s="404"/>
      <c r="T588" s="60"/>
      <c r="U588" s="60"/>
    </row>
    <row r="589" spans="1:21" s="59" customFormat="1" ht="13.5" customHeight="1">
      <c r="A589" s="52"/>
      <c r="B589" s="402"/>
      <c r="C589" s="276" t="s">
        <v>131</v>
      </c>
      <c r="D589" s="277"/>
      <c r="E589" s="278"/>
      <c r="F589" s="279">
        <v>30.91</v>
      </c>
      <c r="G589" s="279">
        <f t="shared" ref="G589:G652" si="57">F589</f>
        <v>30.91</v>
      </c>
      <c r="H589" s="280" t="s">
        <v>68</v>
      </c>
      <c r="I589" s="279">
        <f t="shared" si="55"/>
        <v>17646.676000000007</v>
      </c>
      <c r="J589" s="279">
        <f t="shared" si="56"/>
        <v>2081.903999999995</v>
      </c>
      <c r="K589" s="281"/>
      <c r="L589" s="403" t="s">
        <v>181</v>
      </c>
      <c r="M589" s="404"/>
      <c r="T589" s="60"/>
      <c r="U589" s="60"/>
    </row>
    <row r="590" spans="1:21" s="59" customFormat="1" ht="13.5" customHeight="1">
      <c r="A590" s="52"/>
      <c r="B590" s="405" t="s">
        <v>224</v>
      </c>
      <c r="C590" s="293" t="s">
        <v>131</v>
      </c>
      <c r="D590" s="296"/>
      <c r="E590" s="272"/>
      <c r="F590" s="176">
        <v>30.85</v>
      </c>
      <c r="G590" s="176">
        <f t="shared" si="57"/>
        <v>30.85</v>
      </c>
      <c r="H590" s="294" t="s">
        <v>68</v>
      </c>
      <c r="I590" s="176">
        <f t="shared" si="55"/>
        <v>17677.526000000005</v>
      </c>
      <c r="J590" s="176">
        <f t="shared" si="56"/>
        <v>2051.0539999999964</v>
      </c>
      <c r="K590" s="177"/>
      <c r="L590" s="403" t="s">
        <v>181</v>
      </c>
      <c r="M590" s="404"/>
      <c r="T590" s="60"/>
      <c r="U590" s="60"/>
    </row>
    <row r="591" spans="1:21" s="59" customFormat="1" ht="13.5" customHeight="1">
      <c r="A591" s="52"/>
      <c r="B591" s="406"/>
      <c r="C591" s="293" t="s">
        <v>131</v>
      </c>
      <c r="D591" s="296"/>
      <c r="E591" s="272"/>
      <c r="F591" s="279">
        <v>30.77</v>
      </c>
      <c r="G591" s="176">
        <f t="shared" si="57"/>
        <v>30.77</v>
      </c>
      <c r="H591" s="294" t="s">
        <v>68</v>
      </c>
      <c r="I591" s="176">
        <f t="shared" si="55"/>
        <v>17708.296000000006</v>
      </c>
      <c r="J591" s="176">
        <f t="shared" si="56"/>
        <v>2020.283999999996</v>
      </c>
      <c r="K591" s="177"/>
      <c r="L591" s="403" t="s">
        <v>181</v>
      </c>
      <c r="M591" s="404"/>
      <c r="T591" s="60"/>
      <c r="U591" s="60"/>
    </row>
    <row r="592" spans="1:21" s="59" customFormat="1" ht="13.5" customHeight="1">
      <c r="A592" s="52"/>
      <c r="B592" s="406"/>
      <c r="C592" s="293" t="s">
        <v>131</v>
      </c>
      <c r="D592" s="296"/>
      <c r="E592" s="272"/>
      <c r="F592" s="176">
        <v>31.1</v>
      </c>
      <c r="G592" s="176">
        <f t="shared" si="57"/>
        <v>31.1</v>
      </c>
      <c r="H592" s="294" t="s">
        <v>68</v>
      </c>
      <c r="I592" s="176">
        <f t="shared" si="55"/>
        <v>17739.396000000004</v>
      </c>
      <c r="J592" s="176">
        <f t="shared" si="56"/>
        <v>1989.1839999999975</v>
      </c>
      <c r="K592" s="177"/>
      <c r="L592" s="403" t="s">
        <v>181</v>
      </c>
      <c r="M592" s="404"/>
      <c r="T592" s="60"/>
      <c r="U592" s="60"/>
    </row>
    <row r="593" spans="1:21" s="59" customFormat="1" ht="13.5" customHeight="1">
      <c r="A593" s="52"/>
      <c r="B593" s="401" t="s">
        <v>225</v>
      </c>
      <c r="C593" s="276" t="s">
        <v>131</v>
      </c>
      <c r="D593" s="277"/>
      <c r="E593" s="278"/>
      <c r="F593" s="279">
        <v>30.78</v>
      </c>
      <c r="G593" s="279">
        <f t="shared" si="57"/>
        <v>30.78</v>
      </c>
      <c r="H593" s="280" t="s">
        <v>68</v>
      </c>
      <c r="I593" s="279">
        <f t="shared" si="55"/>
        <v>17770.176000000003</v>
      </c>
      <c r="J593" s="279">
        <f t="shared" si="56"/>
        <v>1958.4039999999986</v>
      </c>
      <c r="K593" s="281"/>
      <c r="L593" s="403" t="s">
        <v>181</v>
      </c>
      <c r="M593" s="404"/>
      <c r="T593" s="60"/>
      <c r="U593" s="60"/>
    </row>
    <row r="594" spans="1:21" s="59" customFormat="1" ht="13.5" customHeight="1">
      <c r="A594" s="52"/>
      <c r="B594" s="402"/>
      <c r="C594" s="276" t="s">
        <v>131</v>
      </c>
      <c r="D594" s="277"/>
      <c r="E594" s="278"/>
      <c r="F594" s="279">
        <v>31.11</v>
      </c>
      <c r="G594" s="279">
        <f t="shared" si="57"/>
        <v>31.11</v>
      </c>
      <c r="H594" s="280" t="s">
        <v>68</v>
      </c>
      <c r="I594" s="279">
        <f t="shared" ref="I594:I657" si="58">IF(H594="IN",I593+G594,I593)</f>
        <v>17801.286000000004</v>
      </c>
      <c r="J594" s="279">
        <f t="shared" ref="J594:J657" si="59">IF(I594="","",$L$8-I594)</f>
        <v>1927.2939999999981</v>
      </c>
      <c r="K594" s="281"/>
      <c r="L594" s="403" t="s">
        <v>181</v>
      </c>
      <c r="M594" s="404"/>
      <c r="T594" s="60"/>
      <c r="U594" s="60"/>
    </row>
    <row r="595" spans="1:21" s="59" customFormat="1" ht="13.5" customHeight="1">
      <c r="A595" s="52"/>
      <c r="B595" s="402"/>
      <c r="C595" s="276" t="s">
        <v>131</v>
      </c>
      <c r="D595" s="277"/>
      <c r="E595" s="278"/>
      <c r="F595" s="279">
        <v>31.24</v>
      </c>
      <c r="G595" s="279">
        <f t="shared" si="57"/>
        <v>31.24</v>
      </c>
      <c r="H595" s="280" t="s">
        <v>68</v>
      </c>
      <c r="I595" s="279">
        <f t="shared" si="58"/>
        <v>17832.526000000005</v>
      </c>
      <c r="J595" s="279">
        <f t="shared" si="59"/>
        <v>1896.0539999999964</v>
      </c>
      <c r="K595" s="281"/>
      <c r="L595" s="403" t="s">
        <v>181</v>
      </c>
      <c r="M595" s="404"/>
      <c r="T595" s="60"/>
      <c r="U595" s="60"/>
    </row>
    <row r="596" spans="1:21" s="59" customFormat="1" ht="13.5" customHeight="1">
      <c r="A596" s="52"/>
      <c r="B596" s="405" t="s">
        <v>226</v>
      </c>
      <c r="C596" s="293" t="s">
        <v>131</v>
      </c>
      <c r="D596" s="296"/>
      <c r="E596" s="272"/>
      <c r="F596" s="176">
        <v>30.96</v>
      </c>
      <c r="G596" s="176">
        <f t="shared" si="57"/>
        <v>30.96</v>
      </c>
      <c r="H596" s="294" t="s">
        <v>68</v>
      </c>
      <c r="I596" s="176">
        <f t="shared" si="58"/>
        <v>17863.486000000004</v>
      </c>
      <c r="J596" s="176">
        <f t="shared" si="59"/>
        <v>1865.0939999999973</v>
      </c>
      <c r="K596" s="177"/>
      <c r="L596" s="403" t="s">
        <v>181</v>
      </c>
      <c r="M596" s="404"/>
      <c r="T596" s="60"/>
      <c r="U596" s="60"/>
    </row>
    <row r="597" spans="1:21" s="59" customFormat="1" ht="13.5" customHeight="1">
      <c r="A597" s="52"/>
      <c r="B597" s="406"/>
      <c r="C597" s="293" t="s">
        <v>131</v>
      </c>
      <c r="D597" s="296"/>
      <c r="E597" s="272"/>
      <c r="F597" s="176">
        <v>31.13</v>
      </c>
      <c r="G597" s="176">
        <f t="shared" si="57"/>
        <v>31.13</v>
      </c>
      <c r="H597" s="294" t="s">
        <v>68</v>
      </c>
      <c r="I597" s="176">
        <f t="shared" si="58"/>
        <v>17894.616000000005</v>
      </c>
      <c r="J597" s="176">
        <f t="shared" si="59"/>
        <v>1833.9639999999963</v>
      </c>
      <c r="K597" s="177"/>
      <c r="L597" s="403" t="s">
        <v>181</v>
      </c>
      <c r="M597" s="404"/>
      <c r="T597" s="60"/>
      <c r="U597" s="60"/>
    </row>
    <row r="598" spans="1:21" s="59" customFormat="1" ht="13.5" customHeight="1">
      <c r="A598" s="52"/>
      <c r="B598" s="406"/>
      <c r="C598" s="293" t="s">
        <v>131</v>
      </c>
      <c r="D598" s="296"/>
      <c r="E598" s="272"/>
      <c r="F598" s="176">
        <v>31.12</v>
      </c>
      <c r="G598" s="176">
        <f t="shared" si="57"/>
        <v>31.12</v>
      </c>
      <c r="H598" s="294" t="s">
        <v>68</v>
      </c>
      <c r="I598" s="176">
        <f t="shared" si="58"/>
        <v>17925.736000000004</v>
      </c>
      <c r="J598" s="176">
        <f t="shared" si="59"/>
        <v>1802.8439999999973</v>
      </c>
      <c r="K598" s="177"/>
      <c r="L598" s="403" t="s">
        <v>181</v>
      </c>
      <c r="M598" s="404"/>
      <c r="T598" s="60"/>
      <c r="U598" s="60"/>
    </row>
    <row r="599" spans="1:21" s="59" customFormat="1" ht="13.5" customHeight="1">
      <c r="A599" s="52"/>
      <c r="B599" s="401" t="s">
        <v>227</v>
      </c>
      <c r="C599" s="276" t="s">
        <v>131</v>
      </c>
      <c r="D599" s="277"/>
      <c r="E599" s="278"/>
      <c r="F599" s="279">
        <v>31.2</v>
      </c>
      <c r="G599" s="279">
        <f t="shared" si="57"/>
        <v>31.2</v>
      </c>
      <c r="H599" s="280" t="s">
        <v>68</v>
      </c>
      <c r="I599" s="279">
        <f t="shared" si="58"/>
        <v>17956.936000000005</v>
      </c>
      <c r="J599" s="279">
        <f t="shared" si="59"/>
        <v>1771.6439999999966</v>
      </c>
      <c r="K599" s="281"/>
      <c r="L599" s="403" t="s">
        <v>181</v>
      </c>
      <c r="M599" s="404"/>
      <c r="T599" s="60"/>
      <c r="U599" s="60"/>
    </row>
    <row r="600" spans="1:21" s="59" customFormat="1" ht="13.5" customHeight="1">
      <c r="A600" s="52"/>
      <c r="B600" s="402"/>
      <c r="C600" s="276" t="s">
        <v>131</v>
      </c>
      <c r="D600" s="277"/>
      <c r="E600" s="278"/>
      <c r="F600" s="279">
        <v>31.08</v>
      </c>
      <c r="G600" s="279">
        <f t="shared" si="57"/>
        <v>31.08</v>
      </c>
      <c r="H600" s="280" t="s">
        <v>68</v>
      </c>
      <c r="I600" s="279">
        <f t="shared" si="58"/>
        <v>17988.016000000007</v>
      </c>
      <c r="J600" s="279">
        <f t="shared" si="59"/>
        <v>1740.5639999999948</v>
      </c>
      <c r="K600" s="281"/>
      <c r="L600" s="403" t="s">
        <v>181</v>
      </c>
      <c r="M600" s="404"/>
      <c r="T600" s="60"/>
      <c r="U600" s="60"/>
    </row>
    <row r="601" spans="1:21" s="59" customFormat="1" ht="13.5" customHeight="1">
      <c r="A601" s="52"/>
      <c r="B601" s="402"/>
      <c r="C601" s="276" t="s">
        <v>131</v>
      </c>
      <c r="D601" s="277"/>
      <c r="E601" s="278"/>
      <c r="F601" s="279">
        <v>30.94</v>
      </c>
      <c r="G601" s="279">
        <f t="shared" si="57"/>
        <v>30.94</v>
      </c>
      <c r="H601" s="280" t="s">
        <v>68</v>
      </c>
      <c r="I601" s="279">
        <f t="shared" si="58"/>
        <v>18018.956000000006</v>
      </c>
      <c r="J601" s="279">
        <f t="shared" si="59"/>
        <v>1709.6239999999962</v>
      </c>
      <c r="K601" s="281"/>
      <c r="L601" s="403" t="s">
        <v>181</v>
      </c>
      <c r="M601" s="404"/>
      <c r="T601" s="60"/>
      <c r="U601" s="60"/>
    </row>
    <row r="602" spans="1:21" s="59" customFormat="1" ht="13.5" customHeight="1">
      <c r="A602" s="52"/>
      <c r="B602" s="405" t="s">
        <v>228</v>
      </c>
      <c r="C602" s="293" t="s">
        <v>131</v>
      </c>
      <c r="D602" s="296"/>
      <c r="E602" s="272"/>
      <c r="F602" s="176">
        <v>31.21</v>
      </c>
      <c r="G602" s="176">
        <f t="shared" si="57"/>
        <v>31.21</v>
      </c>
      <c r="H602" s="294" t="s">
        <v>68</v>
      </c>
      <c r="I602" s="176">
        <f t="shared" si="58"/>
        <v>18050.166000000005</v>
      </c>
      <c r="J602" s="176">
        <f t="shared" si="59"/>
        <v>1678.413999999997</v>
      </c>
      <c r="K602" s="177"/>
      <c r="L602" s="403" t="s">
        <v>181</v>
      </c>
      <c r="M602" s="404"/>
      <c r="T602" s="60"/>
      <c r="U602" s="60"/>
    </row>
    <row r="603" spans="1:21" s="59" customFormat="1" ht="13.5" customHeight="1">
      <c r="A603" s="52"/>
      <c r="B603" s="406"/>
      <c r="C603" s="293" t="s">
        <v>131</v>
      </c>
      <c r="D603" s="296"/>
      <c r="E603" s="272"/>
      <c r="F603" s="176">
        <v>30.8</v>
      </c>
      <c r="G603" s="176">
        <f t="shared" si="57"/>
        <v>30.8</v>
      </c>
      <c r="H603" s="294" t="s">
        <v>68</v>
      </c>
      <c r="I603" s="176">
        <f t="shared" si="58"/>
        <v>18080.966000000004</v>
      </c>
      <c r="J603" s="176">
        <f t="shared" si="59"/>
        <v>1647.6139999999978</v>
      </c>
      <c r="K603" s="177"/>
      <c r="L603" s="403" t="s">
        <v>181</v>
      </c>
      <c r="M603" s="404"/>
      <c r="T603" s="60"/>
      <c r="U603" s="60"/>
    </row>
    <row r="604" spans="1:21" s="59" customFormat="1" ht="13.5" customHeight="1">
      <c r="A604" s="52"/>
      <c r="B604" s="406"/>
      <c r="C604" s="293" t="s">
        <v>131</v>
      </c>
      <c r="D604" s="296"/>
      <c r="E604" s="272"/>
      <c r="F604" s="176">
        <v>31</v>
      </c>
      <c r="G604" s="176">
        <f t="shared" si="57"/>
        <v>31</v>
      </c>
      <c r="H604" s="294" t="s">
        <v>68</v>
      </c>
      <c r="I604" s="176">
        <f t="shared" si="58"/>
        <v>18111.966000000004</v>
      </c>
      <c r="J604" s="176">
        <f t="shared" si="59"/>
        <v>1616.6139999999978</v>
      </c>
      <c r="K604" s="177"/>
      <c r="L604" s="403" t="s">
        <v>181</v>
      </c>
      <c r="M604" s="404"/>
      <c r="T604" s="60"/>
      <c r="U604" s="60"/>
    </row>
    <row r="605" spans="1:21" s="59" customFormat="1" ht="13.5" customHeight="1">
      <c r="A605" s="52"/>
      <c r="B605" s="401" t="s">
        <v>229</v>
      </c>
      <c r="C605" s="276" t="s">
        <v>131</v>
      </c>
      <c r="D605" s="277"/>
      <c r="E605" s="278"/>
      <c r="F605" s="279">
        <v>30.94</v>
      </c>
      <c r="G605" s="279">
        <f t="shared" si="57"/>
        <v>30.94</v>
      </c>
      <c r="H605" s="280" t="s">
        <v>68</v>
      </c>
      <c r="I605" s="279">
        <f t="shared" si="58"/>
        <v>18142.906000000003</v>
      </c>
      <c r="J605" s="279">
        <f t="shared" si="59"/>
        <v>1585.6739999999991</v>
      </c>
      <c r="K605" s="281"/>
      <c r="L605" s="403" t="s">
        <v>181</v>
      </c>
      <c r="M605" s="404"/>
      <c r="T605" s="60"/>
      <c r="U605" s="60"/>
    </row>
    <row r="606" spans="1:21" s="59" customFormat="1" ht="13.5" customHeight="1">
      <c r="A606" s="52"/>
      <c r="B606" s="402"/>
      <c r="C606" s="276" t="s">
        <v>131</v>
      </c>
      <c r="D606" s="277"/>
      <c r="E606" s="278"/>
      <c r="F606" s="279">
        <v>31.13</v>
      </c>
      <c r="G606" s="279">
        <f t="shared" si="57"/>
        <v>31.13</v>
      </c>
      <c r="H606" s="280" t="s">
        <v>68</v>
      </c>
      <c r="I606" s="279">
        <f t="shared" si="58"/>
        <v>18174.036000000004</v>
      </c>
      <c r="J606" s="279">
        <f t="shared" si="59"/>
        <v>1554.5439999999981</v>
      </c>
      <c r="K606" s="281"/>
      <c r="L606" s="403" t="s">
        <v>181</v>
      </c>
      <c r="M606" s="404"/>
      <c r="T606" s="60"/>
      <c r="U606" s="60"/>
    </row>
    <row r="607" spans="1:21" s="59" customFormat="1" ht="13.5" customHeight="1">
      <c r="A607" s="52"/>
      <c r="B607" s="402"/>
      <c r="C607" s="276" t="s">
        <v>131</v>
      </c>
      <c r="D607" s="277"/>
      <c r="E607" s="278"/>
      <c r="F607" s="279">
        <v>31.17</v>
      </c>
      <c r="G607" s="279">
        <f t="shared" si="57"/>
        <v>31.17</v>
      </c>
      <c r="H607" s="280" t="s">
        <v>68</v>
      </c>
      <c r="I607" s="279">
        <f t="shared" si="58"/>
        <v>18205.206000000002</v>
      </c>
      <c r="J607" s="279">
        <f t="shared" si="59"/>
        <v>1523.3739999999998</v>
      </c>
      <c r="K607" s="281"/>
      <c r="L607" s="403" t="s">
        <v>181</v>
      </c>
      <c r="M607" s="404"/>
      <c r="T607" s="60"/>
      <c r="U607" s="60"/>
    </row>
    <row r="608" spans="1:21" s="59" customFormat="1" ht="13.5" customHeight="1">
      <c r="A608" s="52"/>
      <c r="B608" s="405" t="s">
        <v>230</v>
      </c>
      <c r="C608" s="293" t="s">
        <v>131</v>
      </c>
      <c r="D608" s="296"/>
      <c r="E608" s="272"/>
      <c r="F608" s="176">
        <v>31.14</v>
      </c>
      <c r="G608" s="176">
        <f t="shared" si="57"/>
        <v>31.14</v>
      </c>
      <c r="H608" s="294" t="s">
        <v>68</v>
      </c>
      <c r="I608" s="176">
        <f t="shared" si="58"/>
        <v>18236.346000000001</v>
      </c>
      <c r="J608" s="176">
        <f t="shared" si="59"/>
        <v>1492.2340000000004</v>
      </c>
      <c r="K608" s="177"/>
      <c r="L608" s="403" t="s">
        <v>181</v>
      </c>
      <c r="M608" s="404"/>
      <c r="T608" s="60"/>
      <c r="U608" s="60"/>
    </row>
    <row r="609" spans="1:21" s="59" customFormat="1" ht="13.5" customHeight="1">
      <c r="A609" s="52"/>
      <c r="B609" s="406"/>
      <c r="C609" s="293" t="s">
        <v>131</v>
      </c>
      <c r="D609" s="296"/>
      <c r="E609" s="272"/>
      <c r="F609" s="176">
        <v>30.96</v>
      </c>
      <c r="G609" s="176">
        <f t="shared" si="57"/>
        <v>30.96</v>
      </c>
      <c r="H609" s="294" t="s">
        <v>68</v>
      </c>
      <c r="I609" s="176">
        <f t="shared" si="58"/>
        <v>18267.306</v>
      </c>
      <c r="J609" s="176">
        <f t="shared" si="59"/>
        <v>1461.2740000000013</v>
      </c>
      <c r="K609" s="177"/>
      <c r="L609" s="403" t="s">
        <v>181</v>
      </c>
      <c r="M609" s="404"/>
      <c r="T609" s="60"/>
      <c r="U609" s="60"/>
    </row>
    <row r="610" spans="1:21" s="59" customFormat="1" ht="13.5" customHeight="1">
      <c r="A610" s="52"/>
      <c r="B610" s="406"/>
      <c r="C610" s="293" t="s">
        <v>131</v>
      </c>
      <c r="D610" s="296"/>
      <c r="E610" s="272"/>
      <c r="F610" s="176">
        <v>30.94</v>
      </c>
      <c r="G610" s="176">
        <f t="shared" si="57"/>
        <v>30.94</v>
      </c>
      <c r="H610" s="294" t="s">
        <v>68</v>
      </c>
      <c r="I610" s="176">
        <f t="shared" si="58"/>
        <v>18298.245999999999</v>
      </c>
      <c r="J610" s="176">
        <f t="shared" si="59"/>
        <v>1430.3340000000026</v>
      </c>
      <c r="K610" s="177"/>
      <c r="L610" s="403" t="s">
        <v>181</v>
      </c>
      <c r="M610" s="404"/>
      <c r="T610" s="60"/>
      <c r="U610" s="60"/>
    </row>
    <row r="611" spans="1:21" s="59" customFormat="1" ht="13.5" customHeight="1">
      <c r="A611" s="52"/>
      <c r="B611" s="383" t="s">
        <v>231</v>
      </c>
      <c r="C611" s="276" t="s">
        <v>131</v>
      </c>
      <c r="D611" s="277"/>
      <c r="E611" s="278"/>
      <c r="F611" s="279">
        <v>31.88</v>
      </c>
      <c r="G611" s="279">
        <f t="shared" si="57"/>
        <v>31.88</v>
      </c>
      <c r="H611" s="280" t="s">
        <v>68</v>
      </c>
      <c r="I611" s="279">
        <f t="shared" si="58"/>
        <v>18330.126</v>
      </c>
      <c r="J611" s="279">
        <f t="shared" si="59"/>
        <v>1398.4540000000015</v>
      </c>
      <c r="K611" s="281"/>
      <c r="L611" s="378"/>
      <c r="M611" s="379"/>
      <c r="T611" s="60"/>
      <c r="U611" s="60"/>
    </row>
    <row r="612" spans="1:21" s="59" customFormat="1" ht="13.5" customHeight="1">
      <c r="A612" s="52"/>
      <c r="B612" s="384"/>
      <c r="C612" s="276" t="s">
        <v>131</v>
      </c>
      <c r="D612" s="277"/>
      <c r="E612" s="278"/>
      <c r="F612" s="279">
        <v>31.04</v>
      </c>
      <c r="G612" s="279">
        <f t="shared" si="57"/>
        <v>31.04</v>
      </c>
      <c r="H612" s="280" t="s">
        <v>68</v>
      </c>
      <c r="I612" s="279">
        <f t="shared" si="58"/>
        <v>18361.166000000001</v>
      </c>
      <c r="J612" s="279">
        <f t="shared" si="59"/>
        <v>1367.4140000000007</v>
      </c>
      <c r="K612" s="281"/>
      <c r="L612" s="378" t="s">
        <v>232</v>
      </c>
      <c r="M612" s="379"/>
      <c r="T612" s="60"/>
      <c r="U612" s="60"/>
    </row>
    <row r="613" spans="1:21" s="59" customFormat="1" ht="13.5" customHeight="1">
      <c r="A613" s="52"/>
      <c r="B613" s="384"/>
      <c r="C613" s="276" t="s">
        <v>131</v>
      </c>
      <c r="D613" s="277"/>
      <c r="E613" s="278"/>
      <c r="F613" s="279">
        <v>31.23</v>
      </c>
      <c r="G613" s="279">
        <f t="shared" si="57"/>
        <v>31.23</v>
      </c>
      <c r="H613" s="280" t="s">
        <v>68</v>
      </c>
      <c r="I613" s="279">
        <f t="shared" si="58"/>
        <v>18392.396000000001</v>
      </c>
      <c r="J613" s="279">
        <f t="shared" si="59"/>
        <v>1336.1840000000011</v>
      </c>
      <c r="K613" s="281"/>
      <c r="L613" s="378"/>
      <c r="M613" s="379"/>
      <c r="T613" s="60"/>
      <c r="U613" s="60"/>
    </row>
    <row r="614" spans="1:21" s="59" customFormat="1" ht="13.5" customHeight="1">
      <c r="A614" s="52"/>
      <c r="B614" s="395" t="s">
        <v>233</v>
      </c>
      <c r="C614" s="293" t="s">
        <v>131</v>
      </c>
      <c r="D614" s="296"/>
      <c r="E614" s="272"/>
      <c r="F614" s="176">
        <v>31.22</v>
      </c>
      <c r="G614" s="176">
        <f t="shared" si="57"/>
        <v>31.22</v>
      </c>
      <c r="H614" s="294" t="s">
        <v>68</v>
      </c>
      <c r="I614" s="176">
        <f t="shared" si="58"/>
        <v>18423.616000000002</v>
      </c>
      <c r="J614" s="176">
        <f t="shared" si="59"/>
        <v>1304.9639999999999</v>
      </c>
      <c r="K614" s="177"/>
      <c r="L614" s="378"/>
      <c r="M614" s="379"/>
      <c r="T614" s="60"/>
      <c r="U614" s="60"/>
    </row>
    <row r="615" spans="1:21" s="59" customFormat="1" ht="13.5" customHeight="1">
      <c r="A615" s="52"/>
      <c r="B615" s="396"/>
      <c r="C615" s="293" t="s">
        <v>131</v>
      </c>
      <c r="D615" s="296"/>
      <c r="E615" s="272"/>
      <c r="F615" s="176">
        <v>31.13</v>
      </c>
      <c r="G615" s="176">
        <f t="shared" si="57"/>
        <v>31.13</v>
      </c>
      <c r="H615" s="294" t="s">
        <v>68</v>
      </c>
      <c r="I615" s="176">
        <f t="shared" si="58"/>
        <v>18454.746000000003</v>
      </c>
      <c r="J615" s="176">
        <f t="shared" si="59"/>
        <v>1273.8339999999989</v>
      </c>
      <c r="K615" s="177"/>
      <c r="L615" s="378"/>
      <c r="M615" s="379"/>
      <c r="T615" s="60"/>
      <c r="U615" s="60"/>
    </row>
    <row r="616" spans="1:21" s="59" customFormat="1" ht="13.5" customHeight="1">
      <c r="A616" s="52"/>
      <c r="B616" s="396"/>
      <c r="C616" s="293" t="s">
        <v>131</v>
      </c>
      <c r="D616" s="296"/>
      <c r="E616" s="272"/>
      <c r="F616" s="176">
        <v>31.09</v>
      </c>
      <c r="G616" s="176">
        <f t="shared" si="57"/>
        <v>31.09</v>
      </c>
      <c r="H616" s="294" t="s">
        <v>68</v>
      </c>
      <c r="I616" s="176">
        <f t="shared" si="58"/>
        <v>18485.836000000003</v>
      </c>
      <c r="J616" s="176">
        <f t="shared" si="59"/>
        <v>1242.7439999999988</v>
      </c>
      <c r="K616" s="177"/>
      <c r="L616" s="378"/>
      <c r="M616" s="379"/>
      <c r="T616" s="60"/>
      <c r="U616" s="60"/>
    </row>
    <row r="617" spans="1:21" s="59" customFormat="1" ht="13.5" customHeight="1">
      <c r="A617" s="52"/>
      <c r="B617" s="383" t="s">
        <v>234</v>
      </c>
      <c r="C617" s="276" t="s">
        <v>131</v>
      </c>
      <c r="D617" s="277"/>
      <c r="E617" s="278"/>
      <c r="F617" s="279">
        <v>31.15</v>
      </c>
      <c r="G617" s="279">
        <f t="shared" si="57"/>
        <v>31.15</v>
      </c>
      <c r="H617" s="280" t="s">
        <v>68</v>
      </c>
      <c r="I617" s="279">
        <f t="shared" si="58"/>
        <v>18516.986000000004</v>
      </c>
      <c r="J617" s="279">
        <f t="shared" si="59"/>
        <v>1211.5939999999973</v>
      </c>
      <c r="K617" s="281"/>
      <c r="L617" s="378"/>
      <c r="M617" s="379"/>
      <c r="T617" s="60"/>
      <c r="U617" s="60"/>
    </row>
    <row r="618" spans="1:21" s="59" customFormat="1" ht="13.5" customHeight="1">
      <c r="A618" s="52"/>
      <c r="B618" s="384"/>
      <c r="C618" s="276" t="s">
        <v>131</v>
      </c>
      <c r="D618" s="277"/>
      <c r="E618" s="278"/>
      <c r="F618" s="279">
        <v>31.02</v>
      </c>
      <c r="G618" s="279">
        <f t="shared" si="57"/>
        <v>31.02</v>
      </c>
      <c r="H618" s="280" t="s">
        <v>68</v>
      </c>
      <c r="I618" s="279">
        <f t="shared" si="58"/>
        <v>18548.006000000005</v>
      </c>
      <c r="J618" s="279">
        <f t="shared" si="59"/>
        <v>1180.5739999999969</v>
      </c>
      <c r="K618" s="281"/>
      <c r="L618" s="378"/>
      <c r="M618" s="379"/>
      <c r="T618" s="60"/>
      <c r="U618" s="60"/>
    </row>
    <row r="619" spans="1:21" s="59" customFormat="1" ht="13.5" customHeight="1">
      <c r="A619" s="52"/>
      <c r="B619" s="384"/>
      <c r="C619" s="276" t="s">
        <v>131</v>
      </c>
      <c r="D619" s="277"/>
      <c r="E619" s="278"/>
      <c r="F619" s="279">
        <v>31.17</v>
      </c>
      <c r="G619" s="279">
        <f t="shared" si="57"/>
        <v>31.17</v>
      </c>
      <c r="H619" s="280" t="s">
        <v>68</v>
      </c>
      <c r="I619" s="279">
        <f t="shared" si="58"/>
        <v>18579.176000000003</v>
      </c>
      <c r="J619" s="279">
        <f t="shared" si="59"/>
        <v>1149.4039999999986</v>
      </c>
      <c r="K619" s="281"/>
      <c r="L619" s="378"/>
      <c r="M619" s="379"/>
      <c r="T619" s="60"/>
      <c r="U619" s="60"/>
    </row>
    <row r="620" spans="1:21" s="59" customFormat="1" ht="13.5" customHeight="1">
      <c r="A620" s="52"/>
      <c r="B620" s="395" t="s">
        <v>235</v>
      </c>
      <c r="C620" s="293" t="s">
        <v>131</v>
      </c>
      <c r="D620" s="296"/>
      <c r="E620" s="272"/>
      <c r="F620" s="176">
        <v>31.27</v>
      </c>
      <c r="G620" s="176">
        <f t="shared" si="57"/>
        <v>31.27</v>
      </c>
      <c r="H620" s="294" t="s">
        <v>68</v>
      </c>
      <c r="I620" s="176">
        <f t="shared" si="58"/>
        <v>18610.446000000004</v>
      </c>
      <c r="J620" s="176">
        <f t="shared" si="59"/>
        <v>1118.1339999999982</v>
      </c>
      <c r="K620" s="177"/>
      <c r="L620" s="378" t="s">
        <v>166</v>
      </c>
      <c r="M620" s="379"/>
      <c r="T620" s="60"/>
      <c r="U620" s="60"/>
    </row>
    <row r="621" spans="1:21" s="59" customFormat="1" ht="13.5" customHeight="1">
      <c r="A621" s="52"/>
      <c r="B621" s="396"/>
      <c r="C621" s="293" t="s">
        <v>131</v>
      </c>
      <c r="D621" s="296"/>
      <c r="E621" s="272"/>
      <c r="F621" s="176">
        <v>31.22</v>
      </c>
      <c r="G621" s="176">
        <f t="shared" si="57"/>
        <v>31.22</v>
      </c>
      <c r="H621" s="294" t="s">
        <v>68</v>
      </c>
      <c r="I621" s="176">
        <f t="shared" si="58"/>
        <v>18641.666000000005</v>
      </c>
      <c r="J621" s="176">
        <f t="shared" si="59"/>
        <v>1086.913999999997</v>
      </c>
      <c r="K621" s="177"/>
      <c r="L621" s="378" t="s">
        <v>166</v>
      </c>
      <c r="M621" s="379"/>
      <c r="T621" s="60"/>
      <c r="U621" s="60"/>
    </row>
    <row r="622" spans="1:21" s="59" customFormat="1" ht="13.5" customHeight="1">
      <c r="A622" s="52"/>
      <c r="B622" s="396"/>
      <c r="C622" s="293" t="s">
        <v>131</v>
      </c>
      <c r="D622" s="296"/>
      <c r="E622" s="272"/>
      <c r="F622" s="176">
        <v>31.27</v>
      </c>
      <c r="G622" s="176">
        <f t="shared" si="57"/>
        <v>31.27</v>
      </c>
      <c r="H622" s="294" t="s">
        <v>68</v>
      </c>
      <c r="I622" s="176">
        <f t="shared" si="58"/>
        <v>18672.936000000005</v>
      </c>
      <c r="J622" s="176">
        <f t="shared" si="59"/>
        <v>1055.6439999999966</v>
      </c>
      <c r="K622" s="177"/>
      <c r="L622" s="378" t="s">
        <v>166</v>
      </c>
      <c r="M622" s="379"/>
      <c r="T622" s="60"/>
      <c r="U622" s="60"/>
    </row>
    <row r="623" spans="1:21" s="59" customFormat="1" ht="13.5" customHeight="1">
      <c r="A623" s="52"/>
      <c r="B623" s="383" t="s">
        <v>236</v>
      </c>
      <c r="C623" s="276" t="s">
        <v>131</v>
      </c>
      <c r="D623" s="277"/>
      <c r="E623" s="278"/>
      <c r="F623" s="279">
        <v>31.12</v>
      </c>
      <c r="G623" s="279">
        <f t="shared" si="57"/>
        <v>31.12</v>
      </c>
      <c r="H623" s="280" t="s">
        <v>68</v>
      </c>
      <c r="I623" s="279">
        <f t="shared" si="58"/>
        <v>18704.056000000004</v>
      </c>
      <c r="J623" s="279">
        <f t="shared" si="59"/>
        <v>1024.5239999999976</v>
      </c>
      <c r="K623" s="281"/>
      <c r="L623" s="378" t="s">
        <v>166</v>
      </c>
      <c r="M623" s="379"/>
      <c r="T623" s="60"/>
      <c r="U623" s="60"/>
    </row>
    <row r="624" spans="1:21" s="59" customFormat="1" ht="13.5" customHeight="1">
      <c r="A624" s="52"/>
      <c r="B624" s="384"/>
      <c r="C624" s="276" t="s">
        <v>131</v>
      </c>
      <c r="D624" s="277"/>
      <c r="E624" s="278"/>
      <c r="F624" s="279">
        <v>31.74</v>
      </c>
      <c r="G624" s="279">
        <f t="shared" si="57"/>
        <v>31.74</v>
      </c>
      <c r="H624" s="280" t="s">
        <v>68</v>
      </c>
      <c r="I624" s="279">
        <f t="shared" si="58"/>
        <v>18735.796000000006</v>
      </c>
      <c r="J624" s="279">
        <f t="shared" si="59"/>
        <v>992.78399999999601</v>
      </c>
      <c r="K624" s="281"/>
      <c r="L624" s="378" t="s">
        <v>166</v>
      </c>
      <c r="M624" s="379"/>
      <c r="T624" s="60"/>
      <c r="U624" s="60"/>
    </row>
    <row r="625" spans="1:21" s="59" customFormat="1" ht="13.5" customHeight="1">
      <c r="A625" s="52"/>
      <c r="B625" s="384"/>
      <c r="C625" s="276" t="s">
        <v>131</v>
      </c>
      <c r="D625" s="277"/>
      <c r="E625" s="278"/>
      <c r="F625" s="279">
        <v>31.21</v>
      </c>
      <c r="G625" s="279">
        <f t="shared" si="57"/>
        <v>31.21</v>
      </c>
      <c r="H625" s="280" t="s">
        <v>68</v>
      </c>
      <c r="I625" s="279">
        <f t="shared" si="58"/>
        <v>18767.006000000005</v>
      </c>
      <c r="J625" s="279">
        <f t="shared" si="59"/>
        <v>961.57399999999689</v>
      </c>
      <c r="K625" s="281"/>
      <c r="L625" s="378" t="s">
        <v>166</v>
      </c>
      <c r="M625" s="379"/>
      <c r="T625" s="60"/>
      <c r="U625" s="60"/>
    </row>
    <row r="626" spans="1:21" s="59" customFormat="1" ht="13.5" customHeight="1">
      <c r="A626" s="52"/>
      <c r="B626" s="395" t="s">
        <v>237</v>
      </c>
      <c r="C626" s="293" t="s">
        <v>131</v>
      </c>
      <c r="D626" s="296"/>
      <c r="E626" s="272"/>
      <c r="F626" s="176">
        <v>31.12</v>
      </c>
      <c r="G626" s="176">
        <f t="shared" si="57"/>
        <v>31.12</v>
      </c>
      <c r="H626" s="294" t="s">
        <v>68</v>
      </c>
      <c r="I626" s="176">
        <f t="shared" si="58"/>
        <v>18798.126000000004</v>
      </c>
      <c r="J626" s="176">
        <f t="shared" si="59"/>
        <v>930.4539999999979</v>
      </c>
      <c r="K626" s="177"/>
      <c r="L626" s="378" t="s">
        <v>166</v>
      </c>
      <c r="M626" s="379"/>
      <c r="T626" s="60"/>
      <c r="U626" s="60"/>
    </row>
    <row r="627" spans="1:21" s="59" customFormat="1" ht="13.5" customHeight="1">
      <c r="A627" s="52"/>
      <c r="B627" s="396"/>
      <c r="C627" s="293" t="s">
        <v>131</v>
      </c>
      <c r="D627" s="296"/>
      <c r="E627" s="272"/>
      <c r="F627" s="176">
        <v>31.07</v>
      </c>
      <c r="G627" s="176">
        <f t="shared" si="57"/>
        <v>31.07</v>
      </c>
      <c r="H627" s="294" t="s">
        <v>68</v>
      </c>
      <c r="I627" s="176">
        <f t="shared" si="58"/>
        <v>18829.196000000004</v>
      </c>
      <c r="J627" s="176">
        <f t="shared" si="59"/>
        <v>899.3839999999982</v>
      </c>
      <c r="K627" s="177"/>
      <c r="L627" s="385" t="s">
        <v>166</v>
      </c>
      <c r="M627" s="386"/>
      <c r="T627" s="60"/>
      <c r="U627" s="60"/>
    </row>
    <row r="628" spans="1:21" s="59" customFormat="1" ht="13.5" customHeight="1">
      <c r="A628" s="52"/>
      <c r="B628" s="396"/>
      <c r="C628" s="293" t="s">
        <v>131</v>
      </c>
      <c r="D628" s="296"/>
      <c r="E628" s="272"/>
      <c r="F628" s="176">
        <v>31.13</v>
      </c>
      <c r="G628" s="176">
        <f t="shared" si="57"/>
        <v>31.13</v>
      </c>
      <c r="H628" s="294" t="s">
        <v>68</v>
      </c>
      <c r="I628" s="176">
        <f t="shared" si="58"/>
        <v>18860.326000000005</v>
      </c>
      <c r="J628" s="176">
        <f t="shared" si="59"/>
        <v>868.25399999999718</v>
      </c>
      <c r="K628" s="177"/>
      <c r="L628" s="378" t="s">
        <v>166</v>
      </c>
      <c r="M628" s="379"/>
      <c r="T628" s="60"/>
      <c r="U628" s="60"/>
    </row>
    <row r="629" spans="1:21" s="59" customFormat="1" ht="13.5" customHeight="1">
      <c r="A629" s="52"/>
      <c r="B629" s="383" t="s">
        <v>238</v>
      </c>
      <c r="C629" s="276" t="s">
        <v>131</v>
      </c>
      <c r="D629" s="277"/>
      <c r="E629" s="278"/>
      <c r="F629" s="279">
        <v>30.9</v>
      </c>
      <c r="G629" s="279">
        <f t="shared" si="57"/>
        <v>30.9</v>
      </c>
      <c r="H629" s="280" t="s">
        <v>68</v>
      </c>
      <c r="I629" s="279">
        <f t="shared" si="58"/>
        <v>18891.226000000006</v>
      </c>
      <c r="J629" s="279">
        <f t="shared" si="59"/>
        <v>837.35399999999572</v>
      </c>
      <c r="K629" s="281"/>
      <c r="L629" s="378" t="s">
        <v>166</v>
      </c>
      <c r="M629" s="379"/>
      <c r="T629" s="60"/>
      <c r="U629" s="60"/>
    </row>
    <row r="630" spans="1:21" s="59" customFormat="1" ht="13.5" customHeight="1">
      <c r="A630" s="52"/>
      <c r="B630" s="384"/>
      <c r="C630" s="276" t="s">
        <v>131</v>
      </c>
      <c r="D630" s="277"/>
      <c r="E630" s="278"/>
      <c r="F630" s="279">
        <v>31.16</v>
      </c>
      <c r="G630" s="279">
        <f t="shared" si="57"/>
        <v>31.16</v>
      </c>
      <c r="H630" s="280" t="s">
        <v>68</v>
      </c>
      <c r="I630" s="279">
        <f t="shared" si="58"/>
        <v>18922.386000000006</v>
      </c>
      <c r="J630" s="279">
        <f t="shared" si="59"/>
        <v>806.19399999999587</v>
      </c>
      <c r="K630" s="281"/>
      <c r="L630" s="378" t="s">
        <v>166</v>
      </c>
      <c r="M630" s="379"/>
      <c r="T630" s="60"/>
      <c r="U630" s="60"/>
    </row>
    <row r="631" spans="1:21" s="59" customFormat="1" ht="13.5" customHeight="1">
      <c r="A631" s="52"/>
      <c r="B631" s="384"/>
      <c r="C631" s="276" t="s">
        <v>131</v>
      </c>
      <c r="D631" s="277"/>
      <c r="E631" s="278"/>
      <c r="F631" s="279">
        <v>31.05</v>
      </c>
      <c r="G631" s="279">
        <f t="shared" si="57"/>
        <v>31.05</v>
      </c>
      <c r="H631" s="280" t="s">
        <v>68</v>
      </c>
      <c r="I631" s="279">
        <f t="shared" si="58"/>
        <v>18953.436000000005</v>
      </c>
      <c r="J631" s="279">
        <f t="shared" si="59"/>
        <v>775.14399999999659</v>
      </c>
      <c r="K631" s="281"/>
      <c r="L631" s="378" t="s">
        <v>166</v>
      </c>
      <c r="M631" s="379"/>
      <c r="T631" s="60"/>
      <c r="U631" s="60"/>
    </row>
    <row r="632" spans="1:21" s="59" customFormat="1" ht="13.5" customHeight="1">
      <c r="A632" s="52"/>
      <c r="B632" s="395" t="s">
        <v>239</v>
      </c>
      <c r="C632" s="293" t="s">
        <v>131</v>
      </c>
      <c r="D632" s="296"/>
      <c r="E632" s="272"/>
      <c r="F632" s="176">
        <v>30.9</v>
      </c>
      <c r="G632" s="176">
        <f t="shared" si="57"/>
        <v>30.9</v>
      </c>
      <c r="H632" s="294" t="s">
        <v>68</v>
      </c>
      <c r="I632" s="176">
        <f t="shared" si="58"/>
        <v>18984.336000000007</v>
      </c>
      <c r="J632" s="176">
        <f t="shared" si="59"/>
        <v>744.24399999999514</v>
      </c>
      <c r="K632" s="177"/>
      <c r="L632" s="378" t="s">
        <v>166</v>
      </c>
      <c r="M632" s="379"/>
      <c r="T632" s="60"/>
      <c r="U632" s="60"/>
    </row>
    <row r="633" spans="1:21" s="59" customFormat="1" ht="13.5" customHeight="1">
      <c r="A633" s="52"/>
      <c r="B633" s="396"/>
      <c r="C633" s="293" t="s">
        <v>131</v>
      </c>
      <c r="D633" s="296"/>
      <c r="E633" s="272"/>
      <c r="F633" s="176">
        <v>31.16</v>
      </c>
      <c r="G633" s="176">
        <f t="shared" si="57"/>
        <v>31.16</v>
      </c>
      <c r="H633" s="294" t="s">
        <v>68</v>
      </c>
      <c r="I633" s="176">
        <f t="shared" si="58"/>
        <v>19015.496000000006</v>
      </c>
      <c r="J633" s="176">
        <f t="shared" si="59"/>
        <v>713.08399999999529</v>
      </c>
      <c r="K633" s="177"/>
      <c r="L633" s="399" t="s">
        <v>166</v>
      </c>
      <c r="M633" s="400"/>
      <c r="T633" s="60"/>
      <c r="U633" s="60"/>
    </row>
    <row r="634" spans="1:21" s="59" customFormat="1" ht="13.5" customHeight="1">
      <c r="A634" s="52"/>
      <c r="B634" s="396"/>
      <c r="C634" s="293" t="s">
        <v>131</v>
      </c>
      <c r="D634" s="296"/>
      <c r="E634" s="272"/>
      <c r="F634" s="176">
        <v>30.97</v>
      </c>
      <c r="G634" s="176">
        <f t="shared" si="57"/>
        <v>30.97</v>
      </c>
      <c r="H634" s="294" t="s">
        <v>68</v>
      </c>
      <c r="I634" s="176">
        <f t="shared" si="58"/>
        <v>19046.466000000008</v>
      </c>
      <c r="J634" s="176">
        <f t="shared" si="59"/>
        <v>682.11399999999412</v>
      </c>
      <c r="K634" s="177"/>
      <c r="L634" s="399" t="s">
        <v>166</v>
      </c>
      <c r="M634" s="400"/>
      <c r="T634" s="60"/>
      <c r="U634" s="60"/>
    </row>
    <row r="635" spans="1:21" s="59" customFormat="1" ht="13.5" customHeight="1">
      <c r="A635" s="52"/>
      <c r="B635" s="383" t="s">
        <v>240</v>
      </c>
      <c r="C635" s="276" t="s">
        <v>131</v>
      </c>
      <c r="D635" s="277"/>
      <c r="E635" s="278"/>
      <c r="F635" s="279">
        <v>31.18</v>
      </c>
      <c r="G635" s="279">
        <f t="shared" si="57"/>
        <v>31.18</v>
      </c>
      <c r="H635" s="280" t="s">
        <v>68</v>
      </c>
      <c r="I635" s="279">
        <f t="shared" si="58"/>
        <v>19077.646000000008</v>
      </c>
      <c r="J635" s="279">
        <f t="shared" si="59"/>
        <v>650.93399999999383</v>
      </c>
      <c r="K635" s="281"/>
      <c r="L635" s="397" t="s">
        <v>166</v>
      </c>
      <c r="M635" s="398"/>
      <c r="T635" s="60"/>
      <c r="U635" s="60"/>
    </row>
    <row r="636" spans="1:21" s="59" customFormat="1" ht="13.5" customHeight="1">
      <c r="A636" s="52"/>
      <c r="B636" s="384"/>
      <c r="C636" s="276" t="s">
        <v>131</v>
      </c>
      <c r="D636" s="277"/>
      <c r="E636" s="278"/>
      <c r="F636" s="279">
        <v>30.98</v>
      </c>
      <c r="G636" s="279">
        <f t="shared" si="57"/>
        <v>30.98</v>
      </c>
      <c r="H636" s="280" t="s">
        <v>68</v>
      </c>
      <c r="I636" s="279">
        <f t="shared" si="58"/>
        <v>19108.626000000007</v>
      </c>
      <c r="J636" s="279">
        <f t="shared" si="59"/>
        <v>619.95399999999427</v>
      </c>
      <c r="K636" s="281"/>
      <c r="L636" s="378" t="s">
        <v>166</v>
      </c>
      <c r="M636" s="379"/>
      <c r="T636" s="60"/>
      <c r="U636" s="60"/>
    </row>
    <row r="637" spans="1:21" s="59" customFormat="1" ht="13.5" customHeight="1">
      <c r="A637" s="52"/>
      <c r="B637" s="384"/>
      <c r="C637" s="276" t="s">
        <v>131</v>
      </c>
      <c r="D637" s="277"/>
      <c r="E637" s="278"/>
      <c r="F637" s="279">
        <v>31.3</v>
      </c>
      <c r="G637" s="279">
        <f t="shared" si="57"/>
        <v>31.3</v>
      </c>
      <c r="H637" s="280" t="s">
        <v>68</v>
      </c>
      <c r="I637" s="279">
        <f t="shared" si="58"/>
        <v>19139.926000000007</v>
      </c>
      <c r="J637" s="279">
        <f t="shared" si="59"/>
        <v>588.65399999999499</v>
      </c>
      <c r="K637" s="281"/>
      <c r="L637" s="378" t="s">
        <v>166</v>
      </c>
      <c r="M637" s="379"/>
      <c r="T637" s="60"/>
      <c r="U637" s="60"/>
    </row>
    <row r="638" spans="1:21" s="59" customFormat="1" ht="13.5" customHeight="1">
      <c r="A638" s="52"/>
      <c r="B638" s="395" t="s">
        <v>241</v>
      </c>
      <c r="C638" s="293" t="s">
        <v>131</v>
      </c>
      <c r="D638" s="296"/>
      <c r="E638" s="272"/>
      <c r="F638" s="176">
        <v>31.25</v>
      </c>
      <c r="G638" s="176">
        <f t="shared" si="57"/>
        <v>31.25</v>
      </c>
      <c r="H638" s="294" t="s">
        <v>68</v>
      </c>
      <c r="I638" s="176">
        <f t="shared" si="58"/>
        <v>19171.176000000007</v>
      </c>
      <c r="J638" s="176">
        <f t="shared" si="59"/>
        <v>557.40399999999499</v>
      </c>
      <c r="K638" s="177"/>
      <c r="L638" s="378" t="s">
        <v>166</v>
      </c>
      <c r="M638" s="379"/>
      <c r="T638" s="60"/>
      <c r="U638" s="60"/>
    </row>
    <row r="639" spans="1:21" s="59" customFormat="1" ht="13.5" customHeight="1">
      <c r="A639" s="52"/>
      <c r="B639" s="396"/>
      <c r="C639" s="293" t="s">
        <v>131</v>
      </c>
      <c r="D639" s="296"/>
      <c r="E639" s="272"/>
      <c r="F639" s="176">
        <v>30.77</v>
      </c>
      <c r="G639" s="176">
        <f t="shared" si="57"/>
        <v>30.77</v>
      </c>
      <c r="H639" s="294" t="s">
        <v>68</v>
      </c>
      <c r="I639" s="176">
        <f t="shared" si="58"/>
        <v>19201.946000000007</v>
      </c>
      <c r="J639" s="176">
        <f t="shared" si="59"/>
        <v>526.63399999999456</v>
      </c>
      <c r="K639" s="177"/>
      <c r="L639" s="378" t="s">
        <v>166</v>
      </c>
      <c r="M639" s="379"/>
      <c r="T639" s="60"/>
      <c r="U639" s="60"/>
    </row>
    <row r="640" spans="1:21" s="59" customFormat="1" ht="13.5" customHeight="1">
      <c r="A640" s="52"/>
      <c r="B640" s="396"/>
      <c r="C640" s="293" t="s">
        <v>131</v>
      </c>
      <c r="D640" s="296"/>
      <c r="E640" s="272"/>
      <c r="F640" s="176">
        <v>31.27</v>
      </c>
      <c r="G640" s="176">
        <f t="shared" si="57"/>
        <v>31.27</v>
      </c>
      <c r="H640" s="294" t="s">
        <v>68</v>
      </c>
      <c r="I640" s="176">
        <f t="shared" si="58"/>
        <v>19233.216000000008</v>
      </c>
      <c r="J640" s="176">
        <f t="shared" si="59"/>
        <v>495.36399999999412</v>
      </c>
      <c r="K640" s="177"/>
      <c r="L640" s="378" t="s">
        <v>166</v>
      </c>
      <c r="M640" s="379"/>
      <c r="T640" s="60"/>
      <c r="U640" s="60"/>
    </row>
    <row r="641" spans="1:21" s="59" customFormat="1" ht="13.5" customHeight="1">
      <c r="A641" s="52"/>
      <c r="B641" s="383" t="s">
        <v>242</v>
      </c>
      <c r="C641" s="276" t="s">
        <v>131</v>
      </c>
      <c r="D641" s="277"/>
      <c r="E641" s="278"/>
      <c r="F641" s="279">
        <v>31.16</v>
      </c>
      <c r="G641" s="279">
        <f t="shared" si="57"/>
        <v>31.16</v>
      </c>
      <c r="H641" s="280" t="s">
        <v>68</v>
      </c>
      <c r="I641" s="279">
        <f t="shared" si="58"/>
        <v>19264.376000000007</v>
      </c>
      <c r="J641" s="279">
        <f t="shared" si="59"/>
        <v>464.20399999999427</v>
      </c>
      <c r="K641" s="281"/>
      <c r="L641" s="385" t="s">
        <v>166</v>
      </c>
      <c r="M641" s="386"/>
      <c r="T641" s="60"/>
      <c r="U641" s="60"/>
    </row>
    <row r="642" spans="1:21" s="59" customFormat="1" ht="13.5" customHeight="1">
      <c r="A642" s="52"/>
      <c r="B642" s="384"/>
      <c r="C642" s="276" t="s">
        <v>131</v>
      </c>
      <c r="D642" s="277"/>
      <c r="E642" s="278"/>
      <c r="F642" s="279">
        <v>31.18</v>
      </c>
      <c r="G642" s="279">
        <f t="shared" si="57"/>
        <v>31.18</v>
      </c>
      <c r="H642" s="280" t="s">
        <v>68</v>
      </c>
      <c r="I642" s="279">
        <f t="shared" si="58"/>
        <v>19295.556000000008</v>
      </c>
      <c r="J642" s="279">
        <f t="shared" si="59"/>
        <v>433.02399999999398</v>
      </c>
      <c r="K642" s="281"/>
      <c r="L642" s="385" t="s">
        <v>166</v>
      </c>
      <c r="M642" s="386"/>
      <c r="T642" s="60"/>
      <c r="U642" s="60"/>
    </row>
    <row r="643" spans="1:21" s="59" customFormat="1" ht="13.5" customHeight="1">
      <c r="A643" s="52"/>
      <c r="B643" s="384"/>
      <c r="C643" s="276" t="s">
        <v>131</v>
      </c>
      <c r="D643" s="277"/>
      <c r="E643" s="278"/>
      <c r="F643" s="279">
        <v>31.34</v>
      </c>
      <c r="G643" s="279">
        <f t="shared" si="57"/>
        <v>31.34</v>
      </c>
      <c r="H643" s="280" t="s">
        <v>68</v>
      </c>
      <c r="I643" s="279">
        <f t="shared" si="58"/>
        <v>19326.896000000008</v>
      </c>
      <c r="J643" s="279">
        <f t="shared" si="59"/>
        <v>401.68399999999383</v>
      </c>
      <c r="K643" s="281"/>
      <c r="L643" s="385" t="s">
        <v>166</v>
      </c>
      <c r="M643" s="386"/>
      <c r="T643" s="60"/>
      <c r="U643" s="60"/>
    </row>
    <row r="644" spans="1:21" s="59" customFormat="1" ht="13.5" customHeight="1">
      <c r="A644" s="52"/>
      <c r="B644" s="395" t="s">
        <v>243</v>
      </c>
      <c r="C644" s="293" t="s">
        <v>131</v>
      </c>
      <c r="D644" s="296"/>
      <c r="E644" s="272"/>
      <c r="F644" s="176">
        <v>31</v>
      </c>
      <c r="G644" s="176">
        <f t="shared" si="57"/>
        <v>31</v>
      </c>
      <c r="H644" s="294" t="s">
        <v>68</v>
      </c>
      <c r="I644" s="176">
        <f t="shared" si="58"/>
        <v>19357.896000000008</v>
      </c>
      <c r="J644" s="176">
        <f t="shared" si="59"/>
        <v>370.68399999999383</v>
      </c>
      <c r="K644" s="177"/>
      <c r="L644" s="385" t="s">
        <v>166</v>
      </c>
      <c r="M644" s="386"/>
      <c r="T644" s="60"/>
      <c r="U644" s="60"/>
    </row>
    <row r="645" spans="1:21" s="59" customFormat="1" ht="13.5" customHeight="1">
      <c r="A645" s="52"/>
      <c r="B645" s="396"/>
      <c r="C645" s="293" t="s">
        <v>131</v>
      </c>
      <c r="D645" s="296"/>
      <c r="E645" s="272"/>
      <c r="F645" s="176">
        <v>31.36</v>
      </c>
      <c r="G645" s="176">
        <f t="shared" si="57"/>
        <v>31.36</v>
      </c>
      <c r="H645" s="294" t="s">
        <v>68</v>
      </c>
      <c r="I645" s="176">
        <f t="shared" si="58"/>
        <v>19389.256000000008</v>
      </c>
      <c r="J645" s="176">
        <f t="shared" si="59"/>
        <v>339.32399999999325</v>
      </c>
      <c r="K645" s="177"/>
      <c r="L645" s="385" t="s">
        <v>166</v>
      </c>
      <c r="M645" s="386"/>
      <c r="T645" s="60"/>
      <c r="U645" s="60"/>
    </row>
    <row r="646" spans="1:21" s="59" customFormat="1" ht="13.5" customHeight="1">
      <c r="A646" s="52"/>
      <c r="B646" s="396"/>
      <c r="C646" s="293" t="s">
        <v>131</v>
      </c>
      <c r="D646" s="296"/>
      <c r="E646" s="272"/>
      <c r="F646" s="176">
        <v>31.37</v>
      </c>
      <c r="G646" s="176">
        <f t="shared" si="57"/>
        <v>31.37</v>
      </c>
      <c r="H646" s="294" t="s">
        <v>68</v>
      </c>
      <c r="I646" s="176">
        <f t="shared" si="58"/>
        <v>19420.626000000007</v>
      </c>
      <c r="J646" s="176">
        <f t="shared" si="59"/>
        <v>307.95399999999427</v>
      </c>
      <c r="K646" s="177"/>
      <c r="L646" s="385" t="s">
        <v>166</v>
      </c>
      <c r="M646" s="386"/>
      <c r="T646" s="60"/>
      <c r="U646" s="60"/>
    </row>
    <row r="647" spans="1:21" s="59" customFormat="1" ht="13.5" customHeight="1">
      <c r="A647" s="52"/>
      <c r="B647" s="383" t="s">
        <v>244</v>
      </c>
      <c r="C647" s="276" t="s">
        <v>131</v>
      </c>
      <c r="D647" s="277"/>
      <c r="E647" s="278"/>
      <c r="F647" s="279">
        <v>31.1</v>
      </c>
      <c r="G647" s="279">
        <f t="shared" si="57"/>
        <v>31.1</v>
      </c>
      <c r="H647" s="280" t="s">
        <v>68</v>
      </c>
      <c r="I647" s="279">
        <f t="shared" si="58"/>
        <v>19451.726000000006</v>
      </c>
      <c r="J647" s="279">
        <f t="shared" si="59"/>
        <v>276.85399999999572</v>
      </c>
      <c r="K647" s="281"/>
      <c r="L647" s="378" t="s">
        <v>166</v>
      </c>
      <c r="M647" s="379"/>
      <c r="T647" s="60"/>
      <c r="U647" s="60"/>
    </row>
    <row r="648" spans="1:21" s="59" customFormat="1" ht="13.5" customHeight="1">
      <c r="A648" s="52"/>
      <c r="B648" s="384"/>
      <c r="C648" s="276" t="s">
        <v>131</v>
      </c>
      <c r="D648" s="277"/>
      <c r="E648" s="278"/>
      <c r="F648" s="279">
        <v>31.26</v>
      </c>
      <c r="G648" s="279">
        <f t="shared" si="57"/>
        <v>31.26</v>
      </c>
      <c r="H648" s="280" t="s">
        <v>68</v>
      </c>
      <c r="I648" s="279">
        <f t="shared" si="58"/>
        <v>19482.986000000004</v>
      </c>
      <c r="J648" s="279">
        <f t="shared" si="59"/>
        <v>245.59399999999732</v>
      </c>
      <c r="K648" s="281"/>
      <c r="L648" s="378" t="s">
        <v>166</v>
      </c>
      <c r="M648" s="379"/>
      <c r="T648" s="60"/>
      <c r="U648" s="60"/>
    </row>
    <row r="649" spans="1:21" s="59" customFormat="1" ht="13.5" customHeight="1">
      <c r="A649" s="52"/>
      <c r="B649" s="384"/>
      <c r="C649" s="276" t="s">
        <v>131</v>
      </c>
      <c r="D649" s="277"/>
      <c r="E649" s="278"/>
      <c r="F649" s="279">
        <v>31.15</v>
      </c>
      <c r="G649" s="279">
        <f t="shared" si="57"/>
        <v>31.15</v>
      </c>
      <c r="H649" s="280" t="s">
        <v>68</v>
      </c>
      <c r="I649" s="279">
        <f t="shared" si="58"/>
        <v>19514.136000000006</v>
      </c>
      <c r="J649" s="279">
        <f t="shared" si="59"/>
        <v>214.44399999999587</v>
      </c>
      <c r="K649" s="281"/>
      <c r="L649" s="378" t="s">
        <v>166</v>
      </c>
      <c r="M649" s="379"/>
      <c r="T649" s="60"/>
      <c r="U649" s="60"/>
    </row>
    <row r="650" spans="1:21" s="59" customFormat="1" ht="13.5" customHeight="1">
      <c r="A650" s="52"/>
      <c r="B650" s="395" t="s">
        <v>245</v>
      </c>
      <c r="C650" s="293" t="s">
        <v>131</v>
      </c>
      <c r="D650" s="296"/>
      <c r="E650" s="272"/>
      <c r="F650" s="176">
        <v>31.28</v>
      </c>
      <c r="G650" s="176">
        <f t="shared" si="57"/>
        <v>31.28</v>
      </c>
      <c r="H650" s="294" t="s">
        <v>68</v>
      </c>
      <c r="I650" s="176">
        <f t="shared" si="58"/>
        <v>19545.416000000005</v>
      </c>
      <c r="J650" s="176">
        <f t="shared" si="59"/>
        <v>183.16399999999703</v>
      </c>
      <c r="K650" s="177"/>
      <c r="L650" s="385" t="s">
        <v>166</v>
      </c>
      <c r="M650" s="386"/>
      <c r="T650" s="60"/>
      <c r="U650" s="60"/>
    </row>
    <row r="651" spans="1:21" s="59" customFormat="1" ht="13.5" customHeight="1">
      <c r="A651" s="52"/>
      <c r="B651" s="396"/>
      <c r="C651" s="293" t="s">
        <v>131</v>
      </c>
      <c r="D651" s="296"/>
      <c r="E651" s="272"/>
      <c r="F651" s="176">
        <v>31.1</v>
      </c>
      <c r="G651" s="176">
        <f t="shared" si="57"/>
        <v>31.1</v>
      </c>
      <c r="H651" s="294" t="s">
        <v>68</v>
      </c>
      <c r="I651" s="176">
        <f t="shared" si="58"/>
        <v>19576.516000000003</v>
      </c>
      <c r="J651" s="176">
        <f t="shared" si="59"/>
        <v>152.06399999999849</v>
      </c>
      <c r="K651" s="177"/>
      <c r="L651" s="385" t="s">
        <v>166</v>
      </c>
      <c r="M651" s="386"/>
      <c r="T651" s="60"/>
      <c r="U651" s="60"/>
    </row>
    <row r="652" spans="1:21" s="59" customFormat="1" ht="13.5" customHeight="1">
      <c r="A652" s="52"/>
      <c r="B652" s="396"/>
      <c r="C652" s="293" t="s">
        <v>131</v>
      </c>
      <c r="D652" s="296"/>
      <c r="E652" s="272"/>
      <c r="F652" s="176">
        <v>31.01</v>
      </c>
      <c r="G652" s="176">
        <f t="shared" si="57"/>
        <v>31.01</v>
      </c>
      <c r="H652" s="294" t="s">
        <v>68</v>
      </c>
      <c r="I652" s="176">
        <f t="shared" si="58"/>
        <v>19607.526000000002</v>
      </c>
      <c r="J652" s="176">
        <f t="shared" si="59"/>
        <v>121.05400000000009</v>
      </c>
      <c r="K652" s="177"/>
      <c r="L652" s="385" t="s">
        <v>166</v>
      </c>
      <c r="M652" s="386"/>
      <c r="T652" s="60"/>
      <c r="U652" s="60"/>
    </row>
    <row r="653" spans="1:21" s="59" customFormat="1" ht="13.5" customHeight="1">
      <c r="A653" s="52"/>
      <c r="B653" s="297" t="s">
        <v>246</v>
      </c>
      <c r="C653" s="298" t="s">
        <v>131</v>
      </c>
      <c r="D653" s="299"/>
      <c r="E653" s="300"/>
      <c r="F653" s="301">
        <v>31.67</v>
      </c>
      <c r="G653" s="301">
        <f t="shared" ref="G653:G716" si="60">F653</f>
        <v>31.67</v>
      </c>
      <c r="H653" s="301" t="s">
        <v>68</v>
      </c>
      <c r="I653" s="301">
        <f t="shared" si="58"/>
        <v>19639.196</v>
      </c>
      <c r="J653" s="301">
        <f t="shared" si="59"/>
        <v>89.384000000001834</v>
      </c>
      <c r="K653" s="302"/>
      <c r="L653" s="178"/>
      <c r="M653" s="179"/>
      <c r="T653" s="60"/>
      <c r="U653" s="60"/>
    </row>
    <row r="654" spans="1:21" s="59" customFormat="1" ht="13.5" customHeight="1">
      <c r="A654" s="52"/>
      <c r="B654" s="383" t="s">
        <v>247</v>
      </c>
      <c r="C654" s="276" t="s">
        <v>131</v>
      </c>
      <c r="D654" s="277"/>
      <c r="E654" s="278"/>
      <c r="F654" s="279">
        <v>31.19</v>
      </c>
      <c r="G654" s="279">
        <f t="shared" si="60"/>
        <v>31.19</v>
      </c>
      <c r="H654" s="280" t="s">
        <v>68</v>
      </c>
      <c r="I654" s="279">
        <f t="shared" si="58"/>
        <v>19670.385999999999</v>
      </c>
      <c r="J654" s="279">
        <f t="shared" si="59"/>
        <v>58.194000000003143</v>
      </c>
      <c r="K654" s="281"/>
      <c r="L654" s="385" t="s">
        <v>166</v>
      </c>
      <c r="M654" s="386"/>
      <c r="T654" s="60"/>
      <c r="U654" s="60"/>
    </row>
    <row r="655" spans="1:21" s="59" customFormat="1" ht="13.5" customHeight="1">
      <c r="A655" s="52"/>
      <c r="B655" s="384"/>
      <c r="C655" s="276" t="s">
        <v>131</v>
      </c>
      <c r="D655" s="277"/>
      <c r="E655" s="278"/>
      <c r="F655" s="279">
        <v>30.88</v>
      </c>
      <c r="G655" s="279">
        <f t="shared" si="60"/>
        <v>30.88</v>
      </c>
      <c r="H655" s="280" t="s">
        <v>68</v>
      </c>
      <c r="I655" s="279">
        <f t="shared" si="58"/>
        <v>19701.266</v>
      </c>
      <c r="J655" s="279">
        <f t="shared" si="59"/>
        <v>27.314000000002125</v>
      </c>
      <c r="K655" s="281"/>
      <c r="L655" s="385" t="s">
        <v>166</v>
      </c>
      <c r="M655" s="386"/>
      <c r="T655" s="60"/>
      <c r="U655" s="60"/>
    </row>
    <row r="656" spans="1:21" s="59" customFormat="1" ht="13.5" customHeight="1">
      <c r="A656" s="52"/>
      <c r="B656" s="384"/>
      <c r="C656" s="276" t="s">
        <v>131</v>
      </c>
      <c r="D656" s="277"/>
      <c r="E656" s="278"/>
      <c r="F656" s="279">
        <v>31.31</v>
      </c>
      <c r="G656" s="279">
        <f t="shared" si="60"/>
        <v>31.31</v>
      </c>
      <c r="H656" s="280" t="s">
        <v>68</v>
      </c>
      <c r="I656" s="279">
        <f t="shared" si="58"/>
        <v>19732.576000000001</v>
      </c>
      <c r="J656" s="279">
        <f t="shared" si="59"/>
        <v>-3.9959999999991851</v>
      </c>
      <c r="K656" s="281"/>
      <c r="L656" s="385" t="s">
        <v>166</v>
      </c>
      <c r="M656" s="386"/>
      <c r="T656" s="60"/>
      <c r="U656" s="60"/>
    </row>
    <row r="657" spans="1:21" s="59" customFormat="1" ht="13.5" customHeight="1">
      <c r="A657" s="52"/>
      <c r="B657" s="303" t="s">
        <v>248</v>
      </c>
      <c r="C657" s="304" t="s">
        <v>249</v>
      </c>
      <c r="D657" s="305"/>
      <c r="E657" s="306"/>
      <c r="F657" s="307">
        <v>5</v>
      </c>
      <c r="G657" s="307">
        <f t="shared" si="60"/>
        <v>5</v>
      </c>
      <c r="H657" s="307" t="s">
        <v>68</v>
      </c>
      <c r="I657" s="307">
        <f t="shared" si="58"/>
        <v>19737.576000000001</v>
      </c>
      <c r="J657" s="307">
        <f t="shared" si="59"/>
        <v>-8.9959999999991851</v>
      </c>
      <c r="K657" s="308"/>
      <c r="L657" s="178"/>
      <c r="M657" s="179"/>
      <c r="T657" s="60"/>
      <c r="U657" s="60"/>
    </row>
    <row r="658" spans="1:21" s="59" customFormat="1" ht="13.5" customHeight="1">
      <c r="A658" s="52"/>
      <c r="B658" s="387" t="s">
        <v>250</v>
      </c>
      <c r="C658" s="377" t="s">
        <v>251</v>
      </c>
      <c r="D658" s="377"/>
      <c r="E658" s="377"/>
      <c r="F658" s="268">
        <v>3.59</v>
      </c>
      <c r="G658" s="268">
        <f t="shared" si="60"/>
        <v>3.59</v>
      </c>
      <c r="H658" s="269" t="s">
        <v>68</v>
      </c>
      <c r="I658" s="268">
        <f t="shared" ref="I658:I721" si="61">IF(H658="IN",I657+G658,I657)</f>
        <v>19741.166000000001</v>
      </c>
      <c r="J658" s="269">
        <f t="shared" ref="J658:J721" si="62">IF(I658="","",$L$8-I658)</f>
        <v>-12.585999999999331</v>
      </c>
      <c r="K658" s="390" t="s">
        <v>252</v>
      </c>
      <c r="L658" s="392" t="s">
        <v>253</v>
      </c>
      <c r="M658" s="393"/>
      <c r="T658" s="60"/>
      <c r="U658" s="60"/>
    </row>
    <row r="659" spans="1:21" s="59" customFormat="1" ht="13.5" customHeight="1">
      <c r="A659" s="52"/>
      <c r="B659" s="388"/>
      <c r="C659" s="377" t="s">
        <v>254</v>
      </c>
      <c r="D659" s="377"/>
      <c r="E659" s="377"/>
      <c r="F659" s="268">
        <v>3.78</v>
      </c>
      <c r="G659" s="268">
        <f t="shared" si="60"/>
        <v>3.78</v>
      </c>
      <c r="H659" s="269" t="str">
        <f>IF(F659="","OUT","IN")</f>
        <v>IN</v>
      </c>
      <c r="I659" s="269">
        <f t="shared" si="61"/>
        <v>19744.946</v>
      </c>
      <c r="J659" s="269">
        <f t="shared" si="62"/>
        <v>-16.365999999998166</v>
      </c>
      <c r="K659" s="391"/>
      <c r="L659" s="309" t="s">
        <v>255</v>
      </c>
      <c r="M659" s="310"/>
      <c r="T659" s="60"/>
      <c r="U659" s="60"/>
    </row>
    <row r="660" spans="1:21" s="59" customFormat="1" ht="13.5" customHeight="1">
      <c r="A660" s="52"/>
      <c r="B660" s="388"/>
      <c r="C660" s="394" t="s">
        <v>256</v>
      </c>
      <c r="D660" s="394"/>
      <c r="E660" s="394"/>
      <c r="F660" s="268">
        <v>12.25</v>
      </c>
      <c r="G660" s="268">
        <f t="shared" si="60"/>
        <v>12.25</v>
      </c>
      <c r="H660" s="269" t="str">
        <f>IF(F660="","OUT","IN")</f>
        <v>IN</v>
      </c>
      <c r="I660" s="269">
        <f t="shared" si="61"/>
        <v>19757.196</v>
      </c>
      <c r="J660" s="269">
        <f t="shared" si="62"/>
        <v>-28.615999999998166</v>
      </c>
      <c r="K660" s="391"/>
      <c r="L660" s="309" t="s">
        <v>257</v>
      </c>
      <c r="M660" s="310"/>
      <c r="T660" s="60"/>
      <c r="U660" s="60"/>
    </row>
    <row r="661" spans="1:21" s="59" customFormat="1" ht="13.5" customHeight="1">
      <c r="A661" s="52"/>
      <c r="B661" s="388"/>
      <c r="C661" s="377" t="s">
        <v>258</v>
      </c>
      <c r="D661" s="377" t="s">
        <v>259</v>
      </c>
      <c r="E661" s="377" t="s">
        <v>259</v>
      </c>
      <c r="F661" s="268">
        <v>3.78</v>
      </c>
      <c r="G661" s="268">
        <f t="shared" si="60"/>
        <v>3.78</v>
      </c>
      <c r="H661" s="269" t="str">
        <f>IF(F661="","OUT","IN")</f>
        <v>IN</v>
      </c>
      <c r="I661" s="269">
        <f t="shared" si="61"/>
        <v>19760.975999999999</v>
      </c>
      <c r="J661" s="268">
        <f t="shared" si="62"/>
        <v>-32.395999999997002</v>
      </c>
      <c r="K661" s="391"/>
      <c r="L661" s="309" t="s">
        <v>260</v>
      </c>
      <c r="M661" s="310"/>
      <c r="T661" s="60"/>
      <c r="U661" s="60"/>
    </row>
    <row r="662" spans="1:21" s="59" customFormat="1" ht="13.5" customHeight="1">
      <c r="A662" s="52"/>
      <c r="B662" s="388"/>
      <c r="C662" s="377" t="s">
        <v>261</v>
      </c>
      <c r="D662" s="377"/>
      <c r="E662" s="377"/>
      <c r="F662" s="268">
        <v>3.61</v>
      </c>
      <c r="G662" s="268">
        <f t="shared" si="60"/>
        <v>3.61</v>
      </c>
      <c r="H662" s="269" t="str">
        <f>IF(F662="","OUT","IN")</f>
        <v>IN</v>
      </c>
      <c r="I662" s="269">
        <f t="shared" si="61"/>
        <v>19764.585999999999</v>
      </c>
      <c r="J662" s="268">
        <f t="shared" si="62"/>
        <v>-36.005999999997584</v>
      </c>
      <c r="K662" s="391"/>
      <c r="L662" s="311"/>
      <c r="M662" s="312"/>
      <c r="T662" s="60"/>
      <c r="U662" s="60"/>
    </row>
    <row r="663" spans="1:21" s="59" customFormat="1" ht="13.5" customHeight="1">
      <c r="A663" s="52"/>
      <c r="B663" s="388"/>
      <c r="C663" s="377" t="s">
        <v>262</v>
      </c>
      <c r="D663" s="377" t="s">
        <v>263</v>
      </c>
      <c r="E663" s="377" t="s">
        <v>263</v>
      </c>
      <c r="F663" s="268">
        <v>9.5399999999999991</v>
      </c>
      <c r="G663" s="268">
        <f t="shared" si="60"/>
        <v>9.5399999999999991</v>
      </c>
      <c r="H663" s="269" t="str">
        <f>IF(F663="","OUT","IN")</f>
        <v>IN</v>
      </c>
      <c r="I663" s="268">
        <f t="shared" si="61"/>
        <v>19774.126</v>
      </c>
      <c r="J663" s="268">
        <f t="shared" si="62"/>
        <v>-45.545999999998457</v>
      </c>
      <c r="K663" s="391"/>
      <c r="L663" s="378"/>
      <c r="M663" s="379"/>
      <c r="T663" s="60"/>
      <c r="U663" s="60"/>
    </row>
    <row r="664" spans="1:21" s="59" customFormat="1" ht="13.5" customHeight="1">
      <c r="A664" s="52"/>
      <c r="B664" s="389"/>
      <c r="C664" s="380" t="s">
        <v>264</v>
      </c>
      <c r="D664" s="380"/>
      <c r="E664" s="380"/>
      <c r="F664" s="313">
        <f>SUM(F658:F663)</f>
        <v>36.549999999999997</v>
      </c>
      <c r="G664" s="314"/>
      <c r="H664" s="315"/>
      <c r="I664" s="316"/>
      <c r="J664" s="316"/>
      <c r="K664" s="317"/>
      <c r="L664" s="381"/>
      <c r="M664" s="382"/>
      <c r="Q664" s="112"/>
      <c r="T664" s="60"/>
      <c r="U664" s="60"/>
    </row>
    <row r="665" spans="1:21" s="59" customFormat="1">
      <c r="A665" s="52"/>
      <c r="B665" s="318"/>
      <c r="C665" s="318"/>
      <c r="D665" s="319"/>
      <c r="E665" s="319"/>
      <c r="F665" s="320"/>
      <c r="G665" s="321"/>
      <c r="H665" s="322"/>
      <c r="I665" s="323"/>
      <c r="J665" s="323"/>
      <c r="K665" s="324"/>
      <c r="L665" s="325"/>
      <c r="M665" s="325"/>
      <c r="Q665" s="112"/>
      <c r="T665" s="60"/>
      <c r="U665" s="60"/>
    </row>
    <row r="666" spans="1:21" s="59" customFormat="1" hidden="1">
      <c r="A666" s="52"/>
      <c r="B666" s="318"/>
      <c r="C666" s="318"/>
      <c r="D666" s="319"/>
      <c r="E666" s="319"/>
      <c r="F666" s="320"/>
      <c r="G666" s="321"/>
      <c r="H666" s="322"/>
      <c r="I666" s="323"/>
      <c r="J666" s="323"/>
      <c r="K666" s="324"/>
      <c r="L666" s="326" t="s">
        <v>265</v>
      </c>
      <c r="M666" s="327">
        <v>0.11899999999999999</v>
      </c>
      <c r="Q666" s="112"/>
      <c r="T666" s="60"/>
      <c r="U666" s="60"/>
    </row>
    <row r="667" spans="1:21" s="59" customFormat="1" ht="30" hidden="1" customHeight="1">
      <c r="A667" s="52"/>
      <c r="B667" s="372" t="s">
        <v>266</v>
      </c>
      <c r="C667" s="373"/>
      <c r="D667" s="373"/>
      <c r="E667" s="373"/>
      <c r="F667" s="328" t="s">
        <v>267</v>
      </c>
      <c r="G667" s="328" t="s">
        <v>268</v>
      </c>
      <c r="H667" s="374" t="s">
        <v>269</v>
      </c>
      <c r="I667" s="374"/>
      <c r="J667" s="329" t="s">
        <v>270</v>
      </c>
      <c r="K667" s="330" t="s">
        <v>271</v>
      </c>
      <c r="L667" s="375" t="s">
        <v>272</v>
      </c>
      <c r="M667" s="376"/>
      <c r="Q667" s="112"/>
      <c r="T667" s="60"/>
      <c r="U667" s="60"/>
    </row>
    <row r="668" spans="1:21" s="59" customFormat="1" ht="15" hidden="1" customHeight="1">
      <c r="A668" s="52"/>
      <c r="B668" s="367" t="s">
        <v>273</v>
      </c>
      <c r="C668" s="368"/>
      <c r="D668" s="368"/>
      <c r="E668" s="368"/>
      <c r="F668" s="331">
        <v>4.67</v>
      </c>
      <c r="G668" s="332">
        <v>9103.17</v>
      </c>
      <c r="H668" s="369">
        <v>2.01E-2</v>
      </c>
      <c r="I668" s="369"/>
      <c r="J668" s="333">
        <f>H668*G668</f>
        <v>182.97371699999999</v>
      </c>
      <c r="K668" s="334">
        <f>J668/$M$666</f>
        <v>1537.5942605042017</v>
      </c>
      <c r="L668" s="370">
        <f>K668</f>
        <v>1537.5942605042017</v>
      </c>
      <c r="M668" s="371"/>
      <c r="Q668" s="112"/>
      <c r="T668" s="60"/>
      <c r="U668" s="60"/>
    </row>
    <row r="669" spans="1:21" s="59" customFormat="1" ht="15" hidden="1" customHeight="1">
      <c r="A669" s="52"/>
      <c r="B669" s="367" t="s">
        <v>274</v>
      </c>
      <c r="C669" s="368"/>
      <c r="D669" s="368"/>
      <c r="E669" s="368"/>
      <c r="F669" s="331">
        <v>3.25</v>
      </c>
      <c r="G669" s="332">
        <v>698.31</v>
      </c>
      <c r="H669" s="369">
        <v>1.03E-2</v>
      </c>
      <c r="I669" s="369"/>
      <c r="J669" s="333">
        <f>H669*G669</f>
        <v>7.1925929999999996</v>
      </c>
      <c r="K669" s="334">
        <f>J669/$M$666</f>
        <v>60.441957983193277</v>
      </c>
      <c r="L669" s="370">
        <f>K669+L668</f>
        <v>1598.036218487395</v>
      </c>
      <c r="M669" s="371"/>
      <c r="Q669" s="112"/>
      <c r="T669" s="60"/>
      <c r="U669" s="60"/>
    </row>
    <row r="670" spans="1:21" s="59" customFormat="1" ht="15" hidden="1" customHeight="1">
      <c r="A670" s="52"/>
      <c r="B670" s="367" t="s">
        <v>275</v>
      </c>
      <c r="C670" s="368"/>
      <c r="D670" s="368"/>
      <c r="E670" s="368"/>
      <c r="F670" s="331" t="s">
        <v>54</v>
      </c>
      <c r="G670" s="332">
        <v>50.69</v>
      </c>
      <c r="H670" s="369" t="s">
        <v>54</v>
      </c>
      <c r="I670" s="369"/>
      <c r="J670" s="333">
        <v>0.4</v>
      </c>
      <c r="K670" s="334">
        <f>J670/$M$666</f>
        <v>3.3613445378151265</v>
      </c>
      <c r="L670" s="370">
        <f>K670+L669</f>
        <v>1601.39756302521</v>
      </c>
      <c r="M670" s="371"/>
      <c r="Q670" s="112"/>
      <c r="T670" s="60"/>
      <c r="U670" s="60"/>
    </row>
    <row r="671" spans="1:21" s="59" customFormat="1" ht="15" hidden="1" customHeight="1">
      <c r="A671" s="52"/>
      <c r="B671" s="367" t="s">
        <v>276</v>
      </c>
      <c r="C671" s="368"/>
      <c r="D671" s="368"/>
      <c r="E671" s="368"/>
      <c r="F671" s="331">
        <f>H11</f>
        <v>6.25</v>
      </c>
      <c r="G671" s="332">
        <v>9787.84</v>
      </c>
      <c r="H671" s="369">
        <f>0.0009714*F671^2</f>
        <v>3.7945312500000002E-2</v>
      </c>
      <c r="I671" s="369"/>
      <c r="J671" s="333">
        <f>H671*G671</f>
        <v>371.4026475</v>
      </c>
      <c r="K671" s="334">
        <f>J671/$M$666</f>
        <v>3121.0306512605043</v>
      </c>
      <c r="L671" s="370">
        <f>K671+L670</f>
        <v>4722.4282142857146</v>
      </c>
      <c r="M671" s="371"/>
      <c r="Q671" s="112"/>
      <c r="T671" s="60"/>
      <c r="U671" s="60"/>
    </row>
    <row r="672" spans="1:21" s="59" customFormat="1" ht="15" hidden="1" customHeight="1">
      <c r="A672" s="52"/>
      <c r="B672" s="367" t="s">
        <v>277</v>
      </c>
      <c r="C672" s="368"/>
      <c r="D672" s="368"/>
      <c r="E672" s="368"/>
      <c r="F672" s="331">
        <f>H11</f>
        <v>6.25</v>
      </c>
      <c r="G672" s="332">
        <f>I23</f>
        <v>106.60499999999999</v>
      </c>
      <c r="H672" s="369">
        <f>0.0009714*F672^2</f>
        <v>3.7945312500000002E-2</v>
      </c>
      <c r="I672" s="369"/>
      <c r="J672" s="333">
        <f>H672*G672</f>
        <v>4.0451600390625</v>
      </c>
      <c r="K672" s="334">
        <f>J672/$M$666</f>
        <v>33.992941504726893</v>
      </c>
      <c r="L672" s="370">
        <f>K672+L671</f>
        <v>4756.4211557904418</v>
      </c>
      <c r="M672" s="371"/>
      <c r="Q672" s="112"/>
      <c r="T672" s="60"/>
      <c r="U672" s="60"/>
    </row>
    <row r="673" spans="1:21" s="59" customFormat="1" ht="15" hidden="1" customHeight="1">
      <c r="A673" s="52"/>
      <c r="B673" s="360" t="s">
        <v>278</v>
      </c>
      <c r="C673" s="361"/>
      <c r="D673" s="361"/>
      <c r="E673" s="361"/>
      <c r="F673" s="361"/>
      <c r="G673" s="361"/>
      <c r="H673" s="361"/>
      <c r="I673" s="361"/>
      <c r="J673" s="362">
        <f>SUM(J668:J670)</f>
        <v>190.56630999999999</v>
      </c>
      <c r="K673" s="362"/>
      <c r="L673" s="363"/>
      <c r="M673" s="364"/>
      <c r="Q673" s="112"/>
      <c r="T673" s="60"/>
      <c r="U673" s="60"/>
    </row>
    <row r="674" spans="1:21" s="59" customFormat="1" ht="15" hidden="1" customHeight="1">
      <c r="A674" s="52"/>
      <c r="B674" s="360" t="s">
        <v>279</v>
      </c>
      <c r="C674" s="361"/>
      <c r="D674" s="361"/>
      <c r="E674" s="361"/>
      <c r="F674" s="361"/>
      <c r="G674" s="361"/>
      <c r="H674" s="361"/>
      <c r="I674" s="361"/>
      <c r="J674" s="362">
        <f>SUM(J668:J672)</f>
        <v>566.01411753906245</v>
      </c>
      <c r="K674" s="362"/>
      <c r="L674" s="363"/>
      <c r="M674" s="364"/>
      <c r="Q674" s="112"/>
      <c r="T674" s="60"/>
      <c r="U674" s="60"/>
    </row>
    <row r="675" spans="1:21" s="59" customFormat="1" ht="15" hidden="1" customHeight="1">
      <c r="A675" s="52"/>
      <c r="B675" s="360" t="s">
        <v>280</v>
      </c>
      <c r="C675" s="361"/>
      <c r="D675" s="361"/>
      <c r="E675" s="361"/>
      <c r="F675" s="361"/>
      <c r="G675" s="361"/>
      <c r="H675" s="361"/>
      <c r="I675" s="361"/>
      <c r="J675" s="362">
        <f>SUM(J668:J671)</f>
        <v>561.96895749999999</v>
      </c>
      <c r="K675" s="362"/>
      <c r="L675" s="363"/>
      <c r="M675" s="364"/>
      <c r="Q675" s="112"/>
      <c r="T675" s="60"/>
      <c r="U675" s="60"/>
    </row>
    <row r="676" spans="1:21" s="59" customFormat="1" ht="15" hidden="1" customHeight="1">
      <c r="A676" s="52"/>
      <c r="B676" s="360" t="s">
        <v>281</v>
      </c>
      <c r="C676" s="361"/>
      <c r="D676" s="361"/>
      <c r="E676" s="361"/>
      <c r="F676" s="361"/>
      <c r="G676" s="361"/>
      <c r="H676" s="361"/>
      <c r="I676" s="361"/>
      <c r="J676" s="362">
        <f>J672/2</f>
        <v>2.02258001953125</v>
      </c>
      <c r="K676" s="362"/>
      <c r="L676" s="363"/>
      <c r="M676" s="364"/>
      <c r="Q676" s="112"/>
      <c r="T676" s="60"/>
      <c r="U676" s="60"/>
    </row>
    <row r="677" spans="1:21" s="59" customFormat="1" ht="15" hidden="1" customHeight="1">
      <c r="A677" s="52"/>
      <c r="B677" s="360" t="s">
        <v>282</v>
      </c>
      <c r="C677" s="361"/>
      <c r="D677" s="361"/>
      <c r="E677" s="361"/>
      <c r="F677" s="361"/>
      <c r="G677" s="361"/>
      <c r="H677" s="361"/>
      <c r="I677" s="361"/>
      <c r="J677" s="362">
        <f>((J675+J676)*2500*2.5/1000000)</f>
        <v>3.5249471094970701</v>
      </c>
      <c r="K677" s="362"/>
      <c r="L677" s="363"/>
      <c r="M677" s="364"/>
      <c r="Q677" s="112"/>
      <c r="T677" s="60"/>
      <c r="U677" s="60"/>
    </row>
    <row r="678" spans="1:21" s="59" customFormat="1" ht="15" hidden="1" customHeight="1">
      <c r="A678" s="52"/>
      <c r="B678" s="365" t="s">
        <v>283</v>
      </c>
      <c r="C678" s="366"/>
      <c r="D678" s="366"/>
      <c r="E678" s="366"/>
      <c r="F678" s="366"/>
      <c r="G678" s="366"/>
      <c r="H678" s="366"/>
      <c r="I678" s="366"/>
      <c r="J678" s="362">
        <f>SUM(J675:K677)</f>
        <v>567.51648462902824</v>
      </c>
      <c r="K678" s="362"/>
      <c r="L678" s="363"/>
      <c r="M678" s="364"/>
      <c r="Q678" s="112"/>
      <c r="T678" s="60"/>
      <c r="U678" s="60"/>
    </row>
    <row r="679" spans="1:21" s="59" customFormat="1" ht="15" hidden="1" customHeight="1">
      <c r="A679" s="52"/>
      <c r="B679" s="355" t="s">
        <v>292</v>
      </c>
      <c r="C679" s="356"/>
      <c r="D679" s="356"/>
      <c r="E679" s="356"/>
      <c r="F679" s="356"/>
      <c r="G679" s="356"/>
      <c r="H679" s="356"/>
      <c r="I679" s="356"/>
      <c r="J679" s="357">
        <f>J678-20</f>
        <v>547.51648462902824</v>
      </c>
      <c r="K679" s="357"/>
      <c r="L679" s="358"/>
      <c r="M679" s="359"/>
      <c r="T679" s="60"/>
      <c r="U679" s="60"/>
    </row>
    <row r="680" spans="1:21" s="59" customFormat="1" hidden="1">
      <c r="A680" s="52"/>
      <c r="B680" s="335"/>
      <c r="C680" s="336"/>
      <c r="D680" s="337"/>
      <c r="E680" s="338"/>
      <c r="F680" s="339"/>
      <c r="G680" s="340"/>
      <c r="H680" s="341"/>
      <c r="I680" s="339"/>
      <c r="J680" s="339"/>
      <c r="K680" s="342"/>
      <c r="L680" s="343"/>
      <c r="M680" s="343"/>
      <c r="T680" s="60"/>
      <c r="U680" s="60"/>
    </row>
    <row r="681" spans="1:21" s="59" customFormat="1">
      <c r="A681" s="52"/>
      <c r="B681" s="336"/>
      <c r="C681" s="336"/>
      <c r="D681" s="337"/>
      <c r="E681" s="336"/>
      <c r="F681" s="339"/>
      <c r="G681" s="344"/>
      <c r="H681" s="341"/>
      <c r="I681" s="339"/>
      <c r="J681" s="339"/>
      <c r="K681" s="342"/>
      <c r="L681" s="343"/>
      <c r="M681" s="343"/>
      <c r="T681" s="60"/>
      <c r="U681" s="60"/>
    </row>
    <row r="682" spans="1:21" s="59" customFormat="1">
      <c r="A682" s="52"/>
      <c r="B682" s="336"/>
      <c r="C682" s="335"/>
      <c r="D682" s="345"/>
      <c r="E682" s="339"/>
      <c r="F682" s="339"/>
      <c r="G682" s="340"/>
      <c r="H682" s="341"/>
      <c r="I682" s="339"/>
      <c r="J682" s="339"/>
      <c r="K682" s="342"/>
      <c r="L682" s="343"/>
      <c r="M682" s="343"/>
      <c r="T682" s="60"/>
      <c r="U682" s="60"/>
    </row>
    <row r="683" spans="1:21" s="59" customFormat="1">
      <c r="A683" s="52"/>
      <c r="B683" s="336"/>
      <c r="C683" s="335"/>
      <c r="D683" s="345"/>
      <c r="E683" s="339"/>
      <c r="F683" s="339"/>
      <c r="G683" s="339"/>
      <c r="H683" s="339"/>
      <c r="I683" s="339"/>
      <c r="J683" s="339"/>
      <c r="K683" s="335"/>
      <c r="L683" s="57"/>
      <c r="M683" s="57"/>
      <c r="T683" s="60"/>
      <c r="U683" s="60"/>
    </row>
    <row r="684" spans="1:21" s="59" customFormat="1">
      <c r="A684" s="52"/>
      <c r="B684" s="335"/>
      <c r="C684" s="335"/>
      <c r="D684" s="345"/>
      <c r="E684" s="339"/>
      <c r="F684" s="339"/>
      <c r="G684" s="339"/>
      <c r="H684" s="336"/>
      <c r="I684" s="339"/>
      <c r="J684" s="346"/>
      <c r="K684" s="347"/>
      <c r="L684" s="57"/>
      <c r="M684" s="57"/>
      <c r="T684" s="60"/>
      <c r="U684" s="60"/>
    </row>
    <row r="685" spans="1:21" s="59" customFormat="1">
      <c r="A685" s="52"/>
      <c r="B685" s="335"/>
      <c r="C685" s="335"/>
      <c r="D685" s="345"/>
      <c r="E685" s="339"/>
      <c r="F685" s="339"/>
      <c r="G685" s="339"/>
      <c r="H685" s="339"/>
      <c r="I685" s="339"/>
      <c r="J685" s="339"/>
      <c r="K685" s="335"/>
      <c r="L685" s="348"/>
      <c r="M685" s="57"/>
      <c r="T685" s="60"/>
      <c r="U685" s="60"/>
    </row>
    <row r="686" spans="1:21" s="59" customFormat="1">
      <c r="A686" s="52"/>
      <c r="B686" s="54"/>
      <c r="C686" s="349"/>
      <c r="D686" s="350"/>
      <c r="E686" s="339"/>
      <c r="F686" s="339"/>
      <c r="G686" s="339"/>
      <c r="H686" s="336"/>
      <c r="I686" s="336"/>
      <c r="J686" s="336"/>
      <c r="K686" s="336"/>
      <c r="L686" s="57"/>
      <c r="M686" s="57"/>
      <c r="T686" s="60"/>
      <c r="U686" s="60"/>
    </row>
    <row r="687" spans="1:21" s="59" customFormat="1">
      <c r="A687" s="52"/>
      <c r="B687" s="351"/>
      <c r="C687" s="349"/>
      <c r="D687" s="350"/>
      <c r="E687" s="339"/>
      <c r="F687" s="339"/>
      <c r="G687" s="339"/>
      <c r="H687" s="335"/>
      <c r="I687" s="335"/>
      <c r="J687" s="336"/>
      <c r="K687" s="336"/>
      <c r="L687" s="57"/>
      <c r="M687" s="57"/>
      <c r="T687" s="60"/>
      <c r="U687" s="60"/>
    </row>
    <row r="688" spans="1:21" s="59" customFormat="1">
      <c r="A688" s="52"/>
      <c r="B688" s="351"/>
      <c r="C688" s="349"/>
      <c r="D688" s="350"/>
      <c r="E688" s="339"/>
      <c r="F688" s="339"/>
      <c r="G688" s="339"/>
      <c r="H688" s="335"/>
      <c r="I688" s="339"/>
      <c r="J688" s="336"/>
      <c r="K688" s="336"/>
      <c r="L688" s="57"/>
      <c r="M688" s="57"/>
      <c r="T688" s="60"/>
      <c r="U688" s="60"/>
    </row>
    <row r="689" spans="1:21" s="59" customFormat="1">
      <c r="A689" s="52"/>
      <c r="B689" s="351"/>
      <c r="C689" s="349"/>
      <c r="D689" s="350"/>
      <c r="E689" s="336"/>
      <c r="F689" s="335"/>
      <c r="G689" s="335"/>
      <c r="H689" s="336"/>
      <c r="I689" s="336"/>
      <c r="J689" s="336"/>
      <c r="K689" s="336"/>
      <c r="L689" s="57"/>
      <c r="M689" s="57"/>
      <c r="T689" s="60"/>
      <c r="U689" s="60"/>
    </row>
    <row r="690" spans="1:21" s="59" customFormat="1">
      <c r="A690" s="52"/>
      <c r="B690" s="351"/>
      <c r="C690" s="349"/>
      <c r="D690" s="350"/>
      <c r="E690" s="339"/>
      <c r="F690" s="339"/>
      <c r="G690" s="339"/>
      <c r="H690" s="336"/>
      <c r="I690" s="336"/>
      <c r="J690" s="336"/>
      <c r="K690" s="336"/>
      <c r="L690" s="57"/>
      <c r="M690" s="57"/>
      <c r="T690" s="60"/>
      <c r="U690" s="60"/>
    </row>
    <row r="691" spans="1:21" s="59" customFormat="1">
      <c r="A691" s="52"/>
      <c r="B691" s="351"/>
      <c r="C691" s="349"/>
      <c r="D691" s="350"/>
      <c r="E691" s="339"/>
      <c r="F691" s="339"/>
      <c r="G691" s="339"/>
      <c r="H691" s="336"/>
      <c r="I691" s="336"/>
      <c r="J691" s="336"/>
      <c r="K691" s="336"/>
      <c r="L691" s="57"/>
      <c r="M691" s="57"/>
      <c r="T691" s="60"/>
      <c r="U691" s="60"/>
    </row>
    <row r="692" spans="1:21" s="59" customFormat="1">
      <c r="A692" s="52"/>
      <c r="B692" s="352"/>
      <c r="C692" s="349"/>
      <c r="D692" s="350"/>
      <c r="E692" s="339"/>
      <c r="F692" s="339"/>
      <c r="G692" s="339"/>
      <c r="H692" s="336"/>
      <c r="I692" s="336"/>
      <c r="J692" s="336"/>
      <c r="K692" s="336"/>
      <c r="L692" s="57"/>
      <c r="M692" s="57"/>
      <c r="T692" s="60"/>
      <c r="U692" s="60"/>
    </row>
    <row r="693" spans="1:21" s="59" customFormat="1">
      <c r="A693" s="52"/>
      <c r="B693" s="54"/>
      <c r="C693" s="349"/>
      <c r="D693" s="350"/>
      <c r="E693" s="336"/>
      <c r="F693" s="335"/>
      <c r="G693" s="335"/>
      <c r="H693" s="336"/>
      <c r="I693" s="336"/>
      <c r="J693" s="336"/>
      <c r="K693" s="336"/>
      <c r="L693" s="57"/>
      <c r="M693" s="57"/>
      <c r="T693" s="60"/>
      <c r="U693" s="60"/>
    </row>
    <row r="694" spans="1:21" s="59" customFormat="1">
      <c r="A694" s="52"/>
      <c r="B694" s="54"/>
      <c r="C694" s="349"/>
      <c r="D694" s="350"/>
      <c r="E694" s="336"/>
      <c r="F694" s="335"/>
      <c r="G694" s="335"/>
      <c r="H694" s="336"/>
      <c r="I694" s="336"/>
      <c r="J694" s="336"/>
      <c r="K694" s="336"/>
      <c r="L694" s="57"/>
      <c r="M694" s="57"/>
      <c r="T694" s="60"/>
      <c r="U694" s="60"/>
    </row>
    <row r="695" spans="1:21" s="59" customFormat="1">
      <c r="A695" s="52"/>
      <c r="B695" s="336"/>
      <c r="C695" s="336"/>
      <c r="D695" s="337"/>
      <c r="E695" s="336"/>
      <c r="F695" s="335"/>
      <c r="G695" s="335"/>
      <c r="H695" s="336"/>
      <c r="I695" s="336"/>
      <c r="J695" s="336"/>
      <c r="K695" s="336"/>
      <c r="L695" s="57"/>
      <c r="M695" s="57"/>
      <c r="T695" s="60"/>
      <c r="U695" s="60"/>
    </row>
    <row r="696" spans="1:21" s="59" customFormat="1">
      <c r="A696" s="52"/>
      <c r="B696" s="336"/>
      <c r="C696" s="336"/>
      <c r="D696" s="337"/>
      <c r="E696" s="336"/>
      <c r="F696" s="335"/>
      <c r="G696" s="335"/>
      <c r="H696" s="336"/>
      <c r="I696" s="336"/>
      <c r="J696" s="336"/>
      <c r="K696" s="336"/>
      <c r="L696" s="57"/>
      <c r="M696" s="57"/>
      <c r="T696" s="60"/>
      <c r="U696" s="60"/>
    </row>
    <row r="697" spans="1:21" s="59" customFormat="1">
      <c r="A697" s="52"/>
      <c r="B697" s="336"/>
      <c r="C697" s="336"/>
      <c r="D697" s="337"/>
      <c r="E697" s="336"/>
      <c r="F697" s="335"/>
      <c r="G697" s="335"/>
      <c r="H697" s="336"/>
      <c r="I697" s="336"/>
      <c r="J697" s="336"/>
      <c r="K697" s="336"/>
      <c r="L697" s="57"/>
      <c r="M697" s="57"/>
      <c r="T697" s="60"/>
      <c r="U697" s="60"/>
    </row>
    <row r="698" spans="1:21" s="59" customFormat="1">
      <c r="A698" s="52"/>
      <c r="B698" s="336"/>
      <c r="C698" s="336"/>
      <c r="D698" s="337"/>
      <c r="E698" s="336"/>
      <c r="F698" s="335"/>
      <c r="G698" s="335"/>
      <c r="H698" s="336"/>
      <c r="I698" s="336"/>
      <c r="J698" s="336"/>
      <c r="K698" s="336"/>
      <c r="L698" s="57"/>
      <c r="M698" s="57"/>
      <c r="T698" s="60"/>
      <c r="U698" s="60"/>
    </row>
    <row r="699" spans="1:21" s="59" customFormat="1">
      <c r="A699" s="52"/>
      <c r="B699" s="336"/>
      <c r="C699" s="336"/>
      <c r="D699" s="337"/>
      <c r="E699" s="336"/>
      <c r="F699" s="335"/>
      <c r="G699" s="335"/>
      <c r="H699" s="336"/>
      <c r="I699" s="336"/>
      <c r="J699" s="336"/>
      <c r="K699" s="336"/>
      <c r="L699" s="57"/>
      <c r="M699" s="57"/>
      <c r="T699" s="60"/>
      <c r="U699" s="60"/>
    </row>
    <row r="700" spans="1:21" s="59" customFormat="1">
      <c r="A700" s="52"/>
      <c r="B700" s="336"/>
      <c r="C700" s="336"/>
      <c r="D700" s="337"/>
      <c r="E700" s="336"/>
      <c r="F700" s="335"/>
      <c r="G700" s="335"/>
      <c r="H700" s="336"/>
      <c r="I700" s="336"/>
      <c r="J700" s="336"/>
      <c r="K700" s="336"/>
      <c r="L700" s="57"/>
      <c r="M700" s="57"/>
      <c r="T700" s="60"/>
      <c r="U700" s="60"/>
    </row>
    <row r="701" spans="1:21" s="59" customFormat="1">
      <c r="A701" s="52"/>
      <c r="B701" s="336"/>
      <c r="C701" s="336"/>
      <c r="D701" s="337"/>
      <c r="E701" s="336"/>
      <c r="F701" s="335"/>
      <c r="G701" s="335"/>
      <c r="H701" s="336"/>
      <c r="I701" s="336"/>
      <c r="J701" s="336"/>
      <c r="K701" s="336"/>
      <c r="L701" s="57"/>
      <c r="M701" s="57"/>
      <c r="T701" s="60"/>
      <c r="U701" s="60"/>
    </row>
    <row r="702" spans="1:21" s="59" customFormat="1">
      <c r="A702" s="52"/>
      <c r="B702" s="336"/>
      <c r="C702" s="336"/>
      <c r="D702" s="337"/>
      <c r="E702" s="336"/>
      <c r="F702" s="335"/>
      <c r="G702" s="335"/>
      <c r="H702" s="336"/>
      <c r="I702" s="336"/>
      <c r="J702" s="336"/>
      <c r="K702" s="336"/>
      <c r="L702" s="57"/>
      <c r="M702" s="57"/>
      <c r="T702" s="60"/>
      <c r="U702" s="60"/>
    </row>
    <row r="703" spans="1:21" s="59" customFormat="1">
      <c r="A703" s="52"/>
      <c r="B703" s="336"/>
      <c r="C703" s="336"/>
      <c r="D703" s="337"/>
      <c r="E703" s="336"/>
      <c r="F703" s="335"/>
      <c r="G703" s="335"/>
      <c r="H703" s="336"/>
      <c r="I703" s="336"/>
      <c r="J703" s="336"/>
      <c r="K703" s="336"/>
      <c r="L703" s="57"/>
      <c r="M703" s="57"/>
      <c r="T703" s="60"/>
      <c r="U703" s="60"/>
    </row>
    <row r="704" spans="1:21" s="59" customFormat="1">
      <c r="A704" s="52"/>
      <c r="B704" s="336"/>
      <c r="C704" s="336"/>
      <c r="D704" s="337"/>
      <c r="E704" s="336"/>
      <c r="F704" s="335"/>
      <c r="G704" s="335"/>
      <c r="H704" s="336"/>
      <c r="I704" s="336"/>
      <c r="J704" s="336"/>
      <c r="K704" s="336"/>
      <c r="L704" s="57"/>
      <c r="M704" s="57"/>
      <c r="T704" s="60"/>
      <c r="U704" s="60"/>
    </row>
    <row r="705" spans="1:21" s="59" customFormat="1">
      <c r="A705" s="52"/>
      <c r="B705" s="336"/>
      <c r="C705" s="336"/>
      <c r="D705" s="337"/>
      <c r="E705" s="336"/>
      <c r="F705" s="335"/>
      <c r="G705" s="335"/>
      <c r="H705" s="336"/>
      <c r="I705" s="336"/>
      <c r="J705" s="336"/>
      <c r="K705" s="336"/>
      <c r="L705" s="57"/>
      <c r="M705" s="57"/>
      <c r="T705" s="60"/>
      <c r="U705" s="60"/>
    </row>
    <row r="706" spans="1:21" s="59" customFormat="1">
      <c r="A706" s="52"/>
      <c r="B706" s="336"/>
      <c r="C706" s="336"/>
      <c r="D706" s="337"/>
      <c r="E706" s="336"/>
      <c r="F706" s="335"/>
      <c r="G706" s="335"/>
      <c r="H706" s="336"/>
      <c r="I706" s="336"/>
      <c r="J706" s="336"/>
      <c r="K706" s="336"/>
      <c r="L706" s="57"/>
      <c r="M706" s="57"/>
      <c r="T706" s="60"/>
      <c r="U706" s="60"/>
    </row>
    <row r="707" spans="1:21" s="59" customFormat="1">
      <c r="A707" s="52"/>
      <c r="B707" s="336"/>
      <c r="C707" s="336"/>
      <c r="D707" s="337"/>
      <c r="E707" s="336"/>
      <c r="F707" s="335"/>
      <c r="G707" s="335"/>
      <c r="H707" s="336"/>
      <c r="I707" s="336"/>
      <c r="J707" s="336"/>
      <c r="K707" s="336"/>
      <c r="L707" s="57"/>
      <c r="M707" s="57"/>
      <c r="T707" s="60"/>
      <c r="U707" s="60"/>
    </row>
    <row r="708" spans="1:21" s="59" customFormat="1">
      <c r="A708" s="52"/>
      <c r="B708" s="336"/>
      <c r="C708" s="336"/>
      <c r="D708" s="337"/>
      <c r="E708" s="336"/>
      <c r="F708" s="335"/>
      <c r="G708" s="335"/>
      <c r="H708" s="336"/>
      <c r="I708" s="336"/>
      <c r="J708" s="336"/>
      <c r="K708" s="336"/>
      <c r="L708" s="57"/>
      <c r="M708" s="57"/>
      <c r="T708" s="60"/>
      <c r="U708" s="60"/>
    </row>
    <row r="709" spans="1:21" s="59" customFormat="1">
      <c r="A709" s="52"/>
      <c r="B709" s="336"/>
      <c r="C709" s="52"/>
      <c r="D709" s="353"/>
      <c r="E709" s="52"/>
      <c r="F709" s="53"/>
      <c r="G709" s="53"/>
      <c r="H709" s="52"/>
      <c r="I709" s="52"/>
      <c r="J709" s="52"/>
      <c r="K709" s="52"/>
      <c r="L709" s="57"/>
      <c r="M709" s="57"/>
      <c r="T709" s="60"/>
      <c r="U709" s="60"/>
    </row>
    <row r="710" spans="1:21" s="59" customFormat="1">
      <c r="A710" s="52"/>
      <c r="B710" s="52"/>
      <c r="C710" s="52"/>
      <c r="D710" s="353"/>
      <c r="E710" s="52"/>
      <c r="F710" s="53"/>
      <c r="G710" s="53"/>
      <c r="H710" s="52"/>
      <c r="I710" s="52"/>
      <c r="J710" s="52"/>
      <c r="K710" s="52"/>
      <c r="L710" s="58"/>
      <c r="M710" s="58"/>
      <c r="T710" s="60"/>
      <c r="U710" s="60"/>
    </row>
    <row r="711" spans="1:21" s="59" customFormat="1">
      <c r="A711" s="52"/>
      <c r="B711" s="52"/>
      <c r="C711" s="52"/>
      <c r="D711" s="353"/>
      <c r="E711" s="52"/>
      <c r="F711" s="53"/>
      <c r="G711" s="53"/>
      <c r="H711" s="52"/>
      <c r="I711" s="52"/>
      <c r="J711" s="52"/>
      <c r="K711" s="52"/>
      <c r="L711" s="58"/>
      <c r="M711" s="58"/>
      <c r="T711" s="60"/>
      <c r="U711" s="60"/>
    </row>
    <row r="712" spans="1:21" s="59" customFormat="1">
      <c r="A712" s="52"/>
      <c r="B712" s="52"/>
      <c r="C712" s="52"/>
      <c r="D712" s="353"/>
      <c r="E712" s="52"/>
      <c r="F712" s="53"/>
      <c r="G712" s="53"/>
      <c r="H712" s="52"/>
      <c r="I712" s="52"/>
      <c r="J712" s="52"/>
      <c r="K712" s="52"/>
      <c r="L712" s="58"/>
      <c r="M712" s="58"/>
      <c r="T712" s="60"/>
      <c r="U712" s="60"/>
    </row>
    <row r="713" spans="1:21" s="59" customFormat="1">
      <c r="A713" s="52"/>
      <c r="B713" s="52"/>
      <c r="C713" s="52"/>
      <c r="D713" s="353"/>
      <c r="E713" s="52"/>
      <c r="F713" s="53"/>
      <c r="G713" s="53"/>
      <c r="H713" s="52"/>
      <c r="I713" s="52"/>
      <c r="J713" s="52"/>
      <c r="K713" s="52"/>
      <c r="L713" s="58"/>
      <c r="M713" s="58"/>
      <c r="T713" s="60"/>
      <c r="U713" s="60"/>
    </row>
    <row r="714" spans="1:21" s="59" customFormat="1">
      <c r="A714" s="52"/>
      <c r="B714" s="52"/>
      <c r="C714" s="52"/>
      <c r="D714" s="353"/>
      <c r="E714" s="52"/>
      <c r="F714" s="53"/>
      <c r="G714" s="53"/>
      <c r="H714" s="52"/>
      <c r="I714" s="52"/>
      <c r="J714" s="52"/>
      <c r="K714" s="52"/>
      <c r="L714" s="58"/>
      <c r="M714" s="58"/>
      <c r="T714" s="60"/>
      <c r="U714" s="60"/>
    </row>
    <row r="715" spans="1:21" s="59" customFormat="1">
      <c r="A715" s="52"/>
      <c r="B715" s="52"/>
      <c r="C715" s="52"/>
      <c r="D715" s="353"/>
      <c r="E715" s="52"/>
      <c r="F715" s="53"/>
      <c r="G715" s="53"/>
      <c r="H715" s="52"/>
      <c r="I715" s="52"/>
      <c r="J715" s="52"/>
      <c r="K715" s="52"/>
      <c r="L715" s="58"/>
      <c r="M715" s="58"/>
      <c r="T715" s="60"/>
      <c r="U715" s="60"/>
    </row>
    <row r="716" spans="1:21" s="59" customFormat="1">
      <c r="A716" s="52"/>
      <c r="B716" s="52"/>
      <c r="C716" s="52"/>
      <c r="D716" s="353"/>
      <c r="E716" s="52"/>
      <c r="F716" s="53"/>
      <c r="G716" s="53"/>
      <c r="H716" s="52"/>
      <c r="I716" s="52"/>
      <c r="J716" s="52"/>
      <c r="K716" s="52"/>
      <c r="L716" s="58"/>
      <c r="M716" s="58"/>
      <c r="T716" s="60"/>
      <c r="U716" s="60"/>
    </row>
    <row r="717" spans="1:21" s="59" customFormat="1">
      <c r="A717" s="52"/>
      <c r="B717" s="52"/>
      <c r="C717" s="52"/>
      <c r="D717" s="353"/>
      <c r="E717" s="52"/>
      <c r="F717" s="53"/>
      <c r="G717" s="53"/>
      <c r="H717" s="52"/>
      <c r="I717" s="52"/>
      <c r="J717" s="52"/>
      <c r="K717" s="52"/>
      <c r="L717" s="58"/>
      <c r="M717" s="58"/>
      <c r="T717" s="60"/>
      <c r="U717" s="60"/>
    </row>
    <row r="718" spans="1:21" s="59" customFormat="1">
      <c r="A718" s="52"/>
      <c r="B718" s="52"/>
      <c r="C718" s="52"/>
      <c r="D718" s="353"/>
      <c r="E718" s="52"/>
      <c r="F718" s="53"/>
      <c r="G718" s="53"/>
      <c r="H718" s="52"/>
      <c r="I718" s="52"/>
      <c r="J718" s="52"/>
      <c r="K718" s="52"/>
      <c r="L718" s="58"/>
      <c r="M718" s="58"/>
      <c r="T718" s="60"/>
      <c r="U718" s="60"/>
    </row>
    <row r="719" spans="1:21" s="59" customFormat="1">
      <c r="A719" s="52"/>
      <c r="B719" s="52"/>
      <c r="C719" s="52"/>
      <c r="D719" s="353"/>
      <c r="E719" s="52"/>
      <c r="F719" s="53"/>
      <c r="G719" s="53"/>
      <c r="H719" s="52"/>
      <c r="I719" s="52"/>
      <c r="J719" s="52"/>
      <c r="K719" s="52"/>
      <c r="L719" s="58"/>
      <c r="M719" s="58"/>
      <c r="T719" s="60"/>
      <c r="U719" s="60"/>
    </row>
    <row r="720" spans="1:21" s="59" customFormat="1">
      <c r="A720" s="52"/>
      <c r="B720" s="52"/>
      <c r="C720" s="53"/>
      <c r="D720" s="54"/>
      <c r="E720" s="54"/>
      <c r="F720" s="55"/>
      <c r="G720" s="55"/>
      <c r="H720" s="55"/>
      <c r="I720" s="55"/>
      <c r="J720" s="55"/>
      <c r="K720" s="56"/>
      <c r="L720" s="58"/>
      <c r="M720" s="58"/>
      <c r="T720" s="60"/>
      <c r="U720" s="60"/>
    </row>
  </sheetData>
  <mergeCells count="652">
    <mergeCell ref="H11:I11"/>
    <mergeCell ref="C15:D15"/>
    <mergeCell ref="L15:M16"/>
    <mergeCell ref="B17:B18"/>
    <mergeCell ref="D17:E17"/>
    <mergeCell ref="L17:M18"/>
    <mergeCell ref="D18:E18"/>
    <mergeCell ref="B19:B21"/>
    <mergeCell ref="D19:E19"/>
    <mergeCell ref="L19:M21"/>
    <mergeCell ref="D20:E20"/>
    <mergeCell ref="D21:E21"/>
    <mergeCell ref="B22:B25"/>
    <mergeCell ref="D22:E22"/>
    <mergeCell ref="L22:M25"/>
    <mergeCell ref="D23:E23"/>
    <mergeCell ref="D24:E24"/>
    <mergeCell ref="L32:M32"/>
    <mergeCell ref="L34:M34"/>
    <mergeCell ref="L35:M35"/>
    <mergeCell ref="L36:M36"/>
    <mergeCell ref="L38:M38"/>
    <mergeCell ref="L39:M39"/>
    <mergeCell ref="L26:M26"/>
    <mergeCell ref="L27:M27"/>
    <mergeCell ref="L28:M28"/>
    <mergeCell ref="L29:M29"/>
    <mergeCell ref="L30:M30"/>
    <mergeCell ref="L31:M31"/>
    <mergeCell ref="L46:M46"/>
    <mergeCell ref="L47:M47"/>
    <mergeCell ref="L48:M48"/>
    <mergeCell ref="L49:M49"/>
    <mergeCell ref="L50:M50"/>
    <mergeCell ref="L51:M51"/>
    <mergeCell ref="L40:M40"/>
    <mergeCell ref="L41:M41"/>
    <mergeCell ref="L42:M42"/>
    <mergeCell ref="L43:M43"/>
    <mergeCell ref="L44:M44"/>
    <mergeCell ref="L45:M45"/>
    <mergeCell ref="L58:M58"/>
    <mergeCell ref="L59:M59"/>
    <mergeCell ref="L60:M60"/>
    <mergeCell ref="L61:M61"/>
    <mergeCell ref="L62:M62"/>
    <mergeCell ref="L63:M63"/>
    <mergeCell ref="L52:M52"/>
    <mergeCell ref="L53:M53"/>
    <mergeCell ref="L54:M54"/>
    <mergeCell ref="L55:M55"/>
    <mergeCell ref="L56:M56"/>
    <mergeCell ref="L57:M57"/>
    <mergeCell ref="L70:M70"/>
    <mergeCell ref="L71:M71"/>
    <mergeCell ref="L72:M72"/>
    <mergeCell ref="L73:M73"/>
    <mergeCell ref="L74:M74"/>
    <mergeCell ref="L75:M75"/>
    <mergeCell ref="L64:M64"/>
    <mergeCell ref="L65:M65"/>
    <mergeCell ref="L66:M66"/>
    <mergeCell ref="L67:M67"/>
    <mergeCell ref="L68:M68"/>
    <mergeCell ref="L69:M69"/>
    <mergeCell ref="L84:M84"/>
    <mergeCell ref="L85:M85"/>
    <mergeCell ref="L86:M86"/>
    <mergeCell ref="L87:M87"/>
    <mergeCell ref="L88:M88"/>
    <mergeCell ref="L89:M89"/>
    <mergeCell ref="L76:M76"/>
    <mergeCell ref="L77:M77"/>
    <mergeCell ref="L79:M79"/>
    <mergeCell ref="L80:M80"/>
    <mergeCell ref="L81:M81"/>
    <mergeCell ref="L82:M82"/>
    <mergeCell ref="L99:M99"/>
    <mergeCell ref="L101:M101"/>
    <mergeCell ref="L102:M102"/>
    <mergeCell ref="L104:M104"/>
    <mergeCell ref="L105:M105"/>
    <mergeCell ref="L106:M106"/>
    <mergeCell ref="L90:M90"/>
    <mergeCell ref="L93:M93"/>
    <mergeCell ref="L94:M94"/>
    <mergeCell ref="L96:M96"/>
    <mergeCell ref="L97:M97"/>
    <mergeCell ref="L98:M98"/>
    <mergeCell ref="L114:M114"/>
    <mergeCell ref="L115:M115"/>
    <mergeCell ref="L116:M116"/>
    <mergeCell ref="L117:M117"/>
    <mergeCell ref="L119:M119"/>
    <mergeCell ref="L120:M120"/>
    <mergeCell ref="L107:M107"/>
    <mergeCell ref="L108:M108"/>
    <mergeCell ref="L109:M109"/>
    <mergeCell ref="L110:M110"/>
    <mergeCell ref="L111:M111"/>
    <mergeCell ref="L113:M113"/>
    <mergeCell ref="L127:M127"/>
    <mergeCell ref="L128:M128"/>
    <mergeCell ref="L129:M129"/>
    <mergeCell ref="L130:M130"/>
    <mergeCell ref="L131:M131"/>
    <mergeCell ref="L132:M132"/>
    <mergeCell ref="L121:M121"/>
    <mergeCell ref="L122:M122"/>
    <mergeCell ref="L123:M123"/>
    <mergeCell ref="L124:M124"/>
    <mergeCell ref="L125:M125"/>
    <mergeCell ref="L126:M126"/>
    <mergeCell ref="L139:M139"/>
    <mergeCell ref="L140:M140"/>
    <mergeCell ref="L141:M141"/>
    <mergeCell ref="L142:M142"/>
    <mergeCell ref="L143:M143"/>
    <mergeCell ref="L144:M144"/>
    <mergeCell ref="L133:M133"/>
    <mergeCell ref="L134:M134"/>
    <mergeCell ref="L135:M135"/>
    <mergeCell ref="L136:M136"/>
    <mergeCell ref="L137:M137"/>
    <mergeCell ref="L138:M138"/>
    <mergeCell ref="L153:M153"/>
    <mergeCell ref="L154:M154"/>
    <mergeCell ref="L155:M155"/>
    <mergeCell ref="L156:M156"/>
    <mergeCell ref="L157:M157"/>
    <mergeCell ref="L158:M158"/>
    <mergeCell ref="L145:M145"/>
    <mergeCell ref="L146:M146"/>
    <mergeCell ref="L147:M147"/>
    <mergeCell ref="L150:M150"/>
    <mergeCell ref="L151:M151"/>
    <mergeCell ref="L152:M152"/>
    <mergeCell ref="L166:M166"/>
    <mergeCell ref="L168:M168"/>
    <mergeCell ref="L169:M169"/>
    <mergeCell ref="L170:M170"/>
    <mergeCell ref="L171:M171"/>
    <mergeCell ref="L172:M172"/>
    <mergeCell ref="L160:M160"/>
    <mergeCell ref="L161:M161"/>
    <mergeCell ref="L162:M162"/>
    <mergeCell ref="L163:M163"/>
    <mergeCell ref="L164:M164"/>
    <mergeCell ref="L165:M165"/>
    <mergeCell ref="L179:M179"/>
    <mergeCell ref="L180:M180"/>
    <mergeCell ref="L181:M181"/>
    <mergeCell ref="L182:M182"/>
    <mergeCell ref="L183:M183"/>
    <mergeCell ref="L184:M184"/>
    <mergeCell ref="L173:M173"/>
    <mergeCell ref="L174:M174"/>
    <mergeCell ref="L175:M175"/>
    <mergeCell ref="L176:M176"/>
    <mergeCell ref="L177:M177"/>
    <mergeCell ref="L178:M178"/>
    <mergeCell ref="L192:M192"/>
    <mergeCell ref="L193:M193"/>
    <mergeCell ref="L194:M194"/>
    <mergeCell ref="L196:M196"/>
    <mergeCell ref="L197:M197"/>
    <mergeCell ref="L199:M199"/>
    <mergeCell ref="L185:M185"/>
    <mergeCell ref="L186:M186"/>
    <mergeCell ref="L187:M187"/>
    <mergeCell ref="L189:M189"/>
    <mergeCell ref="L190:M190"/>
    <mergeCell ref="L191:M191"/>
    <mergeCell ref="L207:M207"/>
    <mergeCell ref="L208:M208"/>
    <mergeCell ref="L209:M209"/>
    <mergeCell ref="L210:M210"/>
    <mergeCell ref="L211:M211"/>
    <mergeCell ref="L212:M212"/>
    <mergeCell ref="L200:M200"/>
    <mergeCell ref="L202:M202"/>
    <mergeCell ref="L203:M203"/>
    <mergeCell ref="L204:M204"/>
    <mergeCell ref="L205:M205"/>
    <mergeCell ref="L206:M206"/>
    <mergeCell ref="L220:M220"/>
    <mergeCell ref="L221:M221"/>
    <mergeCell ref="L222:M222"/>
    <mergeCell ref="L223:M223"/>
    <mergeCell ref="L224:M224"/>
    <mergeCell ref="L225:M225"/>
    <mergeCell ref="L213:M213"/>
    <mergeCell ref="L214:M214"/>
    <mergeCell ref="L215:M215"/>
    <mergeCell ref="L216:M216"/>
    <mergeCell ref="L217:M217"/>
    <mergeCell ref="L219:M219"/>
    <mergeCell ref="L232:M232"/>
    <mergeCell ref="L239:M239"/>
    <mergeCell ref="L240:M240"/>
    <mergeCell ref="L241:M241"/>
    <mergeCell ref="L242:M242"/>
    <mergeCell ref="L243:M243"/>
    <mergeCell ref="L226:M226"/>
    <mergeCell ref="L227:M227"/>
    <mergeCell ref="L228:M228"/>
    <mergeCell ref="L229:M229"/>
    <mergeCell ref="L230:M230"/>
    <mergeCell ref="L231:M231"/>
    <mergeCell ref="L253:M253"/>
    <mergeCell ref="L259:M259"/>
    <mergeCell ref="L260:M260"/>
    <mergeCell ref="L261:M261"/>
    <mergeCell ref="L262:M262"/>
    <mergeCell ref="L269:M269"/>
    <mergeCell ref="L244:M244"/>
    <mergeCell ref="L245:M245"/>
    <mergeCell ref="L246:M246"/>
    <mergeCell ref="L247:M247"/>
    <mergeCell ref="L248:M248"/>
    <mergeCell ref="L252:M252"/>
    <mergeCell ref="L289:M289"/>
    <mergeCell ref="L290:M290"/>
    <mergeCell ref="L291:M291"/>
    <mergeCell ref="L302:M302"/>
    <mergeCell ref="L303:M303"/>
    <mergeCell ref="L310:M310"/>
    <mergeCell ref="L270:M270"/>
    <mergeCell ref="L271:M271"/>
    <mergeCell ref="L272:M272"/>
    <mergeCell ref="L276:M276"/>
    <mergeCell ref="L281:M281"/>
    <mergeCell ref="L288:M288"/>
    <mergeCell ref="Q332:Q333"/>
    <mergeCell ref="C333:E333"/>
    <mergeCell ref="L333:M333"/>
    <mergeCell ref="C334:E334"/>
    <mergeCell ref="C335:E335"/>
    <mergeCell ref="L311:M311"/>
    <mergeCell ref="L313:M313"/>
    <mergeCell ref="L314:M314"/>
    <mergeCell ref="B329:B330"/>
    <mergeCell ref="C329:E329"/>
    <mergeCell ref="L329:M329"/>
    <mergeCell ref="C330:E330"/>
    <mergeCell ref="C336:E336"/>
    <mergeCell ref="C337:D337"/>
    <mergeCell ref="C338:E338"/>
    <mergeCell ref="L338:M338"/>
    <mergeCell ref="B339:B341"/>
    <mergeCell ref="L339:M339"/>
    <mergeCell ref="B331:B337"/>
    <mergeCell ref="C331:E331"/>
    <mergeCell ref="L331:M331"/>
    <mergeCell ref="C332:E332"/>
    <mergeCell ref="L332:M332"/>
    <mergeCell ref="P351:Q351"/>
    <mergeCell ref="L352:M352"/>
    <mergeCell ref="L353:M353"/>
    <mergeCell ref="B342:B344"/>
    <mergeCell ref="L342:M342"/>
    <mergeCell ref="B345:B347"/>
    <mergeCell ref="L345:M345"/>
    <mergeCell ref="L346:M346"/>
    <mergeCell ref="L347:M347"/>
    <mergeCell ref="B354:B356"/>
    <mergeCell ref="L354:M354"/>
    <mergeCell ref="L355:M355"/>
    <mergeCell ref="L356:M356"/>
    <mergeCell ref="B357:B359"/>
    <mergeCell ref="L357:M357"/>
    <mergeCell ref="L358:M358"/>
    <mergeCell ref="L359:M359"/>
    <mergeCell ref="B348:B350"/>
    <mergeCell ref="L348:M348"/>
    <mergeCell ref="L349:M350"/>
    <mergeCell ref="B351:B353"/>
    <mergeCell ref="L351:M351"/>
    <mergeCell ref="B366:B368"/>
    <mergeCell ref="L366:M366"/>
    <mergeCell ref="L367:M367"/>
    <mergeCell ref="L368:M368"/>
    <mergeCell ref="B369:B371"/>
    <mergeCell ref="B372:B374"/>
    <mergeCell ref="B360:B362"/>
    <mergeCell ref="L360:M360"/>
    <mergeCell ref="L361:M361"/>
    <mergeCell ref="L362:M362"/>
    <mergeCell ref="B363:B365"/>
    <mergeCell ref="L363:M363"/>
    <mergeCell ref="L364:M364"/>
    <mergeCell ref="L365:M365"/>
    <mergeCell ref="B393:B395"/>
    <mergeCell ref="B396:B398"/>
    <mergeCell ref="B399:B401"/>
    <mergeCell ref="B402:B404"/>
    <mergeCell ref="B405:B407"/>
    <mergeCell ref="B408:B410"/>
    <mergeCell ref="B375:B377"/>
    <mergeCell ref="B378:B380"/>
    <mergeCell ref="B381:B383"/>
    <mergeCell ref="B384:B386"/>
    <mergeCell ref="B387:B389"/>
    <mergeCell ref="B390:B392"/>
    <mergeCell ref="B411:B413"/>
    <mergeCell ref="B414:B416"/>
    <mergeCell ref="L414:M414"/>
    <mergeCell ref="L415:M415"/>
    <mergeCell ref="L416:M416"/>
    <mergeCell ref="B417:B419"/>
    <mergeCell ref="L417:M417"/>
    <mergeCell ref="L418:M418"/>
    <mergeCell ref="L419:M419"/>
    <mergeCell ref="B426:B428"/>
    <mergeCell ref="L426:M426"/>
    <mergeCell ref="L427:M427"/>
    <mergeCell ref="L428:M428"/>
    <mergeCell ref="B429:B431"/>
    <mergeCell ref="L429:M429"/>
    <mergeCell ref="L430:M430"/>
    <mergeCell ref="L431:M431"/>
    <mergeCell ref="B420:B422"/>
    <mergeCell ref="L420:M420"/>
    <mergeCell ref="L421:M421"/>
    <mergeCell ref="L422:M422"/>
    <mergeCell ref="B423:B425"/>
    <mergeCell ref="L423:M423"/>
    <mergeCell ref="L424:M424"/>
    <mergeCell ref="L425:M425"/>
    <mergeCell ref="B443:B445"/>
    <mergeCell ref="B446:B448"/>
    <mergeCell ref="B449:B451"/>
    <mergeCell ref="B452:B454"/>
    <mergeCell ref="B455:B457"/>
    <mergeCell ref="B458:B460"/>
    <mergeCell ref="B432:B433"/>
    <mergeCell ref="L432:M432"/>
    <mergeCell ref="L433:M433"/>
    <mergeCell ref="B434:B436"/>
    <mergeCell ref="B437:B439"/>
    <mergeCell ref="B440:B442"/>
    <mergeCell ref="B467:B469"/>
    <mergeCell ref="L467:M467"/>
    <mergeCell ref="L468:M468"/>
    <mergeCell ref="L469:M469"/>
    <mergeCell ref="B470:B472"/>
    <mergeCell ref="L470:M470"/>
    <mergeCell ref="L471:M471"/>
    <mergeCell ref="L472:M472"/>
    <mergeCell ref="B461:B463"/>
    <mergeCell ref="L461:M461"/>
    <mergeCell ref="L462:M462"/>
    <mergeCell ref="L463:M463"/>
    <mergeCell ref="B464:B466"/>
    <mergeCell ref="L464:M464"/>
    <mergeCell ref="L465:M465"/>
    <mergeCell ref="L466:M466"/>
    <mergeCell ref="B479:B481"/>
    <mergeCell ref="L479:M479"/>
    <mergeCell ref="L480:M480"/>
    <mergeCell ref="L481:M481"/>
    <mergeCell ref="B482:B484"/>
    <mergeCell ref="L482:M482"/>
    <mergeCell ref="L483:M483"/>
    <mergeCell ref="L484:M484"/>
    <mergeCell ref="B473:B475"/>
    <mergeCell ref="L473:M473"/>
    <mergeCell ref="L474:M474"/>
    <mergeCell ref="L475:M475"/>
    <mergeCell ref="B476:B478"/>
    <mergeCell ref="L476:M476"/>
    <mergeCell ref="L477:M477"/>
    <mergeCell ref="L478:M478"/>
    <mergeCell ref="B491:B493"/>
    <mergeCell ref="L491:M491"/>
    <mergeCell ref="L492:M492"/>
    <mergeCell ref="L493:M493"/>
    <mergeCell ref="B494:B496"/>
    <mergeCell ref="L494:M494"/>
    <mergeCell ref="L495:M495"/>
    <mergeCell ref="L496:M496"/>
    <mergeCell ref="B485:B487"/>
    <mergeCell ref="L485:M485"/>
    <mergeCell ref="L486:M486"/>
    <mergeCell ref="L487:M487"/>
    <mergeCell ref="B488:B490"/>
    <mergeCell ref="L488:M488"/>
    <mergeCell ref="L489:M489"/>
    <mergeCell ref="L490:M490"/>
    <mergeCell ref="B503:B505"/>
    <mergeCell ref="L503:M503"/>
    <mergeCell ref="L504:M504"/>
    <mergeCell ref="L505:M505"/>
    <mergeCell ref="B506:B508"/>
    <mergeCell ref="L506:M506"/>
    <mergeCell ref="L507:M507"/>
    <mergeCell ref="L508:M508"/>
    <mergeCell ref="B497:B499"/>
    <mergeCell ref="L497:M497"/>
    <mergeCell ref="L498:M498"/>
    <mergeCell ref="L499:M499"/>
    <mergeCell ref="B500:B502"/>
    <mergeCell ref="L500:M500"/>
    <mergeCell ref="L501:M501"/>
    <mergeCell ref="L502:M502"/>
    <mergeCell ref="B515:B517"/>
    <mergeCell ref="L515:M515"/>
    <mergeCell ref="L516:M516"/>
    <mergeCell ref="L517:M517"/>
    <mergeCell ref="B518:B520"/>
    <mergeCell ref="L518:M518"/>
    <mergeCell ref="L519:M519"/>
    <mergeCell ref="L520:M520"/>
    <mergeCell ref="B509:B511"/>
    <mergeCell ref="L509:M509"/>
    <mergeCell ref="L510:M510"/>
    <mergeCell ref="L511:M511"/>
    <mergeCell ref="B512:B514"/>
    <mergeCell ref="L512:M512"/>
    <mergeCell ref="L513:M513"/>
    <mergeCell ref="L514:M514"/>
    <mergeCell ref="B527:B529"/>
    <mergeCell ref="L527:M527"/>
    <mergeCell ref="L528:M528"/>
    <mergeCell ref="L529:M529"/>
    <mergeCell ref="B530:B532"/>
    <mergeCell ref="L530:M530"/>
    <mergeCell ref="L531:M531"/>
    <mergeCell ref="L532:M532"/>
    <mergeCell ref="B521:B523"/>
    <mergeCell ref="L521:M521"/>
    <mergeCell ref="L522:M522"/>
    <mergeCell ref="L523:M523"/>
    <mergeCell ref="B524:B526"/>
    <mergeCell ref="L524:M524"/>
    <mergeCell ref="L525:M525"/>
    <mergeCell ref="L526:M526"/>
    <mergeCell ref="B539:B541"/>
    <mergeCell ref="L539:M539"/>
    <mergeCell ref="L540:M540"/>
    <mergeCell ref="L541:M541"/>
    <mergeCell ref="B542:B544"/>
    <mergeCell ref="L542:M542"/>
    <mergeCell ref="L543:M543"/>
    <mergeCell ref="L544:M544"/>
    <mergeCell ref="B533:B535"/>
    <mergeCell ref="L533:M533"/>
    <mergeCell ref="L534:M534"/>
    <mergeCell ref="L535:M535"/>
    <mergeCell ref="B536:B538"/>
    <mergeCell ref="L536:M536"/>
    <mergeCell ref="L537:M537"/>
    <mergeCell ref="L538:M538"/>
    <mergeCell ref="B551:B553"/>
    <mergeCell ref="L551:M551"/>
    <mergeCell ref="L552:M552"/>
    <mergeCell ref="L553:M553"/>
    <mergeCell ref="B554:B556"/>
    <mergeCell ref="L554:M554"/>
    <mergeCell ref="L555:M555"/>
    <mergeCell ref="L556:M556"/>
    <mergeCell ref="B545:B547"/>
    <mergeCell ref="L545:M545"/>
    <mergeCell ref="L546:M546"/>
    <mergeCell ref="L547:M547"/>
    <mergeCell ref="B548:B550"/>
    <mergeCell ref="L548:M548"/>
    <mergeCell ref="L549:M549"/>
    <mergeCell ref="L550:M550"/>
    <mergeCell ref="B563:B565"/>
    <mergeCell ref="L563:M563"/>
    <mergeCell ref="L564:M564"/>
    <mergeCell ref="L565:M565"/>
    <mergeCell ref="B566:B568"/>
    <mergeCell ref="L566:M566"/>
    <mergeCell ref="L567:M567"/>
    <mergeCell ref="L568:M568"/>
    <mergeCell ref="B557:B559"/>
    <mergeCell ref="L557:M557"/>
    <mergeCell ref="L558:M558"/>
    <mergeCell ref="L559:M559"/>
    <mergeCell ref="B560:B562"/>
    <mergeCell ref="L560:M560"/>
    <mergeCell ref="L561:M561"/>
    <mergeCell ref="L562:M562"/>
    <mergeCell ref="B575:B577"/>
    <mergeCell ref="L575:M575"/>
    <mergeCell ref="L576:M576"/>
    <mergeCell ref="L577:M577"/>
    <mergeCell ref="B578:B580"/>
    <mergeCell ref="L578:M578"/>
    <mergeCell ref="L579:M579"/>
    <mergeCell ref="L580:M580"/>
    <mergeCell ref="B569:B571"/>
    <mergeCell ref="L569:M569"/>
    <mergeCell ref="L570:M570"/>
    <mergeCell ref="L571:M571"/>
    <mergeCell ref="B572:B574"/>
    <mergeCell ref="L572:M572"/>
    <mergeCell ref="L573:M573"/>
    <mergeCell ref="L574:M574"/>
    <mergeCell ref="B587:B589"/>
    <mergeCell ref="L587:M587"/>
    <mergeCell ref="L588:M588"/>
    <mergeCell ref="L589:M589"/>
    <mergeCell ref="B590:B592"/>
    <mergeCell ref="L590:M590"/>
    <mergeCell ref="L591:M591"/>
    <mergeCell ref="L592:M592"/>
    <mergeCell ref="B581:B583"/>
    <mergeCell ref="L581:M581"/>
    <mergeCell ref="L582:M582"/>
    <mergeCell ref="L583:M583"/>
    <mergeCell ref="B584:B586"/>
    <mergeCell ref="L584:M584"/>
    <mergeCell ref="L585:M585"/>
    <mergeCell ref="L586:M586"/>
    <mergeCell ref="B599:B601"/>
    <mergeCell ref="L599:M599"/>
    <mergeCell ref="L600:M600"/>
    <mergeCell ref="L601:M601"/>
    <mergeCell ref="B602:B604"/>
    <mergeCell ref="L602:M602"/>
    <mergeCell ref="L603:M603"/>
    <mergeCell ref="L604:M604"/>
    <mergeCell ref="B593:B595"/>
    <mergeCell ref="L593:M593"/>
    <mergeCell ref="L594:M594"/>
    <mergeCell ref="L595:M595"/>
    <mergeCell ref="B596:B598"/>
    <mergeCell ref="L596:M596"/>
    <mergeCell ref="L597:M597"/>
    <mergeCell ref="L598:M598"/>
    <mergeCell ref="B611:B613"/>
    <mergeCell ref="L611:M611"/>
    <mergeCell ref="L612:M612"/>
    <mergeCell ref="L613:M613"/>
    <mergeCell ref="B614:B616"/>
    <mergeCell ref="L614:M614"/>
    <mergeCell ref="L615:M615"/>
    <mergeCell ref="L616:M616"/>
    <mergeCell ref="B605:B607"/>
    <mergeCell ref="L605:M605"/>
    <mergeCell ref="L606:M606"/>
    <mergeCell ref="L607:M607"/>
    <mergeCell ref="B608:B610"/>
    <mergeCell ref="L608:M608"/>
    <mergeCell ref="L609:M609"/>
    <mergeCell ref="L610:M610"/>
    <mergeCell ref="B623:B625"/>
    <mergeCell ref="L623:M623"/>
    <mergeCell ref="L624:M624"/>
    <mergeCell ref="L625:M625"/>
    <mergeCell ref="B626:B628"/>
    <mergeCell ref="L626:M626"/>
    <mergeCell ref="L627:M627"/>
    <mergeCell ref="L628:M628"/>
    <mergeCell ref="B617:B619"/>
    <mergeCell ref="L617:M617"/>
    <mergeCell ref="L618:M618"/>
    <mergeCell ref="L619:M619"/>
    <mergeCell ref="B620:B622"/>
    <mergeCell ref="L620:M620"/>
    <mergeCell ref="L621:M621"/>
    <mergeCell ref="L622:M622"/>
    <mergeCell ref="B635:B637"/>
    <mergeCell ref="L635:M635"/>
    <mergeCell ref="L636:M636"/>
    <mergeCell ref="L637:M637"/>
    <mergeCell ref="B638:B640"/>
    <mergeCell ref="L638:M638"/>
    <mergeCell ref="L639:M639"/>
    <mergeCell ref="L640:M640"/>
    <mergeCell ref="B629:B631"/>
    <mergeCell ref="L629:M629"/>
    <mergeCell ref="L630:M630"/>
    <mergeCell ref="L631:M631"/>
    <mergeCell ref="B632:B634"/>
    <mergeCell ref="L632:M632"/>
    <mergeCell ref="L633:M633"/>
    <mergeCell ref="L634:M634"/>
    <mergeCell ref="B647:B649"/>
    <mergeCell ref="L647:M647"/>
    <mergeCell ref="L648:M648"/>
    <mergeCell ref="L649:M649"/>
    <mergeCell ref="B650:B652"/>
    <mergeCell ref="L650:M650"/>
    <mergeCell ref="L651:M651"/>
    <mergeCell ref="L652:M652"/>
    <mergeCell ref="B641:B643"/>
    <mergeCell ref="L641:M641"/>
    <mergeCell ref="L642:M642"/>
    <mergeCell ref="L643:M643"/>
    <mergeCell ref="B644:B646"/>
    <mergeCell ref="L644:M644"/>
    <mergeCell ref="L645:M645"/>
    <mergeCell ref="L646:M646"/>
    <mergeCell ref="B654:B656"/>
    <mergeCell ref="L654:M654"/>
    <mergeCell ref="L655:M655"/>
    <mergeCell ref="L656:M656"/>
    <mergeCell ref="B658:B664"/>
    <mergeCell ref="C658:E658"/>
    <mergeCell ref="K658:K663"/>
    <mergeCell ref="L658:M658"/>
    <mergeCell ref="C659:E659"/>
    <mergeCell ref="C660:E660"/>
    <mergeCell ref="B667:E667"/>
    <mergeCell ref="H667:I667"/>
    <mergeCell ref="L667:M667"/>
    <mergeCell ref="B668:E668"/>
    <mergeCell ref="H668:I668"/>
    <mergeCell ref="L668:M668"/>
    <mergeCell ref="C661:E661"/>
    <mergeCell ref="C662:E662"/>
    <mergeCell ref="C663:E663"/>
    <mergeCell ref="L663:M663"/>
    <mergeCell ref="C664:E664"/>
    <mergeCell ref="L664:M664"/>
    <mergeCell ref="B671:E671"/>
    <mergeCell ref="H671:I671"/>
    <mergeCell ref="L671:M671"/>
    <mergeCell ref="B672:E672"/>
    <mergeCell ref="H672:I672"/>
    <mergeCell ref="L672:M672"/>
    <mergeCell ref="B669:E669"/>
    <mergeCell ref="H669:I669"/>
    <mergeCell ref="L669:M669"/>
    <mergeCell ref="B670:E670"/>
    <mergeCell ref="H670:I670"/>
    <mergeCell ref="L670:M670"/>
    <mergeCell ref="B675:I675"/>
    <mergeCell ref="J675:K675"/>
    <mergeCell ref="L675:M675"/>
    <mergeCell ref="B676:I676"/>
    <mergeCell ref="J676:K676"/>
    <mergeCell ref="L676:M676"/>
    <mergeCell ref="B673:I673"/>
    <mergeCell ref="J673:K673"/>
    <mergeCell ref="L673:M673"/>
    <mergeCell ref="B674:I674"/>
    <mergeCell ref="J674:K674"/>
    <mergeCell ref="L674:M674"/>
    <mergeCell ref="B679:I679"/>
    <mergeCell ref="J679:K679"/>
    <mergeCell ref="L679:M679"/>
    <mergeCell ref="B677:I677"/>
    <mergeCell ref="J677:K677"/>
    <mergeCell ref="L677:M677"/>
    <mergeCell ref="B678:I678"/>
    <mergeCell ref="J678:K678"/>
    <mergeCell ref="L678:M678"/>
  </mergeCells>
  <conditionalFormatting sqref="F1:F1048576">
    <cfRule type="cellIs" dxfId="0" priority="1" operator="greaterThan">
      <formula>34</formula>
    </cfRule>
  </conditionalFormatting>
  <dataValidations count="1">
    <dataValidation showInputMessage="1" showErrorMessage="1" sqref="F339:F341 F414:F433" xr:uid="{95ABE2D1-FEFE-40DD-84C4-8668D6FCEA30}"/>
  </dataValidations>
  <printOptions horizontalCentered="1"/>
  <pageMargins left="0" right="0" top="0.25" bottom="0.1" header="0.05" footer="0.05"/>
  <pageSetup paperSize="9" scale="31" fitToHeight="8" orientation="portrait" r:id="rId1"/>
  <headerFooter alignWithMargins="0">
    <oddHeader>&amp;L&amp;"Calibri"&amp;9&amp;K000000Classification: Internal&amp;1#</oddHeader>
    <oddFooter>&amp;CPage &amp;P o&amp;Of &amp;N_x000D_&amp;1#&amp;"Poppins"&amp;10&amp;K018374 Baker Hughes Confidential</oddFooter>
  </headerFooter>
  <rowBreaks count="1" manualBreakCount="1">
    <brk id="481" max="22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13"/>
  <sheetViews>
    <sheetView topLeftCell="A275" zoomScale="85" zoomScaleNormal="85" workbookViewId="0">
      <selection activeCell="B291" sqref="B291:B301"/>
    </sheetView>
  </sheetViews>
  <sheetFormatPr defaultRowHeight="12.75"/>
  <cols>
    <col min="1" max="1" width="5.140625" customWidth="1"/>
    <col min="2" max="2" width="11.42578125" style="1" customWidth="1"/>
    <col min="3" max="3" width="11.42578125" style="2" customWidth="1"/>
    <col min="4" max="4" width="19.85546875" customWidth="1"/>
    <col min="5" max="5" width="4.140625" customWidth="1"/>
    <col min="6" max="6" width="18.42578125" style="3" customWidth="1"/>
    <col min="7" max="7" width="10.5703125" style="2" customWidth="1"/>
    <col min="8" max="8" width="10.140625" style="2" customWidth="1"/>
    <col min="9" max="9" width="8.7109375" customWidth="1"/>
    <col min="10" max="10" width="7.140625" customWidth="1"/>
    <col min="12" max="12" width="1.5703125" customWidth="1"/>
    <col min="13" max="13" width="6.42578125" customWidth="1"/>
    <col min="14" max="14" width="8.7109375" style="13" customWidth="1"/>
    <col min="15" max="15" width="3.42578125" customWidth="1"/>
    <col min="16" max="16" width="7.42578125" customWidth="1"/>
    <col min="18" max="18" width="2.85546875" customWidth="1"/>
    <col min="19" max="19" width="7.28515625" customWidth="1"/>
    <col min="21" max="21" width="1.85546875" customWidth="1"/>
    <col min="22" max="22" width="6.140625" customWidth="1"/>
    <col min="24" max="24" width="2" customWidth="1"/>
    <col min="25" max="25" width="5.7109375" customWidth="1"/>
  </cols>
  <sheetData>
    <row r="1" spans="1:26" ht="13.5" customHeight="1"/>
    <row r="2" spans="1:26" ht="13.5" customHeight="1">
      <c r="B2" s="545" t="s">
        <v>284</v>
      </c>
      <c r="C2" s="546"/>
      <c r="D2" s="547"/>
      <c r="F2" s="551" t="s">
        <v>285</v>
      </c>
      <c r="G2" s="552"/>
      <c r="H2" s="553"/>
      <c r="J2" s="37"/>
      <c r="K2" s="38"/>
      <c r="L2" s="39"/>
      <c r="M2" s="37"/>
      <c r="N2" s="38"/>
      <c r="O2" s="39"/>
      <c r="P2" s="37"/>
      <c r="Q2" s="38"/>
      <c r="R2" s="39"/>
      <c r="S2" s="37"/>
      <c r="T2" s="38"/>
      <c r="U2" s="39"/>
      <c r="V2" s="37"/>
      <c r="W2" s="38"/>
      <c r="X2" s="39"/>
      <c r="Y2" s="37"/>
      <c r="Z2" s="38"/>
    </row>
    <row r="3" spans="1:26" ht="13.5" customHeight="1">
      <c r="B3" s="548"/>
      <c r="C3" s="549"/>
      <c r="D3" s="550"/>
      <c r="F3" s="554"/>
      <c r="G3" s="555"/>
      <c r="H3" s="556"/>
      <c r="J3" s="40"/>
      <c r="K3" s="41"/>
      <c r="L3" s="39"/>
      <c r="M3" s="40"/>
      <c r="N3" s="41"/>
      <c r="O3" s="39"/>
      <c r="P3" s="40"/>
      <c r="Q3" s="41"/>
      <c r="R3" s="39"/>
      <c r="S3" s="40"/>
      <c r="T3" s="41"/>
      <c r="U3" s="39"/>
      <c r="V3" s="40"/>
      <c r="W3" s="41"/>
      <c r="X3" s="39"/>
      <c r="Y3" s="40"/>
      <c r="Z3" s="41"/>
    </row>
    <row r="4" spans="1:26" ht="15.75" customHeight="1">
      <c r="B4" s="18" t="s">
        <v>286</v>
      </c>
      <c r="C4" s="19" t="s">
        <v>268</v>
      </c>
      <c r="D4" s="20" t="s">
        <v>287</v>
      </c>
      <c r="F4" s="4" t="s">
        <v>286</v>
      </c>
      <c r="G4" s="5" t="s">
        <v>268</v>
      </c>
      <c r="H4" s="6" t="s">
        <v>287</v>
      </c>
      <c r="J4" s="40"/>
      <c r="K4" s="41"/>
      <c r="L4" s="39"/>
      <c r="M4" s="40"/>
      <c r="N4" s="41"/>
      <c r="O4" s="39"/>
      <c r="P4" s="40"/>
      <c r="Q4" s="41"/>
      <c r="R4" s="39"/>
      <c r="S4" s="40"/>
      <c r="T4" s="41"/>
      <c r="U4" s="39"/>
      <c r="V4" s="40"/>
      <c r="W4" s="41"/>
      <c r="X4" s="39"/>
      <c r="Y4" s="40"/>
      <c r="Z4" s="41"/>
    </row>
    <row r="5" spans="1:26" ht="15" customHeight="1">
      <c r="A5" s="7">
        <v>1</v>
      </c>
      <c r="B5" s="21">
        <v>1</v>
      </c>
      <c r="C5" s="50">
        <v>33.954999999999998</v>
      </c>
      <c r="D5" s="22"/>
      <c r="F5" s="48" t="s">
        <v>71</v>
      </c>
      <c r="G5" s="48">
        <v>20.22</v>
      </c>
      <c r="H5" s="34" t="s">
        <v>288</v>
      </c>
      <c r="J5" s="40"/>
      <c r="K5" s="41"/>
      <c r="L5" s="39"/>
      <c r="M5" s="40"/>
      <c r="N5" s="41"/>
      <c r="O5" s="39"/>
      <c r="P5" s="40"/>
      <c r="Q5" s="41"/>
      <c r="R5" s="39"/>
      <c r="S5" s="40"/>
      <c r="T5" s="41"/>
      <c r="U5" s="39"/>
      <c r="V5" s="40"/>
      <c r="W5" s="41"/>
      <c r="X5" s="39"/>
      <c r="Y5" s="40"/>
      <c r="Z5" s="41"/>
    </row>
    <row r="6" spans="1:26" ht="15" customHeight="1">
      <c r="A6" s="7">
        <v>2</v>
      </c>
      <c r="B6" s="23">
        <v>2</v>
      </c>
      <c r="C6" s="51">
        <v>33.94</v>
      </c>
      <c r="D6" s="24"/>
      <c r="F6" s="48" t="s">
        <v>84</v>
      </c>
      <c r="G6" s="48">
        <v>20.23</v>
      </c>
      <c r="H6" s="34" t="s">
        <v>288</v>
      </c>
      <c r="J6" s="40"/>
      <c r="K6" s="41"/>
      <c r="L6" s="39"/>
      <c r="M6" s="40"/>
      <c r="N6" s="41"/>
      <c r="O6" s="39"/>
      <c r="P6" s="40"/>
      <c r="Q6" s="41"/>
      <c r="R6" s="39"/>
      <c r="S6" s="40"/>
      <c r="T6" s="41"/>
      <c r="U6" s="39"/>
      <c r="V6" s="40"/>
      <c r="W6" s="41"/>
      <c r="X6" s="39"/>
      <c r="Y6" s="40"/>
      <c r="Z6" s="41"/>
    </row>
    <row r="7" spans="1:26" ht="15" customHeight="1">
      <c r="A7" s="7">
        <v>3</v>
      </c>
      <c r="B7" s="21">
        <v>3</v>
      </c>
      <c r="C7" s="51">
        <v>32.78</v>
      </c>
      <c r="D7" s="24"/>
      <c r="F7" s="48" t="s">
        <v>90</v>
      </c>
      <c r="G7" s="48">
        <v>20.22</v>
      </c>
      <c r="H7" s="34" t="s">
        <v>288</v>
      </c>
      <c r="J7" s="40"/>
      <c r="K7" s="41"/>
      <c r="L7" s="39"/>
      <c r="M7" s="40"/>
      <c r="N7" s="41"/>
      <c r="O7" s="39"/>
      <c r="P7" s="40"/>
      <c r="Q7" s="41"/>
      <c r="R7" s="39"/>
      <c r="S7" s="40"/>
      <c r="T7" s="41"/>
      <c r="U7" s="39"/>
      <c r="V7" s="40"/>
      <c r="W7" s="41"/>
      <c r="X7" s="39"/>
      <c r="Y7" s="40"/>
      <c r="Z7" s="41"/>
    </row>
    <row r="8" spans="1:26" ht="15" customHeight="1">
      <c r="A8" s="7">
        <v>4</v>
      </c>
      <c r="B8" s="23">
        <v>4</v>
      </c>
      <c r="C8" s="51">
        <v>33.945</v>
      </c>
      <c r="D8" s="24"/>
      <c r="F8" s="48" t="s">
        <v>289</v>
      </c>
      <c r="G8" s="48">
        <v>20.23</v>
      </c>
      <c r="H8" s="34"/>
      <c r="J8" s="40"/>
      <c r="K8" s="41"/>
      <c r="L8" s="39"/>
      <c r="M8" s="40"/>
      <c r="N8" s="41"/>
      <c r="O8" s="39"/>
      <c r="P8" s="40"/>
      <c r="Q8" s="41"/>
      <c r="R8" s="39"/>
      <c r="S8" s="40"/>
      <c r="T8" s="41"/>
      <c r="U8" s="39"/>
      <c r="V8" s="40"/>
      <c r="W8" s="41"/>
      <c r="X8" s="39"/>
      <c r="Y8" s="40"/>
      <c r="Z8" s="41"/>
    </row>
    <row r="9" spans="1:26" ht="15" customHeight="1">
      <c r="A9" s="7">
        <v>5</v>
      </c>
      <c r="B9" s="21">
        <v>5</v>
      </c>
      <c r="C9" s="51">
        <v>33.674999999999997</v>
      </c>
      <c r="D9" s="24"/>
      <c r="F9" s="48" t="s">
        <v>82</v>
      </c>
      <c r="G9" s="48">
        <v>10.210000000000001</v>
      </c>
      <c r="H9" s="34" t="s">
        <v>288</v>
      </c>
      <c r="J9" s="40"/>
      <c r="K9" s="41"/>
      <c r="L9" s="39"/>
      <c r="M9" s="40"/>
      <c r="N9" s="41"/>
      <c r="O9" s="39"/>
      <c r="P9" s="40"/>
      <c r="Q9" s="41"/>
      <c r="R9" s="39"/>
      <c r="S9" s="40"/>
      <c r="T9" s="41"/>
      <c r="U9" s="39"/>
      <c r="V9" s="40"/>
      <c r="W9" s="41"/>
      <c r="X9" s="39"/>
      <c r="Y9" s="40"/>
      <c r="Z9" s="41"/>
    </row>
    <row r="10" spans="1:26" ht="15" customHeight="1">
      <c r="A10" s="7">
        <v>6</v>
      </c>
      <c r="B10" s="23">
        <v>6</v>
      </c>
      <c r="C10" s="51">
        <v>33.049999999999997</v>
      </c>
      <c r="D10" s="24"/>
      <c r="F10" s="48" t="s">
        <v>89</v>
      </c>
      <c r="G10" s="48">
        <v>10.210000000000001</v>
      </c>
      <c r="H10" s="34" t="s">
        <v>288</v>
      </c>
      <c r="J10" s="40"/>
      <c r="K10" s="41"/>
      <c r="L10" s="39"/>
      <c r="M10" s="40"/>
      <c r="N10" s="41"/>
      <c r="O10" s="39"/>
      <c r="P10" s="40"/>
      <c r="Q10" s="41"/>
      <c r="R10" s="39"/>
      <c r="S10" s="40"/>
      <c r="T10" s="41"/>
      <c r="U10" s="39"/>
      <c r="V10" s="40"/>
      <c r="W10" s="41"/>
      <c r="X10" s="39"/>
      <c r="Y10" s="40"/>
      <c r="Z10" s="41"/>
    </row>
    <row r="11" spans="1:26" ht="15.75" customHeight="1">
      <c r="A11" s="7">
        <v>7</v>
      </c>
      <c r="B11" s="21">
        <v>7</v>
      </c>
      <c r="C11" s="49">
        <v>33.94</v>
      </c>
      <c r="D11" s="24"/>
      <c r="F11" s="48" t="s">
        <v>97</v>
      </c>
      <c r="G11" s="48">
        <v>10.220000000000001</v>
      </c>
      <c r="H11" s="34" t="s">
        <v>288</v>
      </c>
      <c r="J11" s="42"/>
      <c r="K11" s="43"/>
      <c r="L11" s="39"/>
      <c r="M11" s="42"/>
      <c r="N11" s="43"/>
      <c r="O11" s="39"/>
      <c r="P11" s="42"/>
      <c r="Q11" s="43"/>
      <c r="R11" s="39"/>
      <c r="S11" s="42"/>
      <c r="T11" s="44"/>
      <c r="U11" s="39"/>
      <c r="V11" s="42"/>
      <c r="W11" s="43"/>
      <c r="X11" s="39"/>
      <c r="Y11" s="42"/>
      <c r="Z11" s="43"/>
    </row>
    <row r="12" spans="1:26" ht="15.75" customHeight="1">
      <c r="A12" s="7">
        <v>8</v>
      </c>
      <c r="B12" s="23">
        <v>8</v>
      </c>
      <c r="C12" s="49">
        <v>33.875</v>
      </c>
      <c r="D12" s="24"/>
      <c r="F12" s="28"/>
      <c r="G12" s="29"/>
      <c r="H12" s="34"/>
      <c r="J12" s="39"/>
      <c r="K12" s="557"/>
      <c r="L12" s="45"/>
      <c r="M12" s="45"/>
      <c r="N12" s="557"/>
      <c r="O12" s="45"/>
      <c r="P12" s="45"/>
      <c r="Q12" s="557"/>
      <c r="R12" s="45"/>
      <c r="S12" s="45"/>
      <c r="T12" s="571"/>
      <c r="U12" s="45"/>
      <c r="V12" s="45"/>
      <c r="W12" s="571"/>
      <c r="X12" s="45"/>
      <c r="Y12" s="45"/>
      <c r="Z12" s="557"/>
    </row>
    <row r="13" spans="1:26" ht="15.75" customHeight="1">
      <c r="A13" s="7">
        <v>9</v>
      </c>
      <c r="B13" s="21">
        <v>9</v>
      </c>
      <c r="C13" s="49">
        <v>33.94</v>
      </c>
      <c r="D13" s="24"/>
      <c r="F13" s="28"/>
      <c r="G13" s="29"/>
      <c r="H13" s="34"/>
      <c r="J13" s="39"/>
      <c r="K13" s="558"/>
      <c r="L13" s="45"/>
      <c r="M13" s="45"/>
      <c r="N13" s="558"/>
      <c r="O13" s="45"/>
      <c r="P13" s="45"/>
      <c r="Q13" s="558"/>
      <c r="R13" s="45"/>
      <c r="S13" s="45"/>
      <c r="T13" s="558"/>
      <c r="U13" s="45"/>
      <c r="V13" s="45"/>
      <c r="W13" s="558"/>
      <c r="X13" s="45"/>
      <c r="Y13" s="45"/>
      <c r="Z13" s="558"/>
    </row>
    <row r="14" spans="1:26" ht="15" customHeight="1">
      <c r="A14" s="7">
        <v>10</v>
      </c>
      <c r="B14" s="23">
        <v>10</v>
      </c>
      <c r="C14" s="49">
        <v>33.954999999999998</v>
      </c>
      <c r="D14" s="24"/>
      <c r="F14" s="28"/>
      <c r="G14" s="29"/>
      <c r="H14" s="34"/>
      <c r="J14" s="46"/>
      <c r="K14" s="47"/>
      <c r="L14" s="47"/>
      <c r="M14" s="47"/>
      <c r="N14" s="47"/>
      <c r="O14" s="47"/>
      <c r="P14" s="47"/>
      <c r="Q14" s="47"/>
      <c r="R14" s="47"/>
      <c r="S14" s="47"/>
      <c r="T14" s="46"/>
      <c r="U14" s="46"/>
      <c r="V14" s="46"/>
      <c r="W14" s="46"/>
      <c r="X14" s="46"/>
      <c r="Y14" s="46"/>
      <c r="Z14" s="46"/>
    </row>
    <row r="15" spans="1:26" ht="15" customHeight="1">
      <c r="A15" s="7">
        <v>11</v>
      </c>
      <c r="B15" s="21">
        <v>11</v>
      </c>
      <c r="C15" s="49">
        <v>32.79</v>
      </c>
      <c r="D15" s="24"/>
      <c r="F15" s="28"/>
      <c r="G15" s="29"/>
      <c r="H15" s="34"/>
      <c r="J15" s="46"/>
      <c r="K15" s="47"/>
      <c r="L15" s="47"/>
      <c r="M15" s="47"/>
      <c r="N15" s="47"/>
      <c r="O15" s="47"/>
      <c r="P15" s="47"/>
      <c r="Q15" s="47"/>
      <c r="R15" s="47"/>
      <c r="S15" s="47"/>
      <c r="T15" s="46"/>
      <c r="U15" s="46"/>
      <c r="V15" s="46"/>
      <c r="W15" s="46"/>
      <c r="X15" s="46"/>
      <c r="Y15" s="46"/>
      <c r="Z15" s="46"/>
    </row>
    <row r="16" spans="1:26" ht="15.75" customHeight="1">
      <c r="A16" s="7">
        <v>12</v>
      </c>
      <c r="B16" s="23">
        <v>12</v>
      </c>
      <c r="C16" s="49">
        <v>33.94</v>
      </c>
      <c r="D16" s="24"/>
      <c r="F16" s="30"/>
      <c r="G16" s="29"/>
      <c r="H16" s="34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46"/>
      <c r="V16" s="46"/>
      <c r="W16" s="46"/>
      <c r="X16" s="46"/>
      <c r="Y16" s="46"/>
      <c r="Z16" s="46"/>
    </row>
    <row r="17" spans="1:26" ht="15" customHeight="1">
      <c r="A17" s="7">
        <v>13</v>
      </c>
      <c r="B17" s="21">
        <v>13</v>
      </c>
      <c r="C17" s="49">
        <v>33.945</v>
      </c>
      <c r="D17" s="24"/>
      <c r="F17" s="31"/>
      <c r="G17" s="12"/>
      <c r="H17" s="35"/>
      <c r="J17" s="39"/>
      <c r="K17" s="39"/>
      <c r="L17" s="39"/>
      <c r="M17" s="39"/>
      <c r="N17" s="39"/>
      <c r="O17" s="559"/>
      <c r="P17" s="560"/>
      <c r="Q17" s="561"/>
      <c r="R17" s="565"/>
      <c r="S17" s="566"/>
      <c r="T17" s="567"/>
      <c r="U17" s="46"/>
      <c r="V17" s="46"/>
      <c r="W17" s="46"/>
      <c r="X17" s="46"/>
      <c r="Y17" s="46"/>
      <c r="Z17" s="46"/>
    </row>
    <row r="18" spans="1:26" ht="15.75" customHeight="1">
      <c r="A18" s="7">
        <v>14</v>
      </c>
      <c r="B18" s="23">
        <v>14</v>
      </c>
      <c r="C18" s="49">
        <v>33.945</v>
      </c>
      <c r="D18" s="24"/>
      <c r="F18" s="32"/>
      <c r="G18" s="33"/>
      <c r="H18" s="36"/>
      <c r="J18" s="39"/>
      <c r="K18" s="39"/>
      <c r="L18" s="39"/>
      <c r="M18" s="39"/>
      <c r="N18" s="39"/>
      <c r="O18" s="562"/>
      <c r="P18" s="563"/>
      <c r="Q18" s="564"/>
      <c r="R18" s="568"/>
      <c r="S18" s="569"/>
      <c r="T18" s="570"/>
      <c r="U18" s="46"/>
      <c r="V18" s="46"/>
      <c r="W18" s="46"/>
      <c r="X18" s="46"/>
      <c r="Y18" s="46"/>
      <c r="Z18" s="46"/>
    </row>
    <row r="19" spans="1:26" ht="15" customHeight="1">
      <c r="A19" s="7">
        <v>15</v>
      </c>
      <c r="B19" s="21">
        <v>15</v>
      </c>
      <c r="C19" s="49">
        <v>33.945</v>
      </c>
      <c r="D19" s="24"/>
      <c r="F19" s="15"/>
      <c r="G19" s="16"/>
      <c r="H19" s="17"/>
      <c r="J19" s="46"/>
      <c r="K19" s="46"/>
      <c r="L19" s="46"/>
      <c r="M19" s="47"/>
      <c r="N19" s="47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26" ht="15" customHeight="1">
      <c r="A20" s="7">
        <v>16</v>
      </c>
      <c r="B20" s="23">
        <v>16</v>
      </c>
      <c r="C20" s="49">
        <v>33.94</v>
      </c>
      <c r="D20" s="24"/>
      <c r="F20" s="15"/>
      <c r="G20" s="16"/>
      <c r="H20" s="17"/>
      <c r="J20" s="46"/>
      <c r="K20" s="46"/>
      <c r="L20" s="46"/>
      <c r="M20" s="47"/>
      <c r="N20" s="47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 ht="15" customHeight="1">
      <c r="A21" s="7">
        <v>17</v>
      </c>
      <c r="B21" s="21">
        <v>17</v>
      </c>
      <c r="C21" s="49">
        <v>33.954999999999998</v>
      </c>
      <c r="D21" s="24"/>
      <c r="F21" s="15"/>
      <c r="G21" s="16"/>
      <c r="H21" s="17"/>
      <c r="M21" s="13"/>
    </row>
    <row r="22" spans="1:26" ht="15" customHeight="1">
      <c r="A22" s="7">
        <v>18</v>
      </c>
      <c r="B22" s="23">
        <v>18</v>
      </c>
      <c r="C22" s="49">
        <v>33.945</v>
      </c>
      <c r="D22" s="24"/>
      <c r="F22" s="15"/>
      <c r="G22" s="16"/>
      <c r="H22" s="17"/>
      <c r="M22" s="13"/>
    </row>
    <row r="23" spans="1:26" ht="15" customHeight="1">
      <c r="A23" s="7">
        <v>19</v>
      </c>
      <c r="B23" s="21">
        <v>19</v>
      </c>
      <c r="C23" s="49">
        <v>33.935000000000002</v>
      </c>
      <c r="D23" s="24"/>
      <c r="F23" s="15"/>
      <c r="G23" s="16"/>
      <c r="H23" s="17"/>
      <c r="M23" s="13"/>
    </row>
    <row r="24" spans="1:26" ht="15" customHeight="1">
      <c r="A24" s="7">
        <v>20</v>
      </c>
      <c r="B24" s="23">
        <v>20</v>
      </c>
      <c r="C24" s="49">
        <v>33.659999999999997</v>
      </c>
      <c r="D24" s="24"/>
      <c r="F24" s="15"/>
      <c r="G24" s="16"/>
      <c r="H24" s="17"/>
      <c r="M24" s="13"/>
    </row>
    <row r="25" spans="1:26" ht="15" customHeight="1">
      <c r="A25" s="7">
        <v>21</v>
      </c>
      <c r="B25" s="21">
        <v>21</v>
      </c>
      <c r="C25" s="49">
        <v>33.935000000000002</v>
      </c>
      <c r="D25" s="24"/>
      <c r="F25" s="15"/>
      <c r="G25" s="16"/>
      <c r="H25" s="17"/>
      <c r="M25" s="13"/>
    </row>
    <row r="26" spans="1:26" ht="15" customHeight="1">
      <c r="A26" s="7">
        <v>22</v>
      </c>
      <c r="B26" s="23">
        <v>22</v>
      </c>
      <c r="C26" s="49">
        <v>33.935000000000002</v>
      </c>
      <c r="D26" s="24"/>
      <c r="F26" s="15"/>
      <c r="G26" s="16"/>
      <c r="H26" s="17"/>
      <c r="M26" s="13"/>
    </row>
    <row r="27" spans="1:26" ht="15" customHeight="1">
      <c r="A27" s="7">
        <v>23</v>
      </c>
      <c r="B27" s="21">
        <v>23</v>
      </c>
      <c r="C27" s="49">
        <v>33.935000000000002</v>
      </c>
      <c r="D27" s="24"/>
      <c r="F27" s="15"/>
      <c r="G27" s="16"/>
      <c r="H27" s="17"/>
      <c r="M27" s="13"/>
    </row>
    <row r="28" spans="1:26" ht="15" customHeight="1">
      <c r="A28" s="7">
        <v>24</v>
      </c>
      <c r="B28" s="23">
        <v>24</v>
      </c>
      <c r="C28" s="49">
        <v>33.93</v>
      </c>
      <c r="D28" s="24"/>
      <c r="F28" s="15"/>
      <c r="G28" s="16"/>
      <c r="H28" s="17"/>
      <c r="M28" s="13"/>
    </row>
    <row r="29" spans="1:26" ht="15" customHeight="1">
      <c r="A29" s="7">
        <v>25</v>
      </c>
      <c r="B29" s="21">
        <v>25</v>
      </c>
      <c r="C29" s="49">
        <v>33.515000000000001</v>
      </c>
      <c r="D29" s="24"/>
      <c r="F29" s="15"/>
      <c r="G29" s="16"/>
      <c r="H29" s="17"/>
      <c r="M29" s="13"/>
    </row>
    <row r="30" spans="1:26" ht="15" customHeight="1">
      <c r="A30" s="7">
        <v>26</v>
      </c>
      <c r="B30" s="23">
        <v>26</v>
      </c>
      <c r="C30" s="49">
        <v>33.96</v>
      </c>
      <c r="D30" s="24"/>
      <c r="F30" s="15"/>
      <c r="G30" s="16"/>
      <c r="H30" s="17"/>
      <c r="M30" s="13"/>
    </row>
    <row r="31" spans="1:26" ht="15" customHeight="1">
      <c r="A31" s="7">
        <v>27</v>
      </c>
      <c r="B31" s="21">
        <v>27</v>
      </c>
      <c r="C31" s="49">
        <v>33.950000000000003</v>
      </c>
      <c r="D31" s="24"/>
      <c r="F31" s="15"/>
      <c r="G31" s="16"/>
      <c r="H31" s="17"/>
      <c r="M31" s="13"/>
    </row>
    <row r="32" spans="1:26" ht="15" customHeight="1">
      <c r="A32" s="7">
        <v>28</v>
      </c>
      <c r="B32" s="23">
        <v>28</v>
      </c>
      <c r="C32" s="49">
        <v>34.384999999999998</v>
      </c>
      <c r="D32" s="24"/>
      <c r="F32" s="15"/>
      <c r="G32" s="16"/>
      <c r="H32" s="17"/>
      <c r="M32" s="13"/>
    </row>
    <row r="33" spans="1:13" ht="15" customHeight="1">
      <c r="A33" s="7">
        <v>29</v>
      </c>
      <c r="B33" s="21">
        <v>29</v>
      </c>
      <c r="C33" s="49">
        <v>34.340000000000003</v>
      </c>
      <c r="D33" s="24"/>
      <c r="F33" s="15"/>
      <c r="G33" s="16"/>
      <c r="H33" s="17"/>
      <c r="M33" s="13"/>
    </row>
    <row r="34" spans="1:13" ht="15" customHeight="1">
      <c r="A34" s="7">
        <v>30</v>
      </c>
      <c r="B34" s="23">
        <v>30</v>
      </c>
      <c r="C34" s="49">
        <v>34.340000000000003</v>
      </c>
      <c r="D34" s="24"/>
      <c r="F34" s="15"/>
      <c r="G34" s="16"/>
      <c r="H34" s="17"/>
      <c r="M34" s="13"/>
    </row>
    <row r="35" spans="1:13" ht="15" customHeight="1">
      <c r="A35" s="7">
        <v>31</v>
      </c>
      <c r="B35" s="21">
        <v>31</v>
      </c>
      <c r="C35" s="49">
        <v>34.344999999999999</v>
      </c>
      <c r="D35" s="24"/>
      <c r="F35" s="15"/>
      <c r="G35" s="16"/>
      <c r="H35" s="17"/>
      <c r="M35" s="13"/>
    </row>
    <row r="36" spans="1:13" ht="15" customHeight="1">
      <c r="A36" s="7">
        <v>32</v>
      </c>
      <c r="B36" s="23">
        <v>32</v>
      </c>
      <c r="C36" s="49">
        <v>34.005000000000003</v>
      </c>
      <c r="D36" s="24"/>
      <c r="F36" s="15"/>
      <c r="G36" s="16"/>
      <c r="H36" s="17"/>
      <c r="M36" s="13"/>
    </row>
    <row r="37" spans="1:13" ht="15" customHeight="1">
      <c r="A37" s="7">
        <v>33</v>
      </c>
      <c r="B37" s="21">
        <v>33</v>
      </c>
      <c r="C37" s="49">
        <v>33.56</v>
      </c>
      <c r="D37" s="24"/>
      <c r="F37" s="15"/>
      <c r="G37" s="16"/>
      <c r="H37" s="17"/>
      <c r="M37" s="13"/>
    </row>
    <row r="38" spans="1:13" ht="15" customHeight="1">
      <c r="A38" s="7">
        <v>34</v>
      </c>
      <c r="B38" s="23">
        <v>34</v>
      </c>
      <c r="C38" s="49">
        <v>33.909999999999997</v>
      </c>
      <c r="D38" s="24"/>
      <c r="F38" s="15"/>
      <c r="G38" s="16"/>
      <c r="H38" s="17"/>
      <c r="M38" s="13"/>
    </row>
    <row r="39" spans="1:13" ht="15" customHeight="1">
      <c r="A39" s="7">
        <v>35</v>
      </c>
      <c r="B39" s="21">
        <v>35</v>
      </c>
      <c r="C39" s="49">
        <v>32.229999999999997</v>
      </c>
      <c r="D39" s="24"/>
      <c r="F39" s="15"/>
      <c r="G39" s="16"/>
      <c r="H39" s="17"/>
      <c r="M39" s="13"/>
    </row>
    <row r="40" spans="1:13" ht="15" customHeight="1">
      <c r="A40" s="7">
        <v>36</v>
      </c>
      <c r="B40" s="23">
        <v>36</v>
      </c>
      <c r="C40" s="49">
        <v>34.395000000000003</v>
      </c>
      <c r="D40" s="24"/>
      <c r="F40" s="15"/>
      <c r="G40" s="16"/>
      <c r="H40" s="17"/>
      <c r="M40" s="13"/>
    </row>
    <row r="41" spans="1:13" ht="15" customHeight="1">
      <c r="A41" s="7">
        <v>37</v>
      </c>
      <c r="B41" s="21">
        <v>37</v>
      </c>
      <c r="C41" s="49">
        <v>34.369999999999997</v>
      </c>
      <c r="D41" s="24"/>
      <c r="F41" s="15"/>
      <c r="G41" s="16"/>
      <c r="H41" s="17"/>
      <c r="M41" s="13"/>
    </row>
    <row r="42" spans="1:13" ht="15" customHeight="1">
      <c r="A42" s="7">
        <v>38</v>
      </c>
      <c r="B42" s="23">
        <v>38</v>
      </c>
      <c r="C42" s="49">
        <v>33.729999999999997</v>
      </c>
      <c r="D42" s="24"/>
      <c r="F42" s="15"/>
      <c r="G42" s="16"/>
      <c r="H42" s="17"/>
      <c r="M42" s="13"/>
    </row>
    <row r="43" spans="1:13" ht="15" customHeight="1">
      <c r="A43" s="7">
        <v>39</v>
      </c>
      <c r="B43" s="21">
        <v>39</v>
      </c>
      <c r="C43" s="49">
        <v>34.244999999999997</v>
      </c>
      <c r="D43" s="24"/>
      <c r="F43" s="15"/>
      <c r="G43" s="16"/>
      <c r="H43" s="17"/>
      <c r="M43" s="13"/>
    </row>
    <row r="44" spans="1:13" ht="15" customHeight="1">
      <c r="A44" s="7">
        <v>40</v>
      </c>
      <c r="B44" s="23">
        <v>40</v>
      </c>
      <c r="C44" s="49">
        <v>34.369999999999997</v>
      </c>
      <c r="D44" s="24"/>
      <c r="F44" s="15"/>
      <c r="G44" s="16"/>
      <c r="H44" s="17"/>
      <c r="M44" s="13"/>
    </row>
    <row r="45" spans="1:13" ht="15" customHeight="1">
      <c r="A45" s="7">
        <v>41</v>
      </c>
      <c r="B45" s="21">
        <v>41</v>
      </c>
      <c r="C45" s="49">
        <v>34.395000000000003</v>
      </c>
      <c r="D45" s="24"/>
      <c r="F45" s="15"/>
      <c r="G45" s="16"/>
      <c r="H45" s="17"/>
      <c r="M45" s="13"/>
    </row>
    <row r="46" spans="1:13" ht="15" customHeight="1">
      <c r="A46" s="7">
        <v>42</v>
      </c>
      <c r="B46" s="23">
        <v>42</v>
      </c>
      <c r="C46" s="49">
        <v>34.39</v>
      </c>
      <c r="D46" s="24"/>
      <c r="F46" s="15"/>
      <c r="G46" s="16"/>
      <c r="H46" s="17"/>
      <c r="M46" s="13"/>
    </row>
    <row r="47" spans="1:13" ht="15" customHeight="1">
      <c r="A47" s="7">
        <v>43</v>
      </c>
      <c r="B47" s="21">
        <v>43</v>
      </c>
      <c r="C47" s="49">
        <v>34.395000000000003</v>
      </c>
      <c r="D47" s="24"/>
      <c r="F47" s="15"/>
      <c r="G47" s="16"/>
      <c r="H47" s="17"/>
      <c r="M47" s="13"/>
    </row>
    <row r="48" spans="1:13" ht="15" customHeight="1">
      <c r="A48" s="7">
        <v>44</v>
      </c>
      <c r="B48" s="23">
        <v>44</v>
      </c>
      <c r="C48" s="49">
        <v>33.1</v>
      </c>
      <c r="D48" s="24"/>
      <c r="F48" s="15"/>
      <c r="G48" s="16"/>
      <c r="H48" s="17"/>
      <c r="M48" s="13"/>
    </row>
    <row r="49" spans="1:13" ht="15" customHeight="1">
      <c r="A49" s="7">
        <v>45</v>
      </c>
      <c r="B49" s="21">
        <v>45</v>
      </c>
      <c r="C49" s="49">
        <v>34.21</v>
      </c>
      <c r="D49" s="24"/>
      <c r="F49" s="15"/>
      <c r="G49" s="16"/>
      <c r="H49" s="17"/>
      <c r="M49" s="13"/>
    </row>
    <row r="50" spans="1:13" ht="15" customHeight="1">
      <c r="A50" s="7">
        <v>46</v>
      </c>
      <c r="B50" s="23">
        <v>46</v>
      </c>
      <c r="C50" s="51">
        <v>34.384999999999998</v>
      </c>
      <c r="D50" s="24"/>
      <c r="F50" s="15"/>
      <c r="G50" s="16"/>
      <c r="H50" s="17"/>
      <c r="M50" s="13"/>
    </row>
    <row r="51" spans="1:13" ht="15" customHeight="1">
      <c r="A51" s="7">
        <v>47</v>
      </c>
      <c r="B51" s="21">
        <v>47</v>
      </c>
      <c r="C51" s="49">
        <v>34.369999999999997</v>
      </c>
      <c r="D51" s="24"/>
      <c r="F51" s="15"/>
      <c r="G51" s="16"/>
      <c r="H51" s="17"/>
      <c r="M51" s="13"/>
    </row>
    <row r="52" spans="1:13" ht="15" customHeight="1">
      <c r="A52" s="7">
        <v>48</v>
      </c>
      <c r="B52" s="23">
        <v>48</v>
      </c>
      <c r="C52" s="49">
        <v>34.365000000000002</v>
      </c>
      <c r="D52" s="24"/>
      <c r="F52" s="15"/>
      <c r="G52" s="16"/>
      <c r="H52" s="17"/>
      <c r="M52" s="13"/>
    </row>
    <row r="53" spans="1:13" ht="15" customHeight="1">
      <c r="A53" s="7">
        <v>49</v>
      </c>
      <c r="B53" s="21">
        <v>49</v>
      </c>
      <c r="C53" s="49">
        <v>33.935000000000002</v>
      </c>
      <c r="D53" s="24"/>
      <c r="F53" s="15"/>
      <c r="G53" s="16"/>
      <c r="H53" s="17"/>
      <c r="M53" s="13"/>
    </row>
    <row r="54" spans="1:13" ht="15" customHeight="1">
      <c r="A54" s="7">
        <v>50</v>
      </c>
      <c r="B54" s="23">
        <v>50</v>
      </c>
      <c r="C54" s="49">
        <v>33.93</v>
      </c>
      <c r="D54" s="24"/>
      <c r="F54" s="15"/>
      <c r="G54" s="16"/>
      <c r="H54" s="17"/>
      <c r="M54" s="13"/>
    </row>
    <row r="55" spans="1:13" ht="15" customHeight="1">
      <c r="A55" s="7">
        <v>51</v>
      </c>
      <c r="B55" s="21">
        <v>51</v>
      </c>
      <c r="C55" s="49">
        <v>33.945</v>
      </c>
      <c r="D55" s="24"/>
      <c r="F55" s="15"/>
      <c r="G55" s="16"/>
      <c r="H55" s="17"/>
      <c r="M55" s="13"/>
    </row>
    <row r="56" spans="1:13" ht="15" customHeight="1">
      <c r="A56" s="7">
        <v>52</v>
      </c>
      <c r="B56" s="23">
        <v>52</v>
      </c>
      <c r="C56" s="49">
        <v>33.935000000000002</v>
      </c>
      <c r="D56" s="24"/>
      <c r="F56" s="15"/>
      <c r="G56" s="16"/>
      <c r="H56" s="17"/>
      <c r="M56" s="13"/>
    </row>
    <row r="57" spans="1:13" ht="15" customHeight="1">
      <c r="A57" s="7">
        <v>53</v>
      </c>
      <c r="B57" s="21">
        <v>53</v>
      </c>
      <c r="C57" s="49">
        <v>33.92</v>
      </c>
      <c r="D57" s="24"/>
      <c r="F57" s="15"/>
      <c r="G57" s="16"/>
      <c r="H57" s="17"/>
      <c r="M57" s="13"/>
    </row>
    <row r="58" spans="1:13" ht="15" customHeight="1">
      <c r="A58" s="7">
        <v>54</v>
      </c>
      <c r="B58" s="23">
        <v>54</v>
      </c>
      <c r="C58" s="49">
        <v>33.924999999999997</v>
      </c>
      <c r="D58" s="24"/>
      <c r="F58" s="15"/>
      <c r="G58" s="16"/>
      <c r="H58" s="17"/>
      <c r="M58" s="13"/>
    </row>
    <row r="59" spans="1:13" ht="15" customHeight="1">
      <c r="A59" s="7">
        <v>55</v>
      </c>
      <c r="B59" s="21">
        <v>55</v>
      </c>
      <c r="C59" s="49">
        <v>34.395000000000003</v>
      </c>
      <c r="D59" s="24"/>
      <c r="F59" s="15"/>
      <c r="G59" s="16"/>
      <c r="H59" s="17"/>
      <c r="M59" s="13"/>
    </row>
    <row r="60" spans="1:13" ht="15" customHeight="1">
      <c r="A60" s="7">
        <v>56</v>
      </c>
      <c r="B60" s="23">
        <v>56</v>
      </c>
      <c r="C60" s="49">
        <v>34.39</v>
      </c>
      <c r="D60" s="24"/>
      <c r="F60" s="15"/>
      <c r="G60" s="16"/>
      <c r="H60" s="17"/>
      <c r="M60" s="13"/>
    </row>
    <row r="61" spans="1:13" ht="15" customHeight="1">
      <c r="A61" s="7">
        <v>57</v>
      </c>
      <c r="B61" s="21">
        <v>57</v>
      </c>
      <c r="C61" s="49">
        <v>34.405000000000001</v>
      </c>
      <c r="D61" s="24"/>
      <c r="F61" s="15"/>
      <c r="G61" s="16"/>
      <c r="H61" s="17"/>
      <c r="M61" s="13"/>
    </row>
    <row r="62" spans="1:13" ht="15" customHeight="1">
      <c r="A62" s="7">
        <v>58</v>
      </c>
      <c r="B62" s="23">
        <v>58</v>
      </c>
      <c r="C62" s="49">
        <v>34.39</v>
      </c>
      <c r="D62" s="24"/>
      <c r="F62" s="15"/>
      <c r="G62" s="16"/>
      <c r="H62" s="17"/>
      <c r="M62" s="13"/>
    </row>
    <row r="63" spans="1:13" ht="15" customHeight="1">
      <c r="A63" s="7">
        <v>59</v>
      </c>
      <c r="B63" s="21">
        <v>59</v>
      </c>
      <c r="C63" s="49">
        <v>34.39</v>
      </c>
      <c r="D63" s="24"/>
      <c r="F63" s="15"/>
      <c r="G63" s="16"/>
      <c r="H63" s="17"/>
      <c r="M63" s="13"/>
    </row>
    <row r="64" spans="1:13" ht="15" customHeight="1">
      <c r="A64" s="7">
        <v>60</v>
      </c>
      <c r="B64" s="23">
        <v>60</v>
      </c>
      <c r="C64" s="49">
        <v>34.384999999999998</v>
      </c>
      <c r="D64" s="24"/>
      <c r="F64" s="15"/>
      <c r="G64" s="16"/>
      <c r="H64" s="17"/>
      <c r="M64" s="13"/>
    </row>
    <row r="65" spans="1:13" ht="15" customHeight="1">
      <c r="A65" s="7">
        <v>61</v>
      </c>
      <c r="B65" s="21">
        <v>61</v>
      </c>
      <c r="C65" s="49">
        <v>34.39</v>
      </c>
      <c r="D65" s="24"/>
      <c r="F65" s="15"/>
      <c r="G65" s="16"/>
      <c r="H65" s="17"/>
      <c r="M65" s="13"/>
    </row>
    <row r="66" spans="1:13" ht="15" customHeight="1">
      <c r="A66" s="7">
        <v>62</v>
      </c>
      <c r="B66" s="23">
        <v>62</v>
      </c>
      <c r="C66" s="49">
        <v>34.195</v>
      </c>
      <c r="D66" s="24"/>
      <c r="F66" s="15"/>
      <c r="G66" s="16"/>
      <c r="H66" s="17"/>
      <c r="M66" s="13"/>
    </row>
    <row r="67" spans="1:13" ht="15" customHeight="1">
      <c r="A67" s="7">
        <v>63</v>
      </c>
      <c r="B67" s="21">
        <v>63</v>
      </c>
      <c r="C67" s="49">
        <v>34.39</v>
      </c>
      <c r="D67" s="24"/>
      <c r="F67" s="15"/>
      <c r="G67" s="16"/>
      <c r="H67" s="17"/>
      <c r="M67" s="13"/>
    </row>
    <row r="68" spans="1:13" ht="15" customHeight="1">
      <c r="A68" s="7">
        <v>64</v>
      </c>
      <c r="B68" s="23">
        <v>64</v>
      </c>
      <c r="C68" s="49">
        <v>34.409999999999997</v>
      </c>
      <c r="D68" s="24"/>
      <c r="F68" s="15"/>
      <c r="G68" s="16"/>
      <c r="H68" s="17"/>
      <c r="M68" s="13"/>
    </row>
    <row r="69" spans="1:13" ht="15" customHeight="1">
      <c r="A69" s="7">
        <v>65</v>
      </c>
      <c r="B69" s="21">
        <v>65</v>
      </c>
      <c r="C69" s="49">
        <v>34.409999999999997</v>
      </c>
      <c r="D69" s="24"/>
      <c r="F69" s="15"/>
      <c r="G69" s="16"/>
      <c r="H69" s="17"/>
      <c r="M69" s="13"/>
    </row>
    <row r="70" spans="1:13" ht="15" customHeight="1">
      <c r="A70" s="7">
        <v>66</v>
      </c>
      <c r="B70" s="23">
        <v>66</v>
      </c>
      <c r="C70" s="49">
        <v>34.409999999999997</v>
      </c>
      <c r="D70" s="24"/>
      <c r="F70" s="15"/>
      <c r="G70" s="16"/>
      <c r="H70" s="17"/>
      <c r="M70" s="13"/>
    </row>
    <row r="71" spans="1:13" ht="15" customHeight="1">
      <c r="A71" s="7">
        <v>67</v>
      </c>
      <c r="B71" s="21">
        <v>67</v>
      </c>
      <c r="C71" s="49">
        <v>34.409999999999997</v>
      </c>
      <c r="D71" s="24"/>
      <c r="F71" s="15"/>
      <c r="G71" s="16"/>
      <c r="H71" s="17"/>
      <c r="M71" s="13"/>
    </row>
    <row r="72" spans="1:13" ht="15" customHeight="1">
      <c r="A72" s="7">
        <v>68</v>
      </c>
      <c r="B72" s="23">
        <v>68</v>
      </c>
      <c r="C72" s="49">
        <v>34.405000000000001</v>
      </c>
      <c r="D72" s="24"/>
      <c r="F72" s="15"/>
      <c r="G72" s="16"/>
      <c r="H72" s="17"/>
      <c r="M72" s="13"/>
    </row>
    <row r="73" spans="1:13" ht="15" customHeight="1">
      <c r="A73" s="7">
        <v>69</v>
      </c>
      <c r="B73" s="21">
        <v>69</v>
      </c>
      <c r="C73" s="49">
        <v>34.4</v>
      </c>
      <c r="D73" s="24"/>
      <c r="F73" s="15"/>
      <c r="G73" s="16"/>
      <c r="H73" s="17"/>
      <c r="M73" s="13"/>
    </row>
    <row r="74" spans="1:13" ht="15" customHeight="1">
      <c r="A74" s="7">
        <v>70</v>
      </c>
      <c r="B74" s="23">
        <v>70</v>
      </c>
      <c r="C74" s="49">
        <v>34.405000000000001</v>
      </c>
      <c r="D74" s="24"/>
      <c r="F74" s="15"/>
      <c r="G74" s="16"/>
      <c r="H74" s="17"/>
      <c r="M74" s="13"/>
    </row>
    <row r="75" spans="1:13" ht="15" customHeight="1">
      <c r="A75" s="7">
        <v>71</v>
      </c>
      <c r="B75" s="21">
        <v>71</v>
      </c>
      <c r="C75" s="49">
        <v>34.405000000000001</v>
      </c>
      <c r="D75" s="24"/>
      <c r="F75" s="15"/>
      <c r="G75" s="16"/>
      <c r="H75" s="17"/>
      <c r="M75" s="13"/>
    </row>
    <row r="76" spans="1:13" ht="15" customHeight="1">
      <c r="A76" s="7">
        <v>72</v>
      </c>
      <c r="B76" s="23">
        <v>72</v>
      </c>
      <c r="C76" s="49">
        <v>34.4</v>
      </c>
      <c r="D76" s="24"/>
      <c r="F76" s="15"/>
      <c r="G76" s="16"/>
      <c r="H76" s="17"/>
      <c r="M76" s="13"/>
    </row>
    <row r="77" spans="1:13" ht="15" customHeight="1">
      <c r="A77" s="7">
        <v>73</v>
      </c>
      <c r="B77" s="21">
        <v>73</v>
      </c>
      <c r="C77" s="49">
        <v>34.375</v>
      </c>
      <c r="D77" s="24"/>
      <c r="F77" s="15"/>
      <c r="G77" s="16"/>
      <c r="H77" s="17"/>
      <c r="M77" s="13"/>
    </row>
    <row r="78" spans="1:13" ht="15" customHeight="1">
      <c r="A78" s="7">
        <v>74</v>
      </c>
      <c r="B78" s="23">
        <v>74</v>
      </c>
      <c r="C78" s="49">
        <v>34.39</v>
      </c>
      <c r="D78" s="24"/>
      <c r="F78" s="10"/>
      <c r="G78" s="9"/>
      <c r="H78" s="9"/>
      <c r="M78" s="13"/>
    </row>
    <row r="79" spans="1:13" ht="15" customHeight="1">
      <c r="A79" s="7">
        <v>75</v>
      </c>
      <c r="B79" s="21">
        <v>75</v>
      </c>
      <c r="C79" s="49">
        <v>34.380000000000003</v>
      </c>
      <c r="D79" s="24"/>
      <c r="F79" s="10"/>
      <c r="G79" s="9"/>
      <c r="H79" s="9"/>
      <c r="M79" s="13"/>
    </row>
    <row r="80" spans="1:13" ht="15" customHeight="1">
      <c r="A80" s="7">
        <v>76</v>
      </c>
      <c r="B80" s="23">
        <v>76</v>
      </c>
      <c r="C80" s="49">
        <v>34.380000000000003</v>
      </c>
      <c r="D80" s="24"/>
      <c r="F80" s="10"/>
      <c r="G80" s="9"/>
      <c r="H80" s="9"/>
      <c r="M80" s="13"/>
    </row>
    <row r="81" spans="1:13" ht="15" customHeight="1">
      <c r="A81" s="7">
        <v>77</v>
      </c>
      <c r="B81" s="21">
        <v>77</v>
      </c>
      <c r="C81" s="49">
        <v>34.380000000000003</v>
      </c>
      <c r="D81" s="24"/>
      <c r="F81" s="10"/>
      <c r="G81" s="9"/>
      <c r="H81" s="9"/>
      <c r="M81" s="13"/>
    </row>
    <row r="82" spans="1:13" ht="15" customHeight="1">
      <c r="A82" s="7">
        <v>78</v>
      </c>
      <c r="B82" s="23">
        <v>78</v>
      </c>
      <c r="C82" s="49">
        <v>34.375</v>
      </c>
      <c r="D82" s="24"/>
      <c r="F82" s="10"/>
      <c r="G82" s="9"/>
      <c r="H82" s="9"/>
      <c r="M82" s="13"/>
    </row>
    <row r="83" spans="1:13" ht="15" customHeight="1">
      <c r="A83" s="7">
        <v>79</v>
      </c>
      <c r="B83" s="21">
        <v>79</v>
      </c>
      <c r="C83" s="49">
        <v>34.375</v>
      </c>
      <c r="D83" s="24"/>
      <c r="F83" s="10"/>
      <c r="G83" s="9"/>
      <c r="H83" s="9"/>
      <c r="M83" s="13"/>
    </row>
    <row r="84" spans="1:13" ht="15" customHeight="1">
      <c r="A84" s="7">
        <v>80</v>
      </c>
      <c r="B84" s="23">
        <v>80</v>
      </c>
      <c r="C84" s="49">
        <v>34.4</v>
      </c>
      <c r="D84" s="24"/>
      <c r="F84" s="10"/>
      <c r="G84" s="9"/>
      <c r="H84" s="9"/>
      <c r="M84" s="13"/>
    </row>
    <row r="85" spans="1:13" ht="15" customHeight="1">
      <c r="A85" s="7">
        <v>81</v>
      </c>
      <c r="B85" s="21">
        <v>81</v>
      </c>
      <c r="C85" s="49">
        <v>34.4</v>
      </c>
      <c r="D85" s="24"/>
      <c r="F85" s="10"/>
      <c r="G85" s="9"/>
      <c r="H85" s="9"/>
      <c r="M85" s="13"/>
    </row>
    <row r="86" spans="1:13" ht="15" customHeight="1">
      <c r="A86" s="7">
        <v>82</v>
      </c>
      <c r="B86" s="23">
        <v>82</v>
      </c>
      <c r="C86" s="49">
        <v>34.409999999999997</v>
      </c>
      <c r="D86" s="24"/>
      <c r="F86" s="10"/>
      <c r="G86" s="9"/>
      <c r="H86" s="9"/>
      <c r="M86" s="13"/>
    </row>
    <row r="87" spans="1:13" ht="15" customHeight="1">
      <c r="A87" s="7">
        <v>83</v>
      </c>
      <c r="B87" s="21">
        <v>83</v>
      </c>
      <c r="C87" s="49">
        <v>34.395000000000003</v>
      </c>
      <c r="D87" s="24"/>
      <c r="F87" s="10"/>
      <c r="G87" s="9"/>
      <c r="H87" s="9"/>
      <c r="M87" s="13"/>
    </row>
    <row r="88" spans="1:13" ht="15" customHeight="1">
      <c r="A88" s="7">
        <v>84</v>
      </c>
      <c r="B88" s="23">
        <v>84</v>
      </c>
      <c r="C88" s="49">
        <v>34.4</v>
      </c>
      <c r="D88" s="24"/>
      <c r="F88" s="10"/>
      <c r="G88" s="9"/>
      <c r="H88" s="9"/>
      <c r="M88" s="13"/>
    </row>
    <row r="89" spans="1:13" ht="15" customHeight="1">
      <c r="A89" s="7">
        <v>85</v>
      </c>
      <c r="B89" s="21">
        <v>85</v>
      </c>
      <c r="C89" s="49">
        <v>34.4</v>
      </c>
      <c r="D89" s="24"/>
      <c r="F89" s="10"/>
      <c r="G89" s="9"/>
      <c r="H89" s="9"/>
      <c r="M89" s="13"/>
    </row>
    <row r="90" spans="1:13" ht="15" customHeight="1">
      <c r="A90" s="7">
        <v>86</v>
      </c>
      <c r="B90" s="23">
        <v>86</v>
      </c>
      <c r="C90" s="49">
        <v>34.4</v>
      </c>
      <c r="D90" s="24"/>
      <c r="F90" s="10"/>
      <c r="G90" s="9"/>
      <c r="H90" s="9"/>
      <c r="M90" s="13"/>
    </row>
    <row r="91" spans="1:13" ht="15" customHeight="1">
      <c r="A91" s="7">
        <v>87</v>
      </c>
      <c r="B91" s="21">
        <v>87</v>
      </c>
      <c r="C91" s="49">
        <v>34.4</v>
      </c>
      <c r="D91" s="24"/>
      <c r="F91" s="10"/>
      <c r="G91" s="9"/>
      <c r="H91" s="9"/>
      <c r="M91" s="13"/>
    </row>
    <row r="92" spans="1:13" ht="15" customHeight="1">
      <c r="A92" s="7">
        <v>88</v>
      </c>
      <c r="B92" s="23">
        <v>88</v>
      </c>
      <c r="C92" s="49">
        <v>34.4</v>
      </c>
      <c r="D92" s="24"/>
      <c r="F92" s="10"/>
      <c r="G92" s="9"/>
      <c r="H92" s="9"/>
      <c r="M92" s="13"/>
    </row>
    <row r="93" spans="1:13" ht="15" customHeight="1">
      <c r="A93" s="7">
        <v>89</v>
      </c>
      <c r="B93" s="21">
        <v>89</v>
      </c>
      <c r="C93" s="49">
        <v>34.4</v>
      </c>
      <c r="D93" s="24"/>
      <c r="F93" s="10"/>
      <c r="G93" s="9"/>
      <c r="H93" s="9"/>
      <c r="M93" s="13"/>
    </row>
    <row r="94" spans="1:13" ht="15" customHeight="1">
      <c r="A94" s="7">
        <v>90</v>
      </c>
      <c r="B94" s="23">
        <v>90</v>
      </c>
      <c r="C94" s="51">
        <v>34.4</v>
      </c>
      <c r="D94" s="24"/>
      <c r="F94" s="10"/>
      <c r="G94" s="9"/>
      <c r="H94" s="9"/>
      <c r="M94" s="13"/>
    </row>
    <row r="95" spans="1:13" ht="15" customHeight="1">
      <c r="A95" s="7">
        <v>91</v>
      </c>
      <c r="B95" s="21">
        <v>91</v>
      </c>
      <c r="C95" s="49">
        <v>34.4</v>
      </c>
      <c r="D95" s="24"/>
      <c r="F95" s="10"/>
      <c r="G95" s="9"/>
      <c r="H95" s="9"/>
      <c r="M95" s="13"/>
    </row>
    <row r="96" spans="1:13" ht="15" customHeight="1">
      <c r="A96" s="7">
        <v>92</v>
      </c>
      <c r="B96" s="23">
        <v>92</v>
      </c>
      <c r="C96" s="49">
        <v>34.384999999999998</v>
      </c>
      <c r="D96" s="24"/>
      <c r="F96" s="10"/>
      <c r="G96" s="9"/>
      <c r="H96" s="9"/>
      <c r="M96" s="13"/>
    </row>
    <row r="97" spans="1:13" ht="15" customHeight="1">
      <c r="A97" s="7">
        <v>93</v>
      </c>
      <c r="B97" s="21">
        <v>93</v>
      </c>
      <c r="C97" s="49">
        <v>34.39</v>
      </c>
      <c r="D97" s="24"/>
      <c r="F97" s="10"/>
      <c r="G97" s="9"/>
      <c r="H97" s="9"/>
      <c r="M97" s="13"/>
    </row>
    <row r="98" spans="1:13" ht="15" customHeight="1">
      <c r="A98" s="7">
        <v>94</v>
      </c>
      <c r="B98" s="23">
        <v>94</v>
      </c>
      <c r="C98" s="49">
        <v>32.905000000000001</v>
      </c>
      <c r="D98" s="24"/>
      <c r="F98" s="10"/>
      <c r="G98" s="9"/>
      <c r="H98" s="9"/>
      <c r="M98" s="13"/>
    </row>
    <row r="99" spans="1:13" ht="15" customHeight="1">
      <c r="A99" s="7">
        <v>95</v>
      </c>
      <c r="B99" s="21">
        <v>95</v>
      </c>
      <c r="C99" s="49">
        <v>34.39</v>
      </c>
      <c r="D99" s="24"/>
      <c r="F99" s="10"/>
      <c r="G99" s="9"/>
      <c r="H99" s="9"/>
      <c r="M99" s="13"/>
    </row>
    <row r="100" spans="1:13" ht="15" customHeight="1">
      <c r="A100" s="7">
        <v>96</v>
      </c>
      <c r="B100" s="23">
        <v>96</v>
      </c>
      <c r="C100" s="49">
        <v>33.770000000000003</v>
      </c>
      <c r="D100" s="24"/>
      <c r="F100" s="10"/>
      <c r="G100" s="9"/>
      <c r="H100" s="9"/>
      <c r="M100" s="13"/>
    </row>
    <row r="101" spans="1:13" ht="15" customHeight="1">
      <c r="A101" s="7">
        <v>97</v>
      </c>
      <c r="B101" s="21">
        <v>97</v>
      </c>
      <c r="C101" s="49">
        <v>34.4</v>
      </c>
      <c r="D101" s="24"/>
      <c r="F101" s="10"/>
      <c r="G101" s="9"/>
      <c r="H101" s="9"/>
      <c r="M101" s="13"/>
    </row>
    <row r="102" spans="1:13" ht="15" customHeight="1">
      <c r="A102" s="7">
        <v>98</v>
      </c>
      <c r="B102" s="23">
        <v>98</v>
      </c>
      <c r="C102" s="49">
        <v>33.58</v>
      </c>
      <c r="D102" s="24"/>
      <c r="F102" s="10"/>
      <c r="G102" s="9"/>
      <c r="H102" s="9"/>
      <c r="M102" s="13"/>
    </row>
    <row r="103" spans="1:13" ht="15" customHeight="1">
      <c r="A103" s="7">
        <v>99</v>
      </c>
      <c r="B103" s="21">
        <v>99</v>
      </c>
      <c r="C103" s="49">
        <v>34.4</v>
      </c>
      <c r="D103" s="24"/>
      <c r="F103" s="10"/>
      <c r="G103" s="9"/>
      <c r="H103" s="9"/>
      <c r="M103" s="13"/>
    </row>
    <row r="104" spans="1:13" ht="15" customHeight="1">
      <c r="A104" s="7">
        <v>100</v>
      </c>
      <c r="B104" s="23">
        <v>100</v>
      </c>
      <c r="C104" s="49">
        <v>34.4</v>
      </c>
      <c r="D104" s="24"/>
      <c r="F104" s="10"/>
      <c r="G104" s="9"/>
      <c r="H104" s="9"/>
      <c r="M104" s="13"/>
    </row>
    <row r="105" spans="1:13" ht="15" customHeight="1">
      <c r="A105" s="7">
        <v>101</v>
      </c>
      <c r="B105" s="21">
        <v>101</v>
      </c>
      <c r="C105" s="49">
        <v>34.4</v>
      </c>
      <c r="D105" s="24"/>
      <c r="F105" s="10"/>
      <c r="G105" s="9"/>
      <c r="H105" s="9"/>
      <c r="M105" s="13"/>
    </row>
    <row r="106" spans="1:13" ht="15" customHeight="1">
      <c r="A106" s="7">
        <v>102</v>
      </c>
      <c r="B106" s="23">
        <v>102</v>
      </c>
      <c r="C106" s="49">
        <v>34.4</v>
      </c>
      <c r="D106" s="24"/>
      <c r="F106" s="10"/>
      <c r="G106" s="9"/>
      <c r="H106" s="9"/>
      <c r="M106" s="13"/>
    </row>
    <row r="107" spans="1:13" ht="15" customHeight="1">
      <c r="A107" s="7">
        <v>103</v>
      </c>
      <c r="B107" s="21">
        <v>103</v>
      </c>
      <c r="C107" s="49">
        <v>34.4</v>
      </c>
      <c r="D107" s="24"/>
      <c r="F107" s="10"/>
      <c r="G107" s="9"/>
      <c r="H107" s="9"/>
      <c r="M107" s="13"/>
    </row>
    <row r="108" spans="1:13" ht="15" customHeight="1">
      <c r="A108" s="7">
        <v>104</v>
      </c>
      <c r="B108" s="23">
        <v>104</v>
      </c>
      <c r="C108" s="49">
        <v>34.395000000000003</v>
      </c>
      <c r="D108" s="24"/>
      <c r="F108" s="10"/>
      <c r="G108" s="9"/>
      <c r="H108" s="9"/>
      <c r="M108" s="13"/>
    </row>
    <row r="109" spans="1:13" ht="15" customHeight="1">
      <c r="A109" s="7">
        <v>105</v>
      </c>
      <c r="B109" s="21">
        <v>105</v>
      </c>
      <c r="C109" s="49">
        <v>34.405000000000001</v>
      </c>
      <c r="D109" s="24"/>
      <c r="F109" s="10"/>
      <c r="G109" s="9"/>
      <c r="H109" s="9"/>
      <c r="M109" s="13"/>
    </row>
    <row r="110" spans="1:13" ht="15" customHeight="1">
      <c r="A110" s="7">
        <v>106</v>
      </c>
      <c r="B110" s="23">
        <v>106</v>
      </c>
      <c r="C110" s="49">
        <v>34.395000000000003</v>
      </c>
      <c r="D110" s="24"/>
      <c r="F110" s="10"/>
      <c r="G110" s="9"/>
      <c r="H110" s="9"/>
      <c r="M110" s="13"/>
    </row>
    <row r="111" spans="1:13" ht="15" customHeight="1">
      <c r="A111" s="7">
        <v>107</v>
      </c>
      <c r="B111" s="21">
        <v>107</v>
      </c>
      <c r="C111" s="49">
        <v>34.134999999999998</v>
      </c>
      <c r="D111" s="24"/>
      <c r="F111" s="10"/>
      <c r="G111" s="9"/>
      <c r="H111" s="9"/>
      <c r="M111" s="13"/>
    </row>
    <row r="112" spans="1:13" ht="15" customHeight="1">
      <c r="A112" s="7">
        <v>108</v>
      </c>
      <c r="B112" s="23">
        <v>108</v>
      </c>
      <c r="C112" s="49">
        <v>34.4</v>
      </c>
      <c r="D112" s="24"/>
      <c r="F112" s="10"/>
      <c r="G112" s="9"/>
      <c r="H112" s="9"/>
      <c r="M112" s="13"/>
    </row>
    <row r="113" spans="1:13" ht="15" customHeight="1">
      <c r="A113" s="7">
        <v>109</v>
      </c>
      <c r="B113" s="21">
        <v>109</v>
      </c>
      <c r="C113" s="49">
        <v>34.414999999999999</v>
      </c>
      <c r="D113" s="24"/>
      <c r="F113" s="10"/>
      <c r="G113" s="9"/>
      <c r="H113" s="9"/>
      <c r="M113" s="13"/>
    </row>
    <row r="114" spans="1:13" ht="15" customHeight="1">
      <c r="A114" s="7">
        <v>110</v>
      </c>
      <c r="B114" s="23">
        <v>110</v>
      </c>
      <c r="C114" s="49">
        <v>34.409999999999997</v>
      </c>
      <c r="D114" s="24"/>
      <c r="F114" s="10"/>
      <c r="G114" s="9"/>
      <c r="H114" s="9"/>
      <c r="M114" s="13"/>
    </row>
    <row r="115" spans="1:13" ht="15" customHeight="1">
      <c r="A115" s="7">
        <v>111</v>
      </c>
      <c r="B115" s="21">
        <v>111</v>
      </c>
      <c r="C115" s="51">
        <v>34.384999999999998</v>
      </c>
      <c r="D115" s="24"/>
      <c r="F115" s="10"/>
      <c r="G115" s="9"/>
      <c r="H115" s="9"/>
      <c r="M115" s="13"/>
    </row>
    <row r="116" spans="1:13" ht="15" customHeight="1">
      <c r="A116" s="7">
        <v>112</v>
      </c>
      <c r="B116" s="23">
        <v>112</v>
      </c>
      <c r="C116" s="49">
        <v>34.39</v>
      </c>
      <c r="D116" s="24"/>
      <c r="F116" s="10"/>
      <c r="G116" s="9"/>
      <c r="H116" s="9"/>
      <c r="M116" s="13"/>
    </row>
    <row r="117" spans="1:13" ht="15" customHeight="1">
      <c r="A117" s="7">
        <v>113</v>
      </c>
      <c r="B117" s="21">
        <v>113</v>
      </c>
      <c r="C117" s="49">
        <v>31.715</v>
      </c>
      <c r="D117" s="24"/>
      <c r="F117" s="10"/>
      <c r="G117" s="9"/>
      <c r="H117" s="9"/>
      <c r="M117" s="13"/>
    </row>
    <row r="118" spans="1:13" ht="15" customHeight="1">
      <c r="A118" s="7">
        <v>114</v>
      </c>
      <c r="B118" s="23">
        <v>114</v>
      </c>
      <c r="C118" s="49">
        <v>34.39</v>
      </c>
      <c r="D118" s="24"/>
      <c r="F118" s="10"/>
      <c r="G118" s="9"/>
      <c r="H118" s="9"/>
      <c r="M118" s="13"/>
    </row>
    <row r="119" spans="1:13" ht="15" customHeight="1">
      <c r="A119" s="7">
        <v>115</v>
      </c>
      <c r="B119" s="21">
        <v>115</v>
      </c>
      <c r="C119" s="49">
        <v>34.384999999999998</v>
      </c>
      <c r="D119" s="24"/>
      <c r="F119" s="10"/>
      <c r="G119" s="9"/>
      <c r="H119" s="9"/>
      <c r="M119" s="13"/>
    </row>
    <row r="120" spans="1:13" ht="15" customHeight="1">
      <c r="A120" s="7">
        <v>116</v>
      </c>
      <c r="B120" s="23">
        <v>116</v>
      </c>
      <c r="C120" s="49">
        <v>34.384999999999998</v>
      </c>
      <c r="D120" s="24"/>
      <c r="F120" s="10"/>
      <c r="G120" s="9"/>
      <c r="H120" s="9"/>
      <c r="M120" s="13"/>
    </row>
    <row r="121" spans="1:13" ht="15" customHeight="1">
      <c r="A121" s="7">
        <v>117</v>
      </c>
      <c r="B121" s="21">
        <v>117</v>
      </c>
      <c r="C121" s="49">
        <v>34.384999999999998</v>
      </c>
      <c r="D121" s="24"/>
      <c r="F121" s="10"/>
      <c r="G121" s="9"/>
      <c r="H121" s="9"/>
      <c r="M121" s="13"/>
    </row>
    <row r="122" spans="1:13" ht="15" customHeight="1">
      <c r="A122" s="7">
        <v>118</v>
      </c>
      <c r="B122" s="23">
        <v>118</v>
      </c>
      <c r="C122" s="49">
        <v>34.4</v>
      </c>
      <c r="D122" s="24"/>
      <c r="F122" s="10"/>
      <c r="G122" s="9"/>
      <c r="H122" s="9"/>
      <c r="M122" s="13"/>
    </row>
    <row r="123" spans="1:13" ht="15" customHeight="1">
      <c r="A123" s="7">
        <v>119</v>
      </c>
      <c r="B123" s="21">
        <v>119</v>
      </c>
      <c r="C123" s="49">
        <v>34.4</v>
      </c>
      <c r="D123" s="24"/>
      <c r="F123" s="10"/>
      <c r="G123" s="9"/>
      <c r="H123" s="9"/>
      <c r="M123" s="13"/>
    </row>
    <row r="124" spans="1:13" ht="15" customHeight="1">
      <c r="A124" s="7">
        <v>120</v>
      </c>
      <c r="B124" s="23">
        <v>120</v>
      </c>
      <c r="C124" s="49">
        <v>34.39</v>
      </c>
      <c r="D124" s="24"/>
      <c r="F124" s="10"/>
      <c r="G124" s="9"/>
      <c r="H124" s="9"/>
      <c r="M124" s="13"/>
    </row>
    <row r="125" spans="1:13" ht="15" customHeight="1">
      <c r="A125" s="7">
        <v>121</v>
      </c>
      <c r="B125" s="21">
        <v>121</v>
      </c>
      <c r="C125" s="49">
        <v>34.4</v>
      </c>
      <c r="D125" s="24"/>
      <c r="F125" s="10"/>
      <c r="G125" s="9"/>
      <c r="H125" s="9"/>
      <c r="M125" s="13"/>
    </row>
    <row r="126" spans="1:13" ht="15" customHeight="1">
      <c r="A126" s="7">
        <v>122</v>
      </c>
      <c r="B126" s="23">
        <v>122</v>
      </c>
      <c r="C126" s="49">
        <v>34.395000000000003</v>
      </c>
      <c r="D126" s="24"/>
      <c r="F126" s="10"/>
      <c r="G126" s="9"/>
      <c r="H126" s="9"/>
      <c r="M126" s="13"/>
    </row>
    <row r="127" spans="1:13" ht="15" customHeight="1">
      <c r="A127" s="7">
        <v>123</v>
      </c>
      <c r="B127" s="21">
        <v>123</v>
      </c>
      <c r="C127" s="49">
        <v>34.395000000000003</v>
      </c>
      <c r="D127" s="24"/>
      <c r="F127" s="10"/>
      <c r="G127" s="9"/>
      <c r="H127" s="9"/>
      <c r="M127" s="13"/>
    </row>
    <row r="128" spans="1:13" ht="15" customHeight="1">
      <c r="A128" s="7">
        <v>124</v>
      </c>
      <c r="B128" s="23">
        <v>124</v>
      </c>
      <c r="C128" s="49">
        <v>34.4</v>
      </c>
      <c r="D128" s="24"/>
      <c r="F128" s="10"/>
      <c r="G128" s="9"/>
      <c r="H128" s="9"/>
      <c r="M128" s="13"/>
    </row>
    <row r="129" spans="1:13" ht="15" customHeight="1">
      <c r="A129" s="7">
        <v>125</v>
      </c>
      <c r="B129" s="21">
        <v>125</v>
      </c>
      <c r="C129" s="49">
        <v>34.4</v>
      </c>
      <c r="D129" s="24"/>
      <c r="F129" s="10"/>
      <c r="G129" s="9"/>
      <c r="H129" s="9"/>
      <c r="M129" s="13"/>
    </row>
    <row r="130" spans="1:13" ht="15" customHeight="1">
      <c r="A130" s="7">
        <v>126</v>
      </c>
      <c r="B130" s="23">
        <v>126</v>
      </c>
      <c r="C130" s="49">
        <v>34.4</v>
      </c>
      <c r="D130" s="24"/>
      <c r="F130" s="10"/>
      <c r="G130" s="9"/>
      <c r="H130" s="9"/>
      <c r="M130" s="13"/>
    </row>
    <row r="131" spans="1:13" ht="15" customHeight="1">
      <c r="A131" s="7">
        <v>127</v>
      </c>
      <c r="B131" s="21">
        <v>127</v>
      </c>
      <c r="C131" s="49">
        <v>34.4</v>
      </c>
      <c r="D131" s="24"/>
      <c r="F131" s="10"/>
      <c r="G131" s="9"/>
      <c r="H131" s="9"/>
      <c r="M131" s="13"/>
    </row>
    <row r="132" spans="1:13" ht="15" customHeight="1">
      <c r="A132" s="7">
        <v>128</v>
      </c>
      <c r="B132" s="23">
        <v>128</v>
      </c>
      <c r="C132" s="49">
        <v>34.405000000000001</v>
      </c>
      <c r="D132" s="24"/>
      <c r="F132" s="10"/>
      <c r="G132" s="9"/>
      <c r="H132" s="9"/>
      <c r="M132" s="13"/>
    </row>
    <row r="133" spans="1:13" ht="15" customHeight="1">
      <c r="A133" s="7">
        <v>129</v>
      </c>
      <c r="B133" s="21">
        <v>129</v>
      </c>
      <c r="C133" s="49">
        <v>34.405000000000001</v>
      </c>
      <c r="D133" s="24"/>
      <c r="F133" s="10"/>
      <c r="G133" s="9"/>
      <c r="H133" s="9"/>
      <c r="M133" s="13"/>
    </row>
    <row r="134" spans="1:13" ht="15" customHeight="1">
      <c r="A134" s="7">
        <v>130</v>
      </c>
      <c r="B134" s="23">
        <v>130</v>
      </c>
      <c r="C134" s="49">
        <v>34.405000000000001</v>
      </c>
      <c r="D134" s="24"/>
      <c r="F134" s="10"/>
      <c r="G134" s="9"/>
      <c r="H134" s="9"/>
      <c r="M134" s="13"/>
    </row>
    <row r="135" spans="1:13" ht="15" customHeight="1">
      <c r="A135" s="7">
        <v>131</v>
      </c>
      <c r="B135" s="21">
        <v>131</v>
      </c>
      <c r="C135" s="49">
        <v>34.384999999999998</v>
      </c>
      <c r="D135" s="24"/>
      <c r="F135" s="10"/>
      <c r="G135" s="9"/>
      <c r="H135" s="9"/>
      <c r="M135" s="13"/>
    </row>
    <row r="136" spans="1:13" ht="15" customHeight="1">
      <c r="A136" s="7">
        <v>132</v>
      </c>
      <c r="B136" s="23">
        <v>132</v>
      </c>
      <c r="C136" s="49">
        <v>34.384999999999998</v>
      </c>
      <c r="D136" s="24"/>
      <c r="F136" s="10"/>
      <c r="G136" s="9"/>
      <c r="H136" s="9"/>
      <c r="M136" s="13"/>
    </row>
    <row r="137" spans="1:13" ht="15" customHeight="1">
      <c r="A137" s="7">
        <v>133</v>
      </c>
      <c r="B137" s="21">
        <v>133</v>
      </c>
      <c r="C137" s="49">
        <v>34.39</v>
      </c>
      <c r="D137" s="24"/>
      <c r="F137" s="10"/>
      <c r="G137" s="9"/>
      <c r="H137" s="9"/>
      <c r="M137" s="13"/>
    </row>
    <row r="138" spans="1:13" ht="15" customHeight="1">
      <c r="A138" s="7">
        <v>134</v>
      </c>
      <c r="B138" s="23">
        <v>134</v>
      </c>
      <c r="C138" s="49">
        <v>34.39</v>
      </c>
      <c r="D138" s="24"/>
      <c r="F138" s="10"/>
      <c r="G138" s="9"/>
      <c r="H138" s="9"/>
      <c r="M138" s="13"/>
    </row>
    <row r="139" spans="1:13" ht="15" customHeight="1">
      <c r="A139" s="7">
        <v>135</v>
      </c>
      <c r="B139" s="21">
        <v>135</v>
      </c>
      <c r="C139" s="49">
        <v>34.405000000000001</v>
      </c>
      <c r="D139" s="24"/>
      <c r="F139" s="10"/>
      <c r="G139" s="9"/>
      <c r="H139" s="9"/>
      <c r="M139" s="13"/>
    </row>
    <row r="140" spans="1:13" ht="15" customHeight="1">
      <c r="A140" s="7">
        <v>136</v>
      </c>
      <c r="B140" s="23">
        <v>136</v>
      </c>
      <c r="C140" s="49">
        <v>34.4</v>
      </c>
      <c r="D140" s="24"/>
      <c r="F140" s="10"/>
      <c r="G140" s="9"/>
      <c r="H140" s="9"/>
      <c r="M140" s="13"/>
    </row>
    <row r="141" spans="1:13" ht="15" customHeight="1">
      <c r="A141" s="7">
        <v>137</v>
      </c>
      <c r="B141" s="21">
        <v>137</v>
      </c>
      <c r="C141" s="49">
        <v>34.384999999999998</v>
      </c>
      <c r="D141" s="24"/>
      <c r="F141" s="10"/>
      <c r="G141" s="9"/>
      <c r="H141" s="9"/>
      <c r="M141" s="13"/>
    </row>
    <row r="142" spans="1:13" ht="15" customHeight="1">
      <c r="A142" s="7">
        <v>138</v>
      </c>
      <c r="B142" s="23">
        <v>138</v>
      </c>
      <c r="C142" s="49">
        <v>34.384999999999998</v>
      </c>
      <c r="D142" s="24"/>
      <c r="F142" s="10"/>
      <c r="G142" s="9"/>
      <c r="H142" s="9"/>
      <c r="M142" s="13"/>
    </row>
    <row r="143" spans="1:13" ht="15" customHeight="1">
      <c r="A143" s="7">
        <v>139</v>
      </c>
      <c r="B143" s="21">
        <v>139</v>
      </c>
      <c r="C143" s="49">
        <v>34.384999999999998</v>
      </c>
      <c r="D143" s="24"/>
      <c r="F143" s="10"/>
      <c r="G143" s="9"/>
      <c r="H143" s="9"/>
      <c r="M143" s="13"/>
    </row>
    <row r="144" spans="1:13" ht="15" customHeight="1">
      <c r="A144" s="7">
        <v>140</v>
      </c>
      <c r="B144" s="23">
        <v>140</v>
      </c>
      <c r="C144" s="49">
        <v>34.395000000000003</v>
      </c>
      <c r="D144" s="24"/>
      <c r="F144" s="10"/>
      <c r="G144" s="9"/>
      <c r="H144" s="9"/>
      <c r="M144" s="13"/>
    </row>
    <row r="145" spans="1:13" ht="15" customHeight="1">
      <c r="A145" s="7">
        <v>141</v>
      </c>
      <c r="B145" s="21">
        <v>141</v>
      </c>
      <c r="C145" s="49">
        <v>34.4</v>
      </c>
      <c r="D145" s="24"/>
      <c r="F145" s="10"/>
      <c r="G145" s="9"/>
      <c r="H145" s="9"/>
      <c r="M145" s="13"/>
    </row>
    <row r="146" spans="1:13" ht="15" customHeight="1">
      <c r="A146" s="7">
        <v>142</v>
      </c>
      <c r="B146" s="23">
        <v>142</v>
      </c>
      <c r="C146" s="49">
        <v>34.4</v>
      </c>
      <c r="D146" s="24"/>
      <c r="F146" s="10"/>
      <c r="G146" s="9"/>
      <c r="H146" s="9"/>
      <c r="M146" s="13"/>
    </row>
    <row r="147" spans="1:13" ht="15" customHeight="1">
      <c r="A147" s="7">
        <v>143</v>
      </c>
      <c r="B147" s="21">
        <v>143</v>
      </c>
      <c r="C147" s="49">
        <v>34.4</v>
      </c>
      <c r="D147" s="24"/>
      <c r="F147" s="10"/>
      <c r="G147" s="9"/>
      <c r="H147" s="9"/>
      <c r="M147" s="13"/>
    </row>
    <row r="148" spans="1:13" ht="15" customHeight="1">
      <c r="A148" s="7">
        <v>144</v>
      </c>
      <c r="B148" s="23">
        <v>144</v>
      </c>
      <c r="C148" s="49">
        <v>34.384999999999998</v>
      </c>
      <c r="D148" s="24"/>
      <c r="F148" s="10"/>
      <c r="G148" s="9"/>
      <c r="H148" s="9"/>
      <c r="M148" s="13"/>
    </row>
    <row r="149" spans="1:13" ht="15" customHeight="1">
      <c r="A149" s="7">
        <v>145</v>
      </c>
      <c r="B149" s="21">
        <v>145</v>
      </c>
      <c r="C149" s="49">
        <v>34.395000000000003</v>
      </c>
      <c r="D149" s="24"/>
      <c r="F149" s="10"/>
      <c r="G149" s="9"/>
      <c r="H149" s="9"/>
      <c r="M149" s="13"/>
    </row>
    <row r="150" spans="1:13" ht="15" customHeight="1">
      <c r="A150" s="7">
        <v>146</v>
      </c>
      <c r="B150" s="23">
        <v>146</v>
      </c>
      <c r="C150" s="49">
        <v>34.375</v>
      </c>
      <c r="D150" s="24"/>
      <c r="F150" s="10"/>
      <c r="G150" s="9"/>
      <c r="H150" s="9"/>
      <c r="M150" s="13"/>
    </row>
    <row r="151" spans="1:13" ht="15" customHeight="1">
      <c r="A151" s="7">
        <v>147</v>
      </c>
      <c r="B151" s="21">
        <v>147</v>
      </c>
      <c r="C151" s="49">
        <v>34.395000000000003</v>
      </c>
      <c r="D151" s="24"/>
      <c r="F151" s="10"/>
      <c r="G151" s="9"/>
      <c r="H151" s="9"/>
      <c r="M151" s="13"/>
    </row>
    <row r="152" spans="1:13" ht="15" customHeight="1">
      <c r="A152" s="7">
        <v>148</v>
      </c>
      <c r="B152" s="23">
        <v>148</v>
      </c>
      <c r="C152" s="49">
        <v>31.885000000000002</v>
      </c>
      <c r="D152" s="24"/>
      <c r="F152" s="10"/>
      <c r="G152" s="9"/>
      <c r="H152" s="9"/>
      <c r="M152" s="13"/>
    </row>
    <row r="153" spans="1:13" ht="15" customHeight="1">
      <c r="A153" s="7">
        <v>149</v>
      </c>
      <c r="B153" s="21">
        <v>149</v>
      </c>
      <c r="C153" s="49">
        <v>34.384999999999998</v>
      </c>
      <c r="D153" s="24"/>
      <c r="F153" s="10"/>
      <c r="G153" s="9"/>
      <c r="H153" s="9"/>
      <c r="M153" s="13"/>
    </row>
    <row r="154" spans="1:13" ht="15" customHeight="1">
      <c r="A154" s="7">
        <v>150</v>
      </c>
      <c r="B154" s="23">
        <v>150</v>
      </c>
      <c r="C154" s="49">
        <v>34.380000000000003</v>
      </c>
      <c r="D154" s="24"/>
      <c r="F154" s="10"/>
      <c r="G154" s="9"/>
      <c r="H154" s="9"/>
      <c r="M154" s="13"/>
    </row>
    <row r="155" spans="1:13" ht="15" customHeight="1">
      <c r="A155" s="7">
        <v>151</v>
      </c>
      <c r="B155" s="21">
        <v>151</v>
      </c>
      <c r="C155" s="49">
        <v>34.380000000000003</v>
      </c>
      <c r="D155" s="24"/>
      <c r="F155" s="10"/>
      <c r="G155" s="9"/>
      <c r="H155" s="9"/>
      <c r="M155" s="13"/>
    </row>
    <row r="156" spans="1:13" ht="15" customHeight="1">
      <c r="A156" s="7">
        <v>152</v>
      </c>
      <c r="B156" s="23">
        <v>152</v>
      </c>
      <c r="C156" s="49">
        <v>34.384999999999998</v>
      </c>
      <c r="D156" s="24"/>
      <c r="F156" s="10"/>
      <c r="G156" s="9"/>
      <c r="H156" s="9"/>
      <c r="M156" s="13"/>
    </row>
    <row r="157" spans="1:13" ht="15" customHeight="1">
      <c r="A157" s="7">
        <v>153</v>
      </c>
      <c r="B157" s="21">
        <v>153</v>
      </c>
      <c r="C157" s="49">
        <v>34.4</v>
      </c>
      <c r="D157" s="24"/>
      <c r="F157" s="10"/>
      <c r="G157" s="9"/>
      <c r="H157" s="9"/>
      <c r="M157" s="13"/>
    </row>
    <row r="158" spans="1:13" ht="15" customHeight="1">
      <c r="A158" s="7">
        <v>154</v>
      </c>
      <c r="B158" s="23">
        <v>154</v>
      </c>
      <c r="C158" s="49">
        <v>34.384999999999998</v>
      </c>
      <c r="D158" s="24"/>
      <c r="F158" s="10"/>
      <c r="G158" s="9"/>
      <c r="H158" s="9"/>
      <c r="M158" s="13"/>
    </row>
    <row r="159" spans="1:13" ht="15" customHeight="1">
      <c r="A159" s="7">
        <v>155</v>
      </c>
      <c r="B159" s="21">
        <v>155</v>
      </c>
      <c r="C159" s="49">
        <v>34.39</v>
      </c>
      <c r="D159" s="24"/>
      <c r="F159" s="10"/>
      <c r="G159" s="9"/>
      <c r="H159" s="9"/>
      <c r="M159" s="13"/>
    </row>
    <row r="160" spans="1:13" ht="15" customHeight="1">
      <c r="A160" s="7">
        <v>156</v>
      </c>
      <c r="B160" s="23">
        <v>156</v>
      </c>
      <c r="C160" s="49">
        <v>34.39</v>
      </c>
      <c r="D160" s="24"/>
      <c r="F160" s="10"/>
      <c r="G160" s="9"/>
      <c r="H160" s="9"/>
      <c r="M160" s="13"/>
    </row>
    <row r="161" spans="1:13" ht="15" customHeight="1">
      <c r="A161" s="7">
        <v>157</v>
      </c>
      <c r="B161" s="21">
        <v>157</v>
      </c>
      <c r="C161" s="49">
        <v>34.39</v>
      </c>
      <c r="D161" s="24"/>
      <c r="F161" s="10"/>
      <c r="G161" s="9"/>
      <c r="H161" s="9"/>
      <c r="M161" s="13"/>
    </row>
    <row r="162" spans="1:13" ht="15" customHeight="1">
      <c r="A162" s="7">
        <v>158</v>
      </c>
      <c r="B162" s="23">
        <v>158</v>
      </c>
      <c r="C162" s="49">
        <v>34.42</v>
      </c>
      <c r="D162" s="24"/>
      <c r="F162" s="10"/>
      <c r="G162" s="9"/>
      <c r="H162" s="9"/>
      <c r="M162" s="13"/>
    </row>
    <row r="163" spans="1:13" ht="15" customHeight="1">
      <c r="A163" s="7">
        <v>159</v>
      </c>
      <c r="B163" s="21">
        <v>159</v>
      </c>
      <c r="C163" s="49">
        <v>34.42</v>
      </c>
      <c r="D163" s="24"/>
      <c r="F163" s="10"/>
      <c r="G163" s="9"/>
      <c r="H163" s="9"/>
      <c r="M163" s="13"/>
    </row>
    <row r="164" spans="1:13" ht="15" customHeight="1">
      <c r="A164" s="7">
        <v>160</v>
      </c>
      <c r="B164" s="23">
        <v>160</v>
      </c>
      <c r="C164" s="49">
        <v>34.225000000000001</v>
      </c>
      <c r="D164" s="24"/>
      <c r="F164" s="10"/>
      <c r="G164" s="9"/>
      <c r="H164" s="9"/>
      <c r="M164" s="13"/>
    </row>
    <row r="165" spans="1:13" ht="15" customHeight="1">
      <c r="A165" s="7">
        <v>161</v>
      </c>
      <c r="B165" s="21">
        <v>161</v>
      </c>
      <c r="C165" s="49">
        <v>32.494999999999997</v>
      </c>
      <c r="D165" s="24"/>
      <c r="F165" s="10"/>
      <c r="G165" s="9"/>
      <c r="H165" s="9"/>
      <c r="M165" s="13"/>
    </row>
    <row r="166" spans="1:13" ht="15" customHeight="1">
      <c r="A166" s="7">
        <v>162</v>
      </c>
      <c r="B166" s="23">
        <v>162</v>
      </c>
      <c r="C166" s="49">
        <v>34.42</v>
      </c>
      <c r="D166" s="24"/>
      <c r="F166" s="10"/>
      <c r="G166" s="9"/>
      <c r="H166" s="9"/>
      <c r="M166" s="13"/>
    </row>
    <row r="167" spans="1:13" ht="15" customHeight="1">
      <c r="A167" s="7">
        <v>163</v>
      </c>
      <c r="B167" s="21">
        <v>163</v>
      </c>
      <c r="C167" s="49">
        <v>34.39</v>
      </c>
      <c r="D167" s="24"/>
      <c r="F167" s="10"/>
      <c r="G167" s="9"/>
      <c r="H167" s="9"/>
      <c r="M167" s="13"/>
    </row>
    <row r="168" spans="1:13" ht="15" customHeight="1">
      <c r="A168" s="7">
        <v>164</v>
      </c>
      <c r="B168" s="23">
        <v>164</v>
      </c>
      <c r="C168" s="49">
        <v>34.39</v>
      </c>
      <c r="D168" s="24"/>
      <c r="F168" s="10"/>
      <c r="G168" s="9"/>
      <c r="H168" s="9"/>
      <c r="M168" s="13"/>
    </row>
    <row r="169" spans="1:13" ht="15" customHeight="1">
      <c r="A169" s="7">
        <v>165</v>
      </c>
      <c r="B169" s="21">
        <v>165</v>
      </c>
      <c r="C169" s="49">
        <v>34.39</v>
      </c>
      <c r="D169" s="24"/>
      <c r="F169" s="10"/>
      <c r="G169" s="9"/>
      <c r="H169" s="9"/>
      <c r="M169" s="13"/>
    </row>
    <row r="170" spans="1:13" ht="15" customHeight="1">
      <c r="A170" s="7">
        <v>166</v>
      </c>
      <c r="B170" s="23">
        <v>166</v>
      </c>
      <c r="C170" s="49">
        <v>34.39</v>
      </c>
      <c r="D170" s="24"/>
      <c r="F170" s="10"/>
      <c r="G170" s="9"/>
      <c r="H170" s="9"/>
      <c r="M170" s="13"/>
    </row>
    <row r="171" spans="1:13" ht="15" customHeight="1">
      <c r="A171" s="7">
        <v>167</v>
      </c>
      <c r="B171" s="21">
        <v>167</v>
      </c>
      <c r="C171" s="49">
        <v>34.4</v>
      </c>
      <c r="D171" s="24"/>
      <c r="F171" s="10"/>
      <c r="G171" s="9"/>
      <c r="H171" s="9"/>
      <c r="M171" s="13"/>
    </row>
    <row r="172" spans="1:13" ht="15" customHeight="1">
      <c r="A172" s="7">
        <v>168</v>
      </c>
      <c r="B172" s="23">
        <v>168</v>
      </c>
      <c r="C172" s="49">
        <v>34.395000000000003</v>
      </c>
      <c r="D172" s="24"/>
      <c r="F172" s="10"/>
      <c r="G172" s="9"/>
      <c r="H172" s="9"/>
      <c r="M172" s="13"/>
    </row>
    <row r="173" spans="1:13" ht="15" customHeight="1">
      <c r="A173" s="7">
        <v>169</v>
      </c>
      <c r="B173" s="21">
        <v>169</v>
      </c>
      <c r="C173" s="49">
        <v>34.380000000000003</v>
      </c>
      <c r="D173" s="24"/>
      <c r="F173" s="10"/>
      <c r="G173" s="9"/>
      <c r="H173" s="9"/>
      <c r="M173" s="13"/>
    </row>
    <row r="174" spans="1:13" ht="15" customHeight="1">
      <c r="A174" s="7">
        <v>170</v>
      </c>
      <c r="B174" s="23">
        <v>170</v>
      </c>
      <c r="C174" s="49">
        <v>34.395000000000003</v>
      </c>
      <c r="D174" s="24"/>
      <c r="F174" s="10"/>
      <c r="G174" s="9"/>
      <c r="H174" s="9"/>
      <c r="M174" s="13"/>
    </row>
    <row r="175" spans="1:13" ht="15" customHeight="1">
      <c r="A175" s="7">
        <v>171</v>
      </c>
      <c r="B175" s="21">
        <v>171</v>
      </c>
      <c r="C175" s="49">
        <v>34.4</v>
      </c>
      <c r="D175" s="24"/>
      <c r="F175" s="10"/>
      <c r="G175" s="9"/>
      <c r="H175" s="9"/>
      <c r="M175" s="13"/>
    </row>
    <row r="176" spans="1:13" ht="15" customHeight="1">
      <c r="A176" s="7">
        <v>172</v>
      </c>
      <c r="B176" s="23">
        <v>172</v>
      </c>
      <c r="C176" s="49">
        <v>34.4</v>
      </c>
      <c r="D176" s="24"/>
      <c r="F176" s="10"/>
      <c r="G176" s="9"/>
      <c r="H176" s="9"/>
      <c r="M176" s="13"/>
    </row>
    <row r="177" spans="1:13" ht="15" customHeight="1">
      <c r="A177" s="7">
        <v>173</v>
      </c>
      <c r="B177" s="21">
        <v>173</v>
      </c>
      <c r="C177" s="49">
        <v>34.395000000000003</v>
      </c>
      <c r="D177" s="24"/>
      <c r="F177" s="10"/>
      <c r="G177" s="9"/>
      <c r="H177" s="9"/>
      <c r="M177" s="13"/>
    </row>
    <row r="178" spans="1:13" ht="15" customHeight="1">
      <c r="A178" s="7">
        <v>174</v>
      </c>
      <c r="B178" s="23">
        <v>174</v>
      </c>
      <c r="C178" s="49">
        <v>34.395000000000003</v>
      </c>
      <c r="D178" s="24"/>
      <c r="F178" s="10"/>
      <c r="G178" s="9"/>
      <c r="H178" s="9"/>
      <c r="M178" s="13"/>
    </row>
    <row r="179" spans="1:13" ht="15" customHeight="1">
      <c r="A179" s="7">
        <v>175</v>
      </c>
      <c r="B179" s="21">
        <v>175</v>
      </c>
      <c r="C179" s="49">
        <v>34.4</v>
      </c>
      <c r="D179" s="24"/>
      <c r="F179" s="10"/>
      <c r="G179" s="9"/>
      <c r="H179" s="9"/>
      <c r="M179" s="13"/>
    </row>
    <row r="180" spans="1:13" ht="15" customHeight="1">
      <c r="A180" s="7">
        <v>176</v>
      </c>
      <c r="B180" s="23">
        <v>176</v>
      </c>
      <c r="C180" s="49">
        <v>34.395000000000003</v>
      </c>
      <c r="D180" s="24"/>
      <c r="F180" s="10"/>
      <c r="G180" s="9"/>
      <c r="H180" s="9"/>
      <c r="M180" s="13"/>
    </row>
    <row r="181" spans="1:13" ht="15" customHeight="1">
      <c r="A181" s="7">
        <v>177</v>
      </c>
      <c r="B181" s="21">
        <v>177</v>
      </c>
      <c r="C181" s="49">
        <v>34.395000000000003</v>
      </c>
      <c r="D181" s="24"/>
      <c r="F181" s="10"/>
      <c r="G181" s="9"/>
      <c r="H181" s="9"/>
      <c r="M181" s="13"/>
    </row>
    <row r="182" spans="1:13" ht="15" customHeight="1">
      <c r="A182" s="7">
        <v>178</v>
      </c>
      <c r="B182" s="23">
        <v>178</v>
      </c>
      <c r="C182" s="49">
        <v>34.395000000000003</v>
      </c>
      <c r="D182" s="24"/>
      <c r="F182" s="10"/>
      <c r="G182" s="9"/>
      <c r="H182" s="9"/>
      <c r="M182" s="13"/>
    </row>
    <row r="183" spans="1:13" ht="15" customHeight="1">
      <c r="A183" s="7">
        <v>179</v>
      </c>
      <c r="B183" s="21">
        <v>179</v>
      </c>
      <c r="C183" s="49">
        <v>34.034999999999997</v>
      </c>
      <c r="D183" s="24"/>
      <c r="F183" s="10"/>
      <c r="G183" s="9"/>
      <c r="H183" s="9"/>
      <c r="M183" s="13"/>
    </row>
    <row r="184" spans="1:13" ht="15" customHeight="1">
      <c r="A184" s="7">
        <v>180</v>
      </c>
      <c r="B184" s="23">
        <v>180</v>
      </c>
      <c r="C184" s="49">
        <v>34.395000000000003</v>
      </c>
      <c r="D184" s="24"/>
      <c r="F184" s="10"/>
      <c r="G184" s="9"/>
      <c r="H184" s="9"/>
      <c r="M184" s="13"/>
    </row>
    <row r="185" spans="1:13" ht="15" customHeight="1">
      <c r="A185" s="7">
        <v>181</v>
      </c>
      <c r="B185" s="21">
        <v>181</v>
      </c>
      <c r="C185" s="49">
        <v>34.395000000000003</v>
      </c>
      <c r="D185" s="24"/>
      <c r="F185" s="10"/>
      <c r="G185" s="9"/>
      <c r="H185" s="9"/>
      <c r="M185" s="13"/>
    </row>
    <row r="186" spans="1:13" ht="15" customHeight="1">
      <c r="A186" s="7">
        <v>182</v>
      </c>
      <c r="B186" s="23">
        <v>182</v>
      </c>
      <c r="C186" s="49">
        <v>34.39</v>
      </c>
      <c r="D186" s="24"/>
      <c r="F186" s="10"/>
      <c r="G186" s="9"/>
      <c r="H186" s="9"/>
      <c r="M186" s="13"/>
    </row>
    <row r="187" spans="1:13" ht="15" customHeight="1">
      <c r="A187" s="7">
        <v>183</v>
      </c>
      <c r="B187" s="21">
        <v>183</v>
      </c>
      <c r="C187" s="49">
        <v>34.395000000000003</v>
      </c>
      <c r="D187" s="24"/>
      <c r="F187" s="10"/>
      <c r="G187" s="9"/>
      <c r="H187" s="9"/>
      <c r="M187" s="13"/>
    </row>
    <row r="188" spans="1:13" ht="15" customHeight="1">
      <c r="A188" s="7">
        <v>184</v>
      </c>
      <c r="B188" s="23">
        <v>184</v>
      </c>
      <c r="C188" s="51">
        <v>34.405000000000001</v>
      </c>
      <c r="D188" s="24"/>
      <c r="F188" s="10"/>
      <c r="G188" s="9"/>
      <c r="H188" s="9"/>
      <c r="M188" s="13"/>
    </row>
    <row r="189" spans="1:13" ht="15" customHeight="1">
      <c r="A189" s="7">
        <v>185</v>
      </c>
      <c r="B189" s="21">
        <v>185</v>
      </c>
      <c r="C189" s="49">
        <v>31.545000000000002</v>
      </c>
      <c r="D189" s="24"/>
      <c r="F189" s="10"/>
      <c r="G189" s="9"/>
      <c r="H189" s="9"/>
      <c r="M189" s="13"/>
    </row>
    <row r="190" spans="1:13" ht="15" customHeight="1">
      <c r="A190" s="7">
        <v>186</v>
      </c>
      <c r="B190" s="23">
        <v>186</v>
      </c>
      <c r="C190" s="49">
        <v>34.405000000000001</v>
      </c>
      <c r="D190" s="24"/>
      <c r="F190" s="10"/>
      <c r="G190" s="9"/>
      <c r="H190" s="9"/>
      <c r="M190" s="13"/>
    </row>
    <row r="191" spans="1:13" ht="15" customHeight="1">
      <c r="A191" s="7">
        <v>187</v>
      </c>
      <c r="B191" s="21">
        <v>187</v>
      </c>
      <c r="C191" s="49">
        <v>34.4</v>
      </c>
      <c r="D191" s="24"/>
      <c r="F191" s="10"/>
      <c r="G191" s="9"/>
      <c r="H191" s="9"/>
      <c r="M191" s="13"/>
    </row>
    <row r="192" spans="1:13" ht="15" customHeight="1">
      <c r="A192" s="7">
        <v>188</v>
      </c>
      <c r="B192" s="23">
        <v>188</v>
      </c>
      <c r="C192" s="49">
        <v>34.409999999999997</v>
      </c>
      <c r="D192" s="24"/>
      <c r="F192" s="10"/>
      <c r="G192" s="9"/>
      <c r="H192" s="9"/>
      <c r="M192" s="13"/>
    </row>
    <row r="193" spans="1:13" ht="15" customHeight="1">
      <c r="A193" s="7">
        <v>189</v>
      </c>
      <c r="B193" s="21">
        <v>189</v>
      </c>
      <c r="C193" s="49">
        <v>34.405000000000001</v>
      </c>
      <c r="D193" s="24"/>
      <c r="F193" s="10"/>
      <c r="G193" s="9"/>
      <c r="H193" s="9"/>
      <c r="M193" s="13"/>
    </row>
    <row r="194" spans="1:13" ht="15" customHeight="1">
      <c r="A194" s="7">
        <v>190</v>
      </c>
      <c r="B194" s="23">
        <v>190</v>
      </c>
      <c r="C194" s="49">
        <v>34.39</v>
      </c>
      <c r="D194" s="24"/>
      <c r="F194" s="10"/>
      <c r="G194" s="9"/>
      <c r="H194" s="9"/>
      <c r="M194" s="13"/>
    </row>
    <row r="195" spans="1:13" ht="15" customHeight="1">
      <c r="A195" s="7">
        <v>191</v>
      </c>
      <c r="B195" s="21">
        <v>191</v>
      </c>
      <c r="C195" s="49">
        <v>34.39</v>
      </c>
      <c r="D195" s="24"/>
      <c r="F195" s="10"/>
      <c r="G195" s="9"/>
      <c r="H195" s="9"/>
      <c r="M195" s="13"/>
    </row>
    <row r="196" spans="1:13" ht="15" customHeight="1">
      <c r="A196" s="7">
        <v>192</v>
      </c>
      <c r="B196" s="23">
        <v>192</v>
      </c>
      <c r="C196" s="49">
        <v>34.395000000000003</v>
      </c>
      <c r="D196" s="24"/>
      <c r="F196" s="10"/>
      <c r="G196" s="9"/>
      <c r="H196" s="9"/>
      <c r="M196" s="13"/>
    </row>
    <row r="197" spans="1:13" ht="15" customHeight="1">
      <c r="A197" s="7">
        <v>193</v>
      </c>
      <c r="B197" s="21">
        <v>193</v>
      </c>
      <c r="C197" s="49">
        <v>34.4</v>
      </c>
      <c r="D197" s="24"/>
      <c r="F197" s="10"/>
      <c r="G197" s="9"/>
      <c r="H197" s="9"/>
      <c r="M197" s="13"/>
    </row>
    <row r="198" spans="1:13" ht="15" customHeight="1">
      <c r="A198" s="7">
        <v>194</v>
      </c>
      <c r="B198" s="23">
        <v>194</v>
      </c>
      <c r="C198" s="49">
        <v>34.395000000000003</v>
      </c>
      <c r="D198" s="24"/>
      <c r="F198" s="10"/>
      <c r="G198" s="9"/>
      <c r="H198" s="9"/>
      <c r="M198" s="13"/>
    </row>
    <row r="199" spans="1:13" ht="15" customHeight="1">
      <c r="A199" s="7">
        <v>195</v>
      </c>
      <c r="B199" s="21">
        <v>195</v>
      </c>
      <c r="C199" s="49">
        <v>34.395000000000003</v>
      </c>
      <c r="D199" s="24"/>
      <c r="F199" s="10"/>
      <c r="G199" s="9"/>
      <c r="H199" s="9"/>
      <c r="M199" s="13"/>
    </row>
    <row r="200" spans="1:13" ht="15" customHeight="1">
      <c r="A200" s="7">
        <v>196</v>
      </c>
      <c r="B200" s="23">
        <v>196</v>
      </c>
      <c r="C200" s="49">
        <v>34.39</v>
      </c>
      <c r="D200" s="24"/>
      <c r="F200" s="10"/>
      <c r="G200" s="9"/>
      <c r="H200" s="9"/>
      <c r="M200" s="13"/>
    </row>
    <row r="201" spans="1:13" ht="15" customHeight="1">
      <c r="A201" s="7">
        <v>197</v>
      </c>
      <c r="B201" s="21">
        <v>197</v>
      </c>
      <c r="C201" s="49">
        <v>33.049999999999997</v>
      </c>
      <c r="D201" s="24"/>
      <c r="F201" s="10"/>
      <c r="G201" s="9"/>
      <c r="H201" s="9"/>
      <c r="M201" s="13"/>
    </row>
    <row r="202" spans="1:13" ht="15" customHeight="1">
      <c r="A202" s="7">
        <v>198</v>
      </c>
      <c r="B202" s="23">
        <v>198</v>
      </c>
      <c r="C202" s="49">
        <v>34.395000000000003</v>
      </c>
      <c r="D202" s="24"/>
      <c r="F202" s="10"/>
      <c r="G202" s="9"/>
      <c r="H202" s="9"/>
      <c r="M202" s="13"/>
    </row>
    <row r="203" spans="1:13" ht="15" customHeight="1">
      <c r="A203" s="7">
        <v>199</v>
      </c>
      <c r="B203" s="21">
        <v>199</v>
      </c>
      <c r="C203" s="49">
        <v>34.380000000000003</v>
      </c>
      <c r="D203" s="24"/>
      <c r="F203" s="10"/>
      <c r="G203" s="9"/>
      <c r="H203" s="9"/>
      <c r="M203" s="13"/>
    </row>
    <row r="204" spans="1:13" ht="15" customHeight="1">
      <c r="A204" s="7">
        <v>200</v>
      </c>
      <c r="B204" s="23">
        <v>200</v>
      </c>
      <c r="C204" s="49">
        <v>34.414999999999999</v>
      </c>
      <c r="D204" s="24"/>
      <c r="F204" s="10"/>
      <c r="G204" s="9"/>
      <c r="H204" s="9"/>
      <c r="M204" s="13"/>
    </row>
    <row r="205" spans="1:13" ht="15" customHeight="1">
      <c r="A205" s="7">
        <v>201</v>
      </c>
      <c r="B205" s="21">
        <v>201</v>
      </c>
      <c r="C205" s="49">
        <v>34.414999999999999</v>
      </c>
      <c r="D205" s="24"/>
      <c r="F205" s="10"/>
      <c r="G205" s="9"/>
      <c r="H205" s="9"/>
      <c r="M205" s="13"/>
    </row>
    <row r="206" spans="1:13" ht="15" customHeight="1">
      <c r="A206" s="7">
        <v>202</v>
      </c>
      <c r="B206" s="23">
        <v>202</v>
      </c>
      <c r="C206" s="49">
        <v>34.409999999999997</v>
      </c>
      <c r="D206" s="24"/>
      <c r="F206" s="10"/>
      <c r="G206" s="9"/>
      <c r="H206" s="9"/>
      <c r="M206" s="13"/>
    </row>
    <row r="207" spans="1:13" ht="15" customHeight="1">
      <c r="A207" s="7">
        <v>203</v>
      </c>
      <c r="B207" s="21">
        <v>203</v>
      </c>
      <c r="C207" s="49">
        <v>34.380000000000003</v>
      </c>
      <c r="D207" s="24"/>
      <c r="F207" s="10"/>
      <c r="G207" s="9"/>
      <c r="H207" s="9"/>
      <c r="M207" s="13"/>
    </row>
    <row r="208" spans="1:13" ht="15" customHeight="1">
      <c r="A208" s="7">
        <v>204</v>
      </c>
      <c r="B208" s="23">
        <v>204</v>
      </c>
      <c r="C208" s="49">
        <v>34.380000000000003</v>
      </c>
      <c r="D208" s="24"/>
      <c r="F208" s="10"/>
      <c r="G208" s="9"/>
      <c r="H208" s="9"/>
      <c r="M208" s="13"/>
    </row>
    <row r="209" spans="1:13" ht="15" customHeight="1">
      <c r="A209" s="7">
        <v>205</v>
      </c>
      <c r="B209" s="21">
        <v>205</v>
      </c>
      <c r="C209" s="49">
        <v>33.945</v>
      </c>
      <c r="D209" s="24"/>
      <c r="F209" s="10"/>
      <c r="G209" s="9"/>
      <c r="H209" s="9"/>
      <c r="M209" s="13"/>
    </row>
    <row r="210" spans="1:13" ht="15" customHeight="1">
      <c r="A210" s="7">
        <v>206</v>
      </c>
      <c r="B210" s="23">
        <v>206</v>
      </c>
      <c r="C210" s="49">
        <v>32.200000000000003</v>
      </c>
      <c r="D210" s="24"/>
      <c r="F210" s="10"/>
      <c r="G210" s="9"/>
      <c r="H210" s="9"/>
      <c r="M210" s="13"/>
    </row>
    <row r="211" spans="1:13" ht="15" customHeight="1">
      <c r="A211" s="7">
        <v>207</v>
      </c>
      <c r="B211" s="21">
        <v>207</v>
      </c>
      <c r="C211" s="49">
        <v>33.965000000000003</v>
      </c>
      <c r="D211" s="24"/>
      <c r="F211" s="10"/>
      <c r="G211" s="9"/>
      <c r="H211" s="9"/>
      <c r="M211" s="13"/>
    </row>
    <row r="212" spans="1:13" ht="15" customHeight="1">
      <c r="A212" s="7">
        <v>208</v>
      </c>
      <c r="B212" s="23">
        <v>208</v>
      </c>
      <c r="C212" s="49">
        <v>33.950000000000003</v>
      </c>
      <c r="D212" s="24"/>
      <c r="F212" s="10"/>
      <c r="G212" s="9"/>
      <c r="H212" s="9"/>
      <c r="M212" s="13"/>
    </row>
    <row r="213" spans="1:13" ht="15" customHeight="1">
      <c r="A213" s="7">
        <v>209</v>
      </c>
      <c r="B213" s="21">
        <v>209</v>
      </c>
      <c r="C213" s="49">
        <v>33.954999999999998</v>
      </c>
      <c r="D213" s="24"/>
      <c r="F213" s="10"/>
      <c r="G213" s="9"/>
      <c r="H213" s="9"/>
      <c r="M213" s="13"/>
    </row>
    <row r="214" spans="1:13" ht="15" customHeight="1">
      <c r="A214" s="7">
        <v>210</v>
      </c>
      <c r="B214" s="23">
        <v>210</v>
      </c>
      <c r="C214" s="49">
        <v>33.945</v>
      </c>
      <c r="D214" s="24"/>
      <c r="F214" s="10"/>
      <c r="G214" s="9"/>
      <c r="H214" s="9"/>
      <c r="M214" s="13"/>
    </row>
    <row r="215" spans="1:13" ht="15" customHeight="1">
      <c r="A215" s="7">
        <v>211</v>
      </c>
      <c r="B215" s="21">
        <v>211</v>
      </c>
      <c r="C215" s="49">
        <v>32.6</v>
      </c>
      <c r="D215" s="24"/>
      <c r="F215" s="10"/>
      <c r="G215" s="9"/>
      <c r="H215" s="9"/>
      <c r="M215" s="13"/>
    </row>
    <row r="216" spans="1:13" ht="15" customHeight="1">
      <c r="A216" s="7">
        <v>212</v>
      </c>
      <c r="B216" s="23">
        <v>212</v>
      </c>
      <c r="C216" s="49">
        <v>33.1</v>
      </c>
      <c r="D216" s="24"/>
      <c r="F216" s="10"/>
      <c r="G216" s="9"/>
      <c r="H216" s="9"/>
      <c r="M216" s="13"/>
    </row>
    <row r="217" spans="1:13" ht="15" customHeight="1">
      <c r="A217" s="7">
        <v>213</v>
      </c>
      <c r="B217" s="21">
        <v>213</v>
      </c>
      <c r="C217" s="49">
        <v>33.954999999999998</v>
      </c>
      <c r="D217" s="24"/>
      <c r="F217" s="10"/>
      <c r="G217" s="9"/>
      <c r="H217" s="9"/>
      <c r="M217" s="13"/>
    </row>
    <row r="218" spans="1:13" ht="15" customHeight="1">
      <c r="A218" s="7">
        <v>214</v>
      </c>
      <c r="B218" s="23">
        <v>214</v>
      </c>
      <c r="C218" s="49">
        <v>33.950000000000003</v>
      </c>
      <c r="D218" s="24"/>
      <c r="F218" s="10"/>
      <c r="G218" s="9"/>
      <c r="H218" s="9"/>
      <c r="M218" s="13"/>
    </row>
    <row r="219" spans="1:13" ht="15" customHeight="1">
      <c r="A219" s="7">
        <v>215</v>
      </c>
      <c r="B219" s="21">
        <v>215</v>
      </c>
      <c r="C219" s="49">
        <v>33.96</v>
      </c>
      <c r="D219" s="24"/>
      <c r="F219" s="10"/>
      <c r="G219" s="9"/>
      <c r="H219" s="9"/>
      <c r="M219" s="13"/>
    </row>
    <row r="220" spans="1:13" ht="15" customHeight="1">
      <c r="A220" s="7">
        <v>216</v>
      </c>
      <c r="B220" s="23">
        <v>216</v>
      </c>
      <c r="C220" s="49">
        <v>33.954999999999998</v>
      </c>
      <c r="D220" s="24"/>
      <c r="F220" s="10"/>
      <c r="G220" s="9"/>
      <c r="H220" s="9"/>
      <c r="M220" s="13"/>
    </row>
    <row r="221" spans="1:13" ht="15" customHeight="1">
      <c r="A221" s="7">
        <v>217</v>
      </c>
      <c r="B221" s="21">
        <v>217</v>
      </c>
      <c r="C221" s="49">
        <v>33.94</v>
      </c>
      <c r="D221" s="24"/>
      <c r="F221" s="10"/>
      <c r="G221" s="9"/>
      <c r="H221" s="9"/>
      <c r="M221" s="13"/>
    </row>
    <row r="222" spans="1:13" ht="15" customHeight="1">
      <c r="A222" s="7">
        <v>218</v>
      </c>
      <c r="B222" s="23">
        <v>218</v>
      </c>
      <c r="C222" s="49">
        <v>32.56</v>
      </c>
      <c r="D222" s="24"/>
      <c r="F222" s="10"/>
      <c r="G222" s="9"/>
      <c r="H222" s="9"/>
      <c r="M222" s="13"/>
    </row>
    <row r="223" spans="1:13" ht="15" customHeight="1">
      <c r="A223" s="7">
        <v>219</v>
      </c>
      <c r="B223" s="21">
        <v>219</v>
      </c>
      <c r="C223" s="49">
        <v>33.814999999999998</v>
      </c>
      <c r="D223" s="24"/>
      <c r="F223" s="10"/>
      <c r="G223" s="9"/>
      <c r="H223" s="9"/>
      <c r="M223" s="13"/>
    </row>
    <row r="224" spans="1:13" ht="15" customHeight="1">
      <c r="A224" s="7">
        <v>220</v>
      </c>
      <c r="B224" s="23">
        <v>220</v>
      </c>
      <c r="C224" s="49">
        <v>33.94</v>
      </c>
      <c r="D224" s="24"/>
      <c r="F224" s="10"/>
      <c r="G224" s="9"/>
      <c r="H224" s="9"/>
      <c r="M224" s="13"/>
    </row>
    <row r="225" spans="1:13" ht="15" customHeight="1">
      <c r="A225" s="7">
        <v>221</v>
      </c>
      <c r="B225" s="21">
        <v>221</v>
      </c>
      <c r="C225" s="49">
        <v>33.94</v>
      </c>
      <c r="D225" s="24"/>
      <c r="F225" s="10"/>
      <c r="G225" s="9"/>
      <c r="H225" s="9"/>
      <c r="M225" s="13"/>
    </row>
    <row r="226" spans="1:13" ht="15" customHeight="1">
      <c r="A226" s="7">
        <v>222</v>
      </c>
      <c r="B226" s="23">
        <v>222</v>
      </c>
      <c r="C226" s="49">
        <v>33.94</v>
      </c>
      <c r="D226" s="24"/>
      <c r="F226" s="10"/>
      <c r="G226" s="9"/>
      <c r="H226" s="9"/>
      <c r="M226" s="13"/>
    </row>
    <row r="227" spans="1:13" ht="15" customHeight="1">
      <c r="A227" s="7">
        <v>223</v>
      </c>
      <c r="B227" s="21">
        <v>223</v>
      </c>
      <c r="C227" s="49">
        <v>33.950000000000003</v>
      </c>
      <c r="D227" s="24"/>
      <c r="F227" s="10"/>
      <c r="G227" s="9"/>
      <c r="H227" s="9"/>
      <c r="M227" s="13"/>
    </row>
    <row r="228" spans="1:13" ht="15" customHeight="1">
      <c r="A228" s="7">
        <v>224</v>
      </c>
      <c r="B228" s="23">
        <v>224</v>
      </c>
      <c r="C228" s="49">
        <v>33.950000000000003</v>
      </c>
      <c r="D228" s="24"/>
      <c r="F228" s="10"/>
      <c r="G228" s="9"/>
      <c r="H228" s="9"/>
      <c r="M228" s="13"/>
    </row>
    <row r="229" spans="1:13" ht="15" customHeight="1">
      <c r="A229" s="7">
        <v>225</v>
      </c>
      <c r="B229" s="21">
        <v>225</v>
      </c>
      <c r="C229" s="49">
        <v>33.945</v>
      </c>
      <c r="D229" s="24"/>
      <c r="F229" s="10"/>
      <c r="G229" s="9"/>
      <c r="H229" s="9"/>
      <c r="M229" s="13"/>
    </row>
    <row r="230" spans="1:13" ht="15" customHeight="1">
      <c r="A230" s="7">
        <v>226</v>
      </c>
      <c r="B230" s="23">
        <v>226</v>
      </c>
      <c r="C230" s="49">
        <v>33.950000000000003</v>
      </c>
      <c r="D230" s="24"/>
      <c r="F230" s="10"/>
      <c r="G230" s="9"/>
      <c r="H230" s="9"/>
      <c r="M230" s="13"/>
    </row>
    <row r="231" spans="1:13" ht="15" customHeight="1">
      <c r="A231" s="7">
        <v>227</v>
      </c>
      <c r="B231" s="21">
        <v>227</v>
      </c>
      <c r="C231" s="49">
        <v>33.950000000000003</v>
      </c>
      <c r="D231" s="24"/>
      <c r="F231" s="10"/>
      <c r="G231" s="9"/>
      <c r="H231" s="9"/>
      <c r="M231" s="13"/>
    </row>
    <row r="232" spans="1:13" ht="15" customHeight="1">
      <c r="A232" s="7">
        <v>228</v>
      </c>
      <c r="B232" s="23">
        <v>228</v>
      </c>
      <c r="C232" s="49">
        <v>33.950000000000003</v>
      </c>
      <c r="D232" s="24"/>
      <c r="F232" s="10"/>
      <c r="G232" s="9"/>
      <c r="H232" s="9"/>
      <c r="M232" s="13"/>
    </row>
    <row r="233" spans="1:13" ht="15" customHeight="1">
      <c r="A233" s="7">
        <v>229</v>
      </c>
      <c r="B233" s="21">
        <v>229</v>
      </c>
      <c r="C233" s="49">
        <v>33.950000000000003</v>
      </c>
      <c r="D233" s="24"/>
      <c r="F233" s="10"/>
      <c r="G233" s="9"/>
      <c r="H233" s="9"/>
      <c r="M233" s="13"/>
    </row>
    <row r="234" spans="1:13" ht="15" customHeight="1">
      <c r="A234" s="7">
        <v>230</v>
      </c>
      <c r="B234" s="23">
        <v>230</v>
      </c>
      <c r="C234" s="49">
        <v>33.950000000000003</v>
      </c>
      <c r="D234" s="24"/>
      <c r="F234" s="10"/>
      <c r="G234" s="9"/>
      <c r="H234" s="9"/>
      <c r="M234" s="13"/>
    </row>
    <row r="235" spans="1:13" ht="15" customHeight="1">
      <c r="A235" s="7">
        <v>231</v>
      </c>
      <c r="B235" s="21">
        <v>231</v>
      </c>
      <c r="C235" s="49">
        <v>33.64</v>
      </c>
      <c r="D235" s="24"/>
      <c r="F235" s="10"/>
      <c r="G235" s="9"/>
      <c r="H235" s="9"/>
      <c r="M235" s="13"/>
    </row>
    <row r="236" spans="1:13" ht="15" customHeight="1">
      <c r="A236" s="7">
        <v>232</v>
      </c>
      <c r="B236" s="23">
        <v>232</v>
      </c>
      <c r="C236" s="49">
        <v>33.844999999999999</v>
      </c>
      <c r="D236" s="24"/>
      <c r="F236" s="10"/>
      <c r="G236" s="9"/>
      <c r="H236" s="9"/>
      <c r="M236" s="13"/>
    </row>
    <row r="237" spans="1:13" ht="15" customHeight="1">
      <c r="A237" s="7">
        <v>233</v>
      </c>
      <c r="B237" s="21">
        <v>233</v>
      </c>
      <c r="C237" s="49">
        <v>33.905000000000001</v>
      </c>
      <c r="D237" s="24"/>
      <c r="F237" s="10"/>
      <c r="G237" s="9"/>
      <c r="H237" s="9"/>
      <c r="M237" s="13"/>
    </row>
    <row r="238" spans="1:13" ht="15" customHeight="1">
      <c r="A238" s="7">
        <v>234</v>
      </c>
      <c r="B238" s="23">
        <v>234</v>
      </c>
      <c r="C238" s="49">
        <v>33.935000000000002</v>
      </c>
      <c r="D238" s="24"/>
      <c r="F238" s="10"/>
      <c r="G238" s="9"/>
      <c r="H238" s="9"/>
      <c r="M238" s="13"/>
    </row>
    <row r="239" spans="1:13" ht="15" customHeight="1">
      <c r="A239" s="7">
        <v>235</v>
      </c>
      <c r="B239" s="21">
        <v>235</v>
      </c>
      <c r="C239" s="49">
        <v>33.94</v>
      </c>
      <c r="D239" s="24"/>
      <c r="F239" s="10"/>
      <c r="G239" s="9"/>
      <c r="H239" s="9"/>
      <c r="M239" s="13"/>
    </row>
    <row r="240" spans="1:13" ht="15" customHeight="1">
      <c r="A240" s="7">
        <v>236</v>
      </c>
      <c r="B240" s="23">
        <v>236</v>
      </c>
      <c r="C240" s="49">
        <v>33.94</v>
      </c>
      <c r="D240" s="24"/>
      <c r="F240" s="10"/>
      <c r="G240" s="9"/>
      <c r="H240" s="9"/>
      <c r="M240" s="13"/>
    </row>
    <row r="241" spans="1:13" ht="15" customHeight="1">
      <c r="A241" s="7">
        <v>237</v>
      </c>
      <c r="B241" s="21">
        <v>237</v>
      </c>
      <c r="C241" s="49">
        <v>33.935000000000002</v>
      </c>
      <c r="D241" s="24"/>
      <c r="F241" s="10"/>
      <c r="G241" s="9"/>
      <c r="H241" s="9"/>
      <c r="M241" s="13"/>
    </row>
    <row r="242" spans="1:13" ht="15" customHeight="1">
      <c r="A242" s="7">
        <v>238</v>
      </c>
      <c r="B242" s="23">
        <v>238</v>
      </c>
      <c r="C242" s="49">
        <v>33.945</v>
      </c>
      <c r="D242" s="24"/>
      <c r="F242" s="10"/>
      <c r="G242" s="9"/>
      <c r="H242" s="9"/>
      <c r="M242" s="13"/>
    </row>
    <row r="243" spans="1:13" ht="15" customHeight="1">
      <c r="A243" s="7">
        <v>239</v>
      </c>
      <c r="B243" s="21">
        <v>239</v>
      </c>
      <c r="C243" s="49">
        <v>33.93</v>
      </c>
      <c r="D243" s="24"/>
      <c r="F243" s="10"/>
      <c r="G243" s="9"/>
      <c r="H243" s="9"/>
      <c r="M243" s="13"/>
    </row>
    <row r="244" spans="1:13" ht="15" customHeight="1">
      <c r="A244" s="7">
        <v>240</v>
      </c>
      <c r="B244" s="23">
        <v>240</v>
      </c>
      <c r="C244" s="49">
        <v>33.5</v>
      </c>
      <c r="D244" s="24"/>
      <c r="F244" s="10"/>
      <c r="G244" s="9"/>
      <c r="H244" s="9"/>
      <c r="M244" s="13"/>
    </row>
    <row r="245" spans="1:13" ht="15" customHeight="1">
      <c r="A245" s="7">
        <v>241</v>
      </c>
      <c r="B245" s="21">
        <v>241</v>
      </c>
      <c r="C245" s="49">
        <v>33.94</v>
      </c>
      <c r="D245" s="24"/>
      <c r="F245" s="10"/>
      <c r="G245" s="9"/>
      <c r="H245" s="9"/>
      <c r="M245" s="13"/>
    </row>
    <row r="246" spans="1:13" ht="15" customHeight="1">
      <c r="A246" s="7">
        <v>242</v>
      </c>
      <c r="B246" s="23">
        <v>242</v>
      </c>
      <c r="C246" s="49">
        <v>33.93</v>
      </c>
      <c r="D246" s="24"/>
      <c r="F246" s="10"/>
      <c r="G246" s="9"/>
      <c r="H246" s="9"/>
      <c r="M246" s="13"/>
    </row>
    <row r="247" spans="1:13" ht="15" customHeight="1">
      <c r="A247" s="7">
        <v>243</v>
      </c>
      <c r="B247" s="21">
        <v>243</v>
      </c>
      <c r="C247" s="49">
        <v>33.954999999999998</v>
      </c>
      <c r="D247" s="24"/>
      <c r="F247" s="10"/>
      <c r="G247" s="9"/>
      <c r="H247" s="9"/>
      <c r="M247" s="13"/>
    </row>
    <row r="248" spans="1:13" ht="15" customHeight="1">
      <c r="A248" s="7">
        <v>244</v>
      </c>
      <c r="B248" s="23">
        <v>244</v>
      </c>
      <c r="C248" s="49">
        <v>33.945</v>
      </c>
      <c r="D248" s="24"/>
      <c r="F248" s="10"/>
      <c r="G248" s="9"/>
      <c r="H248" s="9"/>
      <c r="M248" s="13"/>
    </row>
    <row r="249" spans="1:13" ht="15" customHeight="1">
      <c r="A249" s="7">
        <v>245</v>
      </c>
      <c r="B249" s="21">
        <v>245</v>
      </c>
      <c r="C249" s="49">
        <v>33.945</v>
      </c>
      <c r="D249" s="24"/>
      <c r="F249" s="10"/>
      <c r="G249" s="9"/>
      <c r="H249" s="9"/>
      <c r="M249" s="13"/>
    </row>
    <row r="250" spans="1:13" ht="15" customHeight="1">
      <c r="A250" s="7">
        <v>246</v>
      </c>
      <c r="B250" s="23">
        <v>246</v>
      </c>
      <c r="C250" s="49">
        <v>33.950000000000003</v>
      </c>
      <c r="D250" s="24"/>
      <c r="F250" s="10"/>
      <c r="G250" s="9"/>
      <c r="H250" s="9"/>
      <c r="M250" s="13"/>
    </row>
    <row r="251" spans="1:13" ht="15" customHeight="1">
      <c r="A251" s="7">
        <v>247</v>
      </c>
      <c r="B251" s="21">
        <v>247</v>
      </c>
      <c r="C251" s="49">
        <v>33.96</v>
      </c>
      <c r="D251" s="24"/>
      <c r="F251" s="10"/>
      <c r="G251" s="9"/>
      <c r="H251" s="9"/>
      <c r="M251" s="13"/>
    </row>
    <row r="252" spans="1:13" ht="15" customHeight="1">
      <c r="A252" s="7">
        <v>248</v>
      </c>
      <c r="B252" s="23">
        <v>248</v>
      </c>
      <c r="C252" s="49">
        <v>33.94</v>
      </c>
      <c r="D252" s="24"/>
      <c r="F252" s="10"/>
      <c r="G252" s="9"/>
      <c r="H252" s="9"/>
      <c r="M252" s="13"/>
    </row>
    <row r="253" spans="1:13" ht="15" customHeight="1">
      <c r="A253" s="7">
        <v>249</v>
      </c>
      <c r="B253" s="21">
        <v>249</v>
      </c>
      <c r="C253" s="49">
        <v>33.950000000000003</v>
      </c>
      <c r="D253" s="24"/>
      <c r="F253" s="10"/>
      <c r="G253" s="9"/>
      <c r="H253" s="11"/>
      <c r="M253" s="13"/>
    </row>
    <row r="254" spans="1:13" ht="15" customHeight="1">
      <c r="A254" s="7">
        <v>250</v>
      </c>
      <c r="B254" s="23">
        <v>250</v>
      </c>
      <c r="C254" s="49">
        <v>33.935000000000002</v>
      </c>
      <c r="D254" s="24"/>
      <c r="F254" s="10"/>
      <c r="G254" s="9"/>
      <c r="H254" s="11"/>
      <c r="M254" s="13"/>
    </row>
    <row r="255" spans="1:13" ht="15" customHeight="1">
      <c r="A255" s="7">
        <v>251</v>
      </c>
      <c r="B255" s="21">
        <v>251</v>
      </c>
      <c r="C255" s="49">
        <v>33.94</v>
      </c>
      <c r="D255" s="24"/>
      <c r="F255" s="10"/>
      <c r="G255" s="9"/>
      <c r="H255" s="11"/>
      <c r="M255" s="13"/>
    </row>
    <row r="256" spans="1:13" ht="15" customHeight="1">
      <c r="A256" s="7">
        <v>252</v>
      </c>
      <c r="B256" s="23">
        <v>252</v>
      </c>
      <c r="C256" s="49">
        <v>33.94</v>
      </c>
      <c r="D256" s="24"/>
      <c r="F256" s="10"/>
      <c r="G256" s="9"/>
      <c r="H256" s="11"/>
      <c r="M256" s="13"/>
    </row>
    <row r="257" spans="1:13" ht="15" customHeight="1">
      <c r="A257" s="7">
        <v>253</v>
      </c>
      <c r="B257" s="21">
        <v>253</v>
      </c>
      <c r="C257" s="49">
        <v>33.93</v>
      </c>
      <c r="D257" s="24"/>
      <c r="F257" s="10"/>
      <c r="G257" s="9"/>
      <c r="H257" s="11"/>
      <c r="M257" s="13"/>
    </row>
    <row r="258" spans="1:13" ht="15" customHeight="1">
      <c r="A258" s="7">
        <v>254</v>
      </c>
      <c r="B258" s="23">
        <v>254</v>
      </c>
      <c r="C258" s="49">
        <v>33.950000000000003</v>
      </c>
      <c r="D258" s="24"/>
      <c r="F258" s="10"/>
      <c r="G258" s="9"/>
      <c r="H258" s="11"/>
      <c r="M258" s="13"/>
    </row>
    <row r="259" spans="1:13" ht="15" customHeight="1">
      <c r="A259" s="7">
        <v>255</v>
      </c>
      <c r="B259" s="21">
        <v>255</v>
      </c>
      <c r="C259" s="49">
        <v>33.954999999999998</v>
      </c>
      <c r="D259" s="24"/>
      <c r="F259" s="10"/>
      <c r="G259" s="9"/>
      <c r="M259" s="13"/>
    </row>
    <row r="260" spans="1:13" ht="15" customHeight="1">
      <c r="A260" s="7">
        <v>256</v>
      </c>
      <c r="B260" s="23">
        <v>256</v>
      </c>
      <c r="C260" s="49">
        <v>33.96</v>
      </c>
      <c r="D260" s="24"/>
      <c r="F260" s="10"/>
      <c r="G260" s="9"/>
      <c r="M260" s="13"/>
    </row>
    <row r="261" spans="1:13" ht="15" customHeight="1">
      <c r="A261" s="7">
        <v>257</v>
      </c>
      <c r="B261" s="21">
        <v>257</v>
      </c>
      <c r="C261" s="49">
        <v>33.954999999999998</v>
      </c>
      <c r="D261" s="24"/>
      <c r="F261" s="10"/>
      <c r="G261" s="9"/>
      <c r="M261" s="13"/>
    </row>
    <row r="262" spans="1:13" ht="15" customHeight="1">
      <c r="A262" s="7">
        <v>258</v>
      </c>
      <c r="B262" s="23">
        <v>258</v>
      </c>
      <c r="C262" s="49">
        <v>33.835000000000001</v>
      </c>
      <c r="D262" s="24"/>
      <c r="M262" s="13"/>
    </row>
    <row r="263" spans="1:13" ht="15" customHeight="1">
      <c r="A263" s="7">
        <v>259</v>
      </c>
      <c r="B263" s="21">
        <v>259</v>
      </c>
      <c r="C263" s="49">
        <v>33.840000000000003</v>
      </c>
      <c r="D263" s="24"/>
      <c r="M263" s="13"/>
    </row>
    <row r="264" spans="1:13" ht="15" customHeight="1">
      <c r="A264" s="7">
        <v>260</v>
      </c>
      <c r="B264" s="23">
        <v>260</v>
      </c>
      <c r="C264" s="49">
        <v>33.840000000000003</v>
      </c>
      <c r="D264" s="24"/>
      <c r="M264" s="13"/>
    </row>
    <row r="265" spans="1:13" ht="15" customHeight="1">
      <c r="A265" s="7">
        <v>261</v>
      </c>
      <c r="B265" s="21">
        <v>261</v>
      </c>
      <c r="C265" s="49">
        <v>33.835000000000001</v>
      </c>
      <c r="D265" s="24"/>
      <c r="M265" s="13"/>
    </row>
    <row r="266" spans="1:13" ht="15" customHeight="1">
      <c r="A266" s="7">
        <v>262</v>
      </c>
      <c r="B266" s="23">
        <v>262</v>
      </c>
      <c r="C266" s="49">
        <v>33.935000000000002</v>
      </c>
      <c r="D266" s="24"/>
      <c r="M266" s="13"/>
    </row>
    <row r="267" spans="1:13" ht="15" customHeight="1">
      <c r="A267" s="7">
        <v>263</v>
      </c>
      <c r="B267" s="21">
        <v>263</v>
      </c>
      <c r="C267" s="49">
        <v>33.954999999999998</v>
      </c>
      <c r="D267" s="24"/>
      <c r="M267" s="13"/>
    </row>
    <row r="268" spans="1:13" ht="15" customHeight="1">
      <c r="A268" s="7">
        <v>264</v>
      </c>
      <c r="B268" s="23">
        <v>264</v>
      </c>
      <c r="C268" s="49">
        <v>33.935000000000002</v>
      </c>
      <c r="D268" s="24"/>
      <c r="M268" s="13"/>
    </row>
    <row r="269" spans="1:13" ht="15" customHeight="1">
      <c r="A269" s="7">
        <v>265</v>
      </c>
      <c r="B269" s="21">
        <v>265</v>
      </c>
      <c r="C269" s="49">
        <v>33.935000000000002</v>
      </c>
      <c r="D269" s="24"/>
    </row>
    <row r="270" spans="1:13" ht="15" customHeight="1">
      <c r="A270" s="7">
        <v>266</v>
      </c>
      <c r="B270" s="23">
        <v>266</v>
      </c>
      <c r="C270" s="49">
        <v>33.950000000000003</v>
      </c>
      <c r="D270" s="24"/>
    </row>
    <row r="271" spans="1:13" ht="15" customHeight="1">
      <c r="A271" s="7">
        <v>267</v>
      </c>
      <c r="B271" s="21">
        <v>267</v>
      </c>
      <c r="C271" s="49">
        <v>33.93</v>
      </c>
      <c r="D271" s="24"/>
    </row>
    <row r="272" spans="1:13" ht="15" customHeight="1">
      <c r="A272" s="7">
        <v>268</v>
      </c>
      <c r="B272" s="23">
        <v>268</v>
      </c>
      <c r="C272" s="49">
        <v>33.895000000000003</v>
      </c>
      <c r="D272" s="24"/>
    </row>
    <row r="273" spans="1:4" ht="15" customHeight="1">
      <c r="A273" s="7">
        <v>269</v>
      </c>
      <c r="B273" s="21">
        <v>269</v>
      </c>
      <c r="C273" s="49">
        <v>32.484999999999999</v>
      </c>
      <c r="D273" s="24"/>
    </row>
    <row r="274" spans="1:4" ht="15" customHeight="1">
      <c r="A274" s="7">
        <v>270</v>
      </c>
      <c r="B274" s="23">
        <v>270</v>
      </c>
      <c r="C274" s="49">
        <v>33.844999999999999</v>
      </c>
      <c r="D274" s="24"/>
    </row>
    <row r="275" spans="1:4" ht="15" customHeight="1">
      <c r="A275" s="7">
        <v>271</v>
      </c>
      <c r="B275" s="21">
        <v>271</v>
      </c>
      <c r="C275" s="49">
        <v>33.950000000000003</v>
      </c>
      <c r="D275" s="24"/>
    </row>
    <row r="276" spans="1:4" ht="15" customHeight="1">
      <c r="A276" s="7">
        <v>272</v>
      </c>
      <c r="B276" s="23">
        <v>272</v>
      </c>
      <c r="C276" s="49">
        <v>33.950000000000003</v>
      </c>
      <c r="D276" s="24"/>
    </row>
    <row r="277" spans="1:4" ht="15" customHeight="1">
      <c r="A277" s="7">
        <v>273</v>
      </c>
      <c r="B277" s="21">
        <v>273</v>
      </c>
      <c r="C277" s="49">
        <v>33.954999999999998</v>
      </c>
      <c r="D277" s="24"/>
    </row>
    <row r="278" spans="1:4" ht="15" customHeight="1">
      <c r="A278" s="7">
        <v>274</v>
      </c>
      <c r="B278" s="23">
        <v>274</v>
      </c>
      <c r="C278" s="49">
        <v>33.950000000000003</v>
      </c>
      <c r="D278" s="24"/>
    </row>
    <row r="279" spans="1:4" ht="15" customHeight="1">
      <c r="A279" s="7">
        <v>275</v>
      </c>
      <c r="B279" s="21">
        <v>275</v>
      </c>
      <c r="C279" s="49">
        <v>33.950000000000003</v>
      </c>
      <c r="D279" s="24"/>
    </row>
    <row r="280" spans="1:4" ht="15" customHeight="1">
      <c r="A280" s="7">
        <v>276</v>
      </c>
      <c r="B280" s="23">
        <v>276</v>
      </c>
      <c r="C280" s="49">
        <v>33.950000000000003</v>
      </c>
      <c r="D280" s="24"/>
    </row>
    <row r="281" spans="1:4" ht="15" customHeight="1">
      <c r="A281" s="7">
        <v>277</v>
      </c>
      <c r="B281" s="21">
        <v>277</v>
      </c>
      <c r="C281" s="49">
        <v>33.950000000000003</v>
      </c>
      <c r="D281" s="24"/>
    </row>
    <row r="282" spans="1:4" ht="15" customHeight="1">
      <c r="A282" s="7">
        <v>278</v>
      </c>
      <c r="B282" s="23">
        <v>278</v>
      </c>
      <c r="C282" s="49">
        <v>33.950000000000003</v>
      </c>
      <c r="D282" s="24"/>
    </row>
    <row r="283" spans="1:4" ht="15" customHeight="1">
      <c r="A283" s="7">
        <v>279</v>
      </c>
      <c r="B283" s="21">
        <v>279</v>
      </c>
      <c r="C283" s="49">
        <v>33.950000000000003</v>
      </c>
      <c r="D283" s="24"/>
    </row>
    <row r="284" spans="1:4" ht="15" customHeight="1">
      <c r="A284" s="7">
        <v>280</v>
      </c>
      <c r="B284" s="23">
        <v>280</v>
      </c>
      <c r="C284" s="49">
        <v>33.950000000000003</v>
      </c>
      <c r="D284" s="24"/>
    </row>
    <row r="285" spans="1:4" ht="15" customHeight="1">
      <c r="A285" s="7">
        <v>281</v>
      </c>
      <c r="B285" s="21">
        <v>281</v>
      </c>
      <c r="C285" s="49">
        <v>33.215000000000003</v>
      </c>
      <c r="D285" s="24"/>
    </row>
    <row r="286" spans="1:4" ht="15" customHeight="1">
      <c r="A286" s="7">
        <v>282</v>
      </c>
      <c r="B286" s="23">
        <v>282</v>
      </c>
      <c r="C286" s="49">
        <v>33.954999999999998</v>
      </c>
      <c r="D286" s="24"/>
    </row>
    <row r="287" spans="1:4" ht="15" customHeight="1">
      <c r="A287" s="7">
        <v>283</v>
      </c>
      <c r="B287" s="21">
        <v>283</v>
      </c>
      <c r="C287" s="49">
        <v>33.93</v>
      </c>
      <c r="D287" s="24"/>
    </row>
    <row r="288" spans="1:4" ht="15" customHeight="1">
      <c r="A288" s="7">
        <v>284</v>
      </c>
      <c r="B288" s="23">
        <v>284</v>
      </c>
      <c r="C288" s="49">
        <v>32.89</v>
      </c>
      <c r="D288" s="24"/>
    </row>
    <row r="289" spans="1:5" ht="15" customHeight="1">
      <c r="A289" s="7">
        <v>285</v>
      </c>
      <c r="B289" s="21">
        <v>285</v>
      </c>
      <c r="C289" s="49">
        <v>33.950000000000003</v>
      </c>
      <c r="D289" s="24"/>
    </row>
    <row r="290" spans="1:5" ht="15" customHeight="1">
      <c r="A290" s="7">
        <v>286</v>
      </c>
      <c r="B290" s="23">
        <v>286</v>
      </c>
      <c r="C290" s="49">
        <v>33.954999999999998</v>
      </c>
      <c r="D290" s="24"/>
    </row>
    <row r="291" spans="1:5" ht="15" customHeight="1">
      <c r="A291" s="7">
        <v>287</v>
      </c>
      <c r="B291" s="21">
        <v>287</v>
      </c>
      <c r="C291" s="49">
        <v>33.770000000000003</v>
      </c>
      <c r="D291" s="24"/>
    </row>
    <row r="292" spans="1:5" ht="15" customHeight="1">
      <c r="A292" s="7">
        <v>288</v>
      </c>
      <c r="B292" s="23">
        <v>288</v>
      </c>
      <c r="C292" s="49">
        <v>33.954999999999998</v>
      </c>
      <c r="D292" s="24"/>
    </row>
    <row r="293" spans="1:5" ht="15" customHeight="1">
      <c r="A293" s="7">
        <v>289</v>
      </c>
      <c r="B293" s="21">
        <v>289</v>
      </c>
      <c r="C293" s="49">
        <v>33.950000000000003</v>
      </c>
      <c r="D293" s="24"/>
    </row>
    <row r="294" spans="1:5" ht="15" customHeight="1">
      <c r="A294" s="7">
        <v>290</v>
      </c>
      <c r="B294" s="23">
        <v>290</v>
      </c>
      <c r="C294" s="49">
        <v>33.945</v>
      </c>
      <c r="D294" s="24"/>
    </row>
    <row r="295" spans="1:5" ht="15" customHeight="1">
      <c r="A295" s="7">
        <v>291</v>
      </c>
      <c r="B295" s="21">
        <v>291</v>
      </c>
      <c r="C295" s="49">
        <v>33.93</v>
      </c>
      <c r="D295" s="24"/>
    </row>
    <row r="296" spans="1:5" ht="15" customHeight="1">
      <c r="A296" s="7">
        <v>292</v>
      </c>
      <c r="B296" s="23">
        <v>292</v>
      </c>
      <c r="C296" s="49">
        <v>33.924999999999997</v>
      </c>
      <c r="D296" s="24"/>
    </row>
    <row r="297" spans="1:5" ht="15" customHeight="1">
      <c r="A297" s="7">
        <v>293</v>
      </c>
      <c r="B297" s="21">
        <v>293</v>
      </c>
      <c r="C297" s="49">
        <v>33.94</v>
      </c>
      <c r="D297" s="24"/>
    </row>
    <row r="298" spans="1:5" ht="15" customHeight="1">
      <c r="A298" s="7">
        <v>294</v>
      </c>
      <c r="B298" s="23">
        <v>294</v>
      </c>
      <c r="C298" s="49">
        <v>33.924999999999997</v>
      </c>
      <c r="D298" s="24"/>
    </row>
    <row r="299" spans="1:5" ht="15" customHeight="1">
      <c r="A299" s="7">
        <v>295</v>
      </c>
      <c r="B299" s="21">
        <v>295</v>
      </c>
      <c r="C299" s="49">
        <v>33.93</v>
      </c>
      <c r="D299" s="27"/>
    </row>
    <row r="300" spans="1:5" ht="15" customHeight="1">
      <c r="A300" s="7">
        <v>296</v>
      </c>
      <c r="B300" s="23">
        <v>296</v>
      </c>
      <c r="C300" s="49">
        <v>33.93</v>
      </c>
      <c r="D300" s="24"/>
    </row>
    <row r="301" spans="1:5" ht="15" customHeight="1">
      <c r="A301" s="7">
        <v>297</v>
      </c>
      <c r="B301" s="21">
        <v>297</v>
      </c>
      <c r="C301" s="49">
        <v>33.924999999999997</v>
      </c>
      <c r="D301" s="24"/>
    </row>
    <row r="302" spans="1:5">
      <c r="A302" s="7">
        <v>298</v>
      </c>
      <c r="B302" s="23">
        <v>298</v>
      </c>
      <c r="C302" s="14"/>
      <c r="D302" s="24"/>
      <c r="E302" s="8"/>
    </row>
    <row r="303" spans="1:5">
      <c r="A303" s="7">
        <v>299</v>
      </c>
      <c r="B303" s="21">
        <v>299</v>
      </c>
      <c r="C303" s="14"/>
      <c r="D303" s="24"/>
      <c r="E303" s="8"/>
    </row>
    <row r="304" spans="1:5">
      <c r="A304" s="7">
        <v>300</v>
      </c>
      <c r="B304" s="23">
        <v>300</v>
      </c>
      <c r="C304" s="14"/>
      <c r="D304" s="24"/>
    </row>
    <row r="305" spans="1:4">
      <c r="A305" s="7">
        <v>301</v>
      </c>
      <c r="B305" s="21">
        <v>301</v>
      </c>
      <c r="C305" s="14"/>
      <c r="D305" s="24"/>
    </row>
    <row r="306" spans="1:4">
      <c r="A306" s="7">
        <v>302</v>
      </c>
      <c r="B306" s="23">
        <v>302</v>
      </c>
      <c r="C306" s="14"/>
      <c r="D306" s="24"/>
    </row>
    <row r="307" spans="1:4">
      <c r="A307" s="7">
        <v>303</v>
      </c>
      <c r="B307" s="21">
        <v>303</v>
      </c>
      <c r="C307" s="14"/>
      <c r="D307" s="24"/>
    </row>
    <row r="308" spans="1:4">
      <c r="A308" s="7">
        <v>304</v>
      </c>
      <c r="B308" s="23">
        <v>304</v>
      </c>
      <c r="C308" s="14"/>
      <c r="D308" s="24"/>
    </row>
    <row r="309" spans="1:4">
      <c r="A309" s="7">
        <v>305</v>
      </c>
      <c r="B309" s="21">
        <v>305</v>
      </c>
      <c r="C309" s="14"/>
      <c r="D309" s="24"/>
    </row>
    <row r="310" spans="1:4">
      <c r="A310" s="7">
        <v>306</v>
      </c>
      <c r="B310" s="23">
        <v>306</v>
      </c>
      <c r="C310" s="14"/>
      <c r="D310" s="24"/>
    </row>
    <row r="311" spans="1:4">
      <c r="A311" s="7">
        <v>307</v>
      </c>
      <c r="B311" s="21">
        <v>307</v>
      </c>
      <c r="C311" s="14"/>
      <c r="D311" s="24"/>
    </row>
    <row r="312" spans="1:4">
      <c r="A312" s="7">
        <v>308</v>
      </c>
      <c r="B312" s="23">
        <v>308</v>
      </c>
      <c r="C312" s="14"/>
      <c r="D312" s="24"/>
    </row>
    <row r="313" spans="1:4">
      <c r="A313" s="7">
        <v>309</v>
      </c>
      <c r="B313" s="21">
        <v>309</v>
      </c>
      <c r="C313" s="14"/>
      <c r="D313" s="24"/>
    </row>
    <row r="314" spans="1:4">
      <c r="A314" s="7">
        <v>310</v>
      </c>
      <c r="B314" s="23">
        <v>310</v>
      </c>
      <c r="C314" s="14"/>
      <c r="D314" s="24"/>
    </row>
    <row r="315" spans="1:4">
      <c r="A315" s="7">
        <v>311</v>
      </c>
      <c r="B315" s="21">
        <v>311</v>
      </c>
      <c r="C315" s="14"/>
      <c r="D315" s="24"/>
    </row>
    <row r="316" spans="1:4">
      <c r="A316" s="7">
        <v>312</v>
      </c>
      <c r="B316" s="23">
        <v>312</v>
      </c>
      <c r="C316" s="14"/>
      <c r="D316" s="24"/>
    </row>
    <row r="317" spans="1:4">
      <c r="A317" s="7">
        <v>313</v>
      </c>
      <c r="B317" s="21">
        <v>313</v>
      </c>
      <c r="C317" s="14"/>
      <c r="D317" s="24"/>
    </row>
    <row r="318" spans="1:4">
      <c r="A318" s="7">
        <v>314</v>
      </c>
      <c r="B318" s="23">
        <v>314</v>
      </c>
      <c r="C318" s="14"/>
      <c r="D318" s="24"/>
    </row>
    <row r="319" spans="1:4" ht="13.5" customHeight="1">
      <c r="A319" s="7">
        <v>315</v>
      </c>
      <c r="B319" s="21">
        <v>315</v>
      </c>
      <c r="C319" s="25"/>
      <c r="D319" s="26"/>
    </row>
    <row r="320" spans="1:4">
      <c r="B320" s="3"/>
    </row>
    <row r="321" spans="2:2">
      <c r="B321" s="3"/>
    </row>
    <row r="322" spans="2:2">
      <c r="B322" s="3"/>
    </row>
    <row r="323" spans="2:2">
      <c r="B323" s="3"/>
    </row>
    <row r="324" spans="2:2">
      <c r="B324" s="3"/>
    </row>
    <row r="325" spans="2:2">
      <c r="B325" s="3"/>
    </row>
    <row r="326" spans="2:2">
      <c r="B326" s="3"/>
    </row>
    <row r="327" spans="2:2">
      <c r="B327" s="3"/>
    </row>
    <row r="328" spans="2:2">
      <c r="B328" s="3"/>
    </row>
    <row r="329" spans="2:2">
      <c r="B329" s="3"/>
    </row>
    <row r="330" spans="2:2">
      <c r="B330" s="3"/>
    </row>
    <row r="331" spans="2:2">
      <c r="B331" s="3"/>
    </row>
    <row r="332" spans="2:2">
      <c r="B332" s="3"/>
    </row>
    <row r="333" spans="2:2">
      <c r="B333" s="3"/>
    </row>
    <row r="334" spans="2:2">
      <c r="B334" s="3"/>
    </row>
    <row r="335" spans="2:2">
      <c r="B335" s="3"/>
    </row>
    <row r="336" spans="2:2">
      <c r="B336" s="3"/>
    </row>
    <row r="337" spans="2:2">
      <c r="B337" s="3"/>
    </row>
    <row r="338" spans="2:2">
      <c r="B338" s="3"/>
    </row>
    <row r="339" spans="2:2">
      <c r="B339" s="3"/>
    </row>
    <row r="340" spans="2:2">
      <c r="B340" s="3"/>
    </row>
    <row r="341" spans="2:2">
      <c r="B341" s="3"/>
    </row>
    <row r="342" spans="2:2">
      <c r="B342" s="3"/>
    </row>
    <row r="343" spans="2:2">
      <c r="B343" s="3"/>
    </row>
    <row r="344" spans="2:2">
      <c r="B344" s="3"/>
    </row>
    <row r="345" spans="2:2">
      <c r="B345" s="3"/>
    </row>
    <row r="346" spans="2:2">
      <c r="B346" s="3"/>
    </row>
    <row r="347" spans="2:2">
      <c r="B347" s="3"/>
    </row>
    <row r="348" spans="2:2">
      <c r="B348" s="3"/>
    </row>
    <row r="349" spans="2:2">
      <c r="B349" s="3"/>
    </row>
    <row r="350" spans="2:2">
      <c r="B350" s="3"/>
    </row>
    <row r="351" spans="2:2">
      <c r="B351" s="3"/>
    </row>
    <row r="352" spans="2:2">
      <c r="B352" s="3"/>
    </row>
    <row r="353" spans="2:2">
      <c r="B353" s="3"/>
    </row>
    <row r="354" spans="2:2">
      <c r="B354" s="3"/>
    </row>
    <row r="355" spans="2:2">
      <c r="B355" s="3"/>
    </row>
    <row r="356" spans="2:2">
      <c r="B356" s="3"/>
    </row>
    <row r="357" spans="2:2">
      <c r="B357" s="3"/>
    </row>
    <row r="358" spans="2:2">
      <c r="B358" s="3"/>
    </row>
    <row r="359" spans="2:2">
      <c r="B359" s="3"/>
    </row>
    <row r="360" spans="2:2">
      <c r="B360" s="3"/>
    </row>
    <row r="361" spans="2:2">
      <c r="B361" s="3"/>
    </row>
    <row r="362" spans="2:2">
      <c r="B362" s="3"/>
    </row>
    <row r="363" spans="2:2">
      <c r="B363" s="3"/>
    </row>
    <row r="364" spans="2:2">
      <c r="B364" s="3"/>
    </row>
    <row r="365" spans="2:2">
      <c r="B365" s="3"/>
    </row>
    <row r="366" spans="2:2">
      <c r="B366" s="3"/>
    </row>
    <row r="367" spans="2:2">
      <c r="B367" s="3"/>
    </row>
    <row r="368" spans="2:2">
      <c r="B368" s="3"/>
    </row>
    <row r="369" spans="2:2">
      <c r="B369" s="3"/>
    </row>
    <row r="370" spans="2:2">
      <c r="B370" s="3"/>
    </row>
    <row r="371" spans="2:2">
      <c r="B371" s="3"/>
    </row>
    <row r="372" spans="2:2">
      <c r="B372" s="3"/>
    </row>
    <row r="373" spans="2:2">
      <c r="B373" s="3"/>
    </row>
    <row r="374" spans="2:2">
      <c r="B374" s="3"/>
    </row>
    <row r="375" spans="2:2">
      <c r="B375" s="3"/>
    </row>
    <row r="376" spans="2:2">
      <c r="B376" s="3"/>
    </row>
    <row r="377" spans="2:2">
      <c r="B377" s="3"/>
    </row>
    <row r="378" spans="2:2">
      <c r="B378" s="3"/>
    </row>
    <row r="379" spans="2:2">
      <c r="B379" s="3"/>
    </row>
    <row r="380" spans="2:2">
      <c r="B380" s="3"/>
    </row>
    <row r="381" spans="2:2">
      <c r="B381" s="3"/>
    </row>
    <row r="382" spans="2:2">
      <c r="B382" s="3"/>
    </row>
    <row r="383" spans="2:2">
      <c r="B383" s="3"/>
    </row>
    <row r="384" spans="2:2">
      <c r="B384" s="3"/>
    </row>
    <row r="385" spans="2:2">
      <c r="B385" s="3"/>
    </row>
    <row r="386" spans="2:2">
      <c r="B386" s="3"/>
    </row>
    <row r="387" spans="2:2">
      <c r="B387" s="3"/>
    </row>
    <row r="388" spans="2:2">
      <c r="B388" s="3"/>
    </row>
    <row r="389" spans="2:2">
      <c r="B389" s="3"/>
    </row>
    <row r="390" spans="2:2">
      <c r="B390" s="3"/>
    </row>
    <row r="391" spans="2:2">
      <c r="B391" s="3"/>
    </row>
    <row r="392" spans="2:2">
      <c r="B392" s="3"/>
    </row>
    <row r="393" spans="2:2">
      <c r="B393" s="3"/>
    </row>
    <row r="394" spans="2:2">
      <c r="B394" s="3"/>
    </row>
    <row r="395" spans="2:2">
      <c r="B395" s="3"/>
    </row>
    <row r="396" spans="2:2">
      <c r="B396" s="3"/>
    </row>
    <row r="397" spans="2:2">
      <c r="B397" s="3"/>
    </row>
    <row r="398" spans="2:2">
      <c r="B398" s="3"/>
    </row>
    <row r="399" spans="2:2">
      <c r="B399" s="3"/>
    </row>
    <row r="400" spans="2:2">
      <c r="B400" s="3"/>
    </row>
    <row r="401" spans="2:2">
      <c r="B401" s="3"/>
    </row>
    <row r="402" spans="2:2">
      <c r="B402" s="3"/>
    </row>
    <row r="403" spans="2:2">
      <c r="B403" s="3"/>
    </row>
    <row r="404" spans="2:2">
      <c r="B404" s="3"/>
    </row>
    <row r="405" spans="2:2">
      <c r="B405" s="3"/>
    </row>
    <row r="406" spans="2:2">
      <c r="B406" s="3"/>
    </row>
    <row r="407" spans="2:2">
      <c r="B407" s="3"/>
    </row>
    <row r="408" spans="2:2">
      <c r="B408" s="3"/>
    </row>
    <row r="409" spans="2:2">
      <c r="B409" s="3"/>
    </row>
    <row r="410" spans="2:2">
      <c r="B410" s="2"/>
    </row>
    <row r="411" spans="2:2">
      <c r="B411" s="2"/>
    </row>
    <row r="412" spans="2:2">
      <c r="B412" s="2"/>
    </row>
    <row r="413" spans="2:2">
      <c r="B413" s="2"/>
    </row>
  </sheetData>
  <mergeCells count="10">
    <mergeCell ref="B2:D3"/>
    <mergeCell ref="F2:H3"/>
    <mergeCell ref="Z12:Z13"/>
    <mergeCell ref="O17:Q18"/>
    <mergeCell ref="R17:T18"/>
    <mergeCell ref="K12:K13"/>
    <mergeCell ref="N12:N13"/>
    <mergeCell ref="Q12:Q13"/>
    <mergeCell ref="T12:T13"/>
    <mergeCell ref="W12:W13"/>
  </mergeCells>
  <pageMargins left="0.7" right="0.7" top="0.75" bottom="0.75" header="0.3" footer="0.3"/>
  <pageSetup orientation="portrait" r:id="rId1"/>
  <headerFooter>
    <oddHeader>&amp;L&amp;"Calibri"&amp;9&amp;K000000Classification: Internal&amp;1#</oddHeader>
    <oddFooter>&amp;C_x000D_&amp;1#&amp;"Poppins"&amp;10&amp;K018374 Baker Hughes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3</vt:i4>
      </vt:variant>
    </vt:vector>
  </HeadingPairs>
  <TitlesOfParts>
    <vt:vector size="5" baseType="lpstr">
      <vt:lpstr>Liner Tally NFQ22-2</vt:lpstr>
      <vt:lpstr>Deck Tally</vt:lpstr>
      <vt:lpstr>'Liner Tally NFQ22-2'!EKIKO2</vt:lpstr>
      <vt:lpstr>'Liner Tally NFQ22-2'!Заголовки_для_печати</vt:lpstr>
      <vt:lpstr>'Liner Tally NFQ22-2'!Область_печати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Haris Dozo</dc:creator>
  <cp:keywords/>
  <dc:description/>
  <cp:lastModifiedBy>Maxim Kiselev</cp:lastModifiedBy>
  <dcterms:created xsi:type="dcterms:W3CDTF">1998-08-22T05:18:06Z</dcterms:created>
  <dcterms:modified xsi:type="dcterms:W3CDTF">2026-01-25T13:21:22Z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8fbde5-0dd0-43d5-aca2-2bbc289e3948_Enabled">
    <vt:lpwstr>true</vt:lpwstr>
  </property>
  <property fmtid="{D5CDD505-2E9C-101B-9397-08002B2CF9AE}" pid="3" name="MSIP_Label_668fbde5-0dd0-43d5-aca2-2bbc289e3948_SetDate">
    <vt:lpwstr>2022-04-26T18:38:01Z</vt:lpwstr>
  </property>
  <property fmtid="{D5CDD505-2E9C-101B-9397-08002B2CF9AE}" pid="4" name="MSIP_Label_668fbde5-0dd0-43d5-aca2-2bbc289e3948_Method">
    <vt:lpwstr>Privileged</vt:lpwstr>
  </property>
  <property fmtid="{D5CDD505-2E9C-101B-9397-08002B2CF9AE}" pid="5" name="MSIP_Label_668fbde5-0dd0-43d5-aca2-2bbc289e3948_Name">
    <vt:lpwstr>668fbde5-0dd0-43d5-aca2-2bbc289e3948</vt:lpwstr>
  </property>
  <property fmtid="{D5CDD505-2E9C-101B-9397-08002B2CF9AE}" pid="6" name="MSIP_Label_668fbde5-0dd0-43d5-aca2-2bbc289e3948_SiteId">
    <vt:lpwstr>de2c0330-f2e8-4149-a927-0c5a8592f0da</vt:lpwstr>
  </property>
  <property fmtid="{D5CDD505-2E9C-101B-9397-08002B2CF9AE}" pid="7" name="MSIP_Label_668fbde5-0dd0-43d5-aca2-2bbc289e3948_ActionId">
    <vt:lpwstr>bf607062-e382-4cb0-bb51-5c08cbbd3ac0</vt:lpwstr>
  </property>
  <property fmtid="{D5CDD505-2E9C-101B-9397-08002B2CF9AE}" pid="8" name="MSIP_Label_668fbde5-0dd0-43d5-aca2-2bbc289e3948_ContentBits">
    <vt:lpwstr>1</vt:lpwstr>
  </property>
  <property fmtid="{D5CDD505-2E9C-101B-9397-08002B2CF9AE}" pid="9" name="MSIP_Label_5e9b8670-7aa7-46fe-bc5d-db51cd81d267_Enabled">
    <vt:lpwstr>true</vt:lpwstr>
  </property>
  <property fmtid="{D5CDD505-2E9C-101B-9397-08002B2CF9AE}" pid="10" name="MSIP_Label_5e9b8670-7aa7-46fe-bc5d-db51cd81d267_SetDate">
    <vt:lpwstr>2023-10-20T05:24:44Z</vt:lpwstr>
  </property>
  <property fmtid="{D5CDD505-2E9C-101B-9397-08002B2CF9AE}" pid="11" name="MSIP_Label_5e9b8670-7aa7-46fe-bc5d-db51cd81d267_Method">
    <vt:lpwstr>Standard</vt:lpwstr>
  </property>
  <property fmtid="{D5CDD505-2E9C-101B-9397-08002B2CF9AE}" pid="12" name="MSIP_Label_5e9b8670-7aa7-46fe-bc5d-db51cd81d267_Name">
    <vt:lpwstr>Baker Hughes Confidential - Not Encrypted</vt:lpwstr>
  </property>
  <property fmtid="{D5CDD505-2E9C-101B-9397-08002B2CF9AE}" pid="13" name="MSIP_Label_5e9b8670-7aa7-46fe-bc5d-db51cd81d267_SiteId">
    <vt:lpwstr>d584a4b7-b1f2-4714-a578-fd4d43c146a6</vt:lpwstr>
  </property>
  <property fmtid="{D5CDD505-2E9C-101B-9397-08002B2CF9AE}" pid="14" name="MSIP_Label_5e9b8670-7aa7-46fe-bc5d-db51cd81d267_ActionId">
    <vt:lpwstr>7b83d71b-6ee7-4d8f-998c-1d50d5a78917</vt:lpwstr>
  </property>
  <property fmtid="{D5CDD505-2E9C-101B-9397-08002B2CF9AE}" pid="15" name="MSIP_Label_5e9b8670-7aa7-46fe-bc5d-db51cd81d267_ContentBits">
    <vt:lpwstr>2</vt:lpwstr>
  </property>
  <property fmtid="{D5CDD505-2E9C-101B-9397-08002B2CF9AE}" pid="16" name="ContentTypeId">
    <vt:lpwstr>0x0101001DC37D672F71B944937A65FB742CFDBF</vt:lpwstr>
  </property>
</Properties>
</file>