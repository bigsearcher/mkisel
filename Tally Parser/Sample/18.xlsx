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oud\Docs\Git\mkisel\Tally Parser\Sample\"/>
    </mc:Choice>
  </mc:AlternateContent>
  <xr:revisionPtr revIDLastSave="0" documentId="8_{5E5A5DE7-8F7F-43FF-AD49-95D15650A7A5}" xr6:coauthVersionLast="47" xr6:coauthVersionMax="47" xr10:uidLastSave="{00000000-0000-0000-0000-000000000000}"/>
  <bookViews>
    <workbookView xWindow="-120" yWindow="-120" windowWidth="29040" windowHeight="15720" tabRatio="711" activeTab="3" xr2:uid="{00000000-000D-0000-FFFF-FFFF00000000}"/>
  </bookViews>
  <sheets>
    <sheet name="7&quot; Liner Tally NFQ22-9 (2)" sheetId="25" r:id="rId1"/>
    <sheet name="7&quot; Liner Tally NFQ22-9" sheetId="1" r:id="rId2"/>
    <sheet name="Sheet1" sheetId="24" r:id="rId3"/>
    <sheet name="DECK TALLY" sheetId="13" r:id="rId4"/>
    <sheet name="Sheet2" sheetId="23" state="hidden" r:id="rId5"/>
  </sheets>
  <definedNames>
    <definedName name="___add1">#REF!</definedName>
    <definedName name="___add2">#REF!</definedName>
    <definedName name="___add3">#REF!</definedName>
    <definedName name="___add4">#REF!</definedName>
    <definedName name="___add5">#REF!</definedName>
    <definedName name="___add6">#REF!</definedName>
    <definedName name="___add7">#REF!</definedName>
    <definedName name="___add8">#REF!</definedName>
    <definedName name="___add9">#REF!</definedName>
    <definedName name="___cem20">#REF!</definedName>
    <definedName name="___cem30">#REF!</definedName>
    <definedName name="___tot13">#REF!</definedName>
    <definedName name="___tot30">#REF!</definedName>
    <definedName name="___tot7">#REF!</definedName>
    <definedName name="___tot9">#REF!</definedName>
    <definedName name="___xs20">#REF!</definedName>
    <definedName name="__add1">#REF!</definedName>
    <definedName name="__add2">#REF!</definedName>
    <definedName name="__add3">#REF!</definedName>
    <definedName name="__add4">#REF!</definedName>
    <definedName name="__add5">#REF!</definedName>
    <definedName name="__add6">#REF!</definedName>
    <definedName name="__add7">#REF!</definedName>
    <definedName name="__add8">#REF!</definedName>
    <definedName name="__add9">#REF!</definedName>
    <definedName name="__cem20">#REF!</definedName>
    <definedName name="__cem30">#REF!</definedName>
    <definedName name="__NFQ6">#REF!</definedName>
    <definedName name="__tot13">#REF!</definedName>
    <definedName name="__tot30">#REF!</definedName>
    <definedName name="__tot7">#REF!</definedName>
    <definedName name="__tot9">#REF!</definedName>
    <definedName name="__xs20">#REF!</definedName>
    <definedName name="_58_D124_bwoc">NA()</definedName>
    <definedName name="_58_D124_bwoc_1">NA()</definedName>
    <definedName name="_58_XE825_bwoc">NA()</definedName>
    <definedName name="_58_XE825_bwoc_1">NA()</definedName>
    <definedName name="_add1">NA()</definedName>
    <definedName name="_add1_1">NA()</definedName>
    <definedName name="_add2">NA()</definedName>
    <definedName name="_add2_1">NA()</definedName>
    <definedName name="_add3">NA()</definedName>
    <definedName name="_add3_1">NA()</definedName>
    <definedName name="_add4">NA()</definedName>
    <definedName name="_add4_1">NA()</definedName>
    <definedName name="_add5">NA()</definedName>
    <definedName name="_add5_1">NA()</definedName>
    <definedName name="_add6">NA()</definedName>
    <definedName name="_add6_1">NA()</definedName>
    <definedName name="_add7">NA()</definedName>
    <definedName name="_add7_1">NA()</definedName>
    <definedName name="_add8">NA()</definedName>
    <definedName name="_add8_1">NA()</definedName>
    <definedName name="_add9">NA()</definedName>
    <definedName name="_add9_1">NA()</definedName>
    <definedName name="_cem20">NA()</definedName>
    <definedName name="_cem20_1">NA()</definedName>
    <definedName name="_cem30">NA()</definedName>
    <definedName name="_cem30_1">NA()</definedName>
    <definedName name="_Fill">NA()</definedName>
    <definedName name="_Fill_1">NA()</definedName>
    <definedName name="_NFQ6">#REF!</definedName>
    <definedName name="_Order1">255</definedName>
    <definedName name="_Order2">255</definedName>
    <definedName name="_tot13">NA()</definedName>
    <definedName name="_tot30">NA()</definedName>
    <definedName name="_tot7">NA()</definedName>
    <definedName name="_tot9">NA()</definedName>
    <definedName name="_xs20">NA()</definedName>
    <definedName name="acideqp">NA()</definedName>
    <definedName name="acideqp_1">NA()</definedName>
    <definedName name="additive">NA()</definedName>
    <definedName name="AJ16d1537">NA()</definedName>
    <definedName name="AJ16d66">NA()</definedName>
    <definedName name="AJ16d667">NA()</definedName>
    <definedName name="AJ16ld7">NA()</definedName>
    <definedName name="AJ17d76">NA()</definedName>
    <definedName name="AJ17d767">NA()</definedName>
    <definedName name="AJ17ld7">NA()</definedName>
    <definedName name="AJ18d47">NA()</definedName>
    <definedName name="AJ18d477">NA()</definedName>
    <definedName name="AJ18d76">NA()</definedName>
    <definedName name="AJ18ld7">NA()</definedName>
    <definedName name="AJ19d153">NA()</definedName>
    <definedName name="AJ19d1537">NA()</definedName>
    <definedName name="AJ19ld7">NA()</definedName>
    <definedName name="AJ20d134">NA()</definedName>
    <definedName name="AJ20d1347">NA()</definedName>
    <definedName name="AJ20ld7">NA()</definedName>
    <definedName name="AJ20ld7_1">NA()</definedName>
    <definedName name="AJ21d135">NA()</definedName>
    <definedName name="AJ21d1357">NA()</definedName>
    <definedName name="AJ21ld7">NA()</definedName>
    <definedName name="AJ22d28">NA()</definedName>
    <definedName name="AJ22d287">NA()</definedName>
    <definedName name="AJ22ld7">NA()</definedName>
    <definedName name="AL9c7">NA()</definedName>
    <definedName name="AL9cem4">NA()</definedName>
    <definedName name="AL9cem7">NA()</definedName>
    <definedName name="antl">NA()</definedName>
    <definedName name="antl_1">NA()</definedName>
    <definedName name="benl">NA()</definedName>
    <definedName name="benl_1">NA()</definedName>
    <definedName name="Bidname">NA()</definedName>
    <definedName name="Bidno">NA()</definedName>
    <definedName name="casbatam">NA()</definedName>
    <definedName name="casing">NA()</definedName>
    <definedName name="cassurabaya">NA()</definedName>
    <definedName name="cassurabaya_1">NA()</definedName>
    <definedName name="castotal">NA()</definedName>
    <definedName name="castotal_1">NA()</definedName>
    <definedName name="cem13ld">NA()</definedName>
    <definedName name="cem13tl">NA()</definedName>
    <definedName name="cem20l">NA()</definedName>
    <definedName name="cem20l_1">NA()</definedName>
    <definedName name="cem20ld">NA()</definedName>
    <definedName name="cem20tl">NA()</definedName>
    <definedName name="cem30ld">NA()</definedName>
    <definedName name="cem30tl">NA()</definedName>
    <definedName name="cem313ld">NA()</definedName>
    <definedName name="cem313tl">NA()</definedName>
    <definedName name="cem320ld">NA()</definedName>
    <definedName name="cem320tl">NA()</definedName>
    <definedName name="cem39ld">NA()</definedName>
    <definedName name="Cem7ld">NA()</definedName>
    <definedName name="Cem7tl">NA()</definedName>
    <definedName name="Cem9ld">NA()</definedName>
    <definedName name="Cem9tl">NA()</definedName>
    <definedName name="Cement">NA()</definedName>
    <definedName name="cemeqp">NA()</definedName>
    <definedName name="cemeqp_1">NA()</definedName>
    <definedName name="cemplug2">NA()</definedName>
    <definedName name="cemplug23">NA()</definedName>
    <definedName name="cemplug3">NA()</definedName>
    <definedName name="cemplug33">NA()</definedName>
    <definedName name="chemcont">NA()</definedName>
    <definedName name="cmt">NA()</definedName>
    <definedName name="com">NA()</definedName>
    <definedName name="Contr">NA()</definedName>
    <definedName name="costsinga2">NA()</definedName>
    <definedName name="costsinga2_1">NA()</definedName>
    <definedName name="CSGMKUP">NA()</definedName>
    <definedName name="cteqp">NA()</definedName>
    <definedName name="cteqp_1">NA()</definedName>
    <definedName name="D_031">NA()</definedName>
    <definedName name="D_033">NA()</definedName>
    <definedName name="D_047">NA()</definedName>
    <definedName name="D_066">NA()</definedName>
    <definedName name="D_075">NA()</definedName>
    <definedName name="D_080">NA()</definedName>
    <definedName name="D_110">NA()</definedName>
    <definedName name="D_112">NA()</definedName>
    <definedName name="D_135">NA()</definedName>
    <definedName name="D_147">NA()</definedName>
    <definedName name="D_149">NA()</definedName>
    <definedName name="D_600">NA()</definedName>
    <definedName name="D_801">NA()</definedName>
    <definedName name="d121plug2">NA()</definedName>
    <definedName name="d121plug23">NA()</definedName>
    <definedName name="d134l39">NA()</definedName>
    <definedName name="d134t9">NA()</definedName>
    <definedName name="d135l13">NA()</definedName>
    <definedName name="d135l13_1">NA()</definedName>
    <definedName name="d135l313">NA()</definedName>
    <definedName name="d135l313_1">NA()</definedName>
    <definedName name="d135l39">NA()</definedName>
    <definedName name="d135t13">NA()</definedName>
    <definedName name="d135t313">NA()</definedName>
    <definedName name="d135t9">NA()</definedName>
    <definedName name="d135t9_1">NA()</definedName>
    <definedName name="d138l13">NA()</definedName>
    <definedName name="d138l313">NA()</definedName>
    <definedName name="d153l">NA()</definedName>
    <definedName name="d153l_1">NA()</definedName>
    <definedName name="d153l20">NA()</definedName>
    <definedName name="d153l20_1">NA()</definedName>
    <definedName name="d153l320">NA()</definedName>
    <definedName name="d153l320_1">NA()</definedName>
    <definedName name="d153l39">NA()</definedName>
    <definedName name="d153t13">NA()</definedName>
    <definedName name="d153t313">NA()</definedName>
    <definedName name="d153t9">NA()</definedName>
    <definedName name="d20l">NA()</definedName>
    <definedName name="d20l_1">NA()</definedName>
    <definedName name="d20l13">NA()</definedName>
    <definedName name="d20l20">NA()</definedName>
    <definedName name="d20l313">NA()</definedName>
    <definedName name="d20l320">NA()</definedName>
    <definedName name="d20t">NA()</definedName>
    <definedName name="d20t_1">NA()</definedName>
    <definedName name="d20t20">NA()</definedName>
    <definedName name="d20t20_1">NA()</definedName>
    <definedName name="d20t320">NA()</definedName>
    <definedName name="d28l39">NA()</definedName>
    <definedName name="d28plug2">NA()</definedName>
    <definedName name="d28plug23">NA()</definedName>
    <definedName name="d28t9">NA()</definedName>
    <definedName name="d28t9_1">NA()</definedName>
    <definedName name="d2ol20">NA()</definedName>
    <definedName name="d2ol20_1">NA()</definedName>
    <definedName name="d47l">NA()</definedName>
    <definedName name="d47l_1">NA()</definedName>
    <definedName name="d47l13">NA()</definedName>
    <definedName name="d47l20">NA()</definedName>
    <definedName name="d47l313">NA()</definedName>
    <definedName name="d47l320">NA()</definedName>
    <definedName name="d47l39">NA()</definedName>
    <definedName name="d47plug2">NA()</definedName>
    <definedName name="d47plug23">NA()</definedName>
    <definedName name="d47plug3">NA()</definedName>
    <definedName name="d47plug33">NA()</definedName>
    <definedName name="d47t">NA()</definedName>
    <definedName name="d47t_1">NA()</definedName>
    <definedName name="d47t13">NA()</definedName>
    <definedName name="d47t20">NA()</definedName>
    <definedName name="d47t313">NA()</definedName>
    <definedName name="d47t320">NA()</definedName>
    <definedName name="d47t9">NA()</definedName>
    <definedName name="d600l13">NA()</definedName>
    <definedName name="d600l13_1">NA()</definedName>
    <definedName name="d600l313">NA()</definedName>
    <definedName name="d600l313_1">NA()</definedName>
    <definedName name="d600t13">NA()</definedName>
    <definedName name="d600t13_1">NA()</definedName>
    <definedName name="d600t313">NA()</definedName>
    <definedName name="d600t313_1">NA()</definedName>
    <definedName name="d66l13">NA()</definedName>
    <definedName name="d66l313">NA()</definedName>
    <definedName name="d66l39">NA()</definedName>
    <definedName name="d66plug2">NA()</definedName>
    <definedName name="d66plug23">NA()</definedName>
    <definedName name="d66t13">NA()</definedName>
    <definedName name="d66t313">NA()</definedName>
    <definedName name="d66t9">NA()</definedName>
    <definedName name="d76l39">NA()</definedName>
    <definedName name="d76plug2">NA()</definedName>
    <definedName name="d76plug23">NA()</definedName>
    <definedName name="d76t9">NA()</definedName>
    <definedName name="d800t13">NA()</definedName>
    <definedName name="d800t13_1">NA()</definedName>
    <definedName name="d801l">NA()</definedName>
    <definedName name="d801l_1">NA()</definedName>
    <definedName name="d801l13">NA()</definedName>
    <definedName name="d801l20">NA()</definedName>
    <definedName name="d801l313">NA()</definedName>
    <definedName name="d801l320">NA()</definedName>
    <definedName name="d801t">NA()</definedName>
    <definedName name="d801t_1">NA()</definedName>
    <definedName name="d801t13">NA()</definedName>
    <definedName name="d801t20">NA()</definedName>
    <definedName name="d801t313">NA()</definedName>
    <definedName name="d801t320">NA()</definedName>
    <definedName name="d80l">NA()</definedName>
    <definedName name="d80l_1">NA()</definedName>
    <definedName name="d80l13">NA()</definedName>
    <definedName name="d80l20">NA()</definedName>
    <definedName name="d80l20_1">NA()</definedName>
    <definedName name="d80l313">NA()</definedName>
    <definedName name="d80l320">NA()</definedName>
    <definedName name="d80plug3">NA()</definedName>
    <definedName name="d80plug33">NA()</definedName>
    <definedName name="d80t">NA()</definedName>
    <definedName name="d80t_1">NA()</definedName>
    <definedName name="d80t13">NA()</definedName>
    <definedName name="d80t20">NA()</definedName>
    <definedName name="d80t313">NA()</definedName>
    <definedName name="d80t320">NA()</definedName>
    <definedName name="defl">NA()</definedName>
    <definedName name="defl_1">NA()</definedName>
    <definedName name="demob">NA()</definedName>
    <definedName name="dhtools">NA()</definedName>
    <definedName name="disl">NA()</definedName>
    <definedName name="disl_1">NA()</definedName>
    <definedName name="EJT_Hrs_Min">134/60</definedName>
    <definedName name="eng">NA()</definedName>
    <definedName name="Eqp">NA()</definedName>
    <definedName name="eqpadd">NA()</definedName>
    <definedName name="eqpadd_1">NA()</definedName>
    <definedName name="Equipment">NA()</definedName>
    <definedName name="EX">NA()</definedName>
    <definedName name="EX_1">NA()</definedName>
    <definedName name="Excel_BuiltIn_Print_Area_2">NA()</definedName>
    <definedName name="Excel_BuiltIn_Print_Area_2_1">NA()</definedName>
    <definedName name="Excel_BuiltIn_Print_Area_4">NA()</definedName>
    <definedName name="Excel_BuiltIn_Print_Area_4_1">NA()</definedName>
    <definedName name="FACTOR">NA()</definedName>
    <definedName name="FACTOR_1">NA()</definedName>
    <definedName name="G">NA()</definedName>
    <definedName name="help">NA()</definedName>
    <definedName name="Import">NA()</definedName>
    <definedName name="Import2">NA()</definedName>
    <definedName name="life">NA()</definedName>
    <definedName name="Local">NA()</definedName>
    <definedName name="Local2">NA()</definedName>
    <definedName name="midlife">NA()</definedName>
    <definedName name="mob">NA()</definedName>
    <definedName name="mobadd">NA()</definedName>
    <definedName name="mobadd_1">NA()</definedName>
    <definedName name="MUD">NA()</definedName>
    <definedName name="MUD_1">NA()</definedName>
    <definedName name="n2eqp">NA()</definedName>
    <definedName name="n2eqp_1">NA()</definedName>
    <definedName name="op_cost1">NA()</definedName>
    <definedName name="op_cost1_1">NA()</definedName>
    <definedName name="pers">NA()</definedName>
    <definedName name="persadd">NA()</definedName>
    <definedName name="persadd_1">NA()</definedName>
    <definedName name="PMUD">NA()</definedName>
    <definedName name="PMUD_1">NA()</definedName>
    <definedName name="provit">NA()</definedName>
    <definedName name="provit_1">NA()</definedName>
    <definedName name="provit1">NA()</definedName>
    <definedName name="provit1_1">NA()</definedName>
    <definedName name="retainers">NA()</definedName>
    <definedName name="retl">NA()</definedName>
    <definedName name="retl_1">NA()</definedName>
    <definedName name="sampling">NA()</definedName>
    <definedName name="semilife">NA()</definedName>
    <definedName name="stdby">NA()</definedName>
    <definedName name="stdcemcrew">NA()</definedName>
    <definedName name="stdcemcrew_1">NA()</definedName>
    <definedName name="surf">NA()</definedName>
    <definedName name="TITLE">NA()</definedName>
    <definedName name="TITLE_1">NA()</definedName>
    <definedName name="tot_rev">NA()</definedName>
    <definedName name="tot_rev_1">NA()</definedName>
    <definedName name="totbid">NA()</definedName>
    <definedName name="totcem">NA()</definedName>
    <definedName name="Totchem">NA()</definedName>
    <definedName name="Totchemadd">NA()</definedName>
    <definedName name="Totchemcost">NA()</definedName>
    <definedName name="Totchemjob">NA()</definedName>
    <definedName name="totCR">NA()</definedName>
    <definedName name="TotCSG">NA()</definedName>
    <definedName name="toteng">NA()</definedName>
    <definedName name="Toteqp">NA()</definedName>
    <definedName name="tothelp">NA()</definedName>
    <definedName name="totpers">NA()</definedName>
    <definedName name="totprod">NA()</definedName>
    <definedName name="totser">NA()</definedName>
    <definedName name="tpers1">NA()</definedName>
    <definedName name="year">NA()</definedName>
    <definedName name="_xlnm.Print_Titles" localSheetId="1">'7" Liner Tally NFQ22-9'!$16:$17</definedName>
    <definedName name="_xlnm.Print_Titles" localSheetId="0">'7" Liner Tally NFQ22-9 (2)'!$16:$17</definedName>
    <definedName name="_xlnm.Print_Area" localSheetId="1">'7" Liner Tally NFQ22-9'!$A$1:$N$726</definedName>
    <definedName name="_xlnm.Print_Area" localSheetId="0">'7" Liner Tally NFQ22-9 (2)'!$A$1:$M$726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6" i="24" l="1"/>
  <c r="A307" i="24" s="1"/>
  <c r="A308" i="24" s="1"/>
  <c r="A309" i="24" s="1"/>
  <c r="A310" i="24" s="1"/>
  <c r="A311" i="24" s="1"/>
  <c r="A312" i="24" s="1"/>
  <c r="A313" i="24" s="1"/>
  <c r="A314" i="24" s="1"/>
  <c r="A315" i="24" s="1"/>
  <c r="A316" i="24" s="1"/>
  <c r="A317" i="24" s="1"/>
  <c r="A318" i="24" s="1"/>
  <c r="A319" i="24" s="1"/>
  <c r="A320" i="24" s="1"/>
  <c r="A321" i="24" s="1"/>
  <c r="A322" i="24" s="1"/>
  <c r="A323" i="24" s="1"/>
  <c r="A324" i="24" s="1"/>
  <c r="A325" i="24" s="1"/>
  <c r="A326" i="24" s="1"/>
  <c r="A327" i="24" s="1"/>
  <c r="A328" i="24" s="1"/>
  <c r="A329" i="24" s="1"/>
  <c r="A330" i="24" s="1"/>
  <c r="A331" i="24" s="1"/>
  <c r="A332" i="24" s="1"/>
  <c r="A333" i="24" s="1"/>
  <c r="A334" i="24" s="1"/>
  <c r="A335" i="24" s="1"/>
  <c r="A336" i="24" s="1"/>
  <c r="A337" i="24" s="1"/>
  <c r="A338" i="24" s="1"/>
  <c r="A339" i="24" s="1"/>
  <c r="A340" i="24" s="1"/>
  <c r="A341" i="24" s="1"/>
  <c r="A342" i="24" s="1"/>
  <c r="A343" i="24" s="1"/>
  <c r="A344" i="24" s="1"/>
  <c r="A345" i="24" s="1"/>
  <c r="A346" i="24" s="1"/>
  <c r="A347" i="24" s="1"/>
  <c r="A348" i="24" s="1"/>
  <c r="A349" i="24" s="1"/>
  <c r="A350" i="24" s="1"/>
  <c r="A351" i="24" s="1"/>
  <c r="A352" i="24" s="1"/>
  <c r="A353" i="24" s="1"/>
  <c r="A354" i="24" s="1"/>
  <c r="A355" i="24" s="1"/>
  <c r="A356" i="24" s="1"/>
  <c r="A357" i="24" s="1"/>
  <c r="A358" i="24" s="1"/>
  <c r="A359" i="24" s="1"/>
  <c r="A360" i="24" s="1"/>
  <c r="A361" i="24" s="1"/>
  <c r="A362" i="24" s="1"/>
  <c r="A363" i="24" s="1"/>
  <c r="A364" i="24" s="1"/>
  <c r="A365" i="24" s="1"/>
  <c r="A366" i="24" s="1"/>
  <c r="A367" i="24" s="1"/>
  <c r="A368" i="24" s="1"/>
  <c r="A369" i="24" s="1"/>
  <c r="A370" i="24" s="1"/>
  <c r="A371" i="24" s="1"/>
  <c r="A372" i="24" s="1"/>
  <c r="A373" i="24" s="1"/>
  <c r="A374" i="24" s="1"/>
  <c r="A375" i="24" s="1"/>
  <c r="A376" i="24" s="1"/>
  <c r="A377" i="24" s="1"/>
  <c r="A378" i="24" s="1"/>
  <c r="A379" i="24" s="1"/>
  <c r="A380" i="24" s="1"/>
  <c r="A381" i="24" s="1"/>
  <c r="A382" i="24" s="1"/>
  <c r="A383" i="24" s="1"/>
  <c r="A384" i="24" s="1"/>
  <c r="A385" i="24" s="1"/>
  <c r="A386" i="24" s="1"/>
  <c r="A387" i="24" s="1"/>
  <c r="A388" i="24" s="1"/>
  <c r="A389" i="24" s="1"/>
  <c r="A390" i="24" s="1"/>
  <c r="A391" i="24" s="1"/>
  <c r="A392" i="24" s="1"/>
  <c r="A393" i="24" s="1"/>
  <c r="A394" i="24" s="1"/>
  <c r="A395" i="24" s="1"/>
  <c r="A396" i="24" s="1"/>
  <c r="A397" i="24" s="1"/>
  <c r="A398" i="24" s="1"/>
  <c r="A399" i="24" s="1"/>
  <c r="A400" i="24" s="1"/>
  <c r="A401" i="24" s="1"/>
  <c r="A402" i="24" s="1"/>
  <c r="A403" i="24" s="1"/>
  <c r="A404" i="24" s="1"/>
  <c r="A405" i="24" s="1"/>
  <c r="A406" i="24" s="1"/>
  <c r="A407" i="24" s="1"/>
  <c r="A408" i="24" s="1"/>
  <c r="A409" i="24" s="1"/>
  <c r="A410" i="24" s="1"/>
  <c r="A411" i="24" s="1"/>
  <c r="A412" i="24" s="1"/>
  <c r="A413" i="24" s="1"/>
  <c r="A414" i="24" s="1"/>
  <c r="A415" i="24" s="1"/>
  <c r="A416" i="24" s="1"/>
  <c r="A417" i="24" s="1"/>
  <c r="A418" i="24" s="1"/>
  <c r="A419" i="24" s="1"/>
  <c r="A420" i="24" s="1"/>
  <c r="A421" i="24" s="1"/>
  <c r="A422" i="24" s="1"/>
  <c r="A423" i="24" s="1"/>
  <c r="A424" i="24" s="1"/>
  <c r="A425" i="24" s="1"/>
  <c r="A426" i="24" s="1"/>
  <c r="A427" i="24" s="1"/>
  <c r="A428" i="24" s="1"/>
  <c r="A429" i="24" s="1"/>
  <c r="A430" i="24" s="1"/>
  <c r="A431" i="24" s="1"/>
  <c r="A432" i="24" s="1"/>
  <c r="A433" i="24" s="1"/>
  <c r="A434" i="24" s="1"/>
  <c r="A435" i="24" s="1"/>
  <c r="A436" i="24" s="1"/>
  <c r="A437" i="24" s="1"/>
  <c r="A438" i="24" s="1"/>
  <c r="A439" i="24" s="1"/>
  <c r="A440" i="24" s="1"/>
  <c r="A441" i="24" s="1"/>
  <c r="A442" i="24" s="1"/>
  <c r="A443" i="24" s="1"/>
  <c r="A444" i="24" s="1"/>
  <c r="A445" i="24" s="1"/>
  <c r="A446" i="24" s="1"/>
  <c r="A447" i="24" s="1"/>
  <c r="A448" i="24" s="1"/>
  <c r="A449" i="24" s="1"/>
  <c r="A450" i="24" s="1"/>
  <c r="A451" i="24" s="1"/>
  <c r="A452" i="24" s="1"/>
  <c r="A453" i="24" s="1"/>
  <c r="A454" i="24" s="1"/>
  <c r="A455" i="24" s="1"/>
  <c r="A456" i="24" s="1"/>
  <c r="A457" i="24" s="1"/>
  <c r="A458" i="24" s="1"/>
  <c r="A459" i="24" s="1"/>
  <c r="A460" i="24" s="1"/>
  <c r="A461" i="24" s="1"/>
  <c r="A462" i="24" s="1"/>
  <c r="A463" i="24" s="1"/>
  <c r="A464" i="24" s="1"/>
  <c r="A465" i="24" s="1"/>
  <c r="A466" i="24" s="1"/>
  <c r="A467" i="24" s="1"/>
  <c r="A468" i="24" s="1"/>
  <c r="A469" i="24" s="1"/>
  <c r="A470" i="24" s="1"/>
  <c r="A471" i="24" s="1"/>
  <c r="A472" i="24" s="1"/>
  <c r="A473" i="24" s="1"/>
  <c r="A474" i="24" s="1"/>
  <c r="A475" i="24" s="1"/>
  <c r="A476" i="24" s="1"/>
  <c r="A477" i="24" s="1"/>
  <c r="A478" i="24" s="1"/>
  <c r="A479" i="24" s="1"/>
  <c r="A480" i="24" s="1"/>
  <c r="A481" i="24" s="1"/>
  <c r="A482" i="24" s="1"/>
  <c r="A483" i="24" s="1"/>
  <c r="A484" i="24" s="1"/>
  <c r="A485" i="24" s="1"/>
  <c r="A486" i="24" s="1"/>
  <c r="A487" i="24" s="1"/>
  <c r="A488" i="24" s="1"/>
  <c r="A489" i="24" s="1"/>
  <c r="A490" i="24" s="1"/>
  <c r="A491" i="24" s="1"/>
  <c r="A492" i="24" s="1"/>
  <c r="A493" i="24" s="1"/>
  <c r="A494" i="24" s="1"/>
  <c r="A495" i="24" s="1"/>
  <c r="A496" i="24" s="1"/>
  <c r="A497" i="24" s="1"/>
  <c r="A498" i="24" s="1"/>
  <c r="A499" i="24" s="1"/>
  <c r="A500" i="24" s="1"/>
  <c r="A501" i="24" s="1"/>
  <c r="A502" i="24" s="1"/>
  <c r="A503" i="24" s="1"/>
  <c r="A504" i="24" s="1"/>
  <c r="A505" i="24" s="1"/>
  <c r="A506" i="24" s="1"/>
  <c r="A507" i="24" s="1"/>
  <c r="A508" i="24" s="1"/>
  <c r="A509" i="24" s="1"/>
  <c r="A510" i="24" s="1"/>
  <c r="A511" i="24" s="1"/>
  <c r="A512" i="24" s="1"/>
  <c r="A513" i="24" s="1"/>
  <c r="A514" i="24" s="1"/>
  <c r="A515" i="24" s="1"/>
  <c r="A516" i="24" s="1"/>
  <c r="A517" i="24" s="1"/>
  <c r="A518" i="24" s="1"/>
  <c r="A519" i="24" s="1"/>
  <c r="A520" i="24" s="1"/>
  <c r="A521" i="24" s="1"/>
  <c r="A522" i="24" s="1"/>
  <c r="A523" i="24" s="1"/>
  <c r="A524" i="24" s="1"/>
  <c r="A525" i="24" s="1"/>
  <c r="A526" i="24" s="1"/>
  <c r="A527" i="24" s="1"/>
  <c r="A528" i="24" s="1"/>
  <c r="A529" i="24" s="1"/>
  <c r="A530" i="24" s="1"/>
  <c r="A531" i="24" s="1"/>
  <c r="A532" i="24" s="1"/>
  <c r="A533" i="24" s="1"/>
  <c r="A534" i="24" s="1"/>
  <c r="A535" i="24" s="1"/>
  <c r="A536" i="24" s="1"/>
  <c r="A537" i="24" s="1"/>
  <c r="A538" i="24" s="1"/>
  <c r="A539" i="24" s="1"/>
  <c r="A540" i="24" s="1"/>
  <c r="A541" i="24" s="1"/>
  <c r="A542" i="24" s="1"/>
  <c r="A543" i="24" s="1"/>
  <c r="A544" i="24" s="1"/>
  <c r="A545" i="24" s="1"/>
  <c r="A546" i="24" s="1"/>
  <c r="A547" i="24" s="1"/>
  <c r="A548" i="24" s="1"/>
  <c r="A549" i="24" s="1"/>
  <c r="A550" i="24" s="1"/>
  <c r="A551" i="24" s="1"/>
  <c r="A552" i="24" s="1"/>
  <c r="A553" i="24" s="1"/>
  <c r="A554" i="24" s="1"/>
  <c r="A555" i="24" s="1"/>
  <c r="A556" i="24" s="1"/>
  <c r="A557" i="24" s="1"/>
  <c r="A558" i="24" s="1"/>
  <c r="A559" i="24" s="1"/>
  <c r="A560" i="24" s="1"/>
  <c r="A561" i="24" s="1"/>
  <c r="A562" i="24" s="1"/>
  <c r="A563" i="24" s="1"/>
  <c r="A564" i="24" s="1"/>
  <c r="A565" i="24" s="1"/>
  <c r="A566" i="24" s="1"/>
  <c r="A567" i="24" s="1"/>
  <c r="A568" i="24" s="1"/>
  <c r="A569" i="24" s="1"/>
  <c r="A570" i="24" s="1"/>
  <c r="A571" i="24" s="1"/>
  <c r="A572" i="24" s="1"/>
  <c r="A573" i="24" s="1"/>
  <c r="A574" i="24" s="1"/>
  <c r="A575" i="24" s="1"/>
  <c r="A576" i="24" s="1"/>
  <c r="A577" i="24" s="1"/>
  <c r="A578" i="24" s="1"/>
  <c r="A579" i="24" s="1"/>
  <c r="A580" i="24" s="1"/>
  <c r="A581" i="24" s="1"/>
  <c r="A582" i="24" s="1"/>
  <c r="A583" i="24" s="1"/>
  <c r="A584" i="24" s="1"/>
  <c r="A585" i="24" s="1"/>
  <c r="A586" i="24" s="1"/>
  <c r="A587" i="24" s="1"/>
  <c r="A588" i="24" s="1"/>
  <c r="A589" i="24" s="1"/>
  <c r="A590" i="24" s="1"/>
  <c r="A591" i="24" s="1"/>
  <c r="A592" i="24" s="1"/>
  <c r="A593" i="24" s="1"/>
  <c r="A594" i="24" s="1"/>
  <c r="A595" i="24" s="1"/>
  <c r="A596" i="24" s="1"/>
  <c r="A597" i="24" s="1"/>
  <c r="A598" i="24" s="1"/>
  <c r="A599" i="24" s="1"/>
  <c r="A600" i="24" s="1"/>
  <c r="A601" i="24" s="1"/>
  <c r="A602" i="24" s="1"/>
  <c r="A603" i="24" s="1"/>
  <c r="A604" i="24" s="1"/>
  <c r="A605" i="24" s="1"/>
  <c r="A606" i="24" s="1"/>
  <c r="A607" i="24" s="1"/>
  <c r="A608" i="24" s="1"/>
  <c r="A609" i="24" s="1"/>
  <c r="A610" i="24" s="1"/>
  <c r="A611" i="24" s="1"/>
  <c r="A612" i="24" s="1"/>
  <c r="A613" i="24" s="1"/>
  <c r="A614" i="24" s="1"/>
  <c r="A615" i="24" s="1"/>
  <c r="A616" i="24" s="1"/>
  <c r="A617" i="24" s="1"/>
  <c r="H732" i="25" l="1"/>
  <c r="H731" i="25"/>
  <c r="H730" i="25"/>
  <c r="F726" i="25"/>
  <c r="G725" i="25"/>
  <c r="G724" i="25"/>
  <c r="G723" i="25"/>
  <c r="G722" i="25"/>
  <c r="G721" i="25"/>
  <c r="G720" i="25"/>
  <c r="G719" i="25"/>
  <c r="G718" i="25"/>
  <c r="G717" i="25"/>
  <c r="F716" i="25"/>
  <c r="G716" i="25" s="1"/>
  <c r="F715" i="25"/>
  <c r="G715" i="25" s="1"/>
  <c r="F714" i="25"/>
  <c r="G714" i="25" s="1"/>
  <c r="F713" i="25"/>
  <c r="G713" i="25" s="1"/>
  <c r="F712" i="25"/>
  <c r="G712" i="25" s="1"/>
  <c r="F711" i="25"/>
  <c r="G711" i="25" s="1"/>
  <c r="F710" i="25"/>
  <c r="G710" i="25" s="1"/>
  <c r="F709" i="25"/>
  <c r="G709" i="25" s="1"/>
  <c r="F708" i="25"/>
  <c r="G708" i="25" s="1"/>
  <c r="G707" i="25"/>
  <c r="G706" i="25"/>
  <c r="G705" i="25"/>
  <c r="G704" i="25"/>
  <c r="G703" i="25"/>
  <c r="G702" i="25"/>
  <c r="G701" i="25"/>
  <c r="M700" i="25"/>
  <c r="G700" i="25"/>
  <c r="G699" i="25"/>
  <c r="G698" i="25"/>
  <c r="G697" i="25"/>
  <c r="G696" i="25"/>
  <c r="G695" i="25"/>
  <c r="G694" i="25"/>
  <c r="G693" i="25"/>
  <c r="G692" i="25"/>
  <c r="G691" i="25"/>
  <c r="G690" i="25"/>
  <c r="G689" i="25"/>
  <c r="G688" i="25"/>
  <c r="G687" i="25"/>
  <c r="G686" i="25"/>
  <c r="G685" i="25"/>
  <c r="G684" i="25"/>
  <c r="G683" i="25"/>
  <c r="G682" i="25"/>
  <c r="G681" i="25"/>
  <c r="G680" i="25"/>
  <c r="G679" i="25"/>
  <c r="G678" i="25"/>
  <c r="G677" i="25"/>
  <c r="G676" i="25"/>
  <c r="G675" i="25"/>
  <c r="G674" i="25"/>
  <c r="G673" i="25"/>
  <c r="G672" i="25"/>
  <c r="G671" i="25"/>
  <c r="G670" i="25"/>
  <c r="G669" i="25"/>
  <c r="G668" i="25"/>
  <c r="G667" i="25"/>
  <c r="G666" i="25"/>
  <c r="G665" i="25"/>
  <c r="G664" i="25"/>
  <c r="G663" i="25"/>
  <c r="G662" i="25"/>
  <c r="G661" i="25"/>
  <c r="G660" i="25"/>
  <c r="G659" i="25"/>
  <c r="G658" i="25"/>
  <c r="G657" i="25"/>
  <c r="G656" i="25"/>
  <c r="G655" i="25"/>
  <c r="G654" i="25"/>
  <c r="G653" i="25"/>
  <c r="G652" i="25"/>
  <c r="G651" i="25"/>
  <c r="G650" i="25"/>
  <c r="G649" i="25"/>
  <c r="G648" i="25"/>
  <c r="G647" i="25"/>
  <c r="G646" i="25"/>
  <c r="G645" i="25"/>
  <c r="G644" i="25"/>
  <c r="G643" i="25"/>
  <c r="G642" i="25"/>
  <c r="G641" i="25"/>
  <c r="G640" i="25"/>
  <c r="G639" i="25"/>
  <c r="G638" i="25"/>
  <c r="G637" i="25"/>
  <c r="G636" i="25"/>
  <c r="G635" i="25"/>
  <c r="G634" i="25"/>
  <c r="G633" i="25"/>
  <c r="G632" i="25"/>
  <c r="G631" i="25"/>
  <c r="G630" i="25"/>
  <c r="G629" i="25"/>
  <c r="G628" i="25"/>
  <c r="G627" i="25"/>
  <c r="G626" i="25"/>
  <c r="G625" i="25"/>
  <c r="G624" i="25"/>
  <c r="G623" i="25"/>
  <c r="G622" i="25"/>
  <c r="G621" i="25"/>
  <c r="G620" i="25"/>
  <c r="G619" i="25"/>
  <c r="G618" i="25"/>
  <c r="G617" i="25"/>
  <c r="G616" i="25"/>
  <c r="G615" i="25"/>
  <c r="G614" i="25"/>
  <c r="G613" i="25"/>
  <c r="G612" i="25"/>
  <c r="G611" i="25"/>
  <c r="G610" i="25"/>
  <c r="G609" i="25"/>
  <c r="G608" i="25"/>
  <c r="G607" i="25"/>
  <c r="G606" i="25"/>
  <c r="G605" i="25"/>
  <c r="G604" i="25"/>
  <c r="G603" i="25"/>
  <c r="G602" i="25"/>
  <c r="G601" i="25"/>
  <c r="G600" i="25"/>
  <c r="G599" i="25"/>
  <c r="G598" i="25"/>
  <c r="G597" i="25"/>
  <c r="G596" i="25"/>
  <c r="G595" i="25"/>
  <c r="G594" i="25"/>
  <c r="G593" i="25"/>
  <c r="G592" i="25"/>
  <c r="G591" i="25"/>
  <c r="G590" i="25"/>
  <c r="G589" i="25"/>
  <c r="G588" i="25"/>
  <c r="G587" i="25"/>
  <c r="G586" i="25"/>
  <c r="G585" i="25"/>
  <c r="G584" i="25"/>
  <c r="G583" i="25"/>
  <c r="G582" i="25"/>
  <c r="G581" i="25"/>
  <c r="G580" i="25"/>
  <c r="G579" i="25"/>
  <c r="G578" i="25"/>
  <c r="G577" i="25"/>
  <c r="G576" i="25"/>
  <c r="G575" i="25"/>
  <c r="G574" i="25"/>
  <c r="G573" i="25"/>
  <c r="G572" i="25"/>
  <c r="G571" i="25"/>
  <c r="G570" i="25"/>
  <c r="G569" i="25"/>
  <c r="G568" i="25"/>
  <c r="G567" i="25"/>
  <c r="G566" i="25"/>
  <c r="G565" i="25"/>
  <c r="G564" i="25"/>
  <c r="G563" i="25"/>
  <c r="G562" i="25"/>
  <c r="G561" i="25"/>
  <c r="G560" i="25"/>
  <c r="G559" i="25"/>
  <c r="G558" i="25"/>
  <c r="G557" i="25"/>
  <c r="G556" i="25"/>
  <c r="G555" i="25"/>
  <c r="G554" i="25"/>
  <c r="G553" i="25"/>
  <c r="G552" i="25"/>
  <c r="G551" i="25"/>
  <c r="G550" i="25"/>
  <c r="G549" i="25"/>
  <c r="G548" i="25"/>
  <c r="G547" i="25"/>
  <c r="G546" i="25"/>
  <c r="G545" i="25"/>
  <c r="G544" i="25"/>
  <c r="G543" i="25"/>
  <c r="G542" i="25"/>
  <c r="G541" i="25"/>
  <c r="G540" i="25"/>
  <c r="G539" i="25"/>
  <c r="G538" i="25"/>
  <c r="G537" i="25"/>
  <c r="G536" i="25"/>
  <c r="G535" i="25"/>
  <c r="G534" i="25"/>
  <c r="G533" i="25"/>
  <c r="G532" i="25"/>
  <c r="G531" i="25"/>
  <c r="G530" i="25"/>
  <c r="G529" i="25"/>
  <c r="G528" i="25"/>
  <c r="G527" i="25"/>
  <c r="G526" i="25"/>
  <c r="G525" i="25"/>
  <c r="G524" i="25"/>
  <c r="G523" i="25"/>
  <c r="G522" i="25"/>
  <c r="G521" i="25"/>
  <c r="G520" i="25"/>
  <c r="G519" i="25"/>
  <c r="G518" i="25"/>
  <c r="G517" i="25"/>
  <c r="G516" i="25"/>
  <c r="G515" i="25"/>
  <c r="G514" i="25"/>
  <c r="G513" i="25"/>
  <c r="G512" i="25"/>
  <c r="G511" i="25"/>
  <c r="G510" i="25"/>
  <c r="G509" i="25"/>
  <c r="G508" i="25"/>
  <c r="G507" i="25"/>
  <c r="G506" i="25"/>
  <c r="G505" i="25"/>
  <c r="G504" i="25"/>
  <c r="G503" i="25"/>
  <c r="G502" i="25"/>
  <c r="G501" i="25"/>
  <c r="G500" i="25"/>
  <c r="G499" i="25"/>
  <c r="G498" i="25"/>
  <c r="G497" i="25"/>
  <c r="G496" i="25"/>
  <c r="G495" i="25"/>
  <c r="G494" i="25"/>
  <c r="G493" i="25"/>
  <c r="G492" i="25"/>
  <c r="G491" i="25"/>
  <c r="G490" i="25"/>
  <c r="G489" i="25"/>
  <c r="G488" i="25"/>
  <c r="G487" i="25"/>
  <c r="G486" i="25"/>
  <c r="G485" i="25"/>
  <c r="G484" i="25"/>
  <c r="G483" i="25"/>
  <c r="G482" i="25"/>
  <c r="G481" i="25"/>
  <c r="G480" i="25"/>
  <c r="G479" i="25"/>
  <c r="G478" i="25"/>
  <c r="G477" i="25"/>
  <c r="G476" i="25"/>
  <c r="G475" i="25"/>
  <c r="G474" i="25"/>
  <c r="G473" i="25"/>
  <c r="G472" i="25"/>
  <c r="G471" i="25"/>
  <c r="G470" i="25"/>
  <c r="G469" i="25"/>
  <c r="G468" i="25"/>
  <c r="G467" i="25"/>
  <c r="G466" i="25"/>
  <c r="G465" i="25"/>
  <c r="G464" i="25"/>
  <c r="G463" i="25"/>
  <c r="G462" i="25"/>
  <c r="G461" i="25"/>
  <c r="G460" i="25"/>
  <c r="G459" i="25"/>
  <c r="G458" i="25"/>
  <c r="G457" i="25"/>
  <c r="G456" i="25"/>
  <c r="G455" i="25"/>
  <c r="G454" i="25"/>
  <c r="G453" i="25"/>
  <c r="G452" i="25"/>
  <c r="G451" i="25"/>
  <c r="G450" i="25"/>
  <c r="G449" i="25"/>
  <c r="G448" i="25"/>
  <c r="G447" i="25"/>
  <c r="G446" i="25"/>
  <c r="G445" i="25"/>
  <c r="G444" i="25"/>
  <c r="G443" i="25"/>
  <c r="G442" i="25"/>
  <c r="G441" i="25"/>
  <c r="G440" i="25"/>
  <c r="G439" i="25"/>
  <c r="G438" i="25"/>
  <c r="G437" i="25"/>
  <c r="G436" i="25"/>
  <c r="G435" i="25"/>
  <c r="G434" i="25"/>
  <c r="G433" i="25"/>
  <c r="G432" i="25"/>
  <c r="G431" i="25"/>
  <c r="G430" i="25"/>
  <c r="G429" i="25"/>
  <c r="G428" i="25"/>
  <c r="G427" i="25"/>
  <c r="G426" i="25"/>
  <c r="G425" i="25"/>
  <c r="G424" i="25"/>
  <c r="G423" i="25"/>
  <c r="G422" i="25"/>
  <c r="G421" i="25"/>
  <c r="G420" i="25"/>
  <c r="G419" i="25"/>
  <c r="G418" i="25"/>
  <c r="G417" i="25"/>
  <c r="G416" i="25"/>
  <c r="G415" i="25"/>
  <c r="G414" i="25"/>
  <c r="G413" i="25"/>
  <c r="G412" i="25"/>
  <c r="G411" i="25"/>
  <c r="G410" i="25"/>
  <c r="G409" i="25"/>
  <c r="G408" i="25"/>
  <c r="G407" i="25"/>
  <c r="G406" i="25"/>
  <c r="G405" i="25"/>
  <c r="G404" i="25"/>
  <c r="G403" i="25"/>
  <c r="G402" i="25"/>
  <c r="G401" i="25"/>
  <c r="G400" i="25"/>
  <c r="G399" i="25"/>
  <c r="G398" i="25"/>
  <c r="G397" i="25"/>
  <c r="G396" i="25"/>
  <c r="G395" i="25"/>
  <c r="G394" i="25"/>
  <c r="G393" i="25"/>
  <c r="G392" i="25"/>
  <c r="G391" i="25"/>
  <c r="G390" i="25"/>
  <c r="G389" i="25"/>
  <c r="G388" i="25"/>
  <c r="G387" i="25"/>
  <c r="G386" i="25"/>
  <c r="G385" i="25"/>
  <c r="G384" i="25"/>
  <c r="G383" i="25"/>
  <c r="G382" i="25"/>
  <c r="G381" i="25"/>
  <c r="G380" i="25"/>
  <c r="G379" i="25"/>
  <c r="G378" i="25"/>
  <c r="G377" i="25"/>
  <c r="G376" i="25"/>
  <c r="G375" i="25"/>
  <c r="G374" i="25"/>
  <c r="G373" i="25"/>
  <c r="G372" i="25"/>
  <c r="G371" i="25"/>
  <c r="G370" i="25"/>
  <c r="G369" i="25"/>
  <c r="G368" i="25"/>
  <c r="G367" i="25"/>
  <c r="G366" i="25"/>
  <c r="G365" i="25"/>
  <c r="G364" i="25"/>
  <c r="G363" i="25"/>
  <c r="G362" i="25"/>
  <c r="G361" i="25"/>
  <c r="G360" i="25"/>
  <c r="G359" i="25"/>
  <c r="G358" i="25"/>
  <c r="G357" i="25"/>
  <c r="G356" i="25"/>
  <c r="G355" i="25"/>
  <c r="G354" i="25"/>
  <c r="G353" i="25"/>
  <c r="G352" i="25"/>
  <c r="G351" i="25"/>
  <c r="G350" i="25"/>
  <c r="G349" i="25"/>
  <c r="G348" i="25"/>
  <c r="G347" i="25"/>
  <c r="G346" i="25"/>
  <c r="G345" i="25"/>
  <c r="G344" i="25"/>
  <c r="G343" i="25"/>
  <c r="G342" i="25"/>
  <c r="G341" i="25"/>
  <c r="G340" i="25"/>
  <c r="G339" i="25"/>
  <c r="G338" i="25"/>
  <c r="G337" i="25"/>
  <c r="G336" i="25"/>
  <c r="G335" i="25"/>
  <c r="G334" i="25"/>
  <c r="G333" i="25"/>
  <c r="G332" i="25"/>
  <c r="G331" i="25"/>
  <c r="G330" i="25"/>
  <c r="G329" i="25"/>
  <c r="G328" i="25"/>
  <c r="F327" i="25"/>
  <c r="G327" i="25" s="1"/>
  <c r="F326" i="25"/>
  <c r="G326" i="25" s="1"/>
  <c r="F325" i="25"/>
  <c r="G325" i="25" s="1"/>
  <c r="M314" i="25"/>
  <c r="M311" i="25"/>
  <c r="F300" i="25"/>
  <c r="G300" i="25" s="1"/>
  <c r="E300" i="25"/>
  <c r="F187" i="25"/>
  <c r="G187" i="25" s="1"/>
  <c r="E187" i="25"/>
  <c r="F158" i="25"/>
  <c r="G158" i="25" s="1"/>
  <c r="E158" i="25"/>
  <c r="F94" i="25"/>
  <c r="G94" i="25" s="1"/>
  <c r="E94" i="25"/>
  <c r="F31" i="25"/>
  <c r="G31" i="25" s="1"/>
  <c r="F30" i="25"/>
  <c r="G30" i="25" s="1"/>
  <c r="E30" i="25"/>
  <c r="F29" i="25"/>
  <c r="G29" i="25" s="1"/>
  <c r="E29" i="25"/>
  <c r="F28" i="25"/>
  <c r="G28" i="25" s="1"/>
  <c r="F27" i="25"/>
  <c r="G27" i="25" s="1"/>
  <c r="F26" i="25"/>
  <c r="G26" i="25" s="1"/>
  <c r="F25" i="25"/>
  <c r="G25" i="25" s="1"/>
  <c r="F24" i="25"/>
  <c r="G24" i="25" s="1"/>
  <c r="F23" i="25"/>
  <c r="G23" i="25" s="1"/>
  <c r="F22" i="25"/>
  <c r="G22" i="25" s="1"/>
  <c r="F21" i="25"/>
  <c r="G21" i="25" s="1"/>
  <c r="F20" i="25"/>
  <c r="G20" i="25" s="1"/>
  <c r="G19" i="25"/>
  <c r="F19" i="25"/>
  <c r="G18" i="25"/>
  <c r="I18" i="25" s="1"/>
  <c r="F18" i="25"/>
  <c r="H15" i="25"/>
  <c r="E15" i="25"/>
  <c r="L10" i="25"/>
  <c r="M699" i="25" s="1"/>
  <c r="K18" i="25" l="1"/>
  <c r="I19" i="25"/>
  <c r="K19" i="25" s="1"/>
  <c r="J18" i="25"/>
  <c r="F187" i="1"/>
  <c r="F158" i="1"/>
  <c r="E158" i="1"/>
  <c r="F300" i="1"/>
  <c r="F325" i="1"/>
  <c r="F326" i="1"/>
  <c r="F327" i="1"/>
  <c r="F708" i="1"/>
  <c r="F709" i="1"/>
  <c r="F710" i="1"/>
  <c r="F711" i="1"/>
  <c r="F712" i="1"/>
  <c r="F713" i="1"/>
  <c r="F714" i="1"/>
  <c r="F715" i="1"/>
  <c r="F716" i="1"/>
  <c r="F726" i="1"/>
  <c r="I20" i="25" l="1"/>
  <c r="J20" i="25" s="1"/>
  <c r="J19" i="25"/>
  <c r="K20" i="25"/>
  <c r="G158" i="1"/>
  <c r="N311" i="1"/>
  <c r="I21" i="25" l="1"/>
  <c r="I22" i="25" s="1"/>
  <c r="K21" i="25"/>
  <c r="J21" i="25"/>
  <c r="G495" i="1"/>
  <c r="G459" i="1"/>
  <c r="G460" i="1"/>
  <c r="G461" i="1"/>
  <c r="G462" i="1"/>
  <c r="G463" i="1"/>
  <c r="G464" i="1"/>
  <c r="J22" i="25" l="1"/>
  <c r="K22" i="25"/>
  <c r="I23" i="25"/>
  <c r="N700" i="1"/>
  <c r="I24" i="25" l="1"/>
  <c r="K23" i="25"/>
  <c r="J23" i="25"/>
  <c r="H15" i="1"/>
  <c r="E30" i="1"/>
  <c r="G187" i="1"/>
  <c r="E187" i="1"/>
  <c r="F94" i="1"/>
  <c r="G94" i="1" s="1"/>
  <c r="E94" i="1"/>
  <c r="F30" i="1"/>
  <c r="G30" i="1" s="1"/>
  <c r="F18" i="1"/>
  <c r="N314" i="1"/>
  <c r="G300" i="1"/>
  <c r="E300" i="1"/>
  <c r="F31" i="1"/>
  <c r="G31" i="1" s="1"/>
  <c r="F29" i="1"/>
  <c r="G29" i="1" s="1"/>
  <c r="E29" i="1"/>
  <c r="G732" i="25" l="1"/>
  <c r="J732" i="25" s="1"/>
  <c r="I25" i="25"/>
  <c r="K24" i="25"/>
  <c r="J24" i="25"/>
  <c r="F28" i="1"/>
  <c r="G28" i="1" s="1"/>
  <c r="F27" i="1"/>
  <c r="G27" i="1" s="1"/>
  <c r="J25" i="25" l="1"/>
  <c r="K25" i="25"/>
  <c r="I26" i="25"/>
  <c r="J740" i="25"/>
  <c r="L740" i="25" s="1"/>
  <c r="K732" i="25"/>
  <c r="G326" i="1"/>
  <c r="G325" i="1"/>
  <c r="B7" i="13"/>
  <c r="E31" i="25" l="1"/>
  <c r="I27" i="25"/>
  <c r="K26" i="25"/>
  <c r="J26" i="25"/>
  <c r="B8" i="13"/>
  <c r="E32" i="25" s="1"/>
  <c r="F32" i="25" s="1"/>
  <c r="G32" i="25" s="1"/>
  <c r="E3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651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65" i="1"/>
  <c r="G717" i="1"/>
  <c r="G718" i="1"/>
  <c r="G719" i="1"/>
  <c r="G720" i="1"/>
  <c r="G721" i="1"/>
  <c r="G722" i="1"/>
  <c r="G723" i="1"/>
  <c r="G724" i="1"/>
  <c r="G725" i="1"/>
  <c r="H730" i="1"/>
  <c r="H731" i="1"/>
  <c r="H732" i="1"/>
  <c r="G327" i="1"/>
  <c r="G328" i="1"/>
  <c r="K27" i="25" l="1"/>
  <c r="J27" i="25"/>
  <c r="I28" i="25"/>
  <c r="B9" i="13"/>
  <c r="E33" i="25" s="1"/>
  <c r="F33" i="25" s="1"/>
  <c r="G33" i="25" s="1"/>
  <c r="E32" i="1"/>
  <c r="F32" i="1" s="1"/>
  <c r="G32" i="1" s="1"/>
  <c r="B10" i="13"/>
  <c r="E34" i="25" s="1"/>
  <c r="F34" i="25" s="1"/>
  <c r="G34" i="25" s="1"/>
  <c r="E33" i="1"/>
  <c r="I29" i="25" l="1"/>
  <c r="K28" i="25"/>
  <c r="J28" i="25"/>
  <c r="B11" i="13"/>
  <c r="E35" i="25" s="1"/>
  <c r="F35" i="25" s="1"/>
  <c r="G35" i="25" s="1"/>
  <c r="E34" i="1"/>
  <c r="K29" i="25" l="1"/>
  <c r="J29" i="25"/>
  <c r="I30" i="25"/>
  <c r="B12" i="13"/>
  <c r="E35" i="1"/>
  <c r="F35" i="1" s="1"/>
  <c r="G35" i="1" s="1"/>
  <c r="F33" i="1"/>
  <c r="G33" i="1" s="1"/>
  <c r="F34" i="1"/>
  <c r="G34" i="1" s="1"/>
  <c r="B13" i="13" l="1"/>
  <c r="E36" i="25"/>
  <c r="F36" i="25" s="1"/>
  <c r="G36" i="25" s="1"/>
  <c r="I31" i="25"/>
  <c r="K30" i="25"/>
  <c r="J30" i="25"/>
  <c r="M31" i="25" s="1"/>
  <c r="N32" i="25" s="1"/>
  <c r="E36" i="1"/>
  <c r="F36" i="1" s="1"/>
  <c r="G36" i="1" s="1"/>
  <c r="B14" i="13" l="1"/>
  <c r="E37" i="25"/>
  <c r="F37" i="25" s="1"/>
  <c r="G37" i="25" s="1"/>
  <c r="I32" i="25"/>
  <c r="K31" i="25"/>
  <c r="J31" i="25"/>
  <c r="E37" i="1"/>
  <c r="F37" i="1" s="1"/>
  <c r="G37" i="1" s="1"/>
  <c r="B15" i="13" l="1"/>
  <c r="E38" i="25"/>
  <c r="F38" i="25" s="1"/>
  <c r="G38" i="25" s="1"/>
  <c r="I33" i="25"/>
  <c r="K32" i="25"/>
  <c r="J32" i="25"/>
  <c r="E38" i="1"/>
  <c r="F38" i="1" s="1"/>
  <c r="G38" i="1" s="1"/>
  <c r="B16" i="13" l="1"/>
  <c r="E39" i="25"/>
  <c r="F39" i="25" s="1"/>
  <c r="G39" i="25" s="1"/>
  <c r="J33" i="25"/>
  <c r="K33" i="25"/>
  <c r="I34" i="25"/>
  <c r="E39" i="1"/>
  <c r="F39" i="1" s="1"/>
  <c r="G39" i="1" s="1"/>
  <c r="B17" i="13" l="1"/>
  <c r="E40" i="25"/>
  <c r="F40" i="25" s="1"/>
  <c r="G40" i="25" s="1"/>
  <c r="J34" i="25"/>
  <c r="I35" i="25"/>
  <c r="K34" i="25"/>
  <c r="E40" i="1"/>
  <c r="F40" i="1" s="1"/>
  <c r="G40" i="1" s="1"/>
  <c r="B18" i="13" l="1"/>
  <c r="E41" i="25"/>
  <c r="F41" i="25" s="1"/>
  <c r="G41" i="25" s="1"/>
  <c r="J35" i="25"/>
  <c r="I36" i="25"/>
  <c r="K35" i="25"/>
  <c r="E41" i="1"/>
  <c r="F41" i="1" s="1"/>
  <c r="G41" i="1" s="1"/>
  <c r="B19" i="13" l="1"/>
  <c r="E43" i="25" s="1"/>
  <c r="F43" i="25" s="1"/>
  <c r="G43" i="25" s="1"/>
  <c r="E42" i="25"/>
  <c r="F42" i="25" s="1"/>
  <c r="G42" i="25" s="1"/>
  <c r="J36" i="25"/>
  <c r="K36" i="25"/>
  <c r="I37" i="25"/>
  <c r="E42" i="1"/>
  <c r="F42" i="1" s="1"/>
  <c r="G42" i="1" s="1"/>
  <c r="J37" i="25" l="1"/>
  <c r="I38" i="25"/>
  <c r="K37" i="25"/>
  <c r="B20" i="13"/>
  <c r="E44" i="25" s="1"/>
  <c r="F44" i="25" s="1"/>
  <c r="G44" i="25" s="1"/>
  <c r="E43" i="1"/>
  <c r="F43" i="1" s="1"/>
  <c r="G43" i="1" s="1"/>
  <c r="K38" i="25" l="1"/>
  <c r="I39" i="25"/>
  <c r="J38" i="25"/>
  <c r="B21" i="13"/>
  <c r="E45" i="25" s="1"/>
  <c r="F45" i="25" s="1"/>
  <c r="G45" i="25" s="1"/>
  <c r="E44" i="1"/>
  <c r="F44" i="1" s="1"/>
  <c r="G44" i="1" s="1"/>
  <c r="J39" i="25" l="1"/>
  <c r="I40" i="25"/>
  <c r="K39" i="25"/>
  <c r="B22" i="13"/>
  <c r="E46" i="25" s="1"/>
  <c r="F46" i="25" s="1"/>
  <c r="G46" i="25" s="1"/>
  <c r="E45" i="1"/>
  <c r="F45" i="1" s="1"/>
  <c r="G45" i="1" s="1"/>
  <c r="K40" i="25" l="1"/>
  <c r="I41" i="25"/>
  <c r="J40" i="25"/>
  <c r="B23" i="13"/>
  <c r="E47" i="25" s="1"/>
  <c r="F47" i="25" s="1"/>
  <c r="G47" i="25" s="1"/>
  <c r="E46" i="1"/>
  <c r="F46" i="1" s="1"/>
  <c r="G46" i="1" s="1"/>
  <c r="J41" i="25" l="1"/>
  <c r="I42" i="25"/>
  <c r="K41" i="25"/>
  <c r="B24" i="13"/>
  <c r="E48" i="25" s="1"/>
  <c r="F48" i="25" s="1"/>
  <c r="G48" i="25" s="1"/>
  <c r="E47" i="1"/>
  <c r="F47" i="1" s="1"/>
  <c r="G47" i="1" s="1"/>
  <c r="J42" i="25" l="1"/>
  <c r="I43" i="25"/>
  <c r="K42" i="25"/>
  <c r="B25" i="13"/>
  <c r="E49" i="25" s="1"/>
  <c r="F49" i="25" s="1"/>
  <c r="G49" i="25" s="1"/>
  <c r="E48" i="1"/>
  <c r="F48" i="1" s="1"/>
  <c r="G48" i="1" s="1"/>
  <c r="J43" i="25" l="1"/>
  <c r="K43" i="25"/>
  <c r="I44" i="25"/>
  <c r="B26" i="13"/>
  <c r="E50" i="25" s="1"/>
  <c r="F50" i="25" s="1"/>
  <c r="G50" i="25" s="1"/>
  <c r="E49" i="1"/>
  <c r="F49" i="1" s="1"/>
  <c r="G49" i="1" s="1"/>
  <c r="K44" i="25" l="1"/>
  <c r="I45" i="25"/>
  <c r="J44" i="25"/>
  <c r="B27" i="13"/>
  <c r="E51" i="25" s="1"/>
  <c r="F51" i="25" s="1"/>
  <c r="G51" i="25" s="1"/>
  <c r="E50" i="1"/>
  <c r="F50" i="1" s="1"/>
  <c r="G50" i="1" s="1"/>
  <c r="J45" i="25" l="1"/>
  <c r="I46" i="25"/>
  <c r="K45" i="25"/>
  <c r="B28" i="13"/>
  <c r="E52" i="25" s="1"/>
  <c r="F52" i="25" s="1"/>
  <c r="G52" i="25" s="1"/>
  <c r="E51" i="1"/>
  <c r="F51" i="1" s="1"/>
  <c r="G51" i="1" s="1"/>
  <c r="I47" i="25" l="1"/>
  <c r="K46" i="25"/>
  <c r="J46" i="25"/>
  <c r="B29" i="13"/>
  <c r="E53" i="25" s="1"/>
  <c r="F53" i="25" s="1"/>
  <c r="G53" i="25" s="1"/>
  <c r="E52" i="1"/>
  <c r="F52" i="1" s="1"/>
  <c r="G52" i="1" s="1"/>
  <c r="J47" i="25" l="1"/>
  <c r="K47" i="25"/>
  <c r="I48" i="25"/>
  <c r="B30" i="13"/>
  <c r="E54" i="25" s="1"/>
  <c r="F54" i="25" s="1"/>
  <c r="G54" i="25" s="1"/>
  <c r="E53" i="1"/>
  <c r="F53" i="1" s="1"/>
  <c r="G53" i="1" s="1"/>
  <c r="K48" i="25" l="1"/>
  <c r="I49" i="25"/>
  <c r="J48" i="25"/>
  <c r="B31" i="13"/>
  <c r="E55" i="25" s="1"/>
  <c r="F55" i="25" s="1"/>
  <c r="G55" i="25" s="1"/>
  <c r="E54" i="1"/>
  <c r="F54" i="1" s="1"/>
  <c r="G54" i="1" s="1"/>
  <c r="J49" i="25" l="1"/>
  <c r="I50" i="25"/>
  <c r="K49" i="25"/>
  <c r="B32" i="13"/>
  <c r="E56" i="25" s="1"/>
  <c r="F56" i="25" s="1"/>
  <c r="G56" i="25" s="1"/>
  <c r="E55" i="1"/>
  <c r="F55" i="1" s="1"/>
  <c r="G55" i="1" s="1"/>
  <c r="J50" i="25" l="1"/>
  <c r="K50" i="25"/>
  <c r="I51" i="25"/>
  <c r="B33" i="13"/>
  <c r="E57" i="25" s="1"/>
  <c r="F57" i="25" s="1"/>
  <c r="G57" i="25" s="1"/>
  <c r="E56" i="1"/>
  <c r="F56" i="1" s="1"/>
  <c r="G56" i="1" s="1"/>
  <c r="J51" i="25" l="1"/>
  <c r="I52" i="25"/>
  <c r="K51" i="25"/>
  <c r="B34" i="13"/>
  <c r="E58" i="25" s="1"/>
  <c r="F58" i="25" s="1"/>
  <c r="G58" i="25" s="1"/>
  <c r="E57" i="1"/>
  <c r="F57" i="1" s="1"/>
  <c r="G57" i="1" s="1"/>
  <c r="I53" i="25" l="1"/>
  <c r="K52" i="25"/>
  <c r="J52" i="25"/>
  <c r="B35" i="13"/>
  <c r="E59" i="25" s="1"/>
  <c r="F59" i="25" s="1"/>
  <c r="G59" i="25" s="1"/>
  <c r="E58" i="1"/>
  <c r="F58" i="1" s="1"/>
  <c r="G58" i="1" s="1"/>
  <c r="J53" i="25" l="1"/>
  <c r="K53" i="25"/>
  <c r="I54" i="25"/>
  <c r="B36" i="13"/>
  <c r="E60" i="25" s="1"/>
  <c r="F60" i="25" s="1"/>
  <c r="G60" i="25" s="1"/>
  <c r="E59" i="1"/>
  <c r="F59" i="1" s="1"/>
  <c r="G59" i="1" s="1"/>
  <c r="J54" i="25" l="1"/>
  <c r="I55" i="25"/>
  <c r="K54" i="25"/>
  <c r="B37" i="13"/>
  <c r="E60" i="1"/>
  <c r="F60" i="1" s="1"/>
  <c r="G60" i="1" s="1"/>
  <c r="B38" i="13" l="1"/>
  <c r="E62" i="25" s="1"/>
  <c r="F62" i="25" s="1"/>
  <c r="G62" i="25" s="1"/>
  <c r="E61" i="25"/>
  <c r="F61" i="25" s="1"/>
  <c r="G61" i="25" s="1"/>
  <c r="J55" i="25"/>
  <c r="K55" i="25"/>
  <c r="I56" i="25"/>
  <c r="B39" i="13"/>
  <c r="E62" i="1"/>
  <c r="F62" i="1" s="1"/>
  <c r="G62" i="1" s="1"/>
  <c r="B40" i="13"/>
  <c r="E64" i="25" s="1"/>
  <c r="F64" i="25" s="1"/>
  <c r="G64" i="25" s="1"/>
  <c r="E61" i="1"/>
  <c r="F61" i="1" s="1"/>
  <c r="G61" i="1" s="1"/>
  <c r="E63" i="1" l="1"/>
  <c r="F63" i="1" s="1"/>
  <c r="G63" i="1" s="1"/>
  <c r="E63" i="25"/>
  <c r="F63" i="25" s="1"/>
  <c r="G63" i="25" s="1"/>
  <c r="I57" i="25"/>
  <c r="J56" i="25"/>
  <c r="K56" i="25"/>
  <c r="B41" i="13"/>
  <c r="E65" i="25" s="1"/>
  <c r="F65" i="25" s="1"/>
  <c r="G65" i="25" s="1"/>
  <c r="E64" i="1"/>
  <c r="F64" i="1" s="1"/>
  <c r="G64" i="1" s="1"/>
  <c r="J57" i="25" l="1"/>
  <c r="K57" i="25"/>
  <c r="I58" i="25"/>
  <c r="B42" i="13"/>
  <c r="E66" i="25" s="1"/>
  <c r="F66" i="25" s="1"/>
  <c r="G66" i="25" s="1"/>
  <c r="E65" i="1"/>
  <c r="F65" i="1" s="1"/>
  <c r="G65" i="1" s="1"/>
  <c r="K58" i="25" l="1"/>
  <c r="J58" i="25"/>
  <c r="I59" i="25"/>
  <c r="B43" i="13"/>
  <c r="E67" i="25" s="1"/>
  <c r="F67" i="25" s="1"/>
  <c r="G67" i="25" s="1"/>
  <c r="E66" i="1"/>
  <c r="F66" i="1" s="1"/>
  <c r="G66" i="1" s="1"/>
  <c r="J59" i="25" l="1"/>
  <c r="K59" i="25"/>
  <c r="I60" i="25"/>
  <c r="B44" i="13"/>
  <c r="E68" i="25" s="1"/>
  <c r="F68" i="25" s="1"/>
  <c r="G68" i="25" s="1"/>
  <c r="E67" i="1"/>
  <c r="F67" i="1" s="1"/>
  <c r="G67" i="1" s="1"/>
  <c r="I61" i="25" l="1"/>
  <c r="K60" i="25"/>
  <c r="J60" i="25"/>
  <c r="B45" i="13"/>
  <c r="E69" i="25" s="1"/>
  <c r="F69" i="25" s="1"/>
  <c r="G69" i="25" s="1"/>
  <c r="E68" i="1"/>
  <c r="F68" i="1" s="1"/>
  <c r="G68" i="1" s="1"/>
  <c r="J61" i="25" l="1"/>
  <c r="I62" i="25"/>
  <c r="K61" i="25"/>
  <c r="B46" i="13"/>
  <c r="E70" i="25" s="1"/>
  <c r="F70" i="25" s="1"/>
  <c r="G70" i="25" s="1"/>
  <c r="E69" i="1"/>
  <c r="F69" i="1" s="1"/>
  <c r="G69" i="1" s="1"/>
  <c r="I63" i="25" l="1"/>
  <c r="K62" i="25"/>
  <c r="J62" i="25"/>
  <c r="B47" i="13"/>
  <c r="E71" i="25" s="1"/>
  <c r="F71" i="25" s="1"/>
  <c r="G71" i="25" s="1"/>
  <c r="E70" i="1"/>
  <c r="F70" i="1" s="1"/>
  <c r="G70" i="1" s="1"/>
  <c r="J63" i="25" l="1"/>
  <c r="I64" i="25"/>
  <c r="K63" i="25"/>
  <c r="B48" i="13"/>
  <c r="E72" i="25" s="1"/>
  <c r="F72" i="25" s="1"/>
  <c r="G72" i="25" s="1"/>
  <c r="E71" i="1"/>
  <c r="F71" i="1" s="1"/>
  <c r="G71" i="1" s="1"/>
  <c r="K64" i="25" l="1"/>
  <c r="J64" i="25"/>
  <c r="I65" i="25"/>
  <c r="B49" i="13"/>
  <c r="E73" i="25" s="1"/>
  <c r="F73" i="25" s="1"/>
  <c r="G73" i="25" s="1"/>
  <c r="E72" i="1"/>
  <c r="F72" i="1" s="1"/>
  <c r="G72" i="1" s="1"/>
  <c r="J65" i="25" l="1"/>
  <c r="I66" i="25"/>
  <c r="K65" i="25"/>
  <c r="B50" i="13"/>
  <c r="E74" i="25" s="1"/>
  <c r="F74" i="25" s="1"/>
  <c r="G74" i="25" s="1"/>
  <c r="E73" i="1"/>
  <c r="F73" i="1" s="1"/>
  <c r="G73" i="1" s="1"/>
  <c r="J66" i="25" l="1"/>
  <c r="K66" i="25"/>
  <c r="I67" i="25"/>
  <c r="B51" i="13"/>
  <c r="E75" i="25" s="1"/>
  <c r="F75" i="25" s="1"/>
  <c r="G75" i="25" s="1"/>
  <c r="E74" i="1"/>
  <c r="F74" i="1" s="1"/>
  <c r="G74" i="1" s="1"/>
  <c r="J67" i="25" l="1"/>
  <c r="I68" i="25"/>
  <c r="K67" i="25"/>
  <c r="B52" i="13"/>
  <c r="E76" i="25" s="1"/>
  <c r="F76" i="25" s="1"/>
  <c r="G76" i="25" s="1"/>
  <c r="E75" i="1"/>
  <c r="F75" i="1" s="1"/>
  <c r="G75" i="1" s="1"/>
  <c r="K68" i="25" l="1"/>
  <c r="I69" i="25"/>
  <c r="J68" i="25"/>
  <c r="B53" i="13"/>
  <c r="E77" i="25" s="1"/>
  <c r="F77" i="25" s="1"/>
  <c r="G77" i="25" s="1"/>
  <c r="E76" i="1"/>
  <c r="F76" i="1" s="1"/>
  <c r="G76" i="1" s="1"/>
  <c r="J69" i="25" l="1"/>
  <c r="K69" i="25"/>
  <c r="I70" i="25"/>
  <c r="B54" i="13"/>
  <c r="E78" i="25" s="1"/>
  <c r="F78" i="25" s="1"/>
  <c r="G78" i="25" s="1"/>
  <c r="E77" i="1"/>
  <c r="F77" i="1" s="1"/>
  <c r="G77" i="1" s="1"/>
  <c r="I71" i="25" l="1"/>
  <c r="K70" i="25"/>
  <c r="J70" i="25"/>
  <c r="B55" i="13"/>
  <c r="E79" i="25" s="1"/>
  <c r="F79" i="25" s="1"/>
  <c r="G79" i="25" s="1"/>
  <c r="E78" i="1"/>
  <c r="F78" i="1" s="1"/>
  <c r="G78" i="1" s="1"/>
  <c r="J71" i="25" l="1"/>
  <c r="K71" i="25"/>
  <c r="I72" i="25"/>
  <c r="B56" i="13"/>
  <c r="E80" i="25" s="1"/>
  <c r="F80" i="25" s="1"/>
  <c r="G80" i="25" s="1"/>
  <c r="E79" i="1"/>
  <c r="F79" i="1" s="1"/>
  <c r="G79" i="1" s="1"/>
  <c r="J72" i="25" l="1"/>
  <c r="I73" i="25"/>
  <c r="K72" i="25"/>
  <c r="B57" i="13"/>
  <c r="E81" i="25" s="1"/>
  <c r="F81" i="25" s="1"/>
  <c r="G81" i="25" s="1"/>
  <c r="E80" i="1"/>
  <c r="F80" i="1" s="1"/>
  <c r="G80" i="1" s="1"/>
  <c r="J73" i="25" l="1"/>
  <c r="I74" i="25"/>
  <c r="K73" i="25"/>
  <c r="B58" i="13"/>
  <c r="E82" i="25" s="1"/>
  <c r="F82" i="25" s="1"/>
  <c r="G82" i="25" s="1"/>
  <c r="E81" i="1"/>
  <c r="F81" i="1" s="1"/>
  <c r="G81" i="1" s="1"/>
  <c r="K74" i="25" l="1"/>
  <c r="J74" i="25"/>
  <c r="I75" i="25"/>
  <c r="B59" i="13"/>
  <c r="E83" i="25" s="1"/>
  <c r="F83" i="25" s="1"/>
  <c r="G83" i="25" s="1"/>
  <c r="E82" i="1"/>
  <c r="F82" i="1" s="1"/>
  <c r="G82" i="1" s="1"/>
  <c r="J75" i="25" l="1"/>
  <c r="I76" i="25"/>
  <c r="K75" i="25"/>
  <c r="B60" i="13"/>
  <c r="E84" i="25" s="1"/>
  <c r="F84" i="25" s="1"/>
  <c r="G84" i="25" s="1"/>
  <c r="E83" i="1"/>
  <c r="F83" i="1" s="1"/>
  <c r="G83" i="1" s="1"/>
  <c r="I77" i="25" l="1"/>
  <c r="J76" i="25"/>
  <c r="K76" i="25"/>
  <c r="B61" i="13"/>
  <c r="E85" i="25" s="1"/>
  <c r="F85" i="25" s="1"/>
  <c r="G85" i="25" s="1"/>
  <c r="E84" i="1"/>
  <c r="F84" i="1" s="1"/>
  <c r="G84" i="1" s="1"/>
  <c r="J77" i="25" l="1"/>
  <c r="K77" i="25"/>
  <c r="I78" i="25"/>
  <c r="B62" i="13"/>
  <c r="E86" i="25" s="1"/>
  <c r="F86" i="25" s="1"/>
  <c r="G86" i="25" s="1"/>
  <c r="E85" i="1"/>
  <c r="F85" i="1" s="1"/>
  <c r="G85" i="1" s="1"/>
  <c r="K78" i="25" l="1"/>
  <c r="J78" i="25"/>
  <c r="I79" i="25"/>
  <c r="B63" i="13"/>
  <c r="E87" i="25" s="1"/>
  <c r="F87" i="25" s="1"/>
  <c r="G87" i="25" s="1"/>
  <c r="E86" i="1"/>
  <c r="F86" i="1" s="1"/>
  <c r="G86" i="1" s="1"/>
  <c r="J79" i="25" l="1"/>
  <c r="K79" i="25"/>
  <c r="I80" i="25"/>
  <c r="B64" i="13"/>
  <c r="E88" i="25" s="1"/>
  <c r="F88" i="25" s="1"/>
  <c r="G88" i="25" s="1"/>
  <c r="E87" i="1"/>
  <c r="F87" i="1" s="1"/>
  <c r="G87" i="1" s="1"/>
  <c r="K80" i="25" l="1"/>
  <c r="J80" i="25"/>
  <c r="I81" i="25"/>
  <c r="B65" i="13"/>
  <c r="E89" i="25" s="1"/>
  <c r="F89" i="25" s="1"/>
  <c r="G89" i="25" s="1"/>
  <c r="E88" i="1"/>
  <c r="F88" i="1" s="1"/>
  <c r="G88" i="1" s="1"/>
  <c r="M10" i="1"/>
  <c r="N699" i="1" s="1"/>
  <c r="J81" i="25" l="1"/>
  <c r="I82" i="25"/>
  <c r="K81" i="25"/>
  <c r="B66" i="13"/>
  <c r="E90" i="25" s="1"/>
  <c r="F90" i="25" s="1"/>
  <c r="G90" i="25" s="1"/>
  <c r="E89" i="1"/>
  <c r="F89" i="1" s="1"/>
  <c r="G89" i="1" s="1"/>
  <c r="F24" i="1"/>
  <c r="F25" i="1"/>
  <c r="F26" i="1"/>
  <c r="F23" i="1"/>
  <c r="G23" i="1" s="1"/>
  <c r="F21" i="1"/>
  <c r="F22" i="1"/>
  <c r="F20" i="1"/>
  <c r="G20" i="1" s="1"/>
  <c r="G19" i="1"/>
  <c r="G18" i="1"/>
  <c r="F19" i="1"/>
  <c r="A7" i="13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I83" i="25" l="1"/>
  <c r="K82" i="25"/>
  <c r="J82" i="25"/>
  <c r="A20" i="13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B67" i="13"/>
  <c r="E91" i="25" s="1"/>
  <c r="F91" i="25" s="1"/>
  <c r="G91" i="25" s="1"/>
  <c r="E90" i="1"/>
  <c r="F90" i="1" s="1"/>
  <c r="G90" i="1" s="1"/>
  <c r="J83" i="25" l="1"/>
  <c r="I84" i="25"/>
  <c r="K83" i="25"/>
  <c r="A38" i="13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B68" i="13"/>
  <c r="E91" i="1"/>
  <c r="F91" i="1" s="1"/>
  <c r="G91" i="1" s="1"/>
  <c r="G335" i="1"/>
  <c r="E92" i="1" l="1"/>
  <c r="F92" i="1" s="1"/>
  <c r="G92" i="1" s="1"/>
  <c r="E92" i="25"/>
  <c r="F92" i="25" s="1"/>
  <c r="G92" i="25" s="1"/>
  <c r="I85" i="25"/>
  <c r="J84" i="25"/>
  <c r="K84" i="25"/>
  <c r="B69" i="13"/>
  <c r="G337" i="1"/>
  <c r="G338" i="1"/>
  <c r="G336" i="1"/>
  <c r="E93" i="1" l="1"/>
  <c r="F93" i="1" s="1"/>
  <c r="G93" i="1" s="1"/>
  <c r="E93" i="25"/>
  <c r="F93" i="25" s="1"/>
  <c r="G93" i="25" s="1"/>
  <c r="J85" i="25"/>
  <c r="K85" i="25"/>
  <c r="I86" i="25"/>
  <c r="B70" i="13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E95" i="1" l="1"/>
  <c r="F95" i="1" s="1"/>
  <c r="G95" i="1" s="1"/>
  <c r="E95" i="25"/>
  <c r="F95" i="25" s="1"/>
  <c r="G95" i="25" s="1"/>
  <c r="I87" i="25"/>
  <c r="J86" i="25"/>
  <c r="K86" i="25"/>
  <c r="B71" i="13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E96" i="1" l="1"/>
  <c r="F96" i="1" s="1"/>
  <c r="G96" i="1" s="1"/>
  <c r="E96" i="25"/>
  <c r="F96" i="25" s="1"/>
  <c r="G96" i="25" s="1"/>
  <c r="J87" i="25"/>
  <c r="I88" i="25"/>
  <c r="K87" i="25"/>
  <c r="B72" i="13"/>
  <c r="G384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E97" i="1" l="1"/>
  <c r="F97" i="1" s="1"/>
  <c r="G97" i="1" s="1"/>
  <c r="E97" i="25"/>
  <c r="F97" i="25" s="1"/>
  <c r="G97" i="25" s="1"/>
  <c r="K88" i="25"/>
  <c r="J88" i="25"/>
  <c r="I89" i="25"/>
  <c r="B73" i="13"/>
  <c r="G26" i="1"/>
  <c r="E98" i="1" l="1"/>
  <c r="F98" i="1" s="1"/>
  <c r="G98" i="1" s="1"/>
  <c r="E98" i="25"/>
  <c r="F98" i="25" s="1"/>
  <c r="G98" i="25" s="1"/>
  <c r="J89" i="25"/>
  <c r="I90" i="25"/>
  <c r="K89" i="25"/>
  <c r="B74" i="13"/>
  <c r="G385" i="1"/>
  <c r="G386" i="1"/>
  <c r="E99" i="1" l="1"/>
  <c r="F99" i="1" s="1"/>
  <c r="G99" i="1" s="1"/>
  <c r="E99" i="25"/>
  <c r="F99" i="25" s="1"/>
  <c r="G99" i="25" s="1"/>
  <c r="J90" i="25"/>
  <c r="I91" i="25"/>
  <c r="K90" i="25"/>
  <c r="B75" i="13"/>
  <c r="G332" i="1"/>
  <c r="E100" i="1" l="1"/>
  <c r="F100" i="1" s="1"/>
  <c r="G100" i="1" s="1"/>
  <c r="E100" i="25"/>
  <c r="F100" i="25" s="1"/>
  <c r="G100" i="25" s="1"/>
  <c r="J91" i="25"/>
  <c r="K91" i="25"/>
  <c r="I92" i="25"/>
  <c r="B76" i="13"/>
  <c r="G330" i="1"/>
  <c r="E101" i="1" l="1"/>
  <c r="F101" i="1" s="1"/>
  <c r="G101" i="1" s="1"/>
  <c r="E101" i="25"/>
  <c r="F101" i="25" s="1"/>
  <c r="G101" i="25" s="1"/>
  <c r="J92" i="25"/>
  <c r="I93" i="25"/>
  <c r="B77" i="13"/>
  <c r="G329" i="1"/>
  <c r="E102" i="1" l="1"/>
  <c r="F102" i="1" s="1"/>
  <c r="G102" i="1" s="1"/>
  <c r="E102" i="25"/>
  <c r="F102" i="25" s="1"/>
  <c r="G102" i="25" s="1"/>
  <c r="J93" i="25"/>
  <c r="I94" i="25"/>
  <c r="B78" i="13"/>
  <c r="G334" i="1"/>
  <c r="G333" i="1"/>
  <c r="G331" i="1"/>
  <c r="G25" i="1"/>
  <c r="G24" i="1"/>
  <c r="G22" i="1"/>
  <c r="G21" i="1"/>
  <c r="E15" i="1"/>
  <c r="E103" i="1" l="1"/>
  <c r="F103" i="1" s="1"/>
  <c r="G103" i="1" s="1"/>
  <c r="E103" i="25"/>
  <c r="F103" i="25" s="1"/>
  <c r="G103" i="25" s="1"/>
  <c r="K94" i="25"/>
  <c r="I95" i="25"/>
  <c r="J94" i="25"/>
  <c r="M94" i="25" s="1"/>
  <c r="N95" i="25" s="1"/>
  <c r="B79" i="13"/>
  <c r="I18" i="1"/>
  <c r="J18" i="1"/>
  <c r="E104" i="1" l="1"/>
  <c r="F104" i="1" s="1"/>
  <c r="G104" i="1" s="1"/>
  <c r="E104" i="25"/>
  <c r="F104" i="25" s="1"/>
  <c r="G104" i="25" s="1"/>
  <c r="K95" i="25"/>
  <c r="J95" i="25"/>
  <c r="I96" i="25"/>
  <c r="B80" i="13"/>
  <c r="I19" i="1"/>
  <c r="I20" i="1" s="1"/>
  <c r="E105" i="1" l="1"/>
  <c r="F105" i="1" s="1"/>
  <c r="G105" i="1" s="1"/>
  <c r="E105" i="25"/>
  <c r="F105" i="25" s="1"/>
  <c r="G105" i="25" s="1"/>
  <c r="K96" i="25"/>
  <c r="I97" i="25"/>
  <c r="J96" i="25"/>
  <c r="B81" i="13"/>
  <c r="J20" i="1"/>
  <c r="I21" i="1"/>
  <c r="I22" i="1" s="1"/>
  <c r="I23" i="1" s="1"/>
  <c r="I24" i="1" s="1"/>
  <c r="G732" i="1" s="1"/>
  <c r="J732" i="1" s="1"/>
  <c r="J19" i="1"/>
  <c r="E106" i="1" l="1"/>
  <c r="F106" i="1" s="1"/>
  <c r="G106" i="1" s="1"/>
  <c r="E106" i="25"/>
  <c r="F106" i="25" s="1"/>
  <c r="G106" i="25" s="1"/>
  <c r="J97" i="25"/>
  <c r="I98" i="25"/>
  <c r="K97" i="25"/>
  <c r="B82" i="13"/>
  <c r="J740" i="1"/>
  <c r="M740" i="1" s="1"/>
  <c r="L732" i="1"/>
  <c r="J24" i="1"/>
  <c r="I25" i="1"/>
  <c r="J23" i="1"/>
  <c r="J22" i="1"/>
  <c r="J21" i="1"/>
  <c r="E107" i="1" l="1"/>
  <c r="F107" i="1" s="1"/>
  <c r="G107" i="1" s="1"/>
  <c r="E107" i="25"/>
  <c r="F107" i="25" s="1"/>
  <c r="G107" i="25" s="1"/>
  <c r="J98" i="25"/>
  <c r="I99" i="25"/>
  <c r="K98" i="25"/>
  <c r="B83" i="13"/>
  <c r="J25" i="1"/>
  <c r="I26" i="1"/>
  <c r="I27" i="1" s="1"/>
  <c r="E108" i="1" l="1"/>
  <c r="F108" i="1" s="1"/>
  <c r="G108" i="1" s="1"/>
  <c r="E108" i="25"/>
  <c r="F108" i="25" s="1"/>
  <c r="G108" i="25" s="1"/>
  <c r="J99" i="25"/>
  <c r="K99" i="25"/>
  <c r="I100" i="25"/>
  <c r="B84" i="13"/>
  <c r="I28" i="1"/>
  <c r="J27" i="1"/>
  <c r="J26" i="1"/>
  <c r="E109" i="1" l="1"/>
  <c r="F109" i="1" s="1"/>
  <c r="G109" i="1" s="1"/>
  <c r="E109" i="25"/>
  <c r="F109" i="25" s="1"/>
  <c r="G109" i="25" s="1"/>
  <c r="I101" i="25"/>
  <c r="K100" i="25"/>
  <c r="J100" i="25"/>
  <c r="B85" i="13"/>
  <c r="J28" i="1"/>
  <c r="E110" i="1" l="1"/>
  <c r="F110" i="1" s="1"/>
  <c r="G110" i="1" s="1"/>
  <c r="E110" i="25"/>
  <c r="F110" i="25" s="1"/>
  <c r="G110" i="25" s="1"/>
  <c r="J101" i="25"/>
  <c r="K101" i="25"/>
  <c r="I102" i="25"/>
  <c r="B86" i="13"/>
  <c r="I29" i="1"/>
  <c r="I30" i="1" s="1"/>
  <c r="E111" i="1" l="1"/>
  <c r="F111" i="1" s="1"/>
  <c r="G111" i="1" s="1"/>
  <c r="E111" i="25"/>
  <c r="F111" i="25" s="1"/>
  <c r="G111" i="25" s="1"/>
  <c r="I103" i="25"/>
  <c r="J102" i="25"/>
  <c r="K102" i="25"/>
  <c r="B87" i="13"/>
  <c r="I31" i="1"/>
  <c r="J30" i="1"/>
  <c r="N31" i="1" s="1"/>
  <c r="O32" i="1" s="1"/>
  <c r="J29" i="1"/>
  <c r="E112" i="1" l="1"/>
  <c r="F112" i="1" s="1"/>
  <c r="G112" i="1" s="1"/>
  <c r="E112" i="25"/>
  <c r="F112" i="25" s="1"/>
  <c r="G112" i="25" s="1"/>
  <c r="J103" i="25"/>
  <c r="K103" i="25"/>
  <c r="I104" i="25"/>
  <c r="B88" i="13"/>
  <c r="I32" i="1"/>
  <c r="J31" i="1"/>
  <c r="E113" i="1" l="1"/>
  <c r="F113" i="1" s="1"/>
  <c r="G113" i="1" s="1"/>
  <c r="E113" i="25"/>
  <c r="F113" i="25" s="1"/>
  <c r="G113" i="25" s="1"/>
  <c r="K104" i="25"/>
  <c r="I105" i="25"/>
  <c r="J104" i="25"/>
  <c r="B89" i="13"/>
  <c r="I33" i="1"/>
  <c r="J32" i="1"/>
  <c r="E114" i="1" l="1"/>
  <c r="F114" i="1" s="1"/>
  <c r="G114" i="1" s="1"/>
  <c r="E114" i="25"/>
  <c r="F114" i="25" s="1"/>
  <c r="G114" i="25" s="1"/>
  <c r="J105" i="25"/>
  <c r="K105" i="25"/>
  <c r="I106" i="25"/>
  <c r="B90" i="13"/>
  <c r="J33" i="1"/>
  <c r="I34" i="1"/>
  <c r="E115" i="1" l="1"/>
  <c r="F115" i="1" s="1"/>
  <c r="G115" i="1" s="1"/>
  <c r="E115" i="25"/>
  <c r="F115" i="25" s="1"/>
  <c r="G115" i="25" s="1"/>
  <c r="K106" i="25"/>
  <c r="J106" i="25"/>
  <c r="I107" i="25"/>
  <c r="B91" i="13"/>
  <c r="J34" i="1"/>
  <c r="I35" i="1"/>
  <c r="E116" i="1" l="1"/>
  <c r="F116" i="1" s="1"/>
  <c r="G116" i="1" s="1"/>
  <c r="E116" i="25"/>
  <c r="F116" i="25" s="1"/>
  <c r="G116" i="25" s="1"/>
  <c r="J107" i="25"/>
  <c r="I108" i="25"/>
  <c r="K107" i="25"/>
  <c r="B92" i="13"/>
  <c r="J35" i="1"/>
  <c r="I36" i="1"/>
  <c r="E117" i="1" l="1"/>
  <c r="F117" i="1" s="1"/>
  <c r="G117" i="1" s="1"/>
  <c r="E117" i="25"/>
  <c r="F117" i="25" s="1"/>
  <c r="G117" i="25" s="1"/>
  <c r="J108" i="25"/>
  <c r="I109" i="25"/>
  <c r="K108" i="25"/>
  <c r="B93" i="13"/>
  <c r="J36" i="1"/>
  <c r="I37" i="1"/>
  <c r="E118" i="1" l="1"/>
  <c r="F118" i="1" s="1"/>
  <c r="G118" i="1" s="1"/>
  <c r="E118" i="25"/>
  <c r="F118" i="25" s="1"/>
  <c r="G118" i="25" s="1"/>
  <c r="J109" i="25"/>
  <c r="I110" i="25"/>
  <c r="K109" i="25"/>
  <c r="B94" i="13"/>
  <c r="I38" i="1"/>
  <c r="J37" i="1"/>
  <c r="E119" i="1" l="1"/>
  <c r="F119" i="1" s="1"/>
  <c r="G119" i="1" s="1"/>
  <c r="E119" i="25"/>
  <c r="F119" i="25" s="1"/>
  <c r="G119" i="25" s="1"/>
  <c r="K110" i="25"/>
  <c r="I111" i="25"/>
  <c r="J110" i="25"/>
  <c r="B95" i="13"/>
  <c r="J38" i="1"/>
  <c r="I39" i="1"/>
  <c r="E120" i="1" l="1"/>
  <c r="F120" i="1" s="1"/>
  <c r="G120" i="1" s="1"/>
  <c r="E120" i="25"/>
  <c r="F120" i="25" s="1"/>
  <c r="G120" i="25" s="1"/>
  <c r="J111" i="25"/>
  <c r="K111" i="25"/>
  <c r="I112" i="25"/>
  <c r="B96" i="13"/>
  <c r="I40" i="1"/>
  <c r="J39" i="1"/>
  <c r="E121" i="1" l="1"/>
  <c r="F121" i="1" s="1"/>
  <c r="G121" i="1" s="1"/>
  <c r="E121" i="25"/>
  <c r="F121" i="25" s="1"/>
  <c r="G121" i="25" s="1"/>
  <c r="K112" i="25"/>
  <c r="I113" i="25"/>
  <c r="J112" i="25"/>
  <c r="B97" i="13"/>
  <c r="I41" i="1"/>
  <c r="J40" i="1"/>
  <c r="E122" i="1" l="1"/>
  <c r="F122" i="1" s="1"/>
  <c r="G122" i="1" s="1"/>
  <c r="E122" i="25"/>
  <c r="F122" i="25" s="1"/>
  <c r="G122" i="25" s="1"/>
  <c r="J113" i="25"/>
  <c r="I114" i="25"/>
  <c r="K113" i="25"/>
  <c r="B98" i="13"/>
  <c r="J41" i="1"/>
  <c r="I42" i="1"/>
  <c r="E123" i="1" l="1"/>
  <c r="F123" i="1" s="1"/>
  <c r="G123" i="1" s="1"/>
  <c r="E123" i="25"/>
  <c r="F123" i="25" s="1"/>
  <c r="G123" i="25" s="1"/>
  <c r="I115" i="25"/>
  <c r="K114" i="25"/>
  <c r="J114" i="25"/>
  <c r="B99" i="13"/>
  <c r="J42" i="1"/>
  <c r="I43" i="1"/>
  <c r="E124" i="1" l="1"/>
  <c r="F124" i="1" s="1"/>
  <c r="G124" i="1" s="1"/>
  <c r="E124" i="25"/>
  <c r="F124" i="25" s="1"/>
  <c r="G124" i="25" s="1"/>
  <c r="J115" i="25"/>
  <c r="K115" i="25"/>
  <c r="I116" i="25"/>
  <c r="B100" i="13"/>
  <c r="J43" i="1"/>
  <c r="I44" i="1"/>
  <c r="E125" i="1" l="1"/>
  <c r="F125" i="1" s="1"/>
  <c r="G125" i="1" s="1"/>
  <c r="E125" i="25"/>
  <c r="F125" i="25" s="1"/>
  <c r="G125" i="25" s="1"/>
  <c r="J116" i="25"/>
  <c r="I117" i="25"/>
  <c r="K116" i="25"/>
  <c r="B101" i="13"/>
  <c r="J44" i="1"/>
  <c r="I45" i="1"/>
  <c r="E126" i="1" l="1"/>
  <c r="F126" i="1" s="1"/>
  <c r="G126" i="1" s="1"/>
  <c r="E126" i="25"/>
  <c r="F126" i="25" s="1"/>
  <c r="G126" i="25" s="1"/>
  <c r="J117" i="25"/>
  <c r="K117" i="25"/>
  <c r="I118" i="25"/>
  <c r="B102" i="13"/>
  <c r="J45" i="1"/>
  <c r="I46" i="1"/>
  <c r="E127" i="1" l="1"/>
  <c r="F127" i="1" s="1"/>
  <c r="G127" i="1" s="1"/>
  <c r="E127" i="25"/>
  <c r="F127" i="25" s="1"/>
  <c r="G127" i="25" s="1"/>
  <c r="K118" i="25"/>
  <c r="I119" i="25"/>
  <c r="J118" i="25"/>
  <c r="B103" i="13"/>
  <c r="J46" i="1"/>
  <c r="I47" i="1"/>
  <c r="E128" i="1" l="1"/>
  <c r="F128" i="1" s="1"/>
  <c r="G128" i="1" s="1"/>
  <c r="E128" i="25"/>
  <c r="F128" i="25" s="1"/>
  <c r="G128" i="25" s="1"/>
  <c r="K119" i="25"/>
  <c r="I120" i="25"/>
  <c r="J119" i="25"/>
  <c r="B104" i="13"/>
  <c r="I48" i="1"/>
  <c r="J47" i="1"/>
  <c r="E129" i="1" l="1"/>
  <c r="F129" i="1" s="1"/>
  <c r="G129" i="1" s="1"/>
  <c r="E129" i="25"/>
  <c r="F129" i="25" s="1"/>
  <c r="G129" i="25" s="1"/>
  <c r="J120" i="25"/>
  <c r="K120" i="25"/>
  <c r="I121" i="25"/>
  <c r="B105" i="13"/>
  <c r="J48" i="1"/>
  <c r="I49" i="1"/>
  <c r="E130" i="1" l="1"/>
  <c r="F130" i="1" s="1"/>
  <c r="G130" i="1" s="1"/>
  <c r="E130" i="25"/>
  <c r="F130" i="25" s="1"/>
  <c r="G130" i="25" s="1"/>
  <c r="K121" i="25"/>
  <c r="I122" i="25"/>
  <c r="J121" i="25"/>
  <c r="B106" i="13"/>
  <c r="I50" i="1"/>
  <c r="J49" i="1"/>
  <c r="E131" i="1" l="1"/>
  <c r="F131" i="1" s="1"/>
  <c r="G131" i="1" s="1"/>
  <c r="E131" i="25"/>
  <c r="F131" i="25" s="1"/>
  <c r="G131" i="25" s="1"/>
  <c r="I123" i="25"/>
  <c r="K122" i="25"/>
  <c r="J122" i="25"/>
  <c r="B107" i="13"/>
  <c r="J50" i="1"/>
  <c r="I51" i="1"/>
  <c r="E132" i="1" l="1"/>
  <c r="F132" i="1" s="1"/>
  <c r="G132" i="1" s="1"/>
  <c r="E132" i="25"/>
  <c r="F132" i="25" s="1"/>
  <c r="G132" i="25" s="1"/>
  <c r="J123" i="25"/>
  <c r="I124" i="25"/>
  <c r="K123" i="25"/>
  <c r="B108" i="13"/>
  <c r="I52" i="1"/>
  <c r="J51" i="1"/>
  <c r="E133" i="1" l="1"/>
  <c r="F133" i="1" s="1"/>
  <c r="G133" i="1" s="1"/>
  <c r="E133" i="25"/>
  <c r="F133" i="25" s="1"/>
  <c r="G133" i="25" s="1"/>
  <c r="I125" i="25"/>
  <c r="J124" i="25"/>
  <c r="K124" i="25"/>
  <c r="B109" i="13"/>
  <c r="J52" i="1"/>
  <c r="I53" i="1"/>
  <c r="E134" i="1" l="1"/>
  <c r="F134" i="1" s="1"/>
  <c r="G134" i="1" s="1"/>
  <c r="E134" i="25"/>
  <c r="F134" i="25" s="1"/>
  <c r="G134" i="25" s="1"/>
  <c r="K125" i="25"/>
  <c r="J125" i="25"/>
  <c r="I126" i="25"/>
  <c r="B110" i="13"/>
  <c r="I54" i="1"/>
  <c r="J53" i="1"/>
  <c r="E135" i="1" l="1"/>
  <c r="F135" i="1" s="1"/>
  <c r="G135" i="1" s="1"/>
  <c r="E135" i="25"/>
  <c r="F135" i="25" s="1"/>
  <c r="G135" i="25" s="1"/>
  <c r="J126" i="25"/>
  <c r="I127" i="25"/>
  <c r="K126" i="25"/>
  <c r="B111" i="13"/>
  <c r="J54" i="1"/>
  <c r="I55" i="1"/>
  <c r="E136" i="1" l="1"/>
  <c r="F136" i="1" s="1"/>
  <c r="G136" i="1" s="1"/>
  <c r="E136" i="25"/>
  <c r="F136" i="25" s="1"/>
  <c r="G136" i="25" s="1"/>
  <c r="I128" i="25"/>
  <c r="J127" i="25"/>
  <c r="K127" i="25"/>
  <c r="B112" i="13"/>
  <c r="J55" i="1"/>
  <c r="I56" i="1"/>
  <c r="E137" i="1" l="1"/>
  <c r="F137" i="1" s="1"/>
  <c r="G137" i="1" s="1"/>
  <c r="E137" i="25"/>
  <c r="F137" i="25" s="1"/>
  <c r="G137" i="25" s="1"/>
  <c r="I129" i="25"/>
  <c r="K128" i="25"/>
  <c r="J128" i="25"/>
  <c r="B113" i="13"/>
  <c r="J56" i="1"/>
  <c r="I57" i="1"/>
  <c r="E138" i="1" l="1"/>
  <c r="F138" i="1" s="1"/>
  <c r="G138" i="1" s="1"/>
  <c r="E138" i="25"/>
  <c r="F138" i="25" s="1"/>
  <c r="G138" i="25" s="1"/>
  <c r="I130" i="25"/>
  <c r="J129" i="25"/>
  <c r="K129" i="25"/>
  <c r="B114" i="13"/>
  <c r="J57" i="1"/>
  <c r="I58" i="1"/>
  <c r="E139" i="1" l="1"/>
  <c r="F139" i="1" s="1"/>
  <c r="G139" i="1" s="1"/>
  <c r="E139" i="25"/>
  <c r="F139" i="25" s="1"/>
  <c r="G139" i="25" s="1"/>
  <c r="J130" i="25"/>
  <c r="K130" i="25"/>
  <c r="I131" i="25"/>
  <c r="B115" i="13"/>
  <c r="I59" i="1"/>
  <c r="J58" i="1"/>
  <c r="E140" i="1" l="1"/>
  <c r="F140" i="1" s="1"/>
  <c r="G140" i="1" s="1"/>
  <c r="E140" i="25"/>
  <c r="F140" i="25" s="1"/>
  <c r="G140" i="25" s="1"/>
  <c r="K131" i="25"/>
  <c r="J131" i="25"/>
  <c r="I132" i="25"/>
  <c r="B116" i="13"/>
  <c r="I60" i="1"/>
  <c r="J59" i="1"/>
  <c r="E141" i="1" l="1"/>
  <c r="F141" i="1" s="1"/>
  <c r="G141" i="1" s="1"/>
  <c r="E141" i="25"/>
  <c r="F141" i="25" s="1"/>
  <c r="G141" i="25" s="1"/>
  <c r="K132" i="25"/>
  <c r="I133" i="25"/>
  <c r="J132" i="25"/>
  <c r="B117" i="13"/>
  <c r="J60" i="1"/>
  <c r="I61" i="1"/>
  <c r="E142" i="1" l="1"/>
  <c r="F142" i="1" s="1"/>
  <c r="G142" i="1" s="1"/>
  <c r="E142" i="25"/>
  <c r="F142" i="25" s="1"/>
  <c r="G142" i="25" s="1"/>
  <c r="I134" i="25"/>
  <c r="K133" i="25"/>
  <c r="J133" i="25"/>
  <c r="B118" i="13"/>
  <c r="I62" i="1"/>
  <c r="J61" i="1"/>
  <c r="E143" i="1" l="1"/>
  <c r="F143" i="1" s="1"/>
  <c r="G143" i="1" s="1"/>
  <c r="E143" i="25"/>
  <c r="F143" i="25" s="1"/>
  <c r="G143" i="25" s="1"/>
  <c r="I135" i="25"/>
  <c r="J134" i="25"/>
  <c r="K134" i="25"/>
  <c r="B119" i="13"/>
  <c r="I63" i="1"/>
  <c r="J62" i="1"/>
  <c r="E144" i="1" l="1"/>
  <c r="F144" i="1" s="1"/>
  <c r="G144" i="1" s="1"/>
  <c r="E144" i="25"/>
  <c r="F144" i="25" s="1"/>
  <c r="G144" i="25" s="1"/>
  <c r="J135" i="25"/>
  <c r="I136" i="25"/>
  <c r="K135" i="25"/>
  <c r="B120" i="13"/>
  <c r="I64" i="1"/>
  <c r="J63" i="1"/>
  <c r="E145" i="1" l="1"/>
  <c r="F145" i="1" s="1"/>
  <c r="G145" i="1" s="1"/>
  <c r="E145" i="25"/>
  <c r="F145" i="25" s="1"/>
  <c r="G145" i="25" s="1"/>
  <c r="I137" i="25"/>
  <c r="J136" i="25"/>
  <c r="K136" i="25"/>
  <c r="B121" i="13"/>
  <c r="J64" i="1"/>
  <c r="I65" i="1"/>
  <c r="E146" i="1" l="1"/>
  <c r="F146" i="1" s="1"/>
  <c r="G146" i="1" s="1"/>
  <c r="E146" i="25"/>
  <c r="F146" i="25" s="1"/>
  <c r="G146" i="25" s="1"/>
  <c r="J137" i="25"/>
  <c r="I138" i="25"/>
  <c r="K137" i="25"/>
  <c r="B122" i="13"/>
  <c r="J65" i="1"/>
  <c r="I66" i="1"/>
  <c r="E147" i="1" l="1"/>
  <c r="F147" i="1" s="1"/>
  <c r="G147" i="1" s="1"/>
  <c r="E147" i="25"/>
  <c r="F147" i="25" s="1"/>
  <c r="G147" i="25" s="1"/>
  <c r="I139" i="25"/>
  <c r="J138" i="25"/>
  <c r="K138" i="25"/>
  <c r="B123" i="13"/>
  <c r="I67" i="1"/>
  <c r="J66" i="1"/>
  <c r="E148" i="1" l="1"/>
  <c r="F148" i="1" s="1"/>
  <c r="G148" i="1" s="1"/>
  <c r="E148" i="25"/>
  <c r="F148" i="25" s="1"/>
  <c r="G148" i="25" s="1"/>
  <c r="I140" i="25"/>
  <c r="J139" i="25"/>
  <c r="K139" i="25"/>
  <c r="B124" i="13"/>
  <c r="I68" i="1"/>
  <c r="J67" i="1"/>
  <c r="E149" i="1" l="1"/>
  <c r="F149" i="1" s="1"/>
  <c r="G149" i="1" s="1"/>
  <c r="E149" i="25"/>
  <c r="F149" i="25" s="1"/>
  <c r="G149" i="25" s="1"/>
  <c r="I141" i="25"/>
  <c r="J140" i="25"/>
  <c r="K140" i="25"/>
  <c r="B125" i="13"/>
  <c r="J68" i="1"/>
  <c r="I69" i="1"/>
  <c r="E150" i="1" l="1"/>
  <c r="F150" i="1" s="1"/>
  <c r="G150" i="1" s="1"/>
  <c r="E150" i="25"/>
  <c r="F150" i="25" s="1"/>
  <c r="G150" i="25" s="1"/>
  <c r="J141" i="25"/>
  <c r="I142" i="25"/>
  <c r="K141" i="25"/>
  <c r="B126" i="13"/>
  <c r="I70" i="1"/>
  <c r="J69" i="1"/>
  <c r="E151" i="1" l="1"/>
  <c r="F151" i="1" s="1"/>
  <c r="G151" i="1" s="1"/>
  <c r="E151" i="25"/>
  <c r="F151" i="25" s="1"/>
  <c r="G151" i="25" s="1"/>
  <c r="K142" i="25"/>
  <c r="J142" i="25"/>
  <c r="I143" i="25"/>
  <c r="B127" i="13"/>
  <c r="I71" i="1"/>
  <c r="J70" i="1"/>
  <c r="E152" i="1" l="1"/>
  <c r="F152" i="1" s="1"/>
  <c r="G152" i="1" s="1"/>
  <c r="E152" i="25"/>
  <c r="F152" i="25" s="1"/>
  <c r="G152" i="25" s="1"/>
  <c r="K143" i="25"/>
  <c r="I144" i="25"/>
  <c r="J143" i="25"/>
  <c r="B128" i="13"/>
  <c r="J71" i="1"/>
  <c r="I72" i="1"/>
  <c r="E153" i="1" l="1"/>
  <c r="F153" i="1" s="1"/>
  <c r="G153" i="1" s="1"/>
  <c r="E153" i="25"/>
  <c r="F153" i="25" s="1"/>
  <c r="G153" i="25" s="1"/>
  <c r="J144" i="25"/>
  <c r="I145" i="25"/>
  <c r="K144" i="25"/>
  <c r="B129" i="13"/>
  <c r="I73" i="1"/>
  <c r="J72" i="1"/>
  <c r="E154" i="1" l="1"/>
  <c r="F154" i="1" s="1"/>
  <c r="G154" i="1" s="1"/>
  <c r="E154" i="25"/>
  <c r="F154" i="25" s="1"/>
  <c r="G154" i="25" s="1"/>
  <c r="K145" i="25"/>
  <c r="J145" i="25"/>
  <c r="I146" i="25"/>
  <c r="B130" i="13"/>
  <c r="I74" i="1"/>
  <c r="J73" i="1"/>
  <c r="E155" i="1" l="1"/>
  <c r="F155" i="1" s="1"/>
  <c r="G155" i="1" s="1"/>
  <c r="E155" i="25"/>
  <c r="F155" i="25" s="1"/>
  <c r="G155" i="25" s="1"/>
  <c r="K146" i="25"/>
  <c r="J146" i="25"/>
  <c r="I147" i="25"/>
  <c r="B131" i="13"/>
  <c r="J74" i="1"/>
  <c r="I75" i="1"/>
  <c r="E156" i="1" l="1"/>
  <c r="E156" i="25"/>
  <c r="F156" i="25" s="1"/>
  <c r="G156" i="25" s="1"/>
  <c r="I148" i="25"/>
  <c r="J147" i="25"/>
  <c r="K147" i="25"/>
  <c r="F156" i="1"/>
  <c r="G156" i="1" s="1"/>
  <c r="B132" i="13"/>
  <c r="I76" i="1"/>
  <c r="J75" i="1"/>
  <c r="E157" i="1" l="1"/>
  <c r="F157" i="1" s="1"/>
  <c r="G157" i="1" s="1"/>
  <c r="E157" i="25"/>
  <c r="F157" i="25" s="1"/>
  <c r="G157" i="25" s="1"/>
  <c r="I149" i="25"/>
  <c r="K148" i="25"/>
  <c r="J148" i="25"/>
  <c r="B133" i="13"/>
  <c r="J76" i="1"/>
  <c r="I77" i="1"/>
  <c r="E159" i="1" l="1"/>
  <c r="F159" i="1" s="1"/>
  <c r="G159" i="1" s="1"/>
  <c r="E159" i="25"/>
  <c r="F159" i="25" s="1"/>
  <c r="G159" i="25" s="1"/>
  <c r="J149" i="25"/>
  <c r="I150" i="25"/>
  <c r="K149" i="25"/>
  <c r="B134" i="13"/>
  <c r="J77" i="1"/>
  <c r="I78" i="1"/>
  <c r="E160" i="1" l="1"/>
  <c r="F160" i="1" s="1"/>
  <c r="G160" i="1" s="1"/>
  <c r="E160" i="25"/>
  <c r="F160" i="25" s="1"/>
  <c r="G160" i="25" s="1"/>
  <c r="I151" i="25"/>
  <c r="K150" i="25"/>
  <c r="J150" i="25"/>
  <c r="B135" i="13"/>
  <c r="I79" i="1"/>
  <c r="J78" i="1"/>
  <c r="E161" i="1" l="1"/>
  <c r="F161" i="1" s="1"/>
  <c r="G161" i="1" s="1"/>
  <c r="E161" i="25"/>
  <c r="F161" i="25" s="1"/>
  <c r="G161" i="25" s="1"/>
  <c r="I152" i="25"/>
  <c r="J151" i="25"/>
  <c r="K151" i="25"/>
  <c r="B136" i="13"/>
  <c r="I80" i="1"/>
  <c r="J79" i="1"/>
  <c r="E162" i="1" l="1"/>
  <c r="F162" i="1" s="1"/>
  <c r="G162" i="1" s="1"/>
  <c r="E162" i="25"/>
  <c r="F162" i="25" s="1"/>
  <c r="G162" i="25" s="1"/>
  <c r="J152" i="25"/>
  <c r="I153" i="25"/>
  <c r="K152" i="25"/>
  <c r="B137" i="13"/>
  <c r="J80" i="1"/>
  <c r="I81" i="1"/>
  <c r="E163" i="1" l="1"/>
  <c r="F163" i="1" s="1"/>
  <c r="G163" i="1" s="1"/>
  <c r="E163" i="25"/>
  <c r="F163" i="25" s="1"/>
  <c r="G163" i="25" s="1"/>
  <c r="K153" i="25"/>
  <c r="J153" i="25"/>
  <c r="I154" i="25"/>
  <c r="B138" i="13"/>
  <c r="J81" i="1"/>
  <c r="I82" i="1"/>
  <c r="E164" i="1" l="1"/>
  <c r="F164" i="1" s="1"/>
  <c r="G164" i="1" s="1"/>
  <c r="E164" i="25"/>
  <c r="F164" i="25" s="1"/>
  <c r="G164" i="25" s="1"/>
  <c r="J154" i="25"/>
  <c r="I155" i="25"/>
  <c r="K154" i="25"/>
  <c r="B139" i="13"/>
  <c r="I83" i="1"/>
  <c r="J82" i="1"/>
  <c r="E165" i="1" l="1"/>
  <c r="F165" i="1" s="1"/>
  <c r="G165" i="1" s="1"/>
  <c r="E165" i="25"/>
  <c r="F165" i="25" s="1"/>
  <c r="G165" i="25" s="1"/>
  <c r="I156" i="25"/>
  <c r="K155" i="25"/>
  <c r="J155" i="25"/>
  <c r="B140" i="13"/>
  <c r="J83" i="1"/>
  <c r="I84" i="1"/>
  <c r="E166" i="1" l="1"/>
  <c r="F166" i="1" s="1"/>
  <c r="G166" i="1" s="1"/>
  <c r="E166" i="25"/>
  <c r="F166" i="25" s="1"/>
  <c r="G166" i="25" s="1"/>
  <c r="K156" i="25"/>
  <c r="J156" i="25"/>
  <c r="M157" i="25" s="1"/>
  <c r="N158" i="25" s="1"/>
  <c r="I157" i="25"/>
  <c r="B141" i="13"/>
  <c r="J84" i="1"/>
  <c r="I85" i="1"/>
  <c r="E167" i="1" l="1"/>
  <c r="F167" i="1" s="1"/>
  <c r="G167" i="1" s="1"/>
  <c r="E167" i="25"/>
  <c r="F167" i="25" s="1"/>
  <c r="G167" i="25" s="1"/>
  <c r="I158" i="25"/>
  <c r="K157" i="25"/>
  <c r="J157" i="25"/>
  <c r="B142" i="13"/>
  <c r="J85" i="1"/>
  <c r="I86" i="1"/>
  <c r="E168" i="1" l="1"/>
  <c r="F168" i="1" s="1"/>
  <c r="G168" i="1" s="1"/>
  <c r="E168" i="25"/>
  <c r="F168" i="25" s="1"/>
  <c r="G168" i="25" s="1"/>
  <c r="K158" i="25"/>
  <c r="J158" i="25"/>
  <c r="I159" i="25"/>
  <c r="B143" i="13"/>
  <c r="J86" i="1"/>
  <c r="I87" i="1"/>
  <c r="E169" i="1" l="1"/>
  <c r="F169" i="1" s="1"/>
  <c r="G169" i="1" s="1"/>
  <c r="E169" i="25"/>
  <c r="F169" i="25" s="1"/>
  <c r="G169" i="25" s="1"/>
  <c r="I160" i="25"/>
  <c r="K159" i="25"/>
  <c r="J159" i="25"/>
  <c r="B144" i="13"/>
  <c r="J87" i="1"/>
  <c r="I88" i="1"/>
  <c r="E170" i="1" l="1"/>
  <c r="F170" i="1" s="1"/>
  <c r="G170" i="1" s="1"/>
  <c r="E170" i="25"/>
  <c r="F170" i="25" s="1"/>
  <c r="G170" i="25" s="1"/>
  <c r="J160" i="25"/>
  <c r="I161" i="25"/>
  <c r="K160" i="25"/>
  <c r="B145" i="13"/>
  <c r="I89" i="1"/>
  <c r="J88" i="1"/>
  <c r="E171" i="1" l="1"/>
  <c r="F171" i="1" s="1"/>
  <c r="G171" i="1" s="1"/>
  <c r="E171" i="25"/>
  <c r="F171" i="25" s="1"/>
  <c r="G171" i="25" s="1"/>
  <c r="I162" i="25"/>
  <c r="J161" i="25"/>
  <c r="K161" i="25"/>
  <c r="B146" i="13"/>
  <c r="J89" i="1"/>
  <c r="I90" i="1"/>
  <c r="E172" i="1" l="1"/>
  <c r="F172" i="1" s="1"/>
  <c r="G172" i="1" s="1"/>
  <c r="E172" i="25"/>
  <c r="F172" i="25" s="1"/>
  <c r="G172" i="25" s="1"/>
  <c r="J162" i="25"/>
  <c r="K162" i="25"/>
  <c r="I163" i="25"/>
  <c r="B147" i="13"/>
  <c r="J90" i="1"/>
  <c r="I91" i="1"/>
  <c r="I92" i="1" s="1"/>
  <c r="E173" i="1" l="1"/>
  <c r="F173" i="1" s="1"/>
  <c r="G173" i="1" s="1"/>
  <c r="E173" i="25"/>
  <c r="F173" i="25" s="1"/>
  <c r="G173" i="25" s="1"/>
  <c r="K163" i="25"/>
  <c r="J163" i="25"/>
  <c r="I164" i="25"/>
  <c r="I93" i="1"/>
  <c r="J92" i="1"/>
  <c r="B148" i="13"/>
  <c r="J91" i="1"/>
  <c r="E174" i="1" l="1"/>
  <c r="F174" i="1" s="1"/>
  <c r="G174" i="1" s="1"/>
  <c r="E174" i="25"/>
  <c r="F174" i="25" s="1"/>
  <c r="G174" i="25" s="1"/>
  <c r="J164" i="25"/>
  <c r="K164" i="25"/>
  <c r="I165" i="25"/>
  <c r="I94" i="1"/>
  <c r="J94" i="1" s="1"/>
  <c r="N94" i="1" s="1"/>
  <c r="O95" i="1" s="1"/>
  <c r="J93" i="1"/>
  <c r="B149" i="13"/>
  <c r="E175" i="1" l="1"/>
  <c r="F175" i="1" s="1"/>
  <c r="G175" i="1" s="1"/>
  <c r="E175" i="25"/>
  <c r="F175" i="25" s="1"/>
  <c r="G175" i="25" s="1"/>
  <c r="I166" i="25"/>
  <c r="K165" i="25"/>
  <c r="J165" i="25"/>
  <c r="I95" i="1"/>
  <c r="B150" i="13"/>
  <c r="I96" i="1"/>
  <c r="E176" i="1" l="1"/>
  <c r="F176" i="1" s="1"/>
  <c r="G176" i="1" s="1"/>
  <c r="E176" i="25"/>
  <c r="F176" i="25" s="1"/>
  <c r="G176" i="25" s="1"/>
  <c r="J166" i="25"/>
  <c r="I167" i="25"/>
  <c r="K166" i="25"/>
  <c r="J95" i="1"/>
  <c r="B151" i="13"/>
  <c r="I97" i="1"/>
  <c r="J96" i="1"/>
  <c r="E177" i="1" l="1"/>
  <c r="F177" i="1" s="1"/>
  <c r="G177" i="1" s="1"/>
  <c r="E177" i="25"/>
  <c r="F177" i="25" s="1"/>
  <c r="G177" i="25" s="1"/>
  <c r="I168" i="25"/>
  <c r="J167" i="25"/>
  <c r="K167" i="25"/>
  <c r="B152" i="13"/>
  <c r="I98" i="1"/>
  <c r="J97" i="1"/>
  <c r="E178" i="1" l="1"/>
  <c r="F178" i="1" s="1"/>
  <c r="G178" i="1" s="1"/>
  <c r="E178" i="25"/>
  <c r="F178" i="25" s="1"/>
  <c r="G178" i="25" s="1"/>
  <c r="J168" i="25"/>
  <c r="K168" i="25"/>
  <c r="I169" i="25"/>
  <c r="B153" i="13"/>
  <c r="I99" i="1"/>
  <c r="J98" i="1"/>
  <c r="E179" i="1" l="1"/>
  <c r="F179" i="1" s="1"/>
  <c r="G179" i="1" s="1"/>
  <c r="E179" i="25"/>
  <c r="F179" i="25" s="1"/>
  <c r="G179" i="25" s="1"/>
  <c r="J169" i="25"/>
  <c r="I170" i="25"/>
  <c r="K169" i="25"/>
  <c r="B154" i="13"/>
  <c r="I100" i="1"/>
  <c r="J99" i="1"/>
  <c r="E180" i="1" l="1"/>
  <c r="F180" i="1" s="1"/>
  <c r="G180" i="1" s="1"/>
  <c r="E180" i="25"/>
  <c r="F180" i="25" s="1"/>
  <c r="G180" i="25" s="1"/>
  <c r="J170" i="25"/>
  <c r="I171" i="25"/>
  <c r="K170" i="25"/>
  <c r="B155" i="13"/>
  <c r="I101" i="1"/>
  <c r="J100" i="1"/>
  <c r="E181" i="1" l="1"/>
  <c r="F181" i="1" s="1"/>
  <c r="G181" i="1" s="1"/>
  <c r="E181" i="25"/>
  <c r="F181" i="25" s="1"/>
  <c r="G181" i="25" s="1"/>
  <c r="J171" i="25"/>
  <c r="K171" i="25"/>
  <c r="I172" i="25"/>
  <c r="B156" i="13"/>
  <c r="J101" i="1"/>
  <c r="I102" i="1"/>
  <c r="E182" i="1" l="1"/>
  <c r="F182" i="1" s="1"/>
  <c r="G182" i="1" s="1"/>
  <c r="E182" i="25"/>
  <c r="F182" i="25" s="1"/>
  <c r="G182" i="25" s="1"/>
  <c r="J172" i="25"/>
  <c r="I173" i="25"/>
  <c r="K172" i="25"/>
  <c r="B157" i="13"/>
  <c r="J102" i="1"/>
  <c r="I103" i="1"/>
  <c r="E183" i="1" l="1"/>
  <c r="F183" i="1" s="1"/>
  <c r="G183" i="1" s="1"/>
  <c r="E183" i="25"/>
  <c r="F183" i="25" s="1"/>
  <c r="G183" i="25" s="1"/>
  <c r="J173" i="25"/>
  <c r="K173" i="25"/>
  <c r="I174" i="25"/>
  <c r="B158" i="13"/>
  <c r="I104" i="1"/>
  <c r="J103" i="1"/>
  <c r="E184" i="1" l="1"/>
  <c r="F184" i="1" s="1"/>
  <c r="G184" i="1" s="1"/>
  <c r="E184" i="25"/>
  <c r="F184" i="25" s="1"/>
  <c r="G184" i="25" s="1"/>
  <c r="J174" i="25"/>
  <c r="K174" i="25"/>
  <c r="I175" i="25"/>
  <c r="B159" i="13"/>
  <c r="I105" i="1"/>
  <c r="J104" i="1"/>
  <c r="E185" i="1" l="1"/>
  <c r="F185" i="1" s="1"/>
  <c r="G185" i="1" s="1"/>
  <c r="E185" i="25"/>
  <c r="F185" i="25" s="1"/>
  <c r="G185" i="25" s="1"/>
  <c r="K175" i="25"/>
  <c r="J175" i="25"/>
  <c r="I176" i="25"/>
  <c r="B160" i="13"/>
  <c r="I106" i="1"/>
  <c r="J105" i="1"/>
  <c r="E186" i="1" l="1"/>
  <c r="F186" i="1" s="1"/>
  <c r="G186" i="1" s="1"/>
  <c r="E186" i="25"/>
  <c r="F186" i="25" s="1"/>
  <c r="G186" i="25" s="1"/>
  <c r="J176" i="25"/>
  <c r="I177" i="25"/>
  <c r="K176" i="25"/>
  <c r="B161" i="13"/>
  <c r="J106" i="1"/>
  <c r="I107" i="1"/>
  <c r="E188" i="1" l="1"/>
  <c r="F188" i="1" s="1"/>
  <c r="G188" i="1" s="1"/>
  <c r="E188" i="25"/>
  <c r="F188" i="25" s="1"/>
  <c r="G188" i="25" s="1"/>
  <c r="K177" i="25"/>
  <c r="I178" i="25"/>
  <c r="J177" i="25"/>
  <c r="B162" i="13"/>
  <c r="I108" i="1"/>
  <c r="J107" i="1"/>
  <c r="E189" i="1" l="1"/>
  <c r="F189" i="1" s="1"/>
  <c r="G189" i="1" s="1"/>
  <c r="E189" i="25"/>
  <c r="F189" i="25" s="1"/>
  <c r="G189" i="25" s="1"/>
  <c r="J178" i="25"/>
  <c r="K178" i="25"/>
  <c r="I179" i="25"/>
  <c r="B163" i="13"/>
  <c r="I109" i="1"/>
  <c r="J108" i="1"/>
  <c r="E190" i="1" l="1"/>
  <c r="F190" i="1" s="1"/>
  <c r="G190" i="1" s="1"/>
  <c r="E190" i="25"/>
  <c r="F190" i="25" s="1"/>
  <c r="G190" i="25" s="1"/>
  <c r="I180" i="25"/>
  <c r="J179" i="25"/>
  <c r="K179" i="25"/>
  <c r="B164" i="13"/>
  <c r="I110" i="1"/>
  <c r="J109" i="1"/>
  <c r="E191" i="1" l="1"/>
  <c r="F191" i="1" s="1"/>
  <c r="G191" i="1" s="1"/>
  <c r="E191" i="25"/>
  <c r="F191" i="25" s="1"/>
  <c r="G191" i="25" s="1"/>
  <c r="J180" i="25"/>
  <c r="I181" i="25"/>
  <c r="K180" i="25"/>
  <c r="B165" i="13"/>
  <c r="I111" i="1"/>
  <c r="J110" i="1"/>
  <c r="E192" i="1" l="1"/>
  <c r="F192" i="1" s="1"/>
  <c r="G192" i="1" s="1"/>
  <c r="E192" i="25"/>
  <c r="F192" i="25" s="1"/>
  <c r="G192" i="25" s="1"/>
  <c r="K181" i="25"/>
  <c r="I182" i="25"/>
  <c r="J181" i="25"/>
  <c r="B166" i="13"/>
  <c r="I112" i="1"/>
  <c r="J111" i="1"/>
  <c r="E193" i="1" l="1"/>
  <c r="F193" i="1" s="1"/>
  <c r="G193" i="1" s="1"/>
  <c r="E193" i="25"/>
  <c r="F193" i="25" s="1"/>
  <c r="G193" i="25" s="1"/>
  <c r="J182" i="25"/>
  <c r="I183" i="25"/>
  <c r="K182" i="25"/>
  <c r="B167" i="13"/>
  <c r="I113" i="1"/>
  <c r="J112" i="1"/>
  <c r="E194" i="1" l="1"/>
  <c r="F194" i="1" s="1"/>
  <c r="G194" i="1" s="1"/>
  <c r="E194" i="25"/>
  <c r="F194" i="25" s="1"/>
  <c r="G194" i="25" s="1"/>
  <c r="I184" i="25"/>
  <c r="K183" i="25"/>
  <c r="J183" i="25"/>
  <c r="B168" i="13"/>
  <c r="I114" i="1"/>
  <c r="J113" i="1"/>
  <c r="E195" i="1" l="1"/>
  <c r="F195" i="1" s="1"/>
  <c r="G195" i="1" s="1"/>
  <c r="E195" i="25"/>
  <c r="F195" i="25" s="1"/>
  <c r="G195" i="25" s="1"/>
  <c r="J184" i="25"/>
  <c r="I185" i="25"/>
  <c r="K184" i="25"/>
  <c r="B169" i="13"/>
  <c r="I115" i="1"/>
  <c r="J114" i="1"/>
  <c r="E196" i="1" l="1"/>
  <c r="F196" i="1" s="1"/>
  <c r="G196" i="1" s="1"/>
  <c r="E196" i="25"/>
  <c r="F196" i="25" s="1"/>
  <c r="G196" i="25" s="1"/>
  <c r="I186" i="25"/>
  <c r="K185" i="25"/>
  <c r="J185" i="25"/>
  <c r="B170" i="13"/>
  <c r="I116" i="1"/>
  <c r="J115" i="1"/>
  <c r="E197" i="1" l="1"/>
  <c r="F197" i="1" s="1"/>
  <c r="G197" i="1" s="1"/>
  <c r="E197" i="25"/>
  <c r="F197" i="25" s="1"/>
  <c r="G197" i="25" s="1"/>
  <c r="J186" i="25"/>
  <c r="K186" i="25"/>
  <c r="I187" i="25"/>
  <c r="B171" i="13"/>
  <c r="I117" i="1"/>
  <c r="J116" i="1"/>
  <c r="E198" i="1" l="1"/>
  <c r="F198" i="1" s="1"/>
  <c r="G198" i="1" s="1"/>
  <c r="E198" i="25"/>
  <c r="F198" i="25" s="1"/>
  <c r="G198" i="25" s="1"/>
  <c r="I188" i="25"/>
  <c r="J187" i="25"/>
  <c r="M189" i="25" s="1"/>
  <c r="N190" i="25" s="1"/>
  <c r="K187" i="25"/>
  <c r="B172" i="13"/>
  <c r="I118" i="1"/>
  <c r="J117" i="1"/>
  <c r="E199" i="1" l="1"/>
  <c r="F199" i="1" s="1"/>
  <c r="G199" i="1" s="1"/>
  <c r="E199" i="25"/>
  <c r="F199" i="25" s="1"/>
  <c r="G199" i="25" s="1"/>
  <c r="J188" i="25"/>
  <c r="K188" i="25"/>
  <c r="I189" i="25"/>
  <c r="B173" i="13"/>
  <c r="I119" i="1"/>
  <c r="J118" i="1"/>
  <c r="E200" i="1" l="1"/>
  <c r="F200" i="1" s="1"/>
  <c r="G200" i="1" s="1"/>
  <c r="E200" i="25"/>
  <c r="F200" i="25" s="1"/>
  <c r="G200" i="25" s="1"/>
  <c r="I190" i="25"/>
  <c r="K189" i="25"/>
  <c r="J189" i="25"/>
  <c r="B174" i="13"/>
  <c r="J119" i="1"/>
  <c r="I120" i="1"/>
  <c r="E201" i="1" l="1"/>
  <c r="F201" i="1" s="1"/>
  <c r="G201" i="1" s="1"/>
  <c r="E201" i="25"/>
  <c r="F201" i="25" s="1"/>
  <c r="G201" i="25" s="1"/>
  <c r="K190" i="25"/>
  <c r="J190" i="25"/>
  <c r="I191" i="25"/>
  <c r="B175" i="13"/>
  <c r="J120" i="1"/>
  <c r="I121" i="1"/>
  <c r="E202" i="1" l="1"/>
  <c r="F202" i="1" s="1"/>
  <c r="G202" i="1" s="1"/>
  <c r="E202" i="25"/>
  <c r="F202" i="25" s="1"/>
  <c r="G202" i="25" s="1"/>
  <c r="I192" i="25"/>
  <c r="J191" i="25"/>
  <c r="K191" i="25"/>
  <c r="B176" i="13"/>
  <c r="I122" i="1"/>
  <c r="J121" i="1"/>
  <c r="E203" i="1" l="1"/>
  <c r="F203" i="1" s="1"/>
  <c r="G203" i="1" s="1"/>
  <c r="E203" i="25"/>
  <c r="F203" i="25" s="1"/>
  <c r="G203" i="25" s="1"/>
  <c r="J192" i="25"/>
  <c r="K192" i="25"/>
  <c r="I193" i="25"/>
  <c r="B177" i="13"/>
  <c r="I123" i="1"/>
  <c r="J122" i="1"/>
  <c r="E204" i="1" l="1"/>
  <c r="F204" i="1" s="1"/>
  <c r="G204" i="1" s="1"/>
  <c r="E204" i="25"/>
  <c r="F204" i="25" s="1"/>
  <c r="G204" i="25" s="1"/>
  <c r="I194" i="25"/>
  <c r="K193" i="25"/>
  <c r="J193" i="25"/>
  <c r="B178" i="13"/>
  <c r="J123" i="1"/>
  <c r="I124" i="1"/>
  <c r="E205" i="1" l="1"/>
  <c r="F205" i="1" s="1"/>
  <c r="G205" i="1" s="1"/>
  <c r="E205" i="25"/>
  <c r="F205" i="25" s="1"/>
  <c r="G205" i="25" s="1"/>
  <c r="J194" i="25"/>
  <c r="K194" i="25"/>
  <c r="I195" i="25"/>
  <c r="B179" i="13"/>
  <c r="I125" i="1"/>
  <c r="J124" i="1"/>
  <c r="E206" i="1" l="1"/>
  <c r="F206" i="1" s="1"/>
  <c r="G206" i="1" s="1"/>
  <c r="E206" i="25"/>
  <c r="F206" i="25" s="1"/>
  <c r="G206" i="25" s="1"/>
  <c r="J195" i="25"/>
  <c r="K195" i="25"/>
  <c r="I196" i="25"/>
  <c r="B180" i="13"/>
  <c r="I126" i="1"/>
  <c r="J125" i="1"/>
  <c r="E207" i="1" l="1"/>
  <c r="F207" i="1" s="1"/>
  <c r="G207" i="1" s="1"/>
  <c r="E207" i="25"/>
  <c r="F207" i="25" s="1"/>
  <c r="G207" i="25" s="1"/>
  <c r="J196" i="25"/>
  <c r="I197" i="25"/>
  <c r="K196" i="25"/>
  <c r="B181" i="13"/>
  <c r="I127" i="1"/>
  <c r="J126" i="1"/>
  <c r="E208" i="1" l="1"/>
  <c r="F208" i="1" s="1"/>
  <c r="G208" i="1" s="1"/>
  <c r="E208" i="25"/>
  <c r="F208" i="25" s="1"/>
  <c r="G208" i="25" s="1"/>
  <c r="K197" i="25"/>
  <c r="J197" i="25"/>
  <c r="I198" i="25"/>
  <c r="B182" i="13"/>
  <c r="I128" i="1"/>
  <c r="J127" i="1"/>
  <c r="E209" i="1" l="1"/>
  <c r="F209" i="1" s="1"/>
  <c r="G209" i="1" s="1"/>
  <c r="E209" i="25"/>
  <c r="F209" i="25" s="1"/>
  <c r="G209" i="25" s="1"/>
  <c r="J198" i="25"/>
  <c r="I199" i="25"/>
  <c r="K198" i="25"/>
  <c r="B183" i="13"/>
  <c r="J128" i="1"/>
  <c r="I129" i="1"/>
  <c r="E210" i="1" l="1"/>
  <c r="F210" i="1" s="1"/>
  <c r="G210" i="1" s="1"/>
  <c r="E210" i="25"/>
  <c r="F210" i="25" s="1"/>
  <c r="G210" i="25" s="1"/>
  <c r="K199" i="25"/>
  <c r="I200" i="25"/>
  <c r="J199" i="25"/>
  <c r="B184" i="13"/>
  <c r="J129" i="1"/>
  <c r="I130" i="1"/>
  <c r="E211" i="1" l="1"/>
  <c r="F211" i="1" s="1"/>
  <c r="G211" i="1" s="1"/>
  <c r="E211" i="25"/>
  <c r="F211" i="25" s="1"/>
  <c r="G211" i="25" s="1"/>
  <c r="J200" i="25"/>
  <c r="K200" i="25"/>
  <c r="I201" i="25"/>
  <c r="B185" i="13"/>
  <c r="I131" i="1"/>
  <c r="J130" i="1"/>
  <c r="E212" i="1" l="1"/>
  <c r="F212" i="1" s="1"/>
  <c r="G212" i="1" s="1"/>
  <c r="E212" i="25"/>
  <c r="F212" i="25" s="1"/>
  <c r="G212" i="25" s="1"/>
  <c r="I202" i="25"/>
  <c r="K201" i="25"/>
  <c r="J201" i="25"/>
  <c r="B186" i="13"/>
  <c r="J131" i="1"/>
  <c r="I132" i="1"/>
  <c r="E213" i="1" l="1"/>
  <c r="F213" i="1" s="1"/>
  <c r="G213" i="1" s="1"/>
  <c r="E213" i="25"/>
  <c r="F213" i="25" s="1"/>
  <c r="G213" i="25" s="1"/>
  <c r="J202" i="25"/>
  <c r="I203" i="25"/>
  <c r="K202" i="25"/>
  <c r="B187" i="13"/>
  <c r="I133" i="1"/>
  <c r="J132" i="1"/>
  <c r="E214" i="1" l="1"/>
  <c r="F214" i="1" s="1"/>
  <c r="G214" i="1" s="1"/>
  <c r="E214" i="25"/>
  <c r="F214" i="25" s="1"/>
  <c r="G214" i="25" s="1"/>
  <c r="I204" i="25"/>
  <c r="K203" i="25"/>
  <c r="J203" i="25"/>
  <c r="B188" i="13"/>
  <c r="J133" i="1"/>
  <c r="I134" i="1"/>
  <c r="E215" i="1" l="1"/>
  <c r="F215" i="1" s="1"/>
  <c r="G215" i="1" s="1"/>
  <c r="E215" i="25"/>
  <c r="F215" i="25" s="1"/>
  <c r="G215" i="25" s="1"/>
  <c r="J204" i="25"/>
  <c r="K204" i="25"/>
  <c r="I205" i="25"/>
  <c r="B189" i="13"/>
  <c r="I135" i="1"/>
  <c r="J134" i="1"/>
  <c r="E216" i="1" l="1"/>
  <c r="F216" i="1" s="1"/>
  <c r="G216" i="1" s="1"/>
  <c r="E216" i="25"/>
  <c r="F216" i="25" s="1"/>
  <c r="G216" i="25" s="1"/>
  <c r="J205" i="25"/>
  <c r="I206" i="25"/>
  <c r="K205" i="25"/>
  <c r="B190" i="13"/>
  <c r="J135" i="1"/>
  <c r="I136" i="1"/>
  <c r="E217" i="1" l="1"/>
  <c r="F217" i="1" s="1"/>
  <c r="G217" i="1" s="1"/>
  <c r="E217" i="25"/>
  <c r="F217" i="25" s="1"/>
  <c r="G217" i="25" s="1"/>
  <c r="J206" i="25"/>
  <c r="K206" i="25"/>
  <c r="I207" i="25"/>
  <c r="B191" i="13"/>
  <c r="I137" i="1"/>
  <c r="J136" i="1"/>
  <c r="E218" i="1" l="1"/>
  <c r="F218" i="1" s="1"/>
  <c r="G218" i="1" s="1"/>
  <c r="E218" i="25"/>
  <c r="F218" i="25" s="1"/>
  <c r="G218" i="25" s="1"/>
  <c r="K207" i="25"/>
  <c r="I208" i="25"/>
  <c r="J207" i="25"/>
  <c r="B192" i="13"/>
  <c r="I138" i="1"/>
  <c r="J137" i="1"/>
  <c r="E219" i="1" l="1"/>
  <c r="F219" i="1" s="1"/>
  <c r="G219" i="1" s="1"/>
  <c r="E219" i="25"/>
  <c r="F219" i="25" s="1"/>
  <c r="G219" i="25" s="1"/>
  <c r="J208" i="25"/>
  <c r="I209" i="25"/>
  <c r="K208" i="25"/>
  <c r="B193" i="13"/>
  <c r="J138" i="1"/>
  <c r="I139" i="1"/>
  <c r="E220" i="1" l="1"/>
  <c r="F220" i="1" s="1"/>
  <c r="G220" i="1" s="1"/>
  <c r="E220" i="25"/>
  <c r="F220" i="25" s="1"/>
  <c r="G220" i="25" s="1"/>
  <c r="J209" i="25"/>
  <c r="K209" i="25"/>
  <c r="I210" i="25"/>
  <c r="B194" i="13"/>
  <c r="J139" i="1"/>
  <c r="I140" i="1"/>
  <c r="E221" i="1" l="1"/>
  <c r="F221" i="1" s="1"/>
  <c r="G221" i="1" s="1"/>
  <c r="E221" i="25"/>
  <c r="F221" i="25" s="1"/>
  <c r="G221" i="25" s="1"/>
  <c r="J210" i="25"/>
  <c r="I211" i="25"/>
  <c r="K210" i="25"/>
  <c r="B195" i="13"/>
  <c r="I141" i="1"/>
  <c r="J140" i="1"/>
  <c r="E222" i="1" l="1"/>
  <c r="F222" i="1" s="1"/>
  <c r="G222" i="1" s="1"/>
  <c r="E222" i="25"/>
  <c r="F222" i="25" s="1"/>
  <c r="G222" i="25" s="1"/>
  <c r="K211" i="25"/>
  <c r="J211" i="25"/>
  <c r="I212" i="25"/>
  <c r="B196" i="13"/>
  <c r="J141" i="1"/>
  <c r="I142" i="1"/>
  <c r="E223" i="1" l="1"/>
  <c r="F223" i="1" s="1"/>
  <c r="G223" i="1" s="1"/>
  <c r="E223" i="25"/>
  <c r="F223" i="25" s="1"/>
  <c r="G223" i="25" s="1"/>
  <c r="J212" i="25"/>
  <c r="I213" i="25"/>
  <c r="K212" i="25"/>
  <c r="B197" i="13"/>
  <c r="J142" i="1"/>
  <c r="I143" i="1"/>
  <c r="E224" i="1" l="1"/>
  <c r="F224" i="1" s="1"/>
  <c r="G224" i="1" s="1"/>
  <c r="E224" i="25"/>
  <c r="F224" i="25" s="1"/>
  <c r="G224" i="25" s="1"/>
  <c r="K213" i="25"/>
  <c r="I214" i="25"/>
  <c r="J213" i="25"/>
  <c r="B198" i="13"/>
  <c r="J143" i="1"/>
  <c r="I144" i="1"/>
  <c r="E225" i="1" l="1"/>
  <c r="F225" i="1" s="1"/>
  <c r="G225" i="1" s="1"/>
  <c r="E225" i="25"/>
  <c r="F225" i="25" s="1"/>
  <c r="G225" i="25" s="1"/>
  <c r="J214" i="25"/>
  <c r="I215" i="25"/>
  <c r="K214" i="25"/>
  <c r="B199" i="13"/>
  <c r="I145" i="1"/>
  <c r="J144" i="1"/>
  <c r="E226" i="1" l="1"/>
  <c r="F226" i="1" s="1"/>
  <c r="G226" i="1" s="1"/>
  <c r="E226" i="25"/>
  <c r="F226" i="25" s="1"/>
  <c r="G226" i="25" s="1"/>
  <c r="I216" i="25"/>
  <c r="K215" i="25"/>
  <c r="J215" i="25"/>
  <c r="B200" i="13"/>
  <c r="I146" i="1"/>
  <c r="J145" i="1"/>
  <c r="E227" i="1" l="1"/>
  <c r="F227" i="1" s="1"/>
  <c r="G227" i="1" s="1"/>
  <c r="E227" i="25"/>
  <c r="F227" i="25" s="1"/>
  <c r="G227" i="25" s="1"/>
  <c r="J216" i="25"/>
  <c r="K216" i="25"/>
  <c r="I217" i="25"/>
  <c r="B201" i="13"/>
  <c r="I147" i="1"/>
  <c r="J146" i="1"/>
  <c r="E228" i="1" l="1"/>
  <c r="F228" i="1" s="1"/>
  <c r="G228" i="1" s="1"/>
  <c r="E228" i="25"/>
  <c r="F228" i="25" s="1"/>
  <c r="G228" i="25" s="1"/>
  <c r="I218" i="25"/>
  <c r="K217" i="25"/>
  <c r="J217" i="25"/>
  <c r="B202" i="13"/>
  <c r="I148" i="1"/>
  <c r="J147" i="1"/>
  <c r="E229" i="1" l="1"/>
  <c r="F229" i="1" s="1"/>
  <c r="G229" i="1" s="1"/>
  <c r="E229" i="25"/>
  <c r="F229" i="25" s="1"/>
  <c r="G229" i="25" s="1"/>
  <c r="J218" i="25"/>
  <c r="K218" i="25"/>
  <c r="I219" i="25"/>
  <c r="B203" i="13"/>
  <c r="J148" i="1"/>
  <c r="I149" i="1"/>
  <c r="E230" i="1" l="1"/>
  <c r="F230" i="1" s="1"/>
  <c r="G230" i="1" s="1"/>
  <c r="E230" i="25"/>
  <c r="F230" i="25" s="1"/>
  <c r="G230" i="25" s="1"/>
  <c r="I220" i="25"/>
  <c r="K219" i="25"/>
  <c r="J219" i="25"/>
  <c r="B204" i="13"/>
  <c r="I150" i="1"/>
  <c r="J149" i="1"/>
  <c r="E231" i="1" l="1"/>
  <c r="F231" i="1" s="1"/>
  <c r="G231" i="1" s="1"/>
  <c r="E231" i="25"/>
  <c r="F231" i="25" s="1"/>
  <c r="G231" i="25" s="1"/>
  <c r="J220" i="25"/>
  <c r="I221" i="25"/>
  <c r="K220" i="25"/>
  <c r="B205" i="13"/>
  <c r="J150" i="1"/>
  <c r="I151" i="1"/>
  <c r="E232" i="1" l="1"/>
  <c r="F232" i="1" s="1"/>
  <c r="G232" i="1" s="1"/>
  <c r="E232" i="25"/>
  <c r="F232" i="25" s="1"/>
  <c r="G232" i="25" s="1"/>
  <c r="J221" i="25"/>
  <c r="I222" i="25"/>
  <c r="K221" i="25"/>
  <c r="B206" i="13"/>
  <c r="I152" i="1"/>
  <c r="J151" i="1"/>
  <c r="E233" i="1" l="1"/>
  <c r="F233" i="1" s="1"/>
  <c r="G233" i="1" s="1"/>
  <c r="E233" i="25"/>
  <c r="F233" i="25" s="1"/>
  <c r="G233" i="25" s="1"/>
  <c r="J222" i="25"/>
  <c r="I223" i="25"/>
  <c r="K222" i="25"/>
  <c r="B207" i="13"/>
  <c r="J152" i="1"/>
  <c r="I153" i="1"/>
  <c r="E234" i="1" l="1"/>
  <c r="F234" i="1" s="1"/>
  <c r="G234" i="1" s="1"/>
  <c r="E234" i="25"/>
  <c r="F234" i="25" s="1"/>
  <c r="G234" i="25" s="1"/>
  <c r="J223" i="25"/>
  <c r="I224" i="25"/>
  <c r="K223" i="25"/>
  <c r="B208" i="13"/>
  <c r="I154" i="1"/>
  <c r="J153" i="1"/>
  <c r="E235" i="1" l="1"/>
  <c r="F235" i="1" s="1"/>
  <c r="G235" i="1" s="1"/>
  <c r="E235" i="25"/>
  <c r="F235" i="25" s="1"/>
  <c r="G235" i="25" s="1"/>
  <c r="J224" i="25"/>
  <c r="I225" i="25"/>
  <c r="K224" i="25"/>
  <c r="B209" i="13"/>
  <c r="I155" i="1"/>
  <c r="I156" i="1" s="1"/>
  <c r="J154" i="1"/>
  <c r="E236" i="1" l="1"/>
  <c r="F236" i="1" s="1"/>
  <c r="G236" i="1" s="1"/>
  <c r="E236" i="25"/>
  <c r="F236" i="25" s="1"/>
  <c r="G236" i="25" s="1"/>
  <c r="I226" i="25"/>
  <c r="K225" i="25"/>
  <c r="J225" i="25"/>
  <c r="I157" i="1"/>
  <c r="J156" i="1"/>
  <c r="N157" i="1" s="1"/>
  <c r="O158" i="1" s="1"/>
  <c r="B210" i="13"/>
  <c r="J155" i="1"/>
  <c r="E237" i="1" l="1"/>
  <c r="F237" i="1" s="1"/>
  <c r="G237" i="1" s="1"/>
  <c r="E237" i="25"/>
  <c r="F237" i="25" s="1"/>
  <c r="G237" i="25" s="1"/>
  <c r="J226" i="25"/>
  <c r="I227" i="25"/>
  <c r="K226" i="25"/>
  <c r="I158" i="1"/>
  <c r="J157" i="1"/>
  <c r="B211" i="13"/>
  <c r="E238" i="1" l="1"/>
  <c r="F238" i="1" s="1"/>
  <c r="G238" i="1" s="1"/>
  <c r="E238" i="25"/>
  <c r="F238" i="25" s="1"/>
  <c r="G238" i="25" s="1"/>
  <c r="I228" i="25"/>
  <c r="K227" i="25"/>
  <c r="J227" i="25"/>
  <c r="I159" i="1"/>
  <c r="J158" i="1"/>
  <c r="B212" i="13"/>
  <c r="E239" i="1" l="1"/>
  <c r="F239" i="1" s="1"/>
  <c r="G239" i="1" s="1"/>
  <c r="E239" i="25"/>
  <c r="F239" i="25" s="1"/>
  <c r="G239" i="25" s="1"/>
  <c r="J228" i="25"/>
  <c r="K228" i="25"/>
  <c r="I229" i="25"/>
  <c r="I160" i="1"/>
  <c r="J160" i="1" s="1"/>
  <c r="J159" i="1"/>
  <c r="B213" i="13"/>
  <c r="E240" i="1" l="1"/>
  <c r="F240" i="1" s="1"/>
  <c r="G240" i="1" s="1"/>
  <c r="E240" i="25"/>
  <c r="F240" i="25" s="1"/>
  <c r="G240" i="25" s="1"/>
  <c r="J229" i="25"/>
  <c r="I230" i="25"/>
  <c r="K229" i="25"/>
  <c r="B214" i="13"/>
  <c r="E241" i="1" l="1"/>
  <c r="F241" i="1" s="1"/>
  <c r="G241" i="1" s="1"/>
  <c r="E241" i="25"/>
  <c r="F241" i="25" s="1"/>
  <c r="G241" i="25" s="1"/>
  <c r="J230" i="25"/>
  <c r="I231" i="25"/>
  <c r="K230" i="25"/>
  <c r="B215" i="13"/>
  <c r="I161" i="1"/>
  <c r="E242" i="1" l="1"/>
  <c r="F242" i="1" s="1"/>
  <c r="G242" i="1" s="1"/>
  <c r="E242" i="25"/>
  <c r="F242" i="25" s="1"/>
  <c r="G242" i="25" s="1"/>
  <c r="K231" i="25"/>
  <c r="I232" i="25"/>
  <c r="J231" i="25"/>
  <c r="B216" i="13"/>
  <c r="J161" i="1"/>
  <c r="I162" i="1"/>
  <c r="E243" i="1" l="1"/>
  <c r="F243" i="1" s="1"/>
  <c r="G243" i="1" s="1"/>
  <c r="E243" i="25"/>
  <c r="F243" i="25" s="1"/>
  <c r="G243" i="25" s="1"/>
  <c r="J232" i="25"/>
  <c r="I233" i="25"/>
  <c r="K232" i="25"/>
  <c r="B217" i="13"/>
  <c r="J162" i="1"/>
  <c r="I163" i="1"/>
  <c r="E244" i="1" l="1"/>
  <c r="F244" i="1" s="1"/>
  <c r="G244" i="1" s="1"/>
  <c r="E244" i="25"/>
  <c r="F244" i="25" s="1"/>
  <c r="G244" i="25" s="1"/>
  <c r="K233" i="25"/>
  <c r="J233" i="25"/>
  <c r="I234" i="25"/>
  <c r="B218" i="13"/>
  <c r="J163" i="1"/>
  <c r="I164" i="1"/>
  <c r="E245" i="1" l="1"/>
  <c r="F245" i="1" s="1"/>
  <c r="G245" i="1" s="1"/>
  <c r="E245" i="25"/>
  <c r="F245" i="25" s="1"/>
  <c r="G245" i="25" s="1"/>
  <c r="J234" i="25"/>
  <c r="I235" i="25"/>
  <c r="K234" i="25"/>
  <c r="B219" i="13"/>
  <c r="I165" i="1"/>
  <c r="J164" i="1"/>
  <c r="E246" i="1" l="1"/>
  <c r="F246" i="1" s="1"/>
  <c r="G246" i="1" s="1"/>
  <c r="E246" i="25"/>
  <c r="F246" i="25" s="1"/>
  <c r="G246" i="25" s="1"/>
  <c r="K235" i="25"/>
  <c r="J235" i="25"/>
  <c r="I236" i="25"/>
  <c r="B220" i="13"/>
  <c r="I166" i="1"/>
  <c r="J165" i="1"/>
  <c r="E247" i="1" l="1"/>
  <c r="F247" i="1" s="1"/>
  <c r="G247" i="1" s="1"/>
  <c r="E247" i="25"/>
  <c r="F247" i="25" s="1"/>
  <c r="G247" i="25" s="1"/>
  <c r="J236" i="25"/>
  <c r="I237" i="25"/>
  <c r="K236" i="25"/>
  <c r="B221" i="13"/>
  <c r="I167" i="1"/>
  <c r="J166" i="1"/>
  <c r="E248" i="1" l="1"/>
  <c r="F248" i="1" s="1"/>
  <c r="G248" i="1" s="1"/>
  <c r="E248" i="25"/>
  <c r="F248" i="25" s="1"/>
  <c r="G248" i="25" s="1"/>
  <c r="I238" i="25"/>
  <c r="K237" i="25"/>
  <c r="J237" i="25"/>
  <c r="B222" i="13"/>
  <c r="J167" i="1"/>
  <c r="I168" i="1"/>
  <c r="E249" i="1" l="1"/>
  <c r="F249" i="1" s="1"/>
  <c r="G249" i="1" s="1"/>
  <c r="E249" i="25"/>
  <c r="F249" i="25" s="1"/>
  <c r="G249" i="25" s="1"/>
  <c r="J238" i="25"/>
  <c r="K238" i="25"/>
  <c r="I239" i="25"/>
  <c r="B223" i="13"/>
  <c r="J168" i="1"/>
  <c r="I169" i="1"/>
  <c r="E250" i="1" l="1"/>
  <c r="F250" i="1" s="1"/>
  <c r="G250" i="1" s="1"/>
  <c r="E250" i="25"/>
  <c r="F250" i="25" s="1"/>
  <c r="G250" i="25" s="1"/>
  <c r="I240" i="25"/>
  <c r="J239" i="25"/>
  <c r="K239" i="25"/>
  <c r="B224" i="13"/>
  <c r="I170" i="1"/>
  <c r="J169" i="1"/>
  <c r="E251" i="1" l="1"/>
  <c r="F251" i="1" s="1"/>
  <c r="G251" i="1" s="1"/>
  <c r="E251" i="25"/>
  <c r="F251" i="25" s="1"/>
  <c r="G251" i="25" s="1"/>
  <c r="J240" i="25"/>
  <c r="I241" i="25"/>
  <c r="K240" i="25"/>
  <c r="B225" i="13"/>
  <c r="J170" i="1"/>
  <c r="I171" i="1"/>
  <c r="E252" i="1" l="1"/>
  <c r="F252" i="1" s="1"/>
  <c r="G252" i="1" s="1"/>
  <c r="E252" i="25"/>
  <c r="F252" i="25" s="1"/>
  <c r="G252" i="25" s="1"/>
  <c r="K241" i="25"/>
  <c r="J241" i="25"/>
  <c r="I242" i="25"/>
  <c r="B226" i="13"/>
  <c r="J171" i="1"/>
  <c r="I172" i="1"/>
  <c r="E253" i="1" l="1"/>
  <c r="F253" i="1" s="1"/>
  <c r="G253" i="1" s="1"/>
  <c r="E253" i="25"/>
  <c r="F253" i="25" s="1"/>
  <c r="G253" i="25" s="1"/>
  <c r="J242" i="25"/>
  <c r="K242" i="25"/>
  <c r="I243" i="25"/>
  <c r="B227" i="13"/>
  <c r="J172" i="1"/>
  <c r="I173" i="1"/>
  <c r="E254" i="1" l="1"/>
  <c r="F254" i="1" s="1"/>
  <c r="G254" i="1" s="1"/>
  <c r="E254" i="25"/>
  <c r="F254" i="25" s="1"/>
  <c r="G254" i="25" s="1"/>
  <c r="K243" i="25"/>
  <c r="J243" i="25"/>
  <c r="I244" i="25"/>
  <c r="B228" i="13"/>
  <c r="J173" i="1"/>
  <c r="I174" i="1"/>
  <c r="E255" i="1" l="1"/>
  <c r="F255" i="1" s="1"/>
  <c r="G255" i="1" s="1"/>
  <c r="E255" i="25"/>
  <c r="F255" i="25" s="1"/>
  <c r="G255" i="25" s="1"/>
  <c r="J244" i="25"/>
  <c r="I245" i="25"/>
  <c r="K244" i="25"/>
  <c r="B229" i="13"/>
  <c r="I175" i="1"/>
  <c r="J174" i="1"/>
  <c r="E256" i="1" l="1"/>
  <c r="F256" i="1" s="1"/>
  <c r="G256" i="1" s="1"/>
  <c r="E256" i="25"/>
  <c r="F256" i="25" s="1"/>
  <c r="G256" i="25" s="1"/>
  <c r="K245" i="25"/>
  <c r="I246" i="25"/>
  <c r="J245" i="25"/>
  <c r="B230" i="13"/>
  <c r="J175" i="1"/>
  <c r="I176" i="1"/>
  <c r="E257" i="1" l="1"/>
  <c r="F257" i="1" s="1"/>
  <c r="G257" i="1" s="1"/>
  <c r="E257" i="25"/>
  <c r="F257" i="25" s="1"/>
  <c r="G257" i="25" s="1"/>
  <c r="J246" i="25"/>
  <c r="I247" i="25"/>
  <c r="K246" i="25"/>
  <c r="B231" i="13"/>
  <c r="I177" i="1"/>
  <c r="J176" i="1"/>
  <c r="E258" i="1" l="1"/>
  <c r="F258" i="1" s="1"/>
  <c r="G258" i="1" s="1"/>
  <c r="E258" i="25"/>
  <c r="F258" i="25" s="1"/>
  <c r="G258" i="25" s="1"/>
  <c r="I248" i="25"/>
  <c r="K247" i="25"/>
  <c r="J247" i="25"/>
  <c r="B232" i="13"/>
  <c r="I178" i="1"/>
  <c r="J177" i="1"/>
  <c r="E259" i="1" l="1"/>
  <c r="F259" i="1" s="1"/>
  <c r="G259" i="1" s="1"/>
  <c r="E259" i="25"/>
  <c r="F259" i="25" s="1"/>
  <c r="G259" i="25" s="1"/>
  <c r="J248" i="25"/>
  <c r="K248" i="25"/>
  <c r="I249" i="25"/>
  <c r="B233" i="13"/>
  <c r="J178" i="1"/>
  <c r="I179" i="1"/>
  <c r="E260" i="1" l="1"/>
  <c r="F260" i="1" s="1"/>
  <c r="G260" i="1" s="1"/>
  <c r="E260" i="25"/>
  <c r="F260" i="25" s="1"/>
  <c r="G260" i="25" s="1"/>
  <c r="I250" i="25"/>
  <c r="K249" i="25"/>
  <c r="J249" i="25"/>
  <c r="B234" i="13"/>
  <c r="J179" i="1"/>
  <c r="I180" i="1"/>
  <c r="E261" i="1" l="1"/>
  <c r="F261" i="1" s="1"/>
  <c r="G261" i="1" s="1"/>
  <c r="E261" i="25"/>
  <c r="F261" i="25" s="1"/>
  <c r="G261" i="25" s="1"/>
  <c r="J250" i="25"/>
  <c r="I251" i="25"/>
  <c r="K250" i="25"/>
  <c r="B235" i="13"/>
  <c r="I181" i="1"/>
  <c r="J180" i="1"/>
  <c r="E262" i="1" l="1"/>
  <c r="F262" i="1" s="1"/>
  <c r="G262" i="1" s="1"/>
  <c r="E262" i="25"/>
  <c r="F262" i="25" s="1"/>
  <c r="G262" i="25" s="1"/>
  <c r="J251" i="25"/>
  <c r="K251" i="25"/>
  <c r="I252" i="25"/>
  <c r="B236" i="13"/>
  <c r="J181" i="1"/>
  <c r="I182" i="1"/>
  <c r="E263" i="1" l="1"/>
  <c r="F263" i="1" s="1"/>
  <c r="G263" i="1" s="1"/>
  <c r="E263" i="25"/>
  <c r="F263" i="25" s="1"/>
  <c r="G263" i="25" s="1"/>
  <c r="J252" i="25"/>
  <c r="K252" i="25"/>
  <c r="I253" i="25"/>
  <c r="B237" i="13"/>
  <c r="I183" i="1"/>
  <c r="J182" i="1"/>
  <c r="E264" i="1" l="1"/>
  <c r="F264" i="1" s="1"/>
  <c r="G264" i="1" s="1"/>
  <c r="E264" i="25"/>
  <c r="F264" i="25" s="1"/>
  <c r="G264" i="25" s="1"/>
  <c r="J253" i="25"/>
  <c r="K253" i="25"/>
  <c r="I254" i="25"/>
  <c r="B238" i="13"/>
  <c r="I184" i="1"/>
  <c r="J183" i="1"/>
  <c r="E265" i="1" l="1"/>
  <c r="F265" i="1" s="1"/>
  <c r="G265" i="1" s="1"/>
  <c r="E265" i="25"/>
  <c r="F265" i="25" s="1"/>
  <c r="G265" i="25" s="1"/>
  <c r="J254" i="25"/>
  <c r="M256" i="25" s="1"/>
  <c r="N257" i="25" s="1"/>
  <c r="K254" i="25"/>
  <c r="I255" i="25"/>
  <c r="B239" i="13"/>
  <c r="J184" i="1"/>
  <c r="I185" i="1"/>
  <c r="E266" i="1" l="1"/>
  <c r="F266" i="1" s="1"/>
  <c r="G266" i="1" s="1"/>
  <c r="E266" i="25"/>
  <c r="F266" i="25" s="1"/>
  <c r="G266" i="25" s="1"/>
  <c r="K255" i="25"/>
  <c r="I256" i="25"/>
  <c r="J255" i="25"/>
  <c r="B240" i="13"/>
  <c r="I186" i="1"/>
  <c r="I187" i="1" s="1"/>
  <c r="J185" i="1"/>
  <c r="E267" i="1" l="1"/>
  <c r="F267" i="1" s="1"/>
  <c r="G267" i="1" s="1"/>
  <c r="E267" i="25"/>
  <c r="F267" i="25" s="1"/>
  <c r="G267" i="25" s="1"/>
  <c r="J256" i="25"/>
  <c r="I257" i="25"/>
  <c r="K256" i="25"/>
  <c r="B241" i="13"/>
  <c r="I188" i="1"/>
  <c r="J187" i="1"/>
  <c r="N189" i="1" s="1"/>
  <c r="O190" i="1" s="1"/>
  <c r="J186" i="1"/>
  <c r="E268" i="1" l="1"/>
  <c r="F268" i="1" s="1"/>
  <c r="G268" i="1" s="1"/>
  <c r="E268" i="25"/>
  <c r="F268" i="25" s="1"/>
  <c r="G268" i="25" s="1"/>
  <c r="K257" i="25"/>
  <c r="I258" i="25"/>
  <c r="J257" i="25"/>
  <c r="B242" i="13"/>
  <c r="I189" i="1"/>
  <c r="J188" i="1"/>
  <c r="E269" i="1" l="1"/>
  <c r="F269" i="1" s="1"/>
  <c r="G269" i="1" s="1"/>
  <c r="E269" i="25"/>
  <c r="F269" i="25" s="1"/>
  <c r="G269" i="25" s="1"/>
  <c r="J258" i="25"/>
  <c r="I259" i="25"/>
  <c r="K258" i="25"/>
  <c r="B243" i="13"/>
  <c r="I190" i="1"/>
  <c r="J189" i="1"/>
  <c r="E270" i="1" l="1"/>
  <c r="F270" i="1" s="1"/>
  <c r="G270" i="1" s="1"/>
  <c r="E270" i="25"/>
  <c r="F270" i="25" s="1"/>
  <c r="G270" i="25" s="1"/>
  <c r="K259" i="25"/>
  <c r="J259" i="25"/>
  <c r="I260" i="25"/>
  <c r="B244" i="13"/>
  <c r="I191" i="1"/>
  <c r="J190" i="1"/>
  <c r="E271" i="1" l="1"/>
  <c r="F271" i="1" s="1"/>
  <c r="G271" i="1" s="1"/>
  <c r="E271" i="25"/>
  <c r="F271" i="25" s="1"/>
  <c r="G271" i="25" s="1"/>
  <c r="K260" i="25"/>
  <c r="J260" i="25"/>
  <c r="I261" i="25"/>
  <c r="B245" i="13"/>
  <c r="I192" i="1"/>
  <c r="J191" i="1"/>
  <c r="E272" i="1" l="1"/>
  <c r="F272" i="1" s="1"/>
  <c r="G272" i="1" s="1"/>
  <c r="E272" i="25"/>
  <c r="F272" i="25" s="1"/>
  <c r="G272" i="25" s="1"/>
  <c r="J261" i="25"/>
  <c r="I262" i="25"/>
  <c r="K261" i="25"/>
  <c r="B246" i="13"/>
  <c r="J192" i="1"/>
  <c r="I193" i="1"/>
  <c r="E273" i="1" l="1"/>
  <c r="F273" i="1" s="1"/>
  <c r="G273" i="1" s="1"/>
  <c r="E273" i="25"/>
  <c r="F273" i="25" s="1"/>
  <c r="G273" i="25" s="1"/>
  <c r="I263" i="25"/>
  <c r="J262" i="25"/>
  <c r="K262" i="25"/>
  <c r="B247" i="13"/>
  <c r="J193" i="1"/>
  <c r="I194" i="1"/>
  <c r="E274" i="1" l="1"/>
  <c r="F274" i="1" s="1"/>
  <c r="G274" i="1" s="1"/>
  <c r="E274" i="25"/>
  <c r="F274" i="25" s="1"/>
  <c r="G274" i="25" s="1"/>
  <c r="I264" i="25"/>
  <c r="J263" i="25"/>
  <c r="K263" i="25"/>
  <c r="B248" i="13"/>
  <c r="J194" i="1"/>
  <c r="I195" i="1"/>
  <c r="E275" i="1" l="1"/>
  <c r="F275" i="1" s="1"/>
  <c r="G275" i="1" s="1"/>
  <c r="E275" i="25"/>
  <c r="F275" i="25" s="1"/>
  <c r="G275" i="25" s="1"/>
  <c r="I265" i="25"/>
  <c r="K264" i="25"/>
  <c r="J264" i="25"/>
  <c r="B249" i="13"/>
  <c r="J195" i="1"/>
  <c r="I196" i="1"/>
  <c r="E276" i="1" l="1"/>
  <c r="F276" i="1" s="1"/>
  <c r="G276" i="1" s="1"/>
  <c r="E276" i="25"/>
  <c r="F276" i="25" s="1"/>
  <c r="G276" i="25" s="1"/>
  <c r="I266" i="25"/>
  <c r="K265" i="25"/>
  <c r="J265" i="25"/>
  <c r="B250" i="13"/>
  <c r="J196" i="1"/>
  <c r="I197" i="1"/>
  <c r="E277" i="1" l="1"/>
  <c r="F277" i="1" s="1"/>
  <c r="G277" i="1" s="1"/>
  <c r="E277" i="25"/>
  <c r="F277" i="25" s="1"/>
  <c r="G277" i="25" s="1"/>
  <c r="I267" i="25"/>
  <c r="J266" i="25"/>
  <c r="K266" i="25"/>
  <c r="B251" i="13"/>
  <c r="I198" i="1"/>
  <c r="J197" i="1"/>
  <c r="E278" i="1" l="1"/>
  <c r="F278" i="1" s="1"/>
  <c r="G278" i="1" s="1"/>
  <c r="E278" i="25"/>
  <c r="F278" i="25" s="1"/>
  <c r="G278" i="25" s="1"/>
  <c r="J267" i="25"/>
  <c r="I268" i="25"/>
  <c r="K267" i="25"/>
  <c r="B252" i="13"/>
  <c r="I199" i="1"/>
  <c r="J198" i="1"/>
  <c r="E279" i="1" l="1"/>
  <c r="F279" i="1" s="1"/>
  <c r="G279" i="1" s="1"/>
  <c r="E279" i="25"/>
  <c r="F279" i="25" s="1"/>
  <c r="G279" i="25" s="1"/>
  <c r="J268" i="25"/>
  <c r="K268" i="25"/>
  <c r="I269" i="25"/>
  <c r="B253" i="13"/>
  <c r="J199" i="1"/>
  <c r="I200" i="1"/>
  <c r="E280" i="1" l="1"/>
  <c r="F280" i="1" s="1"/>
  <c r="G280" i="1" s="1"/>
  <c r="E280" i="25"/>
  <c r="F280" i="25" s="1"/>
  <c r="G280" i="25" s="1"/>
  <c r="K269" i="25"/>
  <c r="I270" i="25"/>
  <c r="J269" i="25"/>
  <c r="B254" i="13"/>
  <c r="J200" i="1"/>
  <c r="I201" i="1"/>
  <c r="E281" i="1" l="1"/>
  <c r="F281" i="1" s="1"/>
  <c r="G281" i="1" s="1"/>
  <c r="E281" i="25"/>
  <c r="F281" i="25" s="1"/>
  <c r="G281" i="25" s="1"/>
  <c r="K270" i="25"/>
  <c r="J270" i="25"/>
  <c r="I271" i="25"/>
  <c r="B255" i="13"/>
  <c r="I202" i="1"/>
  <c r="J201" i="1"/>
  <c r="E282" i="1" l="1"/>
  <c r="F282" i="1" s="1"/>
  <c r="G282" i="1" s="1"/>
  <c r="E282" i="25"/>
  <c r="F282" i="25" s="1"/>
  <c r="G282" i="25" s="1"/>
  <c r="K271" i="25"/>
  <c r="J271" i="25"/>
  <c r="I272" i="25"/>
  <c r="B256" i="13"/>
  <c r="J202" i="1"/>
  <c r="I203" i="1"/>
  <c r="E283" i="1" l="1"/>
  <c r="F283" i="1" s="1"/>
  <c r="G283" i="1" s="1"/>
  <c r="E283" i="25"/>
  <c r="F283" i="25" s="1"/>
  <c r="G283" i="25" s="1"/>
  <c r="I273" i="25"/>
  <c r="K272" i="25"/>
  <c r="J272" i="25"/>
  <c r="B257" i="13"/>
  <c r="J203" i="1"/>
  <c r="I204" i="1"/>
  <c r="E284" i="1" l="1"/>
  <c r="F284" i="1" s="1"/>
  <c r="G284" i="1" s="1"/>
  <c r="E284" i="25"/>
  <c r="F284" i="25" s="1"/>
  <c r="G284" i="25" s="1"/>
  <c r="K273" i="25"/>
  <c r="I274" i="25"/>
  <c r="J273" i="25"/>
  <c r="B258" i="13"/>
  <c r="J204" i="1"/>
  <c r="I205" i="1"/>
  <c r="E285" i="1" l="1"/>
  <c r="F285" i="1" s="1"/>
  <c r="G285" i="1" s="1"/>
  <c r="E285" i="25"/>
  <c r="F285" i="25" s="1"/>
  <c r="G285" i="25" s="1"/>
  <c r="K274" i="25"/>
  <c r="J274" i="25"/>
  <c r="I275" i="25"/>
  <c r="B259" i="13"/>
  <c r="I206" i="1"/>
  <c r="J205" i="1"/>
  <c r="E286" i="1" l="1"/>
  <c r="F286" i="1" s="1"/>
  <c r="G286" i="1" s="1"/>
  <c r="E286" i="25"/>
  <c r="F286" i="25" s="1"/>
  <c r="G286" i="25" s="1"/>
  <c r="I276" i="25"/>
  <c r="K275" i="25"/>
  <c r="J275" i="25"/>
  <c r="B260" i="13"/>
  <c r="I207" i="1"/>
  <c r="J206" i="1"/>
  <c r="E287" i="1" l="1"/>
  <c r="F287" i="1" s="1"/>
  <c r="G287" i="1" s="1"/>
  <c r="E287" i="25"/>
  <c r="F287" i="25" s="1"/>
  <c r="G287" i="25" s="1"/>
  <c r="I277" i="25"/>
  <c r="K276" i="25"/>
  <c r="J276" i="25"/>
  <c r="B261" i="13"/>
  <c r="J207" i="1"/>
  <c r="I208" i="1"/>
  <c r="E288" i="1" l="1"/>
  <c r="F288" i="1" s="1"/>
  <c r="G288" i="1" s="1"/>
  <c r="E288" i="25"/>
  <c r="F288" i="25" s="1"/>
  <c r="G288" i="25" s="1"/>
  <c r="I278" i="25"/>
  <c r="K277" i="25"/>
  <c r="J277" i="25"/>
  <c r="B262" i="13"/>
  <c r="J208" i="1"/>
  <c r="I209" i="1"/>
  <c r="E289" i="1" l="1"/>
  <c r="F289" i="1" s="1"/>
  <c r="G289" i="1" s="1"/>
  <c r="E289" i="25"/>
  <c r="F289" i="25" s="1"/>
  <c r="G289" i="25" s="1"/>
  <c r="J278" i="25"/>
  <c r="K278" i="25"/>
  <c r="I279" i="25"/>
  <c r="B263" i="13"/>
  <c r="J209" i="1"/>
  <c r="I210" i="1"/>
  <c r="E290" i="1" l="1"/>
  <c r="F290" i="1" s="1"/>
  <c r="G290" i="1" s="1"/>
  <c r="E290" i="25"/>
  <c r="F290" i="25" s="1"/>
  <c r="G290" i="25" s="1"/>
  <c r="I280" i="25"/>
  <c r="J279" i="25"/>
  <c r="K279" i="25"/>
  <c r="B264" i="13"/>
  <c r="J210" i="1"/>
  <c r="I211" i="1"/>
  <c r="E291" i="1" l="1"/>
  <c r="F291" i="1" s="1"/>
  <c r="G291" i="1" s="1"/>
  <c r="E291" i="25"/>
  <c r="F291" i="25" s="1"/>
  <c r="G291" i="25" s="1"/>
  <c r="J280" i="25"/>
  <c r="I281" i="25"/>
  <c r="K280" i="25"/>
  <c r="B265" i="13"/>
  <c r="J211" i="1"/>
  <c r="I212" i="1"/>
  <c r="E292" i="1" l="1"/>
  <c r="F292" i="1" s="1"/>
  <c r="G292" i="1" s="1"/>
  <c r="E292" i="25"/>
  <c r="F292" i="25" s="1"/>
  <c r="G292" i="25" s="1"/>
  <c r="J281" i="25"/>
  <c r="I282" i="25"/>
  <c r="K281" i="25"/>
  <c r="B266" i="13"/>
  <c r="J212" i="1"/>
  <c r="I213" i="1"/>
  <c r="E293" i="1" l="1"/>
  <c r="F293" i="1" s="1"/>
  <c r="G293" i="1" s="1"/>
  <c r="E293" i="25"/>
  <c r="F293" i="25" s="1"/>
  <c r="G293" i="25" s="1"/>
  <c r="J282" i="25"/>
  <c r="K282" i="25"/>
  <c r="I283" i="25"/>
  <c r="B267" i="13"/>
  <c r="J213" i="1"/>
  <c r="I214" i="1"/>
  <c r="E294" i="1" l="1"/>
  <c r="F294" i="1" s="1"/>
  <c r="G294" i="1" s="1"/>
  <c r="E294" i="25"/>
  <c r="F294" i="25" s="1"/>
  <c r="G294" i="25" s="1"/>
  <c r="K283" i="25"/>
  <c r="I284" i="25"/>
  <c r="J283" i="25"/>
  <c r="B268" i="13"/>
  <c r="I215" i="1"/>
  <c r="J214" i="1"/>
  <c r="E295" i="1" l="1"/>
  <c r="F295" i="1" s="1"/>
  <c r="G295" i="1" s="1"/>
  <c r="E295" i="25"/>
  <c r="F295" i="25" s="1"/>
  <c r="G295" i="25" s="1"/>
  <c r="J284" i="25"/>
  <c r="I285" i="25"/>
  <c r="K284" i="25"/>
  <c r="B269" i="13"/>
  <c r="J215" i="1"/>
  <c r="I216" i="1"/>
  <c r="E296" i="1" l="1"/>
  <c r="F296" i="1" s="1"/>
  <c r="G296" i="1" s="1"/>
  <c r="E296" i="25"/>
  <c r="F296" i="25" s="1"/>
  <c r="G296" i="25" s="1"/>
  <c r="I286" i="25"/>
  <c r="J285" i="25"/>
  <c r="K285" i="25"/>
  <c r="B270" i="13"/>
  <c r="I217" i="1"/>
  <c r="J216" i="1"/>
  <c r="E297" i="1" l="1"/>
  <c r="F297" i="1" s="1"/>
  <c r="G297" i="1" s="1"/>
  <c r="E297" i="25"/>
  <c r="F297" i="25" s="1"/>
  <c r="G297" i="25" s="1"/>
  <c r="J286" i="25"/>
  <c r="K286" i="25"/>
  <c r="I287" i="25"/>
  <c r="B271" i="13"/>
  <c r="I218" i="1"/>
  <c r="J217" i="1"/>
  <c r="E298" i="1" l="1"/>
  <c r="F298" i="1" s="1"/>
  <c r="G298" i="1" s="1"/>
  <c r="E298" i="25"/>
  <c r="F298" i="25" s="1"/>
  <c r="G298" i="25" s="1"/>
  <c r="I288" i="25"/>
  <c r="K287" i="25"/>
  <c r="J287" i="25"/>
  <c r="B272" i="13"/>
  <c r="I219" i="1"/>
  <c r="J218" i="1"/>
  <c r="E299" i="1" l="1"/>
  <c r="F299" i="1" s="1"/>
  <c r="G299" i="1" s="1"/>
  <c r="E299" i="25"/>
  <c r="F299" i="25" s="1"/>
  <c r="G299" i="25" s="1"/>
  <c r="J288" i="25"/>
  <c r="I289" i="25"/>
  <c r="K288" i="25"/>
  <c r="B273" i="13"/>
  <c r="I220" i="1"/>
  <c r="J219" i="1"/>
  <c r="E301" i="1" l="1"/>
  <c r="F301" i="1" s="1"/>
  <c r="G301" i="1" s="1"/>
  <c r="E301" i="25"/>
  <c r="F301" i="25" s="1"/>
  <c r="G301" i="25" s="1"/>
  <c r="J289" i="25"/>
  <c r="K289" i="25"/>
  <c r="I290" i="25"/>
  <c r="B274" i="13"/>
  <c r="I221" i="1"/>
  <c r="J220" i="1"/>
  <c r="E302" i="1" l="1"/>
  <c r="F302" i="1" s="1"/>
  <c r="G302" i="1" s="1"/>
  <c r="E302" i="25"/>
  <c r="F302" i="25" s="1"/>
  <c r="G302" i="25" s="1"/>
  <c r="J290" i="25"/>
  <c r="I291" i="25"/>
  <c r="K290" i="25"/>
  <c r="B275" i="13"/>
  <c r="I222" i="1"/>
  <c r="J221" i="1"/>
  <c r="E303" i="1" l="1"/>
  <c r="F303" i="1" s="1"/>
  <c r="G303" i="1" s="1"/>
  <c r="E303" i="25"/>
  <c r="F303" i="25" s="1"/>
  <c r="G303" i="25" s="1"/>
  <c r="K291" i="25"/>
  <c r="I292" i="25"/>
  <c r="J291" i="25"/>
  <c r="B276" i="13"/>
  <c r="I223" i="1"/>
  <c r="J222" i="1"/>
  <c r="E304" i="1" l="1"/>
  <c r="F304" i="1" s="1"/>
  <c r="G304" i="1" s="1"/>
  <c r="E304" i="25"/>
  <c r="F304" i="25" s="1"/>
  <c r="G304" i="25" s="1"/>
  <c r="J292" i="25"/>
  <c r="K292" i="25"/>
  <c r="I293" i="25"/>
  <c r="B277" i="13"/>
  <c r="I224" i="1"/>
  <c r="J223" i="1"/>
  <c r="E305" i="1" l="1"/>
  <c r="F305" i="1" s="1"/>
  <c r="G305" i="1" s="1"/>
  <c r="E305" i="25"/>
  <c r="F305" i="25" s="1"/>
  <c r="G305" i="25" s="1"/>
  <c r="J293" i="25"/>
  <c r="K293" i="25"/>
  <c r="I294" i="25"/>
  <c r="B278" i="13"/>
  <c r="J224" i="1"/>
  <c r="I225" i="1"/>
  <c r="E306" i="1" l="1"/>
  <c r="F306" i="1" s="1"/>
  <c r="G306" i="1" s="1"/>
  <c r="E306" i="25"/>
  <c r="F306" i="25" s="1"/>
  <c r="G306" i="25" s="1"/>
  <c r="J294" i="25"/>
  <c r="K294" i="25"/>
  <c r="I295" i="25"/>
  <c r="B279" i="13"/>
  <c r="I226" i="1"/>
  <c r="J225" i="1"/>
  <c r="E307" i="1" l="1"/>
  <c r="F307" i="1" s="1"/>
  <c r="G307" i="1" s="1"/>
  <c r="E307" i="25"/>
  <c r="F307" i="25" s="1"/>
  <c r="G307" i="25" s="1"/>
  <c r="K295" i="25"/>
  <c r="J295" i="25"/>
  <c r="I296" i="25"/>
  <c r="B280" i="13"/>
  <c r="I227" i="1"/>
  <c r="J226" i="1"/>
  <c r="E308" i="1" l="1"/>
  <c r="F308" i="1" s="1"/>
  <c r="G308" i="1" s="1"/>
  <c r="E308" i="25"/>
  <c r="F308" i="25" s="1"/>
  <c r="G308" i="25" s="1"/>
  <c r="J296" i="25"/>
  <c r="I297" i="25"/>
  <c r="K296" i="25"/>
  <c r="B281" i="13"/>
  <c r="I228" i="1"/>
  <c r="J227" i="1"/>
  <c r="E309" i="1" l="1"/>
  <c r="F309" i="1" s="1"/>
  <c r="G309" i="1" s="1"/>
  <c r="E309" i="25"/>
  <c r="F309" i="25" s="1"/>
  <c r="G309" i="25" s="1"/>
  <c r="K297" i="25"/>
  <c r="I298" i="25"/>
  <c r="J297" i="25"/>
  <c r="B282" i="13"/>
  <c r="I229" i="1"/>
  <c r="J228" i="1"/>
  <c r="E310" i="1" l="1"/>
  <c r="F310" i="1" s="1"/>
  <c r="G310" i="1" s="1"/>
  <c r="E310" i="25"/>
  <c r="F310" i="25" s="1"/>
  <c r="G310" i="25" s="1"/>
  <c r="J298" i="25"/>
  <c r="M299" i="25" s="1"/>
  <c r="N300" i="25" s="1"/>
  <c r="I299" i="25"/>
  <c r="K298" i="25"/>
  <c r="B283" i="13"/>
  <c r="J229" i="1"/>
  <c r="I230" i="1"/>
  <c r="E311" i="1" l="1"/>
  <c r="F311" i="1" s="1"/>
  <c r="G311" i="1" s="1"/>
  <c r="E311" i="25"/>
  <c r="F311" i="25" s="1"/>
  <c r="G311" i="25" s="1"/>
  <c r="I300" i="25"/>
  <c r="K299" i="25"/>
  <c r="J299" i="25"/>
  <c r="B284" i="13"/>
  <c r="J230" i="1"/>
  <c r="I231" i="1"/>
  <c r="E312" i="1" l="1"/>
  <c r="F312" i="1" s="1"/>
  <c r="G312" i="1" s="1"/>
  <c r="E312" i="25"/>
  <c r="F312" i="25" s="1"/>
  <c r="G312" i="25" s="1"/>
  <c r="K300" i="25"/>
  <c r="I301" i="25"/>
  <c r="J300" i="25"/>
  <c r="B285" i="13"/>
  <c r="I232" i="1"/>
  <c r="J231" i="1"/>
  <c r="E313" i="1" l="1"/>
  <c r="F313" i="1" s="1"/>
  <c r="G313" i="1" s="1"/>
  <c r="E313" i="25"/>
  <c r="F313" i="25" s="1"/>
  <c r="G313" i="25" s="1"/>
  <c r="K301" i="25"/>
  <c r="I302" i="25"/>
  <c r="J301" i="25"/>
  <c r="B286" i="13"/>
  <c r="I233" i="1"/>
  <c r="J232" i="1"/>
  <c r="E314" i="1" l="1"/>
  <c r="F314" i="1" s="1"/>
  <c r="G314" i="1" s="1"/>
  <c r="E314" i="25"/>
  <c r="F314" i="25" s="1"/>
  <c r="G314" i="25" s="1"/>
  <c r="J302" i="25"/>
  <c r="I303" i="25"/>
  <c r="K302" i="25"/>
  <c r="B287" i="13"/>
  <c r="J233" i="1"/>
  <c r="I234" i="1"/>
  <c r="E315" i="1" l="1"/>
  <c r="F315" i="1" s="1"/>
  <c r="G315" i="1" s="1"/>
  <c r="E315" i="25"/>
  <c r="F315" i="25" s="1"/>
  <c r="G315" i="25" s="1"/>
  <c r="I304" i="25"/>
  <c r="J303" i="25"/>
  <c r="K303" i="25"/>
  <c r="B288" i="13"/>
  <c r="I235" i="1"/>
  <c r="J234" i="1"/>
  <c r="E316" i="1" l="1"/>
  <c r="F316" i="1" s="1"/>
  <c r="G316" i="1" s="1"/>
  <c r="E316" i="25"/>
  <c r="F316" i="25" s="1"/>
  <c r="G316" i="25" s="1"/>
  <c r="I305" i="25"/>
  <c r="K304" i="25"/>
  <c r="J304" i="25"/>
  <c r="B289" i="13"/>
  <c r="J235" i="1"/>
  <c r="I236" i="1"/>
  <c r="E317" i="1" l="1"/>
  <c r="F317" i="1" s="1"/>
  <c r="G317" i="1" s="1"/>
  <c r="E317" i="25"/>
  <c r="F317" i="25" s="1"/>
  <c r="G317" i="25" s="1"/>
  <c r="I306" i="25"/>
  <c r="J305" i="25"/>
  <c r="K305" i="25"/>
  <c r="B290" i="13"/>
  <c r="J236" i="1"/>
  <c r="I237" i="1"/>
  <c r="E318" i="1" l="1"/>
  <c r="F318" i="1" s="1"/>
  <c r="G318" i="1" s="1"/>
  <c r="E318" i="25"/>
  <c r="F318" i="25" s="1"/>
  <c r="G318" i="25" s="1"/>
  <c r="I307" i="25"/>
  <c r="K306" i="25"/>
  <c r="J306" i="25"/>
  <c r="B291" i="13"/>
  <c r="E319" i="25" s="1"/>
  <c r="F319" i="25" s="1"/>
  <c r="G319" i="25" s="1"/>
  <c r="I238" i="1"/>
  <c r="J237" i="1"/>
  <c r="I308" i="25" l="1"/>
  <c r="K307" i="25"/>
  <c r="J307" i="25"/>
  <c r="B292" i="13"/>
  <c r="E320" i="25" s="1"/>
  <c r="F320" i="25" s="1"/>
  <c r="G320" i="25" s="1"/>
  <c r="E319" i="1"/>
  <c r="F319" i="1" s="1"/>
  <c r="G319" i="1" s="1"/>
  <c r="J238" i="1"/>
  <c r="I239" i="1"/>
  <c r="J308" i="25" l="1"/>
  <c r="I309" i="25"/>
  <c r="K308" i="25"/>
  <c r="B293" i="13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305" i="13" s="1"/>
  <c r="B306" i="13" s="1"/>
  <c r="B307" i="13" s="1"/>
  <c r="B308" i="13" s="1"/>
  <c r="B309" i="13" s="1"/>
  <c r="B310" i="13" s="1"/>
  <c r="B311" i="13" s="1"/>
  <c r="B312" i="13" s="1"/>
  <c r="B313" i="13" s="1"/>
  <c r="B314" i="13" s="1"/>
  <c r="B315" i="13" s="1"/>
  <c r="B316" i="13" s="1"/>
  <c r="E320" i="1"/>
  <c r="F320" i="1" s="1"/>
  <c r="G320" i="1" s="1"/>
  <c r="J239" i="1"/>
  <c r="I240" i="1"/>
  <c r="F323" i="25" l="1"/>
  <c r="G323" i="25" s="1"/>
  <c r="F321" i="25"/>
  <c r="G321" i="25" s="1"/>
  <c r="F324" i="25"/>
  <c r="G324" i="25" s="1"/>
  <c r="F322" i="25"/>
  <c r="G322" i="25" s="1"/>
  <c r="I310" i="25"/>
  <c r="K309" i="25"/>
  <c r="J309" i="25"/>
  <c r="F324" i="1"/>
  <c r="G324" i="1" s="1"/>
  <c r="F323" i="1"/>
  <c r="G323" i="1" s="1"/>
  <c r="F322" i="1"/>
  <c r="G322" i="1" s="1"/>
  <c r="F321" i="1"/>
  <c r="G321" i="1" s="1"/>
  <c r="P734" i="1" s="1"/>
  <c r="P735" i="1" s="1"/>
  <c r="B317" i="13"/>
  <c r="B318" i="13" s="1"/>
  <c r="B319" i="13" s="1"/>
  <c r="B320" i="13" s="1"/>
  <c r="B321" i="13" s="1"/>
  <c r="B322" i="13" s="1"/>
  <c r="B323" i="13" s="1"/>
  <c r="B324" i="13" s="1"/>
  <c r="B325" i="13" s="1"/>
  <c r="B326" i="13" s="1"/>
  <c r="B327" i="13" s="1"/>
  <c r="B328" i="13" s="1"/>
  <c r="B329" i="13" s="1"/>
  <c r="B330" i="13" s="1"/>
  <c r="B331" i="13" s="1"/>
  <c r="B332" i="13" s="1"/>
  <c r="B333" i="13" s="1"/>
  <c r="B334" i="13" s="1"/>
  <c r="B335" i="13" s="1"/>
  <c r="B336" i="13" s="1"/>
  <c r="B337" i="13" s="1"/>
  <c r="B338" i="13" s="1"/>
  <c r="B339" i="13" s="1"/>
  <c r="B340" i="13" s="1"/>
  <c r="B341" i="13" s="1"/>
  <c r="B342" i="13" s="1"/>
  <c r="B343" i="13" s="1"/>
  <c r="J240" i="1"/>
  <c r="I241" i="1"/>
  <c r="O734" i="25" l="1"/>
  <c r="O735" i="25" s="1"/>
  <c r="K310" i="25"/>
  <c r="J310" i="25"/>
  <c r="I311" i="25"/>
  <c r="I242" i="1"/>
  <c r="J241" i="1"/>
  <c r="I312" i="25" l="1"/>
  <c r="K311" i="25"/>
  <c r="J311" i="25"/>
  <c r="J242" i="1"/>
  <c r="I243" i="1"/>
  <c r="K312" i="25" l="1"/>
  <c r="J312" i="25"/>
  <c r="I313" i="25"/>
  <c r="J243" i="1"/>
  <c r="I244" i="1"/>
  <c r="I314" i="25" l="1"/>
  <c r="K313" i="25"/>
  <c r="J313" i="25"/>
  <c r="I245" i="1"/>
  <c r="J244" i="1"/>
  <c r="K314" i="25" l="1"/>
  <c r="I315" i="25"/>
  <c r="J314" i="25"/>
  <c r="I246" i="1"/>
  <c r="J245" i="1"/>
  <c r="I316" i="25" l="1"/>
  <c r="J315" i="25"/>
  <c r="K315" i="25"/>
  <c r="I247" i="1"/>
  <c r="J246" i="1"/>
  <c r="K316" i="25" l="1"/>
  <c r="J316" i="25"/>
  <c r="I317" i="25"/>
  <c r="J247" i="1"/>
  <c r="I248" i="1"/>
  <c r="J317" i="25" l="1"/>
  <c r="I318" i="25"/>
  <c r="K317" i="25"/>
  <c r="I249" i="1"/>
  <c r="J248" i="1"/>
  <c r="K318" i="25" l="1"/>
  <c r="J318" i="25"/>
  <c r="M318" i="25" s="1"/>
  <c r="I319" i="25"/>
  <c r="I250" i="1"/>
  <c r="J249" i="1"/>
  <c r="J319" i="25" l="1"/>
  <c r="I320" i="25"/>
  <c r="K319" i="25"/>
  <c r="I251" i="1"/>
  <c r="J250" i="1"/>
  <c r="I321" i="25" l="1"/>
  <c r="J320" i="25"/>
  <c r="K320" i="25"/>
  <c r="J251" i="1"/>
  <c r="I252" i="1"/>
  <c r="J321" i="25" l="1"/>
  <c r="I322" i="25"/>
  <c r="K321" i="25"/>
  <c r="I253" i="1"/>
  <c r="J252" i="1"/>
  <c r="K322" i="25" l="1"/>
  <c r="J322" i="25"/>
  <c r="I323" i="25"/>
  <c r="J253" i="1"/>
  <c r="I254" i="1"/>
  <c r="I324" i="25" l="1"/>
  <c r="K323" i="25"/>
  <c r="J323" i="25"/>
  <c r="J254" i="1"/>
  <c r="N256" i="1" s="1"/>
  <c r="I255" i="1"/>
  <c r="I325" i="25" l="1"/>
  <c r="J324" i="25"/>
  <c r="K324" i="25"/>
  <c r="I256" i="1"/>
  <c r="J255" i="1"/>
  <c r="O257" i="1" s="1"/>
  <c r="I326" i="25" l="1"/>
  <c r="K325" i="25"/>
  <c r="J325" i="25"/>
  <c r="J256" i="1"/>
  <c r="I257" i="1"/>
  <c r="I327" i="25" l="1"/>
  <c r="K326" i="25"/>
  <c r="J326" i="25"/>
  <c r="J257" i="1"/>
  <c r="I258" i="1"/>
  <c r="G731" i="25" l="1"/>
  <c r="J731" i="25" s="1"/>
  <c r="K327" i="25"/>
  <c r="I328" i="25"/>
  <c r="J327" i="25"/>
  <c r="N318" i="25" s="1"/>
  <c r="N319" i="25" s="1"/>
  <c r="I259" i="1"/>
  <c r="J258" i="1"/>
  <c r="J328" i="25" l="1"/>
  <c r="I329" i="25"/>
  <c r="K328" i="25"/>
  <c r="J736" i="25"/>
  <c r="L736" i="25" s="1"/>
  <c r="K731" i="25"/>
  <c r="J259" i="1"/>
  <c r="I260" i="1"/>
  <c r="K329" i="25" l="1"/>
  <c r="I330" i="25"/>
  <c r="J329" i="25"/>
  <c r="M337" i="25" s="1"/>
  <c r="J260" i="1"/>
  <c r="I261" i="1"/>
  <c r="O337" i="25" l="1"/>
  <c r="P337" i="25"/>
  <c r="K330" i="25"/>
  <c r="I331" i="25"/>
  <c r="J330" i="25"/>
  <c r="I262" i="1"/>
  <c r="J261" i="1"/>
  <c r="K331" i="25" l="1"/>
  <c r="I332" i="25"/>
  <c r="J331" i="25"/>
  <c r="M338" i="25" s="1"/>
  <c r="I263" i="1"/>
  <c r="J262" i="1"/>
  <c r="O338" i="25" l="1"/>
  <c r="P338" i="25"/>
  <c r="I333" i="25"/>
  <c r="K332" i="25"/>
  <c r="J332" i="25"/>
  <c r="I264" i="1"/>
  <c r="J263" i="1"/>
  <c r="M331" i="25" l="1"/>
  <c r="J333" i="25"/>
  <c r="I334" i="25"/>
  <c r="K333" i="25"/>
  <c r="J264" i="1"/>
  <c r="I265" i="1"/>
  <c r="M340" i="25" l="1"/>
  <c r="M332" i="25"/>
  <c r="M341" i="25"/>
  <c r="P332" i="25"/>
  <c r="L13" i="25"/>
  <c r="M333" i="25"/>
  <c r="G730" i="25"/>
  <c r="J730" i="25" s="1"/>
  <c r="K730" i="25" s="1"/>
  <c r="K334" i="25"/>
  <c r="I335" i="25"/>
  <c r="J334" i="25"/>
  <c r="J265" i="1"/>
  <c r="I266" i="1"/>
  <c r="I336" i="25" l="1"/>
  <c r="J335" i="25"/>
  <c r="K335" i="25"/>
  <c r="O341" i="25"/>
  <c r="P341" i="25"/>
  <c r="P340" i="25"/>
  <c r="O340" i="25"/>
  <c r="I267" i="1"/>
  <c r="J266" i="1"/>
  <c r="K336" i="25" l="1"/>
  <c r="J336" i="25"/>
  <c r="I337" i="25"/>
  <c r="I268" i="1"/>
  <c r="J267" i="1"/>
  <c r="I338" i="25" l="1"/>
  <c r="J337" i="25"/>
  <c r="K337" i="25"/>
  <c r="I269" i="1"/>
  <c r="J268" i="1"/>
  <c r="J338" i="25" l="1"/>
  <c r="I339" i="25"/>
  <c r="K338" i="25"/>
  <c r="I270" i="1"/>
  <c r="J269" i="1"/>
  <c r="K339" i="25" l="1"/>
  <c r="I340" i="25"/>
  <c r="J339" i="25"/>
  <c r="I271" i="1"/>
  <c r="J270" i="1"/>
  <c r="K340" i="25" l="1"/>
  <c r="J340" i="25"/>
  <c r="I341" i="25"/>
  <c r="J271" i="1"/>
  <c r="I272" i="1"/>
  <c r="K341" i="25" l="1"/>
  <c r="J341" i="25"/>
  <c r="I342" i="25"/>
  <c r="J272" i="1"/>
  <c r="I273" i="1"/>
  <c r="K342" i="25" l="1"/>
  <c r="J342" i="25"/>
  <c r="I343" i="25"/>
  <c r="I274" i="1"/>
  <c r="J273" i="1"/>
  <c r="K343" i="25" l="1"/>
  <c r="I344" i="25"/>
  <c r="J343" i="25"/>
  <c r="J274" i="1"/>
  <c r="I275" i="1"/>
  <c r="J344" i="25" l="1"/>
  <c r="K344" i="25"/>
  <c r="I345" i="25"/>
  <c r="I276" i="1"/>
  <c r="J275" i="1"/>
  <c r="K345" i="25" l="1"/>
  <c r="J345" i="25"/>
  <c r="I346" i="25"/>
  <c r="J276" i="1"/>
  <c r="I277" i="1"/>
  <c r="K346" i="25" l="1"/>
  <c r="J346" i="25"/>
  <c r="I347" i="25"/>
  <c r="I278" i="1"/>
  <c r="J277" i="1"/>
  <c r="J347" i="25" l="1"/>
  <c r="K347" i="25"/>
  <c r="I348" i="25"/>
  <c r="I279" i="1"/>
  <c r="J278" i="1"/>
  <c r="K348" i="25" l="1"/>
  <c r="J348" i="25"/>
  <c r="I349" i="25"/>
  <c r="J279" i="1"/>
  <c r="I280" i="1"/>
  <c r="J349" i="25" l="1"/>
  <c r="I350" i="25"/>
  <c r="K349" i="25"/>
  <c r="I281" i="1"/>
  <c r="J280" i="1"/>
  <c r="J350" i="25" l="1"/>
  <c r="I351" i="25"/>
  <c r="K350" i="25"/>
  <c r="J281" i="1"/>
  <c r="I282" i="1"/>
  <c r="K351" i="25" l="1"/>
  <c r="J351" i="25"/>
  <c r="I352" i="25"/>
  <c r="J282" i="1"/>
  <c r="I283" i="1"/>
  <c r="I353" i="25" l="1"/>
  <c r="K352" i="25"/>
  <c r="J352" i="25"/>
  <c r="I284" i="1"/>
  <c r="J283" i="1"/>
  <c r="J353" i="25" l="1"/>
  <c r="K353" i="25"/>
  <c r="I354" i="25"/>
  <c r="J284" i="1"/>
  <c r="I285" i="1"/>
  <c r="K354" i="25" l="1"/>
  <c r="J354" i="25"/>
  <c r="I355" i="25"/>
  <c r="J285" i="1"/>
  <c r="I286" i="1"/>
  <c r="K355" i="25" l="1"/>
  <c r="I356" i="25"/>
  <c r="J355" i="25"/>
  <c r="J286" i="1"/>
  <c r="I287" i="1"/>
  <c r="J356" i="25" l="1"/>
  <c r="I357" i="25"/>
  <c r="K356" i="25"/>
  <c r="J287" i="1"/>
  <c r="I288" i="1"/>
  <c r="K357" i="25" l="1"/>
  <c r="J357" i="25"/>
  <c r="I358" i="25"/>
  <c r="J288" i="1"/>
  <c r="I289" i="1"/>
  <c r="J358" i="25" l="1"/>
  <c r="K358" i="25"/>
  <c r="I359" i="25"/>
  <c r="J289" i="1"/>
  <c r="I290" i="1"/>
  <c r="J359" i="25" l="1"/>
  <c r="K359" i="25"/>
  <c r="I360" i="25"/>
  <c r="J290" i="1"/>
  <c r="I291" i="1"/>
  <c r="K360" i="25" l="1"/>
  <c r="J360" i="25"/>
  <c r="I361" i="25"/>
  <c r="I292" i="1"/>
  <c r="J291" i="1"/>
  <c r="I362" i="25" l="1"/>
  <c r="J361" i="25"/>
  <c r="K361" i="25"/>
  <c r="I293" i="1"/>
  <c r="J292" i="1"/>
  <c r="J362" i="25" l="1"/>
  <c r="K362" i="25"/>
  <c r="I363" i="25"/>
  <c r="I294" i="1"/>
  <c r="J293" i="1"/>
  <c r="K363" i="25" l="1"/>
  <c r="J363" i="25"/>
  <c r="I364" i="25"/>
  <c r="J294" i="1"/>
  <c r="I295" i="1"/>
  <c r="I365" i="25" l="1"/>
  <c r="J364" i="25"/>
  <c r="K364" i="25"/>
  <c r="I296" i="1"/>
  <c r="J295" i="1"/>
  <c r="J365" i="25" l="1"/>
  <c r="I366" i="25"/>
  <c r="K365" i="25"/>
  <c r="I297" i="1"/>
  <c r="J296" i="1"/>
  <c r="K366" i="25" l="1"/>
  <c r="J366" i="25"/>
  <c r="I367" i="25"/>
  <c r="J297" i="1"/>
  <c r="I298" i="1"/>
  <c r="I368" i="25" l="1"/>
  <c r="K367" i="25"/>
  <c r="J367" i="25"/>
  <c r="J298" i="1"/>
  <c r="I299" i="1"/>
  <c r="K368" i="25" l="1"/>
  <c r="I369" i="25"/>
  <c r="J368" i="25"/>
  <c r="I300" i="1"/>
  <c r="J299" i="1"/>
  <c r="N299" i="1"/>
  <c r="O300" i="1" s="1"/>
  <c r="K369" i="25" l="1"/>
  <c r="I370" i="25"/>
  <c r="J369" i="25"/>
  <c r="J300" i="1"/>
  <c r="I301" i="1"/>
  <c r="I371" i="25" l="1"/>
  <c r="J370" i="25"/>
  <c r="K370" i="25"/>
  <c r="I302" i="1"/>
  <c r="J301" i="1"/>
  <c r="K371" i="25" l="1"/>
  <c r="J371" i="25"/>
  <c r="I372" i="25"/>
  <c r="J302" i="1"/>
  <c r="I303" i="1"/>
  <c r="I373" i="25" l="1"/>
  <c r="K372" i="25"/>
  <c r="J372" i="25"/>
  <c r="J303" i="1"/>
  <c r="I304" i="1"/>
  <c r="I374" i="25" l="1"/>
  <c r="K373" i="25"/>
  <c r="J373" i="25"/>
  <c r="J304" i="1"/>
  <c r="I305" i="1"/>
  <c r="I375" i="25" l="1"/>
  <c r="K374" i="25"/>
  <c r="J374" i="25"/>
  <c r="J305" i="1"/>
  <c r="I306" i="1"/>
  <c r="I376" i="25" l="1"/>
  <c r="J375" i="25"/>
  <c r="K375" i="25"/>
  <c r="I307" i="1"/>
  <c r="J306" i="1"/>
  <c r="I377" i="25" l="1"/>
  <c r="J376" i="25"/>
  <c r="K376" i="25"/>
  <c r="J307" i="1"/>
  <c r="I308" i="1"/>
  <c r="I378" i="25" l="1"/>
  <c r="K377" i="25"/>
  <c r="J377" i="25"/>
  <c r="I309" i="1"/>
  <c r="J308" i="1"/>
  <c r="J378" i="25" l="1"/>
  <c r="I379" i="25"/>
  <c r="K378" i="25"/>
  <c r="I310" i="1"/>
  <c r="J309" i="1"/>
  <c r="I380" i="25" l="1"/>
  <c r="K379" i="25"/>
  <c r="J379" i="25"/>
  <c r="I311" i="1"/>
  <c r="J310" i="1"/>
  <c r="I381" i="25" l="1"/>
  <c r="K380" i="25"/>
  <c r="J380" i="25"/>
  <c r="I312" i="1"/>
  <c r="J311" i="1"/>
  <c r="K381" i="25" l="1"/>
  <c r="I382" i="25"/>
  <c r="J381" i="25"/>
  <c r="I313" i="1"/>
  <c r="J312" i="1"/>
  <c r="I383" i="25" l="1"/>
  <c r="K382" i="25"/>
  <c r="J382" i="25"/>
  <c r="J313" i="1"/>
  <c r="I314" i="1"/>
  <c r="J383" i="25" l="1"/>
  <c r="I384" i="25"/>
  <c r="K383" i="25"/>
  <c r="I315" i="1"/>
  <c r="J314" i="1"/>
  <c r="I385" i="25" l="1"/>
  <c r="J384" i="25"/>
  <c r="K384" i="25"/>
  <c r="J315" i="1"/>
  <c r="I316" i="1"/>
  <c r="I386" i="25" l="1"/>
  <c r="K385" i="25"/>
  <c r="J385" i="25"/>
  <c r="I317" i="1"/>
  <c r="J316" i="1"/>
  <c r="J386" i="25" l="1"/>
  <c r="K386" i="25"/>
  <c r="I387" i="25"/>
  <c r="J317" i="1"/>
  <c r="I318" i="1"/>
  <c r="I388" i="25" l="1"/>
  <c r="J387" i="25"/>
  <c r="K387" i="25"/>
  <c r="I319" i="1"/>
  <c r="J318" i="1"/>
  <c r="N318" i="1" s="1"/>
  <c r="I389" i="25" l="1"/>
  <c r="K388" i="25"/>
  <c r="J388" i="25"/>
  <c r="J319" i="1"/>
  <c r="I320" i="1"/>
  <c r="K389" i="25" l="1"/>
  <c r="J389" i="25"/>
  <c r="I390" i="25"/>
  <c r="J320" i="1"/>
  <c r="I321" i="1"/>
  <c r="K390" i="25" l="1"/>
  <c r="J390" i="25"/>
  <c r="I391" i="25"/>
  <c r="J321" i="1"/>
  <c r="I322" i="1"/>
  <c r="I392" i="25" l="1"/>
  <c r="J391" i="25"/>
  <c r="K391" i="25"/>
  <c r="I323" i="1"/>
  <c r="J322" i="1"/>
  <c r="K392" i="25" l="1"/>
  <c r="I393" i="25"/>
  <c r="J392" i="25"/>
  <c r="I324" i="1"/>
  <c r="J323" i="1"/>
  <c r="I394" i="25" l="1"/>
  <c r="K393" i="25"/>
  <c r="J393" i="25"/>
  <c r="I325" i="1"/>
  <c r="J324" i="1"/>
  <c r="I395" i="25" l="1"/>
  <c r="K394" i="25"/>
  <c r="J394" i="25"/>
  <c r="J325" i="1"/>
  <c r="I326" i="1"/>
  <c r="I396" i="25" l="1"/>
  <c r="K395" i="25"/>
  <c r="J395" i="25"/>
  <c r="J326" i="1"/>
  <c r="I327" i="1"/>
  <c r="G731" i="1" s="1"/>
  <c r="I397" i="25" l="1"/>
  <c r="K396" i="25"/>
  <c r="J396" i="25"/>
  <c r="J731" i="1"/>
  <c r="I328" i="1"/>
  <c r="J327" i="1"/>
  <c r="O318" i="1" s="1"/>
  <c r="O319" i="1" s="1"/>
  <c r="I398" i="25" l="1"/>
  <c r="K397" i="25"/>
  <c r="J397" i="25"/>
  <c r="L731" i="1"/>
  <c r="J736" i="1"/>
  <c r="M736" i="1" s="1"/>
  <c r="J328" i="1"/>
  <c r="I329" i="1"/>
  <c r="I399" i="25" l="1"/>
  <c r="K398" i="25"/>
  <c r="J398" i="25"/>
  <c r="I330" i="1"/>
  <c r="J329" i="1"/>
  <c r="N337" i="1" s="1"/>
  <c r="J399" i="25" l="1"/>
  <c r="K399" i="25"/>
  <c r="I400" i="25"/>
  <c r="Q337" i="1"/>
  <c r="P337" i="1"/>
  <c r="I331" i="1"/>
  <c r="J330" i="1"/>
  <c r="I401" i="25" l="1"/>
  <c r="J400" i="25"/>
  <c r="K400" i="25"/>
  <c r="I332" i="1"/>
  <c r="J331" i="1"/>
  <c r="N338" i="1" s="1"/>
  <c r="J401" i="25" l="1"/>
  <c r="I402" i="25"/>
  <c r="K401" i="25"/>
  <c r="Q338" i="1"/>
  <c r="P338" i="1"/>
  <c r="J332" i="1"/>
  <c r="I333" i="1"/>
  <c r="K402" i="25" l="1"/>
  <c r="J402" i="25"/>
  <c r="I403" i="25"/>
  <c r="I334" i="1"/>
  <c r="G730" i="1" s="1"/>
  <c r="J730" i="1" s="1"/>
  <c r="L730" i="1" s="1"/>
  <c r="J333" i="1"/>
  <c r="N331" i="1"/>
  <c r="I404" i="25" l="1"/>
  <c r="K403" i="25"/>
  <c r="J403" i="25"/>
  <c r="N333" i="1"/>
  <c r="N340" i="1"/>
  <c r="N341" i="1"/>
  <c r="N332" i="1"/>
  <c r="M13" i="1"/>
  <c r="Q332" i="1"/>
  <c r="J334" i="1"/>
  <c r="I335" i="1"/>
  <c r="K404" i="25" l="1"/>
  <c r="I405" i="25"/>
  <c r="J404" i="25"/>
  <c r="J335" i="1"/>
  <c r="I336" i="1"/>
  <c r="Q341" i="1"/>
  <c r="P341" i="1"/>
  <c r="Q340" i="1"/>
  <c r="P340" i="1"/>
  <c r="K405" i="25" l="1"/>
  <c r="I406" i="25"/>
  <c r="J405" i="25"/>
  <c r="I337" i="1"/>
  <c r="J336" i="1"/>
  <c r="I407" i="25" l="1"/>
  <c r="K406" i="25"/>
  <c r="J406" i="25"/>
  <c r="J337" i="1"/>
  <c r="I338" i="1"/>
  <c r="K407" i="25" l="1"/>
  <c r="I408" i="25"/>
  <c r="J407" i="25"/>
  <c r="I339" i="1"/>
  <c r="J338" i="1"/>
  <c r="I409" i="25" l="1"/>
  <c r="K408" i="25"/>
  <c r="J408" i="25"/>
  <c r="I340" i="1"/>
  <c r="J339" i="1"/>
  <c r="I410" i="25" l="1"/>
  <c r="K409" i="25"/>
  <c r="J409" i="25"/>
  <c r="J340" i="1"/>
  <c r="I341" i="1"/>
  <c r="I411" i="25" l="1"/>
  <c r="K410" i="25"/>
  <c r="J410" i="25"/>
  <c r="J341" i="1"/>
  <c r="I342" i="1"/>
  <c r="I412" i="25" l="1"/>
  <c r="J411" i="25"/>
  <c r="K411" i="25"/>
  <c r="I343" i="1"/>
  <c r="J342" i="1"/>
  <c r="I413" i="25" l="1"/>
  <c r="J412" i="25"/>
  <c r="K412" i="25"/>
  <c r="J343" i="1"/>
  <c r="I344" i="1"/>
  <c r="I414" i="25" l="1"/>
  <c r="J413" i="25"/>
  <c r="K413" i="25"/>
  <c r="J344" i="1"/>
  <c r="I345" i="1"/>
  <c r="J414" i="25" l="1"/>
  <c r="K414" i="25"/>
  <c r="I415" i="25"/>
  <c r="I346" i="1"/>
  <c r="J345" i="1"/>
  <c r="I416" i="25" l="1"/>
  <c r="K415" i="25"/>
  <c r="J415" i="25"/>
  <c r="I347" i="1"/>
  <c r="J346" i="1"/>
  <c r="I417" i="25" l="1"/>
  <c r="J416" i="25"/>
  <c r="K416" i="25"/>
  <c r="J347" i="1"/>
  <c r="I348" i="1"/>
  <c r="K417" i="25" l="1"/>
  <c r="I418" i="25"/>
  <c r="J417" i="25"/>
  <c r="J348" i="1"/>
  <c r="I349" i="1"/>
  <c r="I419" i="25" l="1"/>
  <c r="K418" i="25"/>
  <c r="J418" i="25"/>
  <c r="I350" i="1"/>
  <c r="J349" i="1"/>
  <c r="J419" i="25" l="1"/>
  <c r="K419" i="25"/>
  <c r="I420" i="25"/>
  <c r="J350" i="1"/>
  <c r="I351" i="1"/>
  <c r="I421" i="25" l="1"/>
  <c r="K420" i="25"/>
  <c r="J420" i="25"/>
  <c r="I352" i="1"/>
  <c r="J351" i="1"/>
  <c r="I422" i="25" l="1"/>
  <c r="K421" i="25"/>
  <c r="J421" i="25"/>
  <c r="I353" i="1"/>
  <c r="J352" i="1"/>
  <c r="J422" i="25" l="1"/>
  <c r="I423" i="25"/>
  <c r="K422" i="25"/>
  <c r="J353" i="1"/>
  <c r="I354" i="1"/>
  <c r="I424" i="25" l="1"/>
  <c r="J423" i="25"/>
  <c r="K423" i="25"/>
  <c r="J354" i="1"/>
  <c r="I355" i="1"/>
  <c r="I425" i="25" l="1"/>
  <c r="J424" i="25"/>
  <c r="K424" i="25"/>
  <c r="I356" i="1"/>
  <c r="J355" i="1"/>
  <c r="K425" i="25" l="1"/>
  <c r="J425" i="25"/>
  <c r="I426" i="25"/>
  <c r="I357" i="1"/>
  <c r="J356" i="1"/>
  <c r="I427" i="25" l="1"/>
  <c r="K426" i="25"/>
  <c r="J426" i="25"/>
  <c r="I358" i="1"/>
  <c r="J357" i="1"/>
  <c r="I428" i="25" l="1"/>
  <c r="J427" i="25"/>
  <c r="K427" i="25"/>
  <c r="I359" i="1"/>
  <c r="J358" i="1"/>
  <c r="K428" i="25" l="1"/>
  <c r="J428" i="25"/>
  <c r="I429" i="25"/>
  <c r="J359" i="1"/>
  <c r="I360" i="1"/>
  <c r="J429" i="25" l="1"/>
  <c r="I430" i="25"/>
  <c r="K429" i="25"/>
  <c r="I361" i="1"/>
  <c r="J360" i="1"/>
  <c r="I431" i="25" l="1"/>
  <c r="K430" i="25"/>
  <c r="J430" i="25"/>
  <c r="J361" i="1"/>
  <c r="I362" i="1"/>
  <c r="I432" i="25" l="1"/>
  <c r="K431" i="25"/>
  <c r="J431" i="25"/>
  <c r="I363" i="1"/>
  <c r="J362" i="1"/>
  <c r="K432" i="25" l="1"/>
  <c r="J432" i="25"/>
  <c r="I433" i="25"/>
  <c r="J363" i="1"/>
  <c r="I364" i="1"/>
  <c r="I434" i="25" l="1"/>
  <c r="K433" i="25"/>
  <c r="J433" i="25"/>
  <c r="I365" i="1"/>
  <c r="J364" i="1"/>
  <c r="I435" i="25" l="1"/>
  <c r="K434" i="25"/>
  <c r="J434" i="25"/>
  <c r="I366" i="1"/>
  <c r="J365" i="1"/>
  <c r="J435" i="25" l="1"/>
  <c r="K435" i="25"/>
  <c r="I436" i="25"/>
  <c r="I367" i="1"/>
  <c r="J366" i="1"/>
  <c r="I437" i="25" l="1"/>
  <c r="J436" i="25"/>
  <c r="K436" i="25"/>
  <c r="J367" i="1"/>
  <c r="I368" i="1"/>
  <c r="J437" i="25" l="1"/>
  <c r="K437" i="25"/>
  <c r="I438" i="25"/>
  <c r="J368" i="1"/>
  <c r="I369" i="1"/>
  <c r="K438" i="25" l="1"/>
  <c r="J438" i="25"/>
  <c r="I439" i="25"/>
  <c r="J369" i="1"/>
  <c r="I370" i="1"/>
  <c r="I440" i="25" l="1"/>
  <c r="K439" i="25"/>
  <c r="J439" i="25"/>
  <c r="I371" i="1"/>
  <c r="J370" i="1"/>
  <c r="K440" i="25" l="1"/>
  <c r="J440" i="25"/>
  <c r="I441" i="25"/>
  <c r="J371" i="1"/>
  <c r="I372" i="1"/>
  <c r="K441" i="25" l="1"/>
  <c r="I442" i="25"/>
  <c r="J441" i="25"/>
  <c r="I373" i="1"/>
  <c r="J372" i="1"/>
  <c r="I443" i="25" l="1"/>
  <c r="K442" i="25"/>
  <c r="J442" i="25"/>
  <c r="J373" i="1"/>
  <c r="I374" i="1"/>
  <c r="K443" i="25" l="1"/>
  <c r="I444" i="25"/>
  <c r="J443" i="25"/>
  <c r="I375" i="1"/>
  <c r="J374" i="1"/>
  <c r="I445" i="25" l="1"/>
  <c r="K444" i="25"/>
  <c r="J444" i="25"/>
  <c r="I376" i="1"/>
  <c r="J375" i="1"/>
  <c r="I446" i="25" l="1"/>
  <c r="K445" i="25"/>
  <c r="J445" i="25"/>
  <c r="J376" i="1"/>
  <c r="I377" i="1"/>
  <c r="I447" i="25" l="1"/>
  <c r="K446" i="25"/>
  <c r="J446" i="25"/>
  <c r="I378" i="1"/>
  <c r="J377" i="1"/>
  <c r="I448" i="25" l="1"/>
  <c r="J447" i="25"/>
  <c r="K447" i="25"/>
  <c r="I379" i="1"/>
  <c r="J378" i="1"/>
  <c r="I449" i="25" l="1"/>
  <c r="J448" i="25"/>
  <c r="K448" i="25"/>
  <c r="J379" i="1"/>
  <c r="I380" i="1"/>
  <c r="I450" i="25" l="1"/>
  <c r="K449" i="25"/>
  <c r="J449" i="25"/>
  <c r="J380" i="1"/>
  <c r="I381" i="1"/>
  <c r="J450" i="25" l="1"/>
  <c r="I451" i="25"/>
  <c r="K450" i="25"/>
  <c r="J381" i="1"/>
  <c r="I382" i="1"/>
  <c r="I452" i="25" l="1"/>
  <c r="K451" i="25"/>
  <c r="J451" i="25"/>
  <c r="I383" i="1"/>
  <c r="J382" i="1"/>
  <c r="K452" i="25" l="1"/>
  <c r="J452" i="25"/>
  <c r="I453" i="25"/>
  <c r="J383" i="1"/>
  <c r="I384" i="1"/>
  <c r="K453" i="25" l="1"/>
  <c r="I454" i="25"/>
  <c r="J453" i="25"/>
  <c r="I385" i="1"/>
  <c r="J384" i="1"/>
  <c r="I455" i="25" l="1"/>
  <c r="K454" i="25"/>
  <c r="J454" i="25"/>
  <c r="J385" i="1"/>
  <c r="I386" i="1"/>
  <c r="J455" i="25" l="1"/>
  <c r="I456" i="25"/>
  <c r="K455" i="25"/>
  <c r="J386" i="1"/>
  <c r="I387" i="1"/>
  <c r="K456" i="25" l="1"/>
  <c r="J456" i="25"/>
  <c r="I457" i="25"/>
  <c r="J387" i="1"/>
  <c r="I388" i="1"/>
  <c r="I458" i="25" l="1"/>
  <c r="K457" i="25"/>
  <c r="J457" i="25"/>
  <c r="I389" i="1"/>
  <c r="J388" i="1"/>
  <c r="J458" i="25" l="1"/>
  <c r="I459" i="25"/>
  <c r="K458" i="25"/>
  <c r="J389" i="1"/>
  <c r="I390" i="1"/>
  <c r="I460" i="25" l="1"/>
  <c r="J459" i="25"/>
  <c r="K459" i="25"/>
  <c r="J390" i="1"/>
  <c r="I391" i="1"/>
  <c r="I461" i="25" l="1"/>
  <c r="K460" i="25"/>
  <c r="J460" i="25"/>
  <c r="I392" i="1"/>
  <c r="J391" i="1"/>
  <c r="K461" i="25" l="1"/>
  <c r="J461" i="25"/>
  <c r="I462" i="25"/>
  <c r="I393" i="1"/>
  <c r="J392" i="1"/>
  <c r="K462" i="25" l="1"/>
  <c r="J462" i="25"/>
  <c r="I463" i="25"/>
  <c r="J393" i="1"/>
  <c r="I394" i="1"/>
  <c r="I464" i="25" l="1"/>
  <c r="J463" i="25"/>
  <c r="K463" i="25"/>
  <c r="I395" i="1"/>
  <c r="J394" i="1"/>
  <c r="K464" i="25" l="1"/>
  <c r="I465" i="25"/>
  <c r="J464" i="25"/>
  <c r="J395" i="1"/>
  <c r="I396" i="1"/>
  <c r="I466" i="25" l="1"/>
  <c r="K465" i="25"/>
  <c r="J465" i="25"/>
  <c r="I397" i="1"/>
  <c r="J396" i="1"/>
  <c r="I467" i="25" l="1"/>
  <c r="K466" i="25"/>
  <c r="J466" i="25"/>
  <c r="J397" i="1"/>
  <c r="I398" i="1"/>
  <c r="I468" i="25" l="1"/>
  <c r="K467" i="25"/>
  <c r="J467" i="25"/>
  <c r="I399" i="1"/>
  <c r="J398" i="1"/>
  <c r="I469" i="25" l="1"/>
  <c r="K468" i="25"/>
  <c r="J468" i="25"/>
  <c r="I400" i="1"/>
  <c r="J399" i="1"/>
  <c r="I470" i="25" l="1"/>
  <c r="K469" i="25"/>
  <c r="J469" i="25"/>
  <c r="J400" i="1"/>
  <c r="I401" i="1"/>
  <c r="I471" i="25" l="1"/>
  <c r="K470" i="25"/>
  <c r="J470" i="25"/>
  <c r="J401" i="1"/>
  <c r="I402" i="1"/>
  <c r="J471" i="25" l="1"/>
  <c r="I472" i="25"/>
  <c r="K471" i="25"/>
  <c r="J402" i="1"/>
  <c r="I403" i="1"/>
  <c r="I473" i="25" l="1"/>
  <c r="K472" i="25"/>
  <c r="J472" i="25"/>
  <c r="I404" i="1"/>
  <c r="J403" i="1"/>
  <c r="K473" i="25" l="1"/>
  <c r="I474" i="25"/>
  <c r="J473" i="25"/>
  <c r="I405" i="1"/>
  <c r="J404" i="1"/>
  <c r="J474" i="25" l="1"/>
  <c r="I475" i="25"/>
  <c r="K474" i="25"/>
  <c r="I406" i="1"/>
  <c r="J405" i="1"/>
  <c r="J475" i="25" l="1"/>
  <c r="K475" i="25"/>
  <c r="I476" i="25"/>
  <c r="J406" i="1"/>
  <c r="I407" i="1"/>
  <c r="I477" i="25" l="1"/>
  <c r="J476" i="25"/>
  <c r="K476" i="25"/>
  <c r="J407" i="1"/>
  <c r="I408" i="1"/>
  <c r="J477" i="25" l="1"/>
  <c r="K477" i="25"/>
  <c r="I478" i="25"/>
  <c r="I409" i="1"/>
  <c r="J408" i="1"/>
  <c r="K478" i="25" l="1"/>
  <c r="I479" i="25"/>
  <c r="J478" i="25"/>
  <c r="I410" i="1"/>
  <c r="J409" i="1"/>
  <c r="J479" i="25" l="1"/>
  <c r="I480" i="25"/>
  <c r="K479" i="25"/>
  <c r="J410" i="1"/>
  <c r="I411" i="1"/>
  <c r="J480" i="25" l="1"/>
  <c r="I481" i="25"/>
  <c r="K480" i="25"/>
  <c r="J411" i="1"/>
  <c r="I412" i="1"/>
  <c r="J481" i="25" l="1"/>
  <c r="K481" i="25"/>
  <c r="I482" i="25"/>
  <c r="I413" i="1"/>
  <c r="J412" i="1"/>
  <c r="K482" i="25" l="1"/>
  <c r="J482" i="25"/>
  <c r="I483" i="25"/>
  <c r="I414" i="1"/>
  <c r="J413" i="1"/>
  <c r="J483" i="25" l="1"/>
  <c r="I484" i="25"/>
  <c r="K483" i="25"/>
  <c r="I415" i="1"/>
  <c r="J414" i="1"/>
  <c r="I485" i="25" l="1"/>
  <c r="K484" i="25"/>
  <c r="J484" i="25"/>
  <c r="J415" i="1"/>
  <c r="I416" i="1"/>
  <c r="I486" i="25" l="1"/>
  <c r="J485" i="25"/>
  <c r="K485" i="25"/>
  <c r="J416" i="1"/>
  <c r="I417" i="1"/>
  <c r="J486" i="25" l="1"/>
  <c r="K486" i="25"/>
  <c r="I487" i="25"/>
  <c r="J417" i="1"/>
  <c r="I418" i="1"/>
  <c r="K487" i="25" l="1"/>
  <c r="I488" i="25"/>
  <c r="J487" i="25"/>
  <c r="I419" i="1"/>
  <c r="J418" i="1"/>
  <c r="J488" i="25" l="1"/>
  <c r="I489" i="25"/>
  <c r="K488" i="25"/>
  <c r="I420" i="1"/>
  <c r="J419" i="1"/>
  <c r="J489" i="25" l="1"/>
  <c r="I490" i="25"/>
  <c r="K489" i="25"/>
  <c r="I421" i="1"/>
  <c r="J420" i="1"/>
  <c r="I491" i="25" l="1"/>
  <c r="J490" i="25"/>
  <c r="K490" i="25"/>
  <c r="J421" i="1"/>
  <c r="I422" i="1"/>
  <c r="K491" i="25" l="1"/>
  <c r="I492" i="25"/>
  <c r="J491" i="25"/>
  <c r="I423" i="1"/>
  <c r="J422" i="1"/>
  <c r="J492" i="25" l="1"/>
  <c r="K492" i="25"/>
  <c r="I493" i="25"/>
  <c r="I424" i="1"/>
  <c r="J423" i="1"/>
  <c r="I494" i="25" l="1"/>
  <c r="K493" i="25"/>
  <c r="J493" i="25"/>
  <c r="I425" i="1"/>
  <c r="J424" i="1"/>
  <c r="G729" i="25" l="1"/>
  <c r="J729" i="25" s="1"/>
  <c r="K494" i="25"/>
  <c r="J494" i="25"/>
  <c r="I495" i="25"/>
  <c r="I426" i="1"/>
  <c r="J425" i="1"/>
  <c r="J495" i="25" l="1"/>
  <c r="I496" i="25"/>
  <c r="K495" i="25"/>
  <c r="K729" i="25"/>
  <c r="J734" i="25"/>
  <c r="L734" i="25" s="1"/>
  <c r="I427" i="1"/>
  <c r="J426" i="1"/>
  <c r="J496" i="25" l="1"/>
  <c r="I497" i="25"/>
  <c r="K496" i="25"/>
  <c r="I428" i="1"/>
  <c r="J427" i="1"/>
  <c r="I498" i="25" l="1"/>
  <c r="K497" i="25"/>
  <c r="J497" i="25"/>
  <c r="I429" i="1"/>
  <c r="J428" i="1"/>
  <c r="J498" i="25" l="1"/>
  <c r="I499" i="25"/>
  <c r="K498" i="25"/>
  <c r="J429" i="1"/>
  <c r="I430" i="1"/>
  <c r="I500" i="25" l="1"/>
  <c r="K499" i="25"/>
  <c r="J499" i="25"/>
  <c r="J430" i="1"/>
  <c r="I431" i="1"/>
  <c r="I501" i="25" l="1"/>
  <c r="J500" i="25"/>
  <c r="K500" i="25"/>
  <c r="J431" i="1"/>
  <c r="I432" i="1"/>
  <c r="J501" i="25" l="1"/>
  <c r="K501" i="25"/>
  <c r="I502" i="25"/>
  <c r="I433" i="1"/>
  <c r="J432" i="1"/>
  <c r="J502" i="25" l="1"/>
  <c r="K502" i="25"/>
  <c r="I503" i="25"/>
  <c r="I434" i="1"/>
  <c r="J433" i="1"/>
  <c r="J503" i="25" l="1"/>
  <c r="I504" i="25"/>
  <c r="K503" i="25"/>
  <c r="I435" i="1"/>
  <c r="J434" i="1"/>
  <c r="J504" i="25" l="1"/>
  <c r="I505" i="25"/>
  <c r="K504" i="25"/>
  <c r="I436" i="1"/>
  <c r="J435" i="1"/>
  <c r="K505" i="25" l="1"/>
  <c r="I506" i="25"/>
  <c r="J505" i="25"/>
  <c r="I437" i="1"/>
  <c r="J436" i="1"/>
  <c r="J506" i="25" l="1"/>
  <c r="I507" i="25"/>
  <c r="K506" i="25"/>
  <c r="J437" i="1"/>
  <c r="I438" i="1"/>
  <c r="J507" i="25" l="1"/>
  <c r="I508" i="25"/>
  <c r="K507" i="25"/>
  <c r="J438" i="1"/>
  <c r="I439" i="1"/>
  <c r="K508" i="25" l="1"/>
  <c r="J508" i="25"/>
  <c r="I509" i="25"/>
  <c r="J439" i="1"/>
  <c r="I440" i="1"/>
  <c r="K509" i="25" l="1"/>
  <c r="I510" i="25"/>
  <c r="J509" i="25"/>
  <c r="J440" i="1"/>
  <c r="I441" i="1"/>
  <c r="J510" i="25" l="1"/>
  <c r="I511" i="25"/>
  <c r="K510" i="25"/>
  <c r="J441" i="1"/>
  <c r="I442" i="1"/>
  <c r="J511" i="25" l="1"/>
  <c r="I512" i="25"/>
  <c r="K511" i="25"/>
  <c r="J442" i="1"/>
  <c r="I443" i="1"/>
  <c r="K512" i="25" l="1"/>
  <c r="J512" i="25"/>
  <c r="I513" i="25"/>
  <c r="J443" i="1"/>
  <c r="I444" i="1"/>
  <c r="J513" i="25" l="1"/>
  <c r="I514" i="25"/>
  <c r="K513" i="25"/>
  <c r="I445" i="1"/>
  <c r="J444" i="1"/>
  <c r="K514" i="25" l="1"/>
  <c r="I515" i="25"/>
  <c r="J514" i="25"/>
  <c r="I446" i="1"/>
  <c r="J445" i="1"/>
  <c r="K515" i="25" l="1"/>
  <c r="I516" i="25"/>
  <c r="J515" i="25"/>
  <c r="J446" i="1"/>
  <c r="I447" i="1"/>
  <c r="J516" i="25" l="1"/>
  <c r="K516" i="25"/>
  <c r="I517" i="25"/>
  <c r="I448" i="1"/>
  <c r="J447" i="1"/>
  <c r="I518" i="25" l="1"/>
  <c r="J517" i="25"/>
  <c r="K517" i="25"/>
  <c r="J448" i="1"/>
  <c r="I449" i="1"/>
  <c r="J518" i="25" l="1"/>
  <c r="K518" i="25"/>
  <c r="I519" i="25"/>
  <c r="I450" i="1"/>
  <c r="J449" i="1"/>
  <c r="J519" i="25" l="1"/>
  <c r="K519" i="25"/>
  <c r="I520" i="25"/>
  <c r="I451" i="1"/>
  <c r="J450" i="1"/>
  <c r="I521" i="25" l="1"/>
  <c r="J520" i="25"/>
  <c r="K520" i="25"/>
  <c r="I452" i="1"/>
  <c r="J451" i="1"/>
  <c r="K521" i="25" l="1"/>
  <c r="J521" i="25"/>
  <c r="I522" i="25"/>
  <c r="J452" i="1"/>
  <c r="I453" i="1"/>
  <c r="J522" i="25" l="1"/>
  <c r="K522" i="25"/>
  <c r="I523" i="25"/>
  <c r="J453" i="1"/>
  <c r="I454" i="1"/>
  <c r="K523" i="25" l="1"/>
  <c r="J523" i="25"/>
  <c r="I524" i="25"/>
  <c r="I455" i="1"/>
  <c r="J454" i="1"/>
  <c r="J524" i="25" l="1"/>
  <c r="I525" i="25"/>
  <c r="K524" i="25"/>
  <c r="J455" i="1"/>
  <c r="I456" i="1"/>
  <c r="J525" i="25" l="1"/>
  <c r="I526" i="25"/>
  <c r="K525" i="25"/>
  <c r="J456" i="1"/>
  <c r="I457" i="1"/>
  <c r="I527" i="25" l="1"/>
  <c r="K526" i="25"/>
  <c r="J526" i="25"/>
  <c r="I458" i="1"/>
  <c r="I459" i="1" s="1"/>
  <c r="J457" i="1"/>
  <c r="K527" i="25" l="1"/>
  <c r="J527" i="25"/>
  <c r="I528" i="25"/>
  <c r="J459" i="1"/>
  <c r="I460" i="1"/>
  <c r="J458" i="1"/>
  <c r="J528" i="25" l="1"/>
  <c r="K528" i="25"/>
  <c r="I529" i="25"/>
  <c r="I461" i="1"/>
  <c r="J460" i="1"/>
  <c r="K529" i="25" l="1"/>
  <c r="J529" i="25"/>
  <c r="I530" i="25"/>
  <c r="J461" i="1"/>
  <c r="I462" i="1"/>
  <c r="I531" i="25" l="1"/>
  <c r="K530" i="25"/>
  <c r="J530" i="25"/>
  <c r="J462" i="1"/>
  <c r="I463" i="1"/>
  <c r="J531" i="25" l="1"/>
  <c r="I532" i="25"/>
  <c r="K531" i="25"/>
  <c r="J463" i="1"/>
  <c r="I464" i="1"/>
  <c r="I533" i="25" l="1"/>
  <c r="K532" i="25"/>
  <c r="J532" i="25"/>
  <c r="I465" i="1"/>
  <c r="J464" i="1"/>
  <c r="I534" i="25" l="1"/>
  <c r="J533" i="25"/>
  <c r="K533" i="25"/>
  <c r="J465" i="1"/>
  <c r="I466" i="1"/>
  <c r="J534" i="25" l="1"/>
  <c r="K534" i="25"/>
  <c r="I535" i="25"/>
  <c r="J466" i="1"/>
  <c r="I467" i="1"/>
  <c r="I536" i="25" l="1"/>
  <c r="K535" i="25"/>
  <c r="J535" i="25"/>
  <c r="J467" i="1"/>
  <c r="I468" i="1"/>
  <c r="J536" i="25" l="1"/>
  <c r="I537" i="25"/>
  <c r="K536" i="25"/>
  <c r="J468" i="1"/>
  <c r="I469" i="1"/>
  <c r="J537" i="25" l="1"/>
  <c r="K537" i="25"/>
  <c r="I538" i="25"/>
  <c r="J469" i="1"/>
  <c r="I470" i="1"/>
  <c r="K538" i="25" l="1"/>
  <c r="J538" i="25"/>
  <c r="I539" i="25"/>
  <c r="J470" i="1"/>
  <c r="I471" i="1"/>
  <c r="I540" i="25" l="1"/>
  <c r="J539" i="25"/>
  <c r="K539" i="25"/>
  <c r="I472" i="1"/>
  <c r="J471" i="1"/>
  <c r="J540" i="25" l="1"/>
  <c r="K540" i="25"/>
  <c r="I541" i="25"/>
  <c r="J472" i="1"/>
  <c r="I473" i="1"/>
  <c r="K541" i="25" l="1"/>
  <c r="I542" i="25"/>
  <c r="J541" i="25"/>
  <c r="I474" i="1"/>
  <c r="J473" i="1"/>
  <c r="I543" i="25" l="1"/>
  <c r="K542" i="25"/>
  <c r="J542" i="25"/>
  <c r="J474" i="1"/>
  <c r="I475" i="1"/>
  <c r="J543" i="25" l="1"/>
  <c r="I544" i="25"/>
  <c r="K543" i="25"/>
  <c r="J475" i="1"/>
  <c r="I476" i="1"/>
  <c r="J544" i="25" l="1"/>
  <c r="I545" i="25"/>
  <c r="K544" i="25"/>
  <c r="J476" i="1"/>
  <c r="I477" i="1"/>
  <c r="K545" i="25" l="1"/>
  <c r="J545" i="25"/>
  <c r="I546" i="25"/>
  <c r="I478" i="1"/>
  <c r="J477" i="1"/>
  <c r="J546" i="25" l="1"/>
  <c r="I547" i="25"/>
  <c r="K546" i="25"/>
  <c r="J478" i="1"/>
  <c r="I479" i="1"/>
  <c r="J547" i="25" l="1"/>
  <c r="I548" i="25"/>
  <c r="K547" i="25"/>
  <c r="I480" i="1"/>
  <c r="J479" i="1"/>
  <c r="I549" i="25" l="1"/>
  <c r="J548" i="25"/>
  <c r="K548" i="25"/>
  <c r="I481" i="1"/>
  <c r="J480" i="1"/>
  <c r="J549" i="25" l="1"/>
  <c r="I550" i="25"/>
  <c r="K549" i="25"/>
  <c r="I482" i="1"/>
  <c r="J481" i="1"/>
  <c r="K550" i="25" l="1"/>
  <c r="J550" i="25"/>
  <c r="I551" i="25"/>
  <c r="J482" i="1"/>
  <c r="I483" i="1"/>
  <c r="K551" i="25" l="1"/>
  <c r="I552" i="25"/>
  <c r="J551" i="25"/>
  <c r="J483" i="1"/>
  <c r="I484" i="1"/>
  <c r="J552" i="25" l="1"/>
  <c r="I553" i="25"/>
  <c r="K552" i="25"/>
  <c r="J484" i="1"/>
  <c r="I485" i="1"/>
  <c r="K553" i="25" l="1"/>
  <c r="J553" i="25"/>
  <c r="I554" i="25"/>
  <c r="I486" i="1"/>
  <c r="J485" i="1"/>
  <c r="J554" i="25" l="1"/>
  <c r="K554" i="25"/>
  <c r="I555" i="25"/>
  <c r="I487" i="1"/>
  <c r="J486" i="1"/>
  <c r="J555" i="25" l="1"/>
  <c r="I556" i="25"/>
  <c r="K555" i="25"/>
  <c r="I488" i="1"/>
  <c r="J487" i="1"/>
  <c r="I557" i="25" l="1"/>
  <c r="J556" i="25"/>
  <c r="K556" i="25"/>
  <c r="J488" i="1"/>
  <c r="I489" i="1"/>
  <c r="J557" i="25" l="1"/>
  <c r="I558" i="25"/>
  <c r="K557" i="25"/>
  <c r="I490" i="1"/>
  <c r="J489" i="1"/>
  <c r="J558" i="25" l="1"/>
  <c r="K558" i="25"/>
  <c r="I559" i="25"/>
  <c r="J490" i="1"/>
  <c r="I491" i="1"/>
  <c r="I560" i="25" l="1"/>
  <c r="J559" i="25"/>
  <c r="K559" i="25"/>
  <c r="I492" i="1"/>
  <c r="J491" i="1"/>
  <c r="J560" i="25" l="1"/>
  <c r="I561" i="25"/>
  <c r="K560" i="25"/>
  <c r="J492" i="1"/>
  <c r="I493" i="1"/>
  <c r="J561" i="25" l="1"/>
  <c r="I562" i="25"/>
  <c r="K561" i="25"/>
  <c r="I494" i="1"/>
  <c r="J493" i="1"/>
  <c r="J562" i="25" l="1"/>
  <c r="K562" i="25"/>
  <c r="I563" i="25"/>
  <c r="I495" i="1"/>
  <c r="J495" i="1" s="1"/>
  <c r="G729" i="1"/>
  <c r="J729" i="1" s="1"/>
  <c r="J494" i="1"/>
  <c r="K563" i="25" l="1"/>
  <c r="J563" i="25"/>
  <c r="I564" i="25"/>
  <c r="I496" i="1"/>
  <c r="I497" i="1" s="1"/>
  <c r="L729" i="1"/>
  <c r="J734" i="1"/>
  <c r="M734" i="1" s="1"/>
  <c r="J564" i="25" l="1"/>
  <c r="K564" i="25"/>
  <c r="I565" i="25"/>
  <c r="J496" i="1"/>
  <c r="J497" i="1"/>
  <c r="I498" i="1"/>
  <c r="I566" i="25" l="1"/>
  <c r="K565" i="25"/>
  <c r="J565" i="25"/>
  <c r="J498" i="1"/>
  <c r="I499" i="1"/>
  <c r="I567" i="25" l="1"/>
  <c r="J566" i="25"/>
  <c r="K566" i="25"/>
  <c r="I500" i="1"/>
  <c r="J499" i="1"/>
  <c r="J567" i="25" l="1"/>
  <c r="K567" i="25"/>
  <c r="I568" i="25"/>
  <c r="I501" i="1"/>
  <c r="J500" i="1"/>
  <c r="J568" i="25" l="1"/>
  <c r="K568" i="25"/>
  <c r="I569" i="25"/>
  <c r="J501" i="1"/>
  <c r="I502" i="1"/>
  <c r="I570" i="25" l="1"/>
  <c r="J569" i="25"/>
  <c r="K569" i="25"/>
  <c r="J502" i="1"/>
  <c r="I503" i="1"/>
  <c r="J570" i="25" l="1"/>
  <c r="I571" i="25"/>
  <c r="K570" i="25"/>
  <c r="I504" i="1"/>
  <c r="J503" i="1"/>
  <c r="J571" i="25" l="1"/>
  <c r="I572" i="25"/>
  <c r="K571" i="25"/>
  <c r="J504" i="1"/>
  <c r="I505" i="1"/>
  <c r="I573" i="25" l="1"/>
  <c r="K572" i="25"/>
  <c r="J572" i="25"/>
  <c r="I506" i="1"/>
  <c r="J505" i="1"/>
  <c r="J573" i="25" l="1"/>
  <c r="K573" i="25"/>
  <c r="I574" i="25"/>
  <c r="J506" i="1"/>
  <c r="I507" i="1"/>
  <c r="K574" i="25" l="1"/>
  <c r="J574" i="25"/>
  <c r="I575" i="25"/>
  <c r="I508" i="1"/>
  <c r="J507" i="1"/>
  <c r="I576" i="25" l="1"/>
  <c r="J575" i="25"/>
  <c r="K575" i="25"/>
  <c r="I509" i="1"/>
  <c r="J508" i="1"/>
  <c r="J576" i="25" l="1"/>
  <c r="K576" i="25"/>
  <c r="I577" i="25"/>
  <c r="J509" i="1"/>
  <c r="I510" i="1"/>
  <c r="I578" i="25" l="1"/>
  <c r="K577" i="25"/>
  <c r="J577" i="25"/>
  <c r="J510" i="1"/>
  <c r="I511" i="1"/>
  <c r="J578" i="25" l="1"/>
  <c r="I579" i="25"/>
  <c r="K578" i="25"/>
  <c r="J511" i="1"/>
  <c r="I512" i="1"/>
  <c r="J579" i="25" l="1"/>
  <c r="I580" i="25"/>
  <c r="K579" i="25"/>
  <c r="I513" i="1"/>
  <c r="J512" i="1"/>
  <c r="K580" i="25" l="1"/>
  <c r="I581" i="25"/>
  <c r="J580" i="25"/>
  <c r="I514" i="1"/>
  <c r="J513" i="1"/>
  <c r="K581" i="25" l="1"/>
  <c r="I582" i="25"/>
  <c r="J581" i="25"/>
  <c r="I515" i="1"/>
  <c r="J514" i="1"/>
  <c r="J582" i="25" l="1"/>
  <c r="I583" i="25"/>
  <c r="K582" i="25"/>
  <c r="I516" i="1"/>
  <c r="J515" i="1"/>
  <c r="J583" i="25" l="1"/>
  <c r="I584" i="25"/>
  <c r="K583" i="25"/>
  <c r="I517" i="1"/>
  <c r="J516" i="1"/>
  <c r="I585" i="25" l="1"/>
  <c r="J584" i="25"/>
  <c r="K584" i="25"/>
  <c r="J517" i="1"/>
  <c r="I518" i="1"/>
  <c r="J585" i="25" l="1"/>
  <c r="I586" i="25"/>
  <c r="K585" i="25"/>
  <c r="I519" i="1"/>
  <c r="J518" i="1"/>
  <c r="K586" i="25" l="1"/>
  <c r="J586" i="25"/>
  <c r="I587" i="25"/>
  <c r="I520" i="1"/>
  <c r="J519" i="1"/>
  <c r="I588" i="25" l="1"/>
  <c r="K587" i="25"/>
  <c r="J587" i="25"/>
  <c r="I521" i="1"/>
  <c r="J520" i="1"/>
  <c r="J588" i="25" l="1"/>
  <c r="K588" i="25"/>
  <c r="I589" i="25"/>
  <c r="J521" i="1"/>
  <c r="I522" i="1"/>
  <c r="K589" i="25" l="1"/>
  <c r="J589" i="25"/>
  <c r="I590" i="25"/>
  <c r="J522" i="1"/>
  <c r="I523" i="1"/>
  <c r="J590" i="25" l="1"/>
  <c r="K590" i="25"/>
  <c r="I591" i="25"/>
  <c r="J523" i="1"/>
  <c r="I524" i="1"/>
  <c r="J591" i="25" l="1"/>
  <c r="I592" i="25"/>
  <c r="K591" i="25"/>
  <c r="J524" i="1"/>
  <c r="I525" i="1"/>
  <c r="I593" i="25" l="1"/>
  <c r="K592" i="25"/>
  <c r="J592" i="25"/>
  <c r="I526" i="1"/>
  <c r="J525" i="1"/>
  <c r="J593" i="25" l="1"/>
  <c r="I594" i="25"/>
  <c r="K593" i="25"/>
  <c r="I527" i="1"/>
  <c r="J526" i="1"/>
  <c r="J594" i="25" l="1"/>
  <c r="K594" i="25"/>
  <c r="I595" i="25"/>
  <c r="I528" i="1"/>
  <c r="J527" i="1"/>
  <c r="K595" i="25" l="1"/>
  <c r="J595" i="25"/>
  <c r="I596" i="25"/>
  <c r="I529" i="1"/>
  <c r="J528" i="1"/>
  <c r="J596" i="25" l="1"/>
  <c r="I597" i="25"/>
  <c r="K596" i="25"/>
  <c r="J529" i="1"/>
  <c r="I530" i="1"/>
  <c r="J597" i="25" l="1"/>
  <c r="K597" i="25"/>
  <c r="I598" i="25"/>
  <c r="I531" i="1"/>
  <c r="J530" i="1"/>
  <c r="I599" i="25" l="1"/>
  <c r="K598" i="25"/>
  <c r="J598" i="25"/>
  <c r="I532" i="1"/>
  <c r="J531" i="1"/>
  <c r="K599" i="25" l="1"/>
  <c r="J599" i="25"/>
  <c r="I600" i="25"/>
  <c r="I533" i="1"/>
  <c r="J532" i="1"/>
  <c r="J600" i="25" l="1"/>
  <c r="I601" i="25"/>
  <c r="K600" i="25"/>
  <c r="J533" i="1"/>
  <c r="I534" i="1"/>
  <c r="I602" i="25" l="1"/>
  <c r="K601" i="25"/>
  <c r="J601" i="25"/>
  <c r="J534" i="1"/>
  <c r="I535" i="1"/>
  <c r="K602" i="25" l="1"/>
  <c r="I603" i="25"/>
  <c r="J602" i="25"/>
  <c r="I536" i="1"/>
  <c r="J535" i="1"/>
  <c r="J603" i="25" l="1"/>
  <c r="I604" i="25"/>
  <c r="K603" i="25"/>
  <c r="I537" i="1"/>
  <c r="J536" i="1"/>
  <c r="K604" i="25" l="1"/>
  <c r="J604" i="25"/>
  <c r="I605" i="25"/>
  <c r="I538" i="1"/>
  <c r="J537" i="1"/>
  <c r="I606" i="25" l="1"/>
  <c r="K605" i="25"/>
  <c r="J605" i="25"/>
  <c r="J538" i="1"/>
  <c r="I539" i="1"/>
  <c r="J606" i="25" l="1"/>
  <c r="I607" i="25"/>
  <c r="K606" i="25"/>
  <c r="I540" i="1"/>
  <c r="J539" i="1"/>
  <c r="I608" i="25" l="1"/>
  <c r="K607" i="25"/>
  <c r="J607" i="25"/>
  <c r="J540" i="1"/>
  <c r="I541" i="1"/>
  <c r="J608" i="25" l="1"/>
  <c r="I609" i="25"/>
  <c r="K608" i="25"/>
  <c r="J541" i="1"/>
  <c r="I542" i="1"/>
  <c r="J609" i="25" l="1"/>
  <c r="K609" i="25"/>
  <c r="I610" i="25"/>
  <c r="I543" i="1"/>
  <c r="J542" i="1"/>
  <c r="J610" i="25" l="1"/>
  <c r="I611" i="25"/>
  <c r="K610" i="25"/>
  <c r="I544" i="1"/>
  <c r="J543" i="1"/>
  <c r="K611" i="25" l="1"/>
  <c r="J611" i="25"/>
  <c r="I612" i="25"/>
  <c r="J544" i="1"/>
  <c r="I545" i="1"/>
  <c r="J612" i="25" l="1"/>
  <c r="I613" i="25"/>
  <c r="K612" i="25"/>
  <c r="I546" i="1"/>
  <c r="J545" i="1"/>
  <c r="J613" i="25" l="1"/>
  <c r="I614" i="25"/>
  <c r="K613" i="25"/>
  <c r="I547" i="1"/>
  <c r="J546" i="1"/>
  <c r="I615" i="25" l="1"/>
  <c r="K614" i="25"/>
  <c r="J614" i="25"/>
  <c r="J547" i="1"/>
  <c r="I548" i="1"/>
  <c r="J615" i="25" l="1"/>
  <c r="I616" i="25"/>
  <c r="K615" i="25"/>
  <c r="J548" i="1"/>
  <c r="I549" i="1"/>
  <c r="K616" i="25" l="1"/>
  <c r="I617" i="25"/>
  <c r="J616" i="25"/>
  <c r="J549" i="1"/>
  <c r="I550" i="1"/>
  <c r="K617" i="25" l="1"/>
  <c r="J617" i="25"/>
  <c r="I618" i="25"/>
  <c r="I551" i="1"/>
  <c r="J550" i="1"/>
  <c r="J618" i="25" l="1"/>
  <c r="I619" i="25"/>
  <c r="K618" i="25"/>
  <c r="I552" i="1"/>
  <c r="J551" i="1"/>
  <c r="J619" i="25" l="1"/>
  <c r="I620" i="25"/>
  <c r="K619" i="25"/>
  <c r="I553" i="1"/>
  <c r="J552" i="1"/>
  <c r="I621" i="25" l="1"/>
  <c r="J620" i="25"/>
  <c r="K620" i="25"/>
  <c r="I554" i="1"/>
  <c r="J553" i="1"/>
  <c r="J621" i="25" l="1"/>
  <c r="K621" i="25"/>
  <c r="I622" i="25"/>
  <c r="J554" i="1"/>
  <c r="I555" i="1"/>
  <c r="K622" i="25" l="1"/>
  <c r="I623" i="25"/>
  <c r="J622" i="25"/>
  <c r="J555" i="1"/>
  <c r="I556" i="1"/>
  <c r="K623" i="25" l="1"/>
  <c r="I624" i="25"/>
  <c r="J623" i="25"/>
  <c r="I557" i="1"/>
  <c r="J556" i="1"/>
  <c r="J624" i="25" l="1"/>
  <c r="K624" i="25"/>
  <c r="I625" i="25"/>
  <c r="I558" i="1"/>
  <c r="J557" i="1"/>
  <c r="J625" i="25" l="1"/>
  <c r="I626" i="25"/>
  <c r="K625" i="25"/>
  <c r="I559" i="1"/>
  <c r="J558" i="1"/>
  <c r="I627" i="25" l="1"/>
  <c r="K626" i="25"/>
  <c r="J626" i="25"/>
  <c r="I560" i="1"/>
  <c r="J559" i="1"/>
  <c r="J627" i="25" l="1"/>
  <c r="I628" i="25"/>
  <c r="K627" i="25"/>
  <c r="I561" i="1"/>
  <c r="J560" i="1"/>
  <c r="I629" i="25" l="1"/>
  <c r="K628" i="25"/>
  <c r="J628" i="25"/>
  <c r="J561" i="1"/>
  <c r="I562" i="1"/>
  <c r="I630" i="25" l="1"/>
  <c r="K629" i="25"/>
  <c r="J629" i="25"/>
  <c r="I563" i="1"/>
  <c r="J562" i="1"/>
  <c r="J630" i="25" l="1"/>
  <c r="K630" i="25"/>
  <c r="I631" i="25"/>
  <c r="J563" i="1"/>
  <c r="I564" i="1"/>
  <c r="K631" i="25" l="1"/>
  <c r="J631" i="25"/>
  <c r="I632" i="25"/>
  <c r="J564" i="1"/>
  <c r="I565" i="1"/>
  <c r="J632" i="25" l="1"/>
  <c r="I633" i="25"/>
  <c r="K632" i="25"/>
  <c r="I566" i="1"/>
  <c r="J565" i="1"/>
  <c r="J633" i="25" l="1"/>
  <c r="I634" i="25"/>
  <c r="K633" i="25"/>
  <c r="J566" i="1"/>
  <c r="I567" i="1"/>
  <c r="J634" i="25" l="1"/>
  <c r="K634" i="25"/>
  <c r="I635" i="25"/>
  <c r="J567" i="1"/>
  <c r="I568" i="1"/>
  <c r="K635" i="25" l="1"/>
  <c r="J635" i="25"/>
  <c r="I636" i="25"/>
  <c r="I569" i="1"/>
  <c r="J568" i="1"/>
  <c r="J636" i="25" l="1"/>
  <c r="I637" i="25"/>
  <c r="K636" i="25"/>
  <c r="J569" i="1"/>
  <c r="I570" i="1"/>
  <c r="K637" i="25" l="1"/>
  <c r="I638" i="25"/>
  <c r="J637" i="25"/>
  <c r="I571" i="1"/>
  <c r="J570" i="1"/>
  <c r="K638" i="25" l="1"/>
  <c r="J638" i="25"/>
  <c r="I639" i="25"/>
  <c r="I572" i="1"/>
  <c r="J571" i="1"/>
  <c r="J639" i="25" l="1"/>
  <c r="I640" i="25"/>
  <c r="K639" i="25"/>
  <c r="I573" i="1"/>
  <c r="J572" i="1"/>
  <c r="I641" i="25" l="1"/>
  <c r="K640" i="25"/>
  <c r="J640" i="25"/>
  <c r="I574" i="1"/>
  <c r="J573" i="1"/>
  <c r="I642" i="25" l="1"/>
  <c r="K641" i="25"/>
  <c r="J641" i="25"/>
  <c r="I575" i="1"/>
  <c r="J574" i="1"/>
  <c r="J642" i="25" l="1"/>
  <c r="K642" i="25"/>
  <c r="I643" i="25"/>
  <c r="I576" i="1"/>
  <c r="J575" i="1"/>
  <c r="I644" i="25" l="1"/>
  <c r="K643" i="25"/>
  <c r="J643" i="25"/>
  <c r="J576" i="1"/>
  <c r="I577" i="1"/>
  <c r="K644" i="25" l="1"/>
  <c r="J644" i="25"/>
  <c r="I645" i="25"/>
  <c r="J577" i="1"/>
  <c r="I578" i="1"/>
  <c r="J645" i="25" l="1"/>
  <c r="K645" i="25"/>
  <c r="I646" i="25"/>
  <c r="J578" i="1"/>
  <c r="I579" i="1"/>
  <c r="K646" i="25" l="1"/>
  <c r="J646" i="25"/>
  <c r="I647" i="25"/>
  <c r="I580" i="1"/>
  <c r="J579" i="1"/>
  <c r="I648" i="25" l="1"/>
  <c r="K647" i="25"/>
  <c r="J647" i="25"/>
  <c r="I581" i="1"/>
  <c r="J580" i="1"/>
  <c r="J648" i="25" l="1"/>
  <c r="I649" i="25"/>
  <c r="K648" i="25"/>
  <c r="I582" i="1"/>
  <c r="J581" i="1"/>
  <c r="I650" i="25" l="1"/>
  <c r="K649" i="25"/>
  <c r="J649" i="25"/>
  <c r="I583" i="1"/>
  <c r="J582" i="1"/>
  <c r="I651" i="25" l="1"/>
  <c r="J650" i="25"/>
  <c r="K650" i="25"/>
  <c r="I584" i="1"/>
  <c r="J583" i="1"/>
  <c r="J651" i="25" l="1"/>
  <c r="I652" i="25"/>
  <c r="K651" i="25"/>
  <c r="J584" i="1"/>
  <c r="I585" i="1"/>
  <c r="I653" i="25" l="1"/>
  <c r="K652" i="25"/>
  <c r="J652" i="25"/>
  <c r="J585" i="1"/>
  <c r="I586" i="1"/>
  <c r="I654" i="25" l="1"/>
  <c r="J653" i="25"/>
  <c r="K653" i="25"/>
  <c r="J586" i="1"/>
  <c r="I587" i="1"/>
  <c r="J654" i="25" l="1"/>
  <c r="I655" i="25"/>
  <c r="K654" i="25"/>
  <c r="I588" i="1"/>
  <c r="J587" i="1"/>
  <c r="J655" i="25" l="1"/>
  <c r="K655" i="25"/>
  <c r="I656" i="25"/>
  <c r="I589" i="1"/>
  <c r="J588" i="1"/>
  <c r="I657" i="25" l="1"/>
  <c r="K656" i="25"/>
  <c r="J656" i="25"/>
  <c r="I590" i="1"/>
  <c r="J589" i="1"/>
  <c r="J657" i="25" l="1"/>
  <c r="I658" i="25"/>
  <c r="K657" i="25"/>
  <c r="I591" i="1"/>
  <c r="J590" i="1"/>
  <c r="K658" i="25" l="1"/>
  <c r="J658" i="25"/>
  <c r="I659" i="25"/>
  <c r="J591" i="1"/>
  <c r="I592" i="1"/>
  <c r="J659" i="25" l="1"/>
  <c r="I660" i="25"/>
  <c r="K659" i="25"/>
  <c r="I593" i="1"/>
  <c r="J592" i="1"/>
  <c r="J660" i="25" l="1"/>
  <c r="K660" i="25"/>
  <c r="I661" i="25"/>
  <c r="J593" i="1"/>
  <c r="I594" i="1"/>
  <c r="I662" i="25" l="1"/>
  <c r="K661" i="25"/>
  <c r="J661" i="25"/>
  <c r="J594" i="1"/>
  <c r="I595" i="1"/>
  <c r="I663" i="25" l="1"/>
  <c r="K662" i="25"/>
  <c r="J662" i="25"/>
  <c r="I596" i="1"/>
  <c r="J595" i="1"/>
  <c r="J663" i="25" l="1"/>
  <c r="I664" i="25"/>
  <c r="K663" i="25"/>
  <c r="I597" i="1"/>
  <c r="J596" i="1"/>
  <c r="I665" i="25" l="1"/>
  <c r="K664" i="25"/>
  <c r="J664" i="25"/>
  <c r="I598" i="1"/>
  <c r="J597" i="1"/>
  <c r="K665" i="25" l="1"/>
  <c r="J665" i="25"/>
  <c r="I666" i="25"/>
  <c r="J598" i="1"/>
  <c r="I599" i="1"/>
  <c r="J666" i="25" l="1"/>
  <c r="I667" i="25"/>
  <c r="K666" i="25"/>
  <c r="I600" i="1"/>
  <c r="J599" i="1"/>
  <c r="J667" i="25" l="1"/>
  <c r="I668" i="25"/>
  <c r="K667" i="25"/>
  <c r="I601" i="1"/>
  <c r="J600" i="1"/>
  <c r="J668" i="25" l="1"/>
  <c r="I669" i="25"/>
  <c r="K668" i="25"/>
  <c r="I602" i="1"/>
  <c r="J601" i="1"/>
  <c r="J669" i="25" l="1"/>
  <c r="I670" i="25"/>
  <c r="K669" i="25"/>
  <c r="I603" i="1"/>
  <c r="J602" i="1"/>
  <c r="I671" i="25" l="1"/>
  <c r="K670" i="25"/>
  <c r="J670" i="25"/>
  <c r="I604" i="1"/>
  <c r="J603" i="1"/>
  <c r="K671" i="25" l="1"/>
  <c r="I672" i="25"/>
  <c r="J671" i="25"/>
  <c r="J604" i="1"/>
  <c r="I605" i="1"/>
  <c r="J672" i="25" l="1"/>
  <c r="K672" i="25"/>
  <c r="I673" i="25"/>
  <c r="I606" i="1"/>
  <c r="J605" i="1"/>
  <c r="I674" i="25" l="1"/>
  <c r="K673" i="25"/>
  <c r="J673" i="25"/>
  <c r="I607" i="1"/>
  <c r="J606" i="1"/>
  <c r="I675" i="25" l="1"/>
  <c r="K674" i="25"/>
  <c r="J674" i="25"/>
  <c r="J607" i="1"/>
  <c r="I608" i="1"/>
  <c r="J675" i="25" l="1"/>
  <c r="I676" i="25"/>
  <c r="K675" i="25"/>
  <c r="I609" i="1"/>
  <c r="J608" i="1"/>
  <c r="K676" i="25" l="1"/>
  <c r="J676" i="25"/>
  <c r="I677" i="25"/>
  <c r="J609" i="1"/>
  <c r="I610" i="1"/>
  <c r="I678" i="25" l="1"/>
  <c r="K677" i="25"/>
  <c r="J677" i="25"/>
  <c r="J610" i="1"/>
  <c r="I611" i="1"/>
  <c r="J678" i="25" l="1"/>
  <c r="I679" i="25"/>
  <c r="K678" i="25"/>
  <c r="J611" i="1"/>
  <c r="I612" i="1"/>
  <c r="K679" i="25" l="1"/>
  <c r="J679" i="25"/>
  <c r="I680" i="25"/>
  <c r="J612" i="1"/>
  <c r="I613" i="1"/>
  <c r="J680" i="25" l="1"/>
  <c r="I681" i="25"/>
  <c r="K680" i="25"/>
  <c r="J613" i="1"/>
  <c r="I614" i="1"/>
  <c r="J681" i="25" l="1"/>
  <c r="K681" i="25"/>
  <c r="I682" i="25"/>
  <c r="J614" i="1"/>
  <c r="I615" i="1"/>
  <c r="I683" i="25" l="1"/>
  <c r="K682" i="25"/>
  <c r="J682" i="25"/>
  <c r="J615" i="1"/>
  <c r="I616" i="1"/>
  <c r="I684" i="25" l="1"/>
  <c r="K683" i="25"/>
  <c r="J683" i="25"/>
  <c r="I617" i="1"/>
  <c r="J616" i="1"/>
  <c r="J684" i="25" l="1"/>
  <c r="K684" i="25"/>
  <c r="I685" i="25"/>
  <c r="J617" i="1"/>
  <c r="I618" i="1"/>
  <c r="I686" i="25" l="1"/>
  <c r="K685" i="25"/>
  <c r="J685" i="25"/>
  <c r="J618" i="1"/>
  <c r="I619" i="1"/>
  <c r="J686" i="25" l="1"/>
  <c r="K686" i="25"/>
  <c r="I687" i="25"/>
  <c r="J619" i="1"/>
  <c r="I620" i="1"/>
  <c r="J687" i="25" l="1"/>
  <c r="I688" i="25"/>
  <c r="K687" i="25"/>
  <c r="J620" i="1"/>
  <c r="I621" i="1"/>
  <c r="K688" i="25" l="1"/>
  <c r="J688" i="25"/>
  <c r="I689" i="25"/>
  <c r="J621" i="1"/>
  <c r="I622" i="1"/>
  <c r="K689" i="25" l="1"/>
  <c r="J689" i="25"/>
  <c r="I690" i="25"/>
  <c r="I623" i="1"/>
  <c r="J622" i="1"/>
  <c r="J690" i="25" l="1"/>
  <c r="I691" i="25"/>
  <c r="K690" i="25"/>
  <c r="J623" i="1"/>
  <c r="I624" i="1"/>
  <c r="J691" i="25" l="1"/>
  <c r="I692" i="25"/>
  <c r="K691" i="25"/>
  <c r="I625" i="1"/>
  <c r="J624" i="1"/>
  <c r="I693" i="25" l="1"/>
  <c r="K692" i="25"/>
  <c r="J692" i="25"/>
  <c r="I626" i="1"/>
  <c r="J625" i="1"/>
  <c r="J693" i="25" l="1"/>
  <c r="K693" i="25"/>
  <c r="I694" i="25"/>
  <c r="J626" i="1"/>
  <c r="I627" i="1"/>
  <c r="K694" i="25" l="1"/>
  <c r="I695" i="25"/>
  <c r="J694" i="25"/>
  <c r="J627" i="1"/>
  <c r="I628" i="1"/>
  <c r="I696" i="25" l="1"/>
  <c r="J695" i="25"/>
  <c r="K695" i="25"/>
  <c r="J628" i="1"/>
  <c r="I629" i="1"/>
  <c r="J696" i="25" l="1"/>
  <c r="I697" i="25"/>
  <c r="K696" i="25"/>
  <c r="J629" i="1"/>
  <c r="I630" i="1"/>
  <c r="J697" i="25" l="1"/>
  <c r="I698" i="25"/>
  <c r="K697" i="25"/>
  <c r="J630" i="1"/>
  <c r="I631" i="1"/>
  <c r="I699" i="25" l="1"/>
  <c r="J698" i="25"/>
  <c r="K698" i="25"/>
  <c r="I632" i="1"/>
  <c r="J631" i="1"/>
  <c r="J699" i="25" l="1"/>
  <c r="I700" i="25"/>
  <c r="K699" i="25"/>
  <c r="I633" i="1"/>
  <c r="J632" i="1"/>
  <c r="J700" i="25" l="1"/>
  <c r="K700" i="25"/>
  <c r="I701" i="25"/>
  <c r="J633" i="1"/>
  <c r="I634" i="1"/>
  <c r="I702" i="25" l="1"/>
  <c r="K701" i="25"/>
  <c r="J701" i="25"/>
  <c r="I635" i="1"/>
  <c r="J634" i="1"/>
  <c r="J702" i="25" l="1"/>
  <c r="I703" i="25"/>
  <c r="K702" i="25"/>
  <c r="I636" i="1"/>
  <c r="J635" i="1"/>
  <c r="I704" i="25" l="1"/>
  <c r="J703" i="25"/>
  <c r="K703" i="25"/>
  <c r="J636" i="1"/>
  <c r="I637" i="1"/>
  <c r="K704" i="25" l="1"/>
  <c r="J704" i="25"/>
  <c r="I705" i="25"/>
  <c r="J637" i="1"/>
  <c r="I638" i="1"/>
  <c r="J705" i="25" l="1"/>
  <c r="I706" i="25"/>
  <c r="K705" i="25"/>
  <c r="J638" i="1"/>
  <c r="I639" i="1"/>
  <c r="K706" i="25" l="1"/>
  <c r="J706" i="25"/>
  <c r="I707" i="25"/>
  <c r="I640" i="1"/>
  <c r="J639" i="1"/>
  <c r="I708" i="25" l="1"/>
  <c r="J707" i="25"/>
  <c r="K707" i="25"/>
  <c r="J640" i="1"/>
  <c r="I641" i="1"/>
  <c r="K708" i="25" l="1"/>
  <c r="J708" i="25"/>
  <c r="I709" i="25"/>
  <c r="J641" i="1"/>
  <c r="I642" i="1"/>
  <c r="I710" i="25" l="1"/>
  <c r="K709" i="25"/>
  <c r="J709" i="25"/>
  <c r="J642" i="1"/>
  <c r="I643" i="1"/>
  <c r="K710" i="25" l="1"/>
  <c r="I711" i="25"/>
  <c r="J710" i="25"/>
  <c r="J643" i="1"/>
  <c r="I644" i="1"/>
  <c r="I712" i="25" l="1"/>
  <c r="K711" i="25"/>
  <c r="J711" i="25"/>
  <c r="J644" i="1"/>
  <c r="I645" i="1"/>
  <c r="K712" i="25" l="1"/>
  <c r="I713" i="25"/>
  <c r="J712" i="25"/>
  <c r="J645" i="1"/>
  <c r="I646" i="1"/>
  <c r="J713" i="25" l="1"/>
  <c r="K713" i="25"/>
  <c r="I714" i="25"/>
  <c r="I647" i="1"/>
  <c r="J646" i="1"/>
  <c r="K714" i="25" l="1"/>
  <c r="J714" i="25"/>
  <c r="I715" i="25"/>
  <c r="J647" i="1"/>
  <c r="I648" i="1"/>
  <c r="J715" i="25" l="1"/>
  <c r="I716" i="25"/>
  <c r="K715" i="25"/>
  <c r="J648" i="1"/>
  <c r="I649" i="1"/>
  <c r="I717" i="25" l="1"/>
  <c r="J716" i="25"/>
  <c r="K716" i="25"/>
  <c r="J649" i="1"/>
  <c r="I650" i="1"/>
  <c r="I718" i="25" l="1"/>
  <c r="K717" i="25"/>
  <c r="J717" i="25"/>
  <c r="J650" i="1"/>
  <c r="I651" i="1"/>
  <c r="K718" i="25" l="1"/>
  <c r="J718" i="25"/>
  <c r="I719" i="25"/>
  <c r="I652" i="1"/>
  <c r="J651" i="1"/>
  <c r="I720" i="25" l="1"/>
  <c r="K719" i="25"/>
  <c r="J719" i="25"/>
  <c r="I653" i="1"/>
  <c r="J652" i="1"/>
  <c r="J720" i="25" l="1"/>
  <c r="I721" i="25"/>
  <c r="G728" i="25"/>
  <c r="J728" i="25" s="1"/>
  <c r="I654" i="1"/>
  <c r="J653" i="1"/>
  <c r="J733" i="25" l="1"/>
  <c r="L733" i="25" s="1"/>
  <c r="K728" i="25"/>
  <c r="L728" i="25" s="1"/>
  <c r="L729" i="25" s="1"/>
  <c r="L730" i="25" s="1"/>
  <c r="L731" i="25" s="1"/>
  <c r="L732" i="25" s="1"/>
  <c r="J739" i="25"/>
  <c r="J738" i="25"/>
  <c r="L738" i="25" s="1"/>
  <c r="J737" i="25"/>
  <c r="L737" i="25" s="1"/>
  <c r="J735" i="25"/>
  <c r="L735" i="25" s="1"/>
  <c r="J721" i="25"/>
  <c r="I722" i="25"/>
  <c r="J654" i="1"/>
  <c r="I655" i="1"/>
  <c r="I723" i="25" l="1"/>
  <c r="J722" i="25"/>
  <c r="J741" i="25"/>
  <c r="L741" i="25" s="1"/>
  <c r="L739" i="25"/>
  <c r="J655" i="1"/>
  <c r="I656" i="1"/>
  <c r="J742" i="25" l="1"/>
  <c r="L742" i="25" s="1"/>
  <c r="J743" i="25"/>
  <c r="L743" i="25" s="1"/>
  <c r="I724" i="25"/>
  <c r="J723" i="25"/>
  <c r="I657" i="1"/>
  <c r="J656" i="1"/>
  <c r="I725" i="25" l="1"/>
  <c r="J725" i="25" s="1"/>
  <c r="J724" i="25"/>
  <c r="J657" i="1"/>
  <c r="I658" i="1"/>
  <c r="J658" i="1" l="1"/>
  <c r="I659" i="1"/>
  <c r="J659" i="1" l="1"/>
  <c r="I660" i="1"/>
  <c r="J660" i="1" l="1"/>
  <c r="I661" i="1"/>
  <c r="J661" i="1" l="1"/>
  <c r="I662" i="1"/>
  <c r="J662" i="1" l="1"/>
  <c r="I663" i="1"/>
  <c r="J663" i="1" l="1"/>
  <c r="I664" i="1"/>
  <c r="I665" i="1" l="1"/>
  <c r="J664" i="1"/>
  <c r="I666" i="1" l="1"/>
  <c r="J665" i="1"/>
  <c r="I667" i="1" l="1"/>
  <c r="J666" i="1"/>
  <c r="I668" i="1" l="1"/>
  <c r="J667" i="1"/>
  <c r="J668" i="1" l="1"/>
  <c r="I669" i="1"/>
  <c r="I670" i="1" l="1"/>
  <c r="J669" i="1"/>
  <c r="I671" i="1" l="1"/>
  <c r="J670" i="1"/>
  <c r="I672" i="1" l="1"/>
  <c r="J671" i="1"/>
  <c r="J672" i="1" l="1"/>
  <c r="I673" i="1"/>
  <c r="J673" i="1" l="1"/>
  <c r="I674" i="1"/>
  <c r="I675" i="1" l="1"/>
  <c r="J674" i="1"/>
  <c r="J675" i="1" l="1"/>
  <c r="I676" i="1"/>
  <c r="J676" i="1" l="1"/>
  <c r="I677" i="1"/>
  <c r="I678" i="1" l="1"/>
  <c r="J677" i="1"/>
  <c r="I679" i="1" l="1"/>
  <c r="J678" i="1"/>
  <c r="I680" i="1" l="1"/>
  <c r="J679" i="1"/>
  <c r="J680" i="1" l="1"/>
  <c r="I681" i="1"/>
  <c r="J681" i="1" l="1"/>
  <c r="I682" i="1"/>
  <c r="J682" i="1" l="1"/>
  <c r="I683" i="1"/>
  <c r="J683" i="1" l="1"/>
  <c r="I684" i="1"/>
  <c r="I685" i="1" l="1"/>
  <c r="J684" i="1"/>
  <c r="I686" i="1" l="1"/>
  <c r="J685" i="1"/>
  <c r="I687" i="1" l="1"/>
  <c r="J686" i="1"/>
  <c r="J687" i="1" l="1"/>
  <c r="I688" i="1"/>
  <c r="I689" i="1" l="1"/>
  <c r="J688" i="1"/>
  <c r="J689" i="1" l="1"/>
  <c r="I690" i="1"/>
  <c r="I691" i="1" l="1"/>
  <c r="J690" i="1"/>
  <c r="J691" i="1" l="1"/>
  <c r="I692" i="1"/>
  <c r="I693" i="1" l="1"/>
  <c r="J692" i="1"/>
  <c r="I694" i="1" l="1"/>
  <c r="J693" i="1"/>
  <c r="I695" i="1" l="1"/>
  <c r="J694" i="1"/>
  <c r="J695" i="1" l="1"/>
  <c r="I696" i="1"/>
  <c r="I697" i="1" l="1"/>
  <c r="J696" i="1"/>
  <c r="J697" i="1" l="1"/>
  <c r="I698" i="1"/>
  <c r="J698" i="1" l="1"/>
  <c r="I699" i="1"/>
  <c r="J699" i="1" l="1"/>
  <c r="I700" i="1"/>
  <c r="I701" i="1" l="1"/>
  <c r="J700" i="1"/>
  <c r="J701" i="1" l="1"/>
  <c r="I702" i="1"/>
  <c r="J702" i="1" l="1"/>
  <c r="I703" i="1"/>
  <c r="I704" i="1" l="1"/>
  <c r="J703" i="1"/>
  <c r="J704" i="1" l="1"/>
  <c r="I705" i="1"/>
  <c r="I706" i="1" l="1"/>
  <c r="J705" i="1"/>
  <c r="J706" i="1" l="1"/>
  <c r="I707" i="1"/>
  <c r="J707" i="1" l="1"/>
  <c r="I708" i="1"/>
  <c r="I709" i="1" l="1"/>
  <c r="J708" i="1"/>
  <c r="I710" i="1" l="1"/>
  <c r="J709" i="1"/>
  <c r="J710" i="1" l="1"/>
  <c r="I711" i="1"/>
  <c r="I712" i="1" l="1"/>
  <c r="J711" i="1"/>
  <c r="J712" i="1" l="1"/>
  <c r="I713" i="1"/>
  <c r="J713" i="1" l="1"/>
  <c r="I714" i="1"/>
  <c r="J714" i="1" l="1"/>
  <c r="I715" i="1"/>
  <c r="J715" i="1" l="1"/>
  <c r="I716" i="1"/>
  <c r="I717" i="1" l="1"/>
  <c r="J716" i="1"/>
  <c r="I718" i="1" l="1"/>
  <c r="J717" i="1"/>
  <c r="I719" i="1" l="1"/>
  <c r="J718" i="1"/>
  <c r="J719" i="1" l="1"/>
  <c r="I720" i="1"/>
  <c r="G728" i="1" s="1"/>
  <c r="J728" i="1" s="1"/>
  <c r="J739" i="1" l="1"/>
  <c r="J733" i="1"/>
  <c r="M733" i="1" s="1"/>
  <c r="J735" i="1"/>
  <c r="M735" i="1" s="1"/>
  <c r="J737" i="1"/>
  <c r="M737" i="1" s="1"/>
  <c r="L728" i="1"/>
  <c r="M728" i="1" s="1"/>
  <c r="M729" i="1" s="1"/>
  <c r="M730" i="1" s="1"/>
  <c r="M731" i="1" s="1"/>
  <c r="M732" i="1" s="1"/>
  <c r="J738" i="1"/>
  <c r="M738" i="1" s="1"/>
  <c r="J720" i="1"/>
  <c r="I721" i="1"/>
  <c r="M739" i="1" l="1"/>
  <c r="J741" i="1"/>
  <c r="M741" i="1" s="1"/>
  <c r="I722" i="1"/>
  <c r="J721" i="1"/>
  <c r="J742" i="1" l="1"/>
  <c r="M742" i="1" s="1"/>
  <c r="I723" i="1"/>
  <c r="J722" i="1"/>
  <c r="J743" i="1" l="1"/>
  <c r="M743" i="1" s="1"/>
  <c r="J723" i="1"/>
  <c r="I724" i="1"/>
  <c r="J724" i="1" l="1"/>
  <c r="I725" i="1"/>
  <c r="J7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Das, Himangshu</author>
  </authors>
  <commentList>
    <comment ref="L13" authorId="0" shapeId="0" xr:uid="{B72E9C6E-D494-4312-9B50-021BA35F99E8}">
      <text>
        <r>
          <rPr>
            <sz val="9"/>
            <color indexed="81"/>
            <rFont val="Tahoma"/>
            <family val="2"/>
          </rPr>
          <t>Automaticall takes from Tally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Das, Himangshu</author>
  </authors>
  <commentList>
    <comment ref="M13" authorId="0" shapeId="0" xr:uid="{00000000-0006-0000-0000-000001000000}">
      <text>
        <r>
          <rPr>
            <sz val="9"/>
            <color indexed="81"/>
            <rFont val="Tahoma"/>
            <family val="2"/>
          </rPr>
          <t>Automaticall takes from Tally</t>
        </r>
      </text>
    </comment>
  </commentList>
</comments>
</file>

<file path=xl/sharedStrings.xml><?xml version="1.0" encoding="utf-8"?>
<sst xmlns="http://schemas.openxmlformats.org/spreadsheetml/2006/main" count="4818" uniqueCount="397">
  <si>
    <t>Tension:</t>
  </si>
  <si>
    <t>Well:</t>
  </si>
  <si>
    <t>Date:</t>
  </si>
  <si>
    <t>Burst:</t>
  </si>
  <si>
    <t>Rig:</t>
  </si>
  <si>
    <t>Collapse:</t>
  </si>
  <si>
    <t>Liner Run #:</t>
  </si>
  <si>
    <t>Casing Size:</t>
  </si>
  <si>
    <t>Shoe Depth:</t>
  </si>
  <si>
    <t>Total Depth:</t>
  </si>
  <si>
    <t>Grade:</t>
  </si>
  <si>
    <t>BF:</t>
  </si>
  <si>
    <t>Rat Hole:</t>
  </si>
  <si>
    <t>Make Up Loss:</t>
  </si>
  <si>
    <t>Drift:</t>
  </si>
  <si>
    <t>CENTRALIZERS</t>
  </si>
  <si>
    <t>JOINT</t>
  </si>
  <si>
    <t>EFFECTIVE</t>
  </si>
  <si>
    <t>TOTAL</t>
  </si>
  <si>
    <t>DEPTH OF</t>
  </si>
  <si>
    <t xml:space="preserve">EST STRG </t>
  </si>
  <si>
    <t>COMMENTS</t>
  </si>
  <si>
    <t>No.</t>
  </si>
  <si>
    <t>NUM.</t>
  </si>
  <si>
    <t>LENGTH</t>
  </si>
  <si>
    <t>IN/OUT</t>
  </si>
  <si>
    <t>TOP OF JT</t>
  </si>
  <si>
    <t>WEIGHT</t>
  </si>
  <si>
    <t xml:space="preserve">        COMMENTS</t>
  </si>
  <si>
    <t>IN</t>
  </si>
  <si>
    <t>Shoe Joint</t>
  </si>
  <si>
    <t>Bow Spring</t>
  </si>
  <si>
    <t>OUT</t>
  </si>
  <si>
    <t>Mid Packer</t>
  </si>
  <si>
    <t>Mid Hanger Slips</t>
  </si>
  <si>
    <t>VOLUME</t>
  </si>
  <si>
    <t>Capacity Factor</t>
  </si>
  <si>
    <t>STKS</t>
  </si>
  <si>
    <t>TOTAL DISPLACEMENT</t>
  </si>
  <si>
    <t>Total Centralizers:</t>
  </si>
  <si>
    <t>-</t>
  </si>
  <si>
    <t>VOLUME (bbls)</t>
  </si>
  <si>
    <t xml:space="preserve">Float Collar - DV </t>
  </si>
  <si>
    <t xml:space="preserve">Float Shoe, DV Eccentric </t>
  </si>
  <si>
    <t>LFC Landing Collar</t>
  </si>
  <si>
    <t>9-5/8" Shoe:</t>
  </si>
  <si>
    <t>Top of 7" Liner:</t>
  </si>
  <si>
    <t>7" 29# - LFC to LC VOLUME (Bbls):</t>
  </si>
  <si>
    <t>7" 29# - SHOE TRACK VOLUME (Bbls):</t>
  </si>
  <si>
    <t>TOTAL CEMENT HEAD LENGTH:</t>
  </si>
  <si>
    <t xml:space="preserve">7" UNIFLEX-PRO Hanger </t>
  </si>
  <si>
    <t xml:space="preserve"> TOTAL STRING VOLUME:</t>
  </si>
  <si>
    <t>Length (ft)</t>
  </si>
  <si>
    <t>ID (in)</t>
  </si>
  <si>
    <t>TOTAL VOLUME TO BUMP THE PLUG:</t>
  </si>
  <si>
    <t>HALF SHOE TRACK VOLUME:</t>
  </si>
  <si>
    <t>COMPRESSIBILTY FACTOR:</t>
  </si>
  <si>
    <t xml:space="preserve"> TOTAL VOLUME TO LATCH &amp; SHEAR THE LINER WIPER PLUG:</t>
  </si>
  <si>
    <t>TOTAL DISPLACMENT TO BUMP + 1/2 SHOE TRACK + COMPRESSIBILTY FACTOR:</t>
  </si>
  <si>
    <t>LINER Running Tool:</t>
  </si>
  <si>
    <t>Bottom Collar</t>
  </si>
  <si>
    <t>Top Collar</t>
  </si>
  <si>
    <t>Centralizers Type:</t>
  </si>
  <si>
    <t>7" ZXP Tieback PKR</t>
  </si>
  <si>
    <t>5-1/2" DP - DELTA 576</t>
  </si>
  <si>
    <t>+/- 8600 LBS.</t>
  </si>
  <si>
    <t>Pump Output</t>
  </si>
  <si>
    <t>Note</t>
  </si>
  <si>
    <t>Items</t>
  </si>
  <si>
    <t xml:space="preserve">Bttm FC Pup Joint </t>
  </si>
  <si>
    <t>Top FC Pup Joint</t>
  </si>
  <si>
    <t>Bttm Pup Joint</t>
  </si>
  <si>
    <t>Top Pup Joint</t>
  </si>
  <si>
    <t>* 1.844" LFC Lead Plug Shear: 1,431 psi</t>
  </si>
  <si>
    <t>* 2.280" LFC Follow Plug Shear:1,206 psi</t>
  </si>
  <si>
    <t xml:space="preserve">Back up Shoe Track Assemblies </t>
  </si>
  <si>
    <t>DECK</t>
  </si>
  <si>
    <t>BAKER HUGHES CROSSOVER</t>
  </si>
  <si>
    <t>Liner Length :</t>
  </si>
  <si>
    <t>Liner Lap :</t>
  </si>
  <si>
    <t>Top Of Liner :</t>
  </si>
  <si>
    <t>DESCRIPTION</t>
  </si>
  <si>
    <t>BAKER HUGHES 7" LINER TALLY</t>
  </si>
  <si>
    <t>Qatar Gas Reps:</t>
  </si>
  <si>
    <t>Baker Hughes Reps:</t>
  </si>
  <si>
    <t>Joint Num.</t>
  </si>
  <si>
    <t>Top Crossover</t>
  </si>
  <si>
    <t>Primary Shoe Track Assemblies</t>
  </si>
  <si>
    <t xml:space="preserve"> TOC tagged inside 9-5/8" (ft)</t>
  </si>
  <si>
    <t xml:space="preserve">Float Collar - Double Valve </t>
  </si>
  <si>
    <t xml:space="preserve">Float Shoe - Double Valve, Eccentric </t>
  </si>
  <si>
    <t>60% Running String Volume (Chasing Ball @ 5 BPM)</t>
  </si>
  <si>
    <t>Shoe Jt - TSH Wedge 563</t>
  </si>
  <si>
    <t>Bttm Pup Jt. -  TSH Wedge 563</t>
  </si>
  <si>
    <t>Top Pup Jt. -  TSH Wedge 563</t>
  </si>
  <si>
    <t>UNIFLEX-Pro PACKER (MID-SLIPS)</t>
  </si>
  <si>
    <r>
      <t xml:space="preserve">DP                                       STD # 1           </t>
    </r>
    <r>
      <rPr>
        <b/>
        <sz val="10"/>
        <color rgb="FF820000"/>
        <rFont val="Geneva"/>
      </rPr>
      <t xml:space="preserve">         </t>
    </r>
    <r>
      <rPr>
        <b/>
        <sz val="10"/>
        <rFont val="Geneva"/>
      </rPr>
      <t xml:space="preserve">                        </t>
    </r>
  </si>
  <si>
    <r>
      <t xml:space="preserve">HWDP                                       STD # 1           </t>
    </r>
    <r>
      <rPr>
        <b/>
        <sz val="10"/>
        <color rgb="FF820000"/>
        <rFont val="Geneva"/>
      </rPr>
      <t xml:space="preserve">                 </t>
    </r>
    <r>
      <rPr>
        <b/>
        <sz val="10"/>
        <rFont val="Geneva"/>
      </rPr>
      <t xml:space="preserve">                            </t>
    </r>
  </si>
  <si>
    <t>Connection Type 1:</t>
  </si>
  <si>
    <t>Connection Type 2:</t>
  </si>
  <si>
    <t>6.059 in</t>
  </si>
  <si>
    <t>A</t>
  </si>
  <si>
    <t>9-5/8" x 10-3/4" Crossover:</t>
  </si>
  <si>
    <t>SM2535-110</t>
  </si>
  <si>
    <t>Last Cement Tag:</t>
  </si>
  <si>
    <t>TYPE</t>
  </si>
  <si>
    <r>
      <rPr>
        <b/>
        <sz val="9"/>
        <color theme="0"/>
        <rFont val="Geneva"/>
      </rPr>
      <t>10 ft - PUP JT</t>
    </r>
    <r>
      <rPr>
        <b/>
        <sz val="8"/>
        <color theme="0"/>
        <rFont val="Geneva"/>
      </rPr>
      <t xml:space="preserve">, </t>
    </r>
    <r>
      <rPr>
        <b/>
        <sz val="6"/>
        <color theme="0"/>
        <rFont val="Geneva"/>
      </rPr>
      <t xml:space="preserve">DELTA 576 B x P </t>
    </r>
    <r>
      <rPr>
        <b/>
        <sz val="8"/>
        <color theme="0"/>
        <rFont val="Geneva"/>
      </rPr>
      <t xml:space="preserve"> </t>
    </r>
  </si>
  <si>
    <r>
      <rPr>
        <b/>
        <sz val="9"/>
        <color theme="0"/>
        <rFont val="Geneva"/>
      </rPr>
      <t>CrossOver</t>
    </r>
    <r>
      <rPr>
        <b/>
        <sz val="8"/>
        <color theme="0"/>
        <rFont val="Geneva"/>
      </rPr>
      <t>,</t>
    </r>
    <r>
      <rPr>
        <b/>
        <sz val="6"/>
        <color theme="0"/>
        <rFont val="Geneva"/>
      </rPr>
      <t xml:space="preserve"> 5-1/2" FH P x 5-1/2" DELTA 576 B</t>
    </r>
  </si>
  <si>
    <r>
      <rPr>
        <b/>
        <sz val="9"/>
        <color theme="0"/>
        <rFont val="Geneva"/>
      </rPr>
      <t>Upper FOSV</t>
    </r>
    <r>
      <rPr>
        <b/>
        <sz val="8"/>
        <color theme="0"/>
        <rFont val="Geneva"/>
      </rPr>
      <t xml:space="preserve"> -</t>
    </r>
    <r>
      <rPr>
        <b/>
        <sz val="6"/>
        <color theme="0"/>
        <rFont val="Geneva"/>
      </rPr>
      <t xml:space="preserve"> 5-1/2" FH B x P</t>
    </r>
    <r>
      <rPr>
        <b/>
        <sz val="8"/>
        <color theme="0"/>
        <rFont val="Geneva"/>
      </rPr>
      <t xml:space="preserve"> </t>
    </r>
  </si>
  <si>
    <r>
      <rPr>
        <b/>
        <sz val="9"/>
        <color theme="0"/>
        <rFont val="Geneva"/>
      </rPr>
      <t xml:space="preserve">Cement Head - </t>
    </r>
    <r>
      <rPr>
        <b/>
        <sz val="6"/>
        <color theme="0"/>
        <rFont val="Geneva"/>
      </rPr>
      <t>5-1/2" FH B x P</t>
    </r>
  </si>
  <si>
    <r>
      <rPr>
        <b/>
        <sz val="9"/>
        <color theme="0"/>
        <rFont val="Geneva"/>
      </rPr>
      <t>Lower FOSV</t>
    </r>
    <r>
      <rPr>
        <b/>
        <sz val="8"/>
        <color theme="0"/>
        <rFont val="Geneva"/>
      </rPr>
      <t xml:space="preserve"> -  </t>
    </r>
    <r>
      <rPr>
        <b/>
        <sz val="6"/>
        <color theme="0"/>
        <rFont val="Geneva"/>
      </rPr>
      <t xml:space="preserve">5-1/2" FH B x P </t>
    </r>
  </si>
  <si>
    <r>
      <rPr>
        <b/>
        <sz val="9"/>
        <color theme="0"/>
        <rFont val="Geneva"/>
      </rPr>
      <t>CrossOver</t>
    </r>
    <r>
      <rPr>
        <b/>
        <sz val="8"/>
        <color theme="0"/>
        <rFont val="Geneva"/>
      </rPr>
      <t>,</t>
    </r>
    <r>
      <rPr>
        <b/>
        <sz val="6"/>
        <color theme="0"/>
        <rFont val="Geneva"/>
      </rPr>
      <t xml:space="preserve"> 5-1/2" FH B x 5-1/2" DELTA 576 P</t>
    </r>
  </si>
  <si>
    <r>
      <t>DP                                       STD # 5</t>
    </r>
    <r>
      <rPr>
        <b/>
        <sz val="10"/>
        <rFont val="Geneva"/>
      </rPr>
      <t/>
    </r>
  </si>
  <si>
    <t>PN: H293690016GRG1</t>
  </si>
  <si>
    <t xml:space="preserve">Well TD at  </t>
  </si>
  <si>
    <t>Vam 21 HT NX</t>
  </si>
  <si>
    <t>UNIFLEX-Pro CS ZXP (BTTM OF PBR)</t>
  </si>
  <si>
    <r>
      <t xml:space="preserve">DP                                       STD # 2     </t>
    </r>
    <r>
      <rPr>
        <b/>
        <sz val="10"/>
        <color rgb="FF820000"/>
        <rFont val="Geneva"/>
      </rPr>
      <t xml:space="preserve">         </t>
    </r>
    <r>
      <rPr>
        <b/>
        <sz val="10"/>
        <rFont val="Geneva"/>
      </rPr>
      <t xml:space="preserve">                        </t>
    </r>
  </si>
  <si>
    <r>
      <t xml:space="preserve">DP                                       STD # 3     </t>
    </r>
    <r>
      <rPr>
        <b/>
        <sz val="10"/>
        <color rgb="FF820000"/>
        <rFont val="Geneva"/>
      </rPr>
      <t xml:space="preserve">         </t>
    </r>
    <r>
      <rPr>
        <b/>
        <sz val="10"/>
        <rFont val="Geneva"/>
      </rPr>
      <t xml:space="preserve">                        </t>
    </r>
  </si>
  <si>
    <r>
      <t>DP                                       STD # 4</t>
    </r>
    <r>
      <rPr>
        <b/>
        <sz val="10"/>
        <rFont val="Geneva"/>
      </rPr>
      <t/>
    </r>
  </si>
  <si>
    <r>
      <t>DP                                       STD # 6</t>
    </r>
    <r>
      <rPr>
        <b/>
        <sz val="10"/>
        <rFont val="Geneva"/>
      </rPr>
      <t/>
    </r>
  </si>
  <si>
    <r>
      <t>DP                                       STD # 7</t>
    </r>
    <r>
      <rPr>
        <b/>
        <sz val="10"/>
        <rFont val="Geneva"/>
      </rPr>
      <t/>
    </r>
  </si>
  <si>
    <r>
      <t>DP                                       STD # 8</t>
    </r>
    <r>
      <rPr>
        <b/>
        <sz val="10"/>
        <rFont val="Geneva"/>
      </rPr>
      <t/>
    </r>
  </si>
  <si>
    <t>* Setting Ball - 1.625” - Release Running Tool</t>
  </si>
  <si>
    <t>* Setting Ball - 1.500” - Set Liner Hanger</t>
  </si>
  <si>
    <t>DP                                       STD # 12</t>
  </si>
  <si>
    <t>DP                                       STD # 13</t>
  </si>
  <si>
    <t>DP                                       STD # 14</t>
  </si>
  <si>
    <t>DP                                       STD # 15</t>
  </si>
  <si>
    <t>DP                                       STD # 16</t>
  </si>
  <si>
    <t>DP                                       STD # 17</t>
  </si>
  <si>
    <t>DP                                       STD # 18</t>
  </si>
  <si>
    <t>DP                                       STD # 19</t>
  </si>
  <si>
    <t>DP                                       STD # 20</t>
  </si>
  <si>
    <t>DP                                       STD # 21</t>
  </si>
  <si>
    <t>DP                                       STD # 22</t>
  </si>
  <si>
    <t>DP                                       STD # 23</t>
  </si>
  <si>
    <t>DP                                       STD # 24</t>
  </si>
  <si>
    <t>DP                                       STD # 25</t>
  </si>
  <si>
    <t>DP                                       STD # 26</t>
  </si>
  <si>
    <t>DP                                       STD # 27</t>
  </si>
  <si>
    <t>DP                                       STD # 28</t>
  </si>
  <si>
    <t>DP                                       STD # 29</t>
  </si>
  <si>
    <t>DP                                       STD # 30</t>
  </si>
  <si>
    <t>DP                                       STD # 31</t>
  </si>
  <si>
    <t>DP                                       STD # 32</t>
  </si>
  <si>
    <t>DP                                       STD # 33</t>
  </si>
  <si>
    <t>DP                                       STD # 34</t>
  </si>
  <si>
    <t>DP                                       STD # 35</t>
  </si>
  <si>
    <t>DP                                       STD # 36</t>
  </si>
  <si>
    <t>DP                                       STD # 37</t>
  </si>
  <si>
    <t>DP                                       STD # 38</t>
  </si>
  <si>
    <t>DP                                       STD # 39</t>
  </si>
  <si>
    <t>DP                                       STD # 40</t>
  </si>
  <si>
    <t>DP                                       STD # 41</t>
  </si>
  <si>
    <t>DP                                       STD # 42</t>
  </si>
  <si>
    <t>DP                                       STD # 43</t>
  </si>
  <si>
    <t>DP                                       STD # 44</t>
  </si>
  <si>
    <t>DP                                       STD # 45</t>
  </si>
  <si>
    <t>DP                                       STD # 46</t>
  </si>
  <si>
    <t>DP                                       STD # 47</t>
  </si>
  <si>
    <t>DP                                       STD # 48</t>
  </si>
  <si>
    <t>DP                                       STD # 49</t>
  </si>
  <si>
    <t>DP                                       STD # 50</t>
  </si>
  <si>
    <t>DP                                       STD # 51</t>
  </si>
  <si>
    <t>DP                                       STD # 52</t>
  </si>
  <si>
    <t>DP                                       STD # 53</t>
  </si>
  <si>
    <t>DP                                       STD # 54</t>
  </si>
  <si>
    <t>DP                                       STD # 55</t>
  </si>
  <si>
    <t>DP                                       STD # 56</t>
  </si>
  <si>
    <t>DP                                       STD # 57</t>
  </si>
  <si>
    <t>DP                                       STD # 58</t>
  </si>
  <si>
    <t>DP                                       STD # 59</t>
  </si>
  <si>
    <t>DP                                       STD # 60</t>
  </si>
  <si>
    <t>DP                                       STD # 61</t>
  </si>
  <si>
    <t>DP                                       STD # 62</t>
  </si>
  <si>
    <t>DP                                       STD # 63</t>
  </si>
  <si>
    <t>DP                                       STD # 64</t>
  </si>
  <si>
    <t>DP                                       STD # 65</t>
  </si>
  <si>
    <t>DP                                       STD # 66</t>
  </si>
  <si>
    <t>DP                                       STD # 67</t>
  </si>
  <si>
    <t>DP                                       STD # 68</t>
  </si>
  <si>
    <t>DP                                       STD # 69</t>
  </si>
  <si>
    <t>DP                                       STD # 70</t>
  </si>
  <si>
    <t>DP                                       STD # 71</t>
  </si>
  <si>
    <t>DP                                       STD # 72</t>
  </si>
  <si>
    <t>DP                                       STD # 73</t>
  </si>
  <si>
    <t>DP                                       STD # 74</t>
  </si>
  <si>
    <t>DP                                       STD # 75</t>
  </si>
  <si>
    <t>DP                                       STD # 76</t>
  </si>
  <si>
    <t>DP                                       STD # 77</t>
  </si>
  <si>
    <t>DP                                       STD # 78</t>
  </si>
  <si>
    <t>DP                                       STD # 79</t>
  </si>
  <si>
    <t>DP                                       STD # 80</t>
  </si>
  <si>
    <t>X-Over, 5.5" Delta 576 Box x XT57 Pin</t>
  </si>
  <si>
    <t>5.5 HWDP Delta 576</t>
  </si>
  <si>
    <t>UNIFLEX-Pro CS HANGER PUP JOINT TSH WEDGE 563 PIN DOWN</t>
  </si>
  <si>
    <r>
      <t xml:space="preserve">TOTAL DISPLACMENT FROM RIG PUMPS </t>
    </r>
    <r>
      <rPr>
        <b/>
        <i/>
        <sz val="10"/>
        <color rgb="FF016B45"/>
        <rFont val="Geneva"/>
      </rPr>
      <t>(Excluding bbls from CU):</t>
    </r>
  </si>
  <si>
    <t>At 9-5/8" Shoe -- 1.5 * Liner Vol + String Vol</t>
  </si>
  <si>
    <t>At TD -- 1.5 * Liner Vol + String Vol</t>
  </si>
  <si>
    <t>DP                                       STD # 81</t>
  </si>
  <si>
    <t>DP                                       STD # 82</t>
  </si>
  <si>
    <r>
      <t xml:space="preserve">DP                                       STD # 9          </t>
    </r>
    <r>
      <rPr>
        <b/>
        <sz val="10"/>
        <color rgb="FF820000"/>
        <rFont val="Geneva"/>
      </rPr>
      <t xml:space="preserve">         </t>
    </r>
    <r>
      <rPr>
        <b/>
        <sz val="10"/>
        <rFont val="Geneva"/>
      </rPr>
      <t xml:space="preserve">                        </t>
    </r>
  </si>
  <si>
    <r>
      <t xml:space="preserve">DP                                       STD # 10    </t>
    </r>
    <r>
      <rPr>
        <b/>
        <sz val="10"/>
        <color rgb="FF820000"/>
        <rFont val="Geneva"/>
      </rPr>
      <t xml:space="preserve">         </t>
    </r>
    <r>
      <rPr>
        <b/>
        <sz val="10"/>
        <rFont val="Geneva"/>
      </rPr>
      <t xml:space="preserve">                        </t>
    </r>
  </si>
  <si>
    <r>
      <t xml:space="preserve">DP                                       STD # 11     </t>
    </r>
    <r>
      <rPr>
        <b/>
        <sz val="10"/>
        <color rgb="FF820000"/>
        <rFont val="Geneva"/>
      </rPr>
      <t xml:space="preserve">         </t>
    </r>
    <r>
      <rPr>
        <b/>
        <sz val="10"/>
        <rFont val="Geneva"/>
      </rPr>
      <t xml:space="preserve">                        </t>
    </r>
  </si>
  <si>
    <t>DP                                       STD # 83</t>
  </si>
  <si>
    <t>20 ft Pup Joint</t>
  </si>
  <si>
    <r>
      <rPr>
        <b/>
        <sz val="8"/>
        <rFont val="Geneva"/>
      </rPr>
      <t>PIP TAG # 6  INSTALLED 4</t>
    </r>
    <r>
      <rPr>
        <b/>
        <sz val="8"/>
        <color rgb="FFA40000"/>
        <rFont val="Geneva"/>
      </rPr>
      <t xml:space="preserve"> ft </t>
    </r>
    <r>
      <rPr>
        <b/>
        <sz val="8"/>
        <rFont val="Geneva"/>
      </rPr>
      <t xml:space="preserve">FROM </t>
    </r>
    <r>
      <rPr>
        <b/>
        <sz val="8"/>
        <color rgb="FFA40000"/>
        <rFont val="Geneva"/>
      </rPr>
      <t>PIN END</t>
    </r>
    <r>
      <rPr>
        <b/>
        <sz val="7.5"/>
        <rFont val="Geneva"/>
      </rPr>
      <t xml:space="preserve">                                                    </t>
    </r>
    <r>
      <rPr>
        <b/>
        <sz val="7"/>
        <rFont val="Geneva"/>
      </rPr>
      <t xml:space="preserve">                                                                                    </t>
    </r>
  </si>
  <si>
    <t>Pip Tag DEPTH  :</t>
  </si>
  <si>
    <t>5-1/2" HWDP - XT-54 / Delta 576</t>
  </si>
  <si>
    <t>7" 29# - LFC to LC VOLUME (Bbls): with Nominal ID 6.250"</t>
  </si>
  <si>
    <t>Pip Tag Proposed Depth</t>
  </si>
  <si>
    <r>
      <t xml:space="preserve">HWDP                                       STD # 4           </t>
    </r>
    <r>
      <rPr>
        <b/>
        <sz val="10"/>
        <color rgb="FF820000"/>
        <rFont val="Geneva"/>
      </rPr>
      <t xml:space="preserve">                 </t>
    </r>
    <r>
      <rPr>
        <b/>
        <sz val="10"/>
        <rFont val="Geneva"/>
      </rPr>
      <t xml:space="preserve">                            </t>
    </r>
  </si>
  <si>
    <r>
      <t xml:space="preserve">HWDP                                       STD # 6           </t>
    </r>
    <r>
      <rPr>
        <b/>
        <sz val="10"/>
        <color rgb="FF820000"/>
        <rFont val="Geneva"/>
      </rPr>
      <t xml:space="preserve">                 </t>
    </r>
    <r>
      <rPr>
        <b/>
        <sz val="10"/>
        <rFont val="Geneva"/>
      </rPr>
      <t xml:space="preserve">                            </t>
    </r>
  </si>
  <si>
    <r>
      <t xml:space="preserve">HWDP                                       STD # 7           </t>
    </r>
    <r>
      <rPr>
        <b/>
        <sz val="10"/>
        <color rgb="FF820000"/>
        <rFont val="Geneva"/>
      </rPr>
      <t xml:space="preserve">                 </t>
    </r>
    <r>
      <rPr>
        <b/>
        <sz val="10"/>
        <rFont val="Geneva"/>
      </rPr>
      <t xml:space="preserve">                            </t>
    </r>
  </si>
  <si>
    <t xml:space="preserve"> Contingency split zone</t>
  </si>
  <si>
    <t xml:space="preserve">Weatherford Remote Controll Cement Head Assy  </t>
  </si>
  <si>
    <t>Need to Drift - 2.50" Min</t>
  </si>
  <si>
    <t>Lovando</t>
  </si>
  <si>
    <t>DECK TALLY NFQ 22-5</t>
  </si>
  <si>
    <t>Joint No</t>
  </si>
  <si>
    <t>7" 29# Vam 21 HT-NX</t>
  </si>
  <si>
    <t xml:space="preserve">VAM 21 HT-NX </t>
  </si>
  <si>
    <t>Purple-X Bow Spring</t>
  </si>
  <si>
    <t>VAMTOP HC</t>
  </si>
  <si>
    <t>TSH Wedge 563®</t>
  </si>
  <si>
    <t>Weight:</t>
  </si>
  <si>
    <t>Vam 21 HT</t>
  </si>
  <si>
    <t>X' over with Vam Top HC pin x Vam 21 HT box</t>
  </si>
  <si>
    <t>Full length joint with Vam Top HC Box  x  Pin</t>
  </si>
  <si>
    <t>7" VAM 21 HT NX FULL JOINT B x P</t>
  </si>
  <si>
    <t>below K3 perfs - Cont. EZSV correlation</t>
  </si>
  <si>
    <t xml:space="preserve"> above K2 perfs - CIRP perf correlations</t>
  </si>
  <si>
    <t>above K1 perfs - CIRP perf correlations</t>
  </si>
  <si>
    <t>Baker Hughes Uniflex PRO CS Liner Hanger Packer Assy                           QELNG-7in-CSLH-111-NFE</t>
  </si>
  <si>
    <t>P 1</t>
  </si>
  <si>
    <t>P 2</t>
  </si>
  <si>
    <t>P 3</t>
  </si>
  <si>
    <t>P 4</t>
  </si>
  <si>
    <t>P 5</t>
  </si>
  <si>
    <t>P 6</t>
  </si>
  <si>
    <t>P 7</t>
  </si>
  <si>
    <r>
      <rPr>
        <b/>
        <sz val="8"/>
        <rFont val="Geneva"/>
      </rPr>
      <t>PIP TAG # 1  INSTALLED 4</t>
    </r>
    <r>
      <rPr>
        <b/>
        <sz val="8"/>
        <color rgb="FFA40000"/>
        <rFont val="Geneva"/>
      </rPr>
      <t xml:space="preserve"> ft </t>
    </r>
    <r>
      <rPr>
        <b/>
        <sz val="8"/>
        <rFont val="Geneva"/>
      </rPr>
      <t xml:space="preserve">FROM </t>
    </r>
    <r>
      <rPr>
        <b/>
        <sz val="8"/>
        <color rgb="FFA40000"/>
        <rFont val="Geneva"/>
      </rPr>
      <t>PIN END</t>
    </r>
    <r>
      <rPr>
        <b/>
        <sz val="7.5"/>
        <rFont val="Geneva"/>
      </rPr>
      <t xml:space="preserve">                                                    </t>
    </r>
    <r>
      <rPr>
        <b/>
        <sz val="7"/>
        <rFont val="Geneva"/>
      </rPr>
      <t xml:space="preserve">                                                                                    </t>
    </r>
  </si>
  <si>
    <t xml:space="preserve">  V21 HT Jnts Deck</t>
  </si>
  <si>
    <t xml:space="preserve">  V21 HT  Joints RIH</t>
  </si>
  <si>
    <t xml:space="preserve">  Balance Joints</t>
  </si>
  <si>
    <t xml:space="preserve">  Pup Jnts 10ft &amp; 20ft</t>
  </si>
  <si>
    <t xml:space="preserve">  Pup Jnts RIH</t>
  </si>
  <si>
    <r>
      <t xml:space="preserve">HWDP                                       STD # 2           </t>
    </r>
    <r>
      <rPr>
        <b/>
        <sz val="10"/>
        <color rgb="FF820000"/>
        <rFont val="Geneva"/>
      </rPr>
      <t xml:space="preserve">                 </t>
    </r>
    <r>
      <rPr>
        <b/>
        <sz val="10"/>
        <rFont val="Geneva"/>
      </rPr>
      <t xml:space="preserve">                            </t>
    </r>
  </si>
  <si>
    <r>
      <t xml:space="preserve">HWDP                                       STD # 3           </t>
    </r>
    <r>
      <rPr>
        <b/>
        <sz val="10"/>
        <color rgb="FF820000"/>
        <rFont val="Geneva"/>
      </rPr>
      <t xml:space="preserve">                 </t>
    </r>
    <r>
      <rPr>
        <b/>
        <sz val="10"/>
        <rFont val="Geneva"/>
      </rPr>
      <t xml:space="preserve">                            </t>
    </r>
  </si>
  <si>
    <r>
      <t xml:space="preserve">HWDP                                       STD # 5          </t>
    </r>
    <r>
      <rPr>
        <b/>
        <sz val="10"/>
        <color rgb="FF820000"/>
        <rFont val="Geneva"/>
      </rPr>
      <t xml:space="preserve">                 </t>
    </r>
    <r>
      <rPr>
        <b/>
        <sz val="10"/>
        <rFont val="Geneva"/>
      </rPr>
      <t xml:space="preserve">                            </t>
    </r>
  </si>
  <si>
    <r>
      <t xml:space="preserve">HWDP                                       STD # 8           </t>
    </r>
    <r>
      <rPr>
        <b/>
        <sz val="10"/>
        <color rgb="FF820000"/>
        <rFont val="Geneva"/>
      </rPr>
      <t xml:space="preserve">                 </t>
    </r>
    <r>
      <rPr>
        <b/>
        <sz val="10"/>
        <rFont val="Geneva"/>
      </rPr>
      <t xml:space="preserve">                            </t>
    </r>
  </si>
  <si>
    <r>
      <t xml:space="preserve">HWDP                                       STD # 9           </t>
    </r>
    <r>
      <rPr>
        <b/>
        <sz val="10"/>
        <color rgb="FF820000"/>
        <rFont val="Geneva"/>
      </rPr>
      <t xml:space="preserve">                 </t>
    </r>
    <r>
      <rPr>
        <b/>
        <sz val="10"/>
        <rFont val="Geneva"/>
      </rPr>
      <t xml:space="preserve">                            </t>
    </r>
  </si>
  <si>
    <r>
      <t xml:space="preserve">HWDP                                       STD # 10           </t>
    </r>
    <r>
      <rPr>
        <b/>
        <sz val="10"/>
        <color rgb="FF820000"/>
        <rFont val="Geneva"/>
      </rPr>
      <t xml:space="preserve">                 </t>
    </r>
    <r>
      <rPr>
        <b/>
        <sz val="10"/>
        <rFont val="Geneva"/>
      </rPr>
      <t xml:space="preserve">                            </t>
    </r>
  </si>
  <si>
    <t>DP                                       STD # 84</t>
  </si>
  <si>
    <t>DP                                       STD # 85</t>
  </si>
  <si>
    <t>DP                                       STD # 86</t>
  </si>
  <si>
    <t>DP                                       STD # 87</t>
  </si>
  <si>
    <t>DP                                       STD # 88</t>
  </si>
  <si>
    <t>DP                                       STD # 89</t>
  </si>
  <si>
    <t>DP                                       STD # 90</t>
  </si>
  <si>
    <t>DP                                       STD # 91</t>
  </si>
  <si>
    <t>DP                                       STD # 92</t>
  </si>
  <si>
    <t>DP                                       STD # 93</t>
  </si>
  <si>
    <t>DP                                       STD # 94</t>
  </si>
  <si>
    <t>DP                                       STD # 95</t>
  </si>
  <si>
    <t>DP                                       STD # 96</t>
  </si>
  <si>
    <t>DP                                       STD # 97</t>
  </si>
  <si>
    <t>DP                                       STD # 98</t>
  </si>
  <si>
    <t>DP                                       STD # 99</t>
  </si>
  <si>
    <t>DP                                       STD # 100</t>
  </si>
  <si>
    <t>DP                                       STD # 101</t>
  </si>
  <si>
    <t>DP                                       STD # 102</t>
  </si>
  <si>
    <t>DP                                       STD # 103</t>
  </si>
  <si>
    <t>DP                                       STD # 104</t>
  </si>
  <si>
    <t>DP                                       STD # 105</t>
  </si>
  <si>
    <t>DP                                       STD # 106</t>
  </si>
  <si>
    <t>DP                                       STD # 107</t>
  </si>
  <si>
    <t>DP                                       STD # 108</t>
  </si>
  <si>
    <t>DP                                       STD # 109</t>
  </si>
  <si>
    <t>DP                                       STD # 110</t>
  </si>
  <si>
    <t>DP                                       STD # 111</t>
  </si>
  <si>
    <t>DP                                       STD # 112</t>
  </si>
  <si>
    <t>DP                                       STD # 113</t>
  </si>
  <si>
    <t>DP                                       STD # 114</t>
  </si>
  <si>
    <t>DP                                       STD # 115</t>
  </si>
  <si>
    <t>DP                                       STD # 116</t>
  </si>
  <si>
    <t>Setting Depth</t>
  </si>
  <si>
    <r>
      <t>HWDP                                       STD # 11</t>
    </r>
    <r>
      <rPr>
        <b/>
        <sz val="10"/>
        <rFont val="Geneva"/>
      </rPr>
      <t/>
    </r>
  </si>
  <si>
    <t>Pip Tag # 5</t>
  </si>
  <si>
    <t>Pip Tag # 4</t>
  </si>
  <si>
    <t>Pip Tag # 2</t>
  </si>
  <si>
    <t>N R P P</t>
  </si>
  <si>
    <r>
      <rPr>
        <b/>
        <sz val="9"/>
        <rFont val="Geneva"/>
      </rPr>
      <t xml:space="preserve">10 ft  - PUP JT </t>
    </r>
    <r>
      <rPr>
        <b/>
        <sz val="8"/>
        <rFont val="Geneva"/>
      </rPr>
      <t xml:space="preserve"> </t>
    </r>
    <r>
      <rPr>
        <b/>
        <sz val="9"/>
        <rFont val="Geneva"/>
      </rPr>
      <t xml:space="preserve">DELTA 576 B x P </t>
    </r>
  </si>
  <si>
    <r>
      <rPr>
        <b/>
        <sz val="9"/>
        <rFont val="Geneva"/>
      </rPr>
      <t xml:space="preserve">5 ft  - PUP JT </t>
    </r>
    <r>
      <rPr>
        <b/>
        <sz val="8"/>
        <rFont val="Geneva"/>
      </rPr>
      <t xml:space="preserve"> </t>
    </r>
    <r>
      <rPr>
        <b/>
        <sz val="9"/>
        <rFont val="Geneva"/>
      </rPr>
      <t xml:space="preserve">DELTA 576 B x P </t>
    </r>
  </si>
  <si>
    <t xml:space="preserve">Shoe Track Joints  :  </t>
  </si>
  <si>
    <t>Mid Packer Slips</t>
  </si>
  <si>
    <t>9-5/8" CASING COLLARS @</t>
  </si>
  <si>
    <t xml:space="preserve">Mininum DRIFT OD: 2.50" </t>
  </si>
  <si>
    <t>`</t>
  </si>
  <si>
    <t>Contingency 7" ZXP Tieback PKR</t>
  </si>
  <si>
    <r>
      <rPr>
        <b/>
        <sz val="9"/>
        <color theme="1"/>
        <rFont val="Geneva"/>
      </rPr>
      <t>Grade</t>
    </r>
    <r>
      <rPr>
        <sz val="9"/>
        <color theme="1"/>
        <rFont val="Geneva"/>
      </rPr>
      <t>: SANICRO 28-110</t>
    </r>
  </si>
  <si>
    <t>Casing ID:</t>
  </si>
  <si>
    <r>
      <rPr>
        <b/>
        <sz val="9"/>
        <color theme="1"/>
        <rFont val="Geneva"/>
      </rPr>
      <t>Casing ID</t>
    </r>
    <r>
      <rPr>
        <sz val="9"/>
        <color theme="1"/>
        <rFont val="Geneva"/>
      </rPr>
      <t xml:space="preserve">: 6.250 in </t>
    </r>
  </si>
  <si>
    <t>M/Up loss:</t>
  </si>
  <si>
    <t>929 Klbs</t>
  </si>
  <si>
    <t>Block Weight:</t>
  </si>
  <si>
    <t>Mud Weight:</t>
  </si>
  <si>
    <r>
      <t xml:space="preserve">UNIFLEX-Pro CS HANGER </t>
    </r>
    <r>
      <rPr>
        <b/>
        <sz val="9"/>
        <color theme="0"/>
        <rFont val="Geneva"/>
      </rPr>
      <t>(MID-SLIPS)</t>
    </r>
  </si>
  <si>
    <r>
      <t xml:space="preserve">UNIFLEX-Pro CS ZXP </t>
    </r>
    <r>
      <rPr>
        <b/>
        <sz val="9"/>
        <color theme="0"/>
        <rFont val="Geneva"/>
      </rPr>
      <t>(MID-ELEMENT)</t>
    </r>
  </si>
  <si>
    <r>
      <t xml:space="preserve">UNIFLEX-Pro CS LINER </t>
    </r>
    <r>
      <rPr>
        <b/>
        <sz val="9"/>
        <color theme="0"/>
        <rFont val="Geneva"/>
      </rPr>
      <t>(TOP OF PBR)</t>
    </r>
  </si>
  <si>
    <t>NFQ 22-09</t>
  </si>
  <si>
    <t>20ft Pup Joint</t>
  </si>
  <si>
    <t>Top Of Cement  to Top Of Liner</t>
  </si>
  <si>
    <t>Crossover - TSH Wedge 563 Pin Dwn x VAM TOP HC Box Up</t>
  </si>
  <si>
    <t>7" VAM TOP HC FULL JOINT B x P</t>
  </si>
  <si>
    <r>
      <t xml:space="preserve">7" XOVER VAM TOP HT- PIN DOWN x </t>
    </r>
    <r>
      <rPr>
        <b/>
        <u/>
        <sz val="9"/>
        <rFont val="Geneva"/>
      </rPr>
      <t>VAM 21 HT-NX BOX UP</t>
    </r>
  </si>
  <si>
    <t>QELNG-7in-XO-32-NFE VTHC</t>
  </si>
  <si>
    <t>hoe assemblies</t>
  </si>
  <si>
    <t>Full length joint with Vam 21HT-NX Box  x  Pin</t>
  </si>
  <si>
    <t>X' over with VAM 21 HT pin x TSH Wedge 563 box</t>
  </si>
  <si>
    <t xml:space="preserve">QELNG-7in-XO-33-NFE </t>
  </si>
  <si>
    <t xml:space="preserve">Mohammed Bounehidaj/ Venkidesa Kumar </t>
  </si>
  <si>
    <r>
      <t xml:space="preserve">FLOAT SHOE               </t>
    </r>
    <r>
      <rPr>
        <b/>
        <sz val="8.5"/>
        <color theme="1"/>
        <rFont val="Geneva"/>
      </rPr>
      <t>ASSY - A</t>
    </r>
    <r>
      <rPr>
        <b/>
        <sz val="8.5"/>
        <color theme="0"/>
        <rFont val="Geneva"/>
      </rPr>
      <t xml:space="preserve">                       </t>
    </r>
    <r>
      <rPr>
        <b/>
        <sz val="8.5"/>
        <color rgb="FF01E562"/>
        <rFont val="Geneva"/>
      </rPr>
      <t>QELNG-7in-FS-171-NFE</t>
    </r>
  </si>
  <si>
    <t>PN: H100950451GRG1,                                            SN: 112201-112227-6                                            Max OD: 7.729", 29#, L80</t>
  </si>
  <si>
    <r>
      <t xml:space="preserve">FLOAT COLLAR          </t>
    </r>
    <r>
      <rPr>
        <b/>
        <sz val="8.5"/>
        <color theme="1"/>
        <rFont val="Geneva"/>
      </rPr>
      <t>ASSY - A</t>
    </r>
    <r>
      <rPr>
        <b/>
        <sz val="8.5"/>
        <color theme="0"/>
        <rFont val="Geneva"/>
      </rPr>
      <t xml:space="preserve">                          </t>
    </r>
    <r>
      <rPr>
        <b/>
        <sz val="8.5"/>
        <color rgb="FF01E562"/>
        <rFont val="Geneva"/>
      </rPr>
      <t>QELNG-7in-FC-171-NFE</t>
    </r>
  </si>
  <si>
    <t>PN: H101890295GRG1,                                           SN: 112195 - 112218-2                                           Max OD: 7.705", 29#, L80</t>
  </si>
  <si>
    <r>
      <t xml:space="preserve">LANDING COLLAR 
                                    </t>
    </r>
    <r>
      <rPr>
        <b/>
        <sz val="9"/>
        <color rgb="FF01E562"/>
        <rFont val="Geneva"/>
      </rPr>
      <t>QELNG-7in-LC-172-NFE-VTHC</t>
    </r>
  </si>
  <si>
    <t>LFC Landing Collar 
(Ball Seat Sheared) 
PN: H274120438GRG1,                                              SN: 108656274-05, 
Max OD: 7.676"</t>
  </si>
  <si>
    <t>10ft Pup Joint</t>
  </si>
  <si>
    <r>
      <rPr>
        <b/>
        <sz val="8"/>
        <rFont val="Geneva"/>
      </rPr>
      <t>PIP TAG # 7  INSTALLED 4</t>
    </r>
    <r>
      <rPr>
        <b/>
        <sz val="8"/>
        <color rgb="FFA40000"/>
        <rFont val="Geneva"/>
      </rPr>
      <t xml:space="preserve"> ft </t>
    </r>
    <r>
      <rPr>
        <b/>
        <sz val="8"/>
        <rFont val="Geneva"/>
      </rPr>
      <t xml:space="preserve">FROM </t>
    </r>
    <r>
      <rPr>
        <b/>
        <sz val="8"/>
        <color rgb="FFA40000"/>
        <rFont val="Geneva"/>
      </rPr>
      <t>PIN END</t>
    </r>
    <r>
      <rPr>
        <b/>
        <sz val="7.5"/>
        <rFont val="Geneva"/>
      </rPr>
      <t xml:space="preserve">                                                    </t>
    </r>
    <r>
      <rPr>
        <b/>
        <sz val="7"/>
        <rFont val="Geneva"/>
      </rPr>
      <t xml:space="preserve">                                                                                    </t>
    </r>
  </si>
  <si>
    <t>NFQ 22-9</t>
  </si>
  <si>
    <t>PIP TAG # 7 ON JT# 2</t>
  </si>
  <si>
    <t>Remove 1 x centralizer from jt # 3</t>
  </si>
  <si>
    <t>below K2 perfs - Torcplug correlation</t>
  </si>
  <si>
    <r>
      <rPr>
        <b/>
        <sz val="8"/>
        <rFont val="Geneva"/>
      </rPr>
      <t>PIP TAG # 5  INSTALLED 4</t>
    </r>
    <r>
      <rPr>
        <b/>
        <sz val="8"/>
        <color rgb="FFA40000"/>
        <rFont val="Geneva"/>
      </rPr>
      <t xml:space="preserve">ft </t>
    </r>
    <r>
      <rPr>
        <b/>
        <sz val="8"/>
        <rFont val="Geneva"/>
      </rPr>
      <t xml:space="preserve">FROM </t>
    </r>
    <r>
      <rPr>
        <b/>
        <sz val="8"/>
        <color rgb="FFA40000"/>
        <rFont val="Geneva"/>
      </rPr>
      <t>PIN END</t>
    </r>
    <r>
      <rPr>
        <b/>
        <sz val="7.5"/>
        <rFont val="Geneva"/>
      </rPr>
      <t xml:space="preserve">                                                    </t>
    </r>
    <r>
      <rPr>
        <b/>
        <sz val="7"/>
        <rFont val="Geneva"/>
      </rPr>
      <t xml:space="preserve">                                                                                    </t>
    </r>
  </si>
  <si>
    <r>
      <rPr>
        <b/>
        <sz val="8"/>
        <rFont val="Geneva"/>
      </rPr>
      <t>PIP TAG # 4  INSTALLED 4</t>
    </r>
    <r>
      <rPr>
        <b/>
        <sz val="8"/>
        <color rgb="FFA40000"/>
        <rFont val="Geneva"/>
      </rPr>
      <t xml:space="preserve">ft </t>
    </r>
    <r>
      <rPr>
        <b/>
        <sz val="8"/>
        <rFont val="Geneva"/>
      </rPr>
      <t xml:space="preserve">FROM </t>
    </r>
    <r>
      <rPr>
        <b/>
        <sz val="8"/>
        <color rgb="FFA40000"/>
        <rFont val="Geneva"/>
      </rPr>
      <t>PIN END</t>
    </r>
    <r>
      <rPr>
        <b/>
        <sz val="7.5"/>
        <rFont val="Geneva"/>
      </rPr>
      <t xml:space="preserve">                                                    </t>
    </r>
    <r>
      <rPr>
        <b/>
        <sz val="7"/>
        <rFont val="Geneva"/>
      </rPr>
      <t xml:space="preserve">                                                                                    </t>
    </r>
  </si>
  <si>
    <t xml:space="preserve"> Below K1 perfs - Torcplug correlation</t>
  </si>
  <si>
    <t>7" XOVER VAM 21 HT NX PIN DOWN x TSH WEDGE 563 BOX UP</t>
  </si>
  <si>
    <t>SN:108783896-01</t>
  </si>
  <si>
    <t>Running Tool Stick Up- XT-57 Box up</t>
  </si>
  <si>
    <t>SN: MRL2020000697                               XT-57 TQ - 47.2k-56.5k FT-LBS</t>
  </si>
  <si>
    <t>1283.32 ft.</t>
  </si>
  <si>
    <t xml:space="preserve"> STD # 113, wash down, Tag TD, Circulate and Spaceout.</t>
  </si>
  <si>
    <t>Std DP # 21, Circulate and take parameters before entering open hole:                              (Total of 598 bbls- 5030 Stks)</t>
  </si>
  <si>
    <t xml:space="preserve"> Travis Romanko / Remco Roomer/ Handi C</t>
  </si>
  <si>
    <t>QELNG-7in-FS-171-NFE</t>
  </si>
  <si>
    <t>QELNG-7in-FC-171-NFE</t>
  </si>
  <si>
    <t>QELNG-7in-LC-172-NFE-VT HC</t>
  </si>
  <si>
    <t>QELNG-7in-XO-32NFE</t>
  </si>
  <si>
    <t>QELNG-7in-XO-33 NFE</t>
  </si>
  <si>
    <t>QELNG-7in-FC -174 -NFE</t>
  </si>
  <si>
    <t>QELNG-7in-FS -174 -NFE</t>
  </si>
  <si>
    <t>QELNG-7in-LC-174-NFE VTHC</t>
  </si>
  <si>
    <t>Pip Tag # 7</t>
  </si>
  <si>
    <t>Pip Tag # 3</t>
  </si>
  <si>
    <t>7" 29# VAM21HT CSG JOINTS ( 2 x Centralizers)</t>
  </si>
  <si>
    <r>
      <t>7" 29# VAM21HT</t>
    </r>
    <r>
      <rPr>
        <b/>
        <sz val="11"/>
        <color rgb="FFFFFF00"/>
        <rFont val="Geneva"/>
      </rPr>
      <t xml:space="preserve"> </t>
    </r>
    <r>
      <rPr>
        <b/>
        <sz val="11"/>
        <color rgb="FFC00000"/>
        <rFont val="Geneva"/>
      </rPr>
      <t>PUP JOINTS</t>
    </r>
  </si>
  <si>
    <t>10 ft Pup Joint</t>
  </si>
  <si>
    <t>Damaged- Rejected</t>
  </si>
  <si>
    <t>PIP TAG # 6 ON JT# 65</t>
  </si>
  <si>
    <t>Remove 1 x centralizer from jt # 66</t>
  </si>
  <si>
    <t>PIP TAG # 5 ON JT# 127</t>
  </si>
  <si>
    <t>Remove 1 x centralizer from jt # 126</t>
  </si>
  <si>
    <r>
      <rPr>
        <b/>
        <sz val="8"/>
        <rFont val="Geneva"/>
      </rPr>
      <t>PIP TAG # 3  INSTALLED 4</t>
    </r>
    <r>
      <rPr>
        <b/>
        <sz val="8"/>
        <color rgb="FFA40000"/>
        <rFont val="Geneva"/>
      </rPr>
      <t xml:space="preserve"> ft </t>
    </r>
    <r>
      <rPr>
        <b/>
        <sz val="8"/>
        <rFont val="Geneva"/>
      </rPr>
      <t xml:space="preserve">FROM </t>
    </r>
    <r>
      <rPr>
        <b/>
        <sz val="8"/>
        <color rgb="FFA40000"/>
        <rFont val="Geneva"/>
      </rPr>
      <t>PIN END</t>
    </r>
    <r>
      <rPr>
        <b/>
        <sz val="7.5"/>
        <rFont val="Geneva"/>
      </rPr>
      <t xml:space="preserve">                                                    </t>
    </r>
    <r>
      <rPr>
        <b/>
        <sz val="7"/>
        <rFont val="Geneva"/>
      </rPr>
      <t xml:space="preserve">                                                                                    </t>
    </r>
  </si>
  <si>
    <t>PIP TAG # 1 ON JT# 286</t>
  </si>
  <si>
    <r>
      <rPr>
        <b/>
        <sz val="8"/>
        <rFont val="Geneva"/>
      </rPr>
      <t>PIP TAG # 2  INSTALLED 4</t>
    </r>
    <r>
      <rPr>
        <b/>
        <sz val="8"/>
        <color rgb="FFA40000"/>
        <rFont val="Geneva"/>
      </rPr>
      <t xml:space="preserve"> ft </t>
    </r>
    <r>
      <rPr>
        <b/>
        <sz val="8"/>
        <rFont val="Geneva"/>
      </rPr>
      <t xml:space="preserve">FROM </t>
    </r>
    <r>
      <rPr>
        <b/>
        <sz val="8"/>
        <color rgb="FFA40000"/>
        <rFont val="Geneva"/>
      </rPr>
      <t>PIN END</t>
    </r>
    <r>
      <rPr>
        <b/>
        <sz val="7.5"/>
        <rFont val="Geneva"/>
      </rPr>
      <t xml:space="preserve">                                                    </t>
    </r>
    <r>
      <rPr>
        <b/>
        <sz val="7"/>
        <rFont val="Geneva"/>
      </rPr>
      <t xml:space="preserve">                                                                                    </t>
    </r>
  </si>
  <si>
    <t>Remove 1 x centralizer from jt # 266</t>
  </si>
  <si>
    <t>PIP TAG # 2 ON JT# 267</t>
  </si>
  <si>
    <t>PIP TAG # 3 ON JT# 223</t>
  </si>
  <si>
    <t>PIP TAG # 4 ON JT# 156</t>
  </si>
  <si>
    <t>Remove 1 x centralizer from jt # 157</t>
  </si>
  <si>
    <t>Including 2 rejected joints.</t>
  </si>
  <si>
    <t>97.93 ft below Hanger Assy</t>
  </si>
  <si>
    <t>Run Number</t>
  </si>
  <si>
    <t>Depth of Top of Joint</t>
  </si>
  <si>
    <t>7" FULL JOINT</t>
  </si>
  <si>
    <t xml:space="preserve">7" XOVER </t>
  </si>
  <si>
    <t>PUP JOINT</t>
  </si>
  <si>
    <t>LOCATOR MANDREL</t>
  </si>
  <si>
    <t>LOCATOR COUPLING</t>
  </si>
  <si>
    <t>MID ELEMENT</t>
  </si>
  <si>
    <t>Coupling Mid element</t>
  </si>
  <si>
    <t>Packer Coupling</t>
  </si>
  <si>
    <t>Pup JT</t>
  </si>
  <si>
    <t>7" FC</t>
  </si>
  <si>
    <t>TRSSSV</t>
  </si>
  <si>
    <t>P3</t>
  </si>
  <si>
    <t>P8</t>
  </si>
  <si>
    <t>TH + Pup Jt</t>
  </si>
  <si>
    <t>PUP Jt</t>
  </si>
  <si>
    <t>HANGER PUP Jt</t>
  </si>
  <si>
    <t>10ft Pup Jt</t>
  </si>
  <si>
    <t>20ft Pup Jt</t>
  </si>
  <si>
    <t>Primary setting depth</t>
  </si>
  <si>
    <t>Backup setting depth</t>
  </si>
  <si>
    <t>TP set depth 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</si>
</sst>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"/>
    <numFmt numFmtId="167" formatCode="0\ &quot;K&quot;"/>
    <numFmt numFmtId="168" formatCode="0.00\ &quot;ft&quot;"/>
    <numFmt numFmtId="169" formatCode="0.00\ &quot;ppf&quot;"/>
    <numFmt numFmtId="170" formatCode="0.00\ &quot;ppg&quot;"/>
    <numFmt numFmtId="171" formatCode="0.00000"/>
    <numFmt numFmtId="172" formatCode="0.00\ &quot;bbls&quot;"/>
    <numFmt numFmtId="173" formatCode="0.000\ &quot;in&quot;"/>
    <numFmt numFmtId="174" formatCode="0\ &quot;psi&quot;"/>
    <numFmt numFmtId="175" formatCode="0\ &quot;Strokes&quot;"/>
    <numFmt numFmtId="176" formatCode="0.0000"/>
    <numFmt numFmtId="177" formatCode="0.0000\ &quot;bbls/stk&quot;"/>
    <numFmt numFmtId="178" formatCode="0.00;[Red]0.00"/>
    <numFmt numFmtId="179" formatCode="#,#00\ &quot;Klbs&quot;"/>
    <numFmt numFmtId="180" formatCode="#,#00\ &quot;psi&quot;"/>
    <numFmt numFmtId="181" formatCode="0.000000000000"/>
    <numFmt numFmtId="182" formatCode="0\ &quot;ft depth&quot;"/>
    <numFmt numFmtId="183" formatCode="0.000\ &quot;in (Calipered)&quot;"/>
  </numFmts>
  <fonts count="123">
    <font>
      <sz val="11"/>
      <color theme="1"/>
      <name val="Calibri"/>
      <family val="2"/>
      <scheme val="minor"/>
    </font>
    <font>
      <b/>
      <sz val="9"/>
      <name val="Geneva"/>
    </font>
    <font>
      <b/>
      <sz val="12"/>
      <name val="Geneva"/>
    </font>
    <font>
      <b/>
      <sz val="14"/>
      <name val="Geneva"/>
    </font>
    <font>
      <sz val="9"/>
      <name val="Geneva"/>
    </font>
    <font>
      <b/>
      <shadow/>
      <sz val="14"/>
      <color indexed="12"/>
      <name val="Geneva"/>
    </font>
    <font>
      <b/>
      <sz val="9"/>
      <color theme="0"/>
      <name val="Geneva"/>
    </font>
    <font>
      <sz val="9"/>
      <color rgb="FFFF0000"/>
      <name val="Geneva"/>
    </font>
    <font>
      <sz val="10"/>
      <name val="Geneva"/>
    </font>
    <font>
      <b/>
      <sz val="8"/>
      <name val="Geneva"/>
    </font>
    <font>
      <sz val="9"/>
      <color theme="1"/>
      <name val="Geneva"/>
    </font>
    <font>
      <b/>
      <sz val="9"/>
      <color theme="1"/>
      <name val="Geneva"/>
    </font>
    <font>
      <b/>
      <sz val="9"/>
      <color indexed="10"/>
      <name val="Geneva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4"/>
      <name val="Tms Rmn"/>
      <family val="1"/>
    </font>
    <font>
      <sz val="12"/>
      <name val="Osaka"/>
      <family val="1"/>
    </font>
    <font>
      <u/>
      <sz val="7"/>
      <color indexed="12"/>
      <name val="Tms Rmn"/>
      <family val="1"/>
    </font>
    <font>
      <b/>
      <i/>
      <sz val="10"/>
      <color indexed="8"/>
      <name val="Geneva"/>
    </font>
    <font>
      <b/>
      <sz val="8.5"/>
      <color theme="0"/>
      <name val="Geneva"/>
    </font>
    <font>
      <sz val="8"/>
      <name val="Calibri"/>
      <family val="2"/>
      <scheme val="minor"/>
    </font>
    <font>
      <b/>
      <sz val="12"/>
      <color theme="0"/>
      <name val="Geneva"/>
    </font>
    <font>
      <b/>
      <sz val="10"/>
      <color theme="0"/>
      <name val="Geneva"/>
    </font>
    <font>
      <b/>
      <sz val="8.5"/>
      <name val="Geneva"/>
    </font>
    <font>
      <b/>
      <sz val="10"/>
      <name val="Geneva"/>
    </font>
    <font>
      <sz val="10"/>
      <name val="Arial"/>
      <family val="2"/>
    </font>
    <font>
      <sz val="12"/>
      <name val="Osaka"/>
      <family val="3"/>
      <charset val="128"/>
    </font>
    <font>
      <sz val="10"/>
      <name val="Times New Roman"/>
      <family val="1"/>
    </font>
    <font>
      <b/>
      <sz val="7"/>
      <color theme="1"/>
      <name val="Geneva"/>
    </font>
    <font>
      <b/>
      <sz val="7.5"/>
      <name val="Geneva"/>
    </font>
    <font>
      <sz val="10"/>
      <name val="MS Sans Serif"/>
    </font>
    <font>
      <sz val="11"/>
      <color theme="1"/>
      <name val="Geneva"/>
    </font>
    <font>
      <sz val="20"/>
      <color theme="1"/>
      <name val="Geneva"/>
    </font>
    <font>
      <b/>
      <sz val="20"/>
      <color theme="0"/>
      <name val="Geneva"/>
    </font>
    <font>
      <b/>
      <sz val="11"/>
      <color theme="1"/>
      <name val="Geneva"/>
    </font>
    <font>
      <sz val="12"/>
      <color theme="1"/>
      <name val="Geneva"/>
    </font>
    <font>
      <b/>
      <sz val="6"/>
      <color rgb="FFC00000"/>
      <name val="Geneva"/>
    </font>
    <font>
      <b/>
      <sz val="12"/>
      <color theme="1"/>
      <name val="Geneva"/>
    </font>
    <font>
      <b/>
      <sz val="12"/>
      <color rgb="FFA40000"/>
      <name val="Geneva"/>
    </font>
    <font>
      <b/>
      <sz val="8"/>
      <color theme="0"/>
      <name val="Geneva"/>
    </font>
    <font>
      <b/>
      <sz val="12"/>
      <color theme="1"/>
      <name val="Calibri"/>
      <family val="2"/>
      <scheme val="minor"/>
    </font>
    <font>
      <sz val="12"/>
      <name val="Geneva"/>
    </font>
    <font>
      <b/>
      <sz val="9"/>
      <color rgb="FF017362"/>
      <name val="Geneva"/>
    </font>
    <font>
      <b/>
      <sz val="11"/>
      <color rgb="FFC00000"/>
      <name val="Geneva"/>
    </font>
    <font>
      <b/>
      <sz val="8"/>
      <color theme="1"/>
      <name val="Geneva"/>
    </font>
    <font>
      <b/>
      <sz val="9"/>
      <color rgb="FF017357"/>
      <name val="Geneva"/>
    </font>
    <font>
      <b/>
      <sz val="14"/>
      <color rgb="FF017357"/>
      <name val="Geneva"/>
    </font>
    <font>
      <sz val="9"/>
      <color rgb="FF1E3270"/>
      <name val="Calibri"/>
      <family val="2"/>
      <scheme val="minor"/>
    </font>
    <font>
      <sz val="9"/>
      <color rgb="FF1E3270"/>
      <name val="Geneva"/>
    </font>
    <font>
      <b/>
      <sz val="9"/>
      <color theme="1" tint="0.249977111117893"/>
      <name val="Geneva"/>
    </font>
    <font>
      <sz val="9"/>
      <color theme="1" tint="0.249977111117893"/>
      <name val="Geneva"/>
    </font>
    <font>
      <b/>
      <sz val="9"/>
      <color theme="0" tint="-4.9989318521683403E-2"/>
      <name val="Geneva"/>
    </font>
    <font>
      <b/>
      <sz val="11"/>
      <color rgb="FFFFFF00"/>
      <name val="Geneva"/>
    </font>
    <font>
      <b/>
      <sz val="12"/>
      <color rgb="FF017362"/>
      <name val="Geneva"/>
    </font>
    <font>
      <b/>
      <sz val="11"/>
      <name val="Geneva"/>
    </font>
    <font>
      <b/>
      <i/>
      <sz val="10"/>
      <color rgb="FF016B45"/>
      <name val="Geneva"/>
    </font>
    <font>
      <b/>
      <sz val="8.5"/>
      <color theme="1" tint="0.249977111117893"/>
      <name val="Geneva"/>
    </font>
    <font>
      <b/>
      <sz val="8"/>
      <color theme="0" tint="-4.9989318521683403E-2"/>
      <name val="Geneva"/>
    </font>
    <font>
      <b/>
      <sz val="10"/>
      <color theme="0" tint="-4.9989318521683403E-2"/>
      <name val="Geneva"/>
    </font>
    <font>
      <sz val="9"/>
      <color rgb="FF017362"/>
      <name val="Geneva"/>
    </font>
    <font>
      <sz val="11"/>
      <color rgb="FF017362"/>
      <name val="Calibri"/>
      <family val="2"/>
      <scheme val="minor"/>
    </font>
    <font>
      <b/>
      <sz val="7.5"/>
      <color theme="0"/>
      <name val="Geneva"/>
    </font>
    <font>
      <b/>
      <sz val="7.5"/>
      <color rgb="FF017362"/>
      <name val="Geneva"/>
    </font>
    <font>
      <b/>
      <sz val="7"/>
      <color rgb="FFC00000"/>
      <name val="Geneva"/>
    </font>
    <font>
      <b/>
      <sz val="7"/>
      <color theme="0" tint="-0.34998626667073579"/>
      <name val="Geneva"/>
    </font>
    <font>
      <sz val="7"/>
      <color theme="0" tint="-0.34998626667073579"/>
      <name val="Geneva"/>
    </font>
    <font>
      <b/>
      <sz val="10"/>
      <color theme="5" tint="-0.249977111117893"/>
      <name val="Geneva"/>
    </font>
    <font>
      <sz val="10"/>
      <color theme="1"/>
      <name val="Geneva"/>
    </font>
    <font>
      <sz val="10"/>
      <color theme="0" tint="-4.9989318521683403E-2"/>
      <name val="Geneva"/>
    </font>
    <font>
      <b/>
      <sz val="10"/>
      <color indexed="10"/>
      <name val="Geneva"/>
    </font>
    <font>
      <b/>
      <sz val="9.5"/>
      <color theme="0"/>
      <name val="Geneva"/>
    </font>
    <font>
      <b/>
      <sz val="9.5"/>
      <name val="Geneva"/>
    </font>
    <font>
      <sz val="9.5"/>
      <color theme="1"/>
      <name val="Geneva"/>
    </font>
    <font>
      <sz val="9.5"/>
      <name val="Geneva"/>
    </font>
    <font>
      <b/>
      <sz val="8.5"/>
      <color rgb="FFC00000"/>
      <name val="Geneva"/>
    </font>
    <font>
      <b/>
      <sz val="15"/>
      <color rgb="FF017357"/>
      <name val="Geneva"/>
    </font>
    <font>
      <b/>
      <sz val="10"/>
      <color rgb="FF820000"/>
      <name val="Geneva"/>
    </font>
    <font>
      <b/>
      <sz val="9"/>
      <color rgb="FF1E3270"/>
      <name val="Geneva"/>
    </font>
    <font>
      <sz val="12"/>
      <color theme="1"/>
      <name val="Calibri"/>
      <family val="2"/>
      <scheme val="minor"/>
    </font>
    <font>
      <i/>
      <sz val="9"/>
      <color theme="0" tint="-0.34998626667073579"/>
      <name val="Geneva"/>
    </font>
    <font>
      <b/>
      <sz val="9"/>
      <color theme="9" tint="-0.499984740745262"/>
      <name val="Geneva"/>
    </font>
    <font>
      <sz val="9"/>
      <color theme="9" tint="-0.499984740745262"/>
      <name val="Geneva"/>
    </font>
    <font>
      <b/>
      <sz val="8"/>
      <color theme="7" tint="0.79998168889431442"/>
      <name val="Geneva"/>
    </font>
    <font>
      <b/>
      <sz val="6"/>
      <color theme="0"/>
      <name val="Geneva"/>
    </font>
    <font>
      <b/>
      <sz val="8.5"/>
      <color rgb="FF01E562"/>
      <name val="Geneva"/>
    </font>
    <font>
      <b/>
      <sz val="9"/>
      <color rgb="FF01E562"/>
      <name val="Geneva"/>
    </font>
    <font>
      <b/>
      <sz val="10"/>
      <color rgb="FFFF0000"/>
      <name val="Geneva"/>
    </font>
    <font>
      <b/>
      <sz val="9.5"/>
      <color rgb="FF017362"/>
      <name val="Geneva"/>
    </font>
    <font>
      <sz val="9.5"/>
      <color rgb="FFFF0000"/>
      <name val="Geneva"/>
    </font>
    <font>
      <b/>
      <sz val="9.5"/>
      <color theme="1"/>
      <name val="Geneva"/>
    </font>
    <font>
      <sz val="9"/>
      <color theme="0"/>
      <name val="Geneva"/>
    </font>
    <font>
      <b/>
      <sz val="8.5"/>
      <color theme="1"/>
      <name val="Geneva"/>
    </font>
    <font>
      <b/>
      <sz val="9"/>
      <color theme="1" tint="4.9989318521683403E-2"/>
      <name val="Geneva"/>
    </font>
    <font>
      <b/>
      <sz val="9.5"/>
      <color theme="1" tint="4.9989318521683403E-2"/>
      <name val="Geneva"/>
    </font>
    <font>
      <i/>
      <sz val="9"/>
      <color theme="1" tint="4.9989318521683403E-2"/>
      <name val="Geneva"/>
    </font>
    <font>
      <sz val="9"/>
      <color theme="1" tint="4.9989318521683403E-2"/>
      <name val="Geneva"/>
    </font>
    <font>
      <sz val="12"/>
      <color theme="0" tint="-4.9989318521683403E-2"/>
      <name val="Geneva"/>
    </font>
    <font>
      <b/>
      <sz val="13"/>
      <color theme="1" tint="4.9989318521683403E-2"/>
      <name val="Geneva"/>
    </font>
    <font>
      <b/>
      <sz val="13"/>
      <name val="Geneva"/>
    </font>
    <font>
      <b/>
      <sz val="13"/>
      <color theme="0"/>
      <name val="Geneva"/>
    </font>
    <font>
      <sz val="13"/>
      <name val="Geneva"/>
    </font>
    <font>
      <b/>
      <sz val="13"/>
      <color theme="1"/>
      <name val="Geneva"/>
    </font>
    <font>
      <i/>
      <sz val="9"/>
      <color theme="0"/>
      <name val="Geneva"/>
    </font>
    <font>
      <b/>
      <sz val="11"/>
      <color theme="0"/>
      <name val="Geneva"/>
    </font>
    <font>
      <sz val="13"/>
      <color theme="0" tint="-4.9989318521683403E-2"/>
      <name val="Geneva"/>
    </font>
    <font>
      <sz val="14"/>
      <color theme="1"/>
      <name val="Calibri"/>
      <family val="2"/>
      <scheme val="minor"/>
    </font>
    <font>
      <b/>
      <sz val="7"/>
      <name val="Geneva"/>
    </font>
    <font>
      <b/>
      <sz val="8"/>
      <color rgb="FFA40000"/>
      <name val="Geneva"/>
    </font>
    <font>
      <i/>
      <sz val="12"/>
      <name val="Geneva"/>
    </font>
    <font>
      <b/>
      <i/>
      <sz val="12"/>
      <name val="Geneva"/>
    </font>
    <font>
      <b/>
      <sz val="11"/>
      <color rgb="FFFF0000"/>
      <name val="Geneva"/>
    </font>
    <font>
      <b/>
      <sz val="9.5"/>
      <color theme="5" tint="-0.249977111117893"/>
      <name val="Geneva"/>
    </font>
    <font>
      <sz val="12"/>
      <color rgb="FFFF0000"/>
      <name val="Geneva"/>
    </font>
    <font>
      <b/>
      <sz val="11"/>
      <color theme="1"/>
      <name val="Calibri"/>
      <family val="2"/>
      <scheme val="minor"/>
    </font>
    <font>
      <b/>
      <sz val="10"/>
      <color rgb="FFC00000"/>
      <name val="Geneva"/>
    </font>
    <font>
      <b/>
      <sz val="12"/>
      <color rgb="FFFF0000"/>
      <name val="Geneva"/>
    </font>
    <font>
      <b/>
      <sz val="10"/>
      <color theme="1"/>
      <name val="Geneva"/>
    </font>
    <font>
      <sz val="10"/>
      <name val="Times New Roman"/>
      <family val="1"/>
    </font>
    <font>
      <sz val="11"/>
      <name val="Calibri"/>
      <family val="2"/>
      <scheme val="minor"/>
    </font>
    <font>
      <sz val="11"/>
      <name val="Geneva"/>
    </font>
    <font>
      <b/>
      <u/>
      <sz val="9"/>
      <name val="Geneva"/>
    </font>
    <font>
      <b/>
      <sz val="10"/>
      <color theme="9" tint="-0.499984740745262"/>
      <name val="Geneva"/>
    </font>
    <font>
      <sz val="10"/>
      <color rgb="FFFF0000"/>
      <name val="Genev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lightGray"/>
    </fill>
    <fill>
      <patternFill patternType="solid">
        <fgColor theme="4" tint="0.79998168889431442"/>
        <bgColor indexed="64"/>
      </patternFill>
    </fill>
    <fill>
      <patternFill patternType="solid">
        <fgColor rgb="FF0173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FE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1FFF4"/>
        <bgColor indexed="64"/>
      </patternFill>
    </fill>
    <fill>
      <patternFill patternType="solid">
        <fgColor rgb="FF9FFFD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FAEC1"/>
        <bgColor indexed="64"/>
      </patternFill>
    </fill>
    <fill>
      <patternFill patternType="solid">
        <fgColor theme="5" tint="0.59999389629810485"/>
        <bgColor indexed="64"/>
      </patternFill>
    </fill>
  </fills>
  <borders count="19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19962"/>
      </left>
      <right style="thin">
        <color rgb="FF019962"/>
      </right>
      <top style="thin">
        <color rgb="FF019962"/>
      </top>
      <bottom style="thin">
        <color rgb="FF019962"/>
      </bottom>
      <diagonal/>
    </border>
    <border>
      <left style="thin">
        <color rgb="FF019962"/>
      </left>
      <right style="thin">
        <color rgb="FF019962"/>
      </right>
      <top/>
      <bottom style="thin">
        <color rgb="FF019962"/>
      </bottom>
      <diagonal/>
    </border>
    <border>
      <left/>
      <right style="thin">
        <color rgb="FF019962"/>
      </right>
      <top/>
      <bottom style="thin">
        <color rgb="FF019962"/>
      </bottom>
      <diagonal/>
    </border>
    <border>
      <left style="thin">
        <color rgb="FF019962"/>
      </left>
      <right style="thin">
        <color rgb="FF019962"/>
      </right>
      <top style="thin">
        <color rgb="FF019962"/>
      </top>
      <bottom/>
      <diagonal/>
    </border>
    <border>
      <left style="thin">
        <color rgb="FF019962"/>
      </left>
      <right style="thin">
        <color rgb="FF019962"/>
      </right>
      <top/>
      <bottom/>
      <diagonal/>
    </border>
    <border>
      <left/>
      <right style="thin">
        <color rgb="FF019962"/>
      </right>
      <top/>
      <bottom/>
      <diagonal/>
    </border>
    <border>
      <left style="medium">
        <color auto="1"/>
      </left>
      <right/>
      <top style="thin">
        <color rgb="FF019962"/>
      </top>
      <bottom style="thin">
        <color rgb="FF019962"/>
      </bottom>
      <diagonal/>
    </border>
    <border>
      <left style="thin">
        <color rgb="FF01AC7C"/>
      </left>
      <right style="thin">
        <color rgb="FF01AC7C"/>
      </right>
      <top style="medium">
        <color indexed="64"/>
      </top>
      <bottom style="thin">
        <color rgb="FF01AC7C"/>
      </bottom>
      <diagonal/>
    </border>
    <border>
      <left/>
      <right style="thin">
        <color rgb="FF01AC7C"/>
      </right>
      <top style="medium">
        <color indexed="64"/>
      </top>
      <bottom style="thin">
        <color rgb="FF01AC7C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n">
        <color rgb="FFFF0000"/>
      </top>
      <bottom style="thin">
        <color rgb="FFFF0000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theme="0"/>
      </top>
      <bottom style="medium">
        <color theme="0"/>
      </bottom>
      <diagonal/>
    </border>
    <border>
      <left style="thin">
        <color rgb="FFFF0000"/>
      </left>
      <right style="thick">
        <color indexed="64"/>
      </right>
      <top style="thin">
        <color rgb="FFFF0000"/>
      </top>
      <bottom style="thin">
        <color rgb="FFFF0000"/>
      </bottom>
      <diagonal/>
    </border>
    <border>
      <left/>
      <right style="thick">
        <color indexed="64"/>
      </right>
      <top style="thin">
        <color rgb="FF019962"/>
      </top>
      <bottom style="thin">
        <color rgb="FF019962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rgb="FFFF0000"/>
      </left>
      <right style="thick">
        <color indexed="64"/>
      </right>
      <top style="thin">
        <color rgb="FFFF0000"/>
      </top>
      <bottom/>
      <diagonal/>
    </border>
    <border>
      <left/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rgb="FFFF0000"/>
      </left>
      <right style="thick">
        <color indexed="64"/>
      </right>
      <top/>
      <bottom style="thin">
        <color rgb="FFFF0000"/>
      </bottom>
      <diagonal/>
    </border>
    <border>
      <left/>
      <right style="thin">
        <color rgb="FF01AC7C"/>
      </right>
      <top style="thin">
        <color rgb="FF01AC7C"/>
      </top>
      <bottom style="thick">
        <color indexed="64"/>
      </bottom>
      <diagonal/>
    </border>
    <border>
      <left style="thin">
        <color rgb="FF01AC7C"/>
      </left>
      <right style="thin">
        <color rgb="FF01AC7C"/>
      </right>
      <top style="thin">
        <color rgb="FF01AC7C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rgb="FF019962"/>
      </right>
      <top style="thin">
        <color rgb="FF019962"/>
      </top>
      <bottom style="thin">
        <color rgb="FF019962"/>
      </bottom>
      <diagonal/>
    </border>
    <border>
      <left style="thick">
        <color indexed="64"/>
      </left>
      <right/>
      <top/>
      <bottom style="thin">
        <color rgb="FF019962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19962"/>
      </left>
      <right/>
      <top style="thin">
        <color rgb="FF019962"/>
      </top>
      <bottom/>
      <diagonal/>
    </border>
    <border>
      <left/>
      <right/>
      <top style="thin">
        <color rgb="FF019962"/>
      </top>
      <bottom style="thin">
        <color rgb="FF0199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FF0000"/>
      </left>
      <right style="thick">
        <color indexed="64"/>
      </right>
      <top style="medium">
        <color indexed="64"/>
      </top>
      <bottom style="thin">
        <color rgb="FFFF0000"/>
      </bottom>
      <diagonal/>
    </border>
    <border>
      <left style="thin">
        <color rgb="FFFF0000"/>
      </left>
      <right style="thick">
        <color indexed="64"/>
      </right>
      <top style="thin">
        <color rgb="FFFF0000"/>
      </top>
      <bottom style="medium">
        <color indexed="64"/>
      </bottom>
      <diagonal/>
    </border>
    <border>
      <left style="thin">
        <color rgb="FF01AC7C"/>
      </left>
      <right/>
      <top style="medium">
        <color indexed="64"/>
      </top>
      <bottom style="thin">
        <color rgb="FF01AC7C"/>
      </bottom>
      <diagonal/>
    </border>
    <border>
      <left style="thin">
        <color rgb="FF01AC7C"/>
      </left>
      <right/>
      <top style="thin">
        <color rgb="FF01AC7C"/>
      </top>
      <bottom style="thick">
        <color indexed="64"/>
      </bottom>
      <diagonal/>
    </border>
    <border>
      <left style="medium">
        <color indexed="64"/>
      </left>
      <right style="thin">
        <color rgb="FFFF0000"/>
      </right>
      <top/>
      <bottom style="thin">
        <color rgb="FFFF0000"/>
      </bottom>
      <diagonal/>
    </border>
    <border>
      <left style="medium">
        <color indexed="64"/>
      </left>
      <right style="thin">
        <color rgb="FFFF0000"/>
      </right>
      <top style="thin">
        <color rgb="FFFF0000"/>
      </top>
      <bottom/>
      <diagonal/>
    </border>
    <border>
      <left style="medium">
        <color indexed="64"/>
      </left>
      <right style="thin">
        <color rgb="FFFF0000"/>
      </right>
      <top style="medium">
        <color indexed="64"/>
      </top>
      <bottom style="thin">
        <color rgb="FFFF0000"/>
      </bottom>
      <diagonal/>
    </border>
    <border>
      <left style="medium">
        <color indexed="64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indexed="64"/>
      </left>
      <right style="thin">
        <color rgb="FFFF0000"/>
      </right>
      <top style="thin">
        <color rgb="FFFF0000"/>
      </top>
      <bottom style="medium">
        <color indexed="64"/>
      </bottom>
      <diagonal/>
    </border>
    <border>
      <left style="medium">
        <color indexed="64"/>
      </left>
      <right/>
      <top style="thin">
        <color rgb="FFFF0000"/>
      </top>
      <bottom style="thin">
        <color rgb="FFFF0000"/>
      </bottom>
      <diagonal/>
    </border>
    <border>
      <left style="medium">
        <color indexed="64"/>
      </left>
      <right/>
      <top style="medium">
        <color indexed="64"/>
      </top>
      <bottom style="thin">
        <color rgb="FF0199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rgb="FF019962"/>
      </top>
      <bottom style="thin">
        <color rgb="FF019962"/>
      </bottom>
      <diagonal/>
    </border>
    <border>
      <left style="thin">
        <color rgb="FF019962"/>
      </left>
      <right style="thin">
        <color rgb="FF019962"/>
      </right>
      <top/>
      <bottom style="medium">
        <color indexed="64"/>
      </bottom>
      <diagonal/>
    </border>
    <border>
      <left style="medium">
        <color auto="1"/>
      </left>
      <right/>
      <top/>
      <bottom style="thin">
        <color rgb="FF019962"/>
      </bottom>
      <diagonal/>
    </border>
    <border>
      <left style="medium">
        <color auto="1"/>
      </left>
      <right/>
      <top style="thin">
        <color rgb="FF0199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0000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19962"/>
      </bottom>
      <diagonal/>
    </border>
    <border>
      <left style="thin">
        <color indexed="64"/>
      </left>
      <right style="medium">
        <color indexed="64"/>
      </right>
      <top style="thin">
        <color rgb="FF019962"/>
      </top>
      <bottom style="thin">
        <color rgb="FF019962"/>
      </bottom>
      <diagonal/>
    </border>
    <border>
      <left style="thin">
        <color indexed="64"/>
      </left>
      <right style="medium">
        <color indexed="64"/>
      </right>
      <top style="thin">
        <color rgb="FF019962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19962"/>
      </left>
      <right/>
      <top/>
      <bottom style="medium">
        <color indexed="64"/>
      </bottom>
      <diagonal/>
    </border>
    <border>
      <left/>
      <right style="thin">
        <color rgb="FF019962"/>
      </right>
      <top/>
      <bottom style="medium">
        <color indexed="64"/>
      </bottom>
      <diagonal/>
    </border>
    <border>
      <left style="thin">
        <color rgb="FF019962"/>
      </left>
      <right style="medium">
        <color auto="1"/>
      </right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rgb="FF019962"/>
      </top>
      <bottom/>
      <diagonal/>
    </border>
    <border>
      <left/>
      <right style="thick">
        <color indexed="64"/>
      </right>
      <top style="thin">
        <color rgb="FF01996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19962"/>
      </left>
      <right style="medium">
        <color indexed="64"/>
      </right>
      <top style="medium">
        <color indexed="64"/>
      </top>
      <bottom style="thin">
        <color rgb="FF019962"/>
      </bottom>
      <diagonal/>
    </border>
    <border>
      <left style="thin">
        <color indexed="64"/>
      </left>
      <right style="medium">
        <color indexed="64"/>
      </right>
      <top style="thin">
        <color rgb="FF019962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19962"/>
      </bottom>
      <diagonal/>
    </border>
    <border>
      <left/>
      <right style="thick">
        <color indexed="64"/>
      </right>
      <top style="thin">
        <color rgb="FF019962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theme="0"/>
      </bottom>
      <diagonal/>
    </border>
    <border>
      <left/>
      <right style="thin">
        <color indexed="64"/>
      </right>
      <top/>
      <bottom style="medium">
        <color theme="0"/>
      </bottom>
      <diagonal/>
    </border>
    <border>
      <left style="thick">
        <color theme="1"/>
      </left>
      <right/>
      <top style="thin">
        <color rgb="FF019962"/>
      </top>
      <bottom style="thin">
        <color rgb="FF019962"/>
      </bottom>
      <diagonal/>
    </border>
    <border>
      <left/>
      <right style="thin">
        <color rgb="FF019962"/>
      </right>
      <top style="thin">
        <color rgb="FF019962"/>
      </top>
      <bottom/>
      <diagonal/>
    </border>
    <border>
      <left/>
      <right style="thin">
        <color rgb="FF019962"/>
      </right>
      <top/>
      <bottom style="thin">
        <color indexed="64"/>
      </bottom>
      <diagonal/>
    </border>
    <border>
      <left/>
      <right style="thin">
        <color rgb="FF019962"/>
      </right>
      <top style="medium">
        <color indexed="64"/>
      </top>
      <bottom style="medium">
        <color indexed="64"/>
      </bottom>
      <diagonal/>
    </border>
    <border>
      <left style="thin">
        <color rgb="FF019962"/>
      </left>
      <right style="thin">
        <color rgb="FF0199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19962"/>
      </left>
      <right/>
      <top/>
      <bottom/>
      <diagonal/>
    </border>
    <border>
      <left style="thin">
        <color indexed="64"/>
      </left>
      <right style="thin">
        <color rgb="FF019962"/>
      </right>
      <top style="medium">
        <color indexed="64"/>
      </top>
      <bottom style="medium">
        <color indexed="64"/>
      </bottom>
      <diagonal/>
    </border>
    <border>
      <left style="thin">
        <color rgb="FF0199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19962"/>
      </right>
      <top style="thin">
        <color rgb="FF019962"/>
      </top>
      <bottom style="thin">
        <color indexed="64"/>
      </bottom>
      <diagonal/>
    </border>
    <border>
      <left style="thin">
        <color rgb="FF019962"/>
      </left>
      <right style="thin">
        <color rgb="FF019962"/>
      </right>
      <top style="thin">
        <color rgb="FF019962"/>
      </top>
      <bottom style="thin">
        <color indexed="64"/>
      </bottom>
      <diagonal/>
    </border>
    <border>
      <left style="thin">
        <color rgb="FF019962"/>
      </left>
      <right/>
      <top style="thin">
        <color rgb="FF019962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rgb="FF019962"/>
      </bottom>
      <diagonal/>
    </border>
    <border>
      <left style="medium">
        <color auto="1"/>
      </left>
      <right/>
      <top style="thin">
        <color rgb="FF019962"/>
      </top>
      <bottom style="thin">
        <color indexed="64"/>
      </bottom>
      <diagonal/>
    </border>
    <border>
      <left/>
      <right style="thick">
        <color indexed="64"/>
      </right>
      <top style="thin">
        <color rgb="FF019962"/>
      </top>
      <bottom style="thin">
        <color indexed="64"/>
      </bottom>
      <diagonal/>
    </border>
    <border>
      <left style="thin">
        <color rgb="FF019962"/>
      </left>
      <right/>
      <top style="medium">
        <color indexed="64"/>
      </top>
      <bottom style="medium">
        <color indexed="64"/>
      </bottom>
      <diagonal/>
    </border>
  </borders>
  <cellStyleXfs count="29">
    <xf numFmtId="0" fontId="0" fillId="0" borderId="0"/>
    <xf numFmtId="0" fontId="8" fillId="0" borderId="0"/>
    <xf numFmtId="165" fontId="14" fillId="0" borderId="0" applyFont="0" applyFill="0" applyBorder="0" applyAlignment="0" applyProtection="0"/>
    <xf numFmtId="0" fontId="15" fillId="0" borderId="0"/>
    <xf numFmtId="38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26" fillId="0" borderId="0"/>
    <xf numFmtId="0" fontId="14" fillId="0" borderId="0"/>
    <xf numFmtId="0" fontId="27" fillId="0" borderId="0"/>
    <xf numFmtId="0" fontId="27" fillId="0" borderId="0"/>
    <xf numFmtId="0" fontId="25" fillId="0" borderId="0"/>
    <xf numFmtId="0" fontId="14" fillId="0" borderId="0"/>
    <xf numFmtId="0" fontId="25" fillId="0" borderId="0"/>
    <xf numFmtId="0" fontId="30" fillId="0" borderId="0"/>
    <xf numFmtId="0" fontId="25" fillId="0" borderId="0"/>
    <xf numFmtId="0" fontId="14" fillId="0" borderId="0"/>
    <xf numFmtId="164" fontId="25" fillId="0" borderId="0" applyFont="0" applyFill="0" applyBorder="0" applyAlignment="0" applyProtection="0"/>
    <xf numFmtId="0" fontId="25" fillId="0" borderId="0"/>
    <xf numFmtId="0" fontId="105" fillId="0" borderId="0"/>
    <xf numFmtId="0" fontId="14" fillId="0" borderId="0"/>
    <xf numFmtId="0" fontId="105" fillId="0" borderId="0"/>
    <xf numFmtId="0" fontId="14" fillId="0" borderId="0"/>
    <xf numFmtId="0" fontId="14" fillId="0" borderId="0"/>
    <xf numFmtId="0" fontId="14" fillId="0" borderId="0"/>
    <xf numFmtId="0" fontId="25" fillId="0" borderId="0"/>
    <xf numFmtId="0" fontId="117" fillId="0" borderId="0"/>
    <xf numFmtId="0" fontId="25" fillId="0" borderId="0"/>
    <xf numFmtId="0" fontId="25" fillId="0" borderId="0"/>
  </cellStyleXfs>
  <cellXfs count="857">
    <xf numFmtId="0" fontId="0" fillId="0" borderId="0" xfId="0"/>
    <xf numFmtId="0" fontId="0" fillId="0" borderId="4" xfId="0" applyBorder="1" applyAlignment="1">
      <alignment vertical="center"/>
    </xf>
    <xf numFmtId="0" fontId="8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1" fontId="0" fillId="0" borderId="0" xfId="0" applyNumberFormat="1" applyAlignment="1">
      <alignment horizontal="center" vertical="center"/>
    </xf>
    <xf numFmtId="1" fontId="4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right" vertical="center"/>
    </xf>
    <xf numFmtId="166" fontId="4" fillId="2" borderId="0" xfId="0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right" vertical="center"/>
    </xf>
    <xf numFmtId="2" fontId="2" fillId="2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2" fontId="7" fillId="2" borderId="0" xfId="0" applyNumberFormat="1" applyFont="1" applyFill="1" applyAlignment="1">
      <alignment horizontal="left" vertical="center"/>
    </xf>
    <xf numFmtId="2" fontId="0" fillId="0" borderId="0" xfId="0" applyNumberFormat="1" applyAlignment="1">
      <alignment vertical="center"/>
    </xf>
    <xf numFmtId="2" fontId="8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0" fontId="28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8" fontId="4" fillId="0" borderId="0" xfId="0" applyNumberFormat="1" applyFont="1" applyAlignment="1">
      <alignment vertical="center"/>
    </xf>
    <xf numFmtId="0" fontId="31" fillId="0" borderId="0" xfId="0" applyFont="1"/>
    <xf numFmtId="0" fontId="32" fillId="0" borderId="0" xfId="0" applyFont="1"/>
    <xf numFmtId="0" fontId="34" fillId="0" borderId="0" xfId="0" applyFont="1" applyAlignment="1">
      <alignment horizontal="center"/>
    </xf>
    <xf numFmtId="0" fontId="35" fillId="0" borderId="0" xfId="0" applyFont="1"/>
    <xf numFmtId="0" fontId="36" fillId="0" borderId="0" xfId="0" applyFont="1" applyAlignment="1">
      <alignment horizontal="right" vertical="center"/>
    </xf>
    <xf numFmtId="0" fontId="37" fillId="0" borderId="24" xfId="0" applyFont="1" applyBorder="1"/>
    <xf numFmtId="0" fontId="38" fillId="0" borderId="0" xfId="0" applyFont="1"/>
    <xf numFmtId="0" fontId="37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7" fillId="0" borderId="10" xfId="0" applyFont="1" applyBorder="1"/>
    <xf numFmtId="2" fontId="23" fillId="0" borderId="36" xfId="0" applyNumberFormat="1" applyFont="1" applyBorder="1" applyAlignment="1">
      <alignment horizontal="center" vertical="center"/>
    </xf>
    <xf numFmtId="1" fontId="49" fillId="2" borderId="0" xfId="0" applyNumberFormat="1" applyFont="1" applyFill="1" applyAlignment="1">
      <alignment horizontal="right" vertical="center"/>
    </xf>
    <xf numFmtId="173" fontId="50" fillId="2" borderId="0" xfId="0" applyNumberFormat="1" applyFont="1" applyFill="1" applyAlignment="1">
      <alignment horizontal="left" vertical="center"/>
    </xf>
    <xf numFmtId="169" fontId="50" fillId="2" borderId="0" xfId="0" applyNumberFormat="1" applyFont="1" applyFill="1" applyAlignment="1">
      <alignment horizontal="left" vertical="center"/>
    </xf>
    <xf numFmtId="2" fontId="49" fillId="2" borderId="0" xfId="0" applyNumberFormat="1" applyFont="1" applyFill="1" applyAlignment="1">
      <alignment horizontal="right" vertical="center"/>
    </xf>
    <xf numFmtId="170" fontId="50" fillId="2" borderId="0" xfId="0" applyNumberFormat="1" applyFont="1" applyFill="1" applyAlignment="1">
      <alignment horizontal="left" vertical="center"/>
    </xf>
    <xf numFmtId="1" fontId="50" fillId="2" borderId="0" xfId="0" applyNumberFormat="1" applyFont="1" applyFill="1" applyAlignment="1">
      <alignment horizontal="left" vertical="center"/>
    </xf>
    <xf numFmtId="2" fontId="50" fillId="2" borderId="0" xfId="0" applyNumberFormat="1" applyFont="1" applyFill="1" applyAlignment="1">
      <alignment horizontal="right" vertical="center"/>
    </xf>
    <xf numFmtId="170" fontId="50" fillId="2" borderId="0" xfId="0" applyNumberFormat="1" applyFont="1" applyFill="1" applyAlignment="1">
      <alignment vertical="center"/>
    </xf>
    <xf numFmtId="0" fontId="49" fillId="2" borderId="0" xfId="0" applyFont="1" applyFill="1" applyAlignment="1">
      <alignment horizontal="right" vertical="center"/>
    </xf>
    <xf numFmtId="15" fontId="50" fillId="2" borderId="0" xfId="0" applyNumberFormat="1" applyFont="1" applyFill="1" applyAlignment="1">
      <alignment horizontal="left" vertical="center"/>
    </xf>
    <xf numFmtId="0" fontId="35" fillId="0" borderId="10" xfId="0" applyFont="1" applyBorder="1"/>
    <xf numFmtId="0" fontId="54" fillId="15" borderId="14" xfId="0" applyFont="1" applyFill="1" applyBorder="1" applyAlignment="1">
      <alignment horizontal="center" vertical="center"/>
    </xf>
    <xf numFmtId="0" fontId="0" fillId="2" borderId="46" xfId="0" applyFill="1" applyBorder="1" applyAlignment="1">
      <alignment vertical="center"/>
    </xf>
    <xf numFmtId="0" fontId="0" fillId="2" borderId="47" xfId="0" applyFill="1" applyBorder="1" applyAlignment="1">
      <alignment horizontal="center" vertical="center"/>
    </xf>
    <xf numFmtId="1" fontId="0" fillId="2" borderId="47" xfId="0" applyNumberFormat="1" applyFill="1" applyBorder="1" applyAlignment="1">
      <alignment horizontal="center" vertical="center"/>
    </xf>
    <xf numFmtId="2" fontId="1" fillId="2" borderId="47" xfId="0" applyNumberFormat="1" applyFont="1" applyFill="1" applyBorder="1" applyAlignment="1">
      <alignment horizontal="right" vertical="center"/>
    </xf>
    <xf numFmtId="2" fontId="2" fillId="2" borderId="47" xfId="0" applyNumberFormat="1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left" vertical="center"/>
    </xf>
    <xf numFmtId="0" fontId="0" fillId="2" borderId="48" xfId="0" applyFill="1" applyBorder="1" applyAlignment="1">
      <alignment vertical="center"/>
    </xf>
    <xf numFmtId="0" fontId="0" fillId="2" borderId="49" xfId="0" applyFill="1" applyBorder="1" applyAlignment="1">
      <alignment vertical="center"/>
    </xf>
    <xf numFmtId="0" fontId="4" fillId="2" borderId="44" xfId="0" applyFont="1" applyFill="1" applyBorder="1" applyAlignment="1">
      <alignment vertical="center"/>
    </xf>
    <xf numFmtId="0" fontId="50" fillId="2" borderId="44" xfId="0" applyFont="1" applyFill="1" applyBorder="1" applyAlignment="1">
      <alignment vertical="center"/>
    </xf>
    <xf numFmtId="0" fontId="6" fillId="2" borderId="44" xfId="0" applyFont="1" applyFill="1" applyBorder="1" applyAlignment="1">
      <alignment vertical="center"/>
    </xf>
    <xf numFmtId="2" fontId="47" fillId="2" borderId="0" xfId="0" applyNumberFormat="1" applyFont="1" applyFill="1" applyAlignment="1">
      <alignment horizontal="center" vertical="center"/>
    </xf>
    <xf numFmtId="0" fontId="6" fillId="0" borderId="44" xfId="0" applyFont="1" applyBorder="1" applyAlignment="1">
      <alignment vertical="center"/>
    </xf>
    <xf numFmtId="173" fontId="48" fillId="2" borderId="0" xfId="0" applyNumberFormat="1" applyFont="1" applyFill="1" applyAlignment="1">
      <alignment vertical="center"/>
    </xf>
    <xf numFmtId="177" fontId="50" fillId="7" borderId="50" xfId="0" applyNumberFormat="1" applyFont="1" applyFill="1" applyBorder="1" applyAlignment="1">
      <alignment horizontal="center" vertical="center"/>
    </xf>
    <xf numFmtId="166" fontId="4" fillId="15" borderId="18" xfId="0" applyNumberFormat="1" applyFont="1" applyFill="1" applyBorder="1" applyAlignment="1">
      <alignment horizontal="center" vertical="center"/>
    </xf>
    <xf numFmtId="165" fontId="4" fillId="15" borderId="8" xfId="2" applyFont="1" applyFill="1" applyBorder="1" applyAlignment="1">
      <alignment horizontal="center" vertical="center"/>
    </xf>
    <xf numFmtId="2" fontId="4" fillId="15" borderId="8" xfId="0" applyNumberFormat="1" applyFont="1" applyFill="1" applyBorder="1" applyAlignment="1">
      <alignment horizontal="center" vertical="center"/>
    </xf>
    <xf numFmtId="1" fontId="4" fillId="15" borderId="8" xfId="0" applyNumberFormat="1" applyFont="1" applyFill="1" applyBorder="1" applyAlignment="1">
      <alignment horizontal="center" vertical="center"/>
    </xf>
    <xf numFmtId="166" fontId="4" fillId="15" borderId="40" xfId="0" applyNumberFormat="1" applyFont="1" applyFill="1" applyBorder="1" applyAlignment="1">
      <alignment horizontal="center" vertical="center"/>
    </xf>
    <xf numFmtId="165" fontId="4" fillId="15" borderId="39" xfId="2" applyFont="1" applyFill="1" applyBorder="1" applyAlignment="1">
      <alignment horizontal="center" vertical="center"/>
    </xf>
    <xf numFmtId="2" fontId="51" fillId="14" borderId="2" xfId="0" applyNumberFormat="1" applyFont="1" applyFill="1" applyBorder="1" applyAlignment="1">
      <alignment horizontal="center" vertical="center"/>
    </xf>
    <xf numFmtId="2" fontId="51" fillId="14" borderId="2" xfId="0" applyNumberFormat="1" applyFont="1" applyFill="1" applyBorder="1" applyAlignment="1">
      <alignment horizontal="center" vertical="center" wrapText="1"/>
    </xf>
    <xf numFmtId="167" fontId="51" fillId="14" borderId="5" xfId="0" applyNumberFormat="1" applyFont="1" applyFill="1" applyBorder="1" applyAlignment="1">
      <alignment horizontal="center" vertical="center"/>
    </xf>
    <xf numFmtId="2" fontId="4" fillId="15" borderId="39" xfId="0" applyNumberFormat="1" applyFont="1" applyFill="1" applyBorder="1" applyAlignment="1">
      <alignment horizontal="center" vertical="center"/>
    </xf>
    <xf numFmtId="1" fontId="4" fillId="15" borderId="39" xfId="0" applyNumberFormat="1" applyFont="1" applyFill="1" applyBorder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1" fontId="42" fillId="2" borderId="0" xfId="0" applyNumberFormat="1" applyFont="1" applyFill="1" applyAlignment="1">
      <alignment horizontal="right" vertical="center"/>
    </xf>
    <xf numFmtId="1" fontId="59" fillId="2" borderId="0" xfId="0" applyNumberFormat="1" applyFont="1" applyFill="1" applyAlignment="1">
      <alignment horizontal="left" vertical="center"/>
    </xf>
    <xf numFmtId="0" fontId="60" fillId="2" borderId="0" xfId="0" applyFont="1" applyFill="1" applyAlignment="1">
      <alignment horizontal="center" vertical="center"/>
    </xf>
    <xf numFmtId="173" fontId="59" fillId="2" borderId="0" xfId="0" applyNumberFormat="1" applyFont="1" applyFill="1" applyAlignment="1">
      <alignment horizontal="left" vertical="center"/>
    </xf>
    <xf numFmtId="2" fontId="42" fillId="2" borderId="0" xfId="0" applyNumberFormat="1" applyFont="1" applyFill="1" applyAlignment="1">
      <alignment horizontal="right" vertical="center"/>
    </xf>
    <xf numFmtId="2" fontId="46" fillId="2" borderId="0" xfId="0" applyNumberFormat="1" applyFont="1" applyFill="1" applyAlignment="1">
      <alignment horizontal="center" vertical="center"/>
    </xf>
    <xf numFmtId="0" fontId="49" fillId="7" borderId="68" xfId="0" applyFont="1" applyFill="1" applyBorder="1" applyAlignment="1">
      <alignment horizontal="center" vertical="center"/>
    </xf>
    <xf numFmtId="0" fontId="23" fillId="0" borderId="70" xfId="0" applyFont="1" applyBorder="1" applyAlignment="1">
      <alignment horizontal="center" vertical="center"/>
    </xf>
    <xf numFmtId="1" fontId="23" fillId="0" borderId="71" xfId="0" applyNumberFormat="1" applyFont="1" applyBorder="1" applyAlignment="1">
      <alignment horizontal="center" vertical="center"/>
    </xf>
    <xf numFmtId="2" fontId="23" fillId="0" borderId="71" xfId="0" applyNumberFormat="1" applyFont="1" applyBorder="1" applyAlignment="1">
      <alignment horizontal="center" vertical="center"/>
    </xf>
    <xf numFmtId="0" fontId="50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23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168" fontId="24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168" fontId="62" fillId="0" borderId="0" xfId="0" applyNumberFormat="1" applyFont="1" applyAlignment="1">
      <alignment horizontal="center" vertical="center"/>
    </xf>
    <xf numFmtId="2" fontId="3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175" fontId="24" fillId="0" borderId="0" xfId="0" applyNumberFormat="1" applyFont="1" applyAlignment="1">
      <alignment horizontal="center" vertical="center"/>
    </xf>
    <xf numFmtId="0" fontId="54" fillId="15" borderId="5" xfId="0" applyFont="1" applyFill="1" applyBorder="1" applyAlignment="1">
      <alignment horizontal="center" vertical="center"/>
    </xf>
    <xf numFmtId="0" fontId="59" fillId="2" borderId="0" xfId="0" applyFont="1" applyFill="1" applyAlignment="1">
      <alignment vertical="center"/>
    </xf>
    <xf numFmtId="2" fontId="69" fillId="4" borderId="42" xfId="0" applyNumberFormat="1" applyFont="1" applyFill="1" applyBorder="1" applyAlignment="1">
      <alignment horizontal="left" vertical="center"/>
    </xf>
    <xf numFmtId="2" fontId="69" fillId="4" borderId="59" xfId="0" applyNumberFormat="1" applyFont="1" applyFill="1" applyBorder="1" applyAlignment="1">
      <alignment horizontal="center" vertical="center"/>
    </xf>
    <xf numFmtId="0" fontId="74" fillId="2" borderId="44" xfId="0" applyFont="1" applyFill="1" applyBorder="1" applyAlignment="1">
      <alignment vertical="center"/>
    </xf>
    <xf numFmtId="0" fontId="64" fillId="0" borderId="0" xfId="0" applyFont="1" applyAlignment="1">
      <alignment vertical="center" wrapText="1"/>
    </xf>
    <xf numFmtId="0" fontId="0" fillId="2" borderId="0" xfId="0" applyFill="1" applyAlignment="1">
      <alignment horizontal="left" vertical="center"/>
    </xf>
    <xf numFmtId="0" fontId="4" fillId="2" borderId="0" xfId="0" applyFont="1" applyFill="1" applyAlignment="1">
      <alignment vertical="center"/>
    </xf>
    <xf numFmtId="1" fontId="77" fillId="2" borderId="0" xfId="0" applyNumberFormat="1" applyFont="1" applyFill="1" applyAlignment="1">
      <alignment horizontal="right" vertical="center"/>
    </xf>
    <xf numFmtId="0" fontId="0" fillId="2" borderId="44" xfId="0" applyFill="1" applyBorder="1" applyAlignment="1">
      <alignment vertical="center"/>
    </xf>
    <xf numFmtId="0" fontId="65" fillId="0" borderId="0" xfId="0" applyFont="1" applyAlignment="1">
      <alignment vertical="center" wrapText="1"/>
    </xf>
    <xf numFmtId="0" fontId="79" fillId="0" borderId="0" xfId="0" applyFont="1" applyAlignment="1">
      <alignment horizontal="center" vertical="center" wrapText="1"/>
    </xf>
    <xf numFmtId="0" fontId="79" fillId="0" borderId="0" xfId="0" applyFont="1" applyAlignment="1">
      <alignment vertical="center" wrapText="1"/>
    </xf>
    <xf numFmtId="1" fontId="73" fillId="0" borderId="73" xfId="0" applyNumberFormat="1" applyFont="1" applyBorder="1" applyAlignment="1">
      <alignment horizontal="center" vertical="center"/>
    </xf>
    <xf numFmtId="1" fontId="73" fillId="0" borderId="29" xfId="0" applyNumberFormat="1" applyFont="1" applyBorder="1" applyAlignment="1">
      <alignment horizontal="center" vertical="center"/>
    </xf>
    <xf numFmtId="1" fontId="73" fillId="0" borderId="77" xfId="0" applyNumberFormat="1" applyFont="1" applyBorder="1" applyAlignment="1">
      <alignment horizontal="center" vertical="center"/>
    </xf>
    <xf numFmtId="179" fontId="50" fillId="2" borderId="0" xfId="0" applyNumberFormat="1" applyFont="1" applyFill="1" applyAlignment="1">
      <alignment horizontal="left" vertical="center"/>
    </xf>
    <xf numFmtId="180" fontId="50" fillId="2" borderId="0" xfId="0" applyNumberFormat="1" applyFont="1" applyFill="1" applyAlignment="1">
      <alignment horizontal="left" vertical="center"/>
    </xf>
    <xf numFmtId="174" fontId="50" fillId="2" borderId="0" xfId="0" applyNumberFormat="1" applyFont="1" applyFill="1" applyAlignment="1">
      <alignment horizontal="left" vertical="center"/>
    </xf>
    <xf numFmtId="1" fontId="48" fillId="2" borderId="0" xfId="0" applyNumberFormat="1" applyFont="1" applyFill="1" applyAlignment="1">
      <alignment horizontal="left" vertical="center"/>
    </xf>
    <xf numFmtId="166" fontId="48" fillId="2" borderId="0" xfId="0" applyNumberFormat="1" applyFont="1" applyFill="1" applyAlignment="1">
      <alignment vertical="center"/>
    </xf>
    <xf numFmtId="2" fontId="8" fillId="0" borderId="32" xfId="0" applyNumberFormat="1" applyFont="1" applyBorder="1" applyAlignment="1">
      <alignment horizontal="center" vertical="center"/>
    </xf>
    <xf numFmtId="2" fontId="8" fillId="0" borderId="29" xfId="0" applyNumberFormat="1" applyFont="1" applyBorder="1" applyAlignment="1">
      <alignment horizontal="center" vertical="center"/>
    </xf>
    <xf numFmtId="2" fontId="82" fillId="18" borderId="44" xfId="0" applyNumberFormat="1" applyFont="1" applyFill="1" applyBorder="1" applyAlignment="1">
      <alignment horizontal="left" vertical="center"/>
    </xf>
    <xf numFmtId="181" fontId="4" fillId="0" borderId="0" xfId="0" applyNumberFormat="1" applyFont="1" applyAlignment="1">
      <alignment horizontal="center" vertical="center"/>
    </xf>
    <xf numFmtId="2" fontId="29" fillId="7" borderId="19" xfId="0" applyNumberFormat="1" applyFont="1" applyFill="1" applyBorder="1" applyAlignment="1">
      <alignment horizontal="center" vertical="center" wrapText="1"/>
    </xf>
    <xf numFmtId="3" fontId="1" fillId="7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2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/>
    </xf>
    <xf numFmtId="0" fontId="23" fillId="0" borderId="81" xfId="0" applyFont="1" applyBorder="1" applyAlignment="1">
      <alignment horizontal="center" vertical="center"/>
    </xf>
    <xf numFmtId="0" fontId="23" fillId="0" borderId="82" xfId="0" applyFont="1" applyBorder="1" applyAlignment="1">
      <alignment horizontal="center" vertical="center"/>
    </xf>
    <xf numFmtId="182" fontId="94" fillId="0" borderId="0" xfId="0" applyNumberFormat="1" applyFont="1" applyAlignment="1">
      <alignment vertical="center" wrapText="1"/>
    </xf>
    <xf numFmtId="0" fontId="94" fillId="0" borderId="0" xfId="0" applyFont="1" applyAlignment="1">
      <alignment vertical="center" wrapText="1"/>
    </xf>
    <xf numFmtId="2" fontId="61" fillId="0" borderId="0" xfId="0" applyNumberFormat="1" applyFont="1" applyAlignment="1">
      <alignment horizontal="center" vertical="center"/>
    </xf>
    <xf numFmtId="167" fontId="8" fillId="2" borderId="76" xfId="0" applyNumberFormat="1" applyFont="1" applyFill="1" applyBorder="1" applyAlignment="1">
      <alignment horizontal="center" vertical="center"/>
    </xf>
    <xf numFmtId="2" fontId="90" fillId="8" borderId="90" xfId="0" applyNumberFormat="1" applyFont="1" applyFill="1" applyBorder="1" applyAlignment="1">
      <alignment horizontal="center" vertical="center"/>
    </xf>
    <xf numFmtId="182" fontId="94" fillId="0" borderId="0" xfId="0" applyNumberFormat="1" applyFont="1" applyAlignment="1">
      <alignment horizontal="left" vertical="center" wrapText="1"/>
    </xf>
    <xf numFmtId="182" fontId="95" fillId="0" borderId="0" xfId="0" applyNumberFormat="1" applyFont="1" applyAlignment="1">
      <alignment horizontal="left" vertical="center"/>
    </xf>
    <xf numFmtId="0" fontId="92" fillId="15" borderId="7" xfId="0" applyFont="1" applyFill="1" applyBorder="1" applyAlignment="1" applyProtection="1">
      <alignment horizontal="center" vertical="center"/>
      <protection locked="0"/>
    </xf>
    <xf numFmtId="2" fontId="93" fillId="15" borderId="7" xfId="0" applyNumberFormat="1" applyFont="1" applyFill="1" applyBorder="1" applyAlignment="1">
      <alignment horizontal="center" vertical="center"/>
    </xf>
    <xf numFmtId="167" fontId="93" fillId="15" borderId="41" xfId="0" applyNumberFormat="1" applyFont="1" applyFill="1" applyBorder="1" applyAlignment="1">
      <alignment horizontal="center" vertical="center"/>
    </xf>
    <xf numFmtId="0" fontId="1" fillId="21" borderId="6" xfId="0" applyFont="1" applyFill="1" applyBorder="1" applyAlignment="1">
      <alignment horizontal="center" vertical="center"/>
    </xf>
    <xf numFmtId="2" fontId="71" fillId="21" borderId="6" xfId="0" applyNumberFormat="1" applyFont="1" applyFill="1" applyBorder="1" applyAlignment="1">
      <alignment horizontal="center" vertical="center"/>
    </xf>
    <xf numFmtId="167" fontId="71" fillId="21" borderId="25" xfId="0" applyNumberFormat="1" applyFont="1" applyFill="1" applyBorder="1" applyAlignment="1">
      <alignment horizontal="center" vertical="center"/>
    </xf>
    <xf numFmtId="2" fontId="68" fillId="18" borderId="7" xfId="0" applyNumberFormat="1" applyFont="1" applyFill="1" applyBorder="1" applyAlignment="1">
      <alignment horizontal="center" vertical="center"/>
    </xf>
    <xf numFmtId="2" fontId="58" fillId="18" borderId="7" xfId="0" applyNumberFormat="1" applyFont="1" applyFill="1" applyBorder="1" applyAlignment="1">
      <alignment horizontal="center" vertical="center"/>
    </xf>
    <xf numFmtId="2" fontId="97" fillId="15" borderId="7" xfId="0" applyNumberFormat="1" applyFont="1" applyFill="1" applyBorder="1" applyAlignment="1">
      <alignment horizontal="center" vertical="center"/>
    </xf>
    <xf numFmtId="2" fontId="98" fillId="21" borderId="6" xfId="0" applyNumberFormat="1" applyFont="1" applyFill="1" applyBorder="1" applyAlignment="1">
      <alignment horizontal="center" vertical="center"/>
    </xf>
    <xf numFmtId="2" fontId="99" fillId="3" borderId="64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8" fontId="22" fillId="3" borderId="19" xfId="0" applyNumberFormat="1" applyFont="1" applyFill="1" applyBorder="1" applyAlignment="1">
      <alignment horizontal="center" vertical="center"/>
    </xf>
    <xf numFmtId="168" fontId="22" fillId="6" borderId="19" xfId="0" applyNumberFormat="1" applyFont="1" applyFill="1" applyBorder="1" applyAlignment="1">
      <alignment horizontal="center" vertical="center"/>
    </xf>
    <xf numFmtId="168" fontId="24" fillId="2" borderId="19" xfId="0" applyNumberFormat="1" applyFont="1" applyFill="1" applyBorder="1" applyAlignment="1">
      <alignment horizontal="center" vertical="center"/>
    </xf>
    <xf numFmtId="2" fontId="89" fillId="20" borderId="6" xfId="0" applyNumberFormat="1" applyFont="1" applyFill="1" applyBorder="1" applyAlignment="1">
      <alignment horizontal="center" vertical="center"/>
    </xf>
    <xf numFmtId="2" fontId="89" fillId="13" borderId="90" xfId="0" applyNumberFormat="1" applyFont="1" applyFill="1" applyBorder="1" applyAlignment="1">
      <alignment horizontal="center" vertical="center"/>
    </xf>
    <xf numFmtId="2" fontId="8" fillId="2" borderId="29" xfId="0" applyNumberFormat="1" applyFont="1" applyFill="1" applyBorder="1" applyAlignment="1">
      <alignment horizontal="center" vertical="center"/>
    </xf>
    <xf numFmtId="1" fontId="73" fillId="2" borderId="73" xfId="0" applyNumberFormat="1" applyFont="1" applyFill="1" applyBorder="1" applyAlignment="1">
      <alignment horizontal="center" vertical="center"/>
    </xf>
    <xf numFmtId="1" fontId="73" fillId="2" borderId="29" xfId="0" applyNumberFormat="1" applyFont="1" applyFill="1" applyBorder="1" applyAlignment="1">
      <alignment horizontal="center" vertical="center"/>
    </xf>
    <xf numFmtId="182" fontId="102" fillId="0" borderId="0" xfId="0" applyNumberFormat="1" applyFont="1" applyAlignment="1">
      <alignment horizontal="left" vertical="center" wrapText="1"/>
    </xf>
    <xf numFmtId="167" fontId="8" fillId="22" borderId="76" xfId="0" applyNumberFormat="1" applyFont="1" applyFill="1" applyBorder="1" applyAlignment="1">
      <alignment horizontal="center" vertical="center"/>
    </xf>
    <xf numFmtId="172" fontId="18" fillId="16" borderId="12" xfId="0" applyNumberFormat="1" applyFont="1" applyFill="1" applyBorder="1" applyAlignment="1">
      <alignment vertical="center"/>
    </xf>
    <xf numFmtId="2" fontId="35" fillId="19" borderId="25" xfId="0" applyNumberFormat="1" applyFont="1" applyFill="1" applyBorder="1" applyAlignment="1">
      <alignment horizontal="center" vertical="center"/>
    </xf>
    <xf numFmtId="1" fontId="23" fillId="0" borderId="36" xfId="0" applyNumberFormat="1" applyFont="1" applyBorder="1" applyAlignment="1">
      <alignment horizontal="center" vertical="center"/>
    </xf>
    <xf numFmtId="166" fontId="50" fillId="2" borderId="0" xfId="0" applyNumberFormat="1" applyFont="1" applyFill="1" applyAlignment="1">
      <alignment horizontal="left" vertical="center"/>
    </xf>
    <xf numFmtId="173" fontId="48" fillId="2" borderId="0" xfId="0" applyNumberFormat="1" applyFont="1" applyFill="1" applyAlignment="1">
      <alignment horizontal="left" vertical="center"/>
    </xf>
    <xf numFmtId="1" fontId="73" fillId="26" borderId="29" xfId="0" applyNumberFormat="1" applyFont="1" applyFill="1" applyBorder="1" applyAlignment="1">
      <alignment horizontal="center" vertical="center"/>
    </xf>
    <xf numFmtId="2" fontId="8" fillId="26" borderId="29" xfId="0" applyNumberFormat="1" applyFont="1" applyFill="1" applyBorder="1" applyAlignment="1">
      <alignment horizontal="center" vertical="center"/>
    </xf>
    <xf numFmtId="167" fontId="8" fillId="26" borderId="76" xfId="0" applyNumberFormat="1" applyFont="1" applyFill="1" applyBorder="1" applyAlignment="1">
      <alignment horizontal="center" vertical="center"/>
    </xf>
    <xf numFmtId="0" fontId="108" fillId="0" borderId="0" xfId="0" applyFont="1" applyAlignment="1">
      <alignment horizontal="center" vertical="center" wrapText="1"/>
    </xf>
    <xf numFmtId="2" fontId="8" fillId="22" borderId="32" xfId="0" applyNumberFormat="1" applyFont="1" applyFill="1" applyBorder="1" applyAlignment="1">
      <alignment horizontal="center" vertical="center"/>
    </xf>
    <xf numFmtId="0" fontId="109" fillId="0" borderId="0" xfId="0" applyFont="1" applyAlignment="1">
      <alignment vertical="center" wrapText="1"/>
    </xf>
    <xf numFmtId="3" fontId="4" fillId="0" borderId="0" xfId="0" applyNumberFormat="1" applyFont="1" applyAlignment="1">
      <alignment horizontal="center" vertical="center"/>
    </xf>
    <xf numFmtId="2" fontId="100" fillId="2" borderId="29" xfId="0" applyNumberFormat="1" applyFont="1" applyFill="1" applyBorder="1" applyAlignment="1">
      <alignment horizontal="center" vertical="center"/>
    </xf>
    <xf numFmtId="2" fontId="93" fillId="15" borderId="99" xfId="0" applyNumberFormat="1" applyFont="1" applyFill="1" applyBorder="1" applyAlignment="1">
      <alignment horizontal="center" vertical="center"/>
    </xf>
    <xf numFmtId="0" fontId="92" fillId="15" borderId="99" xfId="0" applyFont="1" applyFill="1" applyBorder="1" applyAlignment="1" applyProtection="1">
      <alignment horizontal="center" vertical="center"/>
      <protection locked="0"/>
    </xf>
    <xf numFmtId="2" fontId="97" fillId="15" borderId="99" xfId="0" applyNumberFormat="1" applyFont="1" applyFill="1" applyBorder="1" applyAlignment="1">
      <alignment horizontal="center" vertical="center"/>
    </xf>
    <xf numFmtId="167" fontId="93" fillId="15" borderId="100" xfId="0" applyNumberFormat="1" applyFont="1" applyFill="1" applyBorder="1" applyAlignment="1">
      <alignment horizontal="center" vertical="center"/>
    </xf>
    <xf numFmtId="0" fontId="1" fillId="21" borderId="101" xfId="0" applyFont="1" applyFill="1" applyBorder="1" applyAlignment="1">
      <alignment horizontal="center" vertical="center"/>
    </xf>
    <xf numFmtId="2" fontId="71" fillId="21" borderId="101" xfId="0" applyNumberFormat="1" applyFont="1" applyFill="1" applyBorder="1" applyAlignment="1">
      <alignment horizontal="center" vertical="center"/>
    </xf>
    <xf numFmtId="2" fontId="98" fillId="21" borderId="101" xfId="0" applyNumberFormat="1" applyFont="1" applyFill="1" applyBorder="1" applyAlignment="1">
      <alignment horizontal="center" vertical="center"/>
    </xf>
    <xf numFmtId="167" fontId="71" fillId="21" borderId="102" xfId="0" applyNumberFormat="1" applyFont="1" applyFill="1" applyBorder="1" applyAlignment="1">
      <alignment horizontal="center" vertical="center"/>
    </xf>
    <xf numFmtId="1" fontId="92" fillId="20" borderId="99" xfId="0" applyNumberFormat="1" applyFont="1" applyFill="1" applyBorder="1" applyAlignment="1">
      <alignment horizontal="center" vertical="center"/>
    </xf>
    <xf numFmtId="2" fontId="93" fillId="20" borderId="99" xfId="0" applyNumberFormat="1" applyFont="1" applyFill="1" applyBorder="1" applyAlignment="1">
      <alignment horizontal="center" vertical="center"/>
    </xf>
    <xf numFmtId="2" fontId="89" fillId="20" borderId="101" xfId="0" applyNumberFormat="1" applyFont="1" applyFill="1" applyBorder="1" applyAlignment="1">
      <alignment horizontal="center" vertical="center"/>
    </xf>
    <xf numFmtId="2" fontId="89" fillId="20" borderId="103" xfId="0" applyNumberFormat="1" applyFont="1" applyFill="1" applyBorder="1" applyAlignment="1">
      <alignment horizontal="center" vertical="center"/>
    </xf>
    <xf numFmtId="168" fontId="87" fillId="2" borderId="108" xfId="0" applyNumberFormat="1" applyFont="1" applyFill="1" applyBorder="1" applyAlignment="1">
      <alignment horizontal="center" vertical="center"/>
    </xf>
    <xf numFmtId="2" fontId="96" fillId="18" borderId="112" xfId="0" applyNumberFormat="1" applyFont="1" applyFill="1" applyBorder="1" applyAlignment="1">
      <alignment horizontal="center" vertical="center"/>
    </xf>
    <xf numFmtId="2" fontId="68" fillId="18" borderId="103" xfId="0" applyNumberFormat="1" applyFont="1" applyFill="1" applyBorder="1" applyAlignment="1">
      <alignment horizontal="center" vertical="center"/>
    </xf>
    <xf numFmtId="2" fontId="58" fillId="18" borderId="103" xfId="0" applyNumberFormat="1" applyFont="1" applyFill="1" applyBorder="1" applyAlignment="1">
      <alignment horizontal="center" vertical="center"/>
    </xf>
    <xf numFmtId="2" fontId="104" fillId="18" borderId="103" xfId="0" applyNumberFormat="1" applyFont="1" applyFill="1" applyBorder="1" applyAlignment="1">
      <alignment horizontal="center" vertical="center"/>
    </xf>
    <xf numFmtId="2" fontId="96" fillId="18" borderId="113" xfId="0" applyNumberFormat="1" applyFont="1" applyFill="1" applyBorder="1" applyAlignment="1">
      <alignment horizontal="center" vertical="center"/>
    </xf>
    <xf numFmtId="2" fontId="68" fillId="18" borderId="114" xfId="0" applyNumberFormat="1" applyFont="1" applyFill="1" applyBorder="1" applyAlignment="1">
      <alignment horizontal="center" vertical="center"/>
    </xf>
    <xf numFmtId="1" fontId="73" fillId="22" borderId="29" xfId="0" applyNumberFormat="1" applyFont="1" applyFill="1" applyBorder="1" applyAlignment="1">
      <alignment horizontal="center" vertical="center"/>
    </xf>
    <xf numFmtId="0" fontId="54" fillId="25" borderId="107" xfId="0" applyFont="1" applyFill="1" applyBorder="1" applyAlignment="1">
      <alignment horizontal="center" vertical="center" wrapText="1"/>
    </xf>
    <xf numFmtId="168" fontId="54" fillId="25" borderId="108" xfId="0" applyNumberFormat="1" applyFont="1" applyFill="1" applyBorder="1" applyAlignment="1">
      <alignment horizontal="center" vertical="center" wrapText="1"/>
    </xf>
    <xf numFmtId="2" fontId="8" fillId="24" borderId="6" xfId="0" applyNumberFormat="1" applyFont="1" applyFill="1" applyBorder="1" applyAlignment="1">
      <alignment horizontal="center" vertical="center"/>
    </xf>
    <xf numFmtId="2" fontId="67" fillId="24" borderId="6" xfId="0" applyNumberFormat="1" applyFont="1" applyFill="1" applyBorder="1" applyAlignment="1">
      <alignment horizontal="center" vertical="center"/>
    </xf>
    <xf numFmtId="2" fontId="100" fillId="24" borderId="6" xfId="0" applyNumberFormat="1" applyFont="1" applyFill="1" applyBorder="1" applyAlignment="1">
      <alignment horizontal="center" vertical="center"/>
    </xf>
    <xf numFmtId="0" fontId="89" fillId="0" borderId="35" xfId="0" applyFont="1" applyBorder="1" applyAlignment="1">
      <alignment vertical="center"/>
    </xf>
    <xf numFmtId="2" fontId="41" fillId="19" borderId="28" xfId="0" applyNumberFormat="1" applyFont="1" applyFill="1" applyBorder="1" applyAlignment="1">
      <alignment horizontal="center" vertical="center"/>
    </xf>
    <xf numFmtId="2" fontId="41" fillId="19" borderId="6" xfId="0" applyNumberFormat="1" applyFont="1" applyFill="1" applyBorder="1" applyAlignment="1">
      <alignment horizontal="center" vertical="center"/>
    </xf>
    <xf numFmtId="1" fontId="2" fillId="0" borderId="115" xfId="0" applyNumberFormat="1" applyFont="1" applyBorder="1" applyAlignment="1">
      <alignment horizontal="center" vertical="center" wrapText="1"/>
    </xf>
    <xf numFmtId="168" fontId="54" fillId="20" borderId="58" xfId="0" applyNumberFormat="1" applyFont="1" applyFill="1" applyBorder="1" applyAlignment="1">
      <alignment horizontal="center" vertical="center"/>
    </xf>
    <xf numFmtId="168" fontId="54" fillId="20" borderId="108" xfId="0" applyNumberFormat="1" applyFont="1" applyFill="1" applyBorder="1" applyAlignment="1">
      <alignment horizontal="center" vertical="center"/>
    </xf>
    <xf numFmtId="168" fontId="54" fillId="20" borderId="110" xfId="0" applyNumberFormat="1" applyFont="1" applyFill="1" applyBorder="1" applyAlignment="1">
      <alignment horizontal="center" vertical="center"/>
    </xf>
    <xf numFmtId="2" fontId="82" fillId="18" borderId="0" xfId="0" applyNumberFormat="1" applyFont="1" applyFill="1" applyAlignment="1">
      <alignment horizontal="left" vertical="center"/>
    </xf>
    <xf numFmtId="2" fontId="8" fillId="24" borderId="8" xfId="0" applyNumberFormat="1" applyFont="1" applyFill="1" applyBorder="1" applyAlignment="1">
      <alignment horizontal="center" vertical="center"/>
    </xf>
    <xf numFmtId="2" fontId="67" fillId="24" borderId="8" xfId="0" applyNumberFormat="1" applyFont="1" applyFill="1" applyBorder="1" applyAlignment="1">
      <alignment horizontal="center" vertical="center"/>
    </xf>
    <xf numFmtId="2" fontId="100" fillId="24" borderId="8" xfId="0" applyNumberFormat="1" applyFont="1" applyFill="1" applyBorder="1" applyAlignment="1">
      <alignment horizontal="center" vertical="center"/>
    </xf>
    <xf numFmtId="2" fontId="8" fillId="23" borderId="8" xfId="0" applyNumberFormat="1" applyFont="1" applyFill="1" applyBorder="1" applyAlignment="1">
      <alignment horizontal="center" vertical="center"/>
    </xf>
    <xf numFmtId="2" fontId="67" fillId="23" borderId="8" xfId="0" applyNumberFormat="1" applyFont="1" applyFill="1" applyBorder="1" applyAlignment="1">
      <alignment horizontal="center" vertical="center"/>
    </xf>
    <xf numFmtId="2" fontId="100" fillId="23" borderId="8" xfId="0" applyNumberFormat="1" applyFont="1" applyFill="1" applyBorder="1" applyAlignment="1">
      <alignment horizontal="center" vertical="center"/>
    </xf>
    <xf numFmtId="2" fontId="8" fillId="2" borderId="8" xfId="0" applyNumberFormat="1" applyFont="1" applyFill="1" applyBorder="1" applyAlignment="1">
      <alignment horizontal="center" vertical="center"/>
    </xf>
    <xf numFmtId="2" fontId="67" fillId="2" borderId="8" xfId="0" applyNumberFormat="1" applyFont="1" applyFill="1" applyBorder="1" applyAlignment="1">
      <alignment horizontal="center" vertical="center"/>
    </xf>
    <xf numFmtId="2" fontId="100" fillId="2" borderId="8" xfId="0" applyNumberFormat="1" applyFont="1" applyFill="1" applyBorder="1" applyAlignment="1">
      <alignment horizontal="center" vertical="center"/>
    </xf>
    <xf numFmtId="2" fontId="68" fillId="18" borderId="8" xfId="0" applyNumberFormat="1" applyFont="1" applyFill="1" applyBorder="1" applyAlignment="1">
      <alignment horizontal="center" vertical="center"/>
    </xf>
    <xf numFmtId="2" fontId="58" fillId="18" borderId="8" xfId="0" applyNumberFormat="1" applyFont="1" applyFill="1" applyBorder="1" applyAlignment="1">
      <alignment horizontal="center" vertical="center"/>
    </xf>
    <xf numFmtId="2" fontId="104" fillId="18" borderId="8" xfId="0" applyNumberFormat="1" applyFont="1" applyFill="1" applyBorder="1" applyAlignment="1">
      <alignment horizontal="center" vertical="center"/>
    </xf>
    <xf numFmtId="167" fontId="8" fillId="24" borderId="11" xfId="0" applyNumberFormat="1" applyFont="1" applyFill="1" applyBorder="1" applyAlignment="1">
      <alignment horizontal="center" vertical="center"/>
    </xf>
    <xf numFmtId="167" fontId="8" fillId="24" borderId="112" xfId="0" applyNumberFormat="1" applyFont="1" applyFill="1" applyBorder="1" applyAlignment="1">
      <alignment horizontal="center" vertical="center"/>
    </xf>
    <xf numFmtId="167" fontId="8" fillId="23" borderId="112" xfId="0" applyNumberFormat="1" applyFont="1" applyFill="1" applyBorder="1" applyAlignment="1">
      <alignment horizontal="center" vertical="center"/>
    </xf>
    <xf numFmtId="167" fontId="8" fillId="2" borderId="112" xfId="0" applyNumberFormat="1" applyFont="1" applyFill="1" applyBorder="1" applyAlignment="1">
      <alignment horizontal="center" vertical="center"/>
    </xf>
    <xf numFmtId="167" fontId="8" fillId="0" borderId="112" xfId="0" applyNumberFormat="1" applyFont="1" applyBorder="1" applyAlignment="1">
      <alignment horizontal="center" vertical="center"/>
    </xf>
    <xf numFmtId="2" fontId="69" fillId="4" borderId="38" xfId="0" applyNumberFormat="1" applyFont="1" applyFill="1" applyBorder="1" applyAlignment="1">
      <alignment horizontal="center" vertical="center"/>
    </xf>
    <xf numFmtId="2" fontId="8" fillId="24" borderId="78" xfId="0" applyNumberFormat="1" applyFont="1" applyFill="1" applyBorder="1" applyAlignment="1">
      <alignment horizontal="center" vertical="center"/>
    </xf>
    <xf numFmtId="2" fontId="113" fillId="0" borderId="121" xfId="0" applyNumberFormat="1" applyFont="1" applyBorder="1" applyAlignment="1">
      <alignment horizontal="center" vertical="center"/>
    </xf>
    <xf numFmtId="2" fontId="113" fillId="0" borderId="124" xfId="0" applyNumberFormat="1" applyFont="1" applyBorder="1" applyAlignment="1">
      <alignment horizontal="center" vertical="center"/>
    </xf>
    <xf numFmtId="2" fontId="113" fillId="0" borderId="125" xfId="0" applyNumberFormat="1" applyFont="1" applyBorder="1" applyAlignment="1">
      <alignment horizontal="center" vertical="center"/>
    </xf>
    <xf numFmtId="0" fontId="113" fillId="2" borderId="122" xfId="0" applyFont="1" applyFill="1" applyBorder="1" applyAlignment="1">
      <alignment horizontal="center"/>
    </xf>
    <xf numFmtId="2" fontId="66" fillId="0" borderId="127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2" fontId="100" fillId="22" borderId="32" xfId="0" applyNumberFormat="1" applyFont="1" applyFill="1" applyBorder="1" applyAlignment="1">
      <alignment horizontal="center" vertical="center"/>
    </xf>
    <xf numFmtId="2" fontId="100" fillId="26" borderId="32" xfId="0" applyNumberFormat="1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2" fontId="100" fillId="2" borderId="32" xfId="0" applyNumberFormat="1" applyFont="1" applyFill="1" applyBorder="1" applyAlignment="1">
      <alignment horizontal="center" vertical="center"/>
    </xf>
    <xf numFmtId="0" fontId="89" fillId="0" borderId="89" xfId="0" applyFont="1" applyBorder="1" applyAlignment="1">
      <alignment vertical="center"/>
    </xf>
    <xf numFmtId="0" fontId="89" fillId="0" borderId="98" xfId="0" applyFont="1" applyBorder="1" applyAlignment="1">
      <alignment vertical="center"/>
    </xf>
    <xf numFmtId="2" fontId="70" fillId="8" borderId="90" xfId="0" applyNumberFormat="1" applyFont="1" applyFill="1" applyBorder="1" applyAlignment="1">
      <alignment horizontal="center" vertical="center"/>
    </xf>
    <xf numFmtId="168" fontId="87" fillId="2" borderId="143" xfId="0" applyNumberFormat="1" applyFont="1" applyFill="1" applyBorder="1" applyAlignment="1">
      <alignment horizontal="center" vertical="center"/>
    </xf>
    <xf numFmtId="2" fontId="109" fillId="0" borderId="153" xfId="0" applyNumberFormat="1" applyFont="1" applyBorder="1" applyAlignment="1">
      <alignment horizontal="center" vertical="center" wrapText="1"/>
    </xf>
    <xf numFmtId="168" fontId="24" fillId="15" borderId="5" xfId="0" applyNumberFormat="1" applyFont="1" applyFill="1" applyBorder="1" applyAlignment="1">
      <alignment horizontal="center" vertical="center"/>
    </xf>
    <xf numFmtId="168" fontId="24" fillId="15" borderId="155" xfId="0" applyNumberFormat="1" applyFont="1" applyFill="1" applyBorder="1" applyAlignment="1">
      <alignment horizontal="center" vertical="center"/>
    </xf>
    <xf numFmtId="168" fontId="24" fillId="15" borderId="156" xfId="0" applyNumberFormat="1" applyFont="1" applyFill="1" applyBorder="1" applyAlignment="1">
      <alignment horizontal="center" vertical="center"/>
    </xf>
    <xf numFmtId="2" fontId="8" fillId="24" borderId="121" xfId="0" applyNumberFormat="1" applyFont="1" applyFill="1" applyBorder="1" applyAlignment="1">
      <alignment horizontal="center" vertical="center"/>
    </xf>
    <xf numFmtId="2" fontId="8" fillId="24" borderId="159" xfId="0" applyNumberFormat="1" applyFont="1" applyFill="1" applyBorder="1" applyAlignment="1">
      <alignment horizontal="center" vertical="center"/>
    </xf>
    <xf numFmtId="2" fontId="8" fillId="24" borderId="120" xfId="0" applyNumberFormat="1" applyFont="1" applyFill="1" applyBorder="1" applyAlignment="1">
      <alignment horizontal="center" vertical="center"/>
    </xf>
    <xf numFmtId="0" fontId="54" fillId="15" borderId="2" xfId="0" applyFont="1" applyFill="1" applyBorder="1" applyAlignment="1">
      <alignment horizontal="center"/>
    </xf>
    <xf numFmtId="0" fontId="21" fillId="11" borderId="123" xfId="0" applyFont="1" applyFill="1" applyBorder="1" applyAlignment="1">
      <alignment horizontal="center"/>
    </xf>
    <xf numFmtId="0" fontId="21" fillId="11" borderId="125" xfId="0" applyFont="1" applyFill="1" applyBorder="1" applyAlignment="1">
      <alignment horizontal="center"/>
    </xf>
    <xf numFmtId="0" fontId="114" fillId="0" borderId="0" xfId="0" applyFont="1" applyAlignment="1">
      <alignment horizontal="right" vertical="center"/>
    </xf>
    <xf numFmtId="0" fontId="35" fillId="0" borderId="122" xfId="0" applyFont="1" applyBorder="1"/>
    <xf numFmtId="2" fontId="35" fillId="19" borderId="136" xfId="0" applyNumberFormat="1" applyFont="1" applyFill="1" applyBorder="1" applyAlignment="1">
      <alignment horizontal="center" vertical="center"/>
    </xf>
    <xf numFmtId="0" fontId="35" fillId="9" borderId="122" xfId="0" applyFont="1" applyFill="1" applyBorder="1" applyAlignment="1">
      <alignment horizontal="center"/>
    </xf>
    <xf numFmtId="2" fontId="35" fillId="9" borderId="136" xfId="0" applyNumberFormat="1" applyFont="1" applyFill="1" applyBorder="1" applyAlignment="1">
      <alignment horizontal="center" vertical="center"/>
    </xf>
    <xf numFmtId="0" fontId="35" fillId="9" borderId="161" xfId="0" applyFont="1" applyFill="1" applyBorder="1" applyAlignment="1">
      <alignment horizontal="center" vertical="center"/>
    </xf>
    <xf numFmtId="0" fontId="37" fillId="0" borderId="122" xfId="0" applyFont="1" applyBorder="1"/>
    <xf numFmtId="0" fontId="35" fillId="9" borderId="162" xfId="0" applyFont="1" applyFill="1" applyBorder="1" applyAlignment="1">
      <alignment horizontal="center"/>
    </xf>
    <xf numFmtId="2" fontId="35" fillId="9" borderId="163" xfId="0" applyNumberFormat="1" applyFont="1" applyFill="1" applyBorder="1" applyAlignment="1">
      <alignment horizontal="center" vertical="center"/>
    </xf>
    <xf numFmtId="0" fontId="35" fillId="9" borderId="156" xfId="0" applyFont="1" applyFill="1" applyBorder="1" applyAlignment="1">
      <alignment horizontal="center" vertical="center"/>
    </xf>
    <xf numFmtId="0" fontId="35" fillId="0" borderId="123" xfId="0" applyFont="1" applyBorder="1"/>
    <xf numFmtId="2" fontId="35" fillId="19" borderId="164" xfId="0" applyNumberFormat="1" applyFont="1" applyFill="1" applyBorder="1" applyAlignment="1">
      <alignment horizontal="center" vertical="center"/>
    </xf>
    <xf numFmtId="0" fontId="115" fillId="0" borderId="10" xfId="0" applyFont="1" applyBorder="1" applyAlignment="1">
      <alignment wrapText="1"/>
    </xf>
    <xf numFmtId="2" fontId="112" fillId="19" borderId="25" xfId="0" applyNumberFormat="1" applyFont="1" applyFill="1" applyBorder="1" applyAlignment="1">
      <alignment horizontal="center" vertical="center"/>
    </xf>
    <xf numFmtId="0" fontId="112" fillId="0" borderId="122" xfId="0" applyFont="1" applyBorder="1" applyAlignment="1">
      <alignment wrapText="1"/>
    </xf>
    <xf numFmtId="2" fontId="112" fillId="19" borderId="136" xfId="0" applyNumberFormat="1" applyFont="1" applyFill="1" applyBorder="1" applyAlignment="1">
      <alignment horizontal="center" vertical="center"/>
    </xf>
    <xf numFmtId="0" fontId="35" fillId="10" borderId="123" xfId="0" applyFont="1" applyFill="1" applyBorder="1" applyAlignment="1">
      <alignment horizontal="center"/>
    </xf>
    <xf numFmtId="0" fontId="35" fillId="10" borderId="125" xfId="0" applyFont="1" applyFill="1" applyBorder="1" applyAlignment="1">
      <alignment horizontal="center"/>
    </xf>
    <xf numFmtId="0" fontId="41" fillId="19" borderId="124" xfId="0" applyFont="1" applyFill="1" applyBorder="1" applyAlignment="1">
      <alignment horizontal="center" vertical="center"/>
    </xf>
    <xf numFmtId="0" fontId="41" fillId="9" borderId="124" xfId="0" applyFont="1" applyFill="1" applyBorder="1" applyAlignment="1">
      <alignment horizontal="center" vertical="center"/>
    </xf>
    <xf numFmtId="0" fontId="112" fillId="9" borderId="161" xfId="0" applyFont="1" applyFill="1" applyBorder="1" applyAlignment="1">
      <alignment horizontal="center" vertical="center"/>
    </xf>
    <xf numFmtId="0" fontId="112" fillId="19" borderId="124" xfId="0" applyFont="1" applyFill="1" applyBorder="1" applyAlignment="1">
      <alignment horizontal="center" vertical="center"/>
    </xf>
    <xf numFmtId="0" fontId="41" fillId="9" borderId="160" xfId="0" applyFont="1" applyFill="1" applyBorder="1" applyAlignment="1">
      <alignment horizontal="center" vertical="center"/>
    </xf>
    <xf numFmtId="0" fontId="112" fillId="9" borderId="160" xfId="0" applyFont="1" applyFill="1" applyBorder="1" applyAlignment="1">
      <alignment horizontal="center" vertical="center"/>
    </xf>
    <xf numFmtId="2" fontId="41" fillId="19" borderId="121" xfId="0" applyNumberFormat="1" applyFont="1" applyFill="1" applyBorder="1" applyAlignment="1">
      <alignment horizontal="center" vertical="center"/>
    </xf>
    <xf numFmtId="2" fontId="41" fillId="19" borderId="165" xfId="0" applyNumberFormat="1" applyFont="1" applyFill="1" applyBorder="1" applyAlignment="1">
      <alignment horizontal="center" vertical="center"/>
    </xf>
    <xf numFmtId="2" fontId="41" fillId="9" borderId="136" xfId="0" applyNumberFormat="1" applyFont="1" applyFill="1" applyBorder="1" applyAlignment="1">
      <alignment horizontal="center" vertical="center"/>
    </xf>
    <xf numFmtId="0" fontId="78" fillId="0" borderId="121" xfId="0" applyFont="1" applyBorder="1" applyAlignment="1">
      <alignment horizontal="center" vertical="center"/>
    </xf>
    <xf numFmtId="2" fontId="71" fillId="21" borderId="78" xfId="0" applyNumberFormat="1" applyFont="1" applyFill="1" applyBorder="1" applyAlignment="1">
      <alignment horizontal="center" vertical="center"/>
    </xf>
    <xf numFmtId="2" fontId="71" fillId="21" borderId="121" xfId="0" applyNumberFormat="1" applyFont="1" applyFill="1" applyBorder="1" applyAlignment="1">
      <alignment horizontal="center" vertical="center"/>
    </xf>
    <xf numFmtId="2" fontId="93" fillId="20" borderId="121" xfId="0" applyNumberFormat="1" applyFont="1" applyFill="1" applyBorder="1" applyAlignment="1">
      <alignment horizontal="center" vertical="center"/>
    </xf>
    <xf numFmtId="0" fontId="1" fillId="21" borderId="99" xfId="0" applyFont="1" applyFill="1" applyBorder="1" applyAlignment="1">
      <alignment horizontal="center" vertical="center"/>
    </xf>
    <xf numFmtId="2" fontId="71" fillId="21" borderId="120" xfId="0" applyNumberFormat="1" applyFont="1" applyFill="1" applyBorder="1" applyAlignment="1">
      <alignment horizontal="center" vertical="center"/>
    </xf>
    <xf numFmtId="2" fontId="71" fillId="21" borderId="99" xfId="0" applyNumberFormat="1" applyFont="1" applyFill="1" applyBorder="1" applyAlignment="1">
      <alignment horizontal="center" vertical="center"/>
    </xf>
    <xf numFmtId="2" fontId="98" fillId="21" borderId="99" xfId="0" applyNumberFormat="1" applyFont="1" applyFill="1" applyBorder="1" applyAlignment="1">
      <alignment horizontal="center" vertical="center"/>
    </xf>
    <xf numFmtId="167" fontId="71" fillId="21" borderId="163" xfId="0" applyNumberFormat="1" applyFont="1" applyFill="1" applyBorder="1" applyAlignment="1">
      <alignment horizontal="center" vertical="center"/>
    </xf>
    <xf numFmtId="1" fontId="92" fillId="20" borderId="121" xfId="0" applyNumberFormat="1" applyFont="1" applyFill="1" applyBorder="1" applyAlignment="1">
      <alignment horizontal="center" vertical="center"/>
    </xf>
    <xf numFmtId="2" fontId="97" fillId="20" borderId="99" xfId="0" applyNumberFormat="1" applyFont="1" applyFill="1" applyBorder="1" applyAlignment="1">
      <alignment horizontal="center" vertical="center"/>
    </xf>
    <xf numFmtId="167" fontId="93" fillId="20" borderId="124" xfId="0" applyNumberFormat="1" applyFont="1" applyFill="1" applyBorder="1" applyAlignment="1">
      <alignment horizontal="center" vertical="center"/>
    </xf>
    <xf numFmtId="1" fontId="92" fillId="20" borderId="136" xfId="0" applyNumberFormat="1" applyFont="1" applyFill="1" applyBorder="1" applyAlignment="1">
      <alignment horizontal="center" vertical="center"/>
    </xf>
    <xf numFmtId="2" fontId="93" fillId="20" borderId="136" xfId="0" applyNumberFormat="1" applyFont="1" applyFill="1" applyBorder="1" applyAlignment="1">
      <alignment horizontal="center" vertical="center"/>
    </xf>
    <xf numFmtId="2" fontId="93" fillId="20" borderId="137" xfId="0" applyNumberFormat="1" applyFont="1" applyFill="1" applyBorder="1" applyAlignment="1">
      <alignment horizontal="center" vertical="center"/>
    </xf>
    <xf numFmtId="2" fontId="97" fillId="20" borderId="120" xfId="0" applyNumberFormat="1" applyFont="1" applyFill="1" applyBorder="1" applyAlignment="1">
      <alignment horizontal="center" vertical="center"/>
    </xf>
    <xf numFmtId="167" fontId="93" fillId="20" borderId="160" xfId="0" applyNumberFormat="1" applyFont="1" applyFill="1" applyBorder="1" applyAlignment="1">
      <alignment horizontal="center" vertical="center"/>
    </xf>
    <xf numFmtId="1" fontId="92" fillId="20" borderId="165" xfId="0" applyNumberFormat="1" applyFont="1" applyFill="1" applyBorder="1" applyAlignment="1">
      <alignment horizontal="center" vertical="center"/>
    </xf>
    <xf numFmtId="2" fontId="93" fillId="20" borderId="90" xfId="0" applyNumberFormat="1" applyFont="1" applyFill="1" applyBorder="1" applyAlignment="1">
      <alignment horizontal="center" vertical="center"/>
    </xf>
    <xf numFmtId="2" fontId="93" fillId="20" borderId="165" xfId="0" applyNumberFormat="1" applyFont="1" applyFill="1" applyBorder="1" applyAlignment="1">
      <alignment horizontal="center" vertical="center"/>
    </xf>
    <xf numFmtId="2" fontId="97" fillId="20" borderId="165" xfId="0" applyNumberFormat="1" applyFont="1" applyFill="1" applyBorder="1" applyAlignment="1">
      <alignment horizontal="center" vertical="center"/>
    </xf>
    <xf numFmtId="167" fontId="93" fillId="20" borderId="125" xfId="0" applyNumberFormat="1" applyFont="1" applyFill="1" applyBorder="1" applyAlignment="1">
      <alignment horizontal="center" vertical="center"/>
    </xf>
    <xf numFmtId="0" fontId="113" fillId="7" borderId="10" xfId="0" applyFont="1" applyFill="1" applyBorder="1" applyAlignment="1">
      <alignment horizontal="center" vertical="center"/>
    </xf>
    <xf numFmtId="0" fontId="113" fillId="7" borderId="122" xfId="0" applyFont="1" applyFill="1" applyBorder="1" applyAlignment="1">
      <alignment horizontal="center" vertical="center"/>
    </xf>
    <xf numFmtId="0" fontId="113" fillId="7" borderId="123" xfId="0" applyFont="1" applyFill="1" applyBorder="1" applyAlignment="1">
      <alignment horizontal="center" vertical="center"/>
    </xf>
    <xf numFmtId="0" fontId="115" fillId="19" borderId="27" xfId="0" applyFont="1" applyFill="1" applyBorder="1" applyAlignment="1">
      <alignment horizontal="center" vertical="center"/>
    </xf>
    <xf numFmtId="0" fontId="115" fillId="19" borderId="161" xfId="0" applyFont="1" applyFill="1" applyBorder="1" applyAlignment="1">
      <alignment horizontal="center" vertical="center"/>
    </xf>
    <xf numFmtId="0" fontId="115" fillId="19" borderId="155" xfId="0" applyFont="1" applyFill="1" applyBorder="1" applyAlignment="1">
      <alignment horizontal="center" vertical="center"/>
    </xf>
    <xf numFmtId="1" fontId="73" fillId="19" borderId="73" xfId="0" applyNumberFormat="1" applyFont="1" applyFill="1" applyBorder="1" applyAlignment="1">
      <alignment horizontal="center" vertical="center"/>
    </xf>
    <xf numFmtId="2" fontId="8" fillId="2" borderId="32" xfId="0" applyNumberFormat="1" applyFont="1" applyFill="1" applyBorder="1" applyAlignment="1">
      <alignment horizontal="center" vertical="center"/>
    </xf>
    <xf numFmtId="1" fontId="101" fillId="22" borderId="30" xfId="0" applyNumberFormat="1" applyFont="1" applyFill="1" applyBorder="1" applyAlignment="1">
      <alignment horizontal="center" vertical="center"/>
    </xf>
    <xf numFmtId="0" fontId="48" fillId="2" borderId="0" xfId="0" applyFont="1" applyFill="1" applyAlignment="1">
      <alignment vertical="center" wrapText="1"/>
    </xf>
    <xf numFmtId="1" fontId="101" fillId="2" borderId="30" xfId="0" applyNumberFormat="1" applyFont="1" applyFill="1" applyBorder="1" applyAlignment="1">
      <alignment horizontal="center" vertical="center"/>
    </xf>
    <xf numFmtId="1" fontId="101" fillId="26" borderId="30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2" fontId="40" fillId="0" borderId="124" xfId="0" applyNumberFormat="1" applyFont="1" applyBorder="1" applyAlignment="1">
      <alignment horizontal="center"/>
    </xf>
    <xf numFmtId="2" fontId="31" fillId="19" borderId="168" xfId="0" applyNumberFormat="1" applyFont="1" applyFill="1" applyBorder="1" applyAlignment="1">
      <alignment horizontal="center" vertical="center"/>
    </xf>
    <xf numFmtId="2" fontId="31" fillId="19" borderId="169" xfId="0" applyNumberFormat="1" applyFont="1" applyFill="1" applyBorder="1" applyAlignment="1">
      <alignment horizontal="center" vertical="center"/>
    </xf>
    <xf numFmtId="2" fontId="31" fillId="19" borderId="170" xfId="0" applyNumberFormat="1" applyFont="1" applyFill="1" applyBorder="1" applyAlignment="1">
      <alignment horizontal="center" vertical="center"/>
    </xf>
    <xf numFmtId="2" fontId="31" fillId="19" borderId="151" xfId="0" applyNumberFormat="1" applyFont="1" applyFill="1" applyBorder="1" applyAlignment="1">
      <alignment horizontal="center" vertical="center"/>
    </xf>
    <xf numFmtId="2" fontId="31" fillId="2" borderId="30" xfId="0" applyNumberFormat="1" applyFont="1" applyFill="1" applyBorder="1" applyAlignment="1">
      <alignment horizontal="center" vertical="center"/>
    </xf>
    <xf numFmtId="2" fontId="31" fillId="2" borderId="34" xfId="0" applyNumberFormat="1" applyFont="1" applyFill="1" applyBorder="1" applyAlignment="1">
      <alignment horizontal="center" vertical="center"/>
    </xf>
    <xf numFmtId="178" fontId="0" fillId="0" borderId="121" xfId="0" applyNumberFormat="1" applyBorder="1" applyAlignment="1">
      <alignment horizontal="center"/>
    </xf>
    <xf numFmtId="2" fontId="113" fillId="19" borderId="124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9" fillId="0" borderId="97" xfId="0" applyFont="1" applyBorder="1" applyAlignment="1">
      <alignment vertical="center"/>
    </xf>
    <xf numFmtId="1" fontId="116" fillId="0" borderId="138" xfId="0" applyNumberFormat="1" applyFont="1" applyBorder="1" applyAlignment="1">
      <alignment horizontal="center" vertical="center"/>
    </xf>
    <xf numFmtId="1" fontId="116" fillId="0" borderId="139" xfId="0" applyNumberFormat="1" applyFont="1" applyBorder="1" applyAlignment="1">
      <alignment horizontal="center" vertical="center"/>
    </xf>
    <xf numFmtId="0" fontId="89" fillId="0" borderId="10" xfId="0" applyFont="1" applyBorder="1" applyAlignment="1">
      <alignment vertical="center"/>
    </xf>
    <xf numFmtId="1" fontId="116" fillId="19" borderId="140" xfId="0" applyNumberFormat="1" applyFont="1" applyFill="1" applyBorder="1" applyAlignment="1">
      <alignment horizontal="center" vertical="center"/>
    </xf>
    <xf numFmtId="1" fontId="49" fillId="2" borderId="0" xfId="0" applyNumberFormat="1" applyFont="1" applyFill="1" applyAlignment="1">
      <alignment horizontal="left" vertical="center"/>
    </xf>
    <xf numFmtId="2" fontId="9" fillId="2" borderId="122" xfId="0" applyNumberFormat="1" applyFont="1" applyFill="1" applyBorder="1" applyAlignment="1">
      <alignment horizontal="center" vertical="center"/>
    </xf>
    <xf numFmtId="2" fontId="9" fillId="2" borderId="67" xfId="0" applyNumberFormat="1" applyFont="1" applyFill="1" applyBorder="1" applyAlignment="1">
      <alignment horizontal="center" vertical="center"/>
    </xf>
    <xf numFmtId="168" fontId="87" fillId="2" borderId="176" xfId="0" applyNumberFormat="1" applyFont="1" applyFill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2" fontId="40" fillId="19" borderId="124" xfId="0" applyNumberFormat="1" applyFont="1" applyFill="1" applyBorder="1" applyAlignment="1">
      <alignment horizontal="center"/>
    </xf>
    <xf numFmtId="2" fontId="8" fillId="7" borderId="8" xfId="0" applyNumberFormat="1" applyFont="1" applyFill="1" applyBorder="1" applyAlignment="1">
      <alignment horizontal="center" vertical="center"/>
    </xf>
    <xf numFmtId="2" fontId="67" fillId="7" borderId="8" xfId="0" applyNumberFormat="1" applyFont="1" applyFill="1" applyBorder="1" applyAlignment="1">
      <alignment horizontal="center" vertical="center"/>
    </xf>
    <xf numFmtId="2" fontId="100" fillId="7" borderId="8" xfId="0" applyNumberFormat="1" applyFont="1" applyFill="1" applyBorder="1" applyAlignment="1">
      <alignment horizontal="center" vertical="center"/>
    </xf>
    <xf numFmtId="167" fontId="8" fillId="7" borderId="112" xfId="0" applyNumberFormat="1" applyFont="1" applyFill="1" applyBorder="1" applyAlignment="1">
      <alignment horizontal="center" vertical="center"/>
    </xf>
    <xf numFmtId="2" fontId="24" fillId="7" borderId="8" xfId="0" applyNumberFormat="1" applyFont="1" applyFill="1" applyBorder="1" applyAlignment="1">
      <alignment horizontal="center" vertical="center"/>
    </xf>
    <xf numFmtId="0" fontId="118" fillId="0" borderId="44" xfId="0" applyFont="1" applyBorder="1" applyAlignment="1">
      <alignment vertical="center"/>
    </xf>
    <xf numFmtId="1" fontId="1" fillId="2" borderId="44" xfId="0" applyNumberFormat="1" applyFont="1" applyFill="1" applyBorder="1" applyAlignment="1">
      <alignment vertical="center"/>
    </xf>
    <xf numFmtId="2" fontId="80" fillId="12" borderId="122" xfId="0" applyNumberFormat="1" applyFont="1" applyFill="1" applyBorder="1" applyAlignment="1">
      <alignment horizontal="center" vertical="center"/>
    </xf>
    <xf numFmtId="2" fontId="81" fillId="12" borderId="124" xfId="0" applyNumberFormat="1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113" fillId="7" borderId="24" xfId="0" applyFont="1" applyFill="1" applyBorder="1" applyAlignment="1">
      <alignment horizontal="center" vertical="center"/>
    </xf>
    <xf numFmtId="2" fontId="119" fillId="2" borderId="30" xfId="0" applyNumberFormat="1" applyFont="1" applyFill="1" applyBorder="1" applyAlignment="1">
      <alignment horizontal="center" vertical="center"/>
    </xf>
    <xf numFmtId="1" fontId="73" fillId="0" borderId="181" xfId="0" applyNumberFormat="1" applyFont="1" applyBorder="1" applyAlignment="1">
      <alignment horizontal="center" vertical="center"/>
    </xf>
    <xf numFmtId="1" fontId="73" fillId="0" borderId="32" xfId="0" applyNumberFormat="1" applyFont="1" applyBorder="1" applyAlignment="1">
      <alignment horizontal="center" vertical="center"/>
    </xf>
    <xf numFmtId="1" fontId="73" fillId="0" borderId="31" xfId="0" applyNumberFormat="1" applyFont="1" applyBorder="1" applyAlignment="1">
      <alignment horizontal="center" vertical="center"/>
    </xf>
    <xf numFmtId="1" fontId="73" fillId="0" borderId="30" xfId="0" applyNumberFormat="1" applyFont="1" applyBorder="1" applyAlignment="1">
      <alignment horizontal="center" vertical="center"/>
    </xf>
    <xf numFmtId="2" fontId="8" fillId="0" borderId="30" xfId="0" applyNumberFormat="1" applyFont="1" applyBorder="1" applyAlignment="1">
      <alignment horizontal="center" vertical="center"/>
    </xf>
    <xf numFmtId="1" fontId="73" fillId="19" borderId="183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2" fontId="113" fillId="30" borderId="124" xfId="0" applyNumberFormat="1" applyFont="1" applyFill="1" applyBorder="1" applyAlignment="1">
      <alignment horizontal="center" vertical="center"/>
    </xf>
    <xf numFmtId="183" fontId="59" fillId="2" borderId="0" xfId="0" applyNumberFormat="1" applyFont="1" applyFill="1" applyAlignment="1">
      <alignment horizontal="left" vertical="center"/>
    </xf>
    <xf numFmtId="0" fontId="10" fillId="2" borderId="49" xfId="0" applyFont="1" applyFill="1" applyBorder="1" applyAlignment="1">
      <alignment vertical="center"/>
    </xf>
    <xf numFmtId="0" fontId="11" fillId="2" borderId="49" xfId="0" applyFont="1" applyFill="1" applyBorder="1" applyAlignment="1">
      <alignment vertical="center"/>
    </xf>
    <xf numFmtId="173" fontId="4" fillId="2" borderId="0" xfId="0" applyNumberFormat="1" applyFont="1" applyFill="1" applyAlignment="1">
      <alignment horizontal="left" vertical="center"/>
    </xf>
    <xf numFmtId="2" fontId="41" fillId="2" borderId="29" xfId="0" applyNumberFormat="1" applyFont="1" applyFill="1" applyBorder="1" applyAlignment="1">
      <alignment horizontal="center" vertical="center"/>
    </xf>
    <xf numFmtId="2" fontId="41" fillId="22" borderId="32" xfId="0" applyNumberFormat="1" applyFont="1" applyFill="1" applyBorder="1" applyAlignment="1">
      <alignment horizontal="center" vertical="center"/>
    </xf>
    <xf numFmtId="2" fontId="41" fillId="26" borderId="32" xfId="0" applyNumberFormat="1" applyFont="1" applyFill="1" applyBorder="1" applyAlignment="1">
      <alignment horizontal="center" vertical="center"/>
    </xf>
    <xf numFmtId="2" fontId="41" fillId="2" borderId="32" xfId="0" applyNumberFormat="1" applyFont="1" applyFill="1" applyBorder="1" applyAlignment="1">
      <alignment horizontal="center" vertical="center"/>
    </xf>
    <xf numFmtId="2" fontId="35" fillId="22" borderId="30" xfId="0" applyNumberFormat="1" applyFont="1" applyFill="1" applyBorder="1" applyAlignment="1">
      <alignment horizontal="center" vertical="center"/>
    </xf>
    <xf numFmtId="2" fontId="41" fillId="22" borderId="29" xfId="0" applyNumberFormat="1" applyFont="1" applyFill="1" applyBorder="1" applyAlignment="1">
      <alignment horizontal="center" vertical="center"/>
    </xf>
    <xf numFmtId="2" fontId="35" fillId="26" borderId="30" xfId="0" applyNumberFormat="1" applyFont="1" applyFill="1" applyBorder="1" applyAlignment="1">
      <alignment horizontal="center" vertical="center"/>
    </xf>
    <xf numFmtId="2" fontId="41" fillId="26" borderId="29" xfId="0" applyNumberFormat="1" applyFont="1" applyFill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2" fontId="41" fillId="0" borderId="29" xfId="0" applyNumberFormat="1" applyFont="1" applyBorder="1" applyAlignment="1">
      <alignment horizontal="center" vertical="center"/>
    </xf>
    <xf numFmtId="2" fontId="35" fillId="0" borderId="33" xfId="0" applyNumberFormat="1" applyFont="1" applyBorder="1" applyAlignment="1">
      <alignment horizontal="center" vertical="center"/>
    </xf>
    <xf numFmtId="2" fontId="41" fillId="0" borderId="32" xfId="0" applyNumberFormat="1" applyFont="1" applyBorder="1" applyAlignment="1">
      <alignment horizontal="center" vertical="center"/>
    </xf>
    <xf numFmtId="2" fontId="93" fillId="29" borderId="90" xfId="0" applyNumberFormat="1" applyFont="1" applyFill="1" applyBorder="1" applyAlignment="1">
      <alignment horizontal="center" vertical="center"/>
    </xf>
    <xf numFmtId="2" fontId="8" fillId="29" borderId="30" xfId="0" applyNumberFormat="1" applyFont="1" applyFill="1" applyBorder="1" applyAlignment="1">
      <alignment horizontal="center" vertical="center"/>
    </xf>
    <xf numFmtId="2" fontId="100" fillId="29" borderId="32" xfId="0" applyNumberFormat="1" applyFont="1" applyFill="1" applyBorder="1" applyAlignment="1">
      <alignment horizontal="center" vertical="center"/>
    </xf>
    <xf numFmtId="2" fontId="41" fillId="29" borderId="32" xfId="0" applyNumberFormat="1" applyFont="1" applyFill="1" applyBorder="1" applyAlignment="1">
      <alignment horizontal="center" vertical="center"/>
    </xf>
    <xf numFmtId="167" fontId="8" fillId="29" borderId="76" xfId="0" applyNumberFormat="1" applyFont="1" applyFill="1" applyBorder="1" applyAlignment="1">
      <alignment horizontal="center" vertical="center"/>
    </xf>
    <xf numFmtId="2" fontId="8" fillId="29" borderId="96" xfId="0" applyNumberFormat="1" applyFont="1" applyFill="1" applyBorder="1" applyAlignment="1">
      <alignment horizontal="center" vertical="center"/>
    </xf>
    <xf numFmtId="2" fontId="8" fillId="27" borderId="30" xfId="0" applyNumberFormat="1" applyFont="1" applyFill="1" applyBorder="1" applyAlignment="1">
      <alignment horizontal="center" vertical="center"/>
    </xf>
    <xf numFmtId="2" fontId="100" fillId="27" borderId="32" xfId="0" applyNumberFormat="1" applyFont="1" applyFill="1" applyBorder="1" applyAlignment="1">
      <alignment horizontal="center" vertical="center"/>
    </xf>
    <xf numFmtId="2" fontId="41" fillId="27" borderId="32" xfId="0" applyNumberFormat="1" applyFont="1" applyFill="1" applyBorder="1" applyAlignment="1">
      <alignment horizontal="center" vertical="center"/>
    </xf>
    <xf numFmtId="167" fontId="8" fillId="27" borderId="76" xfId="0" applyNumberFormat="1" applyFont="1" applyFill="1" applyBorder="1" applyAlignment="1">
      <alignment horizontal="center" vertical="center"/>
    </xf>
    <xf numFmtId="2" fontId="8" fillId="27" borderId="96" xfId="0" applyNumberFormat="1" applyFont="1" applyFill="1" applyBorder="1" applyAlignment="1">
      <alignment horizontal="center" vertical="center"/>
    </xf>
    <xf numFmtId="2" fontId="100" fillId="22" borderId="29" xfId="0" applyNumberFormat="1" applyFont="1" applyFill="1" applyBorder="1" applyAlignment="1">
      <alignment horizontal="center" vertical="center"/>
    </xf>
    <xf numFmtId="2" fontId="8" fillId="26" borderId="32" xfId="0" applyNumberFormat="1" applyFont="1" applyFill="1" applyBorder="1" applyAlignment="1">
      <alignment horizontal="center" vertical="center"/>
    </xf>
    <xf numFmtId="2" fontId="100" fillId="26" borderId="29" xfId="0" applyNumberFormat="1" applyFont="1" applyFill="1" applyBorder="1" applyAlignment="1">
      <alignment horizontal="center" vertical="center"/>
    </xf>
    <xf numFmtId="2" fontId="8" fillId="22" borderId="29" xfId="0" applyNumberFormat="1" applyFont="1" applyFill="1" applyBorder="1" applyAlignment="1">
      <alignment horizontal="center" vertical="center"/>
    </xf>
    <xf numFmtId="1" fontId="101" fillId="0" borderId="30" xfId="0" applyNumberFormat="1" applyFont="1" applyBorder="1" applyAlignment="1">
      <alignment horizontal="center" vertical="center"/>
    </xf>
    <xf numFmtId="1" fontId="73" fillId="26" borderId="73" xfId="0" applyNumberFormat="1" applyFont="1" applyFill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1" fontId="2" fillId="0" borderId="166" xfId="0" applyNumberFormat="1" applyFont="1" applyBorder="1" applyAlignment="1">
      <alignment horizontal="center" vertical="center" wrapText="1"/>
    </xf>
    <xf numFmtId="2" fontId="109" fillId="0" borderId="49" xfId="0" applyNumberFormat="1" applyFont="1" applyBorder="1" applyAlignment="1">
      <alignment horizontal="center" vertical="center" wrapText="1"/>
    </xf>
    <xf numFmtId="2" fontId="93" fillId="27" borderId="185" xfId="0" applyNumberFormat="1" applyFont="1" applyFill="1" applyBorder="1" applyAlignment="1">
      <alignment horizontal="center" vertical="center"/>
    </xf>
    <xf numFmtId="2" fontId="93" fillId="27" borderId="165" xfId="0" applyNumberFormat="1" applyFont="1" applyFill="1" applyBorder="1" applyAlignment="1">
      <alignment horizontal="center" vertical="center"/>
    </xf>
    <xf numFmtId="2" fontId="2" fillId="0" borderId="153" xfId="0" applyNumberFormat="1" applyFont="1" applyBorder="1" applyAlignment="1">
      <alignment horizontal="center" vertical="center"/>
    </xf>
    <xf numFmtId="2" fontId="100" fillId="2" borderId="33" xfId="0" applyNumberFormat="1" applyFont="1" applyFill="1" applyBorder="1" applyAlignment="1">
      <alignment horizontal="center" vertical="center"/>
    </xf>
    <xf numFmtId="2" fontId="41" fillId="2" borderId="33" xfId="0" applyNumberFormat="1" applyFont="1" applyFill="1" applyBorder="1" applyAlignment="1">
      <alignment horizontal="center" vertical="center"/>
    </xf>
    <xf numFmtId="167" fontId="8" fillId="2" borderId="186" xfId="0" applyNumberFormat="1" applyFont="1" applyFill="1" applyBorder="1" applyAlignment="1">
      <alignment horizontal="center" vertical="center"/>
    </xf>
    <xf numFmtId="2" fontId="100" fillId="8" borderId="187" xfId="0" applyNumberFormat="1" applyFont="1" applyFill="1" applyBorder="1" applyAlignment="1">
      <alignment horizontal="center" vertical="center"/>
    </xf>
    <xf numFmtId="2" fontId="41" fillId="8" borderId="184" xfId="0" applyNumberFormat="1" applyFont="1" applyFill="1" applyBorder="1" applyAlignment="1">
      <alignment horizontal="center" vertical="center"/>
    </xf>
    <xf numFmtId="167" fontId="8" fillId="8" borderId="188" xfId="0" applyNumberFormat="1" applyFont="1" applyFill="1" applyBorder="1" applyAlignment="1">
      <alignment horizontal="center" vertical="center"/>
    </xf>
    <xf numFmtId="2" fontId="100" fillId="20" borderId="6" xfId="0" applyNumberFormat="1" applyFont="1" applyFill="1" applyBorder="1" applyAlignment="1">
      <alignment horizontal="center" vertical="center"/>
    </xf>
    <xf numFmtId="2" fontId="41" fillId="20" borderId="6" xfId="0" applyNumberFormat="1" applyFont="1" applyFill="1" applyBorder="1" applyAlignment="1">
      <alignment horizontal="center" vertical="center"/>
    </xf>
    <xf numFmtId="167" fontId="8" fillId="20" borderId="11" xfId="0" applyNumberFormat="1" applyFont="1" applyFill="1" applyBorder="1" applyAlignment="1">
      <alignment horizontal="center" vertical="center"/>
    </xf>
    <xf numFmtId="2" fontId="100" fillId="20" borderId="121" xfId="0" applyNumberFormat="1" applyFont="1" applyFill="1" applyBorder="1" applyAlignment="1">
      <alignment horizontal="center" vertical="center"/>
    </xf>
    <xf numFmtId="2" fontId="41" fillId="20" borderId="121" xfId="0" applyNumberFormat="1" applyFont="1" applyFill="1" applyBorder="1" applyAlignment="1">
      <alignment horizontal="center" vertical="center"/>
    </xf>
    <xf numFmtId="167" fontId="8" fillId="20" borderId="124" xfId="0" applyNumberFormat="1" applyFont="1" applyFill="1" applyBorder="1" applyAlignment="1">
      <alignment horizontal="center" vertical="center"/>
    </xf>
    <xf numFmtId="2" fontId="100" fillId="20" borderId="165" xfId="0" applyNumberFormat="1" applyFont="1" applyFill="1" applyBorder="1" applyAlignment="1">
      <alignment horizontal="center" vertical="center"/>
    </xf>
    <xf numFmtId="2" fontId="41" fillId="20" borderId="165" xfId="0" applyNumberFormat="1" applyFont="1" applyFill="1" applyBorder="1" applyAlignment="1">
      <alignment horizontal="center" vertical="center"/>
    </xf>
    <xf numFmtId="167" fontId="8" fillId="20" borderId="125" xfId="0" applyNumberFormat="1" applyFont="1" applyFill="1" applyBorder="1" applyAlignment="1">
      <alignment horizontal="center" vertical="center"/>
    </xf>
    <xf numFmtId="0" fontId="87" fillId="2" borderId="122" xfId="0" applyFont="1" applyFill="1" applyBorder="1" applyAlignment="1">
      <alignment horizontal="right" vertical="center"/>
    </xf>
    <xf numFmtId="2" fontId="2" fillId="0" borderId="115" xfId="0" applyNumberFormat="1" applyFont="1" applyBorder="1" applyAlignment="1">
      <alignment horizontal="center" vertical="center" wrapText="1"/>
    </xf>
    <xf numFmtId="2" fontId="86" fillId="23" borderId="8" xfId="0" applyNumberFormat="1" applyFont="1" applyFill="1" applyBorder="1" applyAlignment="1">
      <alignment horizontal="center" vertical="center"/>
    </xf>
    <xf numFmtId="0" fontId="4" fillId="2" borderId="137" xfId="0" applyFont="1" applyFill="1" applyBorder="1" applyAlignment="1">
      <alignment horizontal="center" vertical="center"/>
    </xf>
    <xf numFmtId="0" fontId="4" fillId="2" borderId="143" xfId="0" applyFont="1" applyFill="1" applyBorder="1" applyAlignment="1">
      <alignment horizontal="center" vertical="center"/>
    </xf>
    <xf numFmtId="2" fontId="8" fillId="2" borderId="99" xfId="0" applyNumberFormat="1" applyFont="1" applyFill="1" applyBorder="1" applyAlignment="1">
      <alignment horizontal="center" vertical="center"/>
    </xf>
    <xf numFmtId="2" fontId="67" fillId="2" borderId="99" xfId="0" applyNumberFormat="1" applyFont="1" applyFill="1" applyBorder="1" applyAlignment="1">
      <alignment horizontal="center" vertical="center"/>
    </xf>
    <xf numFmtId="2" fontId="100" fillId="2" borderId="99" xfId="0" applyNumberFormat="1" applyFont="1" applyFill="1" applyBorder="1" applyAlignment="1">
      <alignment horizontal="center" vertical="center"/>
    </xf>
    <xf numFmtId="167" fontId="8" fillId="0" borderId="160" xfId="0" applyNumberFormat="1" applyFont="1" applyBorder="1" applyAlignment="1">
      <alignment horizontal="center" vertical="center"/>
    </xf>
    <xf numFmtId="0" fontId="121" fillId="20" borderId="10" xfId="0" applyFont="1" applyFill="1" applyBorder="1" applyAlignment="1">
      <alignment horizontal="right" vertical="center"/>
    </xf>
    <xf numFmtId="0" fontId="121" fillId="20" borderId="107" xfId="0" applyFont="1" applyFill="1" applyBorder="1" applyAlignment="1">
      <alignment horizontal="right" vertical="center"/>
    </xf>
    <xf numFmtId="0" fontId="121" fillId="20" borderId="109" xfId="0" applyFont="1" applyFill="1" applyBorder="1" applyAlignment="1">
      <alignment horizontal="right" vertical="center"/>
    </xf>
    <xf numFmtId="0" fontId="112" fillId="0" borderId="2" xfId="0" applyFont="1" applyBorder="1"/>
    <xf numFmtId="2" fontId="112" fillId="0" borderId="2" xfId="0" applyNumberFormat="1" applyFont="1" applyBorder="1" applyAlignment="1">
      <alignment horizontal="center" vertical="center"/>
    </xf>
    <xf numFmtId="0" fontId="115" fillId="0" borderId="2" xfId="0" applyFont="1" applyBorder="1" applyAlignment="1">
      <alignment horizontal="center" vertical="center"/>
    </xf>
    <xf numFmtId="0" fontId="115" fillId="0" borderId="0" xfId="0" applyFont="1"/>
    <xf numFmtId="2" fontId="112" fillId="0" borderId="0" xfId="0" applyNumberFormat="1" applyFont="1" applyAlignment="1">
      <alignment horizontal="center" vertical="center"/>
    </xf>
    <xf numFmtId="0" fontId="115" fillId="0" borderId="0" xfId="0" applyFont="1" applyAlignment="1">
      <alignment horizontal="center" vertical="center"/>
    </xf>
    <xf numFmtId="0" fontId="113" fillId="2" borderId="123" xfId="0" applyFont="1" applyFill="1" applyBorder="1" applyAlignment="1">
      <alignment horizontal="center"/>
    </xf>
    <xf numFmtId="2" fontId="66" fillId="0" borderId="128" xfId="0" applyNumberFormat="1" applyFont="1" applyBorder="1" applyAlignment="1">
      <alignment horizontal="center"/>
    </xf>
    <xf numFmtId="0" fontId="113" fillId="0" borderId="2" xfId="0" applyFont="1" applyBorder="1" applyAlignment="1">
      <alignment horizontal="center"/>
    </xf>
    <xf numFmtId="2" fontId="113" fillId="0" borderId="2" xfId="0" applyNumberFormat="1" applyFont="1" applyBorder="1" applyAlignment="1">
      <alignment horizontal="center" vertical="center"/>
    </xf>
    <xf numFmtId="2" fontId="66" fillId="0" borderId="2" xfId="0" applyNumberFormat="1" applyFont="1" applyBorder="1" applyAlignment="1">
      <alignment horizontal="center"/>
    </xf>
    <xf numFmtId="0" fontId="113" fillId="0" borderId="0" xfId="0" applyFont="1" applyAlignment="1">
      <alignment horizontal="center"/>
    </xf>
    <xf numFmtId="2" fontId="113" fillId="0" borderId="0" xfId="0" applyNumberFormat="1" applyFont="1" applyAlignment="1">
      <alignment horizontal="center" vertical="center"/>
    </xf>
    <xf numFmtId="2" fontId="66" fillId="0" borderId="0" xfId="0" applyNumberFormat="1" applyFont="1" applyAlignment="1">
      <alignment horizontal="center"/>
    </xf>
    <xf numFmtId="0" fontId="114" fillId="0" borderId="0" xfId="0" applyFont="1" applyAlignment="1">
      <alignment horizontal="left" vertical="center"/>
    </xf>
    <xf numFmtId="2" fontId="113" fillId="30" borderId="160" xfId="0" applyNumberFormat="1" applyFont="1" applyFill="1" applyBorder="1" applyAlignment="1">
      <alignment horizontal="center" vertical="center"/>
    </xf>
    <xf numFmtId="1" fontId="101" fillId="31" borderId="184" xfId="0" applyNumberFormat="1" applyFont="1" applyFill="1" applyBorder="1" applyAlignment="1">
      <alignment horizontal="center" vertical="center"/>
    </xf>
    <xf numFmtId="2" fontId="67" fillId="31" borderId="184" xfId="0" applyNumberFormat="1" applyFont="1" applyFill="1" applyBorder="1" applyAlignment="1">
      <alignment horizontal="center" vertical="center"/>
    </xf>
    <xf numFmtId="2" fontId="8" fillId="31" borderId="184" xfId="0" applyNumberFormat="1" applyFont="1" applyFill="1" applyBorder="1" applyAlignment="1">
      <alignment horizontal="center" vertical="center"/>
    </xf>
    <xf numFmtId="1" fontId="101" fillId="2" borderId="33" xfId="0" applyNumberFormat="1" applyFont="1" applyFill="1" applyBorder="1" applyAlignment="1">
      <alignment horizontal="center" vertical="center"/>
    </xf>
    <xf numFmtId="2" fontId="100" fillId="27" borderId="33" xfId="0" applyNumberFormat="1" applyFont="1" applyFill="1" applyBorder="1" applyAlignment="1">
      <alignment horizontal="center" vertical="center"/>
    </xf>
    <xf numFmtId="2" fontId="41" fillId="27" borderId="33" xfId="0" applyNumberFormat="1" applyFont="1" applyFill="1" applyBorder="1" applyAlignment="1">
      <alignment horizontal="center" vertical="center"/>
    </xf>
    <xf numFmtId="167" fontId="8" fillId="27" borderId="186" xfId="0" applyNumberFormat="1" applyFont="1" applyFill="1" applyBorder="1" applyAlignment="1">
      <alignment horizontal="center" vertical="center"/>
    </xf>
    <xf numFmtId="1" fontId="73" fillId="31" borderId="184" xfId="0" applyNumberFormat="1" applyFont="1" applyFill="1" applyBorder="1" applyAlignment="1">
      <alignment horizontal="center" vertical="center"/>
    </xf>
    <xf numFmtId="2" fontId="100" fillId="31" borderId="184" xfId="0" applyNumberFormat="1" applyFont="1" applyFill="1" applyBorder="1" applyAlignment="1">
      <alignment horizontal="center" vertical="center"/>
    </xf>
    <xf numFmtId="2" fontId="41" fillId="31" borderId="184" xfId="0" applyNumberFormat="1" applyFont="1" applyFill="1" applyBorder="1" applyAlignment="1">
      <alignment horizontal="center" vertical="center"/>
    </xf>
    <xf numFmtId="167" fontId="8" fillId="31" borderId="188" xfId="0" applyNumberFormat="1" applyFont="1" applyFill="1" applyBorder="1" applyAlignment="1">
      <alignment horizontal="center" vertical="center"/>
    </xf>
    <xf numFmtId="2" fontId="100" fillId="24" borderId="33" xfId="0" applyNumberFormat="1" applyFont="1" applyFill="1" applyBorder="1" applyAlignment="1">
      <alignment horizontal="center" vertical="center"/>
    </xf>
    <xf numFmtId="2" fontId="41" fillId="24" borderId="33" xfId="0" applyNumberFormat="1" applyFont="1" applyFill="1" applyBorder="1" applyAlignment="1">
      <alignment horizontal="center" vertical="center"/>
    </xf>
    <xf numFmtId="167" fontId="8" fillId="24" borderId="186" xfId="0" applyNumberFormat="1" applyFont="1" applyFill="1" applyBorder="1" applyAlignment="1">
      <alignment horizontal="center" vertical="center"/>
    </xf>
    <xf numFmtId="2" fontId="100" fillId="24" borderId="32" xfId="0" applyNumberFormat="1" applyFont="1" applyFill="1" applyBorder="1" applyAlignment="1">
      <alignment horizontal="center" vertical="center"/>
    </xf>
    <xf numFmtId="2" fontId="41" fillId="24" borderId="32" xfId="0" applyNumberFormat="1" applyFont="1" applyFill="1" applyBorder="1" applyAlignment="1">
      <alignment horizontal="center" vertical="center"/>
    </xf>
    <xf numFmtId="167" fontId="8" fillId="24" borderId="76" xfId="0" applyNumberFormat="1" applyFont="1" applyFill="1" applyBorder="1" applyAlignment="1">
      <alignment horizontal="center" vertical="center"/>
    </xf>
    <xf numFmtId="167" fontId="8" fillId="34" borderId="76" xfId="0" applyNumberFormat="1" applyFont="1" applyFill="1" applyBorder="1" applyAlignment="1">
      <alignment horizontal="center" vertical="center"/>
    </xf>
    <xf numFmtId="2" fontId="100" fillId="23" borderId="32" xfId="0" applyNumberFormat="1" applyFont="1" applyFill="1" applyBorder="1" applyAlignment="1">
      <alignment horizontal="center" vertical="center"/>
    </xf>
    <xf numFmtId="2" fontId="41" fillId="23" borderId="32" xfId="0" applyNumberFormat="1" applyFont="1" applyFill="1" applyBorder="1" applyAlignment="1">
      <alignment horizontal="center" vertical="center"/>
    </xf>
    <xf numFmtId="167" fontId="8" fillId="23" borderId="76" xfId="0" applyNumberFormat="1" applyFont="1" applyFill="1" applyBorder="1" applyAlignment="1">
      <alignment horizontal="center" vertical="center"/>
    </xf>
    <xf numFmtId="2" fontId="100" fillId="23" borderId="189" xfId="0" applyNumberFormat="1" applyFont="1" applyFill="1" applyBorder="1" applyAlignment="1">
      <alignment horizontal="center" vertical="center"/>
    </xf>
    <xf numFmtId="2" fontId="41" fillId="23" borderId="190" xfId="0" applyNumberFormat="1" applyFont="1" applyFill="1" applyBorder="1" applyAlignment="1">
      <alignment horizontal="center" vertical="center"/>
    </xf>
    <xf numFmtId="167" fontId="8" fillId="23" borderId="191" xfId="0" applyNumberFormat="1" applyFont="1" applyFill="1" applyBorder="1" applyAlignment="1">
      <alignment horizontal="center" vertical="center"/>
    </xf>
    <xf numFmtId="1" fontId="73" fillId="34" borderId="73" xfId="0" applyNumberFormat="1" applyFont="1" applyFill="1" applyBorder="1" applyAlignment="1">
      <alignment horizontal="center" vertical="center"/>
    </xf>
    <xf numFmtId="1" fontId="73" fillId="34" borderId="29" xfId="0" applyNumberFormat="1" applyFont="1" applyFill="1" applyBorder="1" applyAlignment="1">
      <alignment horizontal="center" vertical="center"/>
    </xf>
    <xf numFmtId="1" fontId="101" fillId="34" borderId="30" xfId="0" applyNumberFormat="1" applyFont="1" applyFill="1" applyBorder="1" applyAlignment="1">
      <alignment horizontal="center" vertical="center"/>
    </xf>
    <xf numFmtId="2" fontId="35" fillId="34" borderId="30" xfId="0" applyNumberFormat="1" applyFont="1" applyFill="1" applyBorder="1" applyAlignment="1">
      <alignment horizontal="center" vertical="center"/>
    </xf>
    <xf numFmtId="2" fontId="41" fillId="34" borderId="29" xfId="0" applyNumberFormat="1" applyFont="1" applyFill="1" applyBorder="1" applyAlignment="1">
      <alignment horizontal="center" vertical="center"/>
    </xf>
    <xf numFmtId="2" fontId="86" fillId="34" borderId="32" xfId="0" applyNumberFormat="1" applyFont="1" applyFill="1" applyBorder="1" applyAlignment="1">
      <alignment horizontal="center" vertical="center"/>
    </xf>
    <xf numFmtId="2" fontId="100" fillId="34" borderId="29" xfId="0" applyNumberFormat="1" applyFont="1" applyFill="1" applyBorder="1" applyAlignment="1">
      <alignment horizontal="center" vertical="center"/>
    </xf>
    <xf numFmtId="0" fontId="122" fillId="0" borderId="0" xfId="0" applyFont="1" applyAlignment="1">
      <alignment vertical="center"/>
    </xf>
    <xf numFmtId="1" fontId="71" fillId="21" borderId="163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1" fontId="3" fillId="2" borderId="47" xfId="0" applyNumberFormat="1" applyFont="1" applyFill="1" applyBorder="1" applyAlignment="1">
      <alignment horizontal="left" vertical="center"/>
    </xf>
    <xf numFmtId="1" fontId="75" fillId="2" borderId="0" xfId="0" applyNumberFormat="1" applyFont="1" applyFill="1" applyAlignment="1">
      <alignment horizontal="center" vertical="center"/>
    </xf>
    <xf numFmtId="1" fontId="46" fillId="2" borderId="0" xfId="0" applyNumberFormat="1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left" vertical="center"/>
    </xf>
    <xf numFmtId="1" fontId="23" fillId="0" borderId="81" xfId="0" applyNumberFormat="1" applyFont="1" applyBorder="1" applyAlignment="1">
      <alignment horizontal="center" vertical="center"/>
    </xf>
    <xf numFmtId="1" fontId="23" fillId="0" borderId="82" xfId="0" applyNumberFormat="1" applyFont="1" applyBorder="1" applyAlignment="1">
      <alignment horizontal="center" vertical="center"/>
    </xf>
    <xf numFmtId="1" fontId="93" fillId="15" borderId="41" xfId="0" applyNumberFormat="1" applyFont="1" applyFill="1" applyBorder="1" applyAlignment="1">
      <alignment horizontal="center" vertical="center"/>
    </xf>
    <xf numFmtId="1" fontId="93" fillId="15" borderId="163" xfId="0" applyNumberFormat="1" applyFont="1" applyFill="1" applyBorder="1" applyAlignment="1">
      <alignment horizontal="center" vertical="center"/>
    </xf>
    <xf numFmtId="1" fontId="71" fillId="21" borderId="25" xfId="0" applyNumberFormat="1" applyFont="1" applyFill="1" applyBorder="1" applyAlignment="1">
      <alignment horizontal="center" vertical="center"/>
    </xf>
    <xf numFmtId="1" fontId="71" fillId="21" borderId="136" xfId="0" applyNumberFormat="1" applyFont="1" applyFill="1" applyBorder="1" applyAlignment="1">
      <alignment horizontal="center" vertical="center"/>
    </xf>
    <xf numFmtId="1" fontId="93" fillId="20" borderId="136" xfId="0" applyNumberFormat="1" applyFont="1" applyFill="1" applyBorder="1" applyAlignment="1">
      <alignment horizontal="center" vertical="center"/>
    </xf>
    <xf numFmtId="1" fontId="93" fillId="20" borderId="135" xfId="0" applyNumberFormat="1" applyFont="1" applyFill="1" applyBorder="1" applyAlignment="1">
      <alignment horizontal="center" vertical="center"/>
    </xf>
    <xf numFmtId="1" fontId="93" fillId="20" borderId="163" xfId="0" applyNumberFormat="1" applyFont="1" applyFill="1" applyBorder="1" applyAlignment="1">
      <alignment horizontal="center" vertical="center"/>
    </xf>
    <xf numFmtId="1" fontId="93" fillId="20" borderId="164" xfId="0" applyNumberFormat="1" applyFont="1" applyFill="1" applyBorder="1" applyAlignment="1">
      <alignment horizontal="center" vertical="center"/>
    </xf>
    <xf numFmtId="1" fontId="41" fillId="29" borderId="76" xfId="0" applyNumberFormat="1" applyFont="1" applyFill="1" applyBorder="1" applyAlignment="1">
      <alignment horizontal="center" vertical="center"/>
    </xf>
    <xf numFmtId="1" fontId="41" fillId="2" borderId="76" xfId="0" applyNumberFormat="1" applyFont="1" applyFill="1" applyBorder="1" applyAlignment="1">
      <alignment horizontal="center" vertical="center"/>
    </xf>
    <xf numFmtId="1" fontId="41" fillId="22" borderId="76" xfId="0" applyNumberFormat="1" applyFont="1" applyFill="1" applyBorder="1" applyAlignment="1">
      <alignment horizontal="center" vertical="center"/>
    </xf>
    <xf numFmtId="1" fontId="41" fillId="26" borderId="76" xfId="0" applyNumberFormat="1" applyFont="1" applyFill="1" applyBorder="1" applyAlignment="1">
      <alignment horizontal="center" vertical="center"/>
    </xf>
    <xf numFmtId="1" fontId="41" fillId="34" borderId="76" xfId="0" applyNumberFormat="1" applyFont="1" applyFill="1" applyBorder="1" applyAlignment="1">
      <alignment horizontal="center" vertical="center"/>
    </xf>
    <xf numFmtId="1" fontId="41" fillId="31" borderId="195" xfId="0" applyNumberFormat="1" applyFont="1" applyFill="1" applyBorder="1" applyAlignment="1">
      <alignment horizontal="center" vertical="center"/>
    </xf>
    <xf numFmtId="1" fontId="41" fillId="27" borderId="186" xfId="0" applyNumberFormat="1" applyFont="1" applyFill="1" applyBorder="1" applyAlignment="1">
      <alignment horizontal="center" vertical="center"/>
    </xf>
    <xf numFmtId="1" fontId="41" fillId="27" borderId="76" xfId="0" applyNumberFormat="1" applyFont="1" applyFill="1" applyBorder="1" applyAlignment="1">
      <alignment horizontal="center" vertical="center"/>
    </xf>
    <xf numFmtId="1" fontId="41" fillId="20" borderId="25" xfId="0" applyNumberFormat="1" applyFont="1" applyFill="1" applyBorder="1" applyAlignment="1">
      <alignment horizontal="center" vertical="center"/>
    </xf>
    <xf numFmtId="1" fontId="41" fillId="20" borderId="136" xfId="0" applyNumberFormat="1" applyFont="1" applyFill="1" applyBorder="1" applyAlignment="1">
      <alignment horizontal="center" vertical="center"/>
    </xf>
    <xf numFmtId="1" fontId="41" fillId="20" borderId="164" xfId="0" applyNumberFormat="1" applyFont="1" applyFill="1" applyBorder="1" applyAlignment="1">
      <alignment horizontal="center" vertical="center"/>
    </xf>
    <xf numFmtId="1" fontId="41" fillId="2" borderId="186" xfId="0" applyNumberFormat="1" applyFont="1" applyFill="1" applyBorder="1" applyAlignment="1">
      <alignment horizontal="center" vertical="center"/>
    </xf>
    <xf numFmtId="1" fontId="41" fillId="8" borderId="195" xfId="0" applyNumberFormat="1" applyFont="1" applyFill="1" applyBorder="1" applyAlignment="1">
      <alignment horizontal="center" vertical="center"/>
    </xf>
    <xf numFmtId="1" fontId="41" fillId="24" borderId="186" xfId="0" applyNumberFormat="1" applyFont="1" applyFill="1" applyBorder="1" applyAlignment="1">
      <alignment horizontal="center" vertical="center"/>
    </xf>
    <xf numFmtId="1" fontId="41" fillId="24" borderId="76" xfId="0" applyNumberFormat="1" applyFont="1" applyFill="1" applyBorder="1" applyAlignment="1">
      <alignment horizontal="center" vertical="center"/>
    </xf>
    <xf numFmtId="1" fontId="41" fillId="23" borderId="76" xfId="0" applyNumberFormat="1" applyFont="1" applyFill="1" applyBorder="1" applyAlignment="1">
      <alignment horizontal="center" vertical="center"/>
    </xf>
    <xf numFmtId="1" fontId="41" fillId="23" borderId="191" xfId="0" applyNumberFormat="1" applyFont="1" applyFill="1" applyBorder="1" applyAlignment="1">
      <alignment horizontal="center" vertical="center"/>
    </xf>
    <xf numFmtId="1" fontId="8" fillId="2" borderId="136" xfId="0" applyNumberFormat="1" applyFont="1" applyFill="1" applyBorder="1" applyAlignment="1">
      <alignment horizontal="center" vertical="center"/>
    </xf>
    <xf numFmtId="1" fontId="8" fillId="23" borderId="136" xfId="0" applyNumberFormat="1" applyFont="1" applyFill="1" applyBorder="1" applyAlignment="1">
      <alignment horizontal="center" vertical="center"/>
    </xf>
    <xf numFmtId="1" fontId="8" fillId="2" borderId="163" xfId="0" applyNumberFormat="1" applyFont="1" applyFill="1" applyBorder="1" applyAlignment="1">
      <alignment horizontal="center" vertical="center"/>
    </xf>
    <xf numFmtId="1" fontId="8" fillId="24" borderId="25" xfId="0" applyNumberFormat="1" applyFont="1" applyFill="1" applyBorder="1" applyAlignment="1">
      <alignment horizontal="center" vertical="center"/>
    </xf>
    <xf numFmtId="1" fontId="8" fillId="24" borderId="136" xfId="0" applyNumberFormat="1" applyFont="1" applyFill="1" applyBorder="1" applyAlignment="1">
      <alignment horizontal="center" vertical="center"/>
    </xf>
    <xf numFmtId="1" fontId="8" fillId="7" borderId="136" xfId="0" applyNumberFormat="1" applyFont="1" applyFill="1" applyBorder="1" applyAlignment="1">
      <alignment horizontal="center" vertical="center"/>
    </xf>
    <xf numFmtId="1" fontId="24" fillId="7" borderId="136" xfId="0" applyNumberFormat="1" applyFont="1" applyFill="1" applyBorder="1" applyAlignment="1">
      <alignment horizontal="center" vertical="center"/>
    </xf>
    <xf numFmtId="1" fontId="58" fillId="18" borderId="0" xfId="0" applyNumberFormat="1" applyFont="1" applyFill="1" applyAlignment="1">
      <alignment horizontal="center" vertical="center"/>
    </xf>
    <xf numFmtId="1" fontId="96" fillId="18" borderId="21" xfId="0" applyNumberFormat="1" applyFont="1" applyFill="1" applyBorder="1" applyAlignment="1">
      <alignment horizontal="center" vertical="center"/>
    </xf>
    <xf numFmtId="1" fontId="96" fillId="18" borderId="16" xfId="0" applyNumberFormat="1" applyFont="1" applyFill="1" applyBorder="1" applyAlignment="1">
      <alignment horizontal="center" vertical="center"/>
    </xf>
    <xf numFmtId="1" fontId="69" fillId="4" borderId="59" xfId="0" applyNumberFormat="1" applyFont="1" applyFill="1" applyBorder="1" applyAlignment="1">
      <alignment horizontal="center" vertical="center"/>
    </xf>
    <xf numFmtId="1" fontId="51" fillId="14" borderId="2" xfId="0" applyNumberFormat="1" applyFont="1" applyFill="1" applyBorder="1" applyAlignment="1">
      <alignment horizontal="center" vertical="center" wrapText="1"/>
    </xf>
    <xf numFmtId="1" fontId="4" fillId="15" borderId="121" xfId="0" applyNumberFormat="1" applyFont="1" applyFill="1" applyBorder="1" applyAlignment="1">
      <alignment horizontal="center" vertical="center"/>
    </xf>
    <xf numFmtId="1" fontId="4" fillId="15" borderId="99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23" fillId="0" borderId="72" xfId="0" applyFont="1" applyBorder="1" applyAlignment="1">
      <alignment horizontal="center" vertical="center" wrapText="1"/>
    </xf>
    <xf numFmtId="1" fontId="19" fillId="17" borderId="46" xfId="0" applyNumberFormat="1" applyFont="1" applyFill="1" applyBorder="1" applyAlignment="1">
      <alignment horizontal="center" vertical="center" wrapText="1"/>
    </xf>
    <xf numFmtId="1" fontId="19" fillId="17" borderId="177" xfId="0" applyNumberFormat="1" applyFont="1" applyFill="1" applyBorder="1" applyAlignment="1">
      <alignment horizontal="center" vertical="center" wrapText="1"/>
    </xf>
    <xf numFmtId="1" fontId="19" fillId="17" borderId="178" xfId="0" applyNumberFormat="1" applyFont="1" applyFill="1" applyBorder="1" applyAlignment="1">
      <alignment horizontal="center" vertical="center" wrapText="1"/>
    </xf>
    <xf numFmtId="1" fontId="19" fillId="17" borderId="179" xfId="0" applyNumberFormat="1" applyFont="1" applyFill="1" applyBorder="1" applyAlignment="1">
      <alignment horizontal="center" vertical="center" wrapText="1"/>
    </xf>
    <xf numFmtId="1" fontId="70" fillId="3" borderId="65" xfId="0" applyNumberFormat="1" applyFont="1" applyFill="1" applyBorder="1" applyAlignment="1">
      <alignment horizontal="center" vertical="center" wrapText="1"/>
    </xf>
    <xf numFmtId="1" fontId="70" fillId="3" borderId="66" xfId="0" applyNumberFormat="1" applyFont="1" applyFill="1" applyBorder="1" applyAlignment="1">
      <alignment horizontal="center" vertical="center" wrapText="1"/>
    </xf>
    <xf numFmtId="0" fontId="71" fillId="15" borderId="83" xfId="0" applyFont="1" applyFill="1" applyBorder="1" applyAlignment="1">
      <alignment horizontal="center" vertical="center" wrapText="1"/>
    </xf>
    <xf numFmtId="0" fontId="71" fillId="15" borderId="69" xfId="0" applyFont="1" applyFill="1" applyBorder="1" applyAlignment="1">
      <alignment horizontal="center" vertical="center"/>
    </xf>
    <xf numFmtId="0" fontId="71" fillId="15" borderId="84" xfId="0" applyFont="1" applyFill="1" applyBorder="1" applyAlignment="1">
      <alignment horizontal="center" vertical="center"/>
    </xf>
    <xf numFmtId="0" fontId="71" fillId="15" borderId="62" xfId="0" applyFont="1" applyFill="1" applyBorder="1" applyAlignment="1">
      <alignment horizontal="center" vertical="center"/>
    </xf>
    <xf numFmtId="0" fontId="93" fillId="15" borderId="99" xfId="0" applyFont="1" applyFill="1" applyBorder="1" applyAlignment="1" applyProtection="1">
      <alignment horizontal="center" vertical="center"/>
      <protection locked="0"/>
    </xf>
    <xf numFmtId="1" fontId="19" fillId="17" borderId="52" xfId="0" applyNumberFormat="1" applyFont="1" applyFill="1" applyBorder="1" applyAlignment="1">
      <alignment horizontal="center" vertical="center" wrapText="1"/>
    </xf>
    <xf numFmtId="1" fontId="19" fillId="17" borderId="63" xfId="0" applyNumberFormat="1" applyFont="1" applyFill="1" applyBorder="1" applyAlignment="1">
      <alignment horizontal="center" vertical="center" wrapText="1"/>
    </xf>
    <xf numFmtId="1" fontId="71" fillId="21" borderId="6" xfId="0" applyNumberFormat="1" applyFont="1" applyFill="1" applyBorder="1" applyAlignment="1">
      <alignment horizontal="center" vertical="center"/>
    </xf>
    <xf numFmtId="0" fontId="71" fillId="21" borderId="85" xfId="0" applyFont="1" applyFill="1" applyBorder="1" applyAlignment="1">
      <alignment horizontal="center" vertical="center" wrapText="1"/>
    </xf>
    <xf numFmtId="0" fontId="71" fillId="21" borderId="79" xfId="0" applyFont="1" applyFill="1" applyBorder="1" applyAlignment="1">
      <alignment horizontal="center" vertical="center"/>
    </xf>
    <xf numFmtId="0" fontId="71" fillId="21" borderId="86" xfId="0" applyFont="1" applyFill="1" applyBorder="1" applyAlignment="1">
      <alignment horizontal="center" vertical="center"/>
    </xf>
    <xf numFmtId="0" fontId="71" fillId="21" borderId="53" xfId="0" applyFont="1" applyFill="1" applyBorder="1" applyAlignment="1">
      <alignment horizontal="center" vertical="center"/>
    </xf>
    <xf numFmtId="0" fontId="71" fillId="21" borderId="87" xfId="0" applyFont="1" applyFill="1" applyBorder="1" applyAlignment="1">
      <alignment horizontal="center" vertical="center"/>
    </xf>
    <xf numFmtId="0" fontId="71" fillId="21" borderId="80" xfId="0" applyFont="1" applyFill="1" applyBorder="1" applyAlignment="1">
      <alignment horizontal="center" vertical="center"/>
    </xf>
    <xf numFmtId="1" fontId="70" fillId="3" borderId="65" xfId="0" applyNumberFormat="1" applyFont="1" applyFill="1" applyBorder="1" applyAlignment="1">
      <alignment horizontal="center" vertical="center"/>
    </xf>
    <xf numFmtId="1" fontId="70" fillId="3" borderId="66" xfId="0" applyNumberFormat="1" applyFont="1" applyFill="1" applyBorder="1" applyAlignment="1">
      <alignment horizontal="center" vertical="center"/>
    </xf>
    <xf numFmtId="1" fontId="71" fillId="21" borderId="163" xfId="0" applyNumberFormat="1" applyFont="1" applyFill="1" applyBorder="1" applyAlignment="1">
      <alignment horizontal="center" vertical="center"/>
    </xf>
    <xf numFmtId="1" fontId="71" fillId="21" borderId="154" xfId="0" applyNumberFormat="1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83" fontId="48" fillId="2" borderId="0" xfId="0" applyNumberFormat="1" applyFont="1" applyFill="1" applyAlignment="1">
      <alignment horizontal="left" vertical="center"/>
    </xf>
    <xf numFmtId="166" fontId="50" fillId="2" borderId="0" xfId="0" applyNumberFormat="1" applyFont="1" applyFill="1" applyAlignment="1">
      <alignment horizontal="left" vertical="center"/>
    </xf>
    <xf numFmtId="0" fontId="23" fillId="0" borderId="55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1" fontId="23" fillId="0" borderId="37" xfId="0" applyNumberFormat="1" applyFont="1" applyBorder="1" applyAlignment="1">
      <alignment horizontal="center" vertical="center"/>
    </xf>
    <xf numFmtId="1" fontId="23" fillId="0" borderId="36" xfId="0" applyNumberFormat="1" applyFont="1" applyBorder="1" applyAlignment="1">
      <alignment horizontal="center" vertical="center"/>
    </xf>
    <xf numFmtId="15" fontId="43" fillId="2" borderId="47" xfId="0" applyNumberFormat="1" applyFont="1" applyFill="1" applyBorder="1" applyAlignment="1">
      <alignment horizontal="center" vertical="center" wrapText="1"/>
    </xf>
    <xf numFmtId="15" fontId="43" fillId="2" borderId="0" xfId="0" applyNumberFormat="1" applyFont="1" applyFill="1" applyAlignment="1">
      <alignment horizontal="center" vertical="center" wrapText="1"/>
    </xf>
    <xf numFmtId="2" fontId="75" fillId="2" borderId="0" xfId="0" applyNumberFormat="1" applyFont="1" applyFill="1" applyAlignment="1">
      <alignment horizontal="center" vertical="center"/>
    </xf>
    <xf numFmtId="2" fontId="45" fillId="2" borderId="0" xfId="0" applyNumberFormat="1" applyFont="1" applyFill="1" applyAlignment="1">
      <alignment horizontal="left" vertical="center"/>
    </xf>
    <xf numFmtId="2" fontId="50" fillId="2" borderId="0" xfId="0" applyNumberFormat="1" applyFont="1" applyFill="1" applyAlignment="1">
      <alignment horizontal="left" vertical="center"/>
    </xf>
    <xf numFmtId="0" fontId="4" fillId="2" borderId="44" xfId="0" applyFont="1" applyFill="1" applyBorder="1" applyAlignment="1">
      <alignment horizontal="left" vertical="center"/>
    </xf>
    <xf numFmtId="167" fontId="50" fillId="0" borderId="0" xfId="0" applyNumberFormat="1" applyFont="1" applyAlignment="1">
      <alignment horizontal="left" vertical="center"/>
    </xf>
    <xf numFmtId="0" fontId="2" fillId="0" borderId="133" xfId="0" applyFont="1" applyBorder="1" applyAlignment="1">
      <alignment horizontal="center" vertical="center" wrapText="1"/>
    </xf>
    <xf numFmtId="0" fontId="0" fillId="0" borderId="117" xfId="0" applyBorder="1" applyAlignment="1">
      <alignment horizontal="center" vertical="center" wrapText="1"/>
    </xf>
    <xf numFmtId="1" fontId="37" fillId="22" borderId="180" xfId="0" applyNumberFormat="1" applyFont="1" applyFill="1" applyBorder="1" applyAlignment="1">
      <alignment horizontal="center" vertical="center"/>
    </xf>
    <xf numFmtId="1" fontId="37" fillId="22" borderId="73" xfId="0" applyNumberFormat="1" applyFont="1" applyFill="1" applyBorder="1" applyAlignment="1">
      <alignment horizontal="center" vertical="center"/>
    </xf>
    <xf numFmtId="0" fontId="106" fillId="25" borderId="131" xfId="0" applyFont="1" applyFill="1" applyBorder="1" applyAlignment="1">
      <alignment horizontal="center" vertical="center" wrapText="1"/>
    </xf>
    <xf numFmtId="0" fontId="0" fillId="0" borderId="132" xfId="0" applyBorder="1" applyAlignment="1">
      <alignment horizontal="center" vertical="center" wrapText="1"/>
    </xf>
    <xf numFmtId="1" fontId="72" fillId="2" borderId="74" xfId="0" applyNumberFormat="1" applyFont="1" applyFill="1" applyBorder="1" applyAlignment="1">
      <alignment horizontal="center" vertical="center"/>
    </xf>
    <xf numFmtId="1" fontId="72" fillId="2" borderId="31" xfId="0" applyNumberFormat="1" applyFont="1" applyFill="1" applyBorder="1" applyAlignment="1">
      <alignment horizontal="center" vertical="center"/>
    </xf>
    <xf numFmtId="1" fontId="72" fillId="26" borderId="95" xfId="0" applyNumberFormat="1" applyFont="1" applyFill="1" applyBorder="1" applyAlignment="1">
      <alignment horizontal="center" vertical="center"/>
    </xf>
    <xf numFmtId="1" fontId="72" fillId="26" borderId="73" xfId="0" applyNumberFormat="1" applyFont="1" applyFill="1" applyBorder="1" applyAlignment="1">
      <alignment horizontal="center" vertical="center"/>
    </xf>
    <xf numFmtId="0" fontId="113" fillId="25" borderId="131" xfId="0" applyFont="1" applyFill="1" applyBorder="1" applyAlignment="1">
      <alignment horizontal="center" vertical="center"/>
    </xf>
    <xf numFmtId="0" fontId="113" fillId="25" borderId="132" xfId="0" applyFont="1" applyFill="1" applyBorder="1" applyAlignment="1">
      <alignment horizontal="center" vertical="center"/>
    </xf>
    <xf numFmtId="0" fontId="24" fillId="32" borderId="49" xfId="0" applyFont="1" applyFill="1" applyBorder="1" applyAlignment="1">
      <alignment horizontal="center" vertical="center" wrapText="1"/>
    </xf>
    <xf numFmtId="0" fontId="24" fillId="32" borderId="21" xfId="0" applyFont="1" applyFill="1" applyBorder="1" applyAlignment="1">
      <alignment horizontal="center" vertical="center" wrapText="1"/>
    </xf>
    <xf numFmtId="0" fontId="24" fillId="32" borderId="56" xfId="0" applyFont="1" applyFill="1" applyBorder="1" applyAlignment="1">
      <alignment horizontal="center" vertical="center" wrapText="1"/>
    </xf>
    <xf numFmtId="0" fontId="24" fillId="32" borderId="16" xfId="0" applyFont="1" applyFill="1" applyBorder="1" applyAlignment="1">
      <alignment horizontal="center" vertical="center" wrapText="1"/>
    </xf>
    <xf numFmtId="1" fontId="4" fillId="29" borderId="146" xfId="0" applyNumberFormat="1" applyFont="1" applyFill="1" applyBorder="1" applyAlignment="1">
      <alignment horizontal="left" vertical="center" wrapText="1"/>
    </xf>
    <xf numFmtId="1" fontId="4" fillId="29" borderId="167" xfId="0" applyNumberFormat="1" applyFont="1" applyFill="1" applyBorder="1" applyAlignment="1">
      <alignment horizontal="left" vertical="center" wrapText="1"/>
    </xf>
    <xf numFmtId="1" fontId="4" fillId="29" borderId="182" xfId="0" applyNumberFormat="1" applyFont="1" applyFill="1" applyBorder="1" applyAlignment="1">
      <alignment horizontal="left" vertical="center" wrapText="1"/>
    </xf>
    <xf numFmtId="0" fontId="88" fillId="29" borderId="35" xfId="0" applyFont="1" applyFill="1" applyBorder="1" applyAlignment="1">
      <alignment horizontal="center" vertical="center"/>
    </xf>
    <xf numFmtId="0" fontId="88" fillId="29" borderId="54" xfId="0" applyFont="1" applyFill="1" applyBorder="1" applyAlignment="1">
      <alignment horizontal="center" vertical="center"/>
    </xf>
    <xf numFmtId="1" fontId="4" fillId="29" borderId="149" xfId="0" applyNumberFormat="1" applyFont="1" applyFill="1" applyBorder="1" applyAlignment="1">
      <alignment horizontal="left" vertical="center" wrapText="1"/>
    </xf>
    <xf numFmtId="1" fontId="4" fillId="29" borderId="93" xfId="0" applyNumberFormat="1" applyFont="1" applyFill="1" applyBorder="1" applyAlignment="1">
      <alignment horizontal="left" vertical="center" wrapText="1"/>
    </xf>
    <xf numFmtId="1" fontId="4" fillId="29" borderId="150" xfId="0" applyNumberFormat="1" applyFont="1" applyFill="1" applyBorder="1" applyAlignment="1">
      <alignment horizontal="left" vertical="center" wrapText="1"/>
    </xf>
    <xf numFmtId="0" fontId="88" fillId="29" borderId="98" xfId="0" applyFont="1" applyFill="1" applyBorder="1" applyAlignment="1">
      <alignment horizontal="center" vertical="center"/>
    </xf>
    <xf numFmtId="0" fontId="88" fillId="29" borderId="171" xfId="0" applyFont="1" applyFill="1" applyBorder="1" applyAlignment="1">
      <alignment horizontal="center" vertical="center"/>
    </xf>
    <xf numFmtId="0" fontId="103" fillId="28" borderId="129" xfId="0" applyFont="1" applyFill="1" applyBorder="1" applyAlignment="1">
      <alignment horizontal="center" vertical="center" wrapText="1"/>
    </xf>
    <xf numFmtId="0" fontId="103" fillId="28" borderId="130" xfId="0" applyFont="1" applyFill="1" applyBorder="1" applyAlignment="1">
      <alignment horizontal="center" vertical="center" wrapText="1"/>
    </xf>
    <xf numFmtId="1" fontId="6" fillId="17" borderId="49" xfId="0" applyNumberFormat="1" applyFont="1" applyFill="1" applyBorder="1" applyAlignment="1">
      <alignment horizontal="center" vertical="center" wrapText="1"/>
    </xf>
    <xf numFmtId="1" fontId="6" fillId="17" borderId="67" xfId="0" applyNumberFormat="1" applyFont="1" applyFill="1" applyBorder="1" applyAlignment="1">
      <alignment horizontal="center" vertical="center" wrapText="1"/>
    </xf>
    <xf numFmtId="1" fontId="6" fillId="17" borderId="56" xfId="0" applyNumberFormat="1" applyFont="1" applyFill="1" applyBorder="1" applyAlignment="1">
      <alignment horizontal="center" vertical="center" wrapText="1"/>
    </xf>
    <xf numFmtId="1" fontId="6" fillId="17" borderId="75" xfId="0" applyNumberFormat="1" applyFont="1" applyFill="1" applyBorder="1" applyAlignment="1">
      <alignment horizontal="center" vertical="center" wrapText="1"/>
    </xf>
    <xf numFmtId="1" fontId="93" fillId="20" borderId="99" xfId="0" applyNumberFormat="1" applyFont="1" applyFill="1" applyBorder="1" applyAlignment="1">
      <alignment horizontal="center" vertical="center"/>
    </xf>
    <xf numFmtId="0" fontId="71" fillId="20" borderId="1" xfId="0" applyFont="1" applyFill="1" applyBorder="1" applyAlignment="1">
      <alignment horizontal="center" vertical="center" wrapText="1"/>
    </xf>
    <xf numFmtId="0" fontId="71" fillId="20" borderId="51" xfId="0" applyFont="1" applyFill="1" applyBorder="1" applyAlignment="1">
      <alignment horizontal="center" vertical="center" wrapText="1"/>
    </xf>
    <xf numFmtId="0" fontId="71" fillId="20" borderId="20" xfId="0" applyFont="1" applyFill="1" applyBorder="1" applyAlignment="1">
      <alignment horizontal="center" vertical="center" wrapText="1"/>
    </xf>
    <xf numFmtId="0" fontId="71" fillId="20" borderId="44" xfId="0" applyFont="1" applyFill="1" applyBorder="1" applyAlignment="1">
      <alignment horizontal="center" vertical="center" wrapText="1"/>
    </xf>
    <xf numFmtId="0" fontId="71" fillId="20" borderId="15" xfId="0" applyFont="1" applyFill="1" applyBorder="1" applyAlignment="1">
      <alignment horizontal="center" vertical="center" wrapText="1"/>
    </xf>
    <xf numFmtId="0" fontId="71" fillId="20" borderId="45" xfId="0" applyFont="1" applyFill="1" applyBorder="1" applyAlignment="1">
      <alignment horizontal="center" vertical="center" wrapText="1"/>
    </xf>
    <xf numFmtId="1" fontId="93" fillId="20" borderId="120" xfId="0" applyNumberFormat="1" applyFont="1" applyFill="1" applyBorder="1" applyAlignment="1">
      <alignment horizontal="center" vertical="center"/>
    </xf>
    <xf numFmtId="1" fontId="92" fillId="20" borderId="164" xfId="0" applyNumberFormat="1" applyFont="1" applyFill="1" applyBorder="1" applyAlignment="1">
      <alignment horizontal="center" vertical="center" wrapText="1"/>
    </xf>
    <xf numFmtId="1" fontId="92" fillId="20" borderId="142" xfId="0" applyNumberFormat="1" applyFont="1" applyFill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111" fillId="0" borderId="109" xfId="0" applyFont="1" applyBorder="1" applyAlignment="1">
      <alignment horizontal="center" vertical="center"/>
    </xf>
    <xf numFmtId="0" fontId="111" fillId="0" borderId="110" xfId="0" applyFont="1" applyBorder="1" applyAlignment="1">
      <alignment horizontal="center" vertical="center"/>
    </xf>
    <xf numFmtId="1" fontId="72" fillId="34" borderId="74" xfId="0" applyNumberFormat="1" applyFont="1" applyFill="1" applyBorder="1" applyAlignment="1">
      <alignment horizontal="center" vertical="center"/>
    </xf>
    <xf numFmtId="1" fontId="72" fillId="34" borderId="31" xfId="0" applyNumberFormat="1" applyFont="1" applyFill="1" applyBorder="1" applyAlignment="1">
      <alignment horizontal="center" vertical="center"/>
    </xf>
    <xf numFmtId="0" fontId="7" fillId="34" borderId="35" xfId="0" applyFont="1" applyFill="1" applyBorder="1" applyAlignment="1">
      <alignment horizontal="center" vertical="center"/>
    </xf>
    <xf numFmtId="0" fontId="7" fillId="34" borderId="54" xfId="0" applyFont="1" applyFill="1" applyBorder="1" applyAlignment="1">
      <alignment horizontal="center" vertical="center"/>
    </xf>
    <xf numFmtId="0" fontId="88" fillId="0" borderId="35" xfId="0" applyFont="1" applyBorder="1" applyAlignment="1">
      <alignment horizontal="center" vertical="center"/>
    </xf>
    <xf numFmtId="0" fontId="88" fillId="0" borderId="54" xfId="0" applyFont="1" applyBorder="1" applyAlignment="1">
      <alignment horizontal="center" vertical="center"/>
    </xf>
    <xf numFmtId="1" fontId="72" fillId="26" borderId="74" xfId="0" applyNumberFormat="1" applyFont="1" applyFill="1" applyBorder="1" applyAlignment="1">
      <alignment horizontal="center" vertical="center"/>
    </xf>
    <xf numFmtId="1" fontId="72" fillId="26" borderId="31" xfId="0" applyNumberFormat="1" applyFont="1" applyFill="1" applyBorder="1" applyAlignment="1">
      <alignment horizontal="center" vertical="center"/>
    </xf>
    <xf numFmtId="0" fontId="88" fillId="0" borderId="157" xfId="0" applyFont="1" applyBorder="1" applyAlignment="1">
      <alignment horizontal="center" vertical="center"/>
    </xf>
    <xf numFmtId="0" fontId="88" fillId="0" borderId="158" xfId="0" applyFont="1" applyBorder="1" applyAlignment="1">
      <alignment horizontal="center" vertical="center"/>
    </xf>
    <xf numFmtId="0" fontId="2" fillId="0" borderId="117" xfId="0" applyFont="1" applyBorder="1" applyAlignment="1">
      <alignment horizontal="center" vertical="center" wrapText="1"/>
    </xf>
    <xf numFmtId="0" fontId="106" fillId="25" borderId="105" xfId="0" applyFont="1" applyFill="1" applyBorder="1" applyAlignment="1">
      <alignment horizontal="center" vertical="center" wrapText="1"/>
    </xf>
    <xf numFmtId="0" fontId="106" fillId="25" borderId="106" xfId="0" applyFont="1" applyFill="1" applyBorder="1" applyAlignment="1">
      <alignment horizontal="center" vertical="center" wrapText="1"/>
    </xf>
    <xf numFmtId="0" fontId="113" fillId="25" borderId="131" xfId="0" applyFont="1" applyFill="1" applyBorder="1" applyAlignment="1">
      <alignment horizontal="center" vertical="center" wrapText="1"/>
    </xf>
    <xf numFmtId="0" fontId="113" fillId="25" borderId="132" xfId="0" applyFont="1" applyFill="1" applyBorder="1" applyAlignment="1">
      <alignment horizontal="center" vertical="center" wrapText="1"/>
    </xf>
    <xf numFmtId="0" fontId="88" fillId="0" borderId="193" xfId="0" applyFont="1" applyBorder="1" applyAlignment="1">
      <alignment horizontal="center" vertical="center"/>
    </xf>
    <xf numFmtId="0" fontId="88" fillId="0" borderId="194" xfId="0" applyFont="1" applyBorder="1" applyAlignment="1">
      <alignment horizontal="center" vertical="center"/>
    </xf>
    <xf numFmtId="1" fontId="72" fillId="2" borderId="95" xfId="0" applyNumberFormat="1" applyFont="1" applyFill="1" applyBorder="1" applyAlignment="1">
      <alignment horizontal="center" vertical="center"/>
    </xf>
    <xf numFmtId="1" fontId="72" fillId="2" borderId="73" xfId="0" applyNumberFormat="1" applyFont="1" applyFill="1" applyBorder="1" applyAlignment="1">
      <alignment horizontal="center" vertical="center"/>
    </xf>
    <xf numFmtId="0" fontId="88" fillId="0" borderId="89" xfId="0" applyFont="1" applyBorder="1" applyAlignment="1">
      <alignment horizontal="center" vertical="center"/>
    </xf>
    <xf numFmtId="0" fontId="88" fillId="0" borderId="192" xfId="0" applyFont="1" applyBorder="1" applyAlignment="1">
      <alignment horizontal="center" vertical="center"/>
    </xf>
    <xf numFmtId="1" fontId="72" fillId="0" borderId="74" xfId="0" applyNumberFormat="1" applyFont="1" applyBorder="1" applyAlignment="1">
      <alignment horizontal="center" vertical="center"/>
    </xf>
    <xf numFmtId="1" fontId="72" fillId="0" borderId="31" xfId="0" applyNumberFormat="1" applyFont="1" applyBorder="1" applyAlignment="1">
      <alignment horizontal="center" vertical="center"/>
    </xf>
    <xf numFmtId="0" fontId="40" fillId="25" borderId="131" xfId="0" applyFont="1" applyFill="1" applyBorder="1" applyAlignment="1">
      <alignment horizontal="center" vertical="center" wrapText="1"/>
    </xf>
    <xf numFmtId="0" fontId="40" fillId="25" borderId="132" xfId="0" applyFont="1" applyFill="1" applyBorder="1" applyAlignment="1">
      <alignment horizontal="center" vertical="center" wrapText="1"/>
    </xf>
    <xf numFmtId="0" fontId="113" fillId="25" borderId="141" xfId="0" applyFont="1" applyFill="1" applyBorder="1" applyAlignment="1">
      <alignment horizontal="center" vertical="center" wrapText="1"/>
    </xf>
    <xf numFmtId="0" fontId="113" fillId="25" borderId="152" xfId="0" applyFont="1" applyFill="1" applyBorder="1" applyAlignment="1">
      <alignment horizontal="center" vertical="center" wrapText="1"/>
    </xf>
    <xf numFmtId="0" fontId="89" fillId="0" borderId="9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30" xfId="0" applyBorder="1" applyAlignment="1">
      <alignment horizontal="center" vertical="center" wrapText="1"/>
    </xf>
    <xf numFmtId="1" fontId="37" fillId="22" borderId="9" xfId="0" applyNumberFormat="1" applyFont="1" applyFill="1" applyBorder="1" applyAlignment="1">
      <alignment horizontal="center" vertical="center"/>
    </xf>
    <xf numFmtId="1" fontId="37" fillId="22" borderId="183" xfId="0" applyNumberFormat="1" applyFont="1" applyFill="1" applyBorder="1" applyAlignment="1">
      <alignment horizontal="center" vertical="center"/>
    </xf>
    <xf numFmtId="0" fontId="40" fillId="0" borderId="15" xfId="0" applyFont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 wrapText="1"/>
    </xf>
    <xf numFmtId="1" fontId="4" fillId="27" borderId="146" xfId="0" applyNumberFormat="1" applyFont="1" applyFill="1" applyBorder="1" applyAlignment="1">
      <alignment horizontal="left" vertical="center" wrapText="1"/>
    </xf>
    <xf numFmtId="1" fontId="4" fillId="27" borderId="167" xfId="0" applyNumberFormat="1" applyFont="1" applyFill="1" applyBorder="1" applyAlignment="1">
      <alignment horizontal="left" vertical="center" wrapText="1"/>
    </xf>
    <xf numFmtId="1" fontId="4" fillId="27" borderId="182" xfId="0" applyNumberFormat="1" applyFont="1" applyFill="1" applyBorder="1" applyAlignment="1">
      <alignment horizontal="left" vertical="center" wrapText="1"/>
    </xf>
    <xf numFmtId="0" fontId="88" fillId="27" borderId="35" xfId="0" applyFont="1" applyFill="1" applyBorder="1" applyAlignment="1">
      <alignment horizontal="center" vertical="center"/>
    </xf>
    <xf numFmtId="0" fontId="88" fillId="27" borderId="54" xfId="0" applyFont="1" applyFill="1" applyBorder="1" applyAlignment="1">
      <alignment horizontal="center" vertical="center"/>
    </xf>
    <xf numFmtId="1" fontId="4" fillId="27" borderId="149" xfId="0" applyNumberFormat="1" applyFont="1" applyFill="1" applyBorder="1" applyAlignment="1">
      <alignment horizontal="left" vertical="center" wrapText="1"/>
    </xf>
    <xf numFmtId="1" fontId="4" fillId="27" borderId="93" xfId="0" applyNumberFormat="1" applyFont="1" applyFill="1" applyBorder="1" applyAlignment="1">
      <alignment horizontal="left" vertical="center" wrapText="1"/>
    </xf>
    <xf numFmtId="1" fontId="4" fillId="27" borderId="150" xfId="0" applyNumberFormat="1" applyFont="1" applyFill="1" applyBorder="1" applyAlignment="1">
      <alignment horizontal="left" vertical="center" wrapText="1"/>
    </xf>
    <xf numFmtId="0" fontId="88" fillId="27" borderId="98" xfId="0" applyFont="1" applyFill="1" applyBorder="1" applyAlignment="1">
      <alignment horizontal="center" vertical="center"/>
    </xf>
    <xf numFmtId="0" fontId="88" fillId="27" borderId="171" xfId="0" applyFont="1" applyFill="1" applyBorder="1" applyAlignment="1">
      <alignment horizontal="center" vertical="center"/>
    </xf>
    <xf numFmtId="0" fontId="103" fillId="0" borderId="20" xfId="0" applyFont="1" applyBorder="1" applyAlignment="1">
      <alignment horizontal="center" vertical="center" wrapText="1"/>
    </xf>
    <xf numFmtId="0" fontId="103" fillId="0" borderId="44" xfId="0" applyFont="1" applyBorder="1" applyAlignment="1">
      <alignment horizontal="center" vertical="center" wrapText="1"/>
    </xf>
    <xf numFmtId="0" fontId="106" fillId="0" borderId="20" xfId="0" applyFont="1" applyBorder="1" applyAlignment="1">
      <alignment horizontal="center" vertical="center" wrapText="1"/>
    </xf>
    <xf numFmtId="0" fontId="106" fillId="0" borderId="44" xfId="0" applyFont="1" applyBorder="1" applyAlignment="1">
      <alignment horizontal="center" vertical="center" wrapText="1"/>
    </xf>
    <xf numFmtId="1" fontId="72" fillId="2" borderId="49" xfId="0" applyNumberFormat="1" applyFont="1" applyFill="1" applyBorder="1" applyAlignment="1">
      <alignment horizontal="center" vertical="center"/>
    </xf>
    <xf numFmtId="1" fontId="72" fillId="2" borderId="34" xfId="0" applyNumberFormat="1" applyFont="1" applyFill="1" applyBorder="1" applyAlignment="1">
      <alignment horizontal="center" vertical="center"/>
    </xf>
    <xf numFmtId="0" fontId="40" fillId="25" borderId="141" xfId="0" applyFont="1" applyFill="1" applyBorder="1" applyAlignment="1">
      <alignment horizontal="center" vertical="center" wrapText="1"/>
    </xf>
    <xf numFmtId="0" fontId="40" fillId="25" borderId="152" xfId="0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 wrapText="1"/>
    </xf>
    <xf numFmtId="0" fontId="40" fillId="0" borderId="44" xfId="0" applyFont="1" applyBorder="1" applyAlignment="1">
      <alignment horizontal="center" vertical="center" wrapText="1"/>
    </xf>
    <xf numFmtId="0" fontId="24" fillId="23" borderId="115" xfId="0" applyFont="1" applyFill="1" applyBorder="1" applyAlignment="1">
      <alignment horizontal="center" vertical="center" wrapText="1"/>
    </xf>
    <xf numFmtId="0" fontId="24" fillId="23" borderId="8" xfId="0" applyFont="1" applyFill="1" applyBorder="1" applyAlignment="1">
      <alignment horizontal="center" vertical="center" wrapText="1"/>
    </xf>
    <xf numFmtId="0" fontId="8" fillId="23" borderId="8" xfId="0" applyFont="1" applyFill="1" applyBorder="1" applyAlignment="1">
      <alignment horizontal="center" vertical="center"/>
    </xf>
    <xf numFmtId="0" fontId="70" fillId="3" borderId="144" xfId="0" applyFont="1" applyFill="1" applyBorder="1" applyAlignment="1">
      <alignment horizontal="center" vertical="center"/>
    </xf>
    <xf numFmtId="0" fontId="70" fillId="3" borderId="145" xfId="0" applyFont="1" applyFill="1" applyBorder="1" applyAlignment="1">
      <alignment horizontal="center" vertical="center"/>
    </xf>
    <xf numFmtId="0" fontId="70" fillId="3" borderId="131" xfId="0" applyFont="1" applyFill="1" applyBorder="1" applyAlignment="1">
      <alignment horizontal="center" vertical="center"/>
    </xf>
    <xf numFmtId="0" fontId="70" fillId="3" borderId="127" xfId="0" applyFont="1" applyFill="1" applyBorder="1" applyAlignment="1">
      <alignment horizontal="center" vertical="center"/>
    </xf>
    <xf numFmtId="0" fontId="39" fillId="8" borderId="147" xfId="0" applyFont="1" applyFill="1" applyBorder="1" applyAlignment="1">
      <alignment horizontal="center" vertical="center" wrapText="1"/>
    </xf>
    <xf numFmtId="0" fontId="39" fillId="8" borderId="17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8" borderId="94" xfId="0" applyFont="1" applyFill="1" applyBorder="1" applyAlignment="1">
      <alignment horizontal="center" vertical="center" wrapText="1"/>
    </xf>
    <xf numFmtId="0" fontId="6" fillId="8" borderId="148" xfId="0" applyFont="1" applyFill="1" applyBorder="1" applyAlignment="1">
      <alignment horizontal="center" vertical="center" wrapText="1"/>
    </xf>
    <xf numFmtId="0" fontId="103" fillId="8" borderId="9" xfId="0" applyFont="1" applyFill="1" applyBorder="1" applyAlignment="1">
      <alignment horizontal="center" vertical="center" wrapText="1"/>
    </xf>
    <xf numFmtId="0" fontId="103" fillId="8" borderId="134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24" fillId="24" borderId="55" xfId="0" applyFont="1" applyFill="1" applyBorder="1" applyAlignment="1">
      <alignment horizontal="center" vertical="center" wrapText="1"/>
    </xf>
    <xf numFmtId="0" fontId="24" fillId="24" borderId="91" xfId="0" applyFont="1" applyFill="1" applyBorder="1" applyAlignment="1">
      <alignment horizontal="center" vertical="center" wrapText="1"/>
    </xf>
    <xf numFmtId="0" fontId="24" fillId="24" borderId="49" xfId="0" applyFont="1" applyFill="1" applyBorder="1" applyAlignment="1">
      <alignment horizontal="center" vertical="center" wrapText="1"/>
    </xf>
    <xf numFmtId="0" fontId="24" fillId="24" borderId="67" xfId="0" applyFont="1" applyFill="1" applyBorder="1" applyAlignment="1">
      <alignment horizontal="center" vertical="center" wrapText="1"/>
    </xf>
    <xf numFmtId="0" fontId="8" fillId="24" borderId="25" xfId="0" applyFont="1" applyFill="1" applyBorder="1" applyAlignment="1">
      <alignment horizontal="center" vertical="center"/>
    </xf>
    <xf numFmtId="0" fontId="8" fillId="24" borderId="92" xfId="0" applyFont="1" applyFill="1" applyBorder="1" applyAlignment="1">
      <alignment horizontal="center" vertical="center"/>
    </xf>
    <xf numFmtId="0" fontId="8" fillId="24" borderId="119" xfId="0" applyFont="1" applyFill="1" applyBorder="1" applyAlignment="1">
      <alignment horizontal="center" vertical="center"/>
    </xf>
    <xf numFmtId="0" fontId="24" fillId="31" borderId="10" xfId="0" applyFont="1" applyFill="1" applyBorder="1" applyAlignment="1">
      <alignment horizontal="center" vertical="center"/>
    </xf>
    <xf numFmtId="0" fontId="24" fillId="31" borderId="58" xfId="0" applyFont="1" applyFill="1" applyBorder="1" applyAlignment="1">
      <alignment horizontal="center" vertical="center"/>
    </xf>
    <xf numFmtId="0" fontId="8" fillId="24" borderId="136" xfId="0" applyFont="1" applyFill="1" applyBorder="1" applyAlignment="1">
      <alignment horizontal="center" vertical="center"/>
    </xf>
    <xf numFmtId="0" fontId="8" fillId="24" borderId="135" xfId="0" applyFont="1" applyFill="1" applyBorder="1" applyAlignment="1">
      <alignment horizontal="center" vertical="center"/>
    </xf>
    <xf numFmtId="0" fontId="8" fillId="24" borderId="137" xfId="0" applyFont="1" applyFill="1" applyBorder="1" applyAlignment="1">
      <alignment horizontal="center" vertical="center"/>
    </xf>
    <xf numFmtId="2" fontId="29" fillId="7" borderId="5" xfId="0" applyNumberFormat="1" applyFont="1" applyFill="1" applyBorder="1" applyAlignment="1">
      <alignment horizontal="center" vertical="center" wrapText="1"/>
    </xf>
    <xf numFmtId="2" fontId="29" fillId="7" borderId="23" xfId="0" applyNumberFormat="1" applyFont="1" applyFill="1" applyBorder="1" applyAlignment="1">
      <alignment horizontal="center" vertical="center" wrapText="1"/>
    </xf>
    <xf numFmtId="3" fontId="1" fillId="7" borderId="3" xfId="0" applyNumberFormat="1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1" fillId="20" borderId="107" xfId="0" applyFont="1" applyFill="1" applyBorder="1" applyAlignment="1">
      <alignment horizontal="left" vertical="center"/>
    </xf>
    <xf numFmtId="0" fontId="11" fillId="20" borderId="101" xfId="0" applyFont="1" applyFill="1" applyBorder="1" applyAlignment="1">
      <alignment horizontal="left" vertical="center"/>
    </xf>
    <xf numFmtId="0" fontId="11" fillId="20" borderId="109" xfId="0" applyFont="1" applyFill="1" applyBorder="1" applyAlignment="1">
      <alignment horizontal="left" vertical="center"/>
    </xf>
    <xf numFmtId="0" fontId="11" fillId="20" borderId="103" xfId="0" applyFont="1" applyFill="1" applyBorder="1" applyAlignment="1">
      <alignment horizontal="left" vertical="center"/>
    </xf>
    <xf numFmtId="0" fontId="11" fillId="13" borderId="9" xfId="0" applyFont="1" applyFill="1" applyBorder="1" applyAlignment="1">
      <alignment vertical="center"/>
    </xf>
    <xf numFmtId="0" fontId="0" fillId="0" borderId="94" xfId="0" applyBorder="1" applyAlignment="1">
      <alignment vertical="center"/>
    </xf>
    <xf numFmtId="0" fontId="0" fillId="0" borderId="148" xfId="0" applyBorder="1" applyAlignment="1">
      <alignment vertical="center"/>
    </xf>
    <xf numFmtId="0" fontId="24" fillId="32" borderId="55" xfId="0" applyFont="1" applyFill="1" applyBorder="1" applyAlignment="1">
      <alignment horizontal="center" vertical="center" wrapText="1"/>
    </xf>
    <xf numFmtId="0" fontId="24" fillId="32" borderId="3" xfId="0" applyFont="1" applyFill="1" applyBorder="1" applyAlignment="1">
      <alignment horizontal="center" vertical="center" wrapText="1"/>
    </xf>
    <xf numFmtId="0" fontId="11" fillId="20" borderId="26" xfId="0" applyFont="1" applyFill="1" applyBorder="1" applyAlignment="1">
      <alignment horizontal="left" vertical="center" wrapText="1"/>
    </xf>
    <xf numFmtId="0" fontId="11" fillId="20" borderId="78" xfId="0" applyFont="1" applyFill="1" applyBorder="1" applyAlignment="1">
      <alignment horizontal="left" vertical="center" wrapText="1"/>
    </xf>
    <xf numFmtId="0" fontId="54" fillId="20" borderId="1" xfId="0" applyFont="1" applyFill="1" applyBorder="1" applyAlignment="1">
      <alignment horizontal="center" vertical="center" wrapText="1"/>
    </xf>
    <xf numFmtId="0" fontId="54" fillId="20" borderId="51" xfId="0" applyFont="1" applyFill="1" applyBorder="1" applyAlignment="1">
      <alignment horizontal="center" vertical="center" wrapText="1"/>
    </xf>
    <xf numFmtId="0" fontId="54" fillId="20" borderId="15" xfId="0" applyFont="1" applyFill="1" applyBorder="1" applyAlignment="1">
      <alignment horizontal="center" vertical="center" wrapText="1"/>
    </xf>
    <xf numFmtId="0" fontId="54" fillId="20" borderId="45" xfId="0" applyFont="1" applyFill="1" applyBorder="1" applyAlignment="1">
      <alignment horizontal="center" vertical="center" wrapText="1"/>
    </xf>
    <xf numFmtId="0" fontId="73" fillId="20" borderId="88" xfId="0" applyFont="1" applyFill="1" applyBorder="1" applyAlignment="1">
      <alignment horizontal="center" vertical="center"/>
    </xf>
    <xf numFmtId="0" fontId="73" fillId="20" borderId="43" xfId="0" applyFont="1" applyFill="1" applyBorder="1" applyAlignment="1">
      <alignment horizontal="center" vertical="center"/>
    </xf>
    <xf numFmtId="0" fontId="24" fillId="2" borderId="115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/>
    </xf>
    <xf numFmtId="168" fontId="73" fillId="2" borderId="18" xfId="0" applyNumberFormat="1" applyFont="1" applyFill="1" applyBorder="1" applyAlignment="1">
      <alignment horizontal="center" vertical="center"/>
    </xf>
    <xf numFmtId="168" fontId="73" fillId="2" borderId="108" xfId="0" applyNumberFormat="1" applyFont="1" applyFill="1" applyBorder="1" applyAlignment="1">
      <alignment horizontal="center" vertical="center"/>
    </xf>
    <xf numFmtId="168" fontId="71" fillId="2" borderId="137" xfId="0" applyNumberFormat="1" applyFont="1" applyFill="1" applyBorder="1" applyAlignment="1">
      <alignment horizontal="center" vertical="center"/>
    </xf>
    <xf numFmtId="168" fontId="71" fillId="2" borderId="143" xfId="0" applyNumberFormat="1" applyFont="1" applyFill="1" applyBorder="1" applyAlignment="1">
      <alignment horizontal="center" vertical="center"/>
    </xf>
    <xf numFmtId="168" fontId="71" fillId="2" borderId="122" xfId="0" applyNumberFormat="1" applyFont="1" applyFill="1" applyBorder="1" applyAlignment="1">
      <alignment horizontal="center" vertical="center"/>
    </xf>
    <xf numFmtId="168" fontId="73" fillId="2" borderId="122" xfId="0" applyNumberFormat="1" applyFont="1" applyFill="1" applyBorder="1" applyAlignment="1">
      <alignment horizontal="center" vertical="center"/>
    </xf>
    <xf numFmtId="168" fontId="73" fillId="2" borderId="143" xfId="0" applyNumberFormat="1" applyFont="1" applyFill="1" applyBorder="1" applyAlignment="1">
      <alignment horizontal="center" vertical="center"/>
    </xf>
    <xf numFmtId="0" fontId="70" fillId="3" borderId="122" xfId="0" applyFont="1" applyFill="1" applyBorder="1" applyAlignment="1">
      <alignment horizontal="center" vertical="center"/>
    </xf>
    <xf numFmtId="0" fontId="70" fillId="3" borderId="143" xfId="0" applyFont="1" applyFill="1" applyBorder="1" applyAlignment="1">
      <alignment horizontal="center" vertical="center"/>
    </xf>
    <xf numFmtId="0" fontId="1" fillId="33" borderId="137" xfId="0" applyFont="1" applyFill="1" applyBorder="1" applyAlignment="1">
      <alignment horizontal="center" vertical="center"/>
    </xf>
    <xf numFmtId="0" fontId="1" fillId="33" borderId="143" xfId="0" applyFont="1" applyFill="1" applyBorder="1" applyAlignment="1">
      <alignment horizontal="center" vertical="center"/>
    </xf>
    <xf numFmtId="0" fontId="110" fillId="2" borderId="118" xfId="0" applyFont="1" applyFill="1" applyBorder="1" applyAlignment="1">
      <alignment horizontal="center" vertical="center"/>
    </xf>
    <xf numFmtId="0" fontId="110" fillId="2" borderId="111" xfId="0" applyFont="1" applyFill="1" applyBorder="1" applyAlignment="1">
      <alignment horizontal="center" vertical="center"/>
    </xf>
    <xf numFmtId="168" fontId="73" fillId="2" borderId="131" xfId="0" applyNumberFormat="1" applyFont="1" applyFill="1" applyBorder="1" applyAlignment="1">
      <alignment horizontal="center" vertical="center"/>
    </xf>
    <xf numFmtId="168" fontId="73" fillId="2" borderId="132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08" xfId="0" applyFont="1" applyFill="1" applyBorder="1" applyAlignment="1">
      <alignment horizontal="center" vertical="center"/>
    </xf>
    <xf numFmtId="0" fontId="4" fillId="19" borderId="144" xfId="0" applyFont="1" applyFill="1" applyBorder="1" applyAlignment="1">
      <alignment horizontal="center" vertical="center" wrapText="1"/>
    </xf>
    <xf numFmtId="0" fontId="4" fillId="19" borderId="145" xfId="0" applyFont="1" applyFill="1" applyBorder="1" applyAlignment="1">
      <alignment horizontal="center" vertical="center" wrapText="1"/>
    </xf>
    <xf numFmtId="0" fontId="4" fillId="19" borderId="20" xfId="0" applyFont="1" applyFill="1" applyBorder="1" applyAlignment="1">
      <alignment horizontal="center" vertical="center" wrapText="1"/>
    </xf>
    <xf numFmtId="0" fontId="4" fillId="19" borderId="44" xfId="0" applyFont="1" applyFill="1" applyBorder="1" applyAlignment="1">
      <alignment horizontal="center" vertical="center" wrapText="1"/>
    </xf>
    <xf numFmtId="0" fontId="4" fillId="19" borderId="146" xfId="0" applyFont="1" applyFill="1" applyBorder="1" applyAlignment="1">
      <alignment horizontal="center" vertical="center" wrapText="1"/>
    </xf>
    <xf numFmtId="0" fontId="4" fillId="19" borderId="116" xfId="0" applyFont="1" applyFill="1" applyBorder="1" applyAlignment="1">
      <alignment horizontal="center" vertical="center" wrapText="1"/>
    </xf>
    <xf numFmtId="0" fontId="4" fillId="2" borderId="131" xfId="0" applyFont="1" applyFill="1" applyBorder="1" applyAlignment="1">
      <alignment horizontal="center" vertical="center"/>
    </xf>
    <xf numFmtId="0" fontId="4" fillId="2" borderId="132" xfId="0" applyFont="1" applyFill="1" applyBorder="1" applyAlignment="1">
      <alignment horizontal="center" vertical="center"/>
    </xf>
    <xf numFmtId="0" fontId="54" fillId="2" borderId="18" xfId="0" applyFont="1" applyFill="1" applyBorder="1" applyAlignment="1">
      <alignment horizontal="center" vertical="center"/>
    </xf>
    <xf numFmtId="0" fontId="54" fillId="2" borderId="108" xfId="0" applyFont="1" applyFill="1" applyBorder="1" applyAlignment="1">
      <alignment horizontal="center" vertical="center"/>
    </xf>
    <xf numFmtId="0" fontId="24" fillId="16" borderId="144" xfId="0" applyFont="1" applyFill="1" applyBorder="1" applyAlignment="1">
      <alignment horizontal="center" vertical="center" wrapText="1"/>
    </xf>
    <xf numFmtId="0" fontId="24" fillId="16" borderId="145" xfId="0" applyFont="1" applyFill="1" applyBorder="1" applyAlignment="1">
      <alignment horizontal="center" vertical="center" wrapText="1"/>
    </xf>
    <xf numFmtId="0" fontId="24" fillId="16" borderId="20" xfId="0" applyFont="1" applyFill="1" applyBorder="1" applyAlignment="1">
      <alignment horizontal="center" vertical="center" wrapText="1"/>
    </xf>
    <xf numFmtId="0" fontId="24" fillId="16" borderId="44" xfId="0" applyFont="1" applyFill="1" applyBorder="1" applyAlignment="1">
      <alignment horizontal="center" vertical="center" wrapText="1"/>
    </xf>
    <xf numFmtId="0" fontId="4" fillId="2" borderId="146" xfId="0" applyFont="1" applyFill="1" applyBorder="1" applyAlignment="1">
      <alignment horizontal="center" vertical="center"/>
    </xf>
    <xf numFmtId="0" fontId="4" fillId="2" borderId="116" xfId="0" applyFont="1" applyFill="1" applyBorder="1" applyAlignment="1">
      <alignment horizontal="center" vertical="center"/>
    </xf>
    <xf numFmtId="0" fontId="24" fillId="7" borderId="172" xfId="0" applyFont="1" applyFill="1" applyBorder="1" applyAlignment="1">
      <alignment horizontal="center" vertical="center" wrapText="1"/>
    </xf>
    <xf numFmtId="0" fontId="24" fillId="7" borderId="137" xfId="0" applyFont="1" applyFill="1" applyBorder="1" applyAlignment="1">
      <alignment horizontal="center" vertical="center" wrapText="1"/>
    </xf>
    <xf numFmtId="1" fontId="9" fillId="7" borderId="136" xfId="0" applyNumberFormat="1" applyFont="1" applyFill="1" applyBorder="1" applyAlignment="1">
      <alignment horizontal="center" vertical="center"/>
    </xf>
    <xf numFmtId="1" fontId="9" fillId="7" borderId="135" xfId="0" applyNumberFormat="1" applyFont="1" applyFill="1" applyBorder="1" applyAlignment="1">
      <alignment horizontal="center" vertical="center"/>
    </xf>
    <xf numFmtId="1" fontId="9" fillId="7" borderId="137" xfId="0" applyNumberFormat="1" applyFont="1" applyFill="1" applyBorder="1" applyAlignment="1">
      <alignment horizontal="center" vertical="center"/>
    </xf>
    <xf numFmtId="1" fontId="86" fillId="3" borderId="166" xfId="0" applyNumberFormat="1" applyFont="1" applyFill="1" applyBorder="1" applyAlignment="1">
      <alignment horizontal="center" vertical="center" wrapText="1"/>
    </xf>
    <xf numFmtId="1" fontId="86" fillId="3" borderId="154" xfId="0" applyNumberFormat="1" applyFont="1" applyFill="1" applyBorder="1" applyAlignment="1">
      <alignment horizontal="center" vertical="center" wrapText="1"/>
    </xf>
    <xf numFmtId="1" fontId="86" fillId="3" borderId="49" xfId="0" applyNumberFormat="1" applyFont="1" applyFill="1" applyBorder="1" applyAlignment="1">
      <alignment horizontal="center" vertical="center" wrapText="1"/>
    </xf>
    <xf numFmtId="1" fontId="86" fillId="3" borderId="67" xfId="0" applyNumberFormat="1" applyFont="1" applyFill="1" applyBorder="1" applyAlignment="1">
      <alignment horizontal="center" vertical="center" wrapText="1"/>
    </xf>
    <xf numFmtId="1" fontId="86" fillId="3" borderId="56" xfId="0" applyNumberFormat="1" applyFont="1" applyFill="1" applyBorder="1" applyAlignment="1">
      <alignment horizontal="center" vertical="center" wrapText="1"/>
    </xf>
    <xf numFmtId="1" fontId="86" fillId="3" borderId="75" xfId="0" applyNumberFormat="1" applyFont="1" applyFill="1" applyBorder="1" applyAlignment="1">
      <alignment horizontal="center" vertical="center" wrapText="1"/>
    </xf>
    <xf numFmtId="1" fontId="39" fillId="18" borderId="136" xfId="0" applyNumberFormat="1" applyFont="1" applyFill="1" applyBorder="1" applyAlignment="1">
      <alignment horizontal="center" vertical="center"/>
    </xf>
    <xf numFmtId="1" fontId="39" fillId="18" borderId="135" xfId="0" applyNumberFormat="1" applyFont="1" applyFill="1" applyBorder="1" applyAlignment="1">
      <alignment horizontal="center" vertical="center"/>
    </xf>
    <xf numFmtId="1" fontId="39" fillId="18" borderId="137" xfId="0" applyNumberFormat="1" applyFont="1" applyFill="1" applyBorder="1" applyAlignment="1">
      <alignment horizontal="center" vertical="center"/>
    </xf>
    <xf numFmtId="167" fontId="58" fillId="18" borderId="156" xfId="0" quotePrefix="1" applyNumberFormat="1" applyFont="1" applyFill="1" applyBorder="1" applyAlignment="1">
      <alignment horizontal="center" vertical="center" textRotation="90"/>
    </xf>
    <xf numFmtId="167" fontId="58" fillId="18" borderId="22" xfId="0" quotePrefix="1" applyNumberFormat="1" applyFont="1" applyFill="1" applyBorder="1" applyAlignment="1">
      <alignment horizontal="center" vertical="center" textRotation="90"/>
    </xf>
    <xf numFmtId="167" fontId="58" fillId="18" borderId="23" xfId="0" quotePrefix="1" applyNumberFormat="1" applyFont="1" applyFill="1" applyBorder="1" applyAlignment="1">
      <alignment horizontal="center" vertical="center" textRotation="90"/>
    </xf>
    <xf numFmtId="2" fontId="39" fillId="18" borderId="20" xfId="0" applyNumberFormat="1" applyFont="1" applyFill="1" applyBorder="1" applyAlignment="1">
      <alignment horizontal="left" vertical="center"/>
    </xf>
    <xf numFmtId="2" fontId="39" fillId="18" borderId="44" xfId="0" applyNumberFormat="1" applyFont="1" applyFill="1" applyBorder="1" applyAlignment="1">
      <alignment horizontal="left" vertical="center"/>
    </xf>
    <xf numFmtId="1" fontId="51" fillId="8" borderId="131" xfId="0" applyNumberFormat="1" applyFont="1" applyFill="1" applyBorder="1" applyAlignment="1">
      <alignment horizontal="center" vertical="center"/>
    </xf>
    <xf numFmtId="1" fontId="51" fillId="8" borderId="135" xfId="0" applyNumberFormat="1" applyFont="1" applyFill="1" applyBorder="1" applyAlignment="1">
      <alignment horizontal="center" vertical="center"/>
    </xf>
    <xf numFmtId="1" fontId="51" fillId="8" borderId="137" xfId="0" applyNumberFormat="1" applyFont="1" applyFill="1" applyBorder="1" applyAlignment="1">
      <alignment horizontal="center" vertical="center"/>
    </xf>
    <xf numFmtId="176" fontId="4" fillId="15" borderId="136" xfId="0" applyNumberFormat="1" applyFont="1" applyFill="1" applyBorder="1" applyAlignment="1">
      <alignment horizontal="center" vertical="center"/>
    </xf>
    <xf numFmtId="176" fontId="4" fillId="15" borderId="137" xfId="0" applyNumberFormat="1" applyFont="1" applyFill="1" applyBorder="1" applyAlignment="1">
      <alignment horizontal="center" vertical="center"/>
    </xf>
    <xf numFmtId="1" fontId="4" fillId="15" borderId="136" xfId="0" applyNumberFormat="1" applyFont="1" applyFill="1" applyBorder="1" applyAlignment="1">
      <alignment horizontal="center" vertical="center" wrapText="1"/>
    </xf>
    <xf numFmtId="1" fontId="4" fillId="15" borderId="127" xfId="0" applyNumberFormat="1" applyFont="1" applyFill="1" applyBorder="1" applyAlignment="1">
      <alignment horizontal="center" vertical="center" wrapText="1"/>
    </xf>
    <xf numFmtId="171" fontId="4" fillId="15" borderId="136" xfId="0" applyNumberFormat="1" applyFont="1" applyFill="1" applyBorder="1" applyAlignment="1">
      <alignment horizontal="center" vertical="center"/>
    </xf>
    <xf numFmtId="171" fontId="4" fillId="15" borderId="137" xfId="0" applyNumberFormat="1" applyFont="1" applyFill="1" applyBorder="1" applyAlignment="1">
      <alignment horizontal="center" vertical="center"/>
    </xf>
    <xf numFmtId="0" fontId="1" fillId="5" borderId="174" xfId="0" applyFont="1" applyFill="1" applyBorder="1" applyAlignment="1">
      <alignment horizontal="center" vertical="center"/>
    </xf>
    <xf numFmtId="0" fontId="1" fillId="5" borderId="60" xfId="0" applyFont="1" applyFill="1" applyBorder="1" applyAlignment="1">
      <alignment horizontal="center" vertical="center"/>
    </xf>
    <xf numFmtId="0" fontId="1" fillId="5" borderId="175" xfId="0" applyFont="1" applyFill="1" applyBorder="1" applyAlignment="1">
      <alignment horizontal="center" vertical="center"/>
    </xf>
    <xf numFmtId="2" fontId="12" fillId="4" borderId="173" xfId="0" applyNumberFormat="1" applyFont="1" applyFill="1" applyBorder="1" applyAlignment="1">
      <alignment horizontal="center" vertical="center" wrapText="1"/>
    </xf>
    <xf numFmtId="2" fontId="12" fillId="4" borderId="61" xfId="0" applyNumberFormat="1" applyFont="1" applyFill="1" applyBorder="1" applyAlignment="1">
      <alignment horizontal="center" vertical="center" wrapText="1"/>
    </xf>
    <xf numFmtId="1" fontId="51" fillId="14" borderId="129" xfId="0" applyNumberFormat="1" applyFont="1" applyFill="1" applyBorder="1" applyAlignment="1">
      <alignment horizontal="center" vertical="center"/>
    </xf>
    <xf numFmtId="1" fontId="51" fillId="14" borderId="92" xfId="0" applyNumberFormat="1" applyFont="1" applyFill="1" applyBorder="1" applyAlignment="1">
      <alignment horizontal="center" vertical="center"/>
    </xf>
    <xf numFmtId="1" fontId="51" fillId="14" borderId="119" xfId="0" applyNumberFormat="1" applyFont="1" applyFill="1" applyBorder="1" applyAlignment="1">
      <alignment horizontal="center" vertical="center"/>
    </xf>
    <xf numFmtId="2" fontId="51" fillId="14" borderId="129" xfId="0" applyNumberFormat="1" applyFont="1" applyFill="1" applyBorder="1" applyAlignment="1">
      <alignment horizontal="center" vertical="center"/>
    </xf>
    <xf numFmtId="2" fontId="51" fillId="14" borderId="126" xfId="0" applyNumberFormat="1" applyFont="1" applyFill="1" applyBorder="1" applyAlignment="1">
      <alignment horizontal="center" vertical="center"/>
    </xf>
    <xf numFmtId="0" fontId="51" fillId="14" borderId="129" xfId="0" applyFont="1" applyFill="1" applyBorder="1" applyAlignment="1">
      <alignment horizontal="center" vertical="center" wrapText="1"/>
    </xf>
    <xf numFmtId="0" fontId="51" fillId="14" borderId="126" xfId="0" applyFont="1" applyFill="1" applyBorder="1" applyAlignment="1">
      <alignment horizontal="center" vertical="center" wrapText="1"/>
    </xf>
    <xf numFmtId="1" fontId="39" fillId="18" borderId="164" xfId="0" applyNumberFormat="1" applyFont="1" applyFill="1" applyBorder="1" applyAlignment="1">
      <alignment horizontal="center" vertical="center"/>
    </xf>
    <xf numFmtId="1" fontId="39" fillId="18" borderId="104" xfId="0" applyNumberFormat="1" applyFont="1" applyFill="1" applyBorder="1" applyAlignment="1">
      <alignment horizontal="center" vertical="center"/>
    </xf>
    <xf numFmtId="1" fontId="39" fillId="18" borderId="142" xfId="0" applyNumberFormat="1" applyFont="1" applyFill="1" applyBorder="1" applyAlignment="1">
      <alignment horizontal="center" vertical="center"/>
    </xf>
    <xf numFmtId="2" fontId="82" fillId="18" borderId="15" xfId="0" applyNumberFormat="1" applyFont="1" applyFill="1" applyBorder="1" applyAlignment="1">
      <alignment horizontal="center" vertical="center"/>
    </xf>
    <xf numFmtId="2" fontId="82" fillId="18" borderId="45" xfId="0" applyNumberFormat="1" applyFont="1" applyFill="1" applyBorder="1" applyAlignment="1">
      <alignment horizontal="center" vertical="center"/>
    </xf>
    <xf numFmtId="1" fontId="18" fillId="16" borderId="131" xfId="0" applyNumberFormat="1" applyFont="1" applyFill="1" applyBorder="1" applyAlignment="1">
      <alignment horizontal="right" vertical="center"/>
    </xf>
    <xf numFmtId="1" fontId="18" fillId="16" borderId="135" xfId="0" applyNumberFormat="1" applyFont="1" applyFill="1" applyBorder="1" applyAlignment="1">
      <alignment horizontal="right" vertical="center"/>
    </xf>
    <xf numFmtId="1" fontId="18" fillId="16" borderId="127" xfId="0" applyNumberFormat="1" applyFont="1" applyFill="1" applyBorder="1" applyAlignment="1">
      <alignment horizontal="right" vertical="center"/>
    </xf>
    <xf numFmtId="172" fontId="24" fillId="12" borderId="9" xfId="0" applyNumberFormat="1" applyFont="1" applyFill="1" applyBorder="1" applyAlignment="1">
      <alignment horizontal="center" vertical="center"/>
    </xf>
    <xf numFmtId="172" fontId="24" fillId="12" borderId="17" xfId="0" applyNumberFormat="1" applyFont="1" applyFill="1" applyBorder="1" applyAlignment="1">
      <alignment horizontal="center" vertical="center"/>
    </xf>
    <xf numFmtId="175" fontId="24" fillId="12" borderId="9" xfId="0" applyNumberFormat="1" applyFont="1" applyFill="1" applyBorder="1" applyAlignment="1">
      <alignment horizontal="center" vertical="center"/>
    </xf>
    <xf numFmtId="175" fontId="24" fillId="12" borderId="17" xfId="0" applyNumberFormat="1" applyFont="1" applyFill="1" applyBorder="1" applyAlignment="1">
      <alignment horizontal="center" vertical="center"/>
    </xf>
    <xf numFmtId="1" fontId="18" fillId="16" borderId="129" xfId="0" applyNumberFormat="1" applyFont="1" applyFill="1" applyBorder="1" applyAlignment="1">
      <alignment horizontal="right" vertical="center"/>
    </xf>
    <xf numFmtId="1" fontId="18" fillId="16" borderId="92" xfId="0" applyNumberFormat="1" applyFont="1" applyFill="1" applyBorder="1" applyAlignment="1">
      <alignment horizontal="right" vertical="center"/>
    </xf>
    <xf numFmtId="1" fontId="18" fillId="16" borderId="126" xfId="0" applyNumberFormat="1" applyFont="1" applyFill="1" applyBorder="1" applyAlignment="1">
      <alignment horizontal="right" vertical="center"/>
    </xf>
    <xf numFmtId="1" fontId="51" fillId="8" borderId="141" xfId="0" applyNumberFormat="1" applyFont="1" applyFill="1" applyBorder="1" applyAlignment="1">
      <alignment horizontal="center" vertical="center"/>
    </xf>
    <xf numFmtId="1" fontId="51" fillId="8" borderId="104" xfId="0" applyNumberFormat="1" applyFont="1" applyFill="1" applyBorder="1" applyAlignment="1">
      <alignment horizontal="center" vertical="center"/>
    </xf>
    <xf numFmtId="1" fontId="51" fillId="8" borderId="142" xfId="0" applyNumberFormat="1" applyFont="1" applyFill="1" applyBorder="1" applyAlignment="1">
      <alignment horizontal="center" vertical="center"/>
    </xf>
    <xf numFmtId="171" fontId="4" fillId="15" borderId="164" xfId="0" applyNumberFormat="1" applyFont="1" applyFill="1" applyBorder="1" applyAlignment="1">
      <alignment horizontal="center" vertical="center"/>
    </xf>
    <xf numFmtId="171" fontId="4" fillId="15" borderId="142" xfId="0" applyNumberFormat="1" applyFont="1" applyFill="1" applyBorder="1" applyAlignment="1">
      <alignment horizontal="center" vertical="center"/>
    </xf>
    <xf numFmtId="1" fontId="4" fillId="15" borderId="164" xfId="0" applyNumberFormat="1" applyFont="1" applyFill="1" applyBorder="1" applyAlignment="1">
      <alignment horizontal="center" vertical="center" wrapText="1"/>
    </xf>
    <xf numFmtId="1" fontId="4" fillId="15" borderId="128" xfId="0" applyNumberFormat="1" applyFont="1" applyFill="1" applyBorder="1" applyAlignment="1">
      <alignment horizontal="center" vertical="center" wrapText="1"/>
    </xf>
    <xf numFmtId="1" fontId="18" fillId="16" borderId="141" xfId="0" applyNumberFormat="1" applyFont="1" applyFill="1" applyBorder="1" applyAlignment="1">
      <alignment horizontal="right" vertical="center"/>
    </xf>
    <xf numFmtId="1" fontId="18" fillId="16" borderId="104" xfId="0" applyNumberFormat="1" applyFont="1" applyFill="1" applyBorder="1" applyAlignment="1">
      <alignment horizontal="right" vertical="center"/>
    </xf>
    <xf numFmtId="1" fontId="18" fillId="16" borderId="142" xfId="0" applyNumberFormat="1" applyFont="1" applyFill="1" applyBorder="1" applyAlignment="1">
      <alignment horizontal="right" vertical="center"/>
    </xf>
    <xf numFmtId="1" fontId="55" fillId="16" borderId="131" xfId="0" applyNumberFormat="1" applyFont="1" applyFill="1" applyBorder="1" applyAlignment="1">
      <alignment horizontal="right" vertical="center"/>
    </xf>
    <xf numFmtId="1" fontId="55" fillId="16" borderId="135" xfId="0" applyNumberFormat="1" applyFont="1" applyFill="1" applyBorder="1" applyAlignment="1">
      <alignment horizontal="right" vertical="center"/>
    </xf>
    <xf numFmtId="1" fontId="55" fillId="16" borderId="127" xfId="0" applyNumberFormat="1" applyFont="1" applyFill="1" applyBorder="1" applyAlignment="1">
      <alignment horizontal="right" vertical="center"/>
    </xf>
    <xf numFmtId="172" fontId="24" fillId="12" borderId="94" xfId="0" applyNumberFormat="1" applyFont="1" applyFill="1" applyBorder="1" applyAlignment="1">
      <alignment horizontal="center" vertical="center"/>
    </xf>
    <xf numFmtId="0" fontId="33" fillId="11" borderId="20" xfId="0" applyFont="1" applyFill="1" applyBorder="1" applyAlignment="1">
      <alignment horizontal="center" vertical="center"/>
    </xf>
    <xf numFmtId="0" fontId="33" fillId="11" borderId="0" xfId="0" applyFont="1" applyFill="1" applyAlignment="1">
      <alignment horizontal="center" vertical="center"/>
    </xf>
    <xf numFmtId="0" fontId="54" fillId="15" borderId="1" xfId="0" applyFont="1" applyFill="1" applyBorder="1" applyAlignment="1">
      <alignment horizontal="center"/>
    </xf>
    <xf numFmtId="0" fontId="54" fillId="15" borderId="2" xfId="0" applyFont="1" applyFill="1" applyBorder="1" applyAlignment="1">
      <alignment horizontal="center"/>
    </xf>
    <xf numFmtId="0" fontId="54" fillId="15" borderId="3" xfId="0" applyFont="1" applyFill="1" applyBorder="1" applyAlignment="1">
      <alignment horizontal="center"/>
    </xf>
    <xf numFmtId="0" fontId="21" fillId="11" borderId="10" xfId="0" applyFont="1" applyFill="1" applyBorder="1" applyAlignment="1">
      <alignment horizontal="center"/>
    </xf>
    <xf numFmtId="0" fontId="21" fillId="11" borderId="11" xfId="0" applyFont="1" applyFill="1" applyBorder="1" applyAlignment="1">
      <alignment horizontal="center"/>
    </xf>
    <xf numFmtId="0" fontId="35" fillId="0" borderId="5" xfId="0" applyFont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35" fillId="10" borderId="129" xfId="0" applyFont="1" applyFill="1" applyBorder="1" applyAlignment="1">
      <alignment horizontal="center"/>
    </xf>
    <xf numFmtId="0" fontId="35" fillId="10" borderId="126" xfId="0" applyFont="1" applyFill="1" applyBorder="1" applyAlignment="1">
      <alignment horizontal="center"/>
    </xf>
    <xf numFmtId="0" fontId="53" fillId="19" borderId="27" xfId="0" applyFont="1" applyFill="1" applyBorder="1" applyAlignment="1">
      <alignment horizontal="center" vertical="center"/>
    </xf>
    <xf numFmtId="0" fontId="53" fillId="19" borderId="161" xfId="0" applyFont="1" applyFill="1" applyBorder="1" applyAlignment="1">
      <alignment horizontal="center" vertical="center"/>
    </xf>
    <xf numFmtId="0" fontId="53" fillId="19" borderId="5" xfId="0" applyFont="1" applyFill="1" applyBorder="1" applyAlignment="1">
      <alignment horizontal="center" vertical="center"/>
    </xf>
    <xf numFmtId="0" fontId="53" fillId="19" borderId="22" xfId="0" applyFont="1" applyFill="1" applyBorder="1" applyAlignment="1">
      <alignment horizontal="center" vertical="center"/>
    </xf>
    <xf numFmtId="0" fontId="53" fillId="19" borderId="23" xfId="0" applyFont="1" applyFill="1" applyBorder="1" applyAlignment="1">
      <alignment horizontal="center" vertical="center"/>
    </xf>
    <xf numFmtId="0" fontId="115" fillId="19" borderId="5" xfId="0" applyFont="1" applyFill="1" applyBorder="1" applyAlignment="1">
      <alignment horizontal="center" vertical="center"/>
    </xf>
    <xf numFmtId="0" fontId="115" fillId="19" borderId="23" xfId="0" applyFont="1" applyFill="1" applyBorder="1" applyAlignment="1">
      <alignment horizontal="center" vertical="center"/>
    </xf>
    <xf numFmtId="0" fontId="115" fillId="19" borderId="27" xfId="0" applyFont="1" applyFill="1" applyBorder="1" applyAlignment="1">
      <alignment horizontal="center" vertical="center"/>
    </xf>
    <xf numFmtId="0" fontId="115" fillId="19" borderId="161" xfId="0" applyFont="1" applyFill="1" applyBorder="1" applyAlignment="1">
      <alignment horizontal="center" vertical="center"/>
    </xf>
  </cellXfs>
  <cellStyles count="29">
    <cellStyle name="(Built-in)" xfId="4" xr:uid="{00000000-0005-0000-0000-000000000000}"/>
    <cellStyle name="Currency 2" xfId="17" xr:uid="{00000000-0005-0000-0000-000002000000}"/>
    <cellStyle name="Hyperlink 2" xfId="5" xr:uid="{00000000-0005-0000-0000-000003000000}"/>
    <cellStyle name="Normal 2" xfId="3" xr:uid="{00000000-0005-0000-0000-000005000000}"/>
    <cellStyle name="Normal 2 2" xfId="8" xr:uid="{00000000-0005-0000-0000-000006000000}"/>
    <cellStyle name="Normal 2 2 2" xfId="21" xr:uid="{00000000-0005-0000-0000-000007000000}"/>
    <cellStyle name="Normal 2 2 3" xfId="25" xr:uid="{00000000-0005-0000-0000-000008000000}"/>
    <cellStyle name="Normal 2 3" xfId="10" xr:uid="{00000000-0005-0000-0000-000009000000}"/>
    <cellStyle name="Normal 2 4" xfId="15" xr:uid="{00000000-0005-0000-0000-00000A000000}"/>
    <cellStyle name="Normal 26" xfId="1" xr:uid="{00000000-0005-0000-0000-00000B000000}"/>
    <cellStyle name="Normal 27 2" xfId="28" xr:uid="{00000000-0005-0000-0000-00000C000000}"/>
    <cellStyle name="Normal 3" xfId="6" xr:uid="{00000000-0005-0000-0000-00000D000000}"/>
    <cellStyle name="Normal 3 2" xfId="13" xr:uid="{00000000-0005-0000-0000-00000E000000}"/>
    <cellStyle name="Normal 4" xfId="9" xr:uid="{00000000-0005-0000-0000-00000F000000}"/>
    <cellStyle name="Normal 4 2" xfId="16" xr:uid="{00000000-0005-0000-0000-000010000000}"/>
    <cellStyle name="Normal 4 3" xfId="27" xr:uid="{00000000-0005-0000-0000-000011000000}"/>
    <cellStyle name="Normal 4 5 2 2" xfId="20" xr:uid="{00000000-0005-0000-0000-000012000000}"/>
    <cellStyle name="Normal 4 5 2 2 2" xfId="24" xr:uid="{00000000-0005-0000-0000-000013000000}"/>
    <cellStyle name="Normal 5" xfId="14" xr:uid="{00000000-0005-0000-0000-000014000000}"/>
    <cellStyle name="Normal 5 2" xfId="18" xr:uid="{00000000-0005-0000-0000-000015000000}"/>
    <cellStyle name="Normal 5 2 2" xfId="22" xr:uid="{00000000-0005-0000-0000-000016000000}"/>
    <cellStyle name="Normal 6" xfId="19" xr:uid="{00000000-0005-0000-0000-000017000000}"/>
    <cellStyle name="Normal 6 2" xfId="23" xr:uid="{00000000-0005-0000-0000-000018000000}"/>
    <cellStyle name="Normal 7" xfId="11" xr:uid="{00000000-0005-0000-0000-000019000000}"/>
    <cellStyle name="Normal 8" xfId="26" xr:uid="{00000000-0005-0000-0000-00001A000000}"/>
    <cellStyle name="Normal 9" xfId="12" xr:uid="{00000000-0005-0000-0000-00001B000000}"/>
    <cellStyle name="Обычный" xfId="0" builtinId="0"/>
    <cellStyle name="Финансовый" xfId="2" builtinId="3"/>
    <cellStyle name="標準_DP&amp;DC Run hrs" xfId="7" xr:uid="{00000000-0005-0000-0000-00001C000000}"/>
  </cellStyles>
  <dxfs count="0"/>
  <tableStyles count="0" defaultTableStyle="TableStyleMedium2" defaultPivotStyle="PivotStyleLight16"/>
  <colors>
    <mruColors>
      <color rgb="FF9FFFD8"/>
      <color rgb="FFFFFF66"/>
      <color rgb="FFFDF0E9"/>
      <color rgb="FFFCE7DC"/>
      <color rgb="FFFFD966"/>
      <color rgb="FFB4C6E7"/>
      <color rgb="FF01FF98"/>
      <color rgb="FF01E562"/>
      <color rgb="FF01DC62"/>
      <color rgb="FF01F8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99494</xdr:colOff>
      <xdr:row>0</xdr:row>
      <xdr:rowOff>118106</xdr:rowOff>
    </xdr:from>
    <xdr:to>
      <xdr:col>2</xdr:col>
      <xdr:colOff>3922</xdr:colOff>
      <xdr:row>4</xdr:row>
      <xdr:rowOff>4363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8D73CB-960C-4A85-B482-6C6741AFEF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52" t="17751" r="12100" b="17548"/>
        <a:stretch/>
      </xdr:blipFill>
      <xdr:spPr>
        <a:xfrm>
          <a:off x="99494" y="118106"/>
          <a:ext cx="1123628" cy="655877"/>
        </a:xfrm>
        <a:prstGeom prst="rect">
          <a:avLst/>
        </a:prstGeom>
      </xdr:spPr>
    </xdr:pic>
    <xdr:clientData/>
  </xdr:twoCellAnchor>
  <xdr:twoCellAnchor editAs="oneCell">
    <xdr:from>
      <xdr:col>12</xdr:col>
      <xdr:colOff>6350</xdr:colOff>
      <xdr:row>0</xdr:row>
      <xdr:rowOff>65438</xdr:rowOff>
    </xdr:from>
    <xdr:to>
      <xdr:col>12</xdr:col>
      <xdr:colOff>959729</xdr:colOff>
      <xdr:row>4</xdr:row>
      <xdr:rowOff>191247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8ECF1A-E6DA-46E0-BC3E-AAE9449F91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621" t="4417" r="6313" b="2982"/>
        <a:stretch/>
      </xdr:blipFill>
      <xdr:spPr>
        <a:xfrm>
          <a:off x="8601710" y="65438"/>
          <a:ext cx="953379" cy="895429"/>
        </a:xfrm>
        <a:prstGeom prst="rect">
          <a:avLst/>
        </a:prstGeom>
      </xdr:spPr>
    </xdr:pic>
    <xdr:clientData/>
  </xdr:twoCellAnchor>
  <xdr:oneCellAnchor>
    <xdr:from>
      <xdr:col>9</xdr:col>
      <xdr:colOff>311150</xdr:colOff>
      <xdr:row>0</xdr:row>
      <xdr:rowOff>178885</xdr:rowOff>
    </xdr:from>
    <xdr:ext cx="2209799" cy="374141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D045082-954A-4954-B388-55D3F8E95223}"/>
            </a:ext>
          </a:extLst>
        </xdr:cNvPr>
        <xdr:cNvSpPr/>
      </xdr:nvSpPr>
      <xdr:spPr>
        <a:xfrm>
          <a:off x="6277610" y="178885"/>
          <a:ext cx="2209799" cy="374141"/>
        </a:xfrm>
        <a:prstGeom prst="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scene3d>
          <a:camera prst="orthographicFront"/>
          <a:lightRig rig="harsh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wrap="square" lIns="91440" tIns="45720" rIns="91440" bIns="45720">
          <a:spAutoFit/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n-US" sz="1800" b="1" cap="none" spc="0">
              <a:ln/>
              <a:solidFill>
                <a:schemeClr val="accent4">
                  <a:lumMod val="60000"/>
                  <a:lumOff val="40000"/>
                </a:schemeClr>
              </a:solidFill>
              <a:effectLst/>
            </a:rPr>
            <a:t>AS</a:t>
          </a:r>
          <a:r>
            <a:rPr lang="en-US" sz="1800" b="1" cap="none" spc="0" baseline="0">
              <a:ln/>
              <a:solidFill>
                <a:schemeClr val="accent4">
                  <a:lumMod val="60000"/>
                  <a:lumOff val="40000"/>
                </a:schemeClr>
              </a:solidFill>
              <a:effectLst/>
            </a:rPr>
            <a:t> RUN</a:t>
          </a:r>
          <a:r>
            <a:rPr lang="en-US" sz="1800" b="1" cap="none" spc="0">
              <a:ln/>
              <a:solidFill>
                <a:schemeClr val="accent4">
                  <a:lumMod val="60000"/>
                  <a:lumOff val="40000"/>
                </a:schemeClr>
              </a:solidFill>
              <a:effectLst/>
            </a:rPr>
            <a:t> TALLY </a:t>
          </a:r>
        </a:p>
      </xdr:txBody>
    </xdr:sp>
    <xdr:clientData/>
  </xdr:oneCellAnchor>
  <xdr:twoCellAnchor>
    <xdr:from>
      <xdr:col>10</xdr:col>
      <xdr:colOff>28575</xdr:colOff>
      <xdr:row>31</xdr:row>
      <xdr:rowOff>142875</xdr:rowOff>
    </xdr:from>
    <xdr:to>
      <xdr:col>11</xdr:col>
      <xdr:colOff>203200</xdr:colOff>
      <xdr:row>32</xdr:row>
      <xdr:rowOff>180975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9BE0C93-9DCC-47FC-9AF6-B6E43AC82E34}"/>
            </a:ext>
          </a:extLst>
        </xdr:cNvPr>
        <xdr:cNvCxnSpPr/>
      </xdr:nvCxnSpPr>
      <xdr:spPr>
        <a:xfrm>
          <a:off x="6734175" y="7458075"/>
          <a:ext cx="723265" cy="289560"/>
        </a:xfrm>
        <a:prstGeom prst="straightConnector1">
          <a:avLst/>
        </a:prstGeom>
        <a:ln w="19050">
          <a:solidFill>
            <a:schemeClr val="accent2">
              <a:lumMod val="75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101600</xdr:colOff>
      <xdr:row>153</xdr:row>
      <xdr:rowOff>123826</xdr:rowOff>
    </xdr:from>
    <xdr:to>
      <xdr:col>11</xdr:col>
      <xdr:colOff>57150</xdr:colOff>
      <xdr:row>155</xdr:row>
      <xdr:rowOff>63500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048545B-F6A6-44D6-8764-085D2BD39409}"/>
            </a:ext>
          </a:extLst>
        </xdr:cNvPr>
        <xdr:cNvCxnSpPr/>
      </xdr:nvCxnSpPr>
      <xdr:spPr>
        <a:xfrm flipV="1">
          <a:off x="6807200" y="38117146"/>
          <a:ext cx="504190" cy="442594"/>
        </a:xfrm>
        <a:prstGeom prst="straightConnector1">
          <a:avLst/>
        </a:prstGeom>
        <a:ln w="19050">
          <a:solidFill>
            <a:schemeClr val="accent2">
              <a:lumMod val="75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120650</xdr:colOff>
      <xdr:row>295</xdr:row>
      <xdr:rowOff>139700</xdr:rowOff>
    </xdr:from>
    <xdr:to>
      <xdr:col>11</xdr:col>
      <xdr:colOff>114300</xdr:colOff>
      <xdr:row>297</xdr:row>
      <xdr:rowOff>114300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7D9403E-C121-44B0-9861-2AD541A07632}"/>
            </a:ext>
          </a:extLst>
        </xdr:cNvPr>
        <xdr:cNvCxnSpPr/>
      </xdr:nvCxnSpPr>
      <xdr:spPr>
        <a:xfrm flipV="1">
          <a:off x="6826250" y="73840340"/>
          <a:ext cx="542290" cy="477520"/>
        </a:xfrm>
        <a:prstGeom prst="straightConnector1">
          <a:avLst/>
        </a:prstGeom>
        <a:ln w="19050">
          <a:solidFill>
            <a:schemeClr val="accent2">
              <a:lumMod val="75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</xdr:colOff>
      <xdr:row>185</xdr:row>
      <xdr:rowOff>123826</xdr:rowOff>
    </xdr:from>
    <xdr:to>
      <xdr:col>11</xdr:col>
      <xdr:colOff>57150</xdr:colOff>
      <xdr:row>188</xdr:row>
      <xdr:rowOff>177800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7D3C433-556E-476F-BD75-F15EA3C4E62C}"/>
            </a:ext>
          </a:extLst>
        </xdr:cNvPr>
        <xdr:cNvCxnSpPr/>
      </xdr:nvCxnSpPr>
      <xdr:spPr>
        <a:xfrm flipV="1">
          <a:off x="6762750" y="46163866"/>
          <a:ext cx="548640" cy="808354"/>
        </a:xfrm>
        <a:prstGeom prst="straightConnector1">
          <a:avLst/>
        </a:prstGeom>
        <a:ln w="19050">
          <a:solidFill>
            <a:schemeClr val="accent2">
              <a:lumMod val="75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95</xdr:row>
      <xdr:rowOff>123825</xdr:rowOff>
    </xdr:from>
    <xdr:to>
      <xdr:col>11</xdr:col>
      <xdr:colOff>196850</xdr:colOff>
      <xdr:row>95</xdr:row>
      <xdr:rowOff>127000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07336B2-80C4-4927-A512-E89F48832504}"/>
            </a:ext>
          </a:extLst>
        </xdr:cNvPr>
        <xdr:cNvCxnSpPr/>
      </xdr:nvCxnSpPr>
      <xdr:spPr>
        <a:xfrm>
          <a:off x="6734175" y="23532465"/>
          <a:ext cx="716915" cy="3175"/>
        </a:xfrm>
        <a:prstGeom prst="straightConnector1">
          <a:avLst/>
        </a:prstGeom>
        <a:ln w="19050">
          <a:solidFill>
            <a:schemeClr val="accent2">
              <a:lumMod val="75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99494</xdr:colOff>
      <xdr:row>0</xdr:row>
      <xdr:rowOff>118106</xdr:rowOff>
    </xdr:from>
    <xdr:to>
      <xdr:col>2</xdr:col>
      <xdr:colOff>3922</xdr:colOff>
      <xdr:row>4</xdr:row>
      <xdr:rowOff>4363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8975EA-17E9-D1A2-C080-5A340B8CB4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52" t="17751" r="12100" b="17548"/>
        <a:stretch/>
      </xdr:blipFill>
      <xdr:spPr>
        <a:xfrm>
          <a:off x="99494" y="118106"/>
          <a:ext cx="1094305" cy="660957"/>
        </a:xfrm>
        <a:prstGeom prst="rect">
          <a:avLst/>
        </a:prstGeom>
      </xdr:spPr>
    </xdr:pic>
    <xdr:clientData/>
  </xdr:twoCellAnchor>
  <xdr:twoCellAnchor editAs="oneCell">
    <xdr:from>
      <xdr:col>13</xdr:col>
      <xdr:colOff>6350</xdr:colOff>
      <xdr:row>0</xdr:row>
      <xdr:rowOff>65438</xdr:rowOff>
    </xdr:from>
    <xdr:to>
      <xdr:col>13</xdr:col>
      <xdr:colOff>959729</xdr:colOff>
      <xdr:row>4</xdr:row>
      <xdr:rowOff>191247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5E146B-60BF-476B-B000-C8324B1FFF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621" t="4417" r="6313" b="2982"/>
        <a:stretch/>
      </xdr:blipFill>
      <xdr:spPr>
        <a:xfrm>
          <a:off x="8648700" y="65438"/>
          <a:ext cx="953379" cy="899762"/>
        </a:xfrm>
        <a:prstGeom prst="rect">
          <a:avLst/>
        </a:prstGeom>
      </xdr:spPr>
    </xdr:pic>
    <xdr:clientData/>
  </xdr:twoCellAnchor>
  <xdr:oneCellAnchor>
    <xdr:from>
      <xdr:col>9</xdr:col>
      <xdr:colOff>311150</xdr:colOff>
      <xdr:row>0</xdr:row>
      <xdr:rowOff>178885</xdr:rowOff>
    </xdr:from>
    <xdr:ext cx="2209799" cy="374141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82DF98A-BEAA-01F8-3D47-B2E538C8D4AF}"/>
            </a:ext>
          </a:extLst>
        </xdr:cNvPr>
        <xdr:cNvSpPr/>
      </xdr:nvSpPr>
      <xdr:spPr>
        <a:xfrm>
          <a:off x="6426476" y="178885"/>
          <a:ext cx="2209799" cy="374141"/>
        </a:xfrm>
        <a:prstGeom prst="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scene3d>
          <a:camera prst="orthographicFront"/>
          <a:lightRig rig="harsh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wrap="square" lIns="91440" tIns="45720" rIns="91440" bIns="45720">
          <a:spAutoFit/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n-US" sz="1800" b="1" cap="none" spc="0">
              <a:ln/>
              <a:solidFill>
                <a:schemeClr val="accent4">
                  <a:lumMod val="60000"/>
                  <a:lumOff val="40000"/>
                </a:schemeClr>
              </a:solidFill>
              <a:effectLst/>
            </a:rPr>
            <a:t>AS</a:t>
          </a:r>
          <a:r>
            <a:rPr lang="en-US" sz="1800" b="1" cap="none" spc="0" baseline="0">
              <a:ln/>
              <a:solidFill>
                <a:schemeClr val="accent4">
                  <a:lumMod val="60000"/>
                  <a:lumOff val="40000"/>
                </a:schemeClr>
              </a:solidFill>
              <a:effectLst/>
            </a:rPr>
            <a:t> RUN</a:t>
          </a:r>
          <a:r>
            <a:rPr lang="en-US" sz="1800" b="1" cap="none" spc="0">
              <a:ln/>
              <a:solidFill>
                <a:schemeClr val="accent4">
                  <a:lumMod val="60000"/>
                  <a:lumOff val="40000"/>
                </a:schemeClr>
              </a:solidFill>
              <a:effectLst/>
            </a:rPr>
            <a:t> TALLY </a:t>
          </a:r>
        </a:p>
      </xdr:txBody>
    </xdr:sp>
    <xdr:clientData/>
  </xdr:oneCellAnchor>
  <xdr:twoCellAnchor>
    <xdr:from>
      <xdr:col>11</xdr:col>
      <xdr:colOff>28575</xdr:colOff>
      <xdr:row>31</xdr:row>
      <xdr:rowOff>142875</xdr:rowOff>
    </xdr:from>
    <xdr:to>
      <xdr:col>12</xdr:col>
      <xdr:colOff>203200</xdr:colOff>
      <xdr:row>32</xdr:row>
      <xdr:rowOff>180975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A98B1D9-E441-4244-B59F-A4F6A520FA77}"/>
            </a:ext>
          </a:extLst>
        </xdr:cNvPr>
        <xdr:cNvCxnSpPr/>
      </xdr:nvCxnSpPr>
      <xdr:spPr>
        <a:xfrm>
          <a:off x="7292975" y="7521575"/>
          <a:ext cx="733425" cy="292100"/>
        </a:xfrm>
        <a:prstGeom prst="straightConnector1">
          <a:avLst/>
        </a:prstGeom>
        <a:ln w="19050">
          <a:solidFill>
            <a:schemeClr val="accent2">
              <a:lumMod val="75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101600</xdr:colOff>
      <xdr:row>153</xdr:row>
      <xdr:rowOff>123826</xdr:rowOff>
    </xdr:from>
    <xdr:to>
      <xdr:col>12</xdr:col>
      <xdr:colOff>57150</xdr:colOff>
      <xdr:row>155</xdr:row>
      <xdr:rowOff>63500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78B6956C-3608-46F7-B1FA-EDAD4062A5BB}"/>
            </a:ext>
          </a:extLst>
        </xdr:cNvPr>
        <xdr:cNvCxnSpPr/>
      </xdr:nvCxnSpPr>
      <xdr:spPr>
        <a:xfrm flipV="1">
          <a:off x="7366000" y="37982526"/>
          <a:ext cx="514350" cy="447674"/>
        </a:xfrm>
        <a:prstGeom prst="straightConnector1">
          <a:avLst/>
        </a:prstGeom>
        <a:ln w="19050">
          <a:solidFill>
            <a:schemeClr val="accent2">
              <a:lumMod val="75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120650</xdr:colOff>
      <xdr:row>295</xdr:row>
      <xdr:rowOff>139700</xdr:rowOff>
    </xdr:from>
    <xdr:to>
      <xdr:col>12</xdr:col>
      <xdr:colOff>114300</xdr:colOff>
      <xdr:row>297</xdr:row>
      <xdr:rowOff>114300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D0D21EC9-908D-4275-AA9F-1702FA81B550}"/>
            </a:ext>
          </a:extLst>
        </xdr:cNvPr>
        <xdr:cNvCxnSpPr/>
      </xdr:nvCxnSpPr>
      <xdr:spPr>
        <a:xfrm flipV="1">
          <a:off x="7385050" y="70002400"/>
          <a:ext cx="552450" cy="482600"/>
        </a:xfrm>
        <a:prstGeom prst="straightConnector1">
          <a:avLst/>
        </a:prstGeom>
        <a:ln w="19050">
          <a:solidFill>
            <a:schemeClr val="accent2">
              <a:lumMod val="75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</xdr:colOff>
      <xdr:row>185</xdr:row>
      <xdr:rowOff>123826</xdr:rowOff>
    </xdr:from>
    <xdr:to>
      <xdr:col>12</xdr:col>
      <xdr:colOff>57150</xdr:colOff>
      <xdr:row>188</xdr:row>
      <xdr:rowOff>177800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78B6956C-3608-46F7-B1FA-EDAD4062A5BB}"/>
            </a:ext>
          </a:extLst>
        </xdr:cNvPr>
        <xdr:cNvCxnSpPr/>
      </xdr:nvCxnSpPr>
      <xdr:spPr>
        <a:xfrm flipV="1">
          <a:off x="6889750" y="46618526"/>
          <a:ext cx="558800" cy="815974"/>
        </a:xfrm>
        <a:prstGeom prst="straightConnector1">
          <a:avLst/>
        </a:prstGeom>
        <a:ln w="19050">
          <a:solidFill>
            <a:schemeClr val="accent2">
              <a:lumMod val="75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</xdr:colOff>
      <xdr:row>95</xdr:row>
      <xdr:rowOff>123825</xdr:rowOff>
    </xdr:from>
    <xdr:to>
      <xdr:col>12</xdr:col>
      <xdr:colOff>196850</xdr:colOff>
      <xdr:row>95</xdr:row>
      <xdr:rowOff>127000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3A98B1D9-E441-4244-B59F-A4F6A520FA77}"/>
            </a:ext>
          </a:extLst>
        </xdr:cNvPr>
        <xdr:cNvCxnSpPr/>
      </xdr:nvCxnSpPr>
      <xdr:spPr>
        <a:xfrm>
          <a:off x="6861175" y="21726525"/>
          <a:ext cx="727075" cy="3175"/>
        </a:xfrm>
        <a:prstGeom prst="straightConnector1">
          <a:avLst/>
        </a:prstGeom>
        <a:ln w="19050">
          <a:solidFill>
            <a:schemeClr val="accent2">
              <a:lumMod val="75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C206-C4D9-4291-A638-C14C86DE5359}">
  <sheetPr>
    <tabColor rgb="FF00B050"/>
  </sheetPr>
  <dimension ref="A1:AS1461"/>
  <sheetViews>
    <sheetView topLeftCell="A318" zoomScaleNormal="100" zoomScaleSheetLayoutView="115" workbookViewId="0">
      <selection activeCell="G331" sqref="G331"/>
    </sheetView>
  </sheetViews>
  <sheetFormatPr defaultColWidth="11.42578125" defaultRowHeight="15"/>
  <cols>
    <col min="1" max="1" width="8.5703125" style="25" customWidth="1"/>
    <col min="2" max="2" width="9.28515625" style="11" customWidth="1"/>
    <col min="3" max="3" width="4.7109375" style="8" customWidth="1"/>
    <col min="4" max="4" width="12.42578125" style="5" customWidth="1"/>
    <col min="5" max="5" width="16.5703125" style="5" customWidth="1"/>
    <col min="6" max="6" width="7.28515625" style="9" customWidth="1"/>
    <col min="7" max="7" width="9.28515625" style="9" customWidth="1"/>
    <col min="8" max="8" width="7.7109375" style="9" customWidth="1"/>
    <col min="9" max="9" width="11.28515625" style="9" customWidth="1"/>
    <col min="10" max="10" width="10.7109375" style="9" bestFit="1" customWidth="1"/>
    <col min="11" max="11" width="8" style="10" customWidth="1"/>
    <col min="12" max="12" width="19.5703125" style="4" customWidth="1"/>
    <col min="13" max="13" width="15.42578125" style="25" customWidth="1"/>
    <col min="14" max="14" width="21.28515625" style="25" customWidth="1"/>
    <col min="15" max="15" width="27.28515625" style="25" customWidth="1"/>
    <col min="16" max="16" width="10.42578125" style="25" customWidth="1"/>
    <col min="17" max="17" width="12.28515625" style="25" customWidth="1"/>
    <col min="18" max="23" width="10.42578125" style="25" customWidth="1"/>
    <col min="24" max="24" width="9.28515625" style="25" customWidth="1"/>
    <col min="25" max="32" width="7.7109375" style="25" customWidth="1"/>
    <col min="33" max="269" width="11.42578125" style="25"/>
    <col min="270" max="270" width="0.7109375" style="25" customWidth="1"/>
    <col min="271" max="271" width="10.7109375" style="25" customWidth="1"/>
    <col min="272" max="272" width="5.28515625" style="25" customWidth="1"/>
    <col min="273" max="273" width="10.28515625" style="25" customWidth="1"/>
    <col min="274" max="274" width="7.7109375" style="25" customWidth="1"/>
    <col min="275" max="275" width="8" style="25" customWidth="1"/>
    <col min="276" max="276" width="9.7109375" style="25" customWidth="1"/>
    <col min="277" max="277" width="8.42578125" style="25" customWidth="1"/>
    <col min="278" max="278" width="10.5703125" style="25" customWidth="1"/>
    <col min="279" max="279" width="12.7109375" style="25" customWidth="1"/>
    <col min="280" max="280" width="10" style="25" customWidth="1"/>
    <col min="281" max="281" width="14" style="25" customWidth="1"/>
    <col min="282" max="282" width="11.5703125" style="25" customWidth="1"/>
    <col min="283" max="283" width="8.28515625" style="25" customWidth="1"/>
    <col min="284" max="284" width="7.7109375" style="25" customWidth="1"/>
    <col min="285" max="525" width="11.42578125" style="25"/>
    <col min="526" max="526" width="0.7109375" style="25" customWidth="1"/>
    <col min="527" max="527" width="10.7109375" style="25" customWidth="1"/>
    <col min="528" max="528" width="5.28515625" style="25" customWidth="1"/>
    <col min="529" max="529" width="10.28515625" style="25" customWidth="1"/>
    <col min="530" max="530" width="7.7109375" style="25" customWidth="1"/>
    <col min="531" max="531" width="8" style="25" customWidth="1"/>
    <col min="532" max="532" width="9.7109375" style="25" customWidth="1"/>
    <col min="533" max="533" width="8.42578125" style="25" customWidth="1"/>
    <col min="534" max="534" width="10.5703125" style="25" customWidth="1"/>
    <col min="535" max="535" width="12.7109375" style="25" customWidth="1"/>
    <col min="536" max="536" width="10" style="25" customWidth="1"/>
    <col min="537" max="537" width="14" style="25" customWidth="1"/>
    <col min="538" max="538" width="11.5703125" style="25" customWidth="1"/>
    <col min="539" max="539" width="8.28515625" style="25" customWidth="1"/>
    <col min="540" max="540" width="7.7109375" style="25" customWidth="1"/>
    <col min="541" max="781" width="11.42578125" style="25"/>
    <col min="782" max="782" width="0.7109375" style="25" customWidth="1"/>
    <col min="783" max="783" width="10.7109375" style="25" customWidth="1"/>
    <col min="784" max="784" width="5.28515625" style="25" customWidth="1"/>
    <col min="785" max="785" width="10.28515625" style="25" customWidth="1"/>
    <col min="786" max="786" width="7.7109375" style="25" customWidth="1"/>
    <col min="787" max="787" width="8" style="25" customWidth="1"/>
    <col min="788" max="788" width="9.7109375" style="25" customWidth="1"/>
    <col min="789" max="789" width="8.42578125" style="25" customWidth="1"/>
    <col min="790" max="790" width="10.5703125" style="25" customWidth="1"/>
    <col min="791" max="791" width="12.7109375" style="25" customWidth="1"/>
    <col min="792" max="792" width="10" style="25" customWidth="1"/>
    <col min="793" max="793" width="14" style="25" customWidth="1"/>
    <col min="794" max="794" width="11.5703125" style="25" customWidth="1"/>
    <col min="795" max="795" width="8.28515625" style="25" customWidth="1"/>
    <col min="796" max="796" width="7.7109375" style="25" customWidth="1"/>
    <col min="797" max="1037" width="11.42578125" style="25"/>
    <col min="1038" max="1038" width="0.7109375" style="25" customWidth="1"/>
    <col min="1039" max="1039" width="10.7109375" style="25" customWidth="1"/>
    <col min="1040" max="1040" width="5.28515625" style="25" customWidth="1"/>
    <col min="1041" max="1041" width="10.28515625" style="25" customWidth="1"/>
    <col min="1042" max="1042" width="7.7109375" style="25" customWidth="1"/>
    <col min="1043" max="1043" width="8" style="25" customWidth="1"/>
    <col min="1044" max="1044" width="9.7109375" style="25" customWidth="1"/>
    <col min="1045" max="1045" width="8.42578125" style="25" customWidth="1"/>
    <col min="1046" max="1046" width="10.5703125" style="25" customWidth="1"/>
    <col min="1047" max="1047" width="12.7109375" style="25" customWidth="1"/>
    <col min="1048" max="1048" width="10" style="25" customWidth="1"/>
    <col min="1049" max="1049" width="14" style="25" customWidth="1"/>
    <col min="1050" max="1050" width="11.5703125" style="25" customWidth="1"/>
    <col min="1051" max="1051" width="8.28515625" style="25" customWidth="1"/>
    <col min="1052" max="1052" width="7.7109375" style="25" customWidth="1"/>
    <col min="1053" max="1293" width="11.42578125" style="25"/>
    <col min="1294" max="1294" width="0.7109375" style="25" customWidth="1"/>
    <col min="1295" max="1295" width="10.7109375" style="25" customWidth="1"/>
    <col min="1296" max="1296" width="5.28515625" style="25" customWidth="1"/>
    <col min="1297" max="1297" width="10.28515625" style="25" customWidth="1"/>
    <col min="1298" max="1298" width="7.7109375" style="25" customWidth="1"/>
    <col min="1299" max="1299" width="8" style="25" customWidth="1"/>
    <col min="1300" max="1300" width="9.7109375" style="25" customWidth="1"/>
    <col min="1301" max="1301" width="8.42578125" style="25" customWidth="1"/>
    <col min="1302" max="1302" width="10.5703125" style="25" customWidth="1"/>
    <col min="1303" max="1303" width="12.7109375" style="25" customWidth="1"/>
    <col min="1304" max="1304" width="10" style="25" customWidth="1"/>
    <col min="1305" max="1305" width="14" style="25" customWidth="1"/>
    <col min="1306" max="1306" width="11.5703125" style="25" customWidth="1"/>
    <col min="1307" max="1307" width="8.28515625" style="25" customWidth="1"/>
    <col min="1308" max="1308" width="7.7109375" style="25" customWidth="1"/>
    <col min="1309" max="1549" width="11.42578125" style="25"/>
    <col min="1550" max="1550" width="0.7109375" style="25" customWidth="1"/>
    <col min="1551" max="1551" width="10.7109375" style="25" customWidth="1"/>
    <col min="1552" max="1552" width="5.28515625" style="25" customWidth="1"/>
    <col min="1553" max="1553" width="10.28515625" style="25" customWidth="1"/>
    <col min="1554" max="1554" width="7.7109375" style="25" customWidth="1"/>
    <col min="1555" max="1555" width="8" style="25" customWidth="1"/>
    <col min="1556" max="1556" width="9.7109375" style="25" customWidth="1"/>
    <col min="1557" max="1557" width="8.42578125" style="25" customWidth="1"/>
    <col min="1558" max="1558" width="10.5703125" style="25" customWidth="1"/>
    <col min="1559" max="1559" width="12.7109375" style="25" customWidth="1"/>
    <col min="1560" max="1560" width="10" style="25" customWidth="1"/>
    <col min="1561" max="1561" width="14" style="25" customWidth="1"/>
    <col min="1562" max="1562" width="11.5703125" style="25" customWidth="1"/>
    <col min="1563" max="1563" width="8.28515625" style="25" customWidth="1"/>
    <col min="1564" max="1564" width="7.7109375" style="25" customWidth="1"/>
    <col min="1565" max="1805" width="11.42578125" style="25"/>
    <col min="1806" max="1806" width="0.7109375" style="25" customWidth="1"/>
    <col min="1807" max="1807" width="10.7109375" style="25" customWidth="1"/>
    <col min="1808" max="1808" width="5.28515625" style="25" customWidth="1"/>
    <col min="1809" max="1809" width="10.28515625" style="25" customWidth="1"/>
    <col min="1810" max="1810" width="7.7109375" style="25" customWidth="1"/>
    <col min="1811" max="1811" width="8" style="25" customWidth="1"/>
    <col min="1812" max="1812" width="9.7109375" style="25" customWidth="1"/>
    <col min="1813" max="1813" width="8.42578125" style="25" customWidth="1"/>
    <col min="1814" max="1814" width="10.5703125" style="25" customWidth="1"/>
    <col min="1815" max="1815" width="12.7109375" style="25" customWidth="1"/>
    <col min="1816" max="1816" width="10" style="25" customWidth="1"/>
    <col min="1817" max="1817" width="14" style="25" customWidth="1"/>
    <col min="1818" max="1818" width="11.5703125" style="25" customWidth="1"/>
    <col min="1819" max="1819" width="8.28515625" style="25" customWidth="1"/>
    <col min="1820" max="1820" width="7.7109375" style="25" customWidth="1"/>
    <col min="1821" max="2061" width="11.42578125" style="25"/>
    <col min="2062" max="2062" width="0.7109375" style="25" customWidth="1"/>
    <col min="2063" max="2063" width="10.7109375" style="25" customWidth="1"/>
    <col min="2064" max="2064" width="5.28515625" style="25" customWidth="1"/>
    <col min="2065" max="2065" width="10.28515625" style="25" customWidth="1"/>
    <col min="2066" max="2066" width="7.7109375" style="25" customWidth="1"/>
    <col min="2067" max="2067" width="8" style="25" customWidth="1"/>
    <col min="2068" max="2068" width="9.7109375" style="25" customWidth="1"/>
    <col min="2069" max="2069" width="8.42578125" style="25" customWidth="1"/>
    <col min="2070" max="2070" width="10.5703125" style="25" customWidth="1"/>
    <col min="2071" max="2071" width="12.7109375" style="25" customWidth="1"/>
    <col min="2072" max="2072" width="10" style="25" customWidth="1"/>
    <col min="2073" max="2073" width="14" style="25" customWidth="1"/>
    <col min="2074" max="2074" width="11.5703125" style="25" customWidth="1"/>
    <col min="2075" max="2075" width="8.28515625" style="25" customWidth="1"/>
    <col min="2076" max="2076" width="7.7109375" style="25" customWidth="1"/>
    <col min="2077" max="2317" width="11.42578125" style="25"/>
    <col min="2318" max="2318" width="0.7109375" style="25" customWidth="1"/>
    <col min="2319" max="2319" width="10.7109375" style="25" customWidth="1"/>
    <col min="2320" max="2320" width="5.28515625" style="25" customWidth="1"/>
    <col min="2321" max="2321" width="10.28515625" style="25" customWidth="1"/>
    <col min="2322" max="2322" width="7.7109375" style="25" customWidth="1"/>
    <col min="2323" max="2323" width="8" style="25" customWidth="1"/>
    <col min="2324" max="2324" width="9.7109375" style="25" customWidth="1"/>
    <col min="2325" max="2325" width="8.42578125" style="25" customWidth="1"/>
    <col min="2326" max="2326" width="10.5703125" style="25" customWidth="1"/>
    <col min="2327" max="2327" width="12.7109375" style="25" customWidth="1"/>
    <col min="2328" max="2328" width="10" style="25" customWidth="1"/>
    <col min="2329" max="2329" width="14" style="25" customWidth="1"/>
    <col min="2330" max="2330" width="11.5703125" style="25" customWidth="1"/>
    <col min="2331" max="2331" width="8.28515625" style="25" customWidth="1"/>
    <col min="2332" max="2332" width="7.7109375" style="25" customWidth="1"/>
    <col min="2333" max="2573" width="11.42578125" style="25"/>
    <col min="2574" max="2574" width="0.7109375" style="25" customWidth="1"/>
    <col min="2575" max="2575" width="10.7109375" style="25" customWidth="1"/>
    <col min="2576" max="2576" width="5.28515625" style="25" customWidth="1"/>
    <col min="2577" max="2577" width="10.28515625" style="25" customWidth="1"/>
    <col min="2578" max="2578" width="7.7109375" style="25" customWidth="1"/>
    <col min="2579" max="2579" width="8" style="25" customWidth="1"/>
    <col min="2580" max="2580" width="9.7109375" style="25" customWidth="1"/>
    <col min="2581" max="2581" width="8.42578125" style="25" customWidth="1"/>
    <col min="2582" max="2582" width="10.5703125" style="25" customWidth="1"/>
    <col min="2583" max="2583" width="12.7109375" style="25" customWidth="1"/>
    <col min="2584" max="2584" width="10" style="25" customWidth="1"/>
    <col min="2585" max="2585" width="14" style="25" customWidth="1"/>
    <col min="2586" max="2586" width="11.5703125" style="25" customWidth="1"/>
    <col min="2587" max="2587" width="8.28515625" style="25" customWidth="1"/>
    <col min="2588" max="2588" width="7.7109375" style="25" customWidth="1"/>
    <col min="2589" max="2829" width="11.42578125" style="25"/>
    <col min="2830" max="2830" width="0.7109375" style="25" customWidth="1"/>
    <col min="2831" max="2831" width="10.7109375" style="25" customWidth="1"/>
    <col min="2832" max="2832" width="5.28515625" style="25" customWidth="1"/>
    <col min="2833" max="2833" width="10.28515625" style="25" customWidth="1"/>
    <col min="2834" max="2834" width="7.7109375" style="25" customWidth="1"/>
    <col min="2835" max="2835" width="8" style="25" customWidth="1"/>
    <col min="2836" max="2836" width="9.7109375" style="25" customWidth="1"/>
    <col min="2837" max="2837" width="8.42578125" style="25" customWidth="1"/>
    <col min="2838" max="2838" width="10.5703125" style="25" customWidth="1"/>
    <col min="2839" max="2839" width="12.7109375" style="25" customWidth="1"/>
    <col min="2840" max="2840" width="10" style="25" customWidth="1"/>
    <col min="2841" max="2841" width="14" style="25" customWidth="1"/>
    <col min="2842" max="2842" width="11.5703125" style="25" customWidth="1"/>
    <col min="2843" max="2843" width="8.28515625" style="25" customWidth="1"/>
    <col min="2844" max="2844" width="7.7109375" style="25" customWidth="1"/>
    <col min="2845" max="3085" width="11.42578125" style="25"/>
    <col min="3086" max="3086" width="0.7109375" style="25" customWidth="1"/>
    <col min="3087" max="3087" width="10.7109375" style="25" customWidth="1"/>
    <col min="3088" max="3088" width="5.28515625" style="25" customWidth="1"/>
    <col min="3089" max="3089" width="10.28515625" style="25" customWidth="1"/>
    <col min="3090" max="3090" width="7.7109375" style="25" customWidth="1"/>
    <col min="3091" max="3091" width="8" style="25" customWidth="1"/>
    <col min="3092" max="3092" width="9.7109375" style="25" customWidth="1"/>
    <col min="3093" max="3093" width="8.42578125" style="25" customWidth="1"/>
    <col min="3094" max="3094" width="10.5703125" style="25" customWidth="1"/>
    <col min="3095" max="3095" width="12.7109375" style="25" customWidth="1"/>
    <col min="3096" max="3096" width="10" style="25" customWidth="1"/>
    <col min="3097" max="3097" width="14" style="25" customWidth="1"/>
    <col min="3098" max="3098" width="11.5703125" style="25" customWidth="1"/>
    <col min="3099" max="3099" width="8.28515625" style="25" customWidth="1"/>
    <col min="3100" max="3100" width="7.7109375" style="25" customWidth="1"/>
    <col min="3101" max="3341" width="11.42578125" style="25"/>
    <col min="3342" max="3342" width="0.7109375" style="25" customWidth="1"/>
    <col min="3343" max="3343" width="10.7109375" style="25" customWidth="1"/>
    <col min="3344" max="3344" width="5.28515625" style="25" customWidth="1"/>
    <col min="3345" max="3345" width="10.28515625" style="25" customWidth="1"/>
    <col min="3346" max="3346" width="7.7109375" style="25" customWidth="1"/>
    <col min="3347" max="3347" width="8" style="25" customWidth="1"/>
    <col min="3348" max="3348" width="9.7109375" style="25" customWidth="1"/>
    <col min="3349" max="3349" width="8.42578125" style="25" customWidth="1"/>
    <col min="3350" max="3350" width="10.5703125" style="25" customWidth="1"/>
    <col min="3351" max="3351" width="12.7109375" style="25" customWidth="1"/>
    <col min="3352" max="3352" width="10" style="25" customWidth="1"/>
    <col min="3353" max="3353" width="14" style="25" customWidth="1"/>
    <col min="3354" max="3354" width="11.5703125" style="25" customWidth="1"/>
    <col min="3355" max="3355" width="8.28515625" style="25" customWidth="1"/>
    <col min="3356" max="3356" width="7.7109375" style="25" customWidth="1"/>
    <col min="3357" max="3597" width="11.42578125" style="25"/>
    <col min="3598" max="3598" width="0.7109375" style="25" customWidth="1"/>
    <col min="3599" max="3599" width="10.7109375" style="25" customWidth="1"/>
    <col min="3600" max="3600" width="5.28515625" style="25" customWidth="1"/>
    <col min="3601" max="3601" width="10.28515625" style="25" customWidth="1"/>
    <col min="3602" max="3602" width="7.7109375" style="25" customWidth="1"/>
    <col min="3603" max="3603" width="8" style="25" customWidth="1"/>
    <col min="3604" max="3604" width="9.7109375" style="25" customWidth="1"/>
    <col min="3605" max="3605" width="8.42578125" style="25" customWidth="1"/>
    <col min="3606" max="3606" width="10.5703125" style="25" customWidth="1"/>
    <col min="3607" max="3607" width="12.7109375" style="25" customWidth="1"/>
    <col min="3608" max="3608" width="10" style="25" customWidth="1"/>
    <col min="3609" max="3609" width="14" style="25" customWidth="1"/>
    <col min="3610" max="3610" width="11.5703125" style="25" customWidth="1"/>
    <col min="3611" max="3611" width="8.28515625" style="25" customWidth="1"/>
    <col min="3612" max="3612" width="7.7109375" style="25" customWidth="1"/>
    <col min="3613" max="3853" width="11.42578125" style="25"/>
    <col min="3854" max="3854" width="0.7109375" style="25" customWidth="1"/>
    <col min="3855" max="3855" width="10.7109375" style="25" customWidth="1"/>
    <col min="3856" max="3856" width="5.28515625" style="25" customWidth="1"/>
    <col min="3857" max="3857" width="10.28515625" style="25" customWidth="1"/>
    <col min="3858" max="3858" width="7.7109375" style="25" customWidth="1"/>
    <col min="3859" max="3859" width="8" style="25" customWidth="1"/>
    <col min="3860" max="3860" width="9.7109375" style="25" customWidth="1"/>
    <col min="3861" max="3861" width="8.42578125" style="25" customWidth="1"/>
    <col min="3862" max="3862" width="10.5703125" style="25" customWidth="1"/>
    <col min="3863" max="3863" width="12.7109375" style="25" customWidth="1"/>
    <col min="3864" max="3864" width="10" style="25" customWidth="1"/>
    <col min="3865" max="3865" width="14" style="25" customWidth="1"/>
    <col min="3866" max="3866" width="11.5703125" style="25" customWidth="1"/>
    <col min="3867" max="3867" width="8.28515625" style="25" customWidth="1"/>
    <col min="3868" max="3868" width="7.7109375" style="25" customWidth="1"/>
    <col min="3869" max="4109" width="11.42578125" style="25"/>
    <col min="4110" max="4110" width="0.7109375" style="25" customWidth="1"/>
    <col min="4111" max="4111" width="10.7109375" style="25" customWidth="1"/>
    <col min="4112" max="4112" width="5.28515625" style="25" customWidth="1"/>
    <col min="4113" max="4113" width="10.28515625" style="25" customWidth="1"/>
    <col min="4114" max="4114" width="7.7109375" style="25" customWidth="1"/>
    <col min="4115" max="4115" width="8" style="25" customWidth="1"/>
    <col min="4116" max="4116" width="9.7109375" style="25" customWidth="1"/>
    <col min="4117" max="4117" width="8.42578125" style="25" customWidth="1"/>
    <col min="4118" max="4118" width="10.5703125" style="25" customWidth="1"/>
    <col min="4119" max="4119" width="12.7109375" style="25" customWidth="1"/>
    <col min="4120" max="4120" width="10" style="25" customWidth="1"/>
    <col min="4121" max="4121" width="14" style="25" customWidth="1"/>
    <col min="4122" max="4122" width="11.5703125" style="25" customWidth="1"/>
    <col min="4123" max="4123" width="8.28515625" style="25" customWidth="1"/>
    <col min="4124" max="4124" width="7.7109375" style="25" customWidth="1"/>
    <col min="4125" max="4365" width="11.42578125" style="25"/>
    <col min="4366" max="4366" width="0.7109375" style="25" customWidth="1"/>
    <col min="4367" max="4367" width="10.7109375" style="25" customWidth="1"/>
    <col min="4368" max="4368" width="5.28515625" style="25" customWidth="1"/>
    <col min="4369" max="4369" width="10.28515625" style="25" customWidth="1"/>
    <col min="4370" max="4370" width="7.7109375" style="25" customWidth="1"/>
    <col min="4371" max="4371" width="8" style="25" customWidth="1"/>
    <col min="4372" max="4372" width="9.7109375" style="25" customWidth="1"/>
    <col min="4373" max="4373" width="8.42578125" style="25" customWidth="1"/>
    <col min="4374" max="4374" width="10.5703125" style="25" customWidth="1"/>
    <col min="4375" max="4375" width="12.7109375" style="25" customWidth="1"/>
    <col min="4376" max="4376" width="10" style="25" customWidth="1"/>
    <col min="4377" max="4377" width="14" style="25" customWidth="1"/>
    <col min="4378" max="4378" width="11.5703125" style="25" customWidth="1"/>
    <col min="4379" max="4379" width="8.28515625" style="25" customWidth="1"/>
    <col min="4380" max="4380" width="7.7109375" style="25" customWidth="1"/>
    <col min="4381" max="4621" width="11.42578125" style="25"/>
    <col min="4622" max="4622" width="0.7109375" style="25" customWidth="1"/>
    <col min="4623" max="4623" width="10.7109375" style="25" customWidth="1"/>
    <col min="4624" max="4624" width="5.28515625" style="25" customWidth="1"/>
    <col min="4625" max="4625" width="10.28515625" style="25" customWidth="1"/>
    <col min="4626" max="4626" width="7.7109375" style="25" customWidth="1"/>
    <col min="4627" max="4627" width="8" style="25" customWidth="1"/>
    <col min="4628" max="4628" width="9.7109375" style="25" customWidth="1"/>
    <col min="4629" max="4629" width="8.42578125" style="25" customWidth="1"/>
    <col min="4630" max="4630" width="10.5703125" style="25" customWidth="1"/>
    <col min="4631" max="4631" width="12.7109375" style="25" customWidth="1"/>
    <col min="4632" max="4632" width="10" style="25" customWidth="1"/>
    <col min="4633" max="4633" width="14" style="25" customWidth="1"/>
    <col min="4634" max="4634" width="11.5703125" style="25" customWidth="1"/>
    <col min="4635" max="4635" width="8.28515625" style="25" customWidth="1"/>
    <col min="4636" max="4636" width="7.7109375" style="25" customWidth="1"/>
    <col min="4637" max="4877" width="11.42578125" style="25"/>
    <col min="4878" max="4878" width="0.7109375" style="25" customWidth="1"/>
    <col min="4879" max="4879" width="10.7109375" style="25" customWidth="1"/>
    <col min="4880" max="4880" width="5.28515625" style="25" customWidth="1"/>
    <col min="4881" max="4881" width="10.28515625" style="25" customWidth="1"/>
    <col min="4882" max="4882" width="7.7109375" style="25" customWidth="1"/>
    <col min="4883" max="4883" width="8" style="25" customWidth="1"/>
    <col min="4884" max="4884" width="9.7109375" style="25" customWidth="1"/>
    <col min="4885" max="4885" width="8.42578125" style="25" customWidth="1"/>
    <col min="4886" max="4886" width="10.5703125" style="25" customWidth="1"/>
    <col min="4887" max="4887" width="12.7109375" style="25" customWidth="1"/>
    <col min="4888" max="4888" width="10" style="25" customWidth="1"/>
    <col min="4889" max="4889" width="14" style="25" customWidth="1"/>
    <col min="4890" max="4890" width="11.5703125" style="25" customWidth="1"/>
    <col min="4891" max="4891" width="8.28515625" style="25" customWidth="1"/>
    <col min="4892" max="4892" width="7.7109375" style="25" customWidth="1"/>
    <col min="4893" max="5133" width="11.42578125" style="25"/>
    <col min="5134" max="5134" width="0.7109375" style="25" customWidth="1"/>
    <col min="5135" max="5135" width="10.7109375" style="25" customWidth="1"/>
    <col min="5136" max="5136" width="5.28515625" style="25" customWidth="1"/>
    <col min="5137" max="5137" width="10.28515625" style="25" customWidth="1"/>
    <col min="5138" max="5138" width="7.7109375" style="25" customWidth="1"/>
    <col min="5139" max="5139" width="8" style="25" customWidth="1"/>
    <col min="5140" max="5140" width="9.7109375" style="25" customWidth="1"/>
    <col min="5141" max="5141" width="8.42578125" style="25" customWidth="1"/>
    <col min="5142" max="5142" width="10.5703125" style="25" customWidth="1"/>
    <col min="5143" max="5143" width="12.7109375" style="25" customWidth="1"/>
    <col min="5144" max="5144" width="10" style="25" customWidth="1"/>
    <col min="5145" max="5145" width="14" style="25" customWidth="1"/>
    <col min="5146" max="5146" width="11.5703125" style="25" customWidth="1"/>
    <col min="5147" max="5147" width="8.28515625" style="25" customWidth="1"/>
    <col min="5148" max="5148" width="7.7109375" style="25" customWidth="1"/>
    <col min="5149" max="5389" width="11.42578125" style="25"/>
    <col min="5390" max="5390" width="0.7109375" style="25" customWidth="1"/>
    <col min="5391" max="5391" width="10.7109375" style="25" customWidth="1"/>
    <col min="5392" max="5392" width="5.28515625" style="25" customWidth="1"/>
    <col min="5393" max="5393" width="10.28515625" style="25" customWidth="1"/>
    <col min="5394" max="5394" width="7.7109375" style="25" customWidth="1"/>
    <col min="5395" max="5395" width="8" style="25" customWidth="1"/>
    <col min="5396" max="5396" width="9.7109375" style="25" customWidth="1"/>
    <col min="5397" max="5397" width="8.42578125" style="25" customWidth="1"/>
    <col min="5398" max="5398" width="10.5703125" style="25" customWidth="1"/>
    <col min="5399" max="5399" width="12.7109375" style="25" customWidth="1"/>
    <col min="5400" max="5400" width="10" style="25" customWidth="1"/>
    <col min="5401" max="5401" width="14" style="25" customWidth="1"/>
    <col min="5402" max="5402" width="11.5703125" style="25" customWidth="1"/>
    <col min="5403" max="5403" width="8.28515625" style="25" customWidth="1"/>
    <col min="5404" max="5404" width="7.7109375" style="25" customWidth="1"/>
    <col min="5405" max="5645" width="11.42578125" style="25"/>
    <col min="5646" max="5646" width="0.7109375" style="25" customWidth="1"/>
    <col min="5647" max="5647" width="10.7109375" style="25" customWidth="1"/>
    <col min="5648" max="5648" width="5.28515625" style="25" customWidth="1"/>
    <col min="5649" max="5649" width="10.28515625" style="25" customWidth="1"/>
    <col min="5650" max="5650" width="7.7109375" style="25" customWidth="1"/>
    <col min="5651" max="5651" width="8" style="25" customWidth="1"/>
    <col min="5652" max="5652" width="9.7109375" style="25" customWidth="1"/>
    <col min="5653" max="5653" width="8.42578125" style="25" customWidth="1"/>
    <col min="5654" max="5654" width="10.5703125" style="25" customWidth="1"/>
    <col min="5655" max="5655" width="12.7109375" style="25" customWidth="1"/>
    <col min="5656" max="5656" width="10" style="25" customWidth="1"/>
    <col min="5657" max="5657" width="14" style="25" customWidth="1"/>
    <col min="5658" max="5658" width="11.5703125" style="25" customWidth="1"/>
    <col min="5659" max="5659" width="8.28515625" style="25" customWidth="1"/>
    <col min="5660" max="5660" width="7.7109375" style="25" customWidth="1"/>
    <col min="5661" max="5901" width="11.42578125" style="25"/>
    <col min="5902" max="5902" width="0.7109375" style="25" customWidth="1"/>
    <col min="5903" max="5903" width="10.7109375" style="25" customWidth="1"/>
    <col min="5904" max="5904" width="5.28515625" style="25" customWidth="1"/>
    <col min="5905" max="5905" width="10.28515625" style="25" customWidth="1"/>
    <col min="5906" max="5906" width="7.7109375" style="25" customWidth="1"/>
    <col min="5907" max="5907" width="8" style="25" customWidth="1"/>
    <col min="5908" max="5908" width="9.7109375" style="25" customWidth="1"/>
    <col min="5909" max="5909" width="8.42578125" style="25" customWidth="1"/>
    <col min="5910" max="5910" width="10.5703125" style="25" customWidth="1"/>
    <col min="5911" max="5911" width="12.7109375" style="25" customWidth="1"/>
    <col min="5912" max="5912" width="10" style="25" customWidth="1"/>
    <col min="5913" max="5913" width="14" style="25" customWidth="1"/>
    <col min="5914" max="5914" width="11.5703125" style="25" customWidth="1"/>
    <col min="5915" max="5915" width="8.28515625" style="25" customWidth="1"/>
    <col min="5916" max="5916" width="7.7109375" style="25" customWidth="1"/>
    <col min="5917" max="6157" width="11.42578125" style="25"/>
    <col min="6158" max="6158" width="0.7109375" style="25" customWidth="1"/>
    <col min="6159" max="6159" width="10.7109375" style="25" customWidth="1"/>
    <col min="6160" max="6160" width="5.28515625" style="25" customWidth="1"/>
    <col min="6161" max="6161" width="10.28515625" style="25" customWidth="1"/>
    <col min="6162" max="6162" width="7.7109375" style="25" customWidth="1"/>
    <col min="6163" max="6163" width="8" style="25" customWidth="1"/>
    <col min="6164" max="6164" width="9.7109375" style="25" customWidth="1"/>
    <col min="6165" max="6165" width="8.42578125" style="25" customWidth="1"/>
    <col min="6166" max="6166" width="10.5703125" style="25" customWidth="1"/>
    <col min="6167" max="6167" width="12.7109375" style="25" customWidth="1"/>
    <col min="6168" max="6168" width="10" style="25" customWidth="1"/>
    <col min="6169" max="6169" width="14" style="25" customWidth="1"/>
    <col min="6170" max="6170" width="11.5703125" style="25" customWidth="1"/>
    <col min="6171" max="6171" width="8.28515625" style="25" customWidth="1"/>
    <col min="6172" max="6172" width="7.7109375" style="25" customWidth="1"/>
    <col min="6173" max="6413" width="11.42578125" style="25"/>
    <col min="6414" max="6414" width="0.7109375" style="25" customWidth="1"/>
    <col min="6415" max="6415" width="10.7109375" style="25" customWidth="1"/>
    <col min="6416" max="6416" width="5.28515625" style="25" customWidth="1"/>
    <col min="6417" max="6417" width="10.28515625" style="25" customWidth="1"/>
    <col min="6418" max="6418" width="7.7109375" style="25" customWidth="1"/>
    <col min="6419" max="6419" width="8" style="25" customWidth="1"/>
    <col min="6420" max="6420" width="9.7109375" style="25" customWidth="1"/>
    <col min="6421" max="6421" width="8.42578125" style="25" customWidth="1"/>
    <col min="6422" max="6422" width="10.5703125" style="25" customWidth="1"/>
    <col min="6423" max="6423" width="12.7109375" style="25" customWidth="1"/>
    <col min="6424" max="6424" width="10" style="25" customWidth="1"/>
    <col min="6425" max="6425" width="14" style="25" customWidth="1"/>
    <col min="6426" max="6426" width="11.5703125" style="25" customWidth="1"/>
    <col min="6427" max="6427" width="8.28515625" style="25" customWidth="1"/>
    <col min="6428" max="6428" width="7.7109375" style="25" customWidth="1"/>
    <col min="6429" max="6669" width="11.42578125" style="25"/>
    <col min="6670" max="6670" width="0.7109375" style="25" customWidth="1"/>
    <col min="6671" max="6671" width="10.7109375" style="25" customWidth="1"/>
    <col min="6672" max="6672" width="5.28515625" style="25" customWidth="1"/>
    <col min="6673" max="6673" width="10.28515625" style="25" customWidth="1"/>
    <col min="6674" max="6674" width="7.7109375" style="25" customWidth="1"/>
    <col min="6675" max="6675" width="8" style="25" customWidth="1"/>
    <col min="6676" max="6676" width="9.7109375" style="25" customWidth="1"/>
    <col min="6677" max="6677" width="8.42578125" style="25" customWidth="1"/>
    <col min="6678" max="6678" width="10.5703125" style="25" customWidth="1"/>
    <col min="6679" max="6679" width="12.7109375" style="25" customWidth="1"/>
    <col min="6680" max="6680" width="10" style="25" customWidth="1"/>
    <col min="6681" max="6681" width="14" style="25" customWidth="1"/>
    <col min="6682" max="6682" width="11.5703125" style="25" customWidth="1"/>
    <col min="6683" max="6683" width="8.28515625" style="25" customWidth="1"/>
    <col min="6684" max="6684" width="7.7109375" style="25" customWidth="1"/>
    <col min="6685" max="6925" width="11.42578125" style="25"/>
    <col min="6926" max="6926" width="0.7109375" style="25" customWidth="1"/>
    <col min="6927" max="6927" width="10.7109375" style="25" customWidth="1"/>
    <col min="6928" max="6928" width="5.28515625" style="25" customWidth="1"/>
    <col min="6929" max="6929" width="10.28515625" style="25" customWidth="1"/>
    <col min="6930" max="6930" width="7.7109375" style="25" customWidth="1"/>
    <col min="6931" max="6931" width="8" style="25" customWidth="1"/>
    <col min="6932" max="6932" width="9.7109375" style="25" customWidth="1"/>
    <col min="6933" max="6933" width="8.42578125" style="25" customWidth="1"/>
    <col min="6934" max="6934" width="10.5703125" style="25" customWidth="1"/>
    <col min="6935" max="6935" width="12.7109375" style="25" customWidth="1"/>
    <col min="6936" max="6936" width="10" style="25" customWidth="1"/>
    <col min="6937" max="6937" width="14" style="25" customWidth="1"/>
    <col min="6938" max="6938" width="11.5703125" style="25" customWidth="1"/>
    <col min="6939" max="6939" width="8.28515625" style="25" customWidth="1"/>
    <col min="6940" max="6940" width="7.7109375" style="25" customWidth="1"/>
    <col min="6941" max="7181" width="11.42578125" style="25"/>
    <col min="7182" max="7182" width="0.7109375" style="25" customWidth="1"/>
    <col min="7183" max="7183" width="10.7109375" style="25" customWidth="1"/>
    <col min="7184" max="7184" width="5.28515625" style="25" customWidth="1"/>
    <col min="7185" max="7185" width="10.28515625" style="25" customWidth="1"/>
    <col min="7186" max="7186" width="7.7109375" style="25" customWidth="1"/>
    <col min="7187" max="7187" width="8" style="25" customWidth="1"/>
    <col min="7188" max="7188" width="9.7109375" style="25" customWidth="1"/>
    <col min="7189" max="7189" width="8.42578125" style="25" customWidth="1"/>
    <col min="7190" max="7190" width="10.5703125" style="25" customWidth="1"/>
    <col min="7191" max="7191" width="12.7109375" style="25" customWidth="1"/>
    <col min="7192" max="7192" width="10" style="25" customWidth="1"/>
    <col min="7193" max="7193" width="14" style="25" customWidth="1"/>
    <col min="7194" max="7194" width="11.5703125" style="25" customWidth="1"/>
    <col min="7195" max="7195" width="8.28515625" style="25" customWidth="1"/>
    <col min="7196" max="7196" width="7.7109375" style="25" customWidth="1"/>
    <col min="7197" max="7437" width="11.42578125" style="25"/>
    <col min="7438" max="7438" width="0.7109375" style="25" customWidth="1"/>
    <col min="7439" max="7439" width="10.7109375" style="25" customWidth="1"/>
    <col min="7440" max="7440" width="5.28515625" style="25" customWidth="1"/>
    <col min="7441" max="7441" width="10.28515625" style="25" customWidth="1"/>
    <col min="7442" max="7442" width="7.7109375" style="25" customWidth="1"/>
    <col min="7443" max="7443" width="8" style="25" customWidth="1"/>
    <col min="7444" max="7444" width="9.7109375" style="25" customWidth="1"/>
    <col min="7445" max="7445" width="8.42578125" style="25" customWidth="1"/>
    <col min="7446" max="7446" width="10.5703125" style="25" customWidth="1"/>
    <col min="7447" max="7447" width="12.7109375" style="25" customWidth="1"/>
    <col min="7448" max="7448" width="10" style="25" customWidth="1"/>
    <col min="7449" max="7449" width="14" style="25" customWidth="1"/>
    <col min="7450" max="7450" width="11.5703125" style="25" customWidth="1"/>
    <col min="7451" max="7451" width="8.28515625" style="25" customWidth="1"/>
    <col min="7452" max="7452" width="7.7109375" style="25" customWidth="1"/>
    <col min="7453" max="7693" width="11.42578125" style="25"/>
    <col min="7694" max="7694" width="0.7109375" style="25" customWidth="1"/>
    <col min="7695" max="7695" width="10.7109375" style="25" customWidth="1"/>
    <col min="7696" max="7696" width="5.28515625" style="25" customWidth="1"/>
    <col min="7697" max="7697" width="10.28515625" style="25" customWidth="1"/>
    <col min="7698" max="7698" width="7.7109375" style="25" customWidth="1"/>
    <col min="7699" max="7699" width="8" style="25" customWidth="1"/>
    <col min="7700" max="7700" width="9.7109375" style="25" customWidth="1"/>
    <col min="7701" max="7701" width="8.42578125" style="25" customWidth="1"/>
    <col min="7702" max="7702" width="10.5703125" style="25" customWidth="1"/>
    <col min="7703" max="7703" width="12.7109375" style="25" customWidth="1"/>
    <col min="7704" max="7704" width="10" style="25" customWidth="1"/>
    <col min="7705" max="7705" width="14" style="25" customWidth="1"/>
    <col min="7706" max="7706" width="11.5703125" style="25" customWidth="1"/>
    <col min="7707" max="7707" width="8.28515625" style="25" customWidth="1"/>
    <col min="7708" max="7708" width="7.7109375" style="25" customWidth="1"/>
    <col min="7709" max="7949" width="11.42578125" style="25"/>
    <col min="7950" max="7950" width="0.7109375" style="25" customWidth="1"/>
    <col min="7951" max="7951" width="10.7109375" style="25" customWidth="1"/>
    <col min="7952" max="7952" width="5.28515625" style="25" customWidth="1"/>
    <col min="7953" max="7953" width="10.28515625" style="25" customWidth="1"/>
    <col min="7954" max="7954" width="7.7109375" style="25" customWidth="1"/>
    <col min="7955" max="7955" width="8" style="25" customWidth="1"/>
    <col min="7956" max="7956" width="9.7109375" style="25" customWidth="1"/>
    <col min="7957" max="7957" width="8.42578125" style="25" customWidth="1"/>
    <col min="7958" max="7958" width="10.5703125" style="25" customWidth="1"/>
    <col min="7959" max="7959" width="12.7109375" style="25" customWidth="1"/>
    <col min="7960" max="7960" width="10" style="25" customWidth="1"/>
    <col min="7961" max="7961" width="14" style="25" customWidth="1"/>
    <col min="7962" max="7962" width="11.5703125" style="25" customWidth="1"/>
    <col min="7963" max="7963" width="8.28515625" style="25" customWidth="1"/>
    <col min="7964" max="7964" width="7.7109375" style="25" customWidth="1"/>
    <col min="7965" max="8205" width="11.42578125" style="25"/>
    <col min="8206" max="8206" width="0.7109375" style="25" customWidth="1"/>
    <col min="8207" max="8207" width="10.7109375" style="25" customWidth="1"/>
    <col min="8208" max="8208" width="5.28515625" style="25" customWidth="1"/>
    <col min="8209" max="8209" width="10.28515625" style="25" customWidth="1"/>
    <col min="8210" max="8210" width="7.7109375" style="25" customWidth="1"/>
    <col min="8211" max="8211" width="8" style="25" customWidth="1"/>
    <col min="8212" max="8212" width="9.7109375" style="25" customWidth="1"/>
    <col min="8213" max="8213" width="8.42578125" style="25" customWidth="1"/>
    <col min="8214" max="8214" width="10.5703125" style="25" customWidth="1"/>
    <col min="8215" max="8215" width="12.7109375" style="25" customWidth="1"/>
    <col min="8216" max="8216" width="10" style="25" customWidth="1"/>
    <col min="8217" max="8217" width="14" style="25" customWidth="1"/>
    <col min="8218" max="8218" width="11.5703125" style="25" customWidth="1"/>
    <col min="8219" max="8219" width="8.28515625" style="25" customWidth="1"/>
    <col min="8220" max="8220" width="7.7109375" style="25" customWidth="1"/>
    <col min="8221" max="8461" width="11.42578125" style="25"/>
    <col min="8462" max="8462" width="0.7109375" style="25" customWidth="1"/>
    <col min="8463" max="8463" width="10.7109375" style="25" customWidth="1"/>
    <col min="8464" max="8464" width="5.28515625" style="25" customWidth="1"/>
    <col min="8465" max="8465" width="10.28515625" style="25" customWidth="1"/>
    <col min="8466" max="8466" width="7.7109375" style="25" customWidth="1"/>
    <col min="8467" max="8467" width="8" style="25" customWidth="1"/>
    <col min="8468" max="8468" width="9.7109375" style="25" customWidth="1"/>
    <col min="8469" max="8469" width="8.42578125" style="25" customWidth="1"/>
    <col min="8470" max="8470" width="10.5703125" style="25" customWidth="1"/>
    <col min="8471" max="8471" width="12.7109375" style="25" customWidth="1"/>
    <col min="8472" max="8472" width="10" style="25" customWidth="1"/>
    <col min="8473" max="8473" width="14" style="25" customWidth="1"/>
    <col min="8474" max="8474" width="11.5703125" style="25" customWidth="1"/>
    <col min="8475" max="8475" width="8.28515625" style="25" customWidth="1"/>
    <col min="8476" max="8476" width="7.7109375" style="25" customWidth="1"/>
    <col min="8477" max="8717" width="11.42578125" style="25"/>
    <col min="8718" max="8718" width="0.7109375" style="25" customWidth="1"/>
    <col min="8719" max="8719" width="10.7109375" style="25" customWidth="1"/>
    <col min="8720" max="8720" width="5.28515625" style="25" customWidth="1"/>
    <col min="8721" max="8721" width="10.28515625" style="25" customWidth="1"/>
    <col min="8722" max="8722" width="7.7109375" style="25" customWidth="1"/>
    <col min="8723" max="8723" width="8" style="25" customWidth="1"/>
    <col min="8724" max="8724" width="9.7109375" style="25" customWidth="1"/>
    <col min="8725" max="8725" width="8.42578125" style="25" customWidth="1"/>
    <col min="8726" max="8726" width="10.5703125" style="25" customWidth="1"/>
    <col min="8727" max="8727" width="12.7109375" style="25" customWidth="1"/>
    <col min="8728" max="8728" width="10" style="25" customWidth="1"/>
    <col min="8729" max="8729" width="14" style="25" customWidth="1"/>
    <col min="8730" max="8730" width="11.5703125" style="25" customWidth="1"/>
    <col min="8731" max="8731" width="8.28515625" style="25" customWidth="1"/>
    <col min="8732" max="8732" width="7.7109375" style="25" customWidth="1"/>
    <col min="8733" max="8973" width="11.42578125" style="25"/>
    <col min="8974" max="8974" width="0.7109375" style="25" customWidth="1"/>
    <col min="8975" max="8975" width="10.7109375" style="25" customWidth="1"/>
    <col min="8976" max="8976" width="5.28515625" style="25" customWidth="1"/>
    <col min="8977" max="8977" width="10.28515625" style="25" customWidth="1"/>
    <col min="8978" max="8978" width="7.7109375" style="25" customWidth="1"/>
    <col min="8979" max="8979" width="8" style="25" customWidth="1"/>
    <col min="8980" max="8980" width="9.7109375" style="25" customWidth="1"/>
    <col min="8981" max="8981" width="8.42578125" style="25" customWidth="1"/>
    <col min="8982" max="8982" width="10.5703125" style="25" customWidth="1"/>
    <col min="8983" max="8983" width="12.7109375" style="25" customWidth="1"/>
    <col min="8984" max="8984" width="10" style="25" customWidth="1"/>
    <col min="8985" max="8985" width="14" style="25" customWidth="1"/>
    <col min="8986" max="8986" width="11.5703125" style="25" customWidth="1"/>
    <col min="8987" max="8987" width="8.28515625" style="25" customWidth="1"/>
    <col min="8988" max="8988" width="7.7109375" style="25" customWidth="1"/>
    <col min="8989" max="9229" width="11.42578125" style="25"/>
    <col min="9230" max="9230" width="0.7109375" style="25" customWidth="1"/>
    <col min="9231" max="9231" width="10.7109375" style="25" customWidth="1"/>
    <col min="9232" max="9232" width="5.28515625" style="25" customWidth="1"/>
    <col min="9233" max="9233" width="10.28515625" style="25" customWidth="1"/>
    <col min="9234" max="9234" width="7.7109375" style="25" customWidth="1"/>
    <col min="9235" max="9235" width="8" style="25" customWidth="1"/>
    <col min="9236" max="9236" width="9.7109375" style="25" customWidth="1"/>
    <col min="9237" max="9237" width="8.42578125" style="25" customWidth="1"/>
    <col min="9238" max="9238" width="10.5703125" style="25" customWidth="1"/>
    <col min="9239" max="9239" width="12.7109375" style="25" customWidth="1"/>
    <col min="9240" max="9240" width="10" style="25" customWidth="1"/>
    <col min="9241" max="9241" width="14" style="25" customWidth="1"/>
    <col min="9242" max="9242" width="11.5703125" style="25" customWidth="1"/>
    <col min="9243" max="9243" width="8.28515625" style="25" customWidth="1"/>
    <col min="9244" max="9244" width="7.7109375" style="25" customWidth="1"/>
    <col min="9245" max="9485" width="11.42578125" style="25"/>
    <col min="9486" max="9486" width="0.7109375" style="25" customWidth="1"/>
    <col min="9487" max="9487" width="10.7109375" style="25" customWidth="1"/>
    <col min="9488" max="9488" width="5.28515625" style="25" customWidth="1"/>
    <col min="9489" max="9489" width="10.28515625" style="25" customWidth="1"/>
    <col min="9490" max="9490" width="7.7109375" style="25" customWidth="1"/>
    <col min="9491" max="9491" width="8" style="25" customWidth="1"/>
    <col min="9492" max="9492" width="9.7109375" style="25" customWidth="1"/>
    <col min="9493" max="9493" width="8.42578125" style="25" customWidth="1"/>
    <col min="9494" max="9494" width="10.5703125" style="25" customWidth="1"/>
    <col min="9495" max="9495" width="12.7109375" style="25" customWidth="1"/>
    <col min="9496" max="9496" width="10" style="25" customWidth="1"/>
    <col min="9497" max="9497" width="14" style="25" customWidth="1"/>
    <col min="9498" max="9498" width="11.5703125" style="25" customWidth="1"/>
    <col min="9499" max="9499" width="8.28515625" style="25" customWidth="1"/>
    <col min="9500" max="9500" width="7.7109375" style="25" customWidth="1"/>
    <col min="9501" max="9741" width="11.42578125" style="25"/>
    <col min="9742" max="9742" width="0.7109375" style="25" customWidth="1"/>
    <col min="9743" max="9743" width="10.7109375" style="25" customWidth="1"/>
    <col min="9744" max="9744" width="5.28515625" style="25" customWidth="1"/>
    <col min="9745" max="9745" width="10.28515625" style="25" customWidth="1"/>
    <col min="9746" max="9746" width="7.7109375" style="25" customWidth="1"/>
    <col min="9747" max="9747" width="8" style="25" customWidth="1"/>
    <col min="9748" max="9748" width="9.7109375" style="25" customWidth="1"/>
    <col min="9749" max="9749" width="8.42578125" style="25" customWidth="1"/>
    <col min="9750" max="9750" width="10.5703125" style="25" customWidth="1"/>
    <col min="9751" max="9751" width="12.7109375" style="25" customWidth="1"/>
    <col min="9752" max="9752" width="10" style="25" customWidth="1"/>
    <col min="9753" max="9753" width="14" style="25" customWidth="1"/>
    <col min="9754" max="9754" width="11.5703125" style="25" customWidth="1"/>
    <col min="9755" max="9755" width="8.28515625" style="25" customWidth="1"/>
    <col min="9756" max="9756" width="7.7109375" style="25" customWidth="1"/>
    <col min="9757" max="9997" width="11.42578125" style="25"/>
    <col min="9998" max="9998" width="0.7109375" style="25" customWidth="1"/>
    <col min="9999" max="9999" width="10.7109375" style="25" customWidth="1"/>
    <col min="10000" max="10000" width="5.28515625" style="25" customWidth="1"/>
    <col min="10001" max="10001" width="10.28515625" style="25" customWidth="1"/>
    <col min="10002" max="10002" width="7.7109375" style="25" customWidth="1"/>
    <col min="10003" max="10003" width="8" style="25" customWidth="1"/>
    <col min="10004" max="10004" width="9.7109375" style="25" customWidth="1"/>
    <col min="10005" max="10005" width="8.42578125" style="25" customWidth="1"/>
    <col min="10006" max="10006" width="10.5703125" style="25" customWidth="1"/>
    <col min="10007" max="10007" width="12.7109375" style="25" customWidth="1"/>
    <col min="10008" max="10008" width="10" style="25" customWidth="1"/>
    <col min="10009" max="10009" width="14" style="25" customWidth="1"/>
    <col min="10010" max="10010" width="11.5703125" style="25" customWidth="1"/>
    <col min="10011" max="10011" width="8.28515625" style="25" customWidth="1"/>
    <col min="10012" max="10012" width="7.7109375" style="25" customWidth="1"/>
    <col min="10013" max="10253" width="11.42578125" style="25"/>
    <col min="10254" max="10254" width="0.7109375" style="25" customWidth="1"/>
    <col min="10255" max="10255" width="10.7109375" style="25" customWidth="1"/>
    <col min="10256" max="10256" width="5.28515625" style="25" customWidth="1"/>
    <col min="10257" max="10257" width="10.28515625" style="25" customWidth="1"/>
    <col min="10258" max="10258" width="7.7109375" style="25" customWidth="1"/>
    <col min="10259" max="10259" width="8" style="25" customWidth="1"/>
    <col min="10260" max="10260" width="9.7109375" style="25" customWidth="1"/>
    <col min="10261" max="10261" width="8.42578125" style="25" customWidth="1"/>
    <col min="10262" max="10262" width="10.5703125" style="25" customWidth="1"/>
    <col min="10263" max="10263" width="12.7109375" style="25" customWidth="1"/>
    <col min="10264" max="10264" width="10" style="25" customWidth="1"/>
    <col min="10265" max="10265" width="14" style="25" customWidth="1"/>
    <col min="10266" max="10266" width="11.5703125" style="25" customWidth="1"/>
    <col min="10267" max="10267" width="8.28515625" style="25" customWidth="1"/>
    <col min="10268" max="10268" width="7.7109375" style="25" customWidth="1"/>
    <col min="10269" max="10509" width="11.42578125" style="25"/>
    <col min="10510" max="10510" width="0.7109375" style="25" customWidth="1"/>
    <col min="10511" max="10511" width="10.7109375" style="25" customWidth="1"/>
    <col min="10512" max="10512" width="5.28515625" style="25" customWidth="1"/>
    <col min="10513" max="10513" width="10.28515625" style="25" customWidth="1"/>
    <col min="10514" max="10514" width="7.7109375" style="25" customWidth="1"/>
    <col min="10515" max="10515" width="8" style="25" customWidth="1"/>
    <col min="10516" max="10516" width="9.7109375" style="25" customWidth="1"/>
    <col min="10517" max="10517" width="8.42578125" style="25" customWidth="1"/>
    <col min="10518" max="10518" width="10.5703125" style="25" customWidth="1"/>
    <col min="10519" max="10519" width="12.7109375" style="25" customWidth="1"/>
    <col min="10520" max="10520" width="10" style="25" customWidth="1"/>
    <col min="10521" max="10521" width="14" style="25" customWidth="1"/>
    <col min="10522" max="10522" width="11.5703125" style="25" customWidth="1"/>
    <col min="10523" max="10523" width="8.28515625" style="25" customWidth="1"/>
    <col min="10524" max="10524" width="7.7109375" style="25" customWidth="1"/>
    <col min="10525" max="10765" width="11.42578125" style="25"/>
    <col min="10766" max="10766" width="0.7109375" style="25" customWidth="1"/>
    <col min="10767" max="10767" width="10.7109375" style="25" customWidth="1"/>
    <col min="10768" max="10768" width="5.28515625" style="25" customWidth="1"/>
    <col min="10769" max="10769" width="10.28515625" style="25" customWidth="1"/>
    <col min="10770" max="10770" width="7.7109375" style="25" customWidth="1"/>
    <col min="10771" max="10771" width="8" style="25" customWidth="1"/>
    <col min="10772" max="10772" width="9.7109375" style="25" customWidth="1"/>
    <col min="10773" max="10773" width="8.42578125" style="25" customWidth="1"/>
    <col min="10774" max="10774" width="10.5703125" style="25" customWidth="1"/>
    <col min="10775" max="10775" width="12.7109375" style="25" customWidth="1"/>
    <col min="10776" max="10776" width="10" style="25" customWidth="1"/>
    <col min="10777" max="10777" width="14" style="25" customWidth="1"/>
    <col min="10778" max="10778" width="11.5703125" style="25" customWidth="1"/>
    <col min="10779" max="10779" width="8.28515625" style="25" customWidth="1"/>
    <col min="10780" max="10780" width="7.7109375" style="25" customWidth="1"/>
    <col min="10781" max="11021" width="11.42578125" style="25"/>
    <col min="11022" max="11022" width="0.7109375" style="25" customWidth="1"/>
    <col min="11023" max="11023" width="10.7109375" style="25" customWidth="1"/>
    <col min="11024" max="11024" width="5.28515625" style="25" customWidth="1"/>
    <col min="11025" max="11025" width="10.28515625" style="25" customWidth="1"/>
    <col min="11026" max="11026" width="7.7109375" style="25" customWidth="1"/>
    <col min="11027" max="11027" width="8" style="25" customWidth="1"/>
    <col min="11028" max="11028" width="9.7109375" style="25" customWidth="1"/>
    <col min="11029" max="11029" width="8.42578125" style="25" customWidth="1"/>
    <col min="11030" max="11030" width="10.5703125" style="25" customWidth="1"/>
    <col min="11031" max="11031" width="12.7109375" style="25" customWidth="1"/>
    <col min="11032" max="11032" width="10" style="25" customWidth="1"/>
    <col min="11033" max="11033" width="14" style="25" customWidth="1"/>
    <col min="11034" max="11034" width="11.5703125" style="25" customWidth="1"/>
    <col min="11035" max="11035" width="8.28515625" style="25" customWidth="1"/>
    <col min="11036" max="11036" width="7.7109375" style="25" customWidth="1"/>
    <col min="11037" max="11277" width="11.42578125" style="25"/>
    <col min="11278" max="11278" width="0.7109375" style="25" customWidth="1"/>
    <col min="11279" max="11279" width="10.7109375" style="25" customWidth="1"/>
    <col min="11280" max="11280" width="5.28515625" style="25" customWidth="1"/>
    <col min="11281" max="11281" width="10.28515625" style="25" customWidth="1"/>
    <col min="11282" max="11282" width="7.7109375" style="25" customWidth="1"/>
    <col min="11283" max="11283" width="8" style="25" customWidth="1"/>
    <col min="11284" max="11284" width="9.7109375" style="25" customWidth="1"/>
    <col min="11285" max="11285" width="8.42578125" style="25" customWidth="1"/>
    <col min="11286" max="11286" width="10.5703125" style="25" customWidth="1"/>
    <col min="11287" max="11287" width="12.7109375" style="25" customWidth="1"/>
    <col min="11288" max="11288" width="10" style="25" customWidth="1"/>
    <col min="11289" max="11289" width="14" style="25" customWidth="1"/>
    <col min="11290" max="11290" width="11.5703125" style="25" customWidth="1"/>
    <col min="11291" max="11291" width="8.28515625" style="25" customWidth="1"/>
    <col min="11292" max="11292" width="7.7109375" style="25" customWidth="1"/>
    <col min="11293" max="11533" width="11.42578125" style="25"/>
    <col min="11534" max="11534" width="0.7109375" style="25" customWidth="1"/>
    <col min="11535" max="11535" width="10.7109375" style="25" customWidth="1"/>
    <col min="11536" max="11536" width="5.28515625" style="25" customWidth="1"/>
    <col min="11537" max="11537" width="10.28515625" style="25" customWidth="1"/>
    <col min="11538" max="11538" width="7.7109375" style="25" customWidth="1"/>
    <col min="11539" max="11539" width="8" style="25" customWidth="1"/>
    <col min="11540" max="11540" width="9.7109375" style="25" customWidth="1"/>
    <col min="11541" max="11541" width="8.42578125" style="25" customWidth="1"/>
    <col min="11542" max="11542" width="10.5703125" style="25" customWidth="1"/>
    <col min="11543" max="11543" width="12.7109375" style="25" customWidth="1"/>
    <col min="11544" max="11544" width="10" style="25" customWidth="1"/>
    <col min="11545" max="11545" width="14" style="25" customWidth="1"/>
    <col min="11546" max="11546" width="11.5703125" style="25" customWidth="1"/>
    <col min="11547" max="11547" width="8.28515625" style="25" customWidth="1"/>
    <col min="11548" max="11548" width="7.7109375" style="25" customWidth="1"/>
    <col min="11549" max="11789" width="11.42578125" style="25"/>
    <col min="11790" max="11790" width="0.7109375" style="25" customWidth="1"/>
    <col min="11791" max="11791" width="10.7109375" style="25" customWidth="1"/>
    <col min="11792" max="11792" width="5.28515625" style="25" customWidth="1"/>
    <col min="11793" max="11793" width="10.28515625" style="25" customWidth="1"/>
    <col min="11794" max="11794" width="7.7109375" style="25" customWidth="1"/>
    <col min="11795" max="11795" width="8" style="25" customWidth="1"/>
    <col min="11796" max="11796" width="9.7109375" style="25" customWidth="1"/>
    <col min="11797" max="11797" width="8.42578125" style="25" customWidth="1"/>
    <col min="11798" max="11798" width="10.5703125" style="25" customWidth="1"/>
    <col min="11799" max="11799" width="12.7109375" style="25" customWidth="1"/>
    <col min="11800" max="11800" width="10" style="25" customWidth="1"/>
    <col min="11801" max="11801" width="14" style="25" customWidth="1"/>
    <col min="11802" max="11802" width="11.5703125" style="25" customWidth="1"/>
    <col min="11803" max="11803" width="8.28515625" style="25" customWidth="1"/>
    <col min="11804" max="11804" width="7.7109375" style="25" customWidth="1"/>
    <col min="11805" max="12045" width="11.42578125" style="25"/>
    <col min="12046" max="12046" width="0.7109375" style="25" customWidth="1"/>
    <col min="12047" max="12047" width="10.7109375" style="25" customWidth="1"/>
    <col min="12048" max="12048" width="5.28515625" style="25" customWidth="1"/>
    <col min="12049" max="12049" width="10.28515625" style="25" customWidth="1"/>
    <col min="12050" max="12050" width="7.7109375" style="25" customWidth="1"/>
    <col min="12051" max="12051" width="8" style="25" customWidth="1"/>
    <col min="12052" max="12052" width="9.7109375" style="25" customWidth="1"/>
    <col min="12053" max="12053" width="8.42578125" style="25" customWidth="1"/>
    <col min="12054" max="12054" width="10.5703125" style="25" customWidth="1"/>
    <col min="12055" max="12055" width="12.7109375" style="25" customWidth="1"/>
    <col min="12056" max="12056" width="10" style="25" customWidth="1"/>
    <col min="12057" max="12057" width="14" style="25" customWidth="1"/>
    <col min="12058" max="12058" width="11.5703125" style="25" customWidth="1"/>
    <col min="12059" max="12059" width="8.28515625" style="25" customWidth="1"/>
    <col min="12060" max="12060" width="7.7109375" style="25" customWidth="1"/>
    <col min="12061" max="12301" width="11.42578125" style="25"/>
    <col min="12302" max="12302" width="0.7109375" style="25" customWidth="1"/>
    <col min="12303" max="12303" width="10.7109375" style="25" customWidth="1"/>
    <col min="12304" max="12304" width="5.28515625" style="25" customWidth="1"/>
    <col min="12305" max="12305" width="10.28515625" style="25" customWidth="1"/>
    <col min="12306" max="12306" width="7.7109375" style="25" customWidth="1"/>
    <col min="12307" max="12307" width="8" style="25" customWidth="1"/>
    <col min="12308" max="12308" width="9.7109375" style="25" customWidth="1"/>
    <col min="12309" max="12309" width="8.42578125" style="25" customWidth="1"/>
    <col min="12310" max="12310" width="10.5703125" style="25" customWidth="1"/>
    <col min="12311" max="12311" width="12.7109375" style="25" customWidth="1"/>
    <col min="12312" max="12312" width="10" style="25" customWidth="1"/>
    <col min="12313" max="12313" width="14" style="25" customWidth="1"/>
    <col min="12314" max="12314" width="11.5703125" style="25" customWidth="1"/>
    <col min="12315" max="12315" width="8.28515625" style="25" customWidth="1"/>
    <col min="12316" max="12316" width="7.7109375" style="25" customWidth="1"/>
    <col min="12317" max="12557" width="11.42578125" style="25"/>
    <col min="12558" max="12558" width="0.7109375" style="25" customWidth="1"/>
    <col min="12559" max="12559" width="10.7109375" style="25" customWidth="1"/>
    <col min="12560" max="12560" width="5.28515625" style="25" customWidth="1"/>
    <col min="12561" max="12561" width="10.28515625" style="25" customWidth="1"/>
    <col min="12562" max="12562" width="7.7109375" style="25" customWidth="1"/>
    <col min="12563" max="12563" width="8" style="25" customWidth="1"/>
    <col min="12564" max="12564" width="9.7109375" style="25" customWidth="1"/>
    <col min="12565" max="12565" width="8.42578125" style="25" customWidth="1"/>
    <col min="12566" max="12566" width="10.5703125" style="25" customWidth="1"/>
    <col min="12567" max="12567" width="12.7109375" style="25" customWidth="1"/>
    <col min="12568" max="12568" width="10" style="25" customWidth="1"/>
    <col min="12569" max="12569" width="14" style="25" customWidth="1"/>
    <col min="12570" max="12570" width="11.5703125" style="25" customWidth="1"/>
    <col min="12571" max="12571" width="8.28515625" style="25" customWidth="1"/>
    <col min="12572" max="12572" width="7.7109375" style="25" customWidth="1"/>
    <col min="12573" max="12813" width="11.42578125" style="25"/>
    <col min="12814" max="12814" width="0.7109375" style="25" customWidth="1"/>
    <col min="12815" max="12815" width="10.7109375" style="25" customWidth="1"/>
    <col min="12816" max="12816" width="5.28515625" style="25" customWidth="1"/>
    <col min="12817" max="12817" width="10.28515625" style="25" customWidth="1"/>
    <col min="12818" max="12818" width="7.7109375" style="25" customWidth="1"/>
    <col min="12819" max="12819" width="8" style="25" customWidth="1"/>
    <col min="12820" max="12820" width="9.7109375" style="25" customWidth="1"/>
    <col min="12821" max="12821" width="8.42578125" style="25" customWidth="1"/>
    <col min="12822" max="12822" width="10.5703125" style="25" customWidth="1"/>
    <col min="12823" max="12823" width="12.7109375" style="25" customWidth="1"/>
    <col min="12824" max="12824" width="10" style="25" customWidth="1"/>
    <col min="12825" max="12825" width="14" style="25" customWidth="1"/>
    <col min="12826" max="12826" width="11.5703125" style="25" customWidth="1"/>
    <col min="12827" max="12827" width="8.28515625" style="25" customWidth="1"/>
    <col min="12828" max="12828" width="7.7109375" style="25" customWidth="1"/>
    <col min="12829" max="13069" width="11.42578125" style="25"/>
    <col min="13070" max="13070" width="0.7109375" style="25" customWidth="1"/>
    <col min="13071" max="13071" width="10.7109375" style="25" customWidth="1"/>
    <col min="13072" max="13072" width="5.28515625" style="25" customWidth="1"/>
    <col min="13073" max="13073" width="10.28515625" style="25" customWidth="1"/>
    <col min="13074" max="13074" width="7.7109375" style="25" customWidth="1"/>
    <col min="13075" max="13075" width="8" style="25" customWidth="1"/>
    <col min="13076" max="13076" width="9.7109375" style="25" customWidth="1"/>
    <col min="13077" max="13077" width="8.42578125" style="25" customWidth="1"/>
    <col min="13078" max="13078" width="10.5703125" style="25" customWidth="1"/>
    <col min="13079" max="13079" width="12.7109375" style="25" customWidth="1"/>
    <col min="13080" max="13080" width="10" style="25" customWidth="1"/>
    <col min="13081" max="13081" width="14" style="25" customWidth="1"/>
    <col min="13082" max="13082" width="11.5703125" style="25" customWidth="1"/>
    <col min="13083" max="13083" width="8.28515625" style="25" customWidth="1"/>
    <col min="13084" max="13084" width="7.7109375" style="25" customWidth="1"/>
    <col min="13085" max="13325" width="11.42578125" style="25"/>
    <col min="13326" max="13326" width="0.7109375" style="25" customWidth="1"/>
    <col min="13327" max="13327" width="10.7109375" style="25" customWidth="1"/>
    <col min="13328" max="13328" width="5.28515625" style="25" customWidth="1"/>
    <col min="13329" max="13329" width="10.28515625" style="25" customWidth="1"/>
    <col min="13330" max="13330" width="7.7109375" style="25" customWidth="1"/>
    <col min="13331" max="13331" width="8" style="25" customWidth="1"/>
    <col min="13332" max="13332" width="9.7109375" style="25" customWidth="1"/>
    <col min="13333" max="13333" width="8.42578125" style="25" customWidth="1"/>
    <col min="13334" max="13334" width="10.5703125" style="25" customWidth="1"/>
    <col min="13335" max="13335" width="12.7109375" style="25" customWidth="1"/>
    <col min="13336" max="13336" width="10" style="25" customWidth="1"/>
    <col min="13337" max="13337" width="14" style="25" customWidth="1"/>
    <col min="13338" max="13338" width="11.5703125" style="25" customWidth="1"/>
    <col min="13339" max="13339" width="8.28515625" style="25" customWidth="1"/>
    <col min="13340" max="13340" width="7.7109375" style="25" customWidth="1"/>
    <col min="13341" max="13581" width="11.42578125" style="25"/>
    <col min="13582" max="13582" width="0.7109375" style="25" customWidth="1"/>
    <col min="13583" max="13583" width="10.7109375" style="25" customWidth="1"/>
    <col min="13584" max="13584" width="5.28515625" style="25" customWidth="1"/>
    <col min="13585" max="13585" width="10.28515625" style="25" customWidth="1"/>
    <col min="13586" max="13586" width="7.7109375" style="25" customWidth="1"/>
    <col min="13587" max="13587" width="8" style="25" customWidth="1"/>
    <col min="13588" max="13588" width="9.7109375" style="25" customWidth="1"/>
    <col min="13589" max="13589" width="8.42578125" style="25" customWidth="1"/>
    <col min="13590" max="13590" width="10.5703125" style="25" customWidth="1"/>
    <col min="13591" max="13591" width="12.7109375" style="25" customWidth="1"/>
    <col min="13592" max="13592" width="10" style="25" customWidth="1"/>
    <col min="13593" max="13593" width="14" style="25" customWidth="1"/>
    <col min="13594" max="13594" width="11.5703125" style="25" customWidth="1"/>
    <col min="13595" max="13595" width="8.28515625" style="25" customWidth="1"/>
    <col min="13596" max="13596" width="7.7109375" style="25" customWidth="1"/>
    <col min="13597" max="13837" width="11.42578125" style="25"/>
    <col min="13838" max="13838" width="0.7109375" style="25" customWidth="1"/>
    <col min="13839" max="13839" width="10.7109375" style="25" customWidth="1"/>
    <col min="13840" max="13840" width="5.28515625" style="25" customWidth="1"/>
    <col min="13841" max="13841" width="10.28515625" style="25" customWidth="1"/>
    <col min="13842" max="13842" width="7.7109375" style="25" customWidth="1"/>
    <col min="13843" max="13843" width="8" style="25" customWidth="1"/>
    <col min="13844" max="13844" width="9.7109375" style="25" customWidth="1"/>
    <col min="13845" max="13845" width="8.42578125" style="25" customWidth="1"/>
    <col min="13846" max="13846" width="10.5703125" style="25" customWidth="1"/>
    <col min="13847" max="13847" width="12.7109375" style="25" customWidth="1"/>
    <col min="13848" max="13848" width="10" style="25" customWidth="1"/>
    <col min="13849" max="13849" width="14" style="25" customWidth="1"/>
    <col min="13850" max="13850" width="11.5703125" style="25" customWidth="1"/>
    <col min="13851" max="13851" width="8.28515625" style="25" customWidth="1"/>
    <col min="13852" max="13852" width="7.7109375" style="25" customWidth="1"/>
    <col min="13853" max="14093" width="11.42578125" style="25"/>
    <col min="14094" max="14094" width="0.7109375" style="25" customWidth="1"/>
    <col min="14095" max="14095" width="10.7109375" style="25" customWidth="1"/>
    <col min="14096" max="14096" width="5.28515625" style="25" customWidth="1"/>
    <col min="14097" max="14097" width="10.28515625" style="25" customWidth="1"/>
    <col min="14098" max="14098" width="7.7109375" style="25" customWidth="1"/>
    <col min="14099" max="14099" width="8" style="25" customWidth="1"/>
    <col min="14100" max="14100" width="9.7109375" style="25" customWidth="1"/>
    <col min="14101" max="14101" width="8.42578125" style="25" customWidth="1"/>
    <col min="14102" max="14102" width="10.5703125" style="25" customWidth="1"/>
    <col min="14103" max="14103" width="12.7109375" style="25" customWidth="1"/>
    <col min="14104" max="14104" width="10" style="25" customWidth="1"/>
    <col min="14105" max="14105" width="14" style="25" customWidth="1"/>
    <col min="14106" max="14106" width="11.5703125" style="25" customWidth="1"/>
    <col min="14107" max="14107" width="8.28515625" style="25" customWidth="1"/>
    <col min="14108" max="14108" width="7.7109375" style="25" customWidth="1"/>
    <col min="14109" max="14349" width="11.42578125" style="25"/>
    <col min="14350" max="14350" width="0.7109375" style="25" customWidth="1"/>
    <col min="14351" max="14351" width="10.7109375" style="25" customWidth="1"/>
    <col min="14352" max="14352" width="5.28515625" style="25" customWidth="1"/>
    <col min="14353" max="14353" width="10.28515625" style="25" customWidth="1"/>
    <col min="14354" max="14354" width="7.7109375" style="25" customWidth="1"/>
    <col min="14355" max="14355" width="8" style="25" customWidth="1"/>
    <col min="14356" max="14356" width="9.7109375" style="25" customWidth="1"/>
    <col min="14357" max="14357" width="8.42578125" style="25" customWidth="1"/>
    <col min="14358" max="14358" width="10.5703125" style="25" customWidth="1"/>
    <col min="14359" max="14359" width="12.7109375" style="25" customWidth="1"/>
    <col min="14360" max="14360" width="10" style="25" customWidth="1"/>
    <col min="14361" max="14361" width="14" style="25" customWidth="1"/>
    <col min="14362" max="14362" width="11.5703125" style="25" customWidth="1"/>
    <col min="14363" max="14363" width="8.28515625" style="25" customWidth="1"/>
    <col min="14364" max="14364" width="7.7109375" style="25" customWidth="1"/>
    <col min="14365" max="14605" width="11.42578125" style="25"/>
    <col min="14606" max="14606" width="0.7109375" style="25" customWidth="1"/>
    <col min="14607" max="14607" width="10.7109375" style="25" customWidth="1"/>
    <col min="14608" max="14608" width="5.28515625" style="25" customWidth="1"/>
    <col min="14609" max="14609" width="10.28515625" style="25" customWidth="1"/>
    <col min="14610" max="14610" width="7.7109375" style="25" customWidth="1"/>
    <col min="14611" max="14611" width="8" style="25" customWidth="1"/>
    <col min="14612" max="14612" width="9.7109375" style="25" customWidth="1"/>
    <col min="14613" max="14613" width="8.42578125" style="25" customWidth="1"/>
    <col min="14614" max="14614" width="10.5703125" style="25" customWidth="1"/>
    <col min="14615" max="14615" width="12.7109375" style="25" customWidth="1"/>
    <col min="14616" max="14616" width="10" style="25" customWidth="1"/>
    <col min="14617" max="14617" width="14" style="25" customWidth="1"/>
    <col min="14618" max="14618" width="11.5703125" style="25" customWidth="1"/>
    <col min="14619" max="14619" width="8.28515625" style="25" customWidth="1"/>
    <col min="14620" max="14620" width="7.7109375" style="25" customWidth="1"/>
    <col min="14621" max="14861" width="11.42578125" style="25"/>
    <col min="14862" max="14862" width="0.7109375" style="25" customWidth="1"/>
    <col min="14863" max="14863" width="10.7109375" style="25" customWidth="1"/>
    <col min="14864" max="14864" width="5.28515625" style="25" customWidth="1"/>
    <col min="14865" max="14865" width="10.28515625" style="25" customWidth="1"/>
    <col min="14866" max="14866" width="7.7109375" style="25" customWidth="1"/>
    <col min="14867" max="14867" width="8" style="25" customWidth="1"/>
    <col min="14868" max="14868" width="9.7109375" style="25" customWidth="1"/>
    <col min="14869" max="14869" width="8.42578125" style="25" customWidth="1"/>
    <col min="14870" max="14870" width="10.5703125" style="25" customWidth="1"/>
    <col min="14871" max="14871" width="12.7109375" style="25" customWidth="1"/>
    <col min="14872" max="14872" width="10" style="25" customWidth="1"/>
    <col min="14873" max="14873" width="14" style="25" customWidth="1"/>
    <col min="14874" max="14874" width="11.5703125" style="25" customWidth="1"/>
    <col min="14875" max="14875" width="8.28515625" style="25" customWidth="1"/>
    <col min="14876" max="14876" width="7.7109375" style="25" customWidth="1"/>
    <col min="14877" max="15117" width="11.42578125" style="25"/>
    <col min="15118" max="15118" width="0.7109375" style="25" customWidth="1"/>
    <col min="15119" max="15119" width="10.7109375" style="25" customWidth="1"/>
    <col min="15120" max="15120" width="5.28515625" style="25" customWidth="1"/>
    <col min="15121" max="15121" width="10.28515625" style="25" customWidth="1"/>
    <col min="15122" max="15122" width="7.7109375" style="25" customWidth="1"/>
    <col min="15123" max="15123" width="8" style="25" customWidth="1"/>
    <col min="15124" max="15124" width="9.7109375" style="25" customWidth="1"/>
    <col min="15125" max="15125" width="8.42578125" style="25" customWidth="1"/>
    <col min="15126" max="15126" width="10.5703125" style="25" customWidth="1"/>
    <col min="15127" max="15127" width="12.7109375" style="25" customWidth="1"/>
    <col min="15128" max="15128" width="10" style="25" customWidth="1"/>
    <col min="15129" max="15129" width="14" style="25" customWidth="1"/>
    <col min="15130" max="15130" width="11.5703125" style="25" customWidth="1"/>
    <col min="15131" max="15131" width="8.28515625" style="25" customWidth="1"/>
    <col min="15132" max="15132" width="7.7109375" style="25" customWidth="1"/>
    <col min="15133" max="15373" width="11.42578125" style="25"/>
    <col min="15374" max="15374" width="0.7109375" style="25" customWidth="1"/>
    <col min="15375" max="15375" width="10.7109375" style="25" customWidth="1"/>
    <col min="15376" max="15376" width="5.28515625" style="25" customWidth="1"/>
    <col min="15377" max="15377" width="10.28515625" style="25" customWidth="1"/>
    <col min="15378" max="15378" width="7.7109375" style="25" customWidth="1"/>
    <col min="15379" max="15379" width="8" style="25" customWidth="1"/>
    <col min="15380" max="15380" width="9.7109375" style="25" customWidth="1"/>
    <col min="15381" max="15381" width="8.42578125" style="25" customWidth="1"/>
    <col min="15382" max="15382" width="10.5703125" style="25" customWidth="1"/>
    <col min="15383" max="15383" width="12.7109375" style="25" customWidth="1"/>
    <col min="15384" max="15384" width="10" style="25" customWidth="1"/>
    <col min="15385" max="15385" width="14" style="25" customWidth="1"/>
    <col min="15386" max="15386" width="11.5703125" style="25" customWidth="1"/>
    <col min="15387" max="15387" width="8.28515625" style="25" customWidth="1"/>
    <col min="15388" max="15388" width="7.7109375" style="25" customWidth="1"/>
    <col min="15389" max="15629" width="11.42578125" style="25"/>
    <col min="15630" max="15630" width="0.7109375" style="25" customWidth="1"/>
    <col min="15631" max="15631" width="10.7109375" style="25" customWidth="1"/>
    <col min="15632" max="15632" width="5.28515625" style="25" customWidth="1"/>
    <col min="15633" max="15633" width="10.28515625" style="25" customWidth="1"/>
    <col min="15634" max="15634" width="7.7109375" style="25" customWidth="1"/>
    <col min="15635" max="15635" width="8" style="25" customWidth="1"/>
    <col min="15636" max="15636" width="9.7109375" style="25" customWidth="1"/>
    <col min="15637" max="15637" width="8.42578125" style="25" customWidth="1"/>
    <col min="15638" max="15638" width="10.5703125" style="25" customWidth="1"/>
    <col min="15639" max="15639" width="12.7109375" style="25" customWidth="1"/>
    <col min="15640" max="15640" width="10" style="25" customWidth="1"/>
    <col min="15641" max="15641" width="14" style="25" customWidth="1"/>
    <col min="15642" max="15642" width="11.5703125" style="25" customWidth="1"/>
    <col min="15643" max="15643" width="8.28515625" style="25" customWidth="1"/>
    <col min="15644" max="15644" width="7.7109375" style="25" customWidth="1"/>
    <col min="15645" max="15885" width="11.42578125" style="25"/>
    <col min="15886" max="15886" width="0.7109375" style="25" customWidth="1"/>
    <col min="15887" max="15887" width="10.7109375" style="25" customWidth="1"/>
    <col min="15888" max="15888" width="5.28515625" style="25" customWidth="1"/>
    <col min="15889" max="15889" width="10.28515625" style="25" customWidth="1"/>
    <col min="15890" max="15890" width="7.7109375" style="25" customWidth="1"/>
    <col min="15891" max="15891" width="8" style="25" customWidth="1"/>
    <col min="15892" max="15892" width="9.7109375" style="25" customWidth="1"/>
    <col min="15893" max="15893" width="8.42578125" style="25" customWidth="1"/>
    <col min="15894" max="15894" width="10.5703125" style="25" customWidth="1"/>
    <col min="15895" max="15895" width="12.7109375" style="25" customWidth="1"/>
    <col min="15896" max="15896" width="10" style="25" customWidth="1"/>
    <col min="15897" max="15897" width="14" style="25" customWidth="1"/>
    <col min="15898" max="15898" width="11.5703125" style="25" customWidth="1"/>
    <col min="15899" max="15899" width="8.28515625" style="25" customWidth="1"/>
    <col min="15900" max="15900" width="7.7109375" style="25" customWidth="1"/>
    <col min="15901" max="16141" width="11.42578125" style="25"/>
    <col min="16142" max="16142" width="0.7109375" style="25" customWidth="1"/>
    <col min="16143" max="16143" width="10.7109375" style="25" customWidth="1"/>
    <col min="16144" max="16144" width="5.28515625" style="25" customWidth="1"/>
    <col min="16145" max="16145" width="10.28515625" style="25" customWidth="1"/>
    <col min="16146" max="16146" width="7.7109375" style="25" customWidth="1"/>
    <col min="16147" max="16147" width="8" style="25" customWidth="1"/>
    <col min="16148" max="16148" width="9.7109375" style="25" customWidth="1"/>
    <col min="16149" max="16149" width="8.42578125" style="25" customWidth="1"/>
    <col min="16150" max="16150" width="10.5703125" style="25" customWidth="1"/>
    <col min="16151" max="16151" width="12.7109375" style="25" customWidth="1"/>
    <col min="16152" max="16152" width="10" style="25" customWidth="1"/>
    <col min="16153" max="16153" width="14" style="25" customWidth="1"/>
    <col min="16154" max="16154" width="11.5703125" style="25" customWidth="1"/>
    <col min="16155" max="16155" width="8.28515625" style="25" customWidth="1"/>
    <col min="16156" max="16156" width="7.7109375" style="25" customWidth="1"/>
    <col min="16157" max="16384" width="11.42578125" style="25"/>
  </cols>
  <sheetData>
    <row r="1" spans="1:23" s="1" customFormat="1" ht="18" customHeight="1" thickTop="1">
      <c r="A1" s="56"/>
      <c r="B1" s="57"/>
      <c r="C1" s="57"/>
      <c r="D1" s="58"/>
      <c r="E1" s="59"/>
      <c r="F1" s="59"/>
      <c r="G1" s="59"/>
      <c r="H1" s="59"/>
      <c r="I1" s="60"/>
      <c r="J1" s="61"/>
      <c r="K1" s="572"/>
      <c r="L1" s="572"/>
      <c r="M1" s="62"/>
      <c r="N1" s="25"/>
      <c r="O1" s="25"/>
      <c r="P1" s="25"/>
      <c r="Q1" s="25"/>
      <c r="R1" s="25"/>
      <c r="S1" s="25"/>
      <c r="T1" s="25"/>
      <c r="U1" s="25"/>
      <c r="V1" s="25"/>
      <c r="W1" s="25"/>
    </row>
    <row r="2" spans="1:23" ht="18" customHeight="1">
      <c r="A2" s="63"/>
      <c r="B2" s="12"/>
      <c r="C2" s="12"/>
      <c r="D2" s="13"/>
      <c r="E2" s="574" t="s">
        <v>82</v>
      </c>
      <c r="F2" s="574"/>
      <c r="G2" s="574"/>
      <c r="H2" s="574"/>
      <c r="I2" s="574"/>
      <c r="J2" s="574"/>
      <c r="K2" s="573"/>
      <c r="L2" s="573"/>
      <c r="M2" s="6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2.6" customHeight="1">
      <c r="A3" s="63"/>
      <c r="B3" s="12"/>
      <c r="C3" s="12"/>
      <c r="D3" s="13"/>
      <c r="E3" s="88"/>
      <c r="F3" s="88"/>
      <c r="G3" s="88"/>
      <c r="H3" s="88"/>
      <c r="I3" s="88"/>
      <c r="J3" s="88"/>
      <c r="K3" s="573"/>
      <c r="L3" s="573"/>
      <c r="M3" s="6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2" customHeight="1">
      <c r="A4" s="63"/>
      <c r="B4" s="12"/>
      <c r="C4" s="12"/>
      <c r="D4" s="13"/>
      <c r="E4" s="14"/>
      <c r="F4" s="15"/>
      <c r="G4" s="15"/>
      <c r="H4" s="15"/>
      <c r="I4" s="16"/>
      <c r="J4" s="17"/>
      <c r="K4" s="573"/>
      <c r="L4" s="573"/>
      <c r="M4" s="6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6.5" customHeight="1">
      <c r="A5" s="63"/>
      <c r="B5" s="18"/>
      <c r="C5" s="18"/>
      <c r="D5" s="44" t="s">
        <v>0</v>
      </c>
      <c r="E5" s="125" t="s">
        <v>305</v>
      </c>
      <c r="F5" s="15"/>
      <c r="G5" s="47" t="s">
        <v>1</v>
      </c>
      <c r="H5" s="575" t="s">
        <v>311</v>
      </c>
      <c r="I5" s="575"/>
      <c r="J5" s="17"/>
      <c r="K5" s="115"/>
      <c r="L5" s="116"/>
      <c r="M5" s="65"/>
      <c r="N5" s="93"/>
      <c r="O5" s="93"/>
      <c r="P5" s="93"/>
      <c r="Q5" s="93"/>
      <c r="R5" s="93"/>
      <c r="S5" s="93"/>
      <c r="T5" s="93"/>
      <c r="U5" s="93"/>
      <c r="V5" s="93"/>
      <c r="W5" s="93"/>
    </row>
    <row r="6" spans="1:23" ht="16.5" customHeight="1">
      <c r="A6" s="63"/>
      <c r="B6" s="12"/>
      <c r="C6" s="12"/>
      <c r="D6" s="44" t="s">
        <v>3</v>
      </c>
      <c r="E6" s="126">
        <v>11220</v>
      </c>
      <c r="F6" s="15"/>
      <c r="G6" s="47" t="s">
        <v>4</v>
      </c>
      <c r="H6" s="576" t="s">
        <v>218</v>
      </c>
      <c r="I6" s="576"/>
      <c r="J6" s="12"/>
      <c r="K6" s="52" t="s">
        <v>2</v>
      </c>
      <c r="L6" s="53">
        <v>45754</v>
      </c>
      <c r="M6" s="113"/>
      <c r="N6" s="94"/>
      <c r="O6" s="94"/>
      <c r="P6" s="94"/>
      <c r="Q6" s="94"/>
      <c r="R6" s="94"/>
      <c r="S6" s="94"/>
      <c r="T6" s="94"/>
      <c r="U6" s="94"/>
      <c r="V6" s="94"/>
      <c r="W6" s="94"/>
    </row>
    <row r="7" spans="1:23" ht="16.5" customHeight="1">
      <c r="A7" s="63"/>
      <c r="B7" s="12"/>
      <c r="C7" s="12"/>
      <c r="D7" s="44" t="s">
        <v>5</v>
      </c>
      <c r="E7" s="127">
        <v>8530</v>
      </c>
      <c r="F7" s="15"/>
      <c r="G7" s="47" t="s">
        <v>6</v>
      </c>
      <c r="H7" s="49">
        <v>1</v>
      </c>
      <c r="I7" s="50"/>
      <c r="J7" s="17"/>
      <c r="K7" s="52" t="s">
        <v>83</v>
      </c>
      <c r="L7" s="563" t="s">
        <v>345</v>
      </c>
      <c r="M7" s="577"/>
      <c r="N7" s="94"/>
      <c r="O7" s="94"/>
      <c r="P7" s="94"/>
      <c r="Q7" s="94"/>
      <c r="R7" s="94"/>
      <c r="S7" s="94"/>
      <c r="T7" s="94"/>
      <c r="U7" s="94"/>
      <c r="V7" s="94"/>
      <c r="W7" s="94"/>
    </row>
    <row r="8" spans="1:23" ht="16.5" customHeight="1">
      <c r="A8" s="63"/>
      <c r="B8" s="12"/>
      <c r="C8" s="12"/>
      <c r="D8" s="44" t="s">
        <v>7</v>
      </c>
      <c r="E8" s="45">
        <v>7</v>
      </c>
      <c r="F8" s="15"/>
      <c r="G8" s="47" t="s">
        <v>306</v>
      </c>
      <c r="H8" s="578">
        <v>85</v>
      </c>
      <c r="I8" s="578"/>
      <c r="J8" s="19"/>
      <c r="K8" s="52" t="s">
        <v>84</v>
      </c>
      <c r="L8" s="563" t="s">
        <v>322</v>
      </c>
      <c r="M8" s="577"/>
      <c r="N8" s="26"/>
      <c r="O8" s="26"/>
      <c r="P8" s="26"/>
      <c r="Q8" s="26"/>
      <c r="R8" s="26"/>
      <c r="S8" s="26"/>
      <c r="T8" s="26"/>
      <c r="U8" s="26"/>
      <c r="V8" s="26"/>
      <c r="W8" s="26"/>
    </row>
    <row r="9" spans="1:23" ht="16.5" customHeight="1" thickBot="1">
      <c r="A9" s="560" t="s">
        <v>295</v>
      </c>
      <c r="B9" s="561"/>
      <c r="C9" s="12"/>
      <c r="D9" s="44" t="s">
        <v>226</v>
      </c>
      <c r="E9" s="46">
        <v>29</v>
      </c>
      <c r="F9" s="15"/>
      <c r="G9" s="44" t="s">
        <v>14</v>
      </c>
      <c r="H9" s="45" t="s">
        <v>100</v>
      </c>
      <c r="I9" s="51"/>
      <c r="J9" s="17"/>
      <c r="K9" s="115"/>
      <c r="L9" s="116"/>
      <c r="M9" s="66">
        <v>27.58</v>
      </c>
      <c r="N9" s="24"/>
      <c r="O9" s="24"/>
      <c r="P9" s="24"/>
      <c r="Q9" s="24"/>
      <c r="R9" s="24"/>
      <c r="S9" s="24"/>
      <c r="T9" s="24"/>
      <c r="U9" s="24"/>
      <c r="V9" s="24"/>
      <c r="W9" s="24"/>
    </row>
    <row r="10" spans="1:23" ht="16.5" customHeight="1">
      <c r="A10" s="562" t="s">
        <v>225</v>
      </c>
      <c r="B10" s="563"/>
      <c r="C10" s="82"/>
      <c r="D10" s="83" t="s">
        <v>98</v>
      </c>
      <c r="E10" s="84" t="s">
        <v>224</v>
      </c>
      <c r="F10" s="67"/>
      <c r="G10" s="117" t="s">
        <v>99</v>
      </c>
      <c r="H10" s="128" t="s">
        <v>222</v>
      </c>
      <c r="I10" s="67"/>
      <c r="J10" s="17"/>
      <c r="K10" s="52" t="s">
        <v>8</v>
      </c>
      <c r="L10" s="252">
        <f>SUM(L11-L12)</f>
        <v>21355</v>
      </c>
      <c r="M10" s="68"/>
      <c r="N10" s="24"/>
      <c r="O10" s="241"/>
      <c r="P10" s="24"/>
      <c r="Q10" s="24"/>
      <c r="R10" s="24"/>
      <c r="S10" s="24"/>
      <c r="T10" s="24"/>
      <c r="U10" s="24"/>
      <c r="V10" s="24"/>
      <c r="W10" s="24"/>
    </row>
    <row r="11" spans="1:23" ht="20.65" customHeight="1">
      <c r="A11" s="365" t="s">
        <v>301</v>
      </c>
      <c r="B11" s="12"/>
      <c r="C11" s="85"/>
      <c r="D11" s="83" t="s">
        <v>10</v>
      </c>
      <c r="E11" s="110" t="s">
        <v>103</v>
      </c>
      <c r="F11" s="67"/>
      <c r="G11" s="117" t="s">
        <v>10</v>
      </c>
      <c r="H11" s="319" t="s">
        <v>103</v>
      </c>
      <c r="I11" s="67"/>
      <c r="J11" s="17"/>
      <c r="K11" s="52" t="s">
        <v>9</v>
      </c>
      <c r="L11" s="254">
        <v>21365</v>
      </c>
      <c r="M11" s="350"/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 spans="1:23" ht="16.5" customHeight="1" thickBot="1">
      <c r="A12" s="366" t="s">
        <v>304</v>
      </c>
      <c r="B12" s="367">
        <v>4.05</v>
      </c>
      <c r="C12" s="85"/>
      <c r="D12" s="83" t="s">
        <v>13</v>
      </c>
      <c r="E12" s="86">
        <v>4.7759999999999998</v>
      </c>
      <c r="G12" s="117" t="s">
        <v>13</v>
      </c>
      <c r="H12" s="175">
        <v>4.8659999999999997</v>
      </c>
      <c r="I12" s="129"/>
      <c r="J12" s="17"/>
      <c r="K12" s="52" t="s">
        <v>12</v>
      </c>
      <c r="L12" s="253">
        <v>10</v>
      </c>
      <c r="M12" s="349"/>
      <c r="N12" s="26"/>
      <c r="O12" s="241"/>
      <c r="P12" s="24"/>
      <c r="Q12" s="24"/>
      <c r="R12" s="24"/>
      <c r="S12" s="24"/>
      <c r="T12" s="24"/>
      <c r="U12" s="24"/>
      <c r="V12" s="24"/>
      <c r="W12" s="24"/>
    </row>
    <row r="13" spans="1:23" ht="16.5" customHeight="1" thickBot="1">
      <c r="A13" s="365" t="s">
        <v>303</v>
      </c>
      <c r="B13" s="12"/>
      <c r="C13" s="85"/>
      <c r="D13" s="87" t="s">
        <v>302</v>
      </c>
      <c r="E13" s="364">
        <v>6.25</v>
      </c>
      <c r="F13" s="47"/>
      <c r="G13" s="117" t="s">
        <v>302</v>
      </c>
      <c r="H13" s="564">
        <v>6.25</v>
      </c>
      <c r="I13" s="564"/>
      <c r="J13" s="17"/>
      <c r="K13" s="52" t="s">
        <v>46</v>
      </c>
      <c r="L13" s="161">
        <f>J333</f>
        <v>11528.421000000006</v>
      </c>
      <c r="M13" s="118"/>
      <c r="N13" s="24"/>
      <c r="O13" s="24"/>
      <c r="P13" s="24"/>
      <c r="Q13" s="24"/>
      <c r="R13" s="24"/>
      <c r="S13" s="24"/>
      <c r="T13" s="24"/>
      <c r="U13" s="24"/>
      <c r="V13" s="24"/>
      <c r="W13" s="24"/>
    </row>
    <row r="14" spans="1:23" ht="16.5" customHeight="1" thickBot="1">
      <c r="A14" s="63"/>
      <c r="B14" s="12"/>
      <c r="C14" s="85"/>
      <c r="D14" s="47" t="s">
        <v>307</v>
      </c>
      <c r="E14" s="48">
        <v>12.3</v>
      </c>
      <c r="F14" s="47"/>
      <c r="G14" s="47" t="s">
        <v>62</v>
      </c>
      <c r="H14" s="565" t="s">
        <v>223</v>
      </c>
      <c r="I14" s="565"/>
      <c r="J14" s="17"/>
      <c r="K14" s="52" t="s">
        <v>45</v>
      </c>
      <c r="L14" s="162">
        <v>11860</v>
      </c>
      <c r="M14" s="89" t="s">
        <v>66</v>
      </c>
      <c r="N14" s="24"/>
      <c r="O14" s="241"/>
      <c r="P14" s="24"/>
      <c r="Q14" s="24"/>
      <c r="R14" s="24"/>
      <c r="S14" s="24"/>
      <c r="T14" s="24"/>
      <c r="U14" s="24"/>
      <c r="V14" s="24"/>
      <c r="W14" s="24"/>
    </row>
    <row r="15" spans="1:23" ht="16.5" customHeight="1" thickBot="1">
      <c r="A15" s="63"/>
      <c r="B15" s="12"/>
      <c r="C15" s="85"/>
      <c r="D15" s="47" t="s">
        <v>11</v>
      </c>
      <c r="E15" s="174">
        <f>(65.45-E14)/65.45</f>
        <v>0.81207028265851799</v>
      </c>
      <c r="F15" s="69"/>
      <c r="G15" s="44" t="s">
        <v>39</v>
      </c>
      <c r="H15" s="338">
        <f>SUM(C18:C320)</f>
        <v>580</v>
      </c>
      <c r="I15" s="174"/>
      <c r="J15" s="17"/>
      <c r="K15" s="52" t="s">
        <v>102</v>
      </c>
      <c r="L15" s="163" t="s">
        <v>342</v>
      </c>
      <c r="M15" s="70">
        <v>0.11899999999999999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</row>
    <row r="16" spans="1:23" ht="13.5" customHeight="1">
      <c r="A16" s="566" t="s">
        <v>81</v>
      </c>
      <c r="B16" s="567"/>
      <c r="C16" s="570" t="s">
        <v>15</v>
      </c>
      <c r="D16" s="571"/>
      <c r="E16" s="173" t="s">
        <v>76</v>
      </c>
      <c r="F16" s="43" t="s">
        <v>16</v>
      </c>
      <c r="G16" s="43" t="s">
        <v>17</v>
      </c>
      <c r="H16" s="43" t="s">
        <v>16</v>
      </c>
      <c r="I16" s="43" t="s">
        <v>18</v>
      </c>
      <c r="J16" s="43" t="s">
        <v>19</v>
      </c>
      <c r="K16" s="140" t="s">
        <v>20</v>
      </c>
      <c r="L16" s="532" t="s">
        <v>21</v>
      </c>
      <c r="M16" s="533"/>
      <c r="N16" s="95"/>
      <c r="O16" s="95"/>
      <c r="P16" s="24"/>
      <c r="Q16" s="24"/>
      <c r="R16" s="24"/>
      <c r="S16" s="24"/>
      <c r="T16" s="24"/>
      <c r="U16" s="24"/>
      <c r="V16" s="24"/>
      <c r="W16" s="95"/>
    </row>
    <row r="17" spans="1:32" ht="11.65" customHeight="1" thickBot="1">
      <c r="A17" s="568"/>
      <c r="B17" s="569"/>
      <c r="C17" s="90" t="s">
        <v>22</v>
      </c>
      <c r="D17" s="91" t="s">
        <v>105</v>
      </c>
      <c r="E17" s="91" t="s">
        <v>23</v>
      </c>
      <c r="F17" s="92" t="s">
        <v>24</v>
      </c>
      <c r="G17" s="92" t="s">
        <v>24</v>
      </c>
      <c r="H17" s="92" t="s">
        <v>25</v>
      </c>
      <c r="I17" s="92" t="s">
        <v>24</v>
      </c>
      <c r="J17" s="92" t="s">
        <v>26</v>
      </c>
      <c r="K17" s="141" t="s">
        <v>27</v>
      </c>
      <c r="L17" s="534" t="s">
        <v>28</v>
      </c>
      <c r="M17" s="535"/>
      <c r="N17" s="95"/>
      <c r="O17" s="95"/>
      <c r="P17" s="24"/>
      <c r="Q17" s="24"/>
      <c r="R17" s="24"/>
      <c r="S17" s="24"/>
      <c r="T17" s="24"/>
      <c r="U17" s="24"/>
      <c r="V17" s="24"/>
      <c r="W17" s="95"/>
    </row>
    <row r="18" spans="1:32" s="2" customFormat="1" ht="26.1" customHeight="1" thickTop="1">
      <c r="A18" s="536" t="s">
        <v>323</v>
      </c>
      <c r="B18" s="537"/>
      <c r="C18" s="149" t="s">
        <v>101</v>
      </c>
      <c r="D18" s="540" t="s">
        <v>90</v>
      </c>
      <c r="E18" s="541"/>
      <c r="F18" s="184">
        <f>'DECK TALLY'!K6</f>
        <v>3.37</v>
      </c>
      <c r="G18" s="184">
        <f>SUM('DECK TALLY'!K6)</f>
        <v>3.37</v>
      </c>
      <c r="H18" s="150" t="s">
        <v>29</v>
      </c>
      <c r="I18" s="157">
        <f>G18</f>
        <v>3.37</v>
      </c>
      <c r="J18" s="150">
        <f>L10-G18</f>
        <v>21351.63</v>
      </c>
      <c r="K18" s="151">
        <f t="shared" ref="K18:K81" si="0">$H$8+(I18*$E$9*$E$15/1000)</f>
        <v>85.079363628724224</v>
      </c>
      <c r="L18" s="542" t="s">
        <v>324</v>
      </c>
      <c r="M18" s="543"/>
      <c r="N18" s="96"/>
      <c r="O18" s="28"/>
      <c r="P18" s="24"/>
      <c r="Q18" s="24"/>
      <c r="R18" s="24"/>
      <c r="S18" s="24"/>
      <c r="T18" s="24"/>
      <c r="U18" s="24"/>
      <c r="V18" s="24"/>
      <c r="W18" s="96"/>
      <c r="X18" s="25"/>
      <c r="Y18" s="25"/>
      <c r="Z18" s="25"/>
      <c r="AA18" s="25"/>
      <c r="AB18" s="25"/>
      <c r="AC18" s="25"/>
      <c r="AD18" s="25"/>
      <c r="AE18" s="25"/>
      <c r="AF18" s="25"/>
    </row>
    <row r="19" spans="1:32" s="2" customFormat="1" ht="29.65" customHeight="1" thickBot="1">
      <c r="A19" s="538"/>
      <c r="B19" s="539"/>
      <c r="C19" s="185">
        <v>2</v>
      </c>
      <c r="D19" s="546" t="s">
        <v>92</v>
      </c>
      <c r="E19" s="546"/>
      <c r="F19" s="184">
        <f>SUM('DECK TALLY'!K7)</f>
        <v>37.200000000000003</v>
      </c>
      <c r="G19" s="184">
        <f>SUM('DECK TALLY'!K7)</f>
        <v>37.200000000000003</v>
      </c>
      <c r="H19" s="184" t="s">
        <v>29</v>
      </c>
      <c r="I19" s="186">
        <f t="shared" ref="I19:I24" si="1">IF(H19="IN",I18+G19,I18)</f>
        <v>40.57</v>
      </c>
      <c r="J19" s="184">
        <f t="shared" ref="J19:J82" si="2">IF(I19="","",$L$10-I19)</f>
        <v>21314.43</v>
      </c>
      <c r="K19" s="187">
        <f t="shared" si="0"/>
        <v>85.955425049656228</v>
      </c>
      <c r="L19" s="544"/>
      <c r="M19" s="545"/>
      <c r="N19" s="96"/>
      <c r="O19" s="28"/>
      <c r="P19" s="24"/>
      <c r="Q19" s="24"/>
      <c r="R19" s="24"/>
      <c r="S19" s="24"/>
      <c r="T19" s="24"/>
      <c r="U19" s="24"/>
      <c r="V19" s="24"/>
      <c r="W19" s="96"/>
      <c r="X19" s="25"/>
      <c r="Y19" s="25"/>
      <c r="Z19" s="25"/>
      <c r="AA19" s="25"/>
      <c r="AB19" s="25"/>
      <c r="AC19" s="25"/>
      <c r="AD19" s="25"/>
      <c r="AE19" s="25"/>
      <c r="AF19" s="25"/>
    </row>
    <row r="20" spans="1:32" s="2" customFormat="1" ht="14.65" customHeight="1" thickBot="1">
      <c r="A20" s="547" t="s">
        <v>325</v>
      </c>
      <c r="B20" s="548"/>
      <c r="C20" s="152">
        <v>1</v>
      </c>
      <c r="D20" s="549" t="s">
        <v>93</v>
      </c>
      <c r="E20" s="549"/>
      <c r="F20" s="289">
        <f>SUM('DECK TALLY'!K9)</f>
        <v>20.260000000000002</v>
      </c>
      <c r="G20" s="153">
        <f>F20-(B12/12)</f>
        <v>19.922500000000003</v>
      </c>
      <c r="H20" s="153" t="s">
        <v>29</v>
      </c>
      <c r="I20" s="158">
        <f t="shared" si="1"/>
        <v>60.492500000000007</v>
      </c>
      <c r="J20" s="153">
        <f t="shared" si="2"/>
        <v>21294.5075</v>
      </c>
      <c r="K20" s="154">
        <f t="shared" si="0"/>
        <v>86.424600685637898</v>
      </c>
      <c r="L20" s="550" t="s">
        <v>326</v>
      </c>
      <c r="M20" s="551"/>
      <c r="N20" s="96"/>
      <c r="O20" s="28"/>
      <c r="P20" s="24"/>
      <c r="Q20" s="24"/>
      <c r="R20" s="24"/>
      <c r="S20" s="24"/>
      <c r="T20" s="24"/>
      <c r="U20" s="24"/>
      <c r="V20" s="24"/>
      <c r="W20" s="96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s="2" customFormat="1" ht="20.65" customHeight="1" thickBot="1">
      <c r="A21" s="547"/>
      <c r="B21" s="548"/>
      <c r="C21" s="188" t="s">
        <v>101</v>
      </c>
      <c r="D21" s="556" t="s">
        <v>89</v>
      </c>
      <c r="E21" s="557"/>
      <c r="F21" s="290">
        <f>SUM('DECK TALLY'!K10)</f>
        <v>2.91</v>
      </c>
      <c r="G21" s="189">
        <f>F21</f>
        <v>2.91</v>
      </c>
      <c r="H21" s="189" t="s">
        <v>29</v>
      </c>
      <c r="I21" s="190">
        <f t="shared" si="1"/>
        <v>63.402500000000003</v>
      </c>
      <c r="J21" s="189">
        <f t="shared" si="2"/>
        <v>21291.5975</v>
      </c>
      <c r="K21" s="191">
        <f t="shared" si="0"/>
        <v>86.493131296791447</v>
      </c>
      <c r="L21" s="552"/>
      <c r="M21" s="553"/>
      <c r="N21" s="96"/>
      <c r="O21" s="28"/>
      <c r="P21" s="24"/>
      <c r="Q21" s="24"/>
      <c r="R21" s="24"/>
      <c r="S21" s="24"/>
      <c r="T21" s="24"/>
      <c r="U21" s="24"/>
      <c r="V21" s="24"/>
      <c r="W21" s="96"/>
      <c r="X21" s="25"/>
      <c r="Y21" s="25"/>
      <c r="Z21" s="25"/>
      <c r="AA21" s="25"/>
      <c r="AB21" s="25"/>
      <c r="AC21" s="25"/>
      <c r="AD21" s="25"/>
      <c r="AE21" s="25"/>
      <c r="AF21" s="25"/>
    </row>
    <row r="22" spans="1:32" s="2" customFormat="1" ht="24" customHeight="1" thickBot="1">
      <c r="A22" s="547"/>
      <c r="B22" s="548"/>
      <c r="C22" s="292">
        <v>1</v>
      </c>
      <c r="D22" s="558" t="s">
        <v>94</v>
      </c>
      <c r="E22" s="559"/>
      <c r="F22" s="293">
        <f>SUM('DECK TALLY'!K11)</f>
        <v>19.899999999999999</v>
      </c>
      <c r="G22" s="294">
        <f>F22</f>
        <v>19.899999999999999</v>
      </c>
      <c r="H22" s="294" t="s">
        <v>29</v>
      </c>
      <c r="I22" s="295">
        <f>IF(H22="IN",I21+G22,I21)</f>
        <v>83.302500000000009</v>
      </c>
      <c r="J22" s="294">
        <f t="shared" si="2"/>
        <v>21271.697499999998</v>
      </c>
      <c r="K22" s="296">
        <f t="shared" si="0"/>
        <v>86.961777056913675</v>
      </c>
      <c r="L22" s="554"/>
      <c r="M22" s="555"/>
      <c r="N22" s="96"/>
      <c r="O22" s="28"/>
      <c r="P22" s="24"/>
      <c r="Q22" s="24"/>
      <c r="R22" s="24"/>
      <c r="S22" s="24"/>
      <c r="T22" s="24"/>
      <c r="U22" s="24"/>
      <c r="V22" s="24"/>
      <c r="W22" s="96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s="2" customFormat="1" ht="14.65" customHeight="1">
      <c r="A23" s="607" t="s">
        <v>327</v>
      </c>
      <c r="B23" s="608"/>
      <c r="C23" s="297">
        <v>1</v>
      </c>
      <c r="D23" s="611" t="s">
        <v>93</v>
      </c>
      <c r="E23" s="611"/>
      <c r="F23" s="193">
        <f>SUM('DECK TALLY'!K13)</f>
        <v>18.350000000000001</v>
      </c>
      <c r="G23" s="291">
        <f>F23-(B12/12)</f>
        <v>18.012500000000003</v>
      </c>
      <c r="H23" s="291" t="s">
        <v>29</v>
      </c>
      <c r="I23" s="298">
        <f t="shared" si="1"/>
        <v>101.31500000000001</v>
      </c>
      <c r="J23" s="291">
        <f t="shared" si="2"/>
        <v>21253.685000000001</v>
      </c>
      <c r="K23" s="299">
        <f t="shared" si="0"/>
        <v>87.385972119938884</v>
      </c>
      <c r="L23" s="612" t="s">
        <v>328</v>
      </c>
      <c r="M23" s="613"/>
      <c r="N23" s="97"/>
      <c r="O23" s="28"/>
      <c r="P23" s="24"/>
      <c r="Q23" s="24"/>
      <c r="R23" s="24"/>
      <c r="S23" s="24"/>
      <c r="T23" s="24"/>
      <c r="U23" s="24"/>
      <c r="V23" s="24"/>
      <c r="W23" s="97"/>
      <c r="X23" s="23"/>
      <c r="Y23" s="23"/>
      <c r="Z23" s="23"/>
      <c r="AA23" s="23"/>
      <c r="AB23" s="23"/>
      <c r="AC23" s="23"/>
      <c r="AD23" s="23"/>
      <c r="AE23" s="25"/>
      <c r="AF23" s="23"/>
    </row>
    <row r="24" spans="1:32" s="2" customFormat="1" ht="19.149999999999999" customHeight="1">
      <c r="A24" s="607"/>
      <c r="B24" s="608"/>
      <c r="C24" s="300" t="s">
        <v>101</v>
      </c>
      <c r="D24" s="556" t="s">
        <v>44</v>
      </c>
      <c r="E24" s="557"/>
      <c r="F24" s="291">
        <f>SUM('DECK TALLY'!K14)</f>
        <v>4.41</v>
      </c>
      <c r="G24" s="291">
        <f>F24</f>
        <v>4.41</v>
      </c>
      <c r="H24" s="301" t="s">
        <v>29</v>
      </c>
      <c r="I24" s="159">
        <f t="shared" si="1"/>
        <v>105.72500000000001</v>
      </c>
      <c r="J24" s="302">
        <f t="shared" si="2"/>
        <v>21249.275000000001</v>
      </c>
      <c r="K24" s="299">
        <f t="shared" si="0"/>
        <v>87.489827788388084</v>
      </c>
      <c r="L24" s="614"/>
      <c r="M24" s="615"/>
      <c r="N24" s="97"/>
      <c r="O24" s="28"/>
      <c r="P24" s="24"/>
      <c r="Q24" s="24"/>
      <c r="R24" s="24"/>
      <c r="S24" s="24"/>
      <c r="T24" s="24"/>
      <c r="U24" s="24"/>
      <c r="V24" s="24"/>
      <c r="W24" s="97"/>
      <c r="X24" s="23"/>
      <c r="Y24" s="23"/>
      <c r="Z24" s="23"/>
      <c r="AA24" s="23"/>
      <c r="AB24" s="23"/>
      <c r="AC24" s="23"/>
      <c r="AD24" s="23"/>
      <c r="AE24" s="25"/>
      <c r="AF24" s="23"/>
    </row>
    <row r="25" spans="1:32" s="2" customFormat="1" ht="21" customHeight="1">
      <c r="A25" s="607"/>
      <c r="B25" s="608"/>
      <c r="C25" s="192">
        <v>1</v>
      </c>
      <c r="D25" s="618" t="s">
        <v>94</v>
      </c>
      <c r="E25" s="618"/>
      <c r="F25" s="291">
        <f>SUM('DECK TALLY'!K15)</f>
        <v>17.47</v>
      </c>
      <c r="G25" s="193">
        <f>F25</f>
        <v>17.47</v>
      </c>
      <c r="H25" s="193" t="s">
        <v>29</v>
      </c>
      <c r="I25" s="303">
        <f>IF(H25="IN",I24+G25,I24)</f>
        <v>123.19500000000001</v>
      </c>
      <c r="J25" s="193">
        <f t="shared" si="2"/>
        <v>21231.805</v>
      </c>
      <c r="K25" s="304">
        <f t="shared" si="0"/>
        <v>87.901246955691363</v>
      </c>
      <c r="L25" s="614"/>
      <c r="M25" s="615"/>
      <c r="N25" s="97"/>
      <c r="O25" s="28"/>
      <c r="P25" s="24"/>
      <c r="Q25" s="24"/>
      <c r="R25" s="24"/>
      <c r="S25" s="24"/>
      <c r="T25" s="24"/>
      <c r="U25" s="24"/>
      <c r="V25" s="24"/>
      <c r="W25" s="97"/>
      <c r="X25" s="23"/>
      <c r="Y25" s="23"/>
      <c r="Z25" s="23"/>
      <c r="AA25" s="23"/>
      <c r="AB25" s="23"/>
      <c r="AC25" s="23"/>
      <c r="AD25" s="23"/>
      <c r="AE25" s="25"/>
      <c r="AF25" s="23"/>
    </row>
    <row r="26" spans="1:32" s="2" customFormat="1" ht="30.6" customHeight="1" thickBot="1">
      <c r="A26" s="609"/>
      <c r="B26" s="610"/>
      <c r="C26" s="305" t="s">
        <v>40</v>
      </c>
      <c r="D26" s="619" t="s">
        <v>314</v>
      </c>
      <c r="E26" s="620"/>
      <c r="F26" s="306">
        <f>SUM('DECK TALLY'!K16)</f>
        <v>5.48</v>
      </c>
      <c r="G26" s="307">
        <f>F26</f>
        <v>5.48</v>
      </c>
      <c r="H26" s="307" t="s">
        <v>29</v>
      </c>
      <c r="I26" s="308">
        <f t="shared" ref="I26:I89" si="3">IF(H26="IN",I25+G26,I25)</f>
        <v>128.67500000000001</v>
      </c>
      <c r="J26" s="307">
        <f t="shared" si="2"/>
        <v>21226.325000000001</v>
      </c>
      <c r="K26" s="309">
        <f t="shared" si="0"/>
        <v>88.030301165011466</v>
      </c>
      <c r="L26" s="616"/>
      <c r="M26" s="617"/>
      <c r="N26" s="97"/>
      <c r="O26" s="28"/>
      <c r="P26" s="24"/>
      <c r="Q26" s="24"/>
      <c r="R26" s="24"/>
      <c r="S26" s="24"/>
      <c r="T26" s="24"/>
      <c r="U26" s="24"/>
      <c r="V26" s="24"/>
      <c r="W26" s="97"/>
      <c r="X26" s="23"/>
      <c r="Y26" s="23"/>
      <c r="Z26" s="23"/>
      <c r="AA26" s="23"/>
      <c r="AB26" s="23"/>
      <c r="AC26" s="23"/>
      <c r="AD26" s="23"/>
      <c r="AE26" s="25"/>
      <c r="AF26" s="23"/>
    </row>
    <row r="27" spans="1:32" s="2" customFormat="1" ht="21" customHeight="1" thickBot="1">
      <c r="A27" s="591" t="s">
        <v>317</v>
      </c>
      <c r="B27" s="592"/>
      <c r="C27" s="595" t="s">
        <v>315</v>
      </c>
      <c r="D27" s="596"/>
      <c r="E27" s="597"/>
      <c r="F27" s="380">
        <f>SUM('DECK TALLY'!K18)</f>
        <v>33.35</v>
      </c>
      <c r="G27" s="381">
        <f>F27-(4.776/12)</f>
        <v>32.951999999999998</v>
      </c>
      <c r="H27" s="381" t="s">
        <v>29</v>
      </c>
      <c r="I27" s="382">
        <f t="shared" si="3"/>
        <v>161.62700000000001</v>
      </c>
      <c r="J27" s="383">
        <f t="shared" si="2"/>
        <v>21193.373</v>
      </c>
      <c r="K27" s="384">
        <f t="shared" si="0"/>
        <v>88.806322023682199</v>
      </c>
      <c r="L27" s="598"/>
      <c r="M27" s="599"/>
      <c r="O27" s="29"/>
      <c r="P27" s="182"/>
      <c r="Q27" s="27"/>
      <c r="R27" s="27"/>
      <c r="S27" s="362"/>
      <c r="T27" s="27"/>
      <c r="U27" s="27"/>
      <c r="V27" s="27"/>
      <c r="W27" s="27"/>
      <c r="X27" s="4"/>
      <c r="Y27" s="4"/>
      <c r="Z27" s="4"/>
      <c r="AA27" s="4"/>
      <c r="AB27" s="4"/>
      <c r="AC27" s="4"/>
      <c r="AD27" s="4"/>
      <c r="AE27" s="4"/>
      <c r="AF27" s="4"/>
    </row>
    <row r="28" spans="1:32" s="2" customFormat="1" ht="29.65" customHeight="1" thickBot="1">
      <c r="A28" s="593"/>
      <c r="B28" s="594"/>
      <c r="C28" s="600" t="s">
        <v>316</v>
      </c>
      <c r="D28" s="601"/>
      <c r="E28" s="602"/>
      <c r="F28" s="380">
        <f>SUM('DECK TALLY'!K19)</f>
        <v>5.35</v>
      </c>
      <c r="G28" s="385">
        <f>F28</f>
        <v>5.35</v>
      </c>
      <c r="H28" s="385" t="s">
        <v>29</v>
      </c>
      <c r="I28" s="382">
        <f t="shared" si="3"/>
        <v>166.977</v>
      </c>
      <c r="J28" s="383">
        <f t="shared" si="2"/>
        <v>21188.023000000001</v>
      </c>
      <c r="K28" s="384">
        <f t="shared" si="0"/>
        <v>88.932314728036673</v>
      </c>
      <c r="L28" s="603"/>
      <c r="M28" s="604"/>
      <c r="O28" s="29"/>
      <c r="P28" s="29"/>
      <c r="Q28" s="27"/>
      <c r="R28" s="27"/>
      <c r="S28" s="27"/>
      <c r="T28" s="27"/>
      <c r="U28" s="27"/>
      <c r="V28" s="27"/>
      <c r="W28" s="27"/>
      <c r="X28" s="4"/>
      <c r="Y28" s="4"/>
      <c r="Z28" s="4"/>
      <c r="AA28" s="4"/>
      <c r="AB28" s="4"/>
      <c r="AC28" s="4"/>
      <c r="AD28" s="4"/>
      <c r="AE28" s="4"/>
      <c r="AF28" s="4"/>
    </row>
    <row r="29" spans="1:32" s="2" customFormat="1" ht="20.100000000000001" customHeight="1">
      <c r="A29" s="585" t="s">
        <v>115</v>
      </c>
      <c r="B29" s="586"/>
      <c r="C29" s="122">
        <v>2</v>
      </c>
      <c r="D29" s="168" t="s">
        <v>31</v>
      </c>
      <c r="E29" s="320">
        <f>'DECK TALLY'!B6</f>
        <v>1</v>
      </c>
      <c r="F29" s="368">
        <f>'DECK TALLY'!C6</f>
        <v>33.75</v>
      </c>
      <c r="G29" s="368">
        <f>F29-($H$12/12)</f>
        <v>33.344499999999996</v>
      </c>
      <c r="H29" s="166" t="s">
        <v>29</v>
      </c>
      <c r="I29" s="183">
        <f t="shared" si="3"/>
        <v>200.32150000000001</v>
      </c>
      <c r="J29" s="368">
        <f t="shared" si="2"/>
        <v>21154.678500000002</v>
      </c>
      <c r="K29" s="145">
        <f t="shared" si="0"/>
        <v>89.71757897669977</v>
      </c>
      <c r="L29" s="605" t="s">
        <v>332</v>
      </c>
      <c r="M29" s="606"/>
      <c r="N29" s="579" t="s">
        <v>211</v>
      </c>
      <c r="O29" s="28"/>
      <c r="P29" s="119"/>
      <c r="Q29" s="119"/>
      <c r="R29" s="24"/>
      <c r="S29" s="119"/>
      <c r="T29" s="119"/>
      <c r="U29" s="119"/>
      <c r="V29" s="119"/>
      <c r="W29" s="119"/>
      <c r="X29" s="29"/>
      <c r="Y29" s="29"/>
      <c r="Z29" s="29"/>
      <c r="AA29" s="29"/>
      <c r="AB29" s="29"/>
      <c r="AC29" s="29"/>
      <c r="AD29" s="29"/>
      <c r="AE29" s="25"/>
      <c r="AF29" s="29"/>
    </row>
    <row r="30" spans="1:32" s="2" customFormat="1" ht="20.100000000000001" customHeight="1">
      <c r="A30" s="581" t="s">
        <v>312</v>
      </c>
      <c r="B30" s="582"/>
      <c r="C30" s="316">
        <v>1</v>
      </c>
      <c r="D30" s="203" t="s">
        <v>31</v>
      </c>
      <c r="E30" s="318" t="str">
        <f>'DECK TALLY'!F11</f>
        <v>P 6</v>
      </c>
      <c r="F30" s="373">
        <f>'DECK TALLY'!G11</f>
        <v>20.2</v>
      </c>
      <c r="G30" s="373">
        <f>F30-($H$12/12)</f>
        <v>19.794499999999999</v>
      </c>
      <c r="H30" s="394" t="s">
        <v>29</v>
      </c>
      <c r="I30" s="391">
        <f t="shared" si="3"/>
        <v>220.11600000000001</v>
      </c>
      <c r="J30" s="373">
        <f t="shared" si="2"/>
        <v>21134.883999999998</v>
      </c>
      <c r="K30" s="170">
        <f t="shared" si="0"/>
        <v>90.183740207792212</v>
      </c>
      <c r="L30" s="583" t="s">
        <v>330</v>
      </c>
      <c r="M30" s="584"/>
      <c r="N30" s="580"/>
      <c r="O30" s="28"/>
      <c r="P30" s="119"/>
      <c r="Q30" s="119"/>
      <c r="R30" s="24"/>
      <c r="S30" s="119"/>
      <c r="T30" s="119"/>
      <c r="U30" s="119"/>
      <c r="V30" s="119"/>
      <c r="W30" s="119"/>
      <c r="X30" s="29"/>
      <c r="Y30" s="29"/>
      <c r="Z30" s="29"/>
      <c r="AA30" s="29"/>
      <c r="AB30" s="29"/>
      <c r="AC30" s="29"/>
      <c r="AD30" s="29"/>
      <c r="AE30" s="25"/>
      <c r="AF30" s="29"/>
    </row>
    <row r="31" spans="1:32" s="2" customFormat="1" ht="20.100000000000001" customHeight="1">
      <c r="A31" s="585" t="s">
        <v>115</v>
      </c>
      <c r="B31" s="586"/>
      <c r="C31" s="122">
        <v>2</v>
      </c>
      <c r="D31" s="168" t="s">
        <v>31</v>
      </c>
      <c r="E31" s="320">
        <f>'DECK TALLY'!B7</f>
        <v>2</v>
      </c>
      <c r="F31" s="368">
        <f>'DECK TALLY'!C7</f>
        <v>33.94</v>
      </c>
      <c r="G31" s="368">
        <f>F31-($H$12/12)</f>
        <v>33.534499999999994</v>
      </c>
      <c r="H31" s="166" t="s">
        <v>29</v>
      </c>
      <c r="I31" s="183">
        <f t="shared" si="3"/>
        <v>253.65050000000002</v>
      </c>
      <c r="J31" s="368">
        <f t="shared" si="2"/>
        <v>21101.3495</v>
      </c>
      <c r="K31" s="145">
        <f t="shared" si="0"/>
        <v>90.973478963712765</v>
      </c>
      <c r="L31" s="204" t="s">
        <v>208</v>
      </c>
      <c r="M31" s="205">
        <f>SUM(J30-4)</f>
        <v>21130.883999999998</v>
      </c>
      <c r="N31" s="212">
        <v>21100</v>
      </c>
      <c r="O31" s="28"/>
      <c r="P31" s="119"/>
      <c r="Q31" s="119"/>
      <c r="R31" s="24"/>
      <c r="S31" s="119"/>
      <c r="T31" s="119"/>
      <c r="U31" s="119"/>
      <c r="V31" s="119"/>
      <c r="W31" s="119"/>
      <c r="X31" s="29"/>
      <c r="Y31" s="29"/>
      <c r="Z31" s="29"/>
      <c r="AA31" s="29"/>
      <c r="AB31" s="29"/>
      <c r="AC31" s="29"/>
      <c r="AD31" s="29"/>
      <c r="AE31" s="25"/>
      <c r="AF31" s="29"/>
    </row>
    <row r="32" spans="1:32" s="2" customFormat="1" ht="20.100000000000001" customHeight="1">
      <c r="A32" s="587" t="s">
        <v>115</v>
      </c>
      <c r="B32" s="588"/>
      <c r="C32" s="316">
        <v>1</v>
      </c>
      <c r="D32" s="176" t="s">
        <v>31</v>
      </c>
      <c r="E32" s="321">
        <f>'DECK TALLY'!B8</f>
        <v>3</v>
      </c>
      <c r="F32" s="375">
        <f>VLOOKUP(E32,'DECK TALLY'!$B$6:$C$316,2,FALSE)</f>
        <v>33.94</v>
      </c>
      <c r="G32" s="375">
        <f>F32-($H$12/12)</f>
        <v>33.534499999999994</v>
      </c>
      <c r="H32" s="177" t="s">
        <v>29</v>
      </c>
      <c r="I32" s="393">
        <f t="shared" si="3"/>
        <v>287.185</v>
      </c>
      <c r="J32" s="375">
        <f t="shared" si="2"/>
        <v>21067.814999999999</v>
      </c>
      <c r="K32" s="178">
        <f t="shared" si="0"/>
        <v>91.763217719633303</v>
      </c>
      <c r="L32" s="589" t="s">
        <v>231</v>
      </c>
      <c r="M32" s="590"/>
      <c r="N32" s="402">
        <f>M31-N31</f>
        <v>30.883999999998196</v>
      </c>
      <c r="O32" s="28"/>
      <c r="P32" s="119"/>
      <c r="Q32" s="119"/>
      <c r="R32" s="24"/>
      <c r="S32" s="119"/>
      <c r="T32" s="119"/>
      <c r="U32" s="119"/>
      <c r="V32" s="119"/>
      <c r="W32" s="119"/>
      <c r="X32" s="29"/>
      <c r="Y32" s="29"/>
      <c r="Z32" s="29"/>
      <c r="AA32" s="29"/>
      <c r="AB32" s="29"/>
      <c r="AC32" s="29"/>
      <c r="AD32" s="29"/>
      <c r="AE32" s="25"/>
      <c r="AF32" s="29"/>
    </row>
    <row r="33" spans="1:32" s="2" customFormat="1" ht="20.100000000000001" customHeight="1" thickBot="1">
      <c r="A33" s="585" t="s">
        <v>115</v>
      </c>
      <c r="B33" s="586"/>
      <c r="C33" s="122">
        <v>2</v>
      </c>
      <c r="D33" s="123" t="s">
        <v>31</v>
      </c>
      <c r="E33" s="395">
        <f>'DECK TALLY'!B9</f>
        <v>4</v>
      </c>
      <c r="F33" s="376">
        <f>VLOOKUP(E33,'DECK TALLY'!$B$6:$C$316,2,FALSE)</f>
        <v>33.9</v>
      </c>
      <c r="G33" s="377">
        <f>F33-($H$12/12)</f>
        <v>33.494500000000002</v>
      </c>
      <c r="H33" s="131" t="s">
        <v>29</v>
      </c>
      <c r="I33" s="183">
        <f t="shared" si="3"/>
        <v>320.67950000000002</v>
      </c>
      <c r="J33" s="368">
        <f t="shared" si="2"/>
        <v>21034.320500000002</v>
      </c>
      <c r="K33" s="145">
        <f t="shared" si="0"/>
        <v>92.552014474025981</v>
      </c>
      <c r="L33" s="623" t="s">
        <v>333</v>
      </c>
      <c r="M33" s="624"/>
      <c r="N33" s="251"/>
      <c r="O33" s="28"/>
      <c r="P33" s="119"/>
      <c r="Q33" s="119"/>
      <c r="R33" s="24"/>
      <c r="S33" s="119"/>
      <c r="T33" s="119"/>
      <c r="U33" s="119"/>
      <c r="V33" s="119"/>
      <c r="W33" s="119"/>
      <c r="X33" s="29"/>
      <c r="Y33" s="29"/>
      <c r="Z33" s="29"/>
      <c r="AA33" s="29"/>
      <c r="AB33" s="29"/>
      <c r="AC33" s="29"/>
      <c r="AD33" s="29"/>
      <c r="AE33" s="29"/>
      <c r="AF33" s="29"/>
    </row>
    <row r="34" spans="1:32" s="2" customFormat="1" ht="20.100000000000001" customHeight="1">
      <c r="A34" s="585" t="s">
        <v>115</v>
      </c>
      <c r="B34" s="586"/>
      <c r="C34" s="122">
        <v>2</v>
      </c>
      <c r="D34" s="168" t="s">
        <v>31</v>
      </c>
      <c r="E34" s="320">
        <f>'DECK TALLY'!B10</f>
        <v>5</v>
      </c>
      <c r="F34" s="368">
        <f>VLOOKUP(E34,'DECK TALLY'!$B$6:$C$316,2,FALSE)</f>
        <v>33.89</v>
      </c>
      <c r="G34" s="377">
        <f t="shared" ref="G34:G94" si="4">F34-($H$12/12)</f>
        <v>33.484499999999997</v>
      </c>
      <c r="H34" s="166" t="s">
        <v>29</v>
      </c>
      <c r="I34" s="183">
        <f t="shared" si="3"/>
        <v>354.16399999999999</v>
      </c>
      <c r="J34" s="368">
        <f t="shared" si="2"/>
        <v>21000.835999999999</v>
      </c>
      <c r="K34" s="145">
        <f t="shared" si="0"/>
        <v>93.340575728036669</v>
      </c>
      <c r="L34" s="621"/>
      <c r="M34" s="622"/>
      <c r="N34" s="29"/>
      <c r="O34" s="28"/>
      <c r="P34" s="119"/>
      <c r="Q34" s="119"/>
      <c r="R34" s="24"/>
      <c r="S34" s="119"/>
      <c r="T34" s="119"/>
      <c r="U34" s="119"/>
      <c r="V34" s="119"/>
      <c r="W34" s="119"/>
      <c r="X34" s="29"/>
      <c r="Y34" s="29"/>
      <c r="Z34" s="29"/>
      <c r="AA34" s="29"/>
      <c r="AB34" s="29"/>
      <c r="AC34" s="29"/>
      <c r="AD34" s="29"/>
      <c r="AE34" s="29"/>
      <c r="AF34" s="29"/>
    </row>
    <row r="35" spans="1:32" s="2" customFormat="1" ht="20.100000000000001" customHeight="1">
      <c r="A35" s="585" t="s">
        <v>115</v>
      </c>
      <c r="B35" s="586"/>
      <c r="C35" s="122">
        <v>2</v>
      </c>
      <c r="D35" s="123" t="s">
        <v>31</v>
      </c>
      <c r="E35" s="320">
        <f>'DECK TALLY'!B11</f>
        <v>6</v>
      </c>
      <c r="F35" s="368">
        <f>VLOOKUP(E35,'DECK TALLY'!$B$6:$C$316,2,FALSE)</f>
        <v>33.520000000000003</v>
      </c>
      <c r="G35" s="377">
        <f t="shared" si="4"/>
        <v>33.114500000000007</v>
      </c>
      <c r="H35" s="130" t="s">
        <v>29</v>
      </c>
      <c r="I35" s="183">
        <f t="shared" si="3"/>
        <v>387.27850000000001</v>
      </c>
      <c r="J35" s="368">
        <f t="shared" si="2"/>
        <v>20967.7215</v>
      </c>
      <c r="K35" s="145">
        <f t="shared" si="0"/>
        <v>94.120423467914435</v>
      </c>
      <c r="L35" s="621"/>
      <c r="M35" s="622"/>
      <c r="N35" s="29"/>
      <c r="O35" s="28"/>
      <c r="P35" s="114"/>
      <c r="Q35" s="114"/>
      <c r="R35" s="24"/>
      <c r="S35" s="114"/>
      <c r="T35" s="114"/>
      <c r="U35" s="114"/>
      <c r="V35" s="114"/>
      <c r="W35" s="114"/>
      <c r="X35" s="29"/>
      <c r="Y35" s="29"/>
      <c r="Z35" s="29"/>
      <c r="AA35" s="29"/>
      <c r="AB35" s="29"/>
      <c r="AC35" s="29"/>
      <c r="AD35" s="29"/>
      <c r="AE35" s="29"/>
      <c r="AF35" s="29"/>
    </row>
    <row r="36" spans="1:32" s="2" customFormat="1" ht="20.100000000000001" customHeight="1">
      <c r="A36" s="585" t="s">
        <v>115</v>
      </c>
      <c r="B36" s="586"/>
      <c r="C36" s="122">
        <v>2</v>
      </c>
      <c r="D36" s="123" t="s">
        <v>31</v>
      </c>
      <c r="E36" s="320">
        <f>'DECK TALLY'!B12</f>
        <v>7</v>
      </c>
      <c r="F36" s="368">
        <f>VLOOKUP(E36,'DECK TALLY'!$B$6:$C$316,2,FALSE)</f>
        <v>32.450000000000003</v>
      </c>
      <c r="G36" s="377">
        <f t="shared" si="4"/>
        <v>32.044499999999999</v>
      </c>
      <c r="H36" s="130" t="s">
        <v>29</v>
      </c>
      <c r="I36" s="183">
        <f t="shared" si="3"/>
        <v>419.32299999999998</v>
      </c>
      <c r="J36" s="368">
        <f t="shared" si="2"/>
        <v>20935.677</v>
      </c>
      <c r="K36" s="145">
        <f t="shared" si="0"/>
        <v>94.875072666921312</v>
      </c>
      <c r="L36" s="621"/>
      <c r="M36" s="622"/>
      <c r="N36" s="29"/>
      <c r="O36" s="28"/>
      <c r="P36" s="98"/>
      <c r="Q36" s="98"/>
      <c r="R36" s="24"/>
      <c r="S36" s="98"/>
      <c r="T36" s="98"/>
      <c r="U36" s="98"/>
      <c r="V36" s="98"/>
      <c r="W36" s="98"/>
      <c r="X36" s="29"/>
      <c r="Y36" s="29"/>
      <c r="Z36" s="29"/>
      <c r="AA36" s="29"/>
      <c r="AB36" s="29"/>
      <c r="AC36" s="29"/>
      <c r="AD36" s="29"/>
      <c r="AE36" s="29"/>
      <c r="AF36" s="29"/>
    </row>
    <row r="37" spans="1:32" s="2" customFormat="1" ht="20.100000000000001" customHeight="1">
      <c r="A37" s="585" t="s">
        <v>115</v>
      </c>
      <c r="B37" s="586"/>
      <c r="C37" s="122">
        <v>2</v>
      </c>
      <c r="D37" s="123" t="s">
        <v>31</v>
      </c>
      <c r="E37" s="320">
        <f>'DECK TALLY'!B13</f>
        <v>8</v>
      </c>
      <c r="F37" s="376">
        <f>VLOOKUP(E37,'DECK TALLY'!$B$6:$C$316,2,FALSE)</f>
        <v>33.770000000000003</v>
      </c>
      <c r="G37" s="377">
        <f t="shared" si="4"/>
        <v>33.364500000000007</v>
      </c>
      <c r="H37" s="130" t="s">
        <v>29</v>
      </c>
      <c r="I37" s="183">
        <f t="shared" si="3"/>
        <v>452.6875</v>
      </c>
      <c r="J37" s="368">
        <f t="shared" si="2"/>
        <v>20902.3125</v>
      </c>
      <c r="K37" s="145">
        <f t="shared" si="0"/>
        <v>95.660807916348361</v>
      </c>
      <c r="L37" s="621"/>
      <c r="M37" s="622"/>
      <c r="O37" s="28"/>
      <c r="P37" s="139"/>
      <c r="Q37" s="28"/>
      <c r="R37" s="28"/>
      <c r="S37" s="28"/>
      <c r="T37" s="28"/>
      <c r="U37" s="28"/>
      <c r="V37" s="28"/>
      <c r="W37" s="28"/>
      <c r="X37" s="29"/>
      <c r="Y37" s="29"/>
      <c r="Z37" s="29"/>
      <c r="AA37" s="29"/>
      <c r="AB37" s="29"/>
      <c r="AC37" s="29"/>
      <c r="AD37" s="29"/>
      <c r="AE37" s="29"/>
      <c r="AF37" s="29"/>
    </row>
    <row r="38" spans="1:32" s="2" customFormat="1" ht="20.100000000000001" customHeight="1">
      <c r="A38" s="585" t="s">
        <v>115</v>
      </c>
      <c r="B38" s="586"/>
      <c r="C38" s="122">
        <v>2</v>
      </c>
      <c r="D38" s="123" t="s">
        <v>31</v>
      </c>
      <c r="E38" s="320">
        <f>'DECK TALLY'!B14</f>
        <v>9</v>
      </c>
      <c r="F38" s="368">
        <f>VLOOKUP(E38,'DECK TALLY'!$B$6:$C$316,2,FALSE)</f>
        <v>33.4</v>
      </c>
      <c r="G38" s="377">
        <f t="shared" si="4"/>
        <v>32.994500000000002</v>
      </c>
      <c r="H38" s="130" t="s">
        <v>29</v>
      </c>
      <c r="I38" s="183">
        <f t="shared" si="3"/>
        <v>485.68200000000002</v>
      </c>
      <c r="J38" s="368">
        <f t="shared" si="2"/>
        <v>20869.317999999999</v>
      </c>
      <c r="K38" s="145">
        <f t="shared" si="0"/>
        <v>96.437829651642474</v>
      </c>
      <c r="L38" s="621"/>
      <c r="M38" s="622"/>
      <c r="O38" s="28"/>
      <c r="P38" s="114"/>
      <c r="Q38" s="114"/>
      <c r="R38" s="99"/>
      <c r="S38" s="99"/>
      <c r="T38" s="99"/>
      <c r="U38" s="99"/>
      <c r="V38" s="99"/>
      <c r="W38" s="99"/>
      <c r="X38" s="29"/>
      <c r="Y38" s="29"/>
      <c r="Z38" s="29"/>
      <c r="AA38" s="29"/>
      <c r="AB38" s="29"/>
      <c r="AC38" s="29"/>
      <c r="AD38" s="29"/>
      <c r="AE38" s="29"/>
      <c r="AF38" s="29"/>
    </row>
    <row r="39" spans="1:32" s="2" customFormat="1" ht="20.100000000000001" customHeight="1">
      <c r="A39" s="585" t="s">
        <v>115</v>
      </c>
      <c r="B39" s="586"/>
      <c r="C39" s="122">
        <v>2</v>
      </c>
      <c r="D39" s="123" t="s">
        <v>31</v>
      </c>
      <c r="E39" s="320">
        <f>'DECK TALLY'!B15</f>
        <v>10</v>
      </c>
      <c r="F39" s="368">
        <f>VLOOKUP(E39,'DECK TALLY'!$B$6:$C$316,2,FALSE)</f>
        <v>33.83</v>
      </c>
      <c r="G39" s="377">
        <f t="shared" si="4"/>
        <v>33.424499999999995</v>
      </c>
      <c r="H39" s="130" t="s">
        <v>29</v>
      </c>
      <c r="I39" s="183">
        <f t="shared" si="3"/>
        <v>519.10649999999998</v>
      </c>
      <c r="J39" s="368">
        <f t="shared" si="2"/>
        <v>20835.893499999998</v>
      </c>
      <c r="K39" s="145">
        <f t="shared" si="0"/>
        <v>97.224977903361349</v>
      </c>
      <c r="L39" s="621"/>
      <c r="M39" s="622"/>
      <c r="N39" s="121"/>
      <c r="O39" s="28"/>
      <c r="P39" s="114"/>
      <c r="Q39" s="98"/>
      <c r="R39" s="100"/>
      <c r="S39" s="100"/>
      <c r="T39" s="100"/>
      <c r="U39" s="100"/>
      <c r="V39" s="100"/>
      <c r="W39" s="100"/>
      <c r="X39" s="29"/>
      <c r="Y39" s="29"/>
      <c r="Z39" s="29"/>
      <c r="AA39" s="29"/>
      <c r="AB39" s="29"/>
      <c r="AC39" s="29"/>
      <c r="AD39" s="29"/>
      <c r="AE39" s="29"/>
      <c r="AF39" s="29"/>
    </row>
    <row r="40" spans="1:32" s="2" customFormat="1" ht="20.100000000000001" customHeight="1">
      <c r="A40" s="585" t="s">
        <v>115</v>
      </c>
      <c r="B40" s="586"/>
      <c r="C40" s="122">
        <v>2</v>
      </c>
      <c r="D40" s="123" t="s">
        <v>31</v>
      </c>
      <c r="E40" s="320">
        <f>'DECK TALLY'!B16</f>
        <v>11</v>
      </c>
      <c r="F40" s="368">
        <f>VLOOKUP(E40,'DECK TALLY'!$B$6:$C$316,2,FALSE)</f>
        <v>33.79</v>
      </c>
      <c r="G40" s="377">
        <f t="shared" si="4"/>
        <v>33.384500000000003</v>
      </c>
      <c r="H40" s="130" t="s">
        <v>29</v>
      </c>
      <c r="I40" s="183">
        <f t="shared" si="3"/>
        <v>552.49099999999999</v>
      </c>
      <c r="J40" s="368">
        <f t="shared" si="2"/>
        <v>20802.508999999998</v>
      </c>
      <c r="K40" s="145">
        <f t="shared" si="0"/>
        <v>98.011184153552335</v>
      </c>
      <c r="L40" s="621"/>
      <c r="M40" s="622"/>
      <c r="N40" s="142"/>
      <c r="O40" s="28"/>
      <c r="P40" s="114"/>
      <c r="Q40" s="28"/>
      <c r="R40" s="100"/>
      <c r="S40" s="100"/>
      <c r="T40" s="100"/>
      <c r="U40" s="100"/>
      <c r="V40" s="100"/>
      <c r="W40" s="100"/>
      <c r="X40" s="29"/>
      <c r="Y40" s="29"/>
      <c r="Z40" s="29"/>
      <c r="AA40" s="29"/>
      <c r="AB40" s="29"/>
      <c r="AC40" s="29"/>
      <c r="AD40" s="29"/>
      <c r="AE40" s="29"/>
      <c r="AF40" s="29"/>
    </row>
    <row r="41" spans="1:32" s="2" customFormat="1" ht="20.100000000000001" customHeight="1">
      <c r="A41" s="585" t="s">
        <v>115</v>
      </c>
      <c r="B41" s="586"/>
      <c r="C41" s="122">
        <v>2</v>
      </c>
      <c r="D41" s="123" t="s">
        <v>31</v>
      </c>
      <c r="E41" s="320">
        <f>'DECK TALLY'!B17</f>
        <v>12</v>
      </c>
      <c r="F41" s="376">
        <f>VLOOKUP(E41,'DECK TALLY'!$B$6:$C$316,2,FALSE)</f>
        <v>33.94</v>
      </c>
      <c r="G41" s="377">
        <f t="shared" si="4"/>
        <v>33.534499999999994</v>
      </c>
      <c r="H41" s="130" t="s">
        <v>29</v>
      </c>
      <c r="I41" s="183">
        <f t="shared" si="3"/>
        <v>586.02549999999997</v>
      </c>
      <c r="J41" s="368">
        <f t="shared" si="2"/>
        <v>20768.9745</v>
      </c>
      <c r="K41" s="145">
        <f t="shared" si="0"/>
        <v>98.800922909472874</v>
      </c>
      <c r="L41" s="621"/>
      <c r="M41" s="622"/>
      <c r="N41" s="143"/>
      <c r="P41" s="114"/>
      <c r="Q41" s="114"/>
      <c r="R41" s="100"/>
      <c r="S41" s="100"/>
      <c r="T41" s="100"/>
      <c r="U41" s="100"/>
      <c r="V41" s="100"/>
      <c r="W41" s="100"/>
      <c r="X41" s="29"/>
      <c r="Y41" s="29"/>
      <c r="Z41" s="29"/>
      <c r="AA41" s="29"/>
      <c r="AB41" s="29"/>
      <c r="AC41" s="29"/>
      <c r="AD41" s="29"/>
      <c r="AE41" s="29"/>
      <c r="AF41" s="29"/>
    </row>
    <row r="42" spans="1:32" s="2" customFormat="1" ht="20.100000000000001" customHeight="1">
      <c r="A42" s="585" t="s">
        <v>115</v>
      </c>
      <c r="B42" s="586"/>
      <c r="C42" s="122">
        <v>2</v>
      </c>
      <c r="D42" s="124" t="s">
        <v>31</v>
      </c>
      <c r="E42" s="320">
        <f>'DECK TALLY'!B18</f>
        <v>13</v>
      </c>
      <c r="F42" s="368">
        <f>VLOOKUP(E42,'DECK TALLY'!$B$6:$C$316,2,FALSE)</f>
        <v>33.85</v>
      </c>
      <c r="G42" s="377">
        <f t="shared" si="4"/>
        <v>33.444500000000005</v>
      </c>
      <c r="H42" s="130" t="s">
        <v>29</v>
      </c>
      <c r="I42" s="183">
        <f t="shared" si="3"/>
        <v>619.47</v>
      </c>
      <c r="J42" s="368">
        <f t="shared" si="2"/>
        <v>20735.53</v>
      </c>
      <c r="K42" s="145">
        <f t="shared" si="0"/>
        <v>99.588542161955701</v>
      </c>
      <c r="L42" s="621"/>
      <c r="M42" s="622"/>
      <c r="N42" s="143"/>
      <c r="O42" s="28"/>
      <c r="P42" s="114"/>
      <c r="Q42" s="98"/>
      <c r="R42" s="120"/>
      <c r="S42" s="120"/>
      <c r="T42" s="120"/>
      <c r="U42" s="120"/>
      <c r="V42" s="120"/>
      <c r="W42" s="120"/>
      <c r="X42" s="29"/>
      <c r="Y42" s="29"/>
      <c r="Z42" s="29"/>
      <c r="AA42" s="29"/>
      <c r="AB42" s="29"/>
      <c r="AC42" s="29"/>
      <c r="AD42" s="29"/>
      <c r="AE42" s="29"/>
      <c r="AF42" s="29"/>
    </row>
    <row r="43" spans="1:32" s="2" customFormat="1" ht="20.100000000000001" customHeight="1">
      <c r="A43" s="585" t="s">
        <v>115</v>
      </c>
      <c r="B43" s="586"/>
      <c r="C43" s="122">
        <v>2</v>
      </c>
      <c r="D43" s="123" t="s">
        <v>31</v>
      </c>
      <c r="E43" s="320">
        <f>'DECK TALLY'!B19</f>
        <v>14</v>
      </c>
      <c r="F43" s="368">
        <f>VLOOKUP(E43,'DECK TALLY'!$B$6:$C$316,2,FALSE)</f>
        <v>33.549999999999997</v>
      </c>
      <c r="G43" s="377">
        <f t="shared" si="4"/>
        <v>33.144499999999994</v>
      </c>
      <c r="H43" s="130" t="s">
        <v>29</v>
      </c>
      <c r="I43" s="183">
        <f t="shared" si="3"/>
        <v>652.61450000000002</v>
      </c>
      <c r="J43" s="368">
        <f t="shared" si="2"/>
        <v>20702.3855</v>
      </c>
      <c r="K43" s="145">
        <f t="shared" si="0"/>
        <v>100.36909640297938</v>
      </c>
      <c r="L43" s="621"/>
      <c r="M43" s="622"/>
      <c r="N43" s="147"/>
      <c r="O43" s="28"/>
      <c r="P43" s="114"/>
      <c r="Q43" s="28"/>
      <c r="R43" s="120"/>
      <c r="S43" s="120"/>
      <c r="T43" s="120"/>
      <c r="U43" s="120"/>
      <c r="V43" s="120"/>
      <c r="W43" s="120"/>
      <c r="X43" s="29"/>
      <c r="Y43" s="29"/>
      <c r="Z43" s="29"/>
      <c r="AA43" s="29"/>
      <c r="AB43" s="29"/>
      <c r="AC43" s="29"/>
      <c r="AD43" s="29"/>
      <c r="AE43" s="29"/>
      <c r="AF43" s="29"/>
    </row>
    <row r="44" spans="1:32" s="2" customFormat="1" ht="20.100000000000001" customHeight="1">
      <c r="A44" s="585" t="s">
        <v>115</v>
      </c>
      <c r="B44" s="586"/>
      <c r="C44" s="122">
        <v>2</v>
      </c>
      <c r="D44" s="123" t="s">
        <v>31</v>
      </c>
      <c r="E44" s="320">
        <f>'DECK TALLY'!B20</f>
        <v>15</v>
      </c>
      <c r="F44" s="368">
        <f>VLOOKUP(E44,'DECK TALLY'!$B$6:$C$316,2,FALSE)</f>
        <v>33.58</v>
      </c>
      <c r="G44" s="377">
        <f t="shared" si="4"/>
        <v>33.174499999999995</v>
      </c>
      <c r="H44" s="130" t="s">
        <v>29</v>
      </c>
      <c r="I44" s="183">
        <f t="shared" si="3"/>
        <v>685.78899999999999</v>
      </c>
      <c r="J44" s="368">
        <f t="shared" si="2"/>
        <v>20669.210999999999</v>
      </c>
      <c r="K44" s="145">
        <f t="shared" si="0"/>
        <v>101.15035714514897</v>
      </c>
      <c r="L44" s="621"/>
      <c r="M44" s="622"/>
      <c r="N44" s="169"/>
      <c r="O44" s="28"/>
      <c r="P44" s="114"/>
      <c r="Q44" s="114"/>
      <c r="R44" s="120"/>
      <c r="S44" s="120"/>
      <c r="T44" s="120"/>
      <c r="U44" s="120"/>
      <c r="V44" s="120"/>
      <c r="W44" s="120"/>
      <c r="X44" s="29"/>
      <c r="Y44" s="29"/>
      <c r="Z44" s="29"/>
      <c r="AA44" s="29"/>
      <c r="AB44" s="29"/>
      <c r="AC44" s="29"/>
      <c r="AD44" s="29"/>
      <c r="AE44" s="29"/>
      <c r="AF44" s="29"/>
    </row>
    <row r="45" spans="1:32" s="2" customFormat="1" ht="20.100000000000001" customHeight="1">
      <c r="A45" s="585" t="s">
        <v>115</v>
      </c>
      <c r="B45" s="586"/>
      <c r="C45" s="122">
        <v>2</v>
      </c>
      <c r="D45" s="123" t="s">
        <v>31</v>
      </c>
      <c r="E45" s="320">
        <f>'DECK TALLY'!B21</f>
        <v>16</v>
      </c>
      <c r="F45" s="376">
        <f>VLOOKUP(E45,'DECK TALLY'!$B$6:$C$316,2,FALSE)</f>
        <v>33.71</v>
      </c>
      <c r="G45" s="377">
        <f t="shared" si="4"/>
        <v>33.304500000000004</v>
      </c>
      <c r="H45" s="130" t="s">
        <v>29</v>
      </c>
      <c r="I45" s="183">
        <f t="shared" si="3"/>
        <v>719.09349999999995</v>
      </c>
      <c r="J45" s="368">
        <f t="shared" si="2"/>
        <v>20635.906500000001</v>
      </c>
      <c r="K45" s="145">
        <f t="shared" si="0"/>
        <v>101.93467939228418</v>
      </c>
      <c r="L45" s="621"/>
      <c r="M45" s="622"/>
      <c r="N45" s="147"/>
      <c r="O45" s="28"/>
      <c r="P45" s="114"/>
      <c r="Q45" s="98"/>
      <c r="R45" s="120"/>
      <c r="S45" s="120"/>
      <c r="T45" s="120"/>
      <c r="U45" s="120"/>
      <c r="V45" s="120"/>
      <c r="W45" s="120"/>
      <c r="X45" s="29"/>
      <c r="Y45" s="29"/>
      <c r="Z45" s="29"/>
      <c r="AA45" s="29"/>
      <c r="AB45" s="29"/>
      <c r="AC45" s="29"/>
      <c r="AD45" s="29"/>
      <c r="AE45" s="29"/>
      <c r="AF45" s="29"/>
    </row>
    <row r="46" spans="1:32" s="2" customFormat="1" ht="20.100000000000001" customHeight="1">
      <c r="A46" s="585" t="s">
        <v>115</v>
      </c>
      <c r="B46" s="586"/>
      <c r="C46" s="122">
        <v>2</v>
      </c>
      <c r="D46" s="123" t="s">
        <v>31</v>
      </c>
      <c r="E46" s="320">
        <f>'DECK TALLY'!B22</f>
        <v>17</v>
      </c>
      <c r="F46" s="368">
        <f>VLOOKUP(E46,'DECK TALLY'!$B$6:$C$316,2,FALSE)</f>
        <v>33.94</v>
      </c>
      <c r="G46" s="377">
        <f t="shared" si="4"/>
        <v>33.534499999999994</v>
      </c>
      <c r="H46" s="130" t="s">
        <v>29</v>
      </c>
      <c r="I46" s="183">
        <f t="shared" si="3"/>
        <v>752.62799999999993</v>
      </c>
      <c r="J46" s="368">
        <f t="shared" si="2"/>
        <v>20602.371999999999</v>
      </c>
      <c r="K46" s="145">
        <f t="shared" si="0"/>
        <v>102.72441814820473</v>
      </c>
      <c r="L46" s="621"/>
      <c r="M46" s="622"/>
      <c r="N46" s="28"/>
      <c r="O46" s="99"/>
      <c r="P46" s="114"/>
      <c r="Q46" s="28"/>
      <c r="R46" s="28"/>
      <c r="S46" s="28"/>
      <c r="T46" s="28"/>
      <c r="U46" s="28"/>
      <c r="V46" s="28"/>
      <c r="W46" s="28"/>
      <c r="X46" s="29"/>
      <c r="Y46" s="29"/>
      <c r="Z46" s="29"/>
      <c r="AA46" s="29"/>
      <c r="AB46" s="29"/>
      <c r="AC46" s="29"/>
      <c r="AD46" s="29"/>
      <c r="AE46" s="29"/>
      <c r="AF46" s="29"/>
    </row>
    <row r="47" spans="1:32" s="2" customFormat="1" ht="20.100000000000001" customHeight="1">
      <c r="A47" s="585" t="s">
        <v>115</v>
      </c>
      <c r="B47" s="586"/>
      <c r="C47" s="122">
        <v>2</v>
      </c>
      <c r="D47" s="123" t="s">
        <v>31</v>
      </c>
      <c r="E47" s="320">
        <f>'DECK TALLY'!B23</f>
        <v>18</v>
      </c>
      <c r="F47" s="368">
        <f>VLOOKUP(E47,'DECK TALLY'!$B$6:$C$316,2,FALSE)</f>
        <v>33.96</v>
      </c>
      <c r="G47" s="377">
        <f t="shared" si="4"/>
        <v>33.554500000000004</v>
      </c>
      <c r="H47" s="130" t="s">
        <v>29</v>
      </c>
      <c r="I47" s="183">
        <f t="shared" si="3"/>
        <v>786.18249999999989</v>
      </c>
      <c r="J47" s="368">
        <f t="shared" si="2"/>
        <v>20568.817500000001</v>
      </c>
      <c r="K47" s="145">
        <f t="shared" si="0"/>
        <v>103.51462790488922</v>
      </c>
      <c r="L47" s="621"/>
      <c r="M47" s="622"/>
      <c r="N47" s="28"/>
      <c r="O47" s="28"/>
      <c r="P47" s="28"/>
      <c r="Q47" s="114"/>
      <c r="R47" s="28"/>
      <c r="S47" s="28"/>
      <c r="T47" s="28"/>
      <c r="U47" s="28"/>
      <c r="V47" s="28"/>
      <c r="W47" s="28"/>
      <c r="X47" s="29"/>
      <c r="Y47" s="29"/>
      <c r="Z47" s="29"/>
      <c r="AA47" s="29"/>
      <c r="AB47" s="29"/>
      <c r="AC47" s="29"/>
      <c r="AD47" s="29"/>
      <c r="AE47" s="29"/>
      <c r="AF47" s="29"/>
    </row>
    <row r="48" spans="1:32" s="2" customFormat="1" ht="20.100000000000001" customHeight="1">
      <c r="A48" s="585" t="s">
        <v>115</v>
      </c>
      <c r="B48" s="586"/>
      <c r="C48" s="122">
        <v>2</v>
      </c>
      <c r="D48" s="123" t="s">
        <v>31</v>
      </c>
      <c r="E48" s="320">
        <f>'DECK TALLY'!B24</f>
        <v>19</v>
      </c>
      <c r="F48" s="368">
        <f>VLOOKUP(E48,'DECK TALLY'!$B$6:$C$316,2,FALSE)</f>
        <v>33.950000000000003</v>
      </c>
      <c r="G48" s="377">
        <f t="shared" si="4"/>
        <v>33.544499999999999</v>
      </c>
      <c r="H48" s="130" t="s">
        <v>29</v>
      </c>
      <c r="I48" s="183">
        <f t="shared" si="3"/>
        <v>819.72699999999986</v>
      </c>
      <c r="J48" s="368">
        <f t="shared" si="2"/>
        <v>20535.273000000001</v>
      </c>
      <c r="K48" s="145">
        <f t="shared" si="0"/>
        <v>104.30460216119175</v>
      </c>
      <c r="L48" s="621"/>
      <c r="M48" s="622"/>
      <c r="N48" s="147"/>
      <c r="O48" s="28"/>
      <c r="P48" s="28"/>
      <c r="Q48" s="98"/>
      <c r="R48" s="114"/>
      <c r="S48" s="114"/>
      <c r="T48" s="114"/>
      <c r="U48" s="114"/>
      <c r="V48" s="114"/>
      <c r="W48" s="114"/>
      <c r="X48" s="29"/>
      <c r="Y48" s="29"/>
      <c r="Z48" s="29"/>
      <c r="AA48" s="29"/>
      <c r="AB48" s="29"/>
      <c r="AC48" s="29"/>
      <c r="AD48" s="29"/>
      <c r="AE48" s="29"/>
      <c r="AF48" s="29"/>
    </row>
    <row r="49" spans="1:45" s="2" customFormat="1" ht="20.100000000000001" customHeight="1">
      <c r="A49" s="625" t="s">
        <v>115</v>
      </c>
      <c r="B49" s="626"/>
      <c r="C49" s="470">
        <v>2</v>
      </c>
      <c r="D49" s="471" t="s">
        <v>31</v>
      </c>
      <c r="E49" s="472">
        <f>'DECK TALLY'!B25</f>
        <v>20</v>
      </c>
      <c r="F49" s="473">
        <f>VLOOKUP(E49,'DECK TALLY'!$B$6:$C$316,2,FALSE)</f>
        <v>33.79</v>
      </c>
      <c r="G49" s="474">
        <f t="shared" si="4"/>
        <v>33.384500000000003</v>
      </c>
      <c r="H49" s="475" t="s">
        <v>32</v>
      </c>
      <c r="I49" s="476">
        <f t="shared" si="3"/>
        <v>819.72699999999986</v>
      </c>
      <c r="J49" s="474">
        <f t="shared" si="2"/>
        <v>20535.273000000001</v>
      </c>
      <c r="K49" s="463">
        <f t="shared" si="0"/>
        <v>104.30460216119175</v>
      </c>
      <c r="L49" s="627" t="s">
        <v>359</v>
      </c>
      <c r="M49" s="628"/>
      <c r="N49" s="147"/>
      <c r="O49" s="28"/>
      <c r="P49" s="28"/>
      <c r="Q49" s="114"/>
      <c r="R49" s="114"/>
      <c r="S49" s="114"/>
      <c r="T49" s="114"/>
      <c r="U49" s="114"/>
      <c r="V49" s="114"/>
      <c r="W49" s="114"/>
      <c r="X49" s="29"/>
      <c r="Y49" s="29"/>
      <c r="Z49" s="29"/>
      <c r="AA49" s="29"/>
      <c r="AB49" s="29"/>
      <c r="AC49" s="29"/>
      <c r="AD49" s="29"/>
      <c r="AE49" s="29"/>
      <c r="AF49" s="29"/>
    </row>
    <row r="50" spans="1:45" s="2" customFormat="1" ht="20.100000000000001" customHeight="1">
      <c r="A50" s="625" t="s">
        <v>115</v>
      </c>
      <c r="B50" s="626"/>
      <c r="C50" s="470">
        <v>2</v>
      </c>
      <c r="D50" s="471" t="s">
        <v>31</v>
      </c>
      <c r="E50" s="472">
        <f>'DECK TALLY'!B26</f>
        <v>21</v>
      </c>
      <c r="F50" s="474">
        <f>VLOOKUP(E50,'DECK TALLY'!$B$6:$C$316,2,FALSE)</f>
        <v>33.94</v>
      </c>
      <c r="G50" s="474">
        <f t="shared" si="4"/>
        <v>33.534499999999994</v>
      </c>
      <c r="H50" s="475" t="s">
        <v>32</v>
      </c>
      <c r="I50" s="476">
        <f t="shared" si="3"/>
        <v>819.72699999999986</v>
      </c>
      <c r="J50" s="474">
        <f t="shared" si="2"/>
        <v>20535.273000000001</v>
      </c>
      <c r="K50" s="463">
        <f t="shared" si="0"/>
        <v>104.30460216119175</v>
      </c>
      <c r="L50" s="627" t="s">
        <v>359</v>
      </c>
      <c r="M50" s="628"/>
      <c r="N50" s="147"/>
      <c r="O50" s="28"/>
      <c r="P50" s="28"/>
      <c r="Q50" s="114"/>
      <c r="R50" s="114"/>
      <c r="S50" s="114"/>
      <c r="T50" s="114"/>
      <c r="U50" s="114"/>
      <c r="V50" s="114"/>
      <c r="W50" s="114"/>
      <c r="X50" s="29"/>
      <c r="Y50" s="29"/>
      <c r="Z50" s="29"/>
      <c r="AA50" s="29"/>
      <c r="AB50" s="29"/>
      <c r="AC50" s="29"/>
      <c r="AD50" s="29"/>
      <c r="AE50" s="29"/>
      <c r="AF50" s="29"/>
    </row>
    <row r="51" spans="1:45" s="2" customFormat="1" ht="20.100000000000001" customHeight="1">
      <c r="A51" s="585" t="s">
        <v>115</v>
      </c>
      <c r="B51" s="586"/>
      <c r="C51" s="122">
        <v>2</v>
      </c>
      <c r="D51" s="168" t="s">
        <v>31</v>
      </c>
      <c r="E51" s="320">
        <f>'DECK TALLY'!B27</f>
        <v>22</v>
      </c>
      <c r="F51" s="368">
        <f>VLOOKUP(E51,'DECK TALLY'!$B$6:$C$316,2,FALSE)</f>
        <v>33.950000000000003</v>
      </c>
      <c r="G51" s="377">
        <f t="shared" si="4"/>
        <v>33.544499999999999</v>
      </c>
      <c r="H51" s="130" t="s">
        <v>29</v>
      </c>
      <c r="I51" s="183">
        <f t="shared" si="3"/>
        <v>853.27149999999983</v>
      </c>
      <c r="J51" s="368">
        <f t="shared" si="2"/>
        <v>20501.728500000001</v>
      </c>
      <c r="K51" s="145">
        <f t="shared" si="0"/>
        <v>105.09457641749427</v>
      </c>
      <c r="L51" s="621"/>
      <c r="M51" s="622"/>
      <c r="N51" s="181"/>
      <c r="O51" s="28"/>
      <c r="P51" s="28"/>
      <c r="Q51" s="121"/>
      <c r="R51" s="121"/>
      <c r="S51" s="121"/>
      <c r="T51" s="121"/>
      <c r="U51" s="121"/>
      <c r="V51" s="121"/>
      <c r="W51" s="121"/>
      <c r="X51" s="29"/>
      <c r="Y51" s="29"/>
      <c r="Z51" s="29"/>
      <c r="AA51" s="29"/>
      <c r="AB51" s="29"/>
      <c r="AC51" s="29"/>
      <c r="AD51" s="29"/>
      <c r="AE51" s="29"/>
      <c r="AF51" s="29"/>
    </row>
    <row r="52" spans="1:45" s="2" customFormat="1" ht="20.100000000000001" customHeight="1">
      <c r="A52" s="585" t="s">
        <v>115</v>
      </c>
      <c r="B52" s="586"/>
      <c r="C52" s="122">
        <v>2</v>
      </c>
      <c r="D52" s="124" t="s">
        <v>31</v>
      </c>
      <c r="E52" s="320">
        <f>'DECK TALLY'!B28</f>
        <v>23</v>
      </c>
      <c r="F52" s="368">
        <f>VLOOKUP(E52,'DECK TALLY'!$B$6:$C$316,2,FALSE)</f>
        <v>33.72</v>
      </c>
      <c r="G52" s="377">
        <f t="shared" si="4"/>
        <v>33.314499999999995</v>
      </c>
      <c r="H52" s="130" t="s">
        <v>29</v>
      </c>
      <c r="I52" s="183">
        <f t="shared" si="3"/>
        <v>886.58599999999979</v>
      </c>
      <c r="J52" s="368">
        <f t="shared" si="2"/>
        <v>20468.414000000001</v>
      </c>
      <c r="K52" s="145">
        <f t="shared" si="0"/>
        <v>105.87913416501145</v>
      </c>
      <c r="L52" s="621"/>
      <c r="M52" s="622"/>
      <c r="N52" s="121"/>
      <c r="O52" s="120"/>
      <c r="P52" s="120"/>
      <c r="Q52" s="120"/>
      <c r="R52" s="120"/>
      <c r="S52" s="120"/>
      <c r="T52" s="120"/>
      <c r="U52" s="120"/>
      <c r="V52" s="120"/>
      <c r="W52" s="120"/>
      <c r="X52" s="29"/>
      <c r="Y52" s="29"/>
      <c r="Z52" s="29"/>
      <c r="AA52" s="29"/>
      <c r="AB52" s="29"/>
      <c r="AC52" s="29"/>
      <c r="AD52" s="29"/>
      <c r="AE52" s="29"/>
      <c r="AF52" s="29"/>
    </row>
    <row r="53" spans="1:45" s="2" customFormat="1" ht="20.100000000000001" customHeight="1">
      <c r="A53" s="585" t="s">
        <v>115</v>
      </c>
      <c r="B53" s="586"/>
      <c r="C53" s="122">
        <v>2</v>
      </c>
      <c r="D53" s="123" t="s">
        <v>31</v>
      </c>
      <c r="E53" s="320">
        <f>'DECK TALLY'!B29</f>
        <v>24</v>
      </c>
      <c r="F53" s="376">
        <f>VLOOKUP(E53,'DECK TALLY'!$B$6:$C$316,2,FALSE)</f>
        <v>33.67</v>
      </c>
      <c r="G53" s="377">
        <f t="shared" si="4"/>
        <v>33.264499999999998</v>
      </c>
      <c r="H53" s="130" t="s">
        <v>29</v>
      </c>
      <c r="I53" s="183">
        <f t="shared" si="3"/>
        <v>919.85049999999978</v>
      </c>
      <c r="J53" s="368">
        <f t="shared" si="2"/>
        <v>20435.1495</v>
      </c>
      <c r="K53" s="145">
        <f t="shared" si="0"/>
        <v>106.6625144106188</v>
      </c>
      <c r="L53" s="621"/>
      <c r="M53" s="622"/>
      <c r="N53" s="121"/>
      <c r="O53" s="120"/>
      <c r="P53" s="120"/>
      <c r="Q53" s="120"/>
      <c r="R53" s="120"/>
      <c r="S53" s="120"/>
      <c r="T53" s="120"/>
      <c r="U53" s="120"/>
      <c r="V53" s="120"/>
      <c r="W53" s="120"/>
      <c r="X53" s="29"/>
      <c r="Y53" s="29"/>
      <c r="Z53" s="29"/>
      <c r="AA53" s="29"/>
      <c r="AB53" s="29"/>
      <c r="AC53" s="29"/>
      <c r="AD53" s="29"/>
      <c r="AE53" s="29"/>
      <c r="AF53" s="29"/>
      <c r="AG53" s="21"/>
    </row>
    <row r="54" spans="1:45" s="2" customFormat="1" ht="20.100000000000001" customHeight="1">
      <c r="A54" s="585" t="s">
        <v>115</v>
      </c>
      <c r="B54" s="586"/>
      <c r="C54" s="122">
        <v>2</v>
      </c>
      <c r="D54" s="123" t="s">
        <v>31</v>
      </c>
      <c r="E54" s="320">
        <f>'DECK TALLY'!B30</f>
        <v>25</v>
      </c>
      <c r="F54" s="368">
        <f>VLOOKUP(E54,'DECK TALLY'!$B$6:$C$316,2,FALSE)</f>
        <v>33.950000000000003</v>
      </c>
      <c r="G54" s="377">
        <f t="shared" si="4"/>
        <v>33.544499999999999</v>
      </c>
      <c r="H54" s="130" t="s">
        <v>29</v>
      </c>
      <c r="I54" s="183">
        <f t="shared" si="3"/>
        <v>953.39499999999975</v>
      </c>
      <c r="J54" s="368">
        <f t="shared" si="2"/>
        <v>20401.605</v>
      </c>
      <c r="K54" s="145">
        <f t="shared" si="0"/>
        <v>107.45248866692131</v>
      </c>
      <c r="L54" s="621"/>
      <c r="M54" s="622"/>
      <c r="N54" s="121"/>
      <c r="O54" s="28"/>
      <c r="P54" s="28"/>
      <c r="Q54" s="120"/>
      <c r="R54" s="120"/>
      <c r="S54" s="120"/>
      <c r="T54" s="120"/>
      <c r="U54" s="120"/>
      <c r="V54" s="120"/>
      <c r="W54" s="120"/>
      <c r="X54" s="29"/>
      <c r="Y54" s="29"/>
      <c r="Z54" s="29"/>
      <c r="AA54" s="29"/>
      <c r="AB54" s="29"/>
      <c r="AC54" s="29"/>
      <c r="AD54" s="29"/>
      <c r="AE54" s="29"/>
      <c r="AF54" s="29"/>
      <c r="AG54" s="21"/>
    </row>
    <row r="55" spans="1:45" s="2" customFormat="1" ht="20.100000000000001" customHeight="1">
      <c r="A55" s="585" t="s">
        <v>115</v>
      </c>
      <c r="B55" s="586"/>
      <c r="C55" s="122">
        <v>2</v>
      </c>
      <c r="D55" s="123" t="s">
        <v>31</v>
      </c>
      <c r="E55" s="320">
        <f>'DECK TALLY'!B31</f>
        <v>26</v>
      </c>
      <c r="F55" s="368">
        <f>VLOOKUP(E55,'DECK TALLY'!$B$6:$C$316,2,FALSE)</f>
        <v>33.9</v>
      </c>
      <c r="G55" s="377">
        <f t="shared" si="4"/>
        <v>33.494500000000002</v>
      </c>
      <c r="H55" s="130" t="s">
        <v>29</v>
      </c>
      <c r="I55" s="183">
        <f t="shared" si="3"/>
        <v>986.88949999999977</v>
      </c>
      <c r="J55" s="368">
        <f t="shared" si="2"/>
        <v>20368.110499999999</v>
      </c>
      <c r="K55" s="145">
        <f t="shared" si="0"/>
        <v>108.24128542131398</v>
      </c>
      <c r="L55" s="621"/>
      <c r="M55" s="622"/>
      <c r="N55" s="121"/>
      <c r="O55" s="28"/>
      <c r="P55" s="28"/>
      <c r="Q55" s="120"/>
      <c r="R55" s="120"/>
      <c r="S55" s="120"/>
      <c r="T55" s="120"/>
      <c r="U55" s="120"/>
      <c r="V55" s="120"/>
      <c r="W55" s="120"/>
      <c r="X55" s="29"/>
      <c r="Y55" s="29"/>
      <c r="Z55" s="29"/>
      <c r="AA55" s="29"/>
      <c r="AB55" s="29"/>
      <c r="AC55" s="29"/>
      <c r="AD55" s="29"/>
      <c r="AE55" s="29"/>
      <c r="AF55" s="29"/>
    </row>
    <row r="56" spans="1:45" s="3" customFormat="1" ht="20.100000000000001" customHeight="1">
      <c r="A56" s="585" t="s">
        <v>115</v>
      </c>
      <c r="B56" s="586"/>
      <c r="C56" s="122">
        <v>2</v>
      </c>
      <c r="D56" s="124" t="s">
        <v>31</v>
      </c>
      <c r="E56" s="320">
        <f>'DECK TALLY'!B32</f>
        <v>27</v>
      </c>
      <c r="F56" s="368">
        <f>VLOOKUP(E56,'DECK TALLY'!$B$6:$C$316,2,FALSE)</f>
        <v>33.9</v>
      </c>
      <c r="G56" s="377">
        <f t="shared" si="4"/>
        <v>33.494500000000002</v>
      </c>
      <c r="H56" s="130" t="s">
        <v>29</v>
      </c>
      <c r="I56" s="183">
        <f t="shared" si="3"/>
        <v>1020.3839999999998</v>
      </c>
      <c r="J56" s="368">
        <f t="shared" si="2"/>
        <v>20334.616000000002</v>
      </c>
      <c r="K56" s="145">
        <f t="shared" si="0"/>
        <v>109.03008217570664</v>
      </c>
      <c r="L56" s="621"/>
      <c r="M56" s="622"/>
      <c r="N56" s="142"/>
      <c r="O56" s="28"/>
      <c r="P56" s="28"/>
      <c r="Q56" s="120"/>
      <c r="R56" s="120"/>
      <c r="S56" s="120"/>
      <c r="T56" s="120"/>
      <c r="U56" s="120"/>
      <c r="V56" s="120"/>
      <c r="W56" s="120"/>
      <c r="X56" s="29"/>
      <c r="Y56" s="29"/>
      <c r="Z56" s="29"/>
      <c r="AA56" s="29"/>
      <c r="AB56" s="29"/>
      <c r="AC56" s="29"/>
      <c r="AD56" s="29"/>
      <c r="AE56" s="29"/>
      <c r="AF56" s="29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s="2" customFormat="1" ht="20.100000000000001" customHeight="1">
      <c r="A57" s="585" t="s">
        <v>115</v>
      </c>
      <c r="B57" s="586"/>
      <c r="C57" s="122">
        <v>2</v>
      </c>
      <c r="D57" s="123" t="s">
        <v>31</v>
      </c>
      <c r="E57" s="320">
        <f>'DECK TALLY'!B33</f>
        <v>28</v>
      </c>
      <c r="F57" s="376">
        <f>VLOOKUP(E57,'DECK TALLY'!$B$6:$C$316,2,FALSE)</f>
        <v>33.9</v>
      </c>
      <c r="G57" s="377">
        <f t="shared" si="4"/>
        <v>33.494500000000002</v>
      </c>
      <c r="H57" s="130" t="s">
        <v>29</v>
      </c>
      <c r="I57" s="183">
        <f t="shared" si="3"/>
        <v>1053.8784999999998</v>
      </c>
      <c r="J57" s="368">
        <f t="shared" si="2"/>
        <v>20301.121500000001</v>
      </c>
      <c r="K57" s="145">
        <f t="shared" si="0"/>
        <v>109.81887893009932</v>
      </c>
      <c r="L57" s="621"/>
      <c r="M57" s="622"/>
      <c r="N57" s="143"/>
      <c r="O57" s="120"/>
      <c r="P57" s="120"/>
      <c r="Q57" s="120"/>
      <c r="R57" s="120"/>
      <c r="S57" s="120"/>
      <c r="T57" s="120"/>
      <c r="U57" s="120"/>
      <c r="V57" s="120"/>
      <c r="W57" s="120"/>
      <c r="X57" s="29"/>
      <c r="Y57" s="29"/>
      <c r="Z57" s="29"/>
      <c r="AA57" s="29"/>
      <c r="AB57" s="29"/>
      <c r="AC57" s="29"/>
      <c r="AD57" s="29"/>
      <c r="AE57" s="29"/>
      <c r="AF57" s="29"/>
      <c r="AG57" s="21"/>
    </row>
    <row r="58" spans="1:45" s="2" customFormat="1" ht="20.100000000000001" customHeight="1">
      <c r="A58" s="585" t="s">
        <v>115</v>
      </c>
      <c r="B58" s="586"/>
      <c r="C58" s="122">
        <v>2</v>
      </c>
      <c r="D58" s="123" t="s">
        <v>31</v>
      </c>
      <c r="E58" s="320">
        <f>'DECK TALLY'!B34</f>
        <v>29</v>
      </c>
      <c r="F58" s="368">
        <f>VLOOKUP(E58,'DECK TALLY'!$B$6:$C$316,2,FALSE)</f>
        <v>33.72</v>
      </c>
      <c r="G58" s="377">
        <f t="shared" si="4"/>
        <v>33.314499999999995</v>
      </c>
      <c r="H58" s="130" t="s">
        <v>29</v>
      </c>
      <c r="I58" s="183">
        <f t="shared" si="3"/>
        <v>1087.1929999999998</v>
      </c>
      <c r="J58" s="368">
        <f t="shared" si="2"/>
        <v>20267.807000000001</v>
      </c>
      <c r="K58" s="145">
        <f t="shared" si="0"/>
        <v>110.6034366776165</v>
      </c>
      <c r="L58" s="621"/>
      <c r="M58" s="622"/>
      <c r="N58" s="143"/>
      <c r="O58" s="120"/>
      <c r="P58" s="120"/>
      <c r="Q58" s="120"/>
      <c r="R58" s="120"/>
      <c r="S58" s="120"/>
      <c r="T58" s="120"/>
      <c r="U58" s="120"/>
      <c r="V58" s="120"/>
      <c r="W58" s="120"/>
      <c r="X58" s="29"/>
      <c r="Y58" s="29"/>
      <c r="Z58" s="29"/>
      <c r="AA58" s="29"/>
      <c r="AB58" s="29"/>
      <c r="AC58" s="29"/>
      <c r="AD58" s="29"/>
      <c r="AE58" s="29"/>
      <c r="AF58" s="29"/>
      <c r="AG58" s="21"/>
    </row>
    <row r="59" spans="1:45" s="2" customFormat="1" ht="20.100000000000001" customHeight="1">
      <c r="A59" s="585" t="s">
        <v>115</v>
      </c>
      <c r="B59" s="586"/>
      <c r="C59" s="122">
        <v>2</v>
      </c>
      <c r="D59" s="123" t="s">
        <v>31</v>
      </c>
      <c r="E59" s="320">
        <f>'DECK TALLY'!B35</f>
        <v>30</v>
      </c>
      <c r="F59" s="368">
        <f>VLOOKUP(E59,'DECK TALLY'!$B$6:$C$316,2,FALSE)</f>
        <v>33.85</v>
      </c>
      <c r="G59" s="377">
        <f t="shared" si="4"/>
        <v>33.444500000000005</v>
      </c>
      <c r="H59" s="130" t="s">
        <v>29</v>
      </c>
      <c r="I59" s="183">
        <f t="shared" si="3"/>
        <v>1120.6374999999998</v>
      </c>
      <c r="J59" s="368">
        <f t="shared" si="2"/>
        <v>20234.362499999999</v>
      </c>
      <c r="K59" s="145">
        <f t="shared" si="0"/>
        <v>111.39105593009931</v>
      </c>
      <c r="L59" s="621"/>
      <c r="M59" s="622"/>
      <c r="N59" s="143"/>
      <c r="O59" s="120"/>
      <c r="P59" s="120"/>
      <c r="Q59" s="120"/>
      <c r="R59" s="120"/>
      <c r="S59" s="120"/>
      <c r="T59" s="120"/>
      <c r="U59" s="120"/>
      <c r="V59" s="120"/>
      <c r="W59" s="120"/>
      <c r="X59" s="29"/>
      <c r="Y59" s="29"/>
      <c r="Z59" s="29"/>
      <c r="AA59" s="29"/>
      <c r="AB59" s="29"/>
      <c r="AC59" s="29"/>
      <c r="AD59" s="29"/>
      <c r="AE59" s="29"/>
      <c r="AF59" s="29"/>
    </row>
    <row r="60" spans="1:45" s="2" customFormat="1" ht="20.100000000000001" customHeight="1">
      <c r="A60" s="585" t="s">
        <v>115</v>
      </c>
      <c r="B60" s="586"/>
      <c r="C60" s="122">
        <v>2</v>
      </c>
      <c r="D60" s="123" t="s">
        <v>31</v>
      </c>
      <c r="E60" s="320">
        <f>'DECK TALLY'!B36</f>
        <v>31</v>
      </c>
      <c r="F60" s="368">
        <f>VLOOKUP(E60,'DECK TALLY'!$B$6:$C$316,2,FALSE)</f>
        <v>33.76</v>
      </c>
      <c r="G60" s="377">
        <f t="shared" si="4"/>
        <v>33.354500000000002</v>
      </c>
      <c r="H60" s="130" t="s">
        <v>29</v>
      </c>
      <c r="I60" s="183">
        <f t="shared" si="3"/>
        <v>1153.9919999999997</v>
      </c>
      <c r="J60" s="368">
        <f t="shared" si="2"/>
        <v>20201.008000000002</v>
      </c>
      <c r="K60" s="145">
        <f t="shared" si="0"/>
        <v>112.17655567914437</v>
      </c>
      <c r="L60" s="621"/>
      <c r="M60" s="622"/>
      <c r="N60" s="148"/>
      <c r="O60" s="28"/>
      <c r="P60" s="28"/>
      <c r="Q60" s="28"/>
      <c r="R60" s="28"/>
      <c r="S60" s="28"/>
      <c r="T60" s="28"/>
      <c r="U60" s="28"/>
      <c r="V60" s="28"/>
      <c r="W60" s="28"/>
      <c r="X60" s="29"/>
      <c r="Y60" s="29"/>
      <c r="Z60" s="29"/>
      <c r="AA60" s="29"/>
      <c r="AB60" s="29"/>
      <c r="AC60" s="29"/>
      <c r="AD60" s="29"/>
      <c r="AE60" s="29"/>
      <c r="AF60" s="29"/>
    </row>
    <row r="61" spans="1:45" s="2" customFormat="1" ht="20.100000000000001" customHeight="1">
      <c r="A61" s="585" t="s">
        <v>115</v>
      </c>
      <c r="B61" s="586"/>
      <c r="C61" s="122">
        <v>2</v>
      </c>
      <c r="D61" s="123" t="s">
        <v>31</v>
      </c>
      <c r="E61" s="320">
        <f>'DECK TALLY'!B37</f>
        <v>32</v>
      </c>
      <c r="F61" s="376">
        <f>VLOOKUP(E61,'DECK TALLY'!$B$6:$C$316,2,FALSE)</f>
        <v>33.94</v>
      </c>
      <c r="G61" s="377">
        <f t="shared" si="4"/>
        <v>33.534499999999994</v>
      </c>
      <c r="H61" s="130" t="s">
        <v>29</v>
      </c>
      <c r="I61" s="183">
        <f t="shared" si="3"/>
        <v>1187.5264999999997</v>
      </c>
      <c r="J61" s="368">
        <f t="shared" si="2"/>
        <v>20167.4735</v>
      </c>
      <c r="K61" s="145">
        <f t="shared" si="0"/>
        <v>112.96629443506492</v>
      </c>
      <c r="L61" s="621"/>
      <c r="M61" s="622"/>
      <c r="N61" s="147"/>
      <c r="O61" s="28"/>
      <c r="P61" s="28"/>
      <c r="Q61" s="28"/>
      <c r="R61" s="28"/>
      <c r="S61" s="28"/>
      <c r="T61" s="28"/>
      <c r="U61" s="28"/>
      <c r="V61" s="28"/>
      <c r="W61" s="28"/>
      <c r="X61" s="29"/>
      <c r="Y61" s="29"/>
      <c r="Z61" s="29"/>
      <c r="AA61" s="29"/>
      <c r="AB61" s="29"/>
      <c r="AC61" s="29"/>
      <c r="AD61" s="29"/>
      <c r="AE61" s="29"/>
      <c r="AF61" s="29"/>
      <c r="AG61" s="21"/>
    </row>
    <row r="62" spans="1:45" s="2" customFormat="1" ht="20.100000000000001" customHeight="1">
      <c r="A62" s="585" t="s">
        <v>115</v>
      </c>
      <c r="B62" s="586"/>
      <c r="C62" s="122">
        <v>2</v>
      </c>
      <c r="D62" s="123" t="s">
        <v>31</v>
      </c>
      <c r="E62" s="320">
        <f>'DECK TALLY'!B38</f>
        <v>33</v>
      </c>
      <c r="F62" s="368">
        <f>VLOOKUP(E62,'DECK TALLY'!$B$6:$C$316,2,FALSE)</f>
        <v>33.36</v>
      </c>
      <c r="G62" s="377">
        <f t="shared" si="4"/>
        <v>32.954499999999996</v>
      </c>
      <c r="H62" s="130" t="s">
        <v>29</v>
      </c>
      <c r="I62" s="183">
        <f t="shared" si="3"/>
        <v>1220.4809999999998</v>
      </c>
      <c r="J62" s="368">
        <f t="shared" si="2"/>
        <v>20134.519</v>
      </c>
      <c r="K62" s="145">
        <f t="shared" si="0"/>
        <v>113.74237416883116</v>
      </c>
      <c r="L62" s="621"/>
      <c r="M62" s="622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9"/>
      <c r="Y62" s="29"/>
      <c r="Z62" s="29"/>
      <c r="AA62" s="29"/>
      <c r="AB62" s="29"/>
      <c r="AC62" s="29"/>
      <c r="AD62" s="29"/>
      <c r="AE62" s="29"/>
      <c r="AF62" s="29"/>
    </row>
    <row r="63" spans="1:45" s="2" customFormat="1" ht="20.100000000000001" customHeight="1">
      <c r="A63" s="585" t="s">
        <v>115</v>
      </c>
      <c r="B63" s="586"/>
      <c r="C63" s="122">
        <v>2</v>
      </c>
      <c r="D63" s="123" t="s">
        <v>31</v>
      </c>
      <c r="E63" s="320">
        <f>'DECK TALLY'!B39</f>
        <v>34</v>
      </c>
      <c r="F63" s="368">
        <f>VLOOKUP(E63,'DECK TALLY'!$B$6:$C$316,2,FALSE)</f>
        <v>33.94</v>
      </c>
      <c r="G63" s="377">
        <f t="shared" si="4"/>
        <v>33.534499999999994</v>
      </c>
      <c r="H63" s="130" t="s">
        <v>29</v>
      </c>
      <c r="I63" s="183">
        <f t="shared" si="3"/>
        <v>1254.0154999999997</v>
      </c>
      <c r="J63" s="368">
        <f t="shared" si="2"/>
        <v>20100.984499999999</v>
      </c>
      <c r="K63" s="145">
        <f t="shared" si="0"/>
        <v>114.53211292475171</v>
      </c>
      <c r="L63" s="621"/>
      <c r="M63" s="622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9"/>
      <c r="Y63" s="29"/>
      <c r="Z63" s="29"/>
      <c r="AA63" s="29"/>
      <c r="AB63" s="29"/>
      <c r="AC63" s="29"/>
      <c r="AD63" s="29"/>
      <c r="AE63" s="29"/>
      <c r="AF63" s="29"/>
    </row>
    <row r="64" spans="1:45" s="2" customFormat="1" ht="20.100000000000001" customHeight="1">
      <c r="A64" s="585" t="s">
        <v>115</v>
      </c>
      <c r="B64" s="586"/>
      <c r="C64" s="122">
        <v>2</v>
      </c>
      <c r="D64" s="124" t="s">
        <v>31</v>
      </c>
      <c r="E64" s="320">
        <f>'DECK TALLY'!B40</f>
        <v>35</v>
      </c>
      <c r="F64" s="368">
        <f>VLOOKUP(E64,'DECK TALLY'!$B$6:$C$316,2,FALSE)</f>
        <v>32.4</v>
      </c>
      <c r="G64" s="377">
        <f t="shared" si="4"/>
        <v>31.994499999999999</v>
      </c>
      <c r="H64" s="130" t="s">
        <v>29</v>
      </c>
      <c r="I64" s="183">
        <f t="shared" si="3"/>
        <v>1286.0099999999998</v>
      </c>
      <c r="J64" s="368">
        <f t="shared" si="2"/>
        <v>20068.990000000002</v>
      </c>
      <c r="K64" s="145">
        <f t="shared" si="0"/>
        <v>115.28558462184873</v>
      </c>
      <c r="L64" s="621"/>
      <c r="M64" s="622"/>
      <c r="N64" s="121"/>
      <c r="O64" s="120"/>
      <c r="P64" s="120"/>
      <c r="Q64" s="120"/>
      <c r="R64" s="120"/>
      <c r="S64" s="120"/>
      <c r="T64" s="120"/>
      <c r="U64" s="120"/>
      <c r="V64" s="120"/>
      <c r="W64" s="120"/>
      <c r="X64" s="29"/>
      <c r="Y64" s="29"/>
      <c r="Z64" s="29"/>
      <c r="AA64" s="29"/>
      <c r="AB64" s="29"/>
      <c r="AC64" s="29"/>
      <c r="AD64" s="29"/>
      <c r="AE64" s="29"/>
      <c r="AF64" s="29"/>
    </row>
    <row r="65" spans="1:32" s="2" customFormat="1" ht="20.100000000000001" customHeight="1">
      <c r="A65" s="585" t="s">
        <v>115</v>
      </c>
      <c r="B65" s="586"/>
      <c r="C65" s="122">
        <v>2</v>
      </c>
      <c r="D65" s="123" t="s">
        <v>31</v>
      </c>
      <c r="E65" s="320">
        <f>'DECK TALLY'!B41</f>
        <v>36</v>
      </c>
      <c r="F65" s="376">
        <f>VLOOKUP(E65,'DECK TALLY'!$B$6:$C$316,2,FALSE)</f>
        <v>33.93</v>
      </c>
      <c r="G65" s="377">
        <f t="shared" si="4"/>
        <v>33.524500000000003</v>
      </c>
      <c r="H65" s="130" t="s">
        <v>29</v>
      </c>
      <c r="I65" s="183">
        <f t="shared" si="3"/>
        <v>1319.5344999999998</v>
      </c>
      <c r="J65" s="368">
        <f t="shared" si="2"/>
        <v>20035.465499999998</v>
      </c>
      <c r="K65" s="145">
        <f t="shared" si="0"/>
        <v>116.07508787738732</v>
      </c>
      <c r="L65" s="621"/>
      <c r="M65" s="622"/>
      <c r="N65" s="121"/>
      <c r="O65" s="120"/>
      <c r="P65" s="120"/>
      <c r="Q65" s="120"/>
      <c r="R65" s="120"/>
      <c r="S65" s="120"/>
      <c r="T65" s="120"/>
      <c r="U65" s="120"/>
      <c r="V65" s="120"/>
      <c r="W65" s="120"/>
      <c r="X65" s="29"/>
      <c r="Y65" s="29"/>
      <c r="Z65" s="29"/>
      <c r="AA65" s="29"/>
      <c r="AB65" s="29"/>
      <c r="AC65" s="29"/>
      <c r="AD65" s="29"/>
      <c r="AE65" s="29"/>
      <c r="AF65" s="29"/>
    </row>
    <row r="66" spans="1:32" s="2" customFormat="1" ht="20.100000000000001" customHeight="1">
      <c r="A66" s="585" t="s">
        <v>115</v>
      </c>
      <c r="B66" s="586"/>
      <c r="C66" s="122">
        <v>2</v>
      </c>
      <c r="D66" s="123" t="s">
        <v>31</v>
      </c>
      <c r="E66" s="320">
        <f>'DECK TALLY'!B42</f>
        <v>37</v>
      </c>
      <c r="F66" s="368">
        <f>VLOOKUP(E66,'DECK TALLY'!$B$6:$C$316,2,FALSE)</f>
        <v>32.89</v>
      </c>
      <c r="G66" s="377">
        <f t="shared" si="4"/>
        <v>32.484499999999997</v>
      </c>
      <c r="H66" s="130" t="s">
        <v>29</v>
      </c>
      <c r="I66" s="183">
        <f t="shared" si="3"/>
        <v>1352.0189999999998</v>
      </c>
      <c r="J66" s="368">
        <f t="shared" si="2"/>
        <v>20002.981</v>
      </c>
      <c r="K66" s="145">
        <f t="shared" si="0"/>
        <v>116.84009909320091</v>
      </c>
      <c r="L66" s="621"/>
      <c r="M66" s="622"/>
      <c r="N66" s="121"/>
      <c r="O66" s="120"/>
      <c r="P66" s="120"/>
      <c r="Q66" s="120"/>
      <c r="R66" s="120"/>
      <c r="S66" s="120"/>
      <c r="T66" s="120"/>
      <c r="U66" s="120"/>
      <c r="V66" s="120"/>
      <c r="W66" s="120"/>
      <c r="X66" s="29"/>
      <c r="Y66" s="29"/>
      <c r="Z66" s="29"/>
      <c r="AA66" s="29"/>
      <c r="AB66" s="29"/>
      <c r="AC66" s="29"/>
      <c r="AD66" s="29"/>
      <c r="AE66" s="29"/>
      <c r="AF66" s="29"/>
    </row>
    <row r="67" spans="1:32" s="2" customFormat="1" ht="20.100000000000001" customHeight="1">
      <c r="A67" s="585" t="s">
        <v>115</v>
      </c>
      <c r="B67" s="586"/>
      <c r="C67" s="122">
        <v>2</v>
      </c>
      <c r="D67" s="123" t="s">
        <v>31</v>
      </c>
      <c r="E67" s="320">
        <f>'DECK TALLY'!B43</f>
        <v>38</v>
      </c>
      <c r="F67" s="368">
        <f>VLOOKUP(E67,'DECK TALLY'!$B$6:$C$316,2,FALSE)</f>
        <v>33.94</v>
      </c>
      <c r="G67" s="377">
        <f t="shared" si="4"/>
        <v>33.534499999999994</v>
      </c>
      <c r="H67" s="130" t="s">
        <v>29</v>
      </c>
      <c r="I67" s="183">
        <f t="shared" si="3"/>
        <v>1385.5534999999998</v>
      </c>
      <c r="J67" s="368">
        <f t="shared" si="2"/>
        <v>19969.446500000002</v>
      </c>
      <c r="K67" s="145">
        <f t="shared" si="0"/>
        <v>117.62983784912146</v>
      </c>
      <c r="L67" s="621"/>
      <c r="M67" s="622"/>
      <c r="N67" s="121"/>
      <c r="O67" s="120"/>
      <c r="P67" s="120"/>
      <c r="Q67" s="120"/>
      <c r="R67" s="120"/>
      <c r="S67" s="120"/>
      <c r="T67" s="120"/>
      <c r="U67" s="120"/>
      <c r="V67" s="120"/>
      <c r="W67" s="120"/>
      <c r="X67" s="29"/>
      <c r="Y67" s="29"/>
      <c r="Z67" s="29"/>
      <c r="AA67" s="29"/>
      <c r="AB67" s="29"/>
      <c r="AC67" s="29"/>
      <c r="AD67" s="29"/>
      <c r="AE67" s="29"/>
      <c r="AF67" s="29"/>
    </row>
    <row r="68" spans="1:32" s="2" customFormat="1" ht="20.100000000000001" customHeight="1">
      <c r="A68" s="585" t="s">
        <v>115</v>
      </c>
      <c r="B68" s="586"/>
      <c r="C68" s="122">
        <v>2</v>
      </c>
      <c r="D68" s="124" t="s">
        <v>31</v>
      </c>
      <c r="E68" s="320">
        <f>'DECK TALLY'!B44</f>
        <v>39</v>
      </c>
      <c r="F68" s="368">
        <f>VLOOKUP(E68,'DECK TALLY'!$B$6:$C$316,2,FALSE)</f>
        <v>33.93</v>
      </c>
      <c r="G68" s="377">
        <f t="shared" si="4"/>
        <v>33.524500000000003</v>
      </c>
      <c r="H68" s="130" t="s">
        <v>29</v>
      </c>
      <c r="I68" s="183">
        <f t="shared" si="3"/>
        <v>1419.0779999999997</v>
      </c>
      <c r="J68" s="368">
        <f t="shared" si="2"/>
        <v>19935.921999999999</v>
      </c>
      <c r="K68" s="145">
        <f t="shared" si="0"/>
        <v>118.41934110466005</v>
      </c>
      <c r="L68" s="621"/>
      <c r="M68" s="622"/>
      <c r="N68" s="121"/>
      <c r="O68" s="120"/>
      <c r="P68" s="120"/>
      <c r="Q68" s="120"/>
      <c r="R68" s="120"/>
      <c r="S68" s="120"/>
      <c r="T68" s="120"/>
      <c r="U68" s="120"/>
      <c r="V68" s="120"/>
      <c r="W68" s="120"/>
      <c r="X68" s="29"/>
      <c r="Y68" s="29"/>
      <c r="Z68" s="29"/>
      <c r="AA68" s="29"/>
      <c r="AB68" s="29"/>
      <c r="AC68" s="29"/>
      <c r="AD68" s="29"/>
      <c r="AE68" s="29"/>
      <c r="AF68" s="29"/>
    </row>
    <row r="69" spans="1:32" s="2" customFormat="1" ht="20.100000000000001" customHeight="1">
      <c r="A69" s="585" t="s">
        <v>115</v>
      </c>
      <c r="B69" s="586"/>
      <c r="C69" s="122">
        <v>2</v>
      </c>
      <c r="D69" s="123" t="s">
        <v>31</v>
      </c>
      <c r="E69" s="320">
        <f>'DECK TALLY'!B45</f>
        <v>40</v>
      </c>
      <c r="F69" s="376">
        <f>VLOOKUP(E69,'DECK TALLY'!$B$6:$C$316,2,FALSE)</f>
        <v>32.08</v>
      </c>
      <c r="G69" s="377">
        <f t="shared" si="4"/>
        <v>31.674499999999998</v>
      </c>
      <c r="H69" s="130" t="s">
        <v>29</v>
      </c>
      <c r="I69" s="183">
        <f t="shared" si="3"/>
        <v>1450.7524999999998</v>
      </c>
      <c r="J69" s="368">
        <f t="shared" si="2"/>
        <v>19904.247500000001</v>
      </c>
      <c r="K69" s="145">
        <f t="shared" si="0"/>
        <v>119.16527678953399</v>
      </c>
      <c r="L69" s="621"/>
      <c r="M69" s="622"/>
      <c r="N69" s="121"/>
      <c r="O69" s="120"/>
      <c r="P69" s="120"/>
      <c r="Q69" s="120"/>
      <c r="R69" s="120"/>
      <c r="S69" s="120"/>
      <c r="T69" s="120"/>
      <c r="U69" s="120"/>
      <c r="V69" s="120"/>
      <c r="W69" s="120"/>
      <c r="X69" s="29"/>
      <c r="Y69" s="29"/>
      <c r="Z69" s="29"/>
      <c r="AA69" s="29"/>
      <c r="AB69" s="29"/>
      <c r="AC69" s="29"/>
      <c r="AD69" s="29"/>
      <c r="AE69" s="29"/>
      <c r="AF69" s="29"/>
    </row>
    <row r="70" spans="1:32" s="2" customFormat="1" ht="20.100000000000001" customHeight="1">
      <c r="A70" s="585" t="s">
        <v>115</v>
      </c>
      <c r="B70" s="586"/>
      <c r="C70" s="122">
        <v>2</v>
      </c>
      <c r="D70" s="123" t="s">
        <v>31</v>
      </c>
      <c r="E70" s="320">
        <f>'DECK TALLY'!B46</f>
        <v>41</v>
      </c>
      <c r="F70" s="368">
        <f>VLOOKUP(E70,'DECK TALLY'!$B$6:$C$316,2,FALSE)</f>
        <v>33.93</v>
      </c>
      <c r="G70" s="377">
        <f t="shared" si="4"/>
        <v>33.524500000000003</v>
      </c>
      <c r="H70" s="130" t="s">
        <v>29</v>
      </c>
      <c r="I70" s="183">
        <f t="shared" si="3"/>
        <v>1484.2769999999998</v>
      </c>
      <c r="J70" s="368">
        <f t="shared" si="2"/>
        <v>19870.723000000002</v>
      </c>
      <c r="K70" s="145">
        <f t="shared" si="0"/>
        <v>119.95478004507257</v>
      </c>
      <c r="L70" s="621"/>
      <c r="M70" s="622"/>
      <c r="N70" s="121"/>
      <c r="O70" s="179"/>
      <c r="P70" s="120"/>
      <c r="Q70" s="120"/>
      <c r="R70" s="120"/>
      <c r="S70" s="120"/>
      <c r="T70" s="120"/>
      <c r="U70" s="120"/>
      <c r="V70" s="120"/>
      <c r="W70" s="120"/>
      <c r="X70" s="29"/>
      <c r="Y70" s="29"/>
      <c r="Z70" s="29"/>
      <c r="AA70" s="29"/>
      <c r="AB70" s="29"/>
      <c r="AC70" s="29"/>
      <c r="AD70" s="29"/>
      <c r="AE70" s="29"/>
      <c r="AF70" s="29"/>
    </row>
    <row r="71" spans="1:32" s="2" customFormat="1" ht="20.100000000000001" customHeight="1">
      <c r="A71" s="585" t="s">
        <v>115</v>
      </c>
      <c r="B71" s="586"/>
      <c r="C71" s="122">
        <v>2</v>
      </c>
      <c r="D71" s="123" t="s">
        <v>31</v>
      </c>
      <c r="E71" s="320">
        <f>'DECK TALLY'!B47</f>
        <v>42</v>
      </c>
      <c r="F71" s="368">
        <f>VLOOKUP(E71,'DECK TALLY'!$B$6:$C$316,2,FALSE)</f>
        <v>33.94</v>
      </c>
      <c r="G71" s="377">
        <f t="shared" si="4"/>
        <v>33.534499999999994</v>
      </c>
      <c r="H71" s="130" t="s">
        <v>29</v>
      </c>
      <c r="I71" s="183">
        <f t="shared" si="3"/>
        <v>1517.8114999999998</v>
      </c>
      <c r="J71" s="368">
        <f t="shared" si="2"/>
        <v>19837.1885</v>
      </c>
      <c r="K71" s="145">
        <f t="shared" si="0"/>
        <v>120.74451880099312</v>
      </c>
      <c r="L71" s="621"/>
      <c r="M71" s="622"/>
      <c r="N71" s="121"/>
      <c r="O71" s="120"/>
      <c r="P71" s="120"/>
      <c r="Q71" s="120"/>
      <c r="R71" s="120"/>
      <c r="S71" s="120"/>
      <c r="T71" s="120"/>
      <c r="U71" s="120"/>
      <c r="V71" s="120"/>
      <c r="W71" s="120"/>
      <c r="X71" s="29"/>
      <c r="Y71" s="29"/>
      <c r="Z71" s="29"/>
      <c r="AA71" s="29"/>
      <c r="AB71" s="29"/>
      <c r="AC71" s="29"/>
      <c r="AD71" s="29"/>
      <c r="AE71" s="29"/>
      <c r="AF71" s="29"/>
    </row>
    <row r="72" spans="1:32" s="2" customFormat="1" ht="20.100000000000001" customHeight="1">
      <c r="A72" s="585" t="s">
        <v>115</v>
      </c>
      <c r="B72" s="586"/>
      <c r="C72" s="122">
        <v>2</v>
      </c>
      <c r="D72" s="168" t="s">
        <v>31</v>
      </c>
      <c r="E72" s="320">
        <f>'DECK TALLY'!B48</f>
        <v>43</v>
      </c>
      <c r="F72" s="368">
        <f>VLOOKUP(E72,'DECK TALLY'!$B$6:$C$316,2,FALSE)</f>
        <v>33.94</v>
      </c>
      <c r="G72" s="377">
        <f t="shared" si="4"/>
        <v>33.534499999999994</v>
      </c>
      <c r="H72" s="130" t="s">
        <v>29</v>
      </c>
      <c r="I72" s="183">
        <f t="shared" si="3"/>
        <v>1551.3459999999998</v>
      </c>
      <c r="J72" s="368">
        <f t="shared" si="2"/>
        <v>19803.653999999999</v>
      </c>
      <c r="K72" s="145">
        <f t="shared" si="0"/>
        <v>121.53425755691367</v>
      </c>
      <c r="L72" s="621"/>
      <c r="M72" s="622"/>
      <c r="N72" s="121"/>
      <c r="O72" s="28"/>
      <c r="P72" s="28"/>
      <c r="Q72" s="28"/>
      <c r="R72" s="28"/>
      <c r="S72" s="28"/>
      <c r="T72" s="28"/>
      <c r="U72" s="28"/>
      <c r="V72" s="28"/>
      <c r="W72" s="28"/>
      <c r="X72" s="29"/>
      <c r="Y72" s="29"/>
      <c r="Z72" s="29"/>
      <c r="AA72" s="29"/>
      <c r="AB72" s="29"/>
      <c r="AC72" s="29"/>
      <c r="AD72" s="29"/>
      <c r="AE72" s="29"/>
      <c r="AF72" s="29"/>
    </row>
    <row r="73" spans="1:32" s="2" customFormat="1" ht="20.100000000000001" customHeight="1">
      <c r="A73" s="585" t="s">
        <v>115</v>
      </c>
      <c r="B73" s="586"/>
      <c r="C73" s="122">
        <v>2</v>
      </c>
      <c r="D73" s="123" t="s">
        <v>31</v>
      </c>
      <c r="E73" s="320">
        <f>'DECK TALLY'!B49</f>
        <v>44</v>
      </c>
      <c r="F73" s="376">
        <f>VLOOKUP(E73,'DECK TALLY'!$B$6:$C$316,2,FALSE)</f>
        <v>33.93</v>
      </c>
      <c r="G73" s="377">
        <f t="shared" si="4"/>
        <v>33.524500000000003</v>
      </c>
      <c r="H73" s="130" t="s">
        <v>29</v>
      </c>
      <c r="I73" s="183">
        <f t="shared" si="3"/>
        <v>1584.8704999999998</v>
      </c>
      <c r="J73" s="368">
        <f t="shared" si="2"/>
        <v>19770.129499999999</v>
      </c>
      <c r="K73" s="145">
        <f t="shared" si="0"/>
        <v>122.32376081245225</v>
      </c>
      <c r="L73" s="621"/>
      <c r="M73" s="622"/>
      <c r="N73" s="121"/>
      <c r="O73" s="28"/>
      <c r="P73" s="28"/>
      <c r="Q73" s="28"/>
      <c r="R73" s="28"/>
      <c r="S73" s="28"/>
      <c r="T73" s="28"/>
      <c r="U73" s="28"/>
      <c r="V73" s="28"/>
      <c r="W73" s="28"/>
      <c r="X73" s="29"/>
      <c r="Y73" s="29"/>
      <c r="Z73" s="29"/>
      <c r="AA73" s="29"/>
      <c r="AB73" s="29"/>
      <c r="AC73" s="29"/>
      <c r="AD73" s="29"/>
      <c r="AE73" s="29"/>
      <c r="AF73" s="29"/>
    </row>
    <row r="74" spans="1:32" s="2" customFormat="1" ht="20.100000000000001" customHeight="1">
      <c r="A74" s="585" t="s">
        <v>115</v>
      </c>
      <c r="B74" s="586"/>
      <c r="C74" s="167">
        <v>2</v>
      </c>
      <c r="D74" s="168" t="s">
        <v>31</v>
      </c>
      <c r="E74" s="320">
        <f>'DECK TALLY'!B50</f>
        <v>45</v>
      </c>
      <c r="F74" s="368">
        <f>VLOOKUP(E74,'DECK TALLY'!$B$6:$C$316,2,FALSE)</f>
        <v>33.81</v>
      </c>
      <c r="G74" s="377">
        <f t="shared" si="4"/>
        <v>33.404499999999999</v>
      </c>
      <c r="H74" s="317" t="s">
        <v>29</v>
      </c>
      <c r="I74" s="183">
        <f t="shared" si="3"/>
        <v>1618.2749999999999</v>
      </c>
      <c r="J74" s="368">
        <f t="shared" si="2"/>
        <v>19736.724999999999</v>
      </c>
      <c r="K74" s="145">
        <f t="shared" si="0"/>
        <v>123.11043806340717</v>
      </c>
      <c r="L74" s="621"/>
      <c r="M74" s="622"/>
      <c r="O74" s="28"/>
      <c r="P74" s="28"/>
      <c r="Q74" s="28"/>
      <c r="R74" s="28"/>
      <c r="S74" s="28"/>
      <c r="T74" s="28"/>
      <c r="U74" s="28"/>
      <c r="V74" s="28"/>
      <c r="W74" s="28"/>
      <c r="X74" s="29"/>
      <c r="Y74" s="29"/>
      <c r="Z74" s="29"/>
      <c r="AA74" s="29"/>
      <c r="AB74" s="29"/>
      <c r="AC74" s="29"/>
      <c r="AD74" s="29"/>
      <c r="AE74" s="29"/>
      <c r="AF74" s="29"/>
    </row>
    <row r="75" spans="1:32" s="2" customFormat="1" ht="20.100000000000001" customHeight="1">
      <c r="A75" s="585" t="s">
        <v>115</v>
      </c>
      <c r="B75" s="586"/>
      <c r="C75" s="122">
        <v>2</v>
      </c>
      <c r="D75" s="123" t="s">
        <v>31</v>
      </c>
      <c r="E75" s="320">
        <f>'DECK TALLY'!B51</f>
        <v>46</v>
      </c>
      <c r="F75" s="368">
        <f>VLOOKUP(E75,'DECK TALLY'!$B$6:$C$316,2,FALSE)</f>
        <v>33.57</v>
      </c>
      <c r="G75" s="377">
        <f t="shared" si="4"/>
        <v>33.164500000000004</v>
      </c>
      <c r="H75" s="130" t="s">
        <v>29</v>
      </c>
      <c r="I75" s="183">
        <f t="shared" si="3"/>
        <v>1651.4395</v>
      </c>
      <c r="J75" s="368">
        <f t="shared" si="2"/>
        <v>19703.5605</v>
      </c>
      <c r="K75" s="145">
        <f t="shared" si="0"/>
        <v>123.8914633051948</v>
      </c>
      <c r="L75" s="621"/>
      <c r="M75" s="622"/>
      <c r="O75" s="28"/>
      <c r="P75" s="28"/>
      <c r="Q75" s="28"/>
      <c r="R75" s="28"/>
      <c r="S75" s="28"/>
      <c r="T75" s="28"/>
      <c r="U75" s="28"/>
      <c r="V75" s="28"/>
      <c r="W75" s="28"/>
      <c r="X75" s="29"/>
      <c r="Y75" s="29"/>
      <c r="Z75" s="29"/>
      <c r="AA75" s="29"/>
      <c r="AB75" s="29"/>
      <c r="AC75" s="29"/>
      <c r="AD75" s="29"/>
      <c r="AE75" s="29"/>
      <c r="AF75" s="29"/>
    </row>
    <row r="76" spans="1:32" s="2" customFormat="1" ht="20.100000000000001" customHeight="1">
      <c r="A76" s="585" t="s">
        <v>115</v>
      </c>
      <c r="B76" s="586"/>
      <c r="C76" s="167">
        <v>2</v>
      </c>
      <c r="D76" s="168" t="s">
        <v>31</v>
      </c>
      <c r="E76" s="320">
        <f>'DECK TALLY'!B52</f>
        <v>47</v>
      </c>
      <c r="F76" s="368">
        <f>VLOOKUP(E76,'DECK TALLY'!$B$6:$C$316,2,FALSE)</f>
        <v>33.93</v>
      </c>
      <c r="G76" s="377">
        <f t="shared" si="4"/>
        <v>33.524500000000003</v>
      </c>
      <c r="H76" s="317" t="s">
        <v>29</v>
      </c>
      <c r="I76" s="183">
        <f t="shared" si="3"/>
        <v>1684.9639999999999</v>
      </c>
      <c r="J76" s="368">
        <f t="shared" si="2"/>
        <v>19670.036</v>
      </c>
      <c r="K76" s="145">
        <f t="shared" si="0"/>
        <v>124.6809665607334</v>
      </c>
      <c r="L76" s="621"/>
      <c r="M76" s="622"/>
      <c r="O76" s="28"/>
      <c r="P76" s="28"/>
      <c r="Q76" s="28"/>
      <c r="R76" s="28"/>
      <c r="S76" s="28"/>
      <c r="T76" s="28"/>
      <c r="U76" s="28"/>
      <c r="V76" s="28"/>
      <c r="W76" s="28"/>
      <c r="X76" s="29"/>
      <c r="Y76" s="29"/>
      <c r="Z76" s="29"/>
      <c r="AA76" s="29"/>
      <c r="AB76" s="29"/>
      <c r="AC76" s="29"/>
      <c r="AD76" s="29"/>
      <c r="AE76" s="29"/>
      <c r="AF76" s="29"/>
    </row>
    <row r="77" spans="1:32" s="2" customFormat="1" ht="20.100000000000001" customHeight="1">
      <c r="A77" s="585" t="s">
        <v>115</v>
      </c>
      <c r="B77" s="586"/>
      <c r="C77" s="122">
        <v>2</v>
      </c>
      <c r="D77" s="123" t="s">
        <v>31</v>
      </c>
      <c r="E77" s="320">
        <f>'DECK TALLY'!B53</f>
        <v>48</v>
      </c>
      <c r="F77" s="376">
        <f>VLOOKUP(E77,'DECK TALLY'!$B$6:$C$316,2,FALSE)</f>
        <v>33.9</v>
      </c>
      <c r="G77" s="377">
        <f t="shared" si="4"/>
        <v>33.494500000000002</v>
      </c>
      <c r="H77" s="130" t="s">
        <v>29</v>
      </c>
      <c r="I77" s="183">
        <f t="shared" si="3"/>
        <v>1718.4585</v>
      </c>
      <c r="J77" s="368">
        <f t="shared" si="2"/>
        <v>19636.541499999999</v>
      </c>
      <c r="K77" s="145">
        <f t="shared" si="0"/>
        <v>125.46976331512604</v>
      </c>
      <c r="L77" s="621"/>
      <c r="M77" s="622"/>
      <c r="N77" s="29"/>
      <c r="O77" s="28"/>
      <c r="P77" s="28"/>
      <c r="Q77" s="28"/>
      <c r="R77" s="28"/>
      <c r="S77" s="28"/>
      <c r="T77" s="28"/>
      <c r="U77" s="28"/>
      <c r="V77" s="28"/>
      <c r="W77" s="28"/>
      <c r="X77" s="29"/>
      <c r="Y77" s="29"/>
      <c r="Z77" s="29"/>
      <c r="AA77" s="29"/>
      <c r="AB77" s="29"/>
      <c r="AC77" s="29"/>
      <c r="AD77" s="29"/>
      <c r="AE77" s="29"/>
      <c r="AF77" s="29"/>
    </row>
    <row r="78" spans="1:32" s="2" customFormat="1" ht="20.100000000000001" customHeight="1">
      <c r="A78" s="585" t="s">
        <v>115</v>
      </c>
      <c r="B78" s="586"/>
      <c r="C78" s="122">
        <v>2</v>
      </c>
      <c r="D78" s="123" t="s">
        <v>31</v>
      </c>
      <c r="E78" s="320">
        <f>'DECK TALLY'!B54</f>
        <v>49</v>
      </c>
      <c r="F78" s="368">
        <f>VLOOKUP(E78,'DECK TALLY'!$B$6:$C$316,2,FALSE)</f>
        <v>33.659999999999997</v>
      </c>
      <c r="G78" s="377">
        <f t="shared" si="4"/>
        <v>33.254499999999993</v>
      </c>
      <c r="H78" s="130" t="s">
        <v>29</v>
      </c>
      <c r="I78" s="183">
        <f t="shared" si="3"/>
        <v>1751.713</v>
      </c>
      <c r="J78" s="368">
        <f t="shared" si="2"/>
        <v>19603.287</v>
      </c>
      <c r="K78" s="145">
        <f t="shared" si="0"/>
        <v>126.25290806035142</v>
      </c>
      <c r="L78" s="621"/>
      <c r="M78" s="622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9"/>
      <c r="Y78" s="29"/>
      <c r="Z78" s="29"/>
      <c r="AA78" s="29"/>
      <c r="AB78" s="29"/>
      <c r="AC78" s="29"/>
      <c r="AD78" s="29"/>
      <c r="AE78" s="29"/>
      <c r="AF78" s="29"/>
    </row>
    <row r="79" spans="1:32" s="2" customFormat="1" ht="20.100000000000001" customHeight="1">
      <c r="A79" s="585" t="s">
        <v>115</v>
      </c>
      <c r="B79" s="586"/>
      <c r="C79" s="122">
        <v>2</v>
      </c>
      <c r="D79" s="123" t="s">
        <v>31</v>
      </c>
      <c r="E79" s="320">
        <f>'DECK TALLY'!B55</f>
        <v>50</v>
      </c>
      <c r="F79" s="368">
        <f>VLOOKUP(E79,'DECK TALLY'!$B$6:$C$316,2,FALSE)</f>
        <v>33.9</v>
      </c>
      <c r="G79" s="377">
        <f t="shared" si="4"/>
        <v>33.494500000000002</v>
      </c>
      <c r="H79" s="130" t="s">
        <v>29</v>
      </c>
      <c r="I79" s="183">
        <f t="shared" si="3"/>
        <v>1785.2075</v>
      </c>
      <c r="J79" s="368">
        <f t="shared" si="2"/>
        <v>19569.7925</v>
      </c>
      <c r="K79" s="145">
        <f t="shared" si="0"/>
        <v>127.04170481474408</v>
      </c>
      <c r="L79" s="629"/>
      <c r="M79" s="630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9"/>
      <c r="Y79" s="29"/>
      <c r="Z79" s="29"/>
      <c r="AA79" s="29"/>
      <c r="AB79" s="29"/>
      <c r="AC79" s="29"/>
      <c r="AD79" s="29"/>
      <c r="AE79" s="29"/>
      <c r="AF79" s="29"/>
    </row>
    <row r="80" spans="1:32" s="2" customFormat="1" ht="20.100000000000001" customHeight="1">
      <c r="A80" s="585" t="s">
        <v>115</v>
      </c>
      <c r="B80" s="586"/>
      <c r="C80" s="122">
        <v>2</v>
      </c>
      <c r="D80" s="123" t="s">
        <v>31</v>
      </c>
      <c r="E80" s="320">
        <f>'DECK TALLY'!B56</f>
        <v>51</v>
      </c>
      <c r="F80" s="368">
        <f>VLOOKUP(E80,'DECK TALLY'!$B$6:$C$316,2,FALSE)</f>
        <v>33.94</v>
      </c>
      <c r="G80" s="377">
        <f t="shared" si="4"/>
        <v>33.534499999999994</v>
      </c>
      <c r="H80" s="130" t="s">
        <v>29</v>
      </c>
      <c r="I80" s="183">
        <f t="shared" si="3"/>
        <v>1818.742</v>
      </c>
      <c r="J80" s="368">
        <f t="shared" si="2"/>
        <v>19536.258000000002</v>
      </c>
      <c r="K80" s="145">
        <f t="shared" si="0"/>
        <v>127.83144357066462</v>
      </c>
      <c r="L80" s="629"/>
      <c r="M80" s="630"/>
      <c r="N80" s="143"/>
      <c r="O80" s="28"/>
      <c r="P80" s="28"/>
      <c r="Q80" s="28"/>
      <c r="R80" s="28"/>
      <c r="S80" s="28"/>
      <c r="T80" s="28"/>
      <c r="U80" s="28"/>
      <c r="V80" s="28"/>
      <c r="W80" s="28"/>
      <c r="X80" s="29"/>
      <c r="Y80" s="29"/>
      <c r="Z80" s="29"/>
      <c r="AA80" s="29"/>
      <c r="AB80" s="29"/>
      <c r="AC80" s="29"/>
      <c r="AD80" s="29"/>
      <c r="AE80" s="29"/>
      <c r="AF80" s="29"/>
    </row>
    <row r="81" spans="1:32" s="2" customFormat="1" ht="20.100000000000001" customHeight="1">
      <c r="A81" s="585" t="s">
        <v>115</v>
      </c>
      <c r="B81" s="586"/>
      <c r="C81" s="122">
        <v>2</v>
      </c>
      <c r="D81" s="123" t="s">
        <v>31</v>
      </c>
      <c r="E81" s="320">
        <f>'DECK TALLY'!B57</f>
        <v>52</v>
      </c>
      <c r="F81" s="376">
        <f>VLOOKUP(E81,'DECK TALLY'!$B$6:$C$316,2,FALSE)</f>
        <v>33.51</v>
      </c>
      <c r="G81" s="377">
        <f t="shared" si="4"/>
        <v>33.104500000000002</v>
      </c>
      <c r="H81" s="130" t="s">
        <v>29</v>
      </c>
      <c r="I81" s="183">
        <f t="shared" si="3"/>
        <v>1851.8464999999999</v>
      </c>
      <c r="J81" s="368">
        <f t="shared" si="2"/>
        <v>19503.1535</v>
      </c>
      <c r="K81" s="145">
        <f t="shared" si="0"/>
        <v>128.61105581016042</v>
      </c>
      <c r="L81" s="629"/>
      <c r="M81" s="630"/>
      <c r="N81" s="143"/>
      <c r="O81" s="28"/>
      <c r="P81" s="28"/>
      <c r="Q81" s="28"/>
      <c r="R81" s="28"/>
      <c r="S81" s="28"/>
      <c r="T81" s="28"/>
      <c r="U81" s="28"/>
      <c r="V81" s="28"/>
      <c r="W81" s="28"/>
      <c r="X81" s="29"/>
      <c r="Y81" s="29"/>
      <c r="Z81" s="29"/>
      <c r="AA81" s="29"/>
      <c r="AB81" s="29"/>
      <c r="AC81" s="29"/>
      <c r="AD81" s="29"/>
      <c r="AE81" s="29"/>
      <c r="AF81" s="29"/>
    </row>
    <row r="82" spans="1:32" s="2" customFormat="1" ht="20.100000000000001" customHeight="1">
      <c r="A82" s="585" t="s">
        <v>115</v>
      </c>
      <c r="B82" s="586"/>
      <c r="C82" s="122">
        <v>2</v>
      </c>
      <c r="D82" s="123" t="s">
        <v>31</v>
      </c>
      <c r="E82" s="320">
        <f>'DECK TALLY'!B58</f>
        <v>53</v>
      </c>
      <c r="F82" s="368">
        <f>VLOOKUP(E82,'DECK TALLY'!$B$6:$C$316,2,FALSE)</f>
        <v>33.94</v>
      </c>
      <c r="G82" s="377">
        <f t="shared" si="4"/>
        <v>33.534499999999994</v>
      </c>
      <c r="H82" s="130" t="s">
        <v>29</v>
      </c>
      <c r="I82" s="183">
        <f t="shared" si="3"/>
        <v>1885.3809999999999</v>
      </c>
      <c r="J82" s="368">
        <f t="shared" si="2"/>
        <v>19469.618999999999</v>
      </c>
      <c r="K82" s="145">
        <f t="shared" ref="K82:K146" si="5">$H$8+(I82*$E$9*$E$15/1000)</f>
        <v>129.40079456608098</v>
      </c>
      <c r="L82" s="629"/>
      <c r="M82" s="630"/>
      <c r="N82" s="143"/>
      <c r="O82" s="28"/>
      <c r="P82" s="28"/>
      <c r="Q82" s="28"/>
      <c r="R82" s="28"/>
      <c r="S82" s="28"/>
      <c r="T82" s="28"/>
      <c r="U82" s="28"/>
      <c r="V82" s="28"/>
      <c r="W82" s="28"/>
      <c r="X82" s="29"/>
      <c r="Y82" s="29"/>
      <c r="Z82" s="29"/>
      <c r="AA82" s="29"/>
      <c r="AB82" s="29"/>
      <c r="AC82" s="29"/>
      <c r="AD82" s="29"/>
      <c r="AE82" s="29"/>
      <c r="AF82" s="29"/>
    </row>
    <row r="83" spans="1:32" s="2" customFormat="1" ht="20.100000000000001" customHeight="1">
      <c r="A83" s="585" t="s">
        <v>115</v>
      </c>
      <c r="B83" s="586"/>
      <c r="C83" s="122">
        <v>2</v>
      </c>
      <c r="D83" s="123" t="s">
        <v>31</v>
      </c>
      <c r="E83" s="320">
        <f>'DECK TALLY'!B59</f>
        <v>54</v>
      </c>
      <c r="F83" s="368">
        <f>VLOOKUP(E83,'DECK TALLY'!$B$6:$C$316,2,FALSE)</f>
        <v>33.9</v>
      </c>
      <c r="G83" s="377">
        <f t="shared" si="4"/>
        <v>33.494500000000002</v>
      </c>
      <c r="H83" s="130" t="s">
        <v>29</v>
      </c>
      <c r="I83" s="183">
        <f t="shared" si="3"/>
        <v>1918.8754999999999</v>
      </c>
      <c r="J83" s="368">
        <f t="shared" ref="J83:J147" si="6">IF(I83="","",$L$10-I83)</f>
        <v>19436.124500000002</v>
      </c>
      <c r="K83" s="145">
        <f t="shared" si="5"/>
        <v>130.18959132047365</v>
      </c>
      <c r="L83" s="629"/>
      <c r="M83" s="630"/>
      <c r="N83" s="143"/>
      <c r="O83" s="28"/>
      <c r="P83" s="28"/>
      <c r="Q83" s="28"/>
      <c r="R83" s="28"/>
      <c r="S83" s="28"/>
      <c r="T83" s="28"/>
      <c r="U83" s="28"/>
      <c r="V83" s="28"/>
      <c r="W83" s="28"/>
      <c r="X83" s="29"/>
      <c r="Y83" s="29"/>
      <c r="Z83" s="29"/>
      <c r="AA83" s="29"/>
      <c r="AB83" s="29"/>
      <c r="AC83" s="29"/>
      <c r="AD83" s="29"/>
      <c r="AE83" s="29"/>
      <c r="AF83" s="29"/>
    </row>
    <row r="84" spans="1:32" s="2" customFormat="1" ht="20.100000000000001" customHeight="1">
      <c r="A84" s="585" t="s">
        <v>115</v>
      </c>
      <c r="B84" s="586"/>
      <c r="C84" s="122">
        <v>2</v>
      </c>
      <c r="D84" s="123" t="s">
        <v>31</v>
      </c>
      <c r="E84" s="320">
        <f>'DECK TALLY'!B60</f>
        <v>55</v>
      </c>
      <c r="F84" s="368">
        <f>VLOOKUP(E84,'DECK TALLY'!$B$6:$C$316,2,FALSE)</f>
        <v>32.380000000000003</v>
      </c>
      <c r="G84" s="377">
        <f t="shared" si="4"/>
        <v>31.974500000000003</v>
      </c>
      <c r="H84" s="130" t="s">
        <v>29</v>
      </c>
      <c r="I84" s="183">
        <f t="shared" si="3"/>
        <v>1950.85</v>
      </c>
      <c r="J84" s="368">
        <f t="shared" si="6"/>
        <v>19404.150000000001</v>
      </c>
      <c r="K84" s="145">
        <f t="shared" si="5"/>
        <v>130.94259201680671</v>
      </c>
      <c r="L84" s="629"/>
      <c r="M84" s="630"/>
      <c r="N84" s="143"/>
      <c r="O84" s="28"/>
      <c r="P84" s="28"/>
      <c r="Q84" s="28"/>
      <c r="R84" s="28"/>
      <c r="S84" s="28"/>
      <c r="T84" s="28"/>
      <c r="U84" s="28"/>
      <c r="V84" s="28"/>
      <c r="W84" s="28"/>
      <c r="X84" s="29"/>
      <c r="Y84" s="29"/>
      <c r="Z84" s="29"/>
      <c r="AA84" s="29"/>
      <c r="AB84" s="29"/>
      <c r="AC84" s="29"/>
      <c r="AD84" s="29"/>
      <c r="AE84" s="29"/>
      <c r="AF84" s="29"/>
    </row>
    <row r="85" spans="1:32" s="2" customFormat="1" ht="20.100000000000001" customHeight="1">
      <c r="A85" s="585" t="s">
        <v>115</v>
      </c>
      <c r="B85" s="586"/>
      <c r="C85" s="122">
        <v>2</v>
      </c>
      <c r="D85" s="123" t="s">
        <v>31</v>
      </c>
      <c r="E85" s="320">
        <f>'DECK TALLY'!B61</f>
        <v>56</v>
      </c>
      <c r="F85" s="376">
        <f>VLOOKUP(E85,'DECK TALLY'!$B$6:$C$316,2,FALSE)</f>
        <v>32.54</v>
      </c>
      <c r="G85" s="377">
        <f t="shared" si="4"/>
        <v>32.134500000000003</v>
      </c>
      <c r="H85" s="130" t="s">
        <v>29</v>
      </c>
      <c r="I85" s="183">
        <f t="shared" si="3"/>
        <v>1982.9845</v>
      </c>
      <c r="J85" s="368">
        <f t="shared" si="6"/>
        <v>19372.015500000001</v>
      </c>
      <c r="K85" s="145">
        <f t="shared" si="5"/>
        <v>131.69936071925133</v>
      </c>
      <c r="L85" s="629"/>
      <c r="M85" s="630"/>
      <c r="N85" s="143"/>
      <c r="O85" s="28"/>
      <c r="P85" s="28"/>
      <c r="Q85" s="28"/>
      <c r="R85" s="28"/>
      <c r="S85" s="28"/>
      <c r="T85" s="28"/>
      <c r="U85" s="28"/>
      <c r="V85" s="28"/>
      <c r="W85" s="28"/>
      <c r="X85" s="29"/>
      <c r="Y85" s="29"/>
      <c r="Z85" s="29"/>
      <c r="AA85" s="29"/>
      <c r="AB85" s="29"/>
      <c r="AC85" s="29"/>
      <c r="AD85" s="29"/>
      <c r="AE85" s="29"/>
      <c r="AF85" s="29"/>
    </row>
    <row r="86" spans="1:32" s="2" customFormat="1" ht="20.100000000000001" customHeight="1">
      <c r="A86" s="585" t="s">
        <v>115</v>
      </c>
      <c r="B86" s="586"/>
      <c r="C86" s="122">
        <v>2</v>
      </c>
      <c r="D86" s="123" t="s">
        <v>31</v>
      </c>
      <c r="E86" s="320">
        <f>'DECK TALLY'!B62</f>
        <v>57</v>
      </c>
      <c r="F86" s="368">
        <f>VLOOKUP(E86,'DECK TALLY'!$B$6:$C$316,2,FALSE)</f>
        <v>33.26</v>
      </c>
      <c r="G86" s="377">
        <f t="shared" si="4"/>
        <v>32.854500000000002</v>
      </c>
      <c r="H86" s="130" t="s">
        <v>29</v>
      </c>
      <c r="I86" s="183">
        <f t="shared" si="3"/>
        <v>2015.8389999999999</v>
      </c>
      <c r="J86" s="368">
        <f t="shared" si="6"/>
        <v>19339.161</v>
      </c>
      <c r="K86" s="145">
        <f t="shared" si="5"/>
        <v>132.47308544919787</v>
      </c>
      <c r="L86" s="629"/>
      <c r="M86" s="630"/>
      <c r="N86" s="143"/>
      <c r="O86" s="28"/>
      <c r="P86" s="28"/>
      <c r="Q86" s="28"/>
      <c r="R86" s="28"/>
      <c r="S86" s="28"/>
      <c r="T86" s="28"/>
      <c r="U86" s="28"/>
      <c r="V86" s="28"/>
      <c r="W86" s="28"/>
      <c r="X86" s="29"/>
      <c r="Y86" s="29"/>
      <c r="Z86" s="29"/>
      <c r="AA86" s="29"/>
      <c r="AB86" s="29"/>
      <c r="AC86" s="29"/>
      <c r="AD86" s="29"/>
      <c r="AE86" s="29"/>
      <c r="AF86" s="29"/>
    </row>
    <row r="87" spans="1:32" s="2" customFormat="1" ht="20.100000000000001" customHeight="1">
      <c r="A87" s="585" t="s">
        <v>115</v>
      </c>
      <c r="B87" s="586"/>
      <c r="C87" s="122">
        <v>2</v>
      </c>
      <c r="D87" s="123" t="s">
        <v>31</v>
      </c>
      <c r="E87" s="320">
        <f>'DECK TALLY'!B63</f>
        <v>58</v>
      </c>
      <c r="F87" s="368">
        <f>VLOOKUP(E87,'DECK TALLY'!$B$6:$C$316,2,FALSE)</f>
        <v>32.08</v>
      </c>
      <c r="G87" s="377">
        <f t="shared" si="4"/>
        <v>31.674499999999998</v>
      </c>
      <c r="H87" s="130" t="s">
        <v>29</v>
      </c>
      <c r="I87" s="183">
        <f t="shared" si="3"/>
        <v>2047.5135</v>
      </c>
      <c r="J87" s="368">
        <f t="shared" si="6"/>
        <v>19307.486499999999</v>
      </c>
      <c r="K87" s="145">
        <f t="shared" si="5"/>
        <v>133.2190211340718</v>
      </c>
      <c r="L87" s="629"/>
      <c r="M87" s="630"/>
      <c r="N87" s="143"/>
      <c r="O87" s="28"/>
      <c r="P87" s="28"/>
      <c r="Q87" s="28"/>
      <c r="R87" s="28"/>
      <c r="S87" s="28"/>
      <c r="T87" s="28"/>
      <c r="U87" s="28"/>
      <c r="V87" s="28"/>
      <c r="W87" s="28"/>
      <c r="X87" s="29"/>
      <c r="Y87" s="29"/>
      <c r="Z87" s="29"/>
      <c r="AA87" s="29"/>
      <c r="AB87" s="29"/>
      <c r="AC87" s="29"/>
      <c r="AD87" s="29"/>
      <c r="AE87" s="29"/>
      <c r="AF87" s="29"/>
    </row>
    <row r="88" spans="1:32" s="2" customFormat="1" ht="20.100000000000001" customHeight="1">
      <c r="A88" s="585" t="s">
        <v>115</v>
      </c>
      <c r="B88" s="586"/>
      <c r="C88" s="122">
        <v>2</v>
      </c>
      <c r="D88" s="123" t="s">
        <v>31</v>
      </c>
      <c r="E88" s="320">
        <f>'DECK TALLY'!B64</f>
        <v>59</v>
      </c>
      <c r="F88" s="368">
        <f>VLOOKUP(E88,'DECK TALLY'!$B$6:$C$316,2,FALSE)</f>
        <v>32.72</v>
      </c>
      <c r="G88" s="377">
        <f t="shared" si="4"/>
        <v>32.314499999999995</v>
      </c>
      <c r="H88" s="130" t="s">
        <v>29</v>
      </c>
      <c r="I88" s="183">
        <f t="shared" si="3"/>
        <v>2079.828</v>
      </c>
      <c r="J88" s="368">
        <f t="shared" si="6"/>
        <v>19275.171999999999</v>
      </c>
      <c r="K88" s="145">
        <f t="shared" si="5"/>
        <v>133.98002884339189</v>
      </c>
      <c r="L88" s="629"/>
      <c r="M88" s="630"/>
      <c r="N88" s="143"/>
      <c r="O88" s="28"/>
      <c r="P88" s="28"/>
      <c r="Q88" s="28"/>
      <c r="R88" s="28"/>
      <c r="S88" s="28"/>
      <c r="T88" s="28"/>
      <c r="U88" s="28"/>
      <c r="V88" s="28"/>
      <c r="W88" s="28"/>
      <c r="X88" s="29"/>
      <c r="Y88" s="29"/>
      <c r="Z88" s="29"/>
      <c r="AA88" s="29"/>
      <c r="AB88" s="29"/>
      <c r="AC88" s="29"/>
      <c r="AD88" s="29"/>
      <c r="AE88" s="29"/>
      <c r="AF88" s="29"/>
    </row>
    <row r="89" spans="1:32" s="2" customFormat="1" ht="20.100000000000001" customHeight="1">
      <c r="A89" s="585" t="s">
        <v>115</v>
      </c>
      <c r="B89" s="586"/>
      <c r="C89" s="167">
        <v>2</v>
      </c>
      <c r="D89" s="168" t="s">
        <v>31</v>
      </c>
      <c r="E89" s="320">
        <f>'DECK TALLY'!B65</f>
        <v>60</v>
      </c>
      <c r="F89" s="376">
        <f>VLOOKUP(E89,'DECK TALLY'!$B$6:$C$316,2,FALSE)</f>
        <v>33.78</v>
      </c>
      <c r="G89" s="377">
        <f t="shared" si="4"/>
        <v>33.374499999999998</v>
      </c>
      <c r="H89" s="130" t="s">
        <v>29</v>
      </c>
      <c r="I89" s="183">
        <f t="shared" si="3"/>
        <v>2113.2024999999999</v>
      </c>
      <c r="J89" s="368">
        <f t="shared" si="6"/>
        <v>19241.797500000001</v>
      </c>
      <c r="K89" s="145">
        <f t="shared" si="5"/>
        <v>134.76599959320092</v>
      </c>
      <c r="L89" s="629"/>
      <c r="M89" s="630"/>
      <c r="N89" s="143"/>
      <c r="O89" s="28"/>
      <c r="P89" s="28"/>
      <c r="Q89" s="28"/>
      <c r="R89" s="28"/>
      <c r="S89" s="28"/>
      <c r="T89" s="28"/>
      <c r="U89" s="28"/>
      <c r="V89" s="28"/>
      <c r="W89" s="28"/>
      <c r="X89" s="29"/>
      <c r="Y89" s="29"/>
      <c r="Z89" s="29"/>
      <c r="AA89" s="29"/>
      <c r="AB89" s="29"/>
      <c r="AC89" s="29"/>
      <c r="AD89" s="29"/>
      <c r="AE89" s="29"/>
      <c r="AF89" s="29"/>
    </row>
    <row r="90" spans="1:32" s="2" customFormat="1" ht="20.100000000000001" customHeight="1">
      <c r="A90" s="585" t="s">
        <v>115</v>
      </c>
      <c r="B90" s="586"/>
      <c r="C90" s="122">
        <v>2</v>
      </c>
      <c r="D90" s="123" t="s">
        <v>31</v>
      </c>
      <c r="E90" s="320">
        <f>'DECK TALLY'!B66</f>
        <v>61</v>
      </c>
      <c r="F90" s="368">
        <f>VLOOKUP(E90,'DECK TALLY'!$B$6:$C$316,2,FALSE)</f>
        <v>32.46</v>
      </c>
      <c r="G90" s="377">
        <f t="shared" si="4"/>
        <v>32.054500000000004</v>
      </c>
      <c r="H90" s="130" t="s">
        <v>29</v>
      </c>
      <c r="I90" s="183">
        <f t="shared" ref="I90:I153" si="7">IF(H90="IN",I89+G90,I89)</f>
        <v>2145.2570000000001</v>
      </c>
      <c r="J90" s="368">
        <f t="shared" si="6"/>
        <v>19209.742999999999</v>
      </c>
      <c r="K90" s="145">
        <f t="shared" si="5"/>
        <v>135.52088429258976</v>
      </c>
      <c r="L90" s="629"/>
      <c r="M90" s="630"/>
      <c r="N90" s="143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</row>
    <row r="91" spans="1:32" s="2" customFormat="1" ht="20.100000000000001" customHeight="1" thickBot="1">
      <c r="A91" s="585" t="s">
        <v>115</v>
      </c>
      <c r="B91" s="586"/>
      <c r="C91" s="122">
        <v>2</v>
      </c>
      <c r="D91" s="123" t="s">
        <v>31</v>
      </c>
      <c r="E91" s="320">
        <f>'DECK TALLY'!B67</f>
        <v>62</v>
      </c>
      <c r="F91" s="368">
        <f>VLOOKUP(E91,'DECK TALLY'!$B$6:$C$316,2,FALSE)</f>
        <v>33.130000000000003</v>
      </c>
      <c r="G91" s="377">
        <f t="shared" si="4"/>
        <v>32.724500000000006</v>
      </c>
      <c r="H91" s="130" t="s">
        <v>29</v>
      </c>
      <c r="I91" s="183">
        <f t="shared" si="7"/>
        <v>2177.9814999999999</v>
      </c>
      <c r="J91" s="368">
        <f t="shared" si="6"/>
        <v>19177.018499999998</v>
      </c>
      <c r="K91" s="145">
        <f t="shared" si="5"/>
        <v>136.29154751757068</v>
      </c>
      <c r="L91" s="629"/>
      <c r="M91" s="630"/>
      <c r="N91" s="143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</row>
    <row r="92" spans="1:32" s="2" customFormat="1" ht="20.100000000000001" customHeight="1">
      <c r="A92" s="585" t="s">
        <v>115</v>
      </c>
      <c r="B92" s="586"/>
      <c r="C92" s="122">
        <v>2</v>
      </c>
      <c r="D92" s="123" t="s">
        <v>31</v>
      </c>
      <c r="E92" s="320">
        <f>'DECK TALLY'!B68</f>
        <v>63</v>
      </c>
      <c r="F92" s="368">
        <f>VLOOKUP(E92,'DECK TALLY'!$B$6:$C$316,2,FALSE)</f>
        <v>33.97</v>
      </c>
      <c r="G92" s="377">
        <f t="shared" si="4"/>
        <v>33.564499999999995</v>
      </c>
      <c r="H92" s="130" t="s">
        <v>29</v>
      </c>
      <c r="I92" s="183">
        <f t="shared" si="7"/>
        <v>2211.5459999999998</v>
      </c>
      <c r="J92" s="368">
        <f t="shared" si="6"/>
        <v>19143.454000000002</v>
      </c>
      <c r="K92" s="145"/>
      <c r="L92" s="605" t="s">
        <v>360</v>
      </c>
      <c r="M92" s="606"/>
      <c r="N92" s="579" t="s">
        <v>211</v>
      </c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</row>
    <row r="93" spans="1:32" s="2" customFormat="1" ht="20.100000000000001" customHeight="1">
      <c r="A93" s="585" t="s">
        <v>115</v>
      </c>
      <c r="B93" s="586"/>
      <c r="C93" s="122">
        <v>2</v>
      </c>
      <c r="D93" s="123" t="s">
        <v>31</v>
      </c>
      <c r="E93" s="320">
        <f>'DECK TALLY'!B69</f>
        <v>64</v>
      </c>
      <c r="F93" s="368">
        <f>VLOOKUP(E93,'DECK TALLY'!$B$6:$C$316,2,FALSE)</f>
        <v>33.57</v>
      </c>
      <c r="G93" s="377">
        <f t="shared" si="4"/>
        <v>33.164500000000004</v>
      </c>
      <c r="H93" s="130" t="s">
        <v>29</v>
      </c>
      <c r="I93" s="183">
        <f t="shared" si="7"/>
        <v>2244.7104999999997</v>
      </c>
      <c r="J93" s="368">
        <f t="shared" si="6"/>
        <v>19110.289499999999</v>
      </c>
      <c r="K93" s="145"/>
      <c r="L93" s="583" t="s">
        <v>207</v>
      </c>
      <c r="M93" s="584"/>
      <c r="N93" s="580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</row>
    <row r="94" spans="1:32" s="2" customFormat="1" ht="20.100000000000001" customHeight="1">
      <c r="A94" s="581" t="s">
        <v>312</v>
      </c>
      <c r="B94" s="582"/>
      <c r="C94" s="316">
        <v>1</v>
      </c>
      <c r="D94" s="203" t="s">
        <v>31</v>
      </c>
      <c r="E94" s="318" t="str">
        <f>'DECK TALLY'!F8</f>
        <v>P 3</v>
      </c>
      <c r="F94" s="373">
        <f>'DECK TALLY'!G8</f>
        <v>20.22</v>
      </c>
      <c r="G94" s="373">
        <f t="shared" si="4"/>
        <v>19.814499999999999</v>
      </c>
      <c r="H94" s="180" t="s">
        <v>29</v>
      </c>
      <c r="I94" s="391">
        <f t="shared" si="7"/>
        <v>2264.5249999999996</v>
      </c>
      <c r="J94" s="373">
        <f t="shared" si="6"/>
        <v>19090.474999999999</v>
      </c>
      <c r="K94" s="170">
        <f t="shared" si="5"/>
        <v>138.32965024828113</v>
      </c>
      <c r="L94" s="204" t="s">
        <v>208</v>
      </c>
      <c r="M94" s="205">
        <f>SUM(J94-4)</f>
        <v>19086.474999999999</v>
      </c>
      <c r="N94" s="212">
        <v>19058</v>
      </c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</row>
    <row r="95" spans="1:32" s="2" customFormat="1" ht="20.100000000000001" customHeight="1">
      <c r="A95" s="585" t="s">
        <v>115</v>
      </c>
      <c r="B95" s="586"/>
      <c r="C95" s="122">
        <v>2</v>
      </c>
      <c r="D95" s="123" t="s">
        <v>31</v>
      </c>
      <c r="E95" s="320">
        <f>'DECK TALLY'!B70</f>
        <v>65</v>
      </c>
      <c r="F95" s="368">
        <f>VLOOKUP(E95,'DECK TALLY'!$B$6:$C$316,2,FALSE)</f>
        <v>33.96</v>
      </c>
      <c r="G95" s="368">
        <f>F95-($H$12/12)</f>
        <v>33.554500000000004</v>
      </c>
      <c r="H95" s="130" t="s">
        <v>29</v>
      </c>
      <c r="I95" s="183">
        <f t="shared" si="7"/>
        <v>2298.0794999999998</v>
      </c>
      <c r="J95" s="368">
        <f t="shared" si="6"/>
        <v>19056.9205</v>
      </c>
      <c r="K95" s="145">
        <f t="shared" si="5"/>
        <v>139.11986000496563</v>
      </c>
      <c r="L95" s="589" t="s">
        <v>334</v>
      </c>
      <c r="M95" s="590"/>
      <c r="N95" s="402">
        <f>M94-N94</f>
        <v>28.474999999998545</v>
      </c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</row>
    <row r="96" spans="1:32" s="2" customFormat="1" ht="20.100000000000001" customHeight="1" thickBot="1">
      <c r="A96" s="631" t="s">
        <v>115</v>
      </c>
      <c r="B96" s="632"/>
      <c r="C96" s="316">
        <v>1</v>
      </c>
      <c r="D96" s="176" t="s">
        <v>31</v>
      </c>
      <c r="E96" s="321">
        <f>'DECK TALLY'!B71</f>
        <v>66</v>
      </c>
      <c r="F96" s="375">
        <f>VLOOKUP(E96,'DECK TALLY'!$B$6:$C$316,2,FALSE)</f>
        <v>33.94</v>
      </c>
      <c r="G96" s="375">
        <f>F96-($H$12/12)</f>
        <v>33.534499999999994</v>
      </c>
      <c r="H96" s="392" t="s">
        <v>29</v>
      </c>
      <c r="I96" s="393">
        <f t="shared" si="7"/>
        <v>2331.614</v>
      </c>
      <c r="J96" s="375">
        <f t="shared" si="6"/>
        <v>19023.385999999999</v>
      </c>
      <c r="K96" s="178">
        <f t="shared" si="5"/>
        <v>139.90959876088618</v>
      </c>
      <c r="L96" s="623" t="s">
        <v>361</v>
      </c>
      <c r="M96" s="624"/>
      <c r="N96" s="251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</row>
    <row r="97" spans="1:32" s="2" customFormat="1" ht="20.100000000000001" customHeight="1">
      <c r="A97" s="585" t="s">
        <v>115</v>
      </c>
      <c r="B97" s="586"/>
      <c r="C97" s="122">
        <v>2</v>
      </c>
      <c r="D97" s="168" t="s">
        <v>31</v>
      </c>
      <c r="E97" s="320">
        <f>'DECK TALLY'!B72</f>
        <v>67</v>
      </c>
      <c r="F97" s="368">
        <f>VLOOKUP(E97,'DECK TALLY'!$B$6:$C$316,2,FALSE)</f>
        <v>33.94</v>
      </c>
      <c r="G97" s="368">
        <f>F97-($H$12/12)</f>
        <v>33.534499999999994</v>
      </c>
      <c r="H97" s="130" t="s">
        <v>29</v>
      </c>
      <c r="I97" s="183">
        <f t="shared" si="7"/>
        <v>2365.1485000000002</v>
      </c>
      <c r="J97" s="368">
        <f t="shared" si="6"/>
        <v>18989.851500000001</v>
      </c>
      <c r="K97" s="145">
        <f t="shared" si="5"/>
        <v>140.69933751680674</v>
      </c>
      <c r="L97" s="629"/>
      <c r="M97" s="630"/>
      <c r="N97" s="121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</row>
    <row r="98" spans="1:32" s="2" customFormat="1" ht="20.100000000000001" customHeight="1">
      <c r="A98" s="585" t="s">
        <v>115</v>
      </c>
      <c r="B98" s="586"/>
      <c r="C98" s="122">
        <v>2</v>
      </c>
      <c r="D98" s="168" t="s">
        <v>31</v>
      </c>
      <c r="E98" s="320">
        <f>'DECK TALLY'!B73</f>
        <v>68</v>
      </c>
      <c r="F98" s="368">
        <f>VLOOKUP(E98,'DECK TALLY'!$B$6:$C$316,2,FALSE)</f>
        <v>33.94</v>
      </c>
      <c r="G98" s="368">
        <f t="shared" ref="G98:G161" si="8">F98-($H$12/12)</f>
        <v>33.534499999999994</v>
      </c>
      <c r="H98" s="130" t="s">
        <v>29</v>
      </c>
      <c r="I98" s="183">
        <f t="shared" si="7"/>
        <v>2398.6830000000004</v>
      </c>
      <c r="J98" s="368">
        <f t="shared" si="6"/>
        <v>18956.316999999999</v>
      </c>
      <c r="K98" s="145">
        <f t="shared" si="5"/>
        <v>141.48907627272729</v>
      </c>
      <c r="L98" s="629"/>
      <c r="M98" s="630"/>
      <c r="N98" s="121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</row>
    <row r="99" spans="1:32" s="2" customFormat="1" ht="20.100000000000001" customHeight="1">
      <c r="A99" s="585" t="s">
        <v>115</v>
      </c>
      <c r="B99" s="586"/>
      <c r="C99" s="122">
        <v>2</v>
      </c>
      <c r="D99" s="123" t="s">
        <v>31</v>
      </c>
      <c r="E99" s="320">
        <f>'DECK TALLY'!B74</f>
        <v>69</v>
      </c>
      <c r="F99" s="368">
        <f>VLOOKUP(E99,'DECK TALLY'!$B$6:$C$316,2,FALSE)</f>
        <v>33.94</v>
      </c>
      <c r="G99" s="368">
        <f t="shared" si="8"/>
        <v>33.534499999999994</v>
      </c>
      <c r="H99" s="130" t="s">
        <v>29</v>
      </c>
      <c r="I99" s="183">
        <f t="shared" si="7"/>
        <v>2432.2175000000007</v>
      </c>
      <c r="J99" s="368">
        <f t="shared" si="6"/>
        <v>18922.782500000001</v>
      </c>
      <c r="K99" s="145">
        <f t="shared" si="5"/>
        <v>142.27881502864784</v>
      </c>
      <c r="L99" s="629"/>
      <c r="M99" s="630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</row>
    <row r="100" spans="1:32" s="2" customFormat="1" ht="20.100000000000001" customHeight="1">
      <c r="A100" s="585" t="s">
        <v>115</v>
      </c>
      <c r="B100" s="586"/>
      <c r="C100" s="122">
        <v>2</v>
      </c>
      <c r="D100" s="123" t="s">
        <v>31</v>
      </c>
      <c r="E100" s="320">
        <f>'DECK TALLY'!B75</f>
        <v>70</v>
      </c>
      <c r="F100" s="368">
        <f>VLOOKUP(E100,'DECK TALLY'!$B$6:$C$316,2,FALSE)</f>
        <v>33.76</v>
      </c>
      <c r="G100" s="368">
        <f t="shared" si="8"/>
        <v>33.354500000000002</v>
      </c>
      <c r="H100" s="130" t="s">
        <v>29</v>
      </c>
      <c r="I100" s="183">
        <f t="shared" si="7"/>
        <v>2465.5720000000006</v>
      </c>
      <c r="J100" s="368">
        <f t="shared" si="6"/>
        <v>18889.428</v>
      </c>
      <c r="K100" s="145">
        <f t="shared" si="5"/>
        <v>143.06431477769291</v>
      </c>
      <c r="L100" s="629"/>
      <c r="M100" s="630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</row>
    <row r="101" spans="1:32" s="2" customFormat="1" ht="20.100000000000001" customHeight="1">
      <c r="A101" s="585" t="s">
        <v>115</v>
      </c>
      <c r="B101" s="586"/>
      <c r="C101" s="122">
        <v>2</v>
      </c>
      <c r="D101" s="123" t="s">
        <v>31</v>
      </c>
      <c r="E101" s="320">
        <f>'DECK TALLY'!B76</f>
        <v>71</v>
      </c>
      <c r="F101" s="368">
        <f>VLOOKUP(E101,'DECK TALLY'!$B$6:$C$316,2,FALSE)</f>
        <v>33.57</v>
      </c>
      <c r="G101" s="368">
        <f t="shared" si="8"/>
        <v>33.164500000000004</v>
      </c>
      <c r="H101" s="131" t="s">
        <v>29</v>
      </c>
      <c r="I101" s="183">
        <f t="shared" si="7"/>
        <v>2498.7365000000004</v>
      </c>
      <c r="J101" s="368">
        <f t="shared" si="6"/>
        <v>18856.263500000001</v>
      </c>
      <c r="K101" s="145">
        <f t="shared" si="5"/>
        <v>143.84534001948055</v>
      </c>
      <c r="L101" s="629"/>
      <c r="M101" s="630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</row>
    <row r="102" spans="1:32" s="2" customFormat="1" ht="20.100000000000001" customHeight="1">
      <c r="A102" s="585" t="s">
        <v>115</v>
      </c>
      <c r="B102" s="586"/>
      <c r="C102" s="122">
        <v>2</v>
      </c>
      <c r="D102" s="123" t="s">
        <v>31</v>
      </c>
      <c r="E102" s="320">
        <f>'DECK TALLY'!B77</f>
        <v>72</v>
      </c>
      <c r="F102" s="368">
        <f>VLOOKUP(E102,'DECK TALLY'!$B$6:$C$316,2,FALSE)</f>
        <v>33.799999999999997</v>
      </c>
      <c r="G102" s="368">
        <f t="shared" si="8"/>
        <v>33.394499999999994</v>
      </c>
      <c r="H102" s="166" t="s">
        <v>29</v>
      </c>
      <c r="I102" s="183">
        <f t="shared" si="7"/>
        <v>2532.1310000000003</v>
      </c>
      <c r="J102" s="368">
        <f t="shared" si="6"/>
        <v>18822.868999999999</v>
      </c>
      <c r="K102" s="145">
        <f t="shared" si="5"/>
        <v>144.63178177005349</v>
      </c>
      <c r="L102" s="629"/>
      <c r="M102" s="630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</row>
    <row r="103" spans="1:32" s="2" customFormat="1" ht="20.100000000000001" customHeight="1">
      <c r="A103" s="585" t="s">
        <v>115</v>
      </c>
      <c r="B103" s="586"/>
      <c r="C103" s="122">
        <v>2</v>
      </c>
      <c r="D103" s="123" t="s">
        <v>31</v>
      </c>
      <c r="E103" s="320">
        <f>'DECK TALLY'!B78</f>
        <v>73</v>
      </c>
      <c r="F103" s="368">
        <f>VLOOKUP(E103,'DECK TALLY'!$B$6:$C$316,2,FALSE)</f>
        <v>33.58</v>
      </c>
      <c r="G103" s="368">
        <f t="shared" si="8"/>
        <v>33.174499999999995</v>
      </c>
      <c r="H103" s="166" t="s">
        <v>29</v>
      </c>
      <c r="I103" s="183">
        <f t="shared" si="7"/>
        <v>2565.3055000000004</v>
      </c>
      <c r="J103" s="368">
        <f t="shared" si="6"/>
        <v>18789.694499999998</v>
      </c>
      <c r="K103" s="145">
        <f t="shared" si="5"/>
        <v>145.41304251222309</v>
      </c>
      <c r="L103" s="629"/>
      <c r="M103" s="630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</row>
    <row r="104" spans="1:32" s="2" customFormat="1" ht="20.100000000000001" customHeight="1">
      <c r="A104" s="585" t="s">
        <v>115</v>
      </c>
      <c r="B104" s="586"/>
      <c r="C104" s="122">
        <v>2</v>
      </c>
      <c r="D104" s="123" t="s">
        <v>31</v>
      </c>
      <c r="E104" s="320">
        <f>'DECK TALLY'!B79</f>
        <v>74</v>
      </c>
      <c r="F104" s="368">
        <f>VLOOKUP(E104,'DECK TALLY'!$B$6:$C$316,2,FALSE)</f>
        <v>33.94</v>
      </c>
      <c r="G104" s="368">
        <f t="shared" si="8"/>
        <v>33.534499999999994</v>
      </c>
      <c r="H104" s="166" t="s">
        <v>29</v>
      </c>
      <c r="I104" s="183">
        <f t="shared" si="7"/>
        <v>2598.8400000000006</v>
      </c>
      <c r="J104" s="368">
        <f t="shared" si="6"/>
        <v>18756.16</v>
      </c>
      <c r="K104" s="145">
        <f t="shared" si="5"/>
        <v>146.20278126814364</v>
      </c>
      <c r="L104" s="629"/>
      <c r="M104" s="630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</row>
    <row r="105" spans="1:32" s="2" customFormat="1" ht="20.100000000000001" customHeight="1">
      <c r="A105" s="585" t="s">
        <v>115</v>
      </c>
      <c r="B105" s="586"/>
      <c r="C105" s="122">
        <v>2</v>
      </c>
      <c r="D105" s="123" t="s">
        <v>31</v>
      </c>
      <c r="E105" s="320">
        <f>'DECK TALLY'!B80</f>
        <v>75</v>
      </c>
      <c r="F105" s="368">
        <f>VLOOKUP(E105,'DECK TALLY'!$B$6:$C$316,2,FALSE)</f>
        <v>33.67</v>
      </c>
      <c r="G105" s="368">
        <f t="shared" si="8"/>
        <v>33.264499999999998</v>
      </c>
      <c r="H105" s="131" t="s">
        <v>29</v>
      </c>
      <c r="I105" s="183">
        <f t="shared" si="7"/>
        <v>2632.1045000000004</v>
      </c>
      <c r="J105" s="368">
        <f t="shared" si="6"/>
        <v>18722.895499999999</v>
      </c>
      <c r="K105" s="145">
        <f t="shared" si="5"/>
        <v>146.98616151375097</v>
      </c>
      <c r="L105" s="629"/>
      <c r="M105" s="630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</row>
    <row r="106" spans="1:32" s="2" customFormat="1" ht="20.100000000000001" customHeight="1">
      <c r="A106" s="585" t="s">
        <v>115</v>
      </c>
      <c r="B106" s="586"/>
      <c r="C106" s="122">
        <v>2</v>
      </c>
      <c r="D106" s="123" t="s">
        <v>31</v>
      </c>
      <c r="E106" s="320">
        <f>'DECK TALLY'!B81</f>
        <v>76</v>
      </c>
      <c r="F106" s="368">
        <f>VLOOKUP(E106,'DECK TALLY'!$B$6:$C$316,2,FALSE)</f>
        <v>33.5</v>
      </c>
      <c r="G106" s="368">
        <f t="shared" si="8"/>
        <v>33.094499999999996</v>
      </c>
      <c r="H106" s="131" t="s">
        <v>29</v>
      </c>
      <c r="I106" s="183">
        <f t="shared" si="7"/>
        <v>2665.1990000000005</v>
      </c>
      <c r="J106" s="368">
        <f t="shared" si="6"/>
        <v>18689.800999999999</v>
      </c>
      <c r="K106" s="145">
        <f t="shared" si="5"/>
        <v>147.76553825286479</v>
      </c>
      <c r="L106" s="629"/>
      <c r="M106" s="630"/>
      <c r="N106" s="121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</row>
    <row r="107" spans="1:32" s="2" customFormat="1" ht="20.100000000000001" customHeight="1">
      <c r="A107" s="585" t="s">
        <v>115</v>
      </c>
      <c r="B107" s="586"/>
      <c r="C107" s="122">
        <v>2</v>
      </c>
      <c r="D107" s="123" t="s">
        <v>31</v>
      </c>
      <c r="E107" s="320">
        <f>'DECK TALLY'!B82</f>
        <v>77</v>
      </c>
      <c r="F107" s="368">
        <f>VLOOKUP(E107,'DECK TALLY'!$B$6:$C$316,2,FALSE)</f>
        <v>33.94</v>
      </c>
      <c r="G107" s="368">
        <f t="shared" si="8"/>
        <v>33.534499999999994</v>
      </c>
      <c r="H107" s="131" t="s">
        <v>29</v>
      </c>
      <c r="I107" s="183">
        <f t="shared" si="7"/>
        <v>2698.7335000000007</v>
      </c>
      <c r="J107" s="368">
        <f t="shared" si="6"/>
        <v>18656.266499999998</v>
      </c>
      <c r="K107" s="145">
        <f t="shared" si="5"/>
        <v>148.55527700878537</v>
      </c>
      <c r="L107" s="629"/>
      <c r="M107" s="630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</row>
    <row r="108" spans="1:32" s="2" customFormat="1" ht="20.100000000000001" customHeight="1">
      <c r="A108" s="585" t="s">
        <v>115</v>
      </c>
      <c r="B108" s="586"/>
      <c r="C108" s="122">
        <v>2</v>
      </c>
      <c r="D108" s="123" t="s">
        <v>31</v>
      </c>
      <c r="E108" s="320">
        <f>'DECK TALLY'!B83</f>
        <v>78</v>
      </c>
      <c r="F108" s="368">
        <f>VLOOKUP(E108,'DECK TALLY'!$B$6:$C$316,2,FALSE)</f>
        <v>33.21</v>
      </c>
      <c r="G108" s="368">
        <f t="shared" si="8"/>
        <v>32.804500000000004</v>
      </c>
      <c r="H108" s="131" t="s">
        <v>29</v>
      </c>
      <c r="I108" s="183">
        <f t="shared" si="7"/>
        <v>2731.5380000000009</v>
      </c>
      <c r="J108" s="368">
        <f t="shared" si="6"/>
        <v>18623.462</v>
      </c>
      <c r="K108" s="145">
        <f t="shared" si="5"/>
        <v>149.32782423682204</v>
      </c>
      <c r="L108" s="629"/>
      <c r="M108" s="630"/>
      <c r="N108" s="121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</row>
    <row r="109" spans="1:32" s="2" customFormat="1" ht="20.100000000000001" customHeight="1">
      <c r="A109" s="585" t="s">
        <v>115</v>
      </c>
      <c r="B109" s="586"/>
      <c r="C109" s="122">
        <v>2</v>
      </c>
      <c r="D109" s="123" t="s">
        <v>31</v>
      </c>
      <c r="E109" s="320">
        <f>'DECK TALLY'!B84</f>
        <v>79</v>
      </c>
      <c r="F109" s="368">
        <f>VLOOKUP(E109,'DECK TALLY'!$B$6:$C$316,2,FALSE)</f>
        <v>33.94</v>
      </c>
      <c r="G109" s="368">
        <f t="shared" si="8"/>
        <v>33.534499999999994</v>
      </c>
      <c r="H109" s="131" t="s">
        <v>29</v>
      </c>
      <c r="I109" s="183">
        <f t="shared" si="7"/>
        <v>2765.0725000000011</v>
      </c>
      <c r="J109" s="368">
        <f t="shared" si="6"/>
        <v>18589.927499999998</v>
      </c>
      <c r="K109" s="145">
        <f t="shared" si="5"/>
        <v>150.11756299274259</v>
      </c>
      <c r="L109" s="629"/>
      <c r="M109" s="630"/>
      <c r="N109" s="142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</row>
    <row r="110" spans="1:32" s="2" customFormat="1" ht="20.100000000000001" customHeight="1">
      <c r="A110" s="585" t="s">
        <v>115</v>
      </c>
      <c r="B110" s="586"/>
      <c r="C110" s="122">
        <v>2</v>
      </c>
      <c r="D110" s="123" t="s">
        <v>31</v>
      </c>
      <c r="E110" s="320">
        <f>'DECK TALLY'!B85</f>
        <v>80</v>
      </c>
      <c r="F110" s="368">
        <f>VLOOKUP(E110,'DECK TALLY'!$B$6:$C$316,2,FALSE)</f>
        <v>33.94</v>
      </c>
      <c r="G110" s="368">
        <f t="shared" si="8"/>
        <v>33.534499999999994</v>
      </c>
      <c r="H110" s="131" t="s">
        <v>29</v>
      </c>
      <c r="I110" s="183">
        <f t="shared" si="7"/>
        <v>2798.6070000000013</v>
      </c>
      <c r="J110" s="368">
        <f t="shared" si="6"/>
        <v>18556.393</v>
      </c>
      <c r="K110" s="145">
        <f t="shared" si="5"/>
        <v>150.90730174866314</v>
      </c>
      <c r="L110" s="629"/>
      <c r="M110" s="630"/>
      <c r="N110" s="121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</row>
    <row r="111" spans="1:32" s="2" customFormat="1" ht="20.100000000000001" customHeight="1">
      <c r="A111" s="585" t="s">
        <v>115</v>
      </c>
      <c r="B111" s="586"/>
      <c r="C111" s="122">
        <v>2</v>
      </c>
      <c r="D111" s="123" t="s">
        <v>31</v>
      </c>
      <c r="E111" s="320">
        <f>'DECK TALLY'!B86</f>
        <v>81</v>
      </c>
      <c r="F111" s="368">
        <f>VLOOKUP(E111,'DECK TALLY'!$B$6:$C$316,2,FALSE)</f>
        <v>33.94</v>
      </c>
      <c r="G111" s="368">
        <f t="shared" si="8"/>
        <v>33.534499999999994</v>
      </c>
      <c r="H111" s="131" t="s">
        <v>29</v>
      </c>
      <c r="I111" s="183">
        <f t="shared" si="7"/>
        <v>2832.1415000000015</v>
      </c>
      <c r="J111" s="368">
        <f t="shared" si="6"/>
        <v>18522.858499999998</v>
      </c>
      <c r="K111" s="145">
        <f t="shared" si="5"/>
        <v>151.6970405045837</v>
      </c>
      <c r="L111" s="629"/>
      <c r="M111" s="630"/>
      <c r="N111" s="121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</row>
    <row r="112" spans="1:32" s="2" customFormat="1" ht="20.100000000000001" customHeight="1">
      <c r="A112" s="585" t="s">
        <v>115</v>
      </c>
      <c r="B112" s="586"/>
      <c r="C112" s="122">
        <v>2</v>
      </c>
      <c r="D112" s="123" t="s">
        <v>31</v>
      </c>
      <c r="E112" s="320">
        <f>'DECK TALLY'!B87</f>
        <v>82</v>
      </c>
      <c r="F112" s="368">
        <f>VLOOKUP(E112,'DECK TALLY'!$B$6:$C$316,2,FALSE)</f>
        <v>33.94</v>
      </c>
      <c r="G112" s="368">
        <f t="shared" si="8"/>
        <v>33.534499999999994</v>
      </c>
      <c r="H112" s="131" t="s">
        <v>29</v>
      </c>
      <c r="I112" s="183">
        <f t="shared" si="7"/>
        <v>2865.6760000000017</v>
      </c>
      <c r="J112" s="368">
        <f t="shared" si="6"/>
        <v>18489.323999999997</v>
      </c>
      <c r="K112" s="145">
        <f t="shared" si="5"/>
        <v>152.48677926050425</v>
      </c>
      <c r="L112" s="629"/>
      <c r="M112" s="630"/>
      <c r="N112" s="121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</row>
    <row r="113" spans="1:32" s="2" customFormat="1" ht="20.100000000000001" customHeight="1">
      <c r="A113" s="585" t="s">
        <v>115</v>
      </c>
      <c r="B113" s="586"/>
      <c r="C113" s="122">
        <v>2</v>
      </c>
      <c r="D113" s="123" t="s">
        <v>31</v>
      </c>
      <c r="E113" s="320">
        <f>'DECK TALLY'!B88</f>
        <v>83</v>
      </c>
      <c r="F113" s="368">
        <f>VLOOKUP(E113,'DECK TALLY'!$B$6:$C$316,2,FALSE)</f>
        <v>33.94</v>
      </c>
      <c r="G113" s="368">
        <f t="shared" si="8"/>
        <v>33.534499999999994</v>
      </c>
      <c r="H113" s="131" t="s">
        <v>29</v>
      </c>
      <c r="I113" s="183">
        <f t="shared" si="7"/>
        <v>2899.210500000002</v>
      </c>
      <c r="J113" s="368">
        <f t="shared" si="6"/>
        <v>18455.789499999999</v>
      </c>
      <c r="K113" s="145">
        <f t="shared" si="5"/>
        <v>153.2765180164248</v>
      </c>
      <c r="L113" s="629"/>
      <c r="M113" s="630"/>
      <c r="N113" s="121"/>
      <c r="O113" s="29" t="s">
        <v>299</v>
      </c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</row>
    <row r="114" spans="1:32" s="2" customFormat="1" ht="20.100000000000001" customHeight="1">
      <c r="A114" s="585" t="s">
        <v>115</v>
      </c>
      <c r="B114" s="586"/>
      <c r="C114" s="122">
        <v>2</v>
      </c>
      <c r="D114" s="123" t="s">
        <v>31</v>
      </c>
      <c r="E114" s="320">
        <f>'DECK TALLY'!B89</f>
        <v>84</v>
      </c>
      <c r="F114" s="368">
        <f>VLOOKUP(E114,'DECK TALLY'!$B$6:$C$316,2,FALSE)</f>
        <v>33.950000000000003</v>
      </c>
      <c r="G114" s="368">
        <f t="shared" si="8"/>
        <v>33.544499999999999</v>
      </c>
      <c r="H114" s="131" t="s">
        <v>29</v>
      </c>
      <c r="I114" s="183">
        <f t="shared" si="7"/>
        <v>2932.7550000000019</v>
      </c>
      <c r="J114" s="368">
        <f t="shared" si="6"/>
        <v>18422.244999999999</v>
      </c>
      <c r="K114" s="145">
        <f t="shared" si="5"/>
        <v>154.06649227272732</v>
      </c>
      <c r="L114" s="629"/>
      <c r="M114" s="630"/>
      <c r="N114" s="121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</row>
    <row r="115" spans="1:32" s="2" customFormat="1" ht="20.100000000000001" customHeight="1">
      <c r="A115" s="585" t="s">
        <v>115</v>
      </c>
      <c r="B115" s="586"/>
      <c r="C115" s="122">
        <v>2</v>
      </c>
      <c r="D115" s="123" t="s">
        <v>31</v>
      </c>
      <c r="E115" s="320">
        <f>'DECK TALLY'!B90</f>
        <v>85</v>
      </c>
      <c r="F115" s="368">
        <f>VLOOKUP(E115,'DECK TALLY'!$B$6:$C$316,2,FALSE)</f>
        <v>33.950000000000003</v>
      </c>
      <c r="G115" s="368">
        <f t="shared" si="8"/>
        <v>33.544499999999999</v>
      </c>
      <c r="H115" s="131" t="s">
        <v>29</v>
      </c>
      <c r="I115" s="183">
        <f t="shared" si="7"/>
        <v>2966.2995000000019</v>
      </c>
      <c r="J115" s="368">
        <f t="shared" si="6"/>
        <v>18388.700499999999</v>
      </c>
      <c r="K115" s="145">
        <f t="shared" si="5"/>
        <v>154.85646652902983</v>
      </c>
      <c r="L115" s="629"/>
      <c r="M115" s="630"/>
      <c r="N115" s="121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</row>
    <row r="116" spans="1:32" s="2" customFormat="1" ht="20.100000000000001" customHeight="1">
      <c r="A116" s="585" t="s">
        <v>115</v>
      </c>
      <c r="B116" s="586"/>
      <c r="C116" s="122">
        <v>2</v>
      </c>
      <c r="D116" s="123" t="s">
        <v>31</v>
      </c>
      <c r="E116" s="320">
        <f>'DECK TALLY'!B91</f>
        <v>86</v>
      </c>
      <c r="F116" s="368">
        <f>VLOOKUP(E116,'DECK TALLY'!$B$6:$C$316,2,FALSE)</f>
        <v>33.950000000000003</v>
      </c>
      <c r="G116" s="368">
        <f t="shared" si="8"/>
        <v>33.544499999999999</v>
      </c>
      <c r="H116" s="131" t="s">
        <v>29</v>
      </c>
      <c r="I116" s="183">
        <f t="shared" si="7"/>
        <v>2999.8440000000019</v>
      </c>
      <c r="J116" s="368">
        <f t="shared" si="6"/>
        <v>18355.155999999999</v>
      </c>
      <c r="K116" s="145">
        <f t="shared" si="5"/>
        <v>155.64644078533235</v>
      </c>
      <c r="L116" s="629"/>
      <c r="M116" s="630"/>
      <c r="N116" s="121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</row>
    <row r="117" spans="1:32" s="2" customFormat="1" ht="20.100000000000001" customHeight="1">
      <c r="A117" s="585" t="s">
        <v>115</v>
      </c>
      <c r="B117" s="586"/>
      <c r="C117" s="122">
        <v>2</v>
      </c>
      <c r="D117" s="123" t="s">
        <v>31</v>
      </c>
      <c r="E117" s="320">
        <f>'DECK TALLY'!B92</f>
        <v>87</v>
      </c>
      <c r="F117" s="368">
        <f>VLOOKUP(E117,'DECK TALLY'!$B$6:$C$316,2,FALSE)</f>
        <v>33.68</v>
      </c>
      <c r="G117" s="368">
        <f t="shared" si="8"/>
        <v>33.274500000000003</v>
      </c>
      <c r="H117" s="131" t="s">
        <v>29</v>
      </c>
      <c r="I117" s="183">
        <f t="shared" si="7"/>
        <v>3033.1185000000019</v>
      </c>
      <c r="J117" s="368">
        <f t="shared" si="6"/>
        <v>18321.8815</v>
      </c>
      <c r="K117" s="145">
        <f t="shared" si="5"/>
        <v>156.43005653132167</v>
      </c>
      <c r="L117" s="629"/>
      <c r="M117" s="630"/>
      <c r="N117" s="121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</row>
    <row r="118" spans="1:32" s="2" customFormat="1" ht="20.100000000000001" customHeight="1">
      <c r="A118" s="585" t="s">
        <v>115</v>
      </c>
      <c r="B118" s="586"/>
      <c r="C118" s="122">
        <v>2</v>
      </c>
      <c r="D118" s="123" t="s">
        <v>31</v>
      </c>
      <c r="E118" s="320">
        <f>'DECK TALLY'!B93</f>
        <v>88</v>
      </c>
      <c r="F118" s="368">
        <f>VLOOKUP(E118,'DECK TALLY'!$B$6:$C$316,2,FALSE)</f>
        <v>33.770000000000003</v>
      </c>
      <c r="G118" s="368">
        <f t="shared" si="8"/>
        <v>33.364500000000007</v>
      </c>
      <c r="H118" s="131" t="s">
        <v>29</v>
      </c>
      <c r="I118" s="183">
        <f t="shared" si="7"/>
        <v>3066.483000000002</v>
      </c>
      <c r="J118" s="368">
        <f t="shared" si="6"/>
        <v>18288.517</v>
      </c>
      <c r="K118" s="145">
        <f t="shared" si="5"/>
        <v>157.2157917807487</v>
      </c>
      <c r="L118" s="629"/>
      <c r="M118" s="630"/>
      <c r="N118" s="121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</row>
    <row r="119" spans="1:32" s="2" customFormat="1" ht="20.100000000000001" customHeight="1">
      <c r="A119" s="585" t="s">
        <v>115</v>
      </c>
      <c r="B119" s="586"/>
      <c r="C119" s="122">
        <v>2</v>
      </c>
      <c r="D119" s="123" t="s">
        <v>31</v>
      </c>
      <c r="E119" s="320">
        <f>'DECK TALLY'!B94</f>
        <v>89</v>
      </c>
      <c r="F119" s="368">
        <f>VLOOKUP(E119,'DECK TALLY'!$B$6:$C$316,2,FALSE)</f>
        <v>32.4</v>
      </c>
      <c r="G119" s="368">
        <f t="shared" si="8"/>
        <v>31.994499999999999</v>
      </c>
      <c r="H119" s="131" t="s">
        <v>29</v>
      </c>
      <c r="I119" s="183">
        <f t="shared" si="7"/>
        <v>3098.4775000000018</v>
      </c>
      <c r="J119" s="368">
        <f t="shared" si="6"/>
        <v>18256.522499999999</v>
      </c>
      <c r="K119" s="145">
        <f t="shared" si="5"/>
        <v>157.96926347784574</v>
      </c>
      <c r="L119" s="629"/>
      <c r="M119" s="630"/>
      <c r="N119" s="121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</row>
    <row r="120" spans="1:32" s="2" customFormat="1" ht="20.100000000000001" customHeight="1">
      <c r="A120" s="585" t="s">
        <v>115</v>
      </c>
      <c r="B120" s="586"/>
      <c r="C120" s="122">
        <v>2</v>
      </c>
      <c r="D120" s="123" t="s">
        <v>31</v>
      </c>
      <c r="E120" s="320">
        <f>'DECK TALLY'!B95</f>
        <v>90</v>
      </c>
      <c r="F120" s="368">
        <f>VLOOKUP(E120,'DECK TALLY'!$B$6:$C$316,2,FALSE)</f>
        <v>33.950000000000003</v>
      </c>
      <c r="G120" s="368">
        <f t="shared" si="8"/>
        <v>33.544499999999999</v>
      </c>
      <c r="H120" s="131" t="s">
        <v>29</v>
      </c>
      <c r="I120" s="183">
        <f t="shared" si="7"/>
        <v>3132.0220000000018</v>
      </c>
      <c r="J120" s="368">
        <f t="shared" si="6"/>
        <v>18222.977999999999</v>
      </c>
      <c r="K120" s="145">
        <f t="shared" si="5"/>
        <v>158.75923773414826</v>
      </c>
      <c r="L120" s="629"/>
      <c r="M120" s="630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</row>
    <row r="121" spans="1:32" s="2" customFormat="1" ht="20.100000000000001" customHeight="1">
      <c r="A121" s="585" t="s">
        <v>115</v>
      </c>
      <c r="B121" s="586"/>
      <c r="C121" s="122">
        <v>2</v>
      </c>
      <c r="D121" s="123" t="s">
        <v>31</v>
      </c>
      <c r="E121" s="320">
        <f>'DECK TALLY'!B96</f>
        <v>91</v>
      </c>
      <c r="F121" s="368">
        <f>VLOOKUP(E121,'DECK TALLY'!$B$6:$C$316,2,FALSE)</f>
        <v>33.81</v>
      </c>
      <c r="G121" s="368">
        <f t="shared" si="8"/>
        <v>33.404499999999999</v>
      </c>
      <c r="H121" s="131" t="s">
        <v>29</v>
      </c>
      <c r="I121" s="183">
        <f t="shared" si="7"/>
        <v>3165.4265000000019</v>
      </c>
      <c r="J121" s="368">
        <f t="shared" si="6"/>
        <v>18189.573499999999</v>
      </c>
      <c r="K121" s="145">
        <f t="shared" si="5"/>
        <v>159.5459149851032</v>
      </c>
      <c r="L121" s="629"/>
      <c r="M121" s="630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</row>
    <row r="122" spans="1:32" s="2" customFormat="1" ht="20.100000000000001" customHeight="1">
      <c r="A122" s="585" t="s">
        <v>115</v>
      </c>
      <c r="B122" s="586"/>
      <c r="C122" s="122">
        <v>2</v>
      </c>
      <c r="D122" s="123" t="s">
        <v>31</v>
      </c>
      <c r="E122" s="320">
        <f>'DECK TALLY'!B97</f>
        <v>92</v>
      </c>
      <c r="F122" s="368">
        <f>VLOOKUP(E122,'DECK TALLY'!$B$6:$C$316,2,FALSE)</f>
        <v>33.950000000000003</v>
      </c>
      <c r="G122" s="368">
        <f t="shared" si="8"/>
        <v>33.544499999999999</v>
      </c>
      <c r="H122" s="131" t="s">
        <v>29</v>
      </c>
      <c r="I122" s="183">
        <f t="shared" si="7"/>
        <v>3198.9710000000018</v>
      </c>
      <c r="J122" s="368">
        <f t="shared" si="6"/>
        <v>18156.028999999999</v>
      </c>
      <c r="K122" s="145">
        <f t="shared" si="5"/>
        <v>160.33588924140571</v>
      </c>
      <c r="L122" s="629"/>
      <c r="M122" s="630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</row>
    <row r="123" spans="1:32" s="2" customFormat="1" ht="20.100000000000001" customHeight="1">
      <c r="A123" s="585" t="s">
        <v>115</v>
      </c>
      <c r="B123" s="586"/>
      <c r="C123" s="122">
        <v>2</v>
      </c>
      <c r="D123" s="123" t="s">
        <v>31</v>
      </c>
      <c r="E123" s="320">
        <f>'DECK TALLY'!B98</f>
        <v>93</v>
      </c>
      <c r="F123" s="368">
        <f>VLOOKUP(E123,'DECK TALLY'!$B$6:$C$316,2,FALSE)</f>
        <v>33.96</v>
      </c>
      <c r="G123" s="368">
        <f t="shared" si="8"/>
        <v>33.554500000000004</v>
      </c>
      <c r="H123" s="131" t="s">
        <v>29</v>
      </c>
      <c r="I123" s="183">
        <f t="shared" si="7"/>
        <v>3232.525500000002</v>
      </c>
      <c r="J123" s="368">
        <f t="shared" si="6"/>
        <v>18122.474499999997</v>
      </c>
      <c r="K123" s="145">
        <f t="shared" si="5"/>
        <v>161.12609899809019</v>
      </c>
      <c r="L123" s="629"/>
      <c r="M123" s="630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</row>
    <row r="124" spans="1:32" s="2" customFormat="1" ht="20.100000000000001" customHeight="1">
      <c r="A124" s="585" t="s">
        <v>115</v>
      </c>
      <c r="B124" s="586"/>
      <c r="C124" s="122">
        <v>2</v>
      </c>
      <c r="D124" s="123" t="s">
        <v>31</v>
      </c>
      <c r="E124" s="320">
        <f>'DECK TALLY'!B99</f>
        <v>94</v>
      </c>
      <c r="F124" s="368">
        <f>VLOOKUP(E124,'DECK TALLY'!$B$6:$C$316,2,FALSE)</f>
        <v>33.340000000000003</v>
      </c>
      <c r="G124" s="368">
        <f t="shared" si="8"/>
        <v>32.9345</v>
      </c>
      <c r="H124" s="131" t="s">
        <v>29</v>
      </c>
      <c r="I124" s="183">
        <f t="shared" si="7"/>
        <v>3265.4600000000019</v>
      </c>
      <c r="J124" s="368">
        <f t="shared" si="6"/>
        <v>18089.539999999997</v>
      </c>
      <c r="K124" s="145">
        <f t="shared" si="5"/>
        <v>161.90170773109247</v>
      </c>
      <c r="L124" s="629"/>
      <c r="M124" s="630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</row>
    <row r="125" spans="1:32" s="2" customFormat="1" ht="20.100000000000001" customHeight="1">
      <c r="A125" s="585" t="s">
        <v>115</v>
      </c>
      <c r="B125" s="586"/>
      <c r="C125" s="122">
        <v>2</v>
      </c>
      <c r="D125" s="123" t="s">
        <v>31</v>
      </c>
      <c r="E125" s="320">
        <f>'DECK TALLY'!B100</f>
        <v>95</v>
      </c>
      <c r="F125" s="368">
        <f>VLOOKUP(E125,'DECK TALLY'!$B$6:$C$316,2,FALSE)</f>
        <v>33.950000000000003</v>
      </c>
      <c r="G125" s="368">
        <f t="shared" si="8"/>
        <v>33.544499999999999</v>
      </c>
      <c r="H125" s="131" t="s">
        <v>29</v>
      </c>
      <c r="I125" s="183">
        <f t="shared" si="7"/>
        <v>3299.0045000000018</v>
      </c>
      <c r="J125" s="368">
        <f t="shared" si="6"/>
        <v>18055.995499999997</v>
      </c>
      <c r="K125" s="145">
        <f t="shared" si="5"/>
        <v>162.69168198739501</v>
      </c>
      <c r="L125" s="629"/>
      <c r="M125" s="630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</row>
    <row r="126" spans="1:32" s="2" customFormat="1" ht="20.100000000000001" customHeight="1">
      <c r="A126" s="585" t="s">
        <v>115</v>
      </c>
      <c r="B126" s="586"/>
      <c r="C126" s="122">
        <v>2</v>
      </c>
      <c r="D126" s="123" t="s">
        <v>31</v>
      </c>
      <c r="E126" s="320">
        <f>'DECK TALLY'!B101</f>
        <v>96</v>
      </c>
      <c r="F126" s="368">
        <f>VLOOKUP(E126,'DECK TALLY'!$B$6:$C$316,2,FALSE)</f>
        <v>33.76</v>
      </c>
      <c r="G126" s="368">
        <f t="shared" si="8"/>
        <v>33.354500000000002</v>
      </c>
      <c r="H126" s="131" t="s">
        <v>29</v>
      </c>
      <c r="I126" s="183">
        <f t="shared" si="7"/>
        <v>3332.3590000000017</v>
      </c>
      <c r="J126" s="368">
        <f t="shared" si="6"/>
        <v>18022.641</v>
      </c>
      <c r="K126" s="145">
        <f t="shared" si="5"/>
        <v>163.47718173644006</v>
      </c>
      <c r="L126" s="629"/>
      <c r="M126" s="630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</row>
    <row r="127" spans="1:32" s="2" customFormat="1" ht="20.100000000000001" customHeight="1">
      <c r="A127" s="585" t="s">
        <v>115</v>
      </c>
      <c r="B127" s="586"/>
      <c r="C127" s="122">
        <v>2</v>
      </c>
      <c r="D127" s="123" t="s">
        <v>31</v>
      </c>
      <c r="E127" s="320">
        <f>'DECK TALLY'!B102</f>
        <v>97</v>
      </c>
      <c r="F127" s="368">
        <f>VLOOKUP(E127,'DECK TALLY'!$B$6:$C$316,2,FALSE)</f>
        <v>33.85</v>
      </c>
      <c r="G127" s="368">
        <f t="shared" si="8"/>
        <v>33.444500000000005</v>
      </c>
      <c r="H127" s="131" t="s">
        <v>29</v>
      </c>
      <c r="I127" s="183">
        <f t="shared" si="7"/>
        <v>3365.8035000000018</v>
      </c>
      <c r="J127" s="368">
        <f t="shared" si="6"/>
        <v>17989.196499999998</v>
      </c>
      <c r="K127" s="145">
        <f t="shared" si="5"/>
        <v>164.2648009889229</v>
      </c>
      <c r="L127" s="629"/>
      <c r="M127" s="630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</row>
    <row r="128" spans="1:32" s="2" customFormat="1" ht="20.100000000000001" customHeight="1">
      <c r="A128" s="585" t="s">
        <v>115</v>
      </c>
      <c r="B128" s="586"/>
      <c r="C128" s="122">
        <v>2</v>
      </c>
      <c r="D128" s="168" t="s">
        <v>31</v>
      </c>
      <c r="E128" s="320">
        <f>'DECK TALLY'!B103</f>
        <v>98</v>
      </c>
      <c r="F128" s="368">
        <f>VLOOKUP(E128,'DECK TALLY'!$B$6:$C$316,2,FALSE)</f>
        <v>33.729999999999997</v>
      </c>
      <c r="G128" s="368">
        <f t="shared" si="8"/>
        <v>33.3245</v>
      </c>
      <c r="H128" s="131" t="s">
        <v>29</v>
      </c>
      <c r="I128" s="183">
        <f t="shared" si="7"/>
        <v>3399.128000000002</v>
      </c>
      <c r="J128" s="368">
        <f t="shared" si="6"/>
        <v>17955.871999999999</v>
      </c>
      <c r="K128" s="145">
        <f t="shared" si="5"/>
        <v>165.04959423682206</v>
      </c>
      <c r="L128" s="629"/>
      <c r="M128" s="630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</row>
    <row r="129" spans="1:32" s="2" customFormat="1" ht="20.100000000000001" customHeight="1">
      <c r="A129" s="585" t="s">
        <v>115</v>
      </c>
      <c r="B129" s="586"/>
      <c r="C129" s="122">
        <v>2</v>
      </c>
      <c r="D129" s="168" t="s">
        <v>31</v>
      </c>
      <c r="E129" s="320">
        <f>'DECK TALLY'!B104</f>
        <v>99</v>
      </c>
      <c r="F129" s="368">
        <f>VLOOKUP(E129,'DECK TALLY'!$B$6:$C$316,2,FALSE)</f>
        <v>33.93</v>
      </c>
      <c r="G129" s="368">
        <f t="shared" si="8"/>
        <v>33.524500000000003</v>
      </c>
      <c r="H129" s="131" t="s">
        <v>29</v>
      </c>
      <c r="I129" s="183">
        <f t="shared" si="7"/>
        <v>3432.652500000002</v>
      </c>
      <c r="J129" s="368">
        <f t="shared" si="6"/>
        <v>17922.347499999996</v>
      </c>
      <c r="K129" s="145">
        <f t="shared" si="5"/>
        <v>165.83909749236062</v>
      </c>
      <c r="L129" s="629"/>
      <c r="M129" s="630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</row>
    <row r="130" spans="1:32" s="2" customFormat="1" ht="20.100000000000001" customHeight="1">
      <c r="A130" s="585" t="s">
        <v>115</v>
      </c>
      <c r="B130" s="586"/>
      <c r="C130" s="122">
        <v>2</v>
      </c>
      <c r="D130" s="123" t="s">
        <v>31</v>
      </c>
      <c r="E130" s="320">
        <f>'DECK TALLY'!B105</f>
        <v>100</v>
      </c>
      <c r="F130" s="376">
        <f>VLOOKUP(E130,'DECK TALLY'!$B$6:$C$316,2,FALSE)</f>
        <v>33.93</v>
      </c>
      <c r="G130" s="368">
        <f t="shared" si="8"/>
        <v>33.524500000000003</v>
      </c>
      <c r="H130" s="131" t="s">
        <v>29</v>
      </c>
      <c r="I130" s="183">
        <f t="shared" si="7"/>
        <v>3466.177000000002</v>
      </c>
      <c r="J130" s="368">
        <f t="shared" si="6"/>
        <v>17888.822999999997</v>
      </c>
      <c r="K130" s="145">
        <f t="shared" si="5"/>
        <v>166.62860074789921</v>
      </c>
      <c r="L130" s="629"/>
      <c r="M130" s="630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</row>
    <row r="131" spans="1:32" s="2" customFormat="1" ht="20.100000000000001" customHeight="1">
      <c r="A131" s="585" t="s">
        <v>115</v>
      </c>
      <c r="B131" s="586"/>
      <c r="C131" s="122">
        <v>2</v>
      </c>
      <c r="D131" s="123" t="s">
        <v>31</v>
      </c>
      <c r="E131" s="320">
        <f>'DECK TALLY'!B106</f>
        <v>101</v>
      </c>
      <c r="F131" s="376">
        <f>VLOOKUP(E131,'DECK TALLY'!$B$6:$C$316,2,FALSE)</f>
        <v>33.93</v>
      </c>
      <c r="G131" s="368">
        <f t="shared" si="8"/>
        <v>33.524500000000003</v>
      </c>
      <c r="H131" s="131" t="s">
        <v>29</v>
      </c>
      <c r="I131" s="183">
        <f t="shared" si="7"/>
        <v>3499.7015000000019</v>
      </c>
      <c r="J131" s="368">
        <f t="shared" si="6"/>
        <v>17855.298499999997</v>
      </c>
      <c r="K131" s="145">
        <f t="shared" si="5"/>
        <v>167.4181040034378</v>
      </c>
      <c r="L131" s="629"/>
      <c r="M131" s="630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</row>
    <row r="132" spans="1:32" s="2" customFormat="1" ht="20.100000000000001" customHeight="1">
      <c r="A132" s="585" t="s">
        <v>115</v>
      </c>
      <c r="B132" s="586"/>
      <c r="C132" s="122">
        <v>2</v>
      </c>
      <c r="D132" s="123" t="s">
        <v>31</v>
      </c>
      <c r="E132" s="320">
        <f>'DECK TALLY'!B107</f>
        <v>102</v>
      </c>
      <c r="F132" s="376">
        <f>VLOOKUP(E132,'DECK TALLY'!$B$6:$C$316,2,FALSE)</f>
        <v>33.369999999999997</v>
      </c>
      <c r="G132" s="368">
        <f t="shared" si="8"/>
        <v>32.964500000000001</v>
      </c>
      <c r="H132" s="131" t="s">
        <v>29</v>
      </c>
      <c r="I132" s="183">
        <f t="shared" si="7"/>
        <v>3532.666000000002</v>
      </c>
      <c r="J132" s="368">
        <f t="shared" si="6"/>
        <v>17822.333999999999</v>
      </c>
      <c r="K132" s="145">
        <f t="shared" si="5"/>
        <v>168.194419237586</v>
      </c>
      <c r="L132" s="629"/>
      <c r="M132" s="630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</row>
    <row r="133" spans="1:32" s="2" customFormat="1" ht="20.100000000000001" customHeight="1">
      <c r="A133" s="585" t="s">
        <v>115</v>
      </c>
      <c r="B133" s="586"/>
      <c r="C133" s="122">
        <v>2</v>
      </c>
      <c r="D133" s="123" t="s">
        <v>31</v>
      </c>
      <c r="E133" s="320">
        <f>'DECK TALLY'!B108</f>
        <v>103</v>
      </c>
      <c r="F133" s="376">
        <f>VLOOKUP(E133,'DECK TALLY'!$B$6:$C$316,2,FALSE)</f>
        <v>33.96</v>
      </c>
      <c r="G133" s="368">
        <f t="shared" si="8"/>
        <v>33.554500000000004</v>
      </c>
      <c r="H133" s="131" t="s">
        <v>29</v>
      </c>
      <c r="I133" s="183">
        <f t="shared" si="7"/>
        <v>3566.2205000000022</v>
      </c>
      <c r="J133" s="368">
        <f t="shared" si="6"/>
        <v>17788.779499999997</v>
      </c>
      <c r="K133" s="145">
        <f t="shared" si="5"/>
        <v>168.98462899427051</v>
      </c>
      <c r="L133" s="629"/>
      <c r="M133" s="630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</row>
    <row r="134" spans="1:32" s="2" customFormat="1" ht="20.100000000000001" customHeight="1">
      <c r="A134" s="585" t="s">
        <v>115</v>
      </c>
      <c r="B134" s="586"/>
      <c r="C134" s="122">
        <v>2</v>
      </c>
      <c r="D134" s="123" t="s">
        <v>31</v>
      </c>
      <c r="E134" s="320">
        <f>'DECK TALLY'!B109</f>
        <v>104</v>
      </c>
      <c r="F134" s="376">
        <f>VLOOKUP(E134,'DECK TALLY'!$B$6:$C$316,2,FALSE)</f>
        <v>31.93</v>
      </c>
      <c r="G134" s="368">
        <f t="shared" si="8"/>
        <v>31.5245</v>
      </c>
      <c r="H134" s="131" t="s">
        <v>29</v>
      </c>
      <c r="I134" s="183">
        <f t="shared" si="7"/>
        <v>3597.7450000000022</v>
      </c>
      <c r="J134" s="368">
        <f t="shared" si="6"/>
        <v>17757.254999999997</v>
      </c>
      <c r="K134" s="145">
        <f t="shared" si="5"/>
        <v>169.72703217341487</v>
      </c>
      <c r="L134" s="629"/>
      <c r="M134" s="630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</row>
    <row r="135" spans="1:32" s="2" customFormat="1" ht="20.100000000000001" customHeight="1">
      <c r="A135" s="585" t="s">
        <v>115</v>
      </c>
      <c r="B135" s="586"/>
      <c r="C135" s="122">
        <v>2</v>
      </c>
      <c r="D135" s="123" t="s">
        <v>31</v>
      </c>
      <c r="E135" s="320">
        <f>'DECK TALLY'!B110</f>
        <v>105</v>
      </c>
      <c r="F135" s="376">
        <f>VLOOKUP(E135,'DECK TALLY'!$B$6:$C$316,2,FALSE)</f>
        <v>33.950000000000003</v>
      </c>
      <c r="G135" s="368">
        <f t="shared" si="8"/>
        <v>33.544499999999999</v>
      </c>
      <c r="H135" s="131" t="s">
        <v>29</v>
      </c>
      <c r="I135" s="183">
        <f t="shared" si="7"/>
        <v>3631.2895000000021</v>
      </c>
      <c r="J135" s="368">
        <f t="shared" si="6"/>
        <v>17723.710499999997</v>
      </c>
      <c r="K135" s="145">
        <f t="shared" si="5"/>
        <v>170.51700642971741</v>
      </c>
      <c r="L135" s="629"/>
      <c r="M135" s="630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</row>
    <row r="136" spans="1:32" s="2" customFormat="1" ht="20.100000000000001" customHeight="1">
      <c r="A136" s="585" t="s">
        <v>115</v>
      </c>
      <c r="B136" s="586"/>
      <c r="C136" s="122">
        <v>2</v>
      </c>
      <c r="D136" s="123" t="s">
        <v>31</v>
      </c>
      <c r="E136" s="320">
        <f>'DECK TALLY'!B111</f>
        <v>106</v>
      </c>
      <c r="F136" s="376">
        <f>VLOOKUP(E136,'DECK TALLY'!$B$6:$C$316,2,FALSE)</f>
        <v>33.96</v>
      </c>
      <c r="G136" s="368">
        <f t="shared" si="8"/>
        <v>33.554500000000004</v>
      </c>
      <c r="H136" s="131" t="s">
        <v>29</v>
      </c>
      <c r="I136" s="183">
        <f t="shared" si="7"/>
        <v>3664.8440000000023</v>
      </c>
      <c r="J136" s="368">
        <f t="shared" si="6"/>
        <v>17690.155999999999</v>
      </c>
      <c r="K136" s="145">
        <f t="shared" si="5"/>
        <v>171.30721618640189</v>
      </c>
      <c r="L136" s="629"/>
      <c r="M136" s="630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</row>
    <row r="137" spans="1:32" s="2" customFormat="1" ht="20.100000000000001" customHeight="1">
      <c r="A137" s="585" t="s">
        <v>115</v>
      </c>
      <c r="B137" s="586"/>
      <c r="C137" s="122">
        <v>2</v>
      </c>
      <c r="D137" s="123" t="s">
        <v>31</v>
      </c>
      <c r="E137" s="320">
        <f>'DECK TALLY'!B112</f>
        <v>107</v>
      </c>
      <c r="F137" s="376">
        <f>VLOOKUP(E137,'DECK TALLY'!$B$6:$C$316,2,FALSE)</f>
        <v>33.96</v>
      </c>
      <c r="G137" s="368">
        <f t="shared" si="8"/>
        <v>33.554500000000004</v>
      </c>
      <c r="H137" s="131" t="s">
        <v>29</v>
      </c>
      <c r="I137" s="183">
        <f t="shared" si="7"/>
        <v>3698.3985000000025</v>
      </c>
      <c r="J137" s="368">
        <f t="shared" si="6"/>
        <v>17656.601499999997</v>
      </c>
      <c r="K137" s="145">
        <f t="shared" si="5"/>
        <v>172.09742594308639</v>
      </c>
      <c r="L137" s="629"/>
      <c r="M137" s="630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</row>
    <row r="138" spans="1:32" s="2" customFormat="1" ht="20.100000000000001" customHeight="1">
      <c r="A138" s="585" t="s">
        <v>115</v>
      </c>
      <c r="B138" s="586"/>
      <c r="C138" s="122">
        <v>2</v>
      </c>
      <c r="D138" s="123" t="s">
        <v>31</v>
      </c>
      <c r="E138" s="320">
        <f>'DECK TALLY'!B113</f>
        <v>108</v>
      </c>
      <c r="F138" s="376">
        <f>VLOOKUP(E138,'DECK TALLY'!$B$6:$C$316,2,FALSE)</f>
        <v>33.96</v>
      </c>
      <c r="G138" s="368">
        <f t="shared" si="8"/>
        <v>33.554500000000004</v>
      </c>
      <c r="H138" s="131" t="s">
        <v>29</v>
      </c>
      <c r="I138" s="183">
        <f t="shared" si="7"/>
        <v>3731.9530000000027</v>
      </c>
      <c r="J138" s="368">
        <f t="shared" si="6"/>
        <v>17623.046999999999</v>
      </c>
      <c r="K138" s="145">
        <f t="shared" si="5"/>
        <v>172.8876356997709</v>
      </c>
      <c r="L138" s="629"/>
      <c r="M138" s="630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</row>
    <row r="139" spans="1:32" s="2" customFormat="1" ht="20.100000000000001" customHeight="1">
      <c r="A139" s="585" t="s">
        <v>115</v>
      </c>
      <c r="B139" s="586"/>
      <c r="C139" s="122">
        <v>2</v>
      </c>
      <c r="D139" s="123" t="s">
        <v>31</v>
      </c>
      <c r="E139" s="320">
        <f>'DECK TALLY'!B114</f>
        <v>109</v>
      </c>
      <c r="F139" s="376">
        <f>VLOOKUP(E139,'DECK TALLY'!$B$6:$C$316,2,FALSE)</f>
        <v>33.950000000000003</v>
      </c>
      <c r="G139" s="368">
        <f t="shared" si="8"/>
        <v>33.544499999999999</v>
      </c>
      <c r="H139" s="131" t="s">
        <v>29</v>
      </c>
      <c r="I139" s="183">
        <f t="shared" si="7"/>
        <v>3765.4975000000027</v>
      </c>
      <c r="J139" s="368">
        <f t="shared" si="6"/>
        <v>17589.502499999999</v>
      </c>
      <c r="K139" s="145">
        <f t="shared" si="5"/>
        <v>173.67760995607341</v>
      </c>
      <c r="L139" s="629"/>
      <c r="M139" s="630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</row>
    <row r="140" spans="1:32" s="2" customFormat="1" ht="20.100000000000001" customHeight="1">
      <c r="A140" s="585" t="s">
        <v>115</v>
      </c>
      <c r="B140" s="586"/>
      <c r="C140" s="122">
        <v>2</v>
      </c>
      <c r="D140" s="123" t="s">
        <v>31</v>
      </c>
      <c r="E140" s="320">
        <f>'DECK TALLY'!B115</f>
        <v>110</v>
      </c>
      <c r="F140" s="376">
        <f>VLOOKUP(E140,'DECK TALLY'!$B$6:$C$316,2,FALSE)</f>
        <v>33.96</v>
      </c>
      <c r="G140" s="368">
        <f t="shared" si="8"/>
        <v>33.554500000000004</v>
      </c>
      <c r="H140" s="131" t="s">
        <v>29</v>
      </c>
      <c r="I140" s="183">
        <f t="shared" si="7"/>
        <v>3799.0520000000029</v>
      </c>
      <c r="J140" s="368">
        <f t="shared" si="6"/>
        <v>17555.947999999997</v>
      </c>
      <c r="K140" s="145">
        <f t="shared" si="5"/>
        <v>174.46781971275789</v>
      </c>
      <c r="L140" s="629"/>
      <c r="M140" s="630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</row>
    <row r="141" spans="1:32" s="2" customFormat="1" ht="20.100000000000001" customHeight="1">
      <c r="A141" s="585" t="s">
        <v>115</v>
      </c>
      <c r="B141" s="586"/>
      <c r="C141" s="122">
        <v>2</v>
      </c>
      <c r="D141" s="123" t="s">
        <v>31</v>
      </c>
      <c r="E141" s="320">
        <f>'DECK TALLY'!B116</f>
        <v>111</v>
      </c>
      <c r="F141" s="376">
        <f>VLOOKUP(E141,'DECK TALLY'!$B$6:$C$316,2,FALSE)</f>
        <v>33.96</v>
      </c>
      <c r="G141" s="368">
        <f t="shared" si="8"/>
        <v>33.554500000000004</v>
      </c>
      <c r="H141" s="131" t="s">
        <v>29</v>
      </c>
      <c r="I141" s="183">
        <f t="shared" si="7"/>
        <v>3832.6065000000031</v>
      </c>
      <c r="J141" s="368">
        <f t="shared" si="6"/>
        <v>17522.393499999998</v>
      </c>
      <c r="K141" s="145">
        <f t="shared" si="5"/>
        <v>175.25802946944239</v>
      </c>
      <c r="L141" s="629"/>
      <c r="M141" s="630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</row>
    <row r="142" spans="1:32" s="2" customFormat="1" ht="20.100000000000001" customHeight="1">
      <c r="A142" s="585" t="s">
        <v>115</v>
      </c>
      <c r="B142" s="586"/>
      <c r="C142" s="122">
        <v>2</v>
      </c>
      <c r="D142" s="123" t="s">
        <v>31</v>
      </c>
      <c r="E142" s="320">
        <f>'DECK TALLY'!B117</f>
        <v>112</v>
      </c>
      <c r="F142" s="376">
        <f>VLOOKUP(E142,'DECK TALLY'!$B$6:$C$316,2,FALSE)</f>
        <v>33.909999999999997</v>
      </c>
      <c r="G142" s="368">
        <f t="shared" si="8"/>
        <v>33.504499999999993</v>
      </c>
      <c r="H142" s="131" t="s">
        <v>29</v>
      </c>
      <c r="I142" s="183">
        <f t="shared" si="7"/>
        <v>3866.1110000000031</v>
      </c>
      <c r="J142" s="368">
        <f t="shared" si="6"/>
        <v>17488.888999999996</v>
      </c>
      <c r="K142" s="145">
        <f t="shared" si="5"/>
        <v>176.04706172421703</v>
      </c>
      <c r="L142" s="629"/>
      <c r="M142" s="630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</row>
    <row r="143" spans="1:32" s="2" customFormat="1" ht="20.100000000000001" customHeight="1">
      <c r="A143" s="585" t="s">
        <v>115</v>
      </c>
      <c r="B143" s="586"/>
      <c r="C143" s="122">
        <v>2</v>
      </c>
      <c r="D143" s="123" t="s">
        <v>31</v>
      </c>
      <c r="E143" s="320">
        <f>'DECK TALLY'!B118</f>
        <v>113</v>
      </c>
      <c r="F143" s="376">
        <f>VLOOKUP(E143,'DECK TALLY'!$B$6:$C$316,2,FALSE)</f>
        <v>33.4</v>
      </c>
      <c r="G143" s="368">
        <f t="shared" si="8"/>
        <v>32.994500000000002</v>
      </c>
      <c r="H143" s="131" t="s">
        <v>29</v>
      </c>
      <c r="I143" s="183">
        <f t="shared" si="7"/>
        <v>3899.1055000000028</v>
      </c>
      <c r="J143" s="368">
        <f t="shared" si="6"/>
        <v>17455.894499999999</v>
      </c>
      <c r="K143" s="145">
        <f t="shared" si="5"/>
        <v>176.82408345951114</v>
      </c>
      <c r="L143" s="629"/>
      <c r="M143" s="630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</row>
    <row r="144" spans="1:32" s="2" customFormat="1" ht="20.100000000000001" customHeight="1">
      <c r="A144" s="585" t="s">
        <v>115</v>
      </c>
      <c r="B144" s="586"/>
      <c r="C144" s="122">
        <v>2</v>
      </c>
      <c r="D144" s="123" t="s">
        <v>31</v>
      </c>
      <c r="E144" s="320">
        <f>'DECK TALLY'!B119</f>
        <v>114</v>
      </c>
      <c r="F144" s="376">
        <f>VLOOKUP(E144,'DECK TALLY'!$B$6:$C$316,2,FALSE)</f>
        <v>33.96</v>
      </c>
      <c r="G144" s="368">
        <f t="shared" si="8"/>
        <v>33.554500000000004</v>
      </c>
      <c r="H144" s="131" t="s">
        <v>29</v>
      </c>
      <c r="I144" s="183">
        <f t="shared" si="7"/>
        <v>3932.660000000003</v>
      </c>
      <c r="J144" s="368">
        <f t="shared" si="6"/>
        <v>17422.339999999997</v>
      </c>
      <c r="K144" s="145">
        <f t="shared" si="5"/>
        <v>177.61429321619565</v>
      </c>
      <c r="L144" s="629"/>
      <c r="M144" s="630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</row>
    <row r="145" spans="1:32" s="2" customFormat="1" ht="20.100000000000001" customHeight="1">
      <c r="A145" s="585" t="s">
        <v>115</v>
      </c>
      <c r="B145" s="586"/>
      <c r="C145" s="122">
        <v>2</v>
      </c>
      <c r="D145" s="123" t="s">
        <v>31</v>
      </c>
      <c r="E145" s="320">
        <f>'DECK TALLY'!B120</f>
        <v>115</v>
      </c>
      <c r="F145" s="376">
        <f>VLOOKUP(E145,'DECK TALLY'!$B$6:$C$316,2,FALSE)</f>
        <v>33.96</v>
      </c>
      <c r="G145" s="368">
        <f t="shared" si="8"/>
        <v>33.554500000000004</v>
      </c>
      <c r="H145" s="131" t="s">
        <v>29</v>
      </c>
      <c r="I145" s="183">
        <f t="shared" si="7"/>
        <v>3966.2145000000032</v>
      </c>
      <c r="J145" s="368">
        <f t="shared" si="6"/>
        <v>17388.785499999998</v>
      </c>
      <c r="K145" s="145">
        <f t="shared" si="5"/>
        <v>178.40450297288015</v>
      </c>
      <c r="L145" s="629"/>
      <c r="M145" s="630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</row>
    <row r="146" spans="1:32" s="2" customFormat="1" ht="20.100000000000001" customHeight="1">
      <c r="A146" s="585" t="s">
        <v>115</v>
      </c>
      <c r="B146" s="586"/>
      <c r="C146" s="356">
        <v>2</v>
      </c>
      <c r="D146" s="357" t="s">
        <v>31</v>
      </c>
      <c r="E146" s="320">
        <f>'DECK TALLY'!B121</f>
        <v>116</v>
      </c>
      <c r="F146" s="378">
        <f>VLOOKUP(E146,'DECK TALLY'!$B$6:$C$316,2,FALSE)</f>
        <v>33.22</v>
      </c>
      <c r="G146" s="368">
        <f t="shared" si="8"/>
        <v>32.814499999999995</v>
      </c>
      <c r="H146" s="130" t="s">
        <v>29</v>
      </c>
      <c r="I146" s="246">
        <f t="shared" si="7"/>
        <v>3999.0290000000032</v>
      </c>
      <c r="J146" s="371">
        <f t="shared" si="6"/>
        <v>17355.970999999998</v>
      </c>
      <c r="K146" s="145">
        <f t="shared" si="5"/>
        <v>179.17728570129879</v>
      </c>
      <c r="L146" s="633"/>
      <c r="M146" s="634"/>
      <c r="N146" s="121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</row>
    <row r="147" spans="1:32" s="2" customFormat="1" ht="20.100000000000001" customHeight="1">
      <c r="A147" s="585" t="s">
        <v>115</v>
      </c>
      <c r="B147" s="586"/>
      <c r="C147" s="358">
        <v>2</v>
      </c>
      <c r="D147" s="359" t="s">
        <v>31</v>
      </c>
      <c r="E147" s="320">
        <f>'DECK TALLY'!B122</f>
        <v>117</v>
      </c>
      <c r="F147" s="376">
        <f>VLOOKUP(E147,'DECK TALLY'!$B$6:$C$316,2,FALSE)</f>
        <v>33.97</v>
      </c>
      <c r="G147" s="368">
        <f t="shared" si="8"/>
        <v>33.564499999999995</v>
      </c>
      <c r="H147" s="360" t="s">
        <v>29</v>
      </c>
      <c r="I147" s="246">
        <f t="shared" si="7"/>
        <v>4032.5935000000031</v>
      </c>
      <c r="J147" s="371">
        <f t="shared" si="6"/>
        <v>17322.406499999997</v>
      </c>
      <c r="K147" s="145">
        <f t="shared" ref="K147:K211" si="9">$H$8+(I147*$E$9*$E$15/1000)</f>
        <v>179.96773095836522</v>
      </c>
      <c r="L147" s="629"/>
      <c r="M147" s="630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</row>
    <row r="148" spans="1:32" s="2" customFormat="1" ht="20.100000000000001" customHeight="1">
      <c r="A148" s="585" t="s">
        <v>115</v>
      </c>
      <c r="B148" s="586"/>
      <c r="C148" s="122">
        <v>2</v>
      </c>
      <c r="D148" s="123" t="s">
        <v>31</v>
      </c>
      <c r="E148" s="320">
        <f>'DECK TALLY'!B123</f>
        <v>118</v>
      </c>
      <c r="F148" s="376">
        <f>VLOOKUP(E148,'DECK TALLY'!$B$6:$C$316,2,FALSE)</f>
        <v>33.96</v>
      </c>
      <c r="G148" s="368">
        <f t="shared" si="8"/>
        <v>33.554500000000004</v>
      </c>
      <c r="H148" s="131" t="s">
        <v>29</v>
      </c>
      <c r="I148" s="246">
        <f t="shared" si="7"/>
        <v>4066.1480000000033</v>
      </c>
      <c r="J148" s="371">
        <f t="shared" ref="J148:J212" si="10">IF(I148="","",$L$10-I148)</f>
        <v>17288.851999999995</v>
      </c>
      <c r="K148" s="145">
        <f t="shared" si="9"/>
        <v>180.75794071504976</v>
      </c>
      <c r="L148" s="633"/>
      <c r="M148" s="634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</row>
    <row r="149" spans="1:32" s="2" customFormat="1" ht="20.100000000000001" customHeight="1">
      <c r="A149" s="585" t="s">
        <v>115</v>
      </c>
      <c r="B149" s="586"/>
      <c r="C149" s="122">
        <v>2</v>
      </c>
      <c r="D149" s="123" t="s">
        <v>31</v>
      </c>
      <c r="E149" s="320">
        <f>'DECK TALLY'!B124</f>
        <v>119</v>
      </c>
      <c r="F149" s="376">
        <f>VLOOKUP(E149,'DECK TALLY'!$B$6:$C$316,2,FALSE)</f>
        <v>32.51</v>
      </c>
      <c r="G149" s="368">
        <f t="shared" si="8"/>
        <v>32.104500000000002</v>
      </c>
      <c r="H149" s="131" t="s">
        <v>29</v>
      </c>
      <c r="I149" s="246">
        <f t="shared" si="7"/>
        <v>4098.2525000000032</v>
      </c>
      <c r="J149" s="371">
        <f t="shared" si="10"/>
        <v>17256.747499999998</v>
      </c>
      <c r="K149" s="145">
        <f t="shared" si="9"/>
        <v>181.51400291634843</v>
      </c>
      <c r="L149" s="629"/>
      <c r="M149" s="630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</row>
    <row r="150" spans="1:32" s="2" customFormat="1" ht="20.100000000000001" customHeight="1">
      <c r="A150" s="585" t="s">
        <v>115</v>
      </c>
      <c r="B150" s="586"/>
      <c r="C150" s="122">
        <v>2</v>
      </c>
      <c r="D150" s="123" t="s">
        <v>31</v>
      </c>
      <c r="E150" s="320">
        <f>'DECK TALLY'!B125</f>
        <v>120</v>
      </c>
      <c r="F150" s="376">
        <f>VLOOKUP(E150,'DECK TALLY'!$B$6:$C$316,2,FALSE)</f>
        <v>33.94</v>
      </c>
      <c r="G150" s="368">
        <f t="shared" si="8"/>
        <v>33.534499999999994</v>
      </c>
      <c r="H150" s="131" t="s">
        <v>29</v>
      </c>
      <c r="I150" s="246">
        <f t="shared" si="7"/>
        <v>4131.787000000003</v>
      </c>
      <c r="J150" s="371">
        <f t="shared" si="10"/>
        <v>17223.212999999996</v>
      </c>
      <c r="K150" s="145">
        <f t="shared" si="9"/>
        <v>182.30374167226898</v>
      </c>
      <c r="L150" s="640"/>
      <c r="M150" s="641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</row>
    <row r="151" spans="1:32" s="2" customFormat="1" ht="20.100000000000001" customHeight="1">
      <c r="A151" s="585" t="s">
        <v>115</v>
      </c>
      <c r="B151" s="586"/>
      <c r="C151" s="122">
        <v>2</v>
      </c>
      <c r="D151" s="123" t="s">
        <v>31</v>
      </c>
      <c r="E151" s="320">
        <f>'DECK TALLY'!B126</f>
        <v>121</v>
      </c>
      <c r="F151" s="376">
        <f>VLOOKUP(E151,'DECK TALLY'!$B$6:$C$316,2,FALSE)</f>
        <v>32.44</v>
      </c>
      <c r="G151" s="368">
        <f t="shared" si="8"/>
        <v>32.034499999999994</v>
      </c>
      <c r="H151" s="131" t="s">
        <v>29</v>
      </c>
      <c r="I151" s="246">
        <f t="shared" si="7"/>
        <v>4163.8215000000027</v>
      </c>
      <c r="J151" s="371">
        <f t="shared" si="10"/>
        <v>17191.178499999998</v>
      </c>
      <c r="K151" s="145">
        <f t="shared" si="9"/>
        <v>183.05815537089387</v>
      </c>
      <c r="L151" s="633"/>
      <c r="M151" s="634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</row>
    <row r="152" spans="1:32" s="2" customFormat="1" ht="20.100000000000001" customHeight="1">
      <c r="A152" s="585" t="s">
        <v>115</v>
      </c>
      <c r="B152" s="586"/>
      <c r="C152" s="122">
        <v>2</v>
      </c>
      <c r="D152" s="123" t="s">
        <v>31</v>
      </c>
      <c r="E152" s="320">
        <f>'DECK TALLY'!B127</f>
        <v>122</v>
      </c>
      <c r="F152" s="376">
        <f>VLOOKUP(E152,'DECK TALLY'!$B$6:$C$316,2,FALSE)</f>
        <v>33.950000000000003</v>
      </c>
      <c r="G152" s="368">
        <f t="shared" si="8"/>
        <v>33.544499999999999</v>
      </c>
      <c r="H152" s="131" t="s">
        <v>29</v>
      </c>
      <c r="I152" s="246">
        <f t="shared" si="7"/>
        <v>4197.3660000000027</v>
      </c>
      <c r="J152" s="371">
        <f t="shared" si="10"/>
        <v>17157.633999999998</v>
      </c>
      <c r="K152" s="145">
        <f t="shared" si="9"/>
        <v>183.84812962719639</v>
      </c>
      <c r="L152" s="629"/>
      <c r="M152" s="630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</row>
    <row r="153" spans="1:32" s="2" customFormat="1" ht="20.100000000000001" customHeight="1">
      <c r="A153" s="585" t="s">
        <v>115</v>
      </c>
      <c r="B153" s="586"/>
      <c r="C153" s="122">
        <v>2</v>
      </c>
      <c r="D153" s="123" t="s">
        <v>31</v>
      </c>
      <c r="E153" s="320">
        <f>'DECK TALLY'!B128</f>
        <v>123</v>
      </c>
      <c r="F153" s="376">
        <f>VLOOKUP(E153,'DECK TALLY'!$B$6:$C$316,2,FALSE)</f>
        <v>33.950000000000003</v>
      </c>
      <c r="G153" s="368">
        <f t="shared" si="8"/>
        <v>33.544499999999999</v>
      </c>
      <c r="H153" s="131" t="s">
        <v>29</v>
      </c>
      <c r="I153" s="246">
        <f t="shared" si="7"/>
        <v>4230.9105000000027</v>
      </c>
      <c r="J153" s="371">
        <f t="shared" si="10"/>
        <v>17124.089499999998</v>
      </c>
      <c r="K153" s="145">
        <f t="shared" si="9"/>
        <v>184.6381038834989</v>
      </c>
      <c r="L153" s="629"/>
      <c r="M153" s="630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</row>
    <row r="154" spans="1:32" s="2" customFormat="1" ht="20.100000000000001" customHeight="1" thickBot="1">
      <c r="A154" s="585" t="s">
        <v>115</v>
      </c>
      <c r="B154" s="586"/>
      <c r="C154" s="122">
        <v>2</v>
      </c>
      <c r="D154" s="123" t="s">
        <v>31</v>
      </c>
      <c r="E154" s="320">
        <f>'DECK TALLY'!B129</f>
        <v>124</v>
      </c>
      <c r="F154" s="376">
        <f>VLOOKUP(E154,'DECK TALLY'!$B$6:$C$316,2,FALSE)</f>
        <v>33.950000000000003</v>
      </c>
      <c r="G154" s="368">
        <f t="shared" si="8"/>
        <v>33.544499999999999</v>
      </c>
      <c r="H154" s="131" t="s">
        <v>29</v>
      </c>
      <c r="I154" s="246">
        <f t="shared" ref="I154:I217" si="11">IF(H154="IN",I153+G154,I153)</f>
        <v>4264.4550000000027</v>
      </c>
      <c r="J154" s="371">
        <f t="shared" si="10"/>
        <v>17090.544999999998</v>
      </c>
      <c r="K154" s="145">
        <f t="shared" si="9"/>
        <v>185.42807813980147</v>
      </c>
      <c r="L154" s="623" t="s">
        <v>363</v>
      </c>
      <c r="M154" s="624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</row>
    <row r="155" spans="1:32" s="2" customFormat="1" ht="20.100000000000001" customHeight="1">
      <c r="A155" s="585" t="s">
        <v>115</v>
      </c>
      <c r="B155" s="586"/>
      <c r="C155" s="122">
        <v>2</v>
      </c>
      <c r="D155" s="168" t="s">
        <v>31</v>
      </c>
      <c r="E155" s="320">
        <f>'DECK TALLY'!B130</f>
        <v>125</v>
      </c>
      <c r="F155" s="376">
        <f>VLOOKUP(E155,'DECK TALLY'!$B$6:$C$316,2,FALSE)</f>
        <v>33.950000000000003</v>
      </c>
      <c r="G155" s="368">
        <f t="shared" si="8"/>
        <v>33.544499999999999</v>
      </c>
      <c r="H155" s="131" t="s">
        <v>29</v>
      </c>
      <c r="I155" s="246">
        <f t="shared" si="11"/>
        <v>4297.9995000000026</v>
      </c>
      <c r="J155" s="371">
        <f t="shared" si="10"/>
        <v>17057.000499999998</v>
      </c>
      <c r="K155" s="145">
        <f t="shared" si="9"/>
        <v>186.21805239610399</v>
      </c>
      <c r="L155" s="605" t="s">
        <v>362</v>
      </c>
      <c r="M155" s="606"/>
      <c r="N155" s="579" t="s">
        <v>211</v>
      </c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</row>
    <row r="156" spans="1:32" s="2" customFormat="1" ht="20.100000000000001" customHeight="1">
      <c r="A156" s="631" t="s">
        <v>115</v>
      </c>
      <c r="B156" s="632"/>
      <c r="C156" s="316">
        <v>1</v>
      </c>
      <c r="D156" s="176" t="s">
        <v>31</v>
      </c>
      <c r="E156" s="321">
        <f>'DECK TALLY'!B131</f>
        <v>126</v>
      </c>
      <c r="F156" s="374">
        <f>VLOOKUP(E156,'DECK TALLY'!$B$6:$C$316,2,FALSE)</f>
        <v>33.950000000000003</v>
      </c>
      <c r="G156" s="375">
        <f t="shared" si="8"/>
        <v>33.544499999999999</v>
      </c>
      <c r="H156" s="177" t="s">
        <v>29</v>
      </c>
      <c r="I156" s="243">
        <f t="shared" si="11"/>
        <v>4331.5440000000026</v>
      </c>
      <c r="J156" s="370">
        <f t="shared" si="10"/>
        <v>17023.455999999998</v>
      </c>
      <c r="K156" s="178">
        <f t="shared" si="9"/>
        <v>187.0080266524065</v>
      </c>
      <c r="L156" s="636" t="s">
        <v>335</v>
      </c>
      <c r="M156" s="637"/>
      <c r="N156" s="635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</row>
    <row r="157" spans="1:32" s="2" customFormat="1" ht="20.100000000000001" customHeight="1">
      <c r="A157" s="585" t="s">
        <v>115</v>
      </c>
      <c r="B157" s="586"/>
      <c r="C157" s="122">
        <v>2</v>
      </c>
      <c r="D157" s="123" t="s">
        <v>31</v>
      </c>
      <c r="E157" s="320">
        <f>'DECK TALLY'!B132</f>
        <v>127</v>
      </c>
      <c r="F157" s="376">
        <f>VLOOKUP(E157,'DECK TALLY'!$B$6:$C$316,2,FALSE)</f>
        <v>33.94</v>
      </c>
      <c r="G157" s="368">
        <f t="shared" si="8"/>
        <v>33.534499999999994</v>
      </c>
      <c r="H157" s="131" t="s">
        <v>29</v>
      </c>
      <c r="I157" s="246">
        <f t="shared" si="11"/>
        <v>4365.0785000000024</v>
      </c>
      <c r="J157" s="371">
        <f t="shared" si="10"/>
        <v>16989.921499999997</v>
      </c>
      <c r="K157" s="145">
        <f t="shared" si="9"/>
        <v>187.79776540832705</v>
      </c>
      <c r="L157" s="204" t="s">
        <v>208</v>
      </c>
      <c r="M157" s="205">
        <f>SUM(J156-4)</f>
        <v>17019.455999999998</v>
      </c>
      <c r="N157" s="212">
        <v>17029</v>
      </c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</row>
    <row r="158" spans="1:32" s="2" customFormat="1" ht="20.100000000000001" customHeight="1" thickBot="1">
      <c r="A158" s="581" t="s">
        <v>329</v>
      </c>
      <c r="B158" s="582"/>
      <c r="C158" s="316">
        <v>1</v>
      </c>
      <c r="D158" s="203" t="s">
        <v>31</v>
      </c>
      <c r="E158" s="318" t="str">
        <f>'DECK TALLY'!F6</f>
        <v>P 1</v>
      </c>
      <c r="F158" s="372">
        <f>'DECK TALLY'!G6</f>
        <v>10.220000000000001</v>
      </c>
      <c r="G158" s="373">
        <f t="shared" si="8"/>
        <v>9.8145000000000007</v>
      </c>
      <c r="H158" s="394" t="s">
        <v>29</v>
      </c>
      <c r="I158" s="242">
        <f t="shared" si="11"/>
        <v>4374.8930000000028</v>
      </c>
      <c r="J158" s="369">
        <f t="shared" si="10"/>
        <v>16980.106999999996</v>
      </c>
      <c r="K158" s="170">
        <f t="shared" si="9"/>
        <v>188.02889725821245</v>
      </c>
      <c r="L158" s="638" t="s">
        <v>232</v>
      </c>
      <c r="M158" s="639"/>
      <c r="N158" s="251">
        <f>SUM(M157-N157)</f>
        <v>-9.544000000001688</v>
      </c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</row>
    <row r="159" spans="1:32" s="2" customFormat="1" ht="20.100000000000001" customHeight="1">
      <c r="A159" s="585" t="s">
        <v>115</v>
      </c>
      <c r="B159" s="586"/>
      <c r="C159" s="122">
        <v>2</v>
      </c>
      <c r="D159" s="123" t="s">
        <v>31</v>
      </c>
      <c r="E159" s="320">
        <f>'DECK TALLY'!B133</f>
        <v>128</v>
      </c>
      <c r="F159" s="376">
        <f>VLOOKUP(E159,'DECK TALLY'!$B$6:$C$316,2,FALSE)</f>
        <v>33.94</v>
      </c>
      <c r="G159" s="368">
        <f t="shared" si="8"/>
        <v>33.534499999999994</v>
      </c>
      <c r="H159" s="131" t="s">
        <v>29</v>
      </c>
      <c r="I159" s="246">
        <f t="shared" si="11"/>
        <v>4408.4275000000025</v>
      </c>
      <c r="J159" s="371">
        <f t="shared" si="10"/>
        <v>16946.572499999998</v>
      </c>
      <c r="K159" s="145">
        <f t="shared" si="9"/>
        <v>188.81863601413301</v>
      </c>
      <c r="L159" s="644"/>
      <c r="M159" s="645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</row>
    <row r="160" spans="1:32" s="2" customFormat="1" ht="20.100000000000001" customHeight="1">
      <c r="A160" s="585" t="s">
        <v>115</v>
      </c>
      <c r="B160" s="586"/>
      <c r="C160" s="122">
        <v>2</v>
      </c>
      <c r="D160" s="123" t="s">
        <v>31</v>
      </c>
      <c r="E160" s="320">
        <f>'DECK TALLY'!B134</f>
        <v>129</v>
      </c>
      <c r="F160" s="376">
        <f>VLOOKUP(E160,'DECK TALLY'!$B$6:$C$316,2,FALSE)</f>
        <v>33.82</v>
      </c>
      <c r="G160" s="377">
        <f t="shared" si="8"/>
        <v>33.414500000000004</v>
      </c>
      <c r="H160" s="131" t="s">
        <v>29</v>
      </c>
      <c r="I160" s="246">
        <f t="shared" si="11"/>
        <v>4441.8420000000024</v>
      </c>
      <c r="J160" s="371">
        <f t="shared" si="10"/>
        <v>16913.157999999996</v>
      </c>
      <c r="K160" s="145">
        <f t="shared" si="9"/>
        <v>189.60554876546988</v>
      </c>
      <c r="L160" s="629"/>
      <c r="M160" s="630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</row>
    <row r="161" spans="1:32" s="2" customFormat="1" ht="20.100000000000001" customHeight="1">
      <c r="A161" s="585" t="s">
        <v>115</v>
      </c>
      <c r="B161" s="586"/>
      <c r="C161" s="122">
        <v>2</v>
      </c>
      <c r="D161" s="123" t="s">
        <v>31</v>
      </c>
      <c r="E161" s="320">
        <f>SUM('DECK TALLY'!B135)</f>
        <v>130</v>
      </c>
      <c r="F161" s="376">
        <f>VLOOKUP(E161,'DECK TALLY'!$B$6:$C$316,2,FALSE)</f>
        <v>32</v>
      </c>
      <c r="G161" s="377">
        <f t="shared" si="8"/>
        <v>31.5945</v>
      </c>
      <c r="H161" s="131" t="s">
        <v>29</v>
      </c>
      <c r="I161" s="246">
        <f t="shared" si="11"/>
        <v>4473.4365000000025</v>
      </c>
      <c r="J161" s="371">
        <f t="shared" si="10"/>
        <v>16881.563499999997</v>
      </c>
      <c r="K161" s="145">
        <f t="shared" si="9"/>
        <v>190.34960044728808</v>
      </c>
      <c r="L161" s="629"/>
      <c r="M161" s="630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</row>
    <row r="162" spans="1:32" s="2" customFormat="1" ht="20.100000000000001" customHeight="1">
      <c r="A162" s="585" t="s">
        <v>115</v>
      </c>
      <c r="B162" s="586"/>
      <c r="C162" s="122">
        <v>2</v>
      </c>
      <c r="D162" s="123" t="s">
        <v>31</v>
      </c>
      <c r="E162" s="320">
        <f>SUM('DECK TALLY'!B136)</f>
        <v>131</v>
      </c>
      <c r="F162" s="376">
        <f>VLOOKUP(E162,'DECK TALLY'!$B$6:$C$316,2,FALSE)</f>
        <v>33.96</v>
      </c>
      <c r="G162" s="377">
        <f t="shared" ref="G162:G225" si="12">F162-($H$12/12)</f>
        <v>33.554500000000004</v>
      </c>
      <c r="H162" s="131" t="s">
        <v>29</v>
      </c>
      <c r="I162" s="246">
        <f t="shared" si="11"/>
        <v>4506.9910000000027</v>
      </c>
      <c r="J162" s="371">
        <f t="shared" si="10"/>
        <v>16848.008999999998</v>
      </c>
      <c r="K162" s="145">
        <f t="shared" si="9"/>
        <v>191.13981020397256</v>
      </c>
      <c r="L162" s="629"/>
      <c r="M162" s="630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</row>
    <row r="163" spans="1:32" s="2" customFormat="1" ht="20.100000000000001" customHeight="1">
      <c r="A163" s="585" t="s">
        <v>115</v>
      </c>
      <c r="B163" s="586"/>
      <c r="C163" s="122">
        <v>2</v>
      </c>
      <c r="D163" s="123" t="s">
        <v>31</v>
      </c>
      <c r="E163" s="320">
        <f>'DECK TALLY'!B137</f>
        <v>132</v>
      </c>
      <c r="F163" s="376">
        <f>VLOOKUP(E163,'DECK TALLY'!$B$6:$C$316,2,FALSE)</f>
        <v>33.96</v>
      </c>
      <c r="G163" s="377">
        <f t="shared" si="12"/>
        <v>33.554500000000004</v>
      </c>
      <c r="H163" s="131" t="s">
        <v>29</v>
      </c>
      <c r="I163" s="246">
        <f t="shared" si="11"/>
        <v>4540.5455000000029</v>
      </c>
      <c r="J163" s="371">
        <f t="shared" si="10"/>
        <v>16814.454499999996</v>
      </c>
      <c r="K163" s="145">
        <f t="shared" si="9"/>
        <v>191.93001996065703</v>
      </c>
      <c r="L163" s="629"/>
      <c r="M163" s="630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</row>
    <row r="164" spans="1:32" s="2" customFormat="1" ht="20.100000000000001" customHeight="1">
      <c r="A164" s="585" t="s">
        <v>115</v>
      </c>
      <c r="B164" s="586"/>
      <c r="C164" s="122">
        <v>2</v>
      </c>
      <c r="D164" s="123" t="s">
        <v>31</v>
      </c>
      <c r="E164" s="320">
        <f>SUM('DECK TALLY'!B138)</f>
        <v>133</v>
      </c>
      <c r="F164" s="376">
        <f>VLOOKUP(E164,'DECK TALLY'!$B$6:$C$316,2,FALSE)</f>
        <v>33.96</v>
      </c>
      <c r="G164" s="377">
        <f t="shared" si="12"/>
        <v>33.554500000000004</v>
      </c>
      <c r="H164" s="131" t="s">
        <v>29</v>
      </c>
      <c r="I164" s="246">
        <f t="shared" si="11"/>
        <v>4574.1000000000031</v>
      </c>
      <c r="J164" s="371">
        <f t="shared" si="10"/>
        <v>16780.899999999998</v>
      </c>
      <c r="K164" s="145">
        <f t="shared" si="9"/>
        <v>192.72022971734157</v>
      </c>
      <c r="L164" s="629"/>
      <c r="M164" s="630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</row>
    <row r="165" spans="1:32" s="2" customFormat="1" ht="20.100000000000001" customHeight="1">
      <c r="A165" s="585" t="s">
        <v>115</v>
      </c>
      <c r="B165" s="586"/>
      <c r="C165" s="122">
        <v>2</v>
      </c>
      <c r="D165" s="123" t="s">
        <v>31</v>
      </c>
      <c r="E165" s="320">
        <f>SUM('DECK TALLY'!B139)</f>
        <v>134</v>
      </c>
      <c r="F165" s="376">
        <f>VLOOKUP(E165,'DECK TALLY'!$B$6:$C$316,2,FALSE)</f>
        <v>33.96</v>
      </c>
      <c r="G165" s="377">
        <f t="shared" si="12"/>
        <v>33.554500000000004</v>
      </c>
      <c r="H165" s="131" t="s">
        <v>29</v>
      </c>
      <c r="I165" s="246">
        <f t="shared" si="11"/>
        <v>4607.6545000000033</v>
      </c>
      <c r="J165" s="371">
        <f t="shared" si="10"/>
        <v>16747.345499999996</v>
      </c>
      <c r="K165" s="145">
        <f t="shared" si="9"/>
        <v>193.51043947402604</v>
      </c>
      <c r="L165" s="629"/>
      <c r="M165" s="630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</row>
    <row r="166" spans="1:32" s="2" customFormat="1" ht="20.100000000000001" customHeight="1">
      <c r="A166" s="642" t="s">
        <v>115</v>
      </c>
      <c r="B166" s="643"/>
      <c r="C166" s="122">
        <v>2</v>
      </c>
      <c r="D166" s="123" t="s">
        <v>31</v>
      </c>
      <c r="E166" s="320">
        <f>'DECK TALLY'!B140</f>
        <v>135</v>
      </c>
      <c r="F166" s="376">
        <f>VLOOKUP(E166,'DECK TALLY'!$B$6:$C$316,2,FALSE)</f>
        <v>33.950000000000003</v>
      </c>
      <c r="G166" s="377">
        <f t="shared" si="12"/>
        <v>33.544499999999999</v>
      </c>
      <c r="H166" s="131" t="s">
        <v>29</v>
      </c>
      <c r="I166" s="246">
        <f t="shared" si="11"/>
        <v>4641.1990000000033</v>
      </c>
      <c r="J166" s="371">
        <f t="shared" si="10"/>
        <v>16713.800999999996</v>
      </c>
      <c r="K166" s="145">
        <f t="shared" si="9"/>
        <v>194.30041373032859</v>
      </c>
      <c r="L166" s="629"/>
      <c r="M166" s="630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</row>
    <row r="167" spans="1:32" s="2" customFormat="1" ht="20.100000000000001" customHeight="1">
      <c r="A167" s="585" t="s">
        <v>115</v>
      </c>
      <c r="B167" s="586"/>
      <c r="C167" s="122">
        <v>2</v>
      </c>
      <c r="D167" s="168" t="s">
        <v>31</v>
      </c>
      <c r="E167" s="320">
        <f>SUM('DECK TALLY'!B141)</f>
        <v>136</v>
      </c>
      <c r="F167" s="376">
        <f>VLOOKUP(E167,'DECK TALLY'!$B$6:$C$316,2,FALSE)</f>
        <v>33.53</v>
      </c>
      <c r="G167" s="377">
        <f t="shared" si="12"/>
        <v>33.124499999999998</v>
      </c>
      <c r="H167" s="131" t="s">
        <v>29</v>
      </c>
      <c r="I167" s="246">
        <f t="shared" si="11"/>
        <v>4674.3235000000032</v>
      </c>
      <c r="J167" s="371">
        <f t="shared" si="10"/>
        <v>16680.676499999998</v>
      </c>
      <c r="K167" s="145">
        <f t="shared" si="9"/>
        <v>195.08049697058834</v>
      </c>
      <c r="L167" s="629"/>
      <c r="M167" s="630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</row>
    <row r="168" spans="1:32" s="2" customFormat="1" ht="20.100000000000001" customHeight="1">
      <c r="A168" s="585" t="s">
        <v>115</v>
      </c>
      <c r="B168" s="586"/>
      <c r="C168" s="122">
        <v>2</v>
      </c>
      <c r="D168" s="123" t="s">
        <v>31</v>
      </c>
      <c r="E168" s="320">
        <f>SUM('DECK TALLY'!B142)</f>
        <v>137</v>
      </c>
      <c r="F168" s="376">
        <f>VLOOKUP(E168,'DECK TALLY'!$B$6:$C$316,2,FALSE)</f>
        <v>33.96</v>
      </c>
      <c r="G168" s="377">
        <f t="shared" si="12"/>
        <v>33.554500000000004</v>
      </c>
      <c r="H168" s="131" t="s">
        <v>29</v>
      </c>
      <c r="I168" s="246">
        <f t="shared" si="11"/>
        <v>4707.8780000000033</v>
      </c>
      <c r="J168" s="371">
        <f t="shared" si="10"/>
        <v>16647.121999999996</v>
      </c>
      <c r="K168" s="145">
        <f t="shared" si="9"/>
        <v>195.87070672727282</v>
      </c>
      <c r="L168" s="629"/>
      <c r="M168" s="630"/>
      <c r="N168" s="29"/>
      <c r="O168" s="29"/>
      <c r="P168" s="29"/>
      <c r="Q168" s="29"/>
      <c r="R168" s="29"/>
      <c r="S168" s="353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</row>
    <row r="169" spans="1:32" s="2" customFormat="1" ht="20.100000000000001" customHeight="1">
      <c r="A169" s="585" t="s">
        <v>115</v>
      </c>
      <c r="B169" s="586"/>
      <c r="C169" s="122">
        <v>2</v>
      </c>
      <c r="D169" s="123" t="s">
        <v>31</v>
      </c>
      <c r="E169" s="320">
        <f>'DECK TALLY'!B143</f>
        <v>138</v>
      </c>
      <c r="F169" s="376">
        <f>VLOOKUP(E169,'DECK TALLY'!$B$6:$C$316,2,FALSE)</f>
        <v>33.96</v>
      </c>
      <c r="G169" s="377">
        <f t="shared" si="12"/>
        <v>33.554500000000004</v>
      </c>
      <c r="H169" s="131" t="s">
        <v>29</v>
      </c>
      <c r="I169" s="246">
        <f t="shared" si="11"/>
        <v>4741.4325000000035</v>
      </c>
      <c r="J169" s="371">
        <f t="shared" si="10"/>
        <v>16613.567499999997</v>
      </c>
      <c r="K169" s="145">
        <f t="shared" si="9"/>
        <v>196.66091648395729</v>
      </c>
      <c r="L169" s="629"/>
      <c r="M169" s="630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</row>
    <row r="170" spans="1:32" s="2" customFormat="1" ht="20.100000000000001" customHeight="1">
      <c r="A170" s="585" t="s">
        <v>115</v>
      </c>
      <c r="B170" s="586"/>
      <c r="C170" s="122">
        <v>2</v>
      </c>
      <c r="D170" s="123" t="s">
        <v>31</v>
      </c>
      <c r="E170" s="320">
        <f>SUM('DECK TALLY'!B144)</f>
        <v>139</v>
      </c>
      <c r="F170" s="376">
        <f>VLOOKUP(E170,'DECK TALLY'!$B$6:$C$316,2,FALSE)</f>
        <v>33.96</v>
      </c>
      <c r="G170" s="377">
        <f t="shared" si="12"/>
        <v>33.554500000000004</v>
      </c>
      <c r="H170" s="131" t="s">
        <v>29</v>
      </c>
      <c r="I170" s="246">
        <f t="shared" si="11"/>
        <v>4774.9870000000037</v>
      </c>
      <c r="J170" s="371">
        <f t="shared" si="10"/>
        <v>16580.012999999995</v>
      </c>
      <c r="K170" s="145">
        <f t="shared" si="9"/>
        <v>197.45112624064183</v>
      </c>
      <c r="L170" s="629"/>
      <c r="M170" s="630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</row>
    <row r="171" spans="1:32" s="2" customFormat="1" ht="20.100000000000001" customHeight="1">
      <c r="A171" s="585" t="s">
        <v>115</v>
      </c>
      <c r="B171" s="586"/>
      <c r="C171" s="122">
        <v>2</v>
      </c>
      <c r="D171" s="123" t="s">
        <v>31</v>
      </c>
      <c r="E171" s="320">
        <f>SUM('DECK TALLY'!B145)</f>
        <v>140</v>
      </c>
      <c r="F171" s="376">
        <f>VLOOKUP(E171,'DECK TALLY'!$B$6:$C$316,2,FALSE)</f>
        <v>33.96</v>
      </c>
      <c r="G171" s="377">
        <f t="shared" si="12"/>
        <v>33.554500000000004</v>
      </c>
      <c r="H171" s="131" t="s">
        <v>29</v>
      </c>
      <c r="I171" s="246">
        <f t="shared" si="11"/>
        <v>4808.5415000000039</v>
      </c>
      <c r="J171" s="371">
        <f t="shared" si="10"/>
        <v>16546.458499999997</v>
      </c>
      <c r="K171" s="145">
        <f t="shared" si="9"/>
        <v>198.2413359973263</v>
      </c>
      <c r="L171" s="629"/>
      <c r="M171" s="630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</row>
    <row r="172" spans="1:32" s="2" customFormat="1" ht="20.100000000000001" customHeight="1">
      <c r="A172" s="585" t="s">
        <v>115</v>
      </c>
      <c r="B172" s="586"/>
      <c r="C172" s="122">
        <v>2</v>
      </c>
      <c r="D172" s="123" t="s">
        <v>31</v>
      </c>
      <c r="E172" s="320">
        <f>'DECK TALLY'!B146</f>
        <v>141</v>
      </c>
      <c r="F172" s="376">
        <f>VLOOKUP(E172,'DECK TALLY'!$B$6:$C$316,2,FALSE)</f>
        <v>33.56</v>
      </c>
      <c r="G172" s="377">
        <f t="shared" si="12"/>
        <v>33.154499999999999</v>
      </c>
      <c r="H172" s="131" t="s">
        <v>29</v>
      </c>
      <c r="I172" s="246">
        <f t="shared" si="11"/>
        <v>4841.6960000000036</v>
      </c>
      <c r="J172" s="371">
        <f t="shared" si="10"/>
        <v>16513.303999999996</v>
      </c>
      <c r="K172" s="145">
        <f t="shared" si="9"/>
        <v>199.02212573873192</v>
      </c>
      <c r="L172" s="629"/>
      <c r="M172" s="630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</row>
    <row r="173" spans="1:32" s="2" customFormat="1" ht="20.100000000000001" customHeight="1">
      <c r="A173" s="585" t="s">
        <v>115</v>
      </c>
      <c r="B173" s="586"/>
      <c r="C173" s="122">
        <v>2</v>
      </c>
      <c r="D173" s="123" t="s">
        <v>31</v>
      </c>
      <c r="E173" s="320">
        <f>SUM('DECK TALLY'!B147)</f>
        <v>142</v>
      </c>
      <c r="F173" s="376">
        <f>VLOOKUP(E173,'DECK TALLY'!$B$6:$C$316,2,FALSE)</f>
        <v>33.549999999999997</v>
      </c>
      <c r="G173" s="377">
        <f t="shared" si="12"/>
        <v>33.144499999999994</v>
      </c>
      <c r="H173" s="131" t="s">
        <v>29</v>
      </c>
      <c r="I173" s="246">
        <f t="shared" si="11"/>
        <v>4874.8405000000039</v>
      </c>
      <c r="J173" s="371">
        <f t="shared" si="10"/>
        <v>16480.159499999994</v>
      </c>
      <c r="K173" s="145">
        <f t="shared" si="9"/>
        <v>199.80267997975565</v>
      </c>
      <c r="L173" s="629"/>
      <c r="M173" s="630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</row>
    <row r="174" spans="1:32" s="2" customFormat="1" ht="20.100000000000001" customHeight="1">
      <c r="A174" s="585" t="s">
        <v>115</v>
      </c>
      <c r="B174" s="586"/>
      <c r="C174" s="122">
        <v>2</v>
      </c>
      <c r="D174" s="123" t="s">
        <v>31</v>
      </c>
      <c r="E174" s="320">
        <f>SUM('DECK TALLY'!B148)</f>
        <v>143</v>
      </c>
      <c r="F174" s="376">
        <f>VLOOKUP(E174,'DECK TALLY'!$B$6:$C$316,2,FALSE)</f>
        <v>33.9</v>
      </c>
      <c r="G174" s="377">
        <f t="shared" si="12"/>
        <v>33.494500000000002</v>
      </c>
      <c r="H174" s="131" t="s">
        <v>29</v>
      </c>
      <c r="I174" s="246">
        <f t="shared" si="11"/>
        <v>4908.3350000000037</v>
      </c>
      <c r="J174" s="371">
        <f t="shared" si="10"/>
        <v>16446.664999999997</v>
      </c>
      <c r="K174" s="145">
        <f t="shared" si="9"/>
        <v>200.59147673414833</v>
      </c>
      <c r="L174" s="629"/>
      <c r="M174" s="630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</row>
    <row r="175" spans="1:32" s="2" customFormat="1" ht="20.100000000000001" customHeight="1">
      <c r="A175" s="585" t="s">
        <v>115</v>
      </c>
      <c r="B175" s="586"/>
      <c r="C175" s="122">
        <v>2</v>
      </c>
      <c r="D175" s="123" t="s">
        <v>31</v>
      </c>
      <c r="E175" s="320">
        <f>'DECK TALLY'!B149</f>
        <v>144</v>
      </c>
      <c r="F175" s="376">
        <f>VLOOKUP(E175,'DECK TALLY'!$B$6:$C$316,2,FALSE)</f>
        <v>33.64</v>
      </c>
      <c r="G175" s="377">
        <f t="shared" si="12"/>
        <v>33.234499999999997</v>
      </c>
      <c r="H175" s="131" t="s">
        <v>29</v>
      </c>
      <c r="I175" s="246">
        <f t="shared" si="11"/>
        <v>4941.5695000000032</v>
      </c>
      <c r="J175" s="371">
        <f t="shared" si="10"/>
        <v>16413.430499999995</v>
      </c>
      <c r="K175" s="145">
        <f t="shared" si="9"/>
        <v>201.37415047860969</v>
      </c>
      <c r="L175" s="629"/>
      <c r="M175" s="630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</row>
    <row r="176" spans="1:32" s="2" customFormat="1" ht="20.100000000000001" customHeight="1">
      <c r="A176" s="585" t="s">
        <v>115</v>
      </c>
      <c r="B176" s="586"/>
      <c r="C176" s="122">
        <v>2</v>
      </c>
      <c r="D176" s="123" t="s">
        <v>31</v>
      </c>
      <c r="E176" s="320">
        <f>SUM('DECK TALLY'!B150)</f>
        <v>145</v>
      </c>
      <c r="F176" s="376">
        <f>VLOOKUP(E176,'DECK TALLY'!$B$6:$C$316,2,FALSE)</f>
        <v>33.380000000000003</v>
      </c>
      <c r="G176" s="377">
        <f t="shared" si="12"/>
        <v>32.974500000000006</v>
      </c>
      <c r="H176" s="131" t="s">
        <v>29</v>
      </c>
      <c r="I176" s="246">
        <f t="shared" si="11"/>
        <v>4974.5440000000035</v>
      </c>
      <c r="J176" s="371">
        <f t="shared" si="10"/>
        <v>16380.455999999996</v>
      </c>
      <c r="K176" s="145">
        <f t="shared" si="9"/>
        <v>202.15070121313988</v>
      </c>
      <c r="L176" s="629"/>
      <c r="M176" s="630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</row>
    <row r="177" spans="1:32" s="2" customFormat="1" ht="20.100000000000001" customHeight="1">
      <c r="A177" s="585" t="s">
        <v>115</v>
      </c>
      <c r="B177" s="586"/>
      <c r="C177" s="122">
        <v>2</v>
      </c>
      <c r="D177" s="123" t="s">
        <v>31</v>
      </c>
      <c r="E177" s="320">
        <f>SUM('DECK TALLY'!B151)</f>
        <v>146</v>
      </c>
      <c r="F177" s="376">
        <f>VLOOKUP(E177,'DECK TALLY'!$B$6:$C$316,2,FALSE)</f>
        <v>33.94</v>
      </c>
      <c r="G177" s="377">
        <f t="shared" si="12"/>
        <v>33.534499999999994</v>
      </c>
      <c r="H177" s="131" t="s">
        <v>29</v>
      </c>
      <c r="I177" s="246">
        <f t="shared" si="11"/>
        <v>5008.0785000000033</v>
      </c>
      <c r="J177" s="371">
        <f t="shared" si="10"/>
        <v>16346.921499999997</v>
      </c>
      <c r="K177" s="145">
        <f t="shared" si="9"/>
        <v>202.94043996906044</v>
      </c>
      <c r="L177" s="629"/>
      <c r="M177" s="630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</row>
    <row r="178" spans="1:32" s="2" customFormat="1" ht="20.100000000000001" customHeight="1">
      <c r="A178" s="585" t="s">
        <v>115</v>
      </c>
      <c r="B178" s="586"/>
      <c r="C178" s="122">
        <v>2</v>
      </c>
      <c r="D178" s="123" t="s">
        <v>31</v>
      </c>
      <c r="E178" s="320">
        <f>'DECK TALLY'!B152</f>
        <v>147</v>
      </c>
      <c r="F178" s="376">
        <f>VLOOKUP(E178,'DECK TALLY'!$B$6:$C$316,2,FALSE)</f>
        <v>33.75</v>
      </c>
      <c r="G178" s="377">
        <f t="shared" si="12"/>
        <v>33.344499999999996</v>
      </c>
      <c r="H178" s="131" t="s">
        <v>29</v>
      </c>
      <c r="I178" s="246">
        <f t="shared" si="11"/>
        <v>5041.4230000000034</v>
      </c>
      <c r="J178" s="371">
        <f t="shared" si="10"/>
        <v>16313.576999999997</v>
      </c>
      <c r="K178" s="145">
        <f t="shared" si="9"/>
        <v>203.72570421772355</v>
      </c>
      <c r="L178" s="629"/>
      <c r="M178" s="630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</row>
    <row r="179" spans="1:32" s="2" customFormat="1" ht="20.100000000000001" customHeight="1">
      <c r="A179" s="585" t="s">
        <v>115</v>
      </c>
      <c r="B179" s="586"/>
      <c r="C179" s="122">
        <v>2</v>
      </c>
      <c r="D179" s="123" t="s">
        <v>31</v>
      </c>
      <c r="E179" s="320">
        <f>SUM('DECK TALLY'!B153)</f>
        <v>148</v>
      </c>
      <c r="F179" s="376">
        <f>VLOOKUP(E179,'DECK TALLY'!$B$6:$C$316,2,FALSE)</f>
        <v>33.94</v>
      </c>
      <c r="G179" s="377">
        <f t="shared" si="12"/>
        <v>33.534499999999994</v>
      </c>
      <c r="H179" s="131" t="s">
        <v>29</v>
      </c>
      <c r="I179" s="246">
        <f t="shared" si="11"/>
        <v>5074.9575000000032</v>
      </c>
      <c r="J179" s="371">
        <f t="shared" si="10"/>
        <v>16280.042499999996</v>
      </c>
      <c r="K179" s="145">
        <f t="shared" si="9"/>
        <v>204.5154429736441</v>
      </c>
      <c r="L179" s="629"/>
      <c r="M179" s="630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</row>
    <row r="180" spans="1:32" s="2" customFormat="1" ht="20.100000000000001" customHeight="1">
      <c r="A180" s="585" t="s">
        <v>115</v>
      </c>
      <c r="B180" s="586"/>
      <c r="C180" s="122">
        <v>2</v>
      </c>
      <c r="D180" s="123" t="s">
        <v>31</v>
      </c>
      <c r="E180" s="320">
        <f>SUM('DECK TALLY'!B154)</f>
        <v>149</v>
      </c>
      <c r="F180" s="376">
        <f>VLOOKUP(E180,'DECK TALLY'!$B$6:$C$316,2,FALSE)</f>
        <v>33.94</v>
      </c>
      <c r="G180" s="377">
        <f t="shared" si="12"/>
        <v>33.534499999999994</v>
      </c>
      <c r="H180" s="131" t="s">
        <v>29</v>
      </c>
      <c r="I180" s="246">
        <f t="shared" si="11"/>
        <v>5108.4920000000029</v>
      </c>
      <c r="J180" s="371">
        <f t="shared" si="10"/>
        <v>16246.507999999998</v>
      </c>
      <c r="K180" s="145">
        <f t="shared" si="9"/>
        <v>205.30518172956465</v>
      </c>
      <c r="L180" s="629"/>
      <c r="M180" s="630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</row>
    <row r="181" spans="1:32" s="2" customFormat="1" ht="20.100000000000001" customHeight="1">
      <c r="A181" s="585" t="s">
        <v>115</v>
      </c>
      <c r="B181" s="586"/>
      <c r="C181" s="122">
        <v>2</v>
      </c>
      <c r="D181" s="123" t="s">
        <v>31</v>
      </c>
      <c r="E181" s="320">
        <f>'DECK TALLY'!B155</f>
        <v>150</v>
      </c>
      <c r="F181" s="376">
        <f>VLOOKUP(E181,'DECK TALLY'!$B$6:$C$316,2,FALSE)</f>
        <v>33.81</v>
      </c>
      <c r="G181" s="377">
        <f t="shared" si="12"/>
        <v>33.404499999999999</v>
      </c>
      <c r="H181" s="131" t="s">
        <v>29</v>
      </c>
      <c r="I181" s="246">
        <f t="shared" si="11"/>
        <v>5141.8965000000026</v>
      </c>
      <c r="J181" s="371">
        <f t="shared" si="10"/>
        <v>16213.103499999997</v>
      </c>
      <c r="K181" s="145">
        <f t="shared" si="9"/>
        <v>206.09185898051953</v>
      </c>
      <c r="L181" s="629"/>
      <c r="M181" s="630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</row>
    <row r="182" spans="1:32" s="2" customFormat="1" ht="20.100000000000001" customHeight="1">
      <c r="A182" s="585" t="s">
        <v>115</v>
      </c>
      <c r="B182" s="586"/>
      <c r="C182" s="122">
        <v>2</v>
      </c>
      <c r="D182" s="123" t="s">
        <v>31</v>
      </c>
      <c r="E182" s="320">
        <f>SUM('DECK TALLY'!B156)</f>
        <v>151</v>
      </c>
      <c r="F182" s="376">
        <f>VLOOKUP(E182,'DECK TALLY'!$B$6:$C$316,2,FALSE)</f>
        <v>33.83</v>
      </c>
      <c r="G182" s="377">
        <f t="shared" si="12"/>
        <v>33.424499999999995</v>
      </c>
      <c r="H182" s="131" t="s">
        <v>29</v>
      </c>
      <c r="I182" s="246">
        <f t="shared" si="11"/>
        <v>5175.3210000000026</v>
      </c>
      <c r="J182" s="371">
        <f t="shared" si="10"/>
        <v>16179.678999999996</v>
      </c>
      <c r="K182" s="145">
        <f t="shared" si="9"/>
        <v>206.87900723223839</v>
      </c>
      <c r="L182" s="629"/>
      <c r="M182" s="630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</row>
    <row r="183" spans="1:32" s="2" customFormat="1" ht="20.100000000000001" customHeight="1">
      <c r="A183" s="585" t="s">
        <v>115</v>
      </c>
      <c r="B183" s="586"/>
      <c r="C183" s="122">
        <v>2</v>
      </c>
      <c r="D183" s="123" t="s">
        <v>31</v>
      </c>
      <c r="E183" s="320">
        <f>SUM('DECK TALLY'!B157)</f>
        <v>152</v>
      </c>
      <c r="F183" s="376">
        <f>VLOOKUP(E183,'DECK TALLY'!$B$6:$C$316,2,FALSE)</f>
        <v>32.03</v>
      </c>
      <c r="G183" s="377">
        <f t="shared" si="12"/>
        <v>31.624500000000001</v>
      </c>
      <c r="H183" s="131" t="s">
        <v>29</v>
      </c>
      <c r="I183" s="246">
        <f t="shared" si="11"/>
        <v>5206.9455000000025</v>
      </c>
      <c r="J183" s="371">
        <f t="shared" si="10"/>
        <v>16148.054499999998</v>
      </c>
      <c r="K183" s="145">
        <f t="shared" si="9"/>
        <v>207.62376541520251</v>
      </c>
      <c r="L183" s="629"/>
      <c r="M183" s="630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</row>
    <row r="184" spans="1:32" s="2" customFormat="1" ht="20.100000000000001" customHeight="1">
      <c r="A184" s="585" t="s">
        <v>115</v>
      </c>
      <c r="B184" s="586"/>
      <c r="C184" s="122">
        <v>2</v>
      </c>
      <c r="D184" s="123" t="s">
        <v>31</v>
      </c>
      <c r="E184" s="320">
        <f>'DECK TALLY'!B158</f>
        <v>153</v>
      </c>
      <c r="F184" s="376">
        <f>VLOOKUP(E184,'DECK TALLY'!$B$6:$C$316,2,FALSE)</f>
        <v>33.94</v>
      </c>
      <c r="G184" s="377">
        <f t="shared" si="12"/>
        <v>33.534499999999994</v>
      </c>
      <c r="H184" s="131" t="s">
        <v>29</v>
      </c>
      <c r="I184" s="246">
        <f t="shared" si="11"/>
        <v>5240.4800000000023</v>
      </c>
      <c r="J184" s="371">
        <f t="shared" si="10"/>
        <v>16114.519999999997</v>
      </c>
      <c r="K184" s="145">
        <f t="shared" si="9"/>
        <v>208.41350417112307</v>
      </c>
      <c r="L184" s="629"/>
      <c r="M184" s="630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</row>
    <row r="185" spans="1:32" s="2" customFormat="1" ht="20.100000000000001" customHeight="1">
      <c r="A185" s="585" t="s">
        <v>115</v>
      </c>
      <c r="B185" s="586"/>
      <c r="C185" s="122">
        <v>2</v>
      </c>
      <c r="D185" s="123" t="s">
        <v>31</v>
      </c>
      <c r="E185" s="320">
        <f>SUM('DECK TALLY'!B159)</f>
        <v>154</v>
      </c>
      <c r="F185" s="376">
        <f>VLOOKUP(E185,'DECK TALLY'!$B$6:$C$316,2,FALSE)</f>
        <v>33.94</v>
      </c>
      <c r="G185" s="377">
        <f t="shared" si="12"/>
        <v>33.534499999999994</v>
      </c>
      <c r="H185" s="131" t="s">
        <v>29</v>
      </c>
      <c r="I185" s="246">
        <f t="shared" si="11"/>
        <v>5274.014500000002</v>
      </c>
      <c r="J185" s="371">
        <f t="shared" si="10"/>
        <v>16080.985499999999</v>
      </c>
      <c r="K185" s="145">
        <f t="shared" si="9"/>
        <v>209.20324292704362</v>
      </c>
      <c r="L185" s="629"/>
      <c r="M185" s="630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</row>
    <row r="186" spans="1:32" s="2" customFormat="1" ht="20.100000000000001" customHeight="1" thickBot="1">
      <c r="A186" s="585" t="s">
        <v>115</v>
      </c>
      <c r="B186" s="586"/>
      <c r="C186" s="122">
        <v>2</v>
      </c>
      <c r="D186" s="123" t="s">
        <v>31</v>
      </c>
      <c r="E186" s="320">
        <f>SUM('DECK TALLY'!B160)</f>
        <v>155</v>
      </c>
      <c r="F186" s="376">
        <f>VLOOKUP(E186,'DECK TALLY'!$B$6:$C$316,2,FALSE)</f>
        <v>33.6</v>
      </c>
      <c r="G186" s="377">
        <f t="shared" si="12"/>
        <v>33.194500000000005</v>
      </c>
      <c r="H186" s="131" t="s">
        <v>29</v>
      </c>
      <c r="I186" s="246">
        <f t="shared" si="11"/>
        <v>5307.2090000000017</v>
      </c>
      <c r="J186" s="371">
        <f t="shared" si="10"/>
        <v>16047.790999999997</v>
      </c>
      <c r="K186" s="145">
        <f t="shared" si="9"/>
        <v>209.98497466997713</v>
      </c>
      <c r="L186" s="623" t="s">
        <v>371</v>
      </c>
      <c r="M186" s="624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</row>
    <row r="187" spans="1:32" s="2" customFormat="1" ht="20.100000000000001" customHeight="1">
      <c r="A187" s="581" t="s">
        <v>206</v>
      </c>
      <c r="B187" s="582"/>
      <c r="C187" s="316">
        <v>1</v>
      </c>
      <c r="D187" s="203" t="s">
        <v>31</v>
      </c>
      <c r="E187" s="318" t="str">
        <f>'DECK TALLY'!F9</f>
        <v>P 4</v>
      </c>
      <c r="F187" s="372">
        <f>'DECK TALLY'!G9</f>
        <v>20.239999999999998</v>
      </c>
      <c r="G187" s="373">
        <f t="shared" si="12"/>
        <v>19.834499999999998</v>
      </c>
      <c r="H187" s="394" t="s">
        <v>29</v>
      </c>
      <c r="I187" s="242">
        <f t="shared" si="11"/>
        <v>5327.0435000000016</v>
      </c>
      <c r="J187" s="369">
        <f t="shared" si="10"/>
        <v>16027.956499999998</v>
      </c>
      <c r="K187" s="170">
        <f t="shared" si="9"/>
        <v>210.45207790259747</v>
      </c>
      <c r="L187" s="605" t="s">
        <v>370</v>
      </c>
      <c r="M187" s="606"/>
      <c r="N187" s="579" t="s">
        <v>211</v>
      </c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</row>
    <row r="188" spans="1:32" s="2" customFormat="1" ht="20.100000000000001" customHeight="1">
      <c r="A188" s="585" t="s">
        <v>115</v>
      </c>
      <c r="B188" s="586"/>
      <c r="C188" s="122">
        <v>2</v>
      </c>
      <c r="D188" s="123" t="s">
        <v>31</v>
      </c>
      <c r="E188" s="320">
        <f>SUM('DECK TALLY'!B161)</f>
        <v>156</v>
      </c>
      <c r="F188" s="376">
        <f>VLOOKUP(E188,'DECK TALLY'!$B$6:$C$316,2,FALSE)</f>
        <v>33.950000000000003</v>
      </c>
      <c r="G188" s="377">
        <f t="shared" si="12"/>
        <v>33.544499999999999</v>
      </c>
      <c r="H188" s="131" t="s">
        <v>29</v>
      </c>
      <c r="I188" s="246">
        <f t="shared" si="11"/>
        <v>5360.5880000000016</v>
      </c>
      <c r="J188" s="371">
        <f t="shared" si="10"/>
        <v>15994.411999999998</v>
      </c>
      <c r="K188" s="145">
        <f t="shared" si="9"/>
        <v>211.24205215889998</v>
      </c>
      <c r="L188" s="636" t="s">
        <v>336</v>
      </c>
      <c r="M188" s="637"/>
      <c r="N188" s="635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</row>
    <row r="189" spans="1:32" s="2" customFormat="1" ht="20.100000000000001" customHeight="1">
      <c r="A189" s="631" t="s">
        <v>115</v>
      </c>
      <c r="B189" s="632"/>
      <c r="C189" s="316">
        <v>1</v>
      </c>
      <c r="D189" s="176" t="s">
        <v>31</v>
      </c>
      <c r="E189" s="321">
        <f>'DECK TALLY'!B162</f>
        <v>157</v>
      </c>
      <c r="F189" s="374">
        <f>VLOOKUP(E189,'DECK TALLY'!$B$6:$C$316,2,FALSE)</f>
        <v>33.729999999999997</v>
      </c>
      <c r="G189" s="375">
        <f t="shared" si="12"/>
        <v>33.3245</v>
      </c>
      <c r="H189" s="177" t="s">
        <v>29</v>
      </c>
      <c r="I189" s="243">
        <f t="shared" si="11"/>
        <v>5393.9125000000013</v>
      </c>
      <c r="J189" s="370">
        <f t="shared" si="10"/>
        <v>15961.087499999998</v>
      </c>
      <c r="K189" s="178">
        <f t="shared" si="9"/>
        <v>212.02684540679911</v>
      </c>
      <c r="L189" s="204" t="s">
        <v>208</v>
      </c>
      <c r="M189" s="205">
        <f>SUM(J187-4)</f>
        <v>16023.956499999998</v>
      </c>
      <c r="N189" s="212">
        <v>16000</v>
      </c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</row>
    <row r="190" spans="1:32" s="2" customFormat="1" ht="20.100000000000001" customHeight="1">
      <c r="A190" s="646" t="s">
        <v>115</v>
      </c>
      <c r="B190" s="647"/>
      <c r="C190" s="122">
        <v>2</v>
      </c>
      <c r="D190" s="123" t="s">
        <v>31</v>
      </c>
      <c r="E190" s="395">
        <f>'DECK TALLY'!B163</f>
        <v>158</v>
      </c>
      <c r="F190" s="376">
        <f>VLOOKUP(E190,'DECK TALLY'!$B$6:$C$316,2,FALSE)</f>
        <v>33.94</v>
      </c>
      <c r="G190" s="377">
        <f t="shared" si="12"/>
        <v>33.534499999999994</v>
      </c>
      <c r="H190" s="131" t="s">
        <v>29</v>
      </c>
      <c r="I190" s="246">
        <f t="shared" si="11"/>
        <v>5427.447000000001</v>
      </c>
      <c r="J190" s="371">
        <f t="shared" si="10"/>
        <v>15927.553</v>
      </c>
      <c r="K190" s="145">
        <f t="shared" si="9"/>
        <v>212.81658416271966</v>
      </c>
      <c r="L190" s="638" t="s">
        <v>337</v>
      </c>
      <c r="M190" s="639"/>
      <c r="N190" s="251">
        <f>SUM(M189-N189)</f>
        <v>23.956499999998414</v>
      </c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</row>
    <row r="191" spans="1:32" s="2" customFormat="1" ht="20.100000000000001" customHeight="1" thickBot="1">
      <c r="A191" s="585" t="s">
        <v>115</v>
      </c>
      <c r="B191" s="586"/>
      <c r="C191" s="122">
        <v>2</v>
      </c>
      <c r="D191" s="123" t="s">
        <v>31</v>
      </c>
      <c r="E191" s="320">
        <f>'DECK TALLY'!B164</f>
        <v>159</v>
      </c>
      <c r="F191" s="368">
        <f>VLOOKUP(E191,'DECK TALLY'!$B$6:$C$316,2,FALSE)</f>
        <v>33.94</v>
      </c>
      <c r="G191" s="377">
        <f t="shared" si="12"/>
        <v>33.534499999999994</v>
      </c>
      <c r="H191" s="131" t="s">
        <v>29</v>
      </c>
      <c r="I191" s="246">
        <f t="shared" si="11"/>
        <v>5460.9815000000008</v>
      </c>
      <c r="J191" s="371">
        <f t="shared" si="10"/>
        <v>15894.018499999998</v>
      </c>
      <c r="K191" s="145">
        <f t="shared" si="9"/>
        <v>213.60632291864019</v>
      </c>
      <c r="L191" s="623"/>
      <c r="M191" s="624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</row>
    <row r="192" spans="1:32" s="2" customFormat="1" ht="20.100000000000001" customHeight="1">
      <c r="A192" s="646" t="s">
        <v>115</v>
      </c>
      <c r="B192" s="647"/>
      <c r="C192" s="122">
        <v>2</v>
      </c>
      <c r="D192" s="123" t="s">
        <v>31</v>
      </c>
      <c r="E192" s="395">
        <f>'DECK TALLY'!B165</f>
        <v>160</v>
      </c>
      <c r="F192" s="376">
        <f>VLOOKUP(E192,'DECK TALLY'!$B$6:$C$316,2,FALSE)</f>
        <v>33.950000000000003</v>
      </c>
      <c r="G192" s="377">
        <f t="shared" si="12"/>
        <v>33.544499999999999</v>
      </c>
      <c r="H192" s="131" t="s">
        <v>29</v>
      </c>
      <c r="I192" s="246">
        <f t="shared" si="11"/>
        <v>5494.5260000000007</v>
      </c>
      <c r="J192" s="371">
        <f t="shared" si="10"/>
        <v>15860.473999999998</v>
      </c>
      <c r="K192" s="145">
        <f t="shared" si="9"/>
        <v>214.39629717494273</v>
      </c>
      <c r="L192" s="629"/>
      <c r="M192" s="630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</row>
    <row r="193" spans="1:32" s="2" customFormat="1" ht="20.100000000000001" customHeight="1">
      <c r="A193" s="585" t="s">
        <v>115</v>
      </c>
      <c r="B193" s="586"/>
      <c r="C193" s="122">
        <v>2</v>
      </c>
      <c r="D193" s="123" t="s">
        <v>31</v>
      </c>
      <c r="E193" s="320">
        <f>'DECK TALLY'!B166</f>
        <v>161</v>
      </c>
      <c r="F193" s="376">
        <f>VLOOKUP(E193,'DECK TALLY'!$B$6:$C$316,2,FALSE)</f>
        <v>33.93</v>
      </c>
      <c r="G193" s="377">
        <f t="shared" si="12"/>
        <v>33.524500000000003</v>
      </c>
      <c r="H193" s="131" t="s">
        <v>29</v>
      </c>
      <c r="I193" s="246">
        <f t="shared" si="11"/>
        <v>5528.0505000000012</v>
      </c>
      <c r="J193" s="371">
        <f t="shared" si="10"/>
        <v>15826.949499999999</v>
      </c>
      <c r="K193" s="145">
        <f t="shared" si="9"/>
        <v>215.18580043048132</v>
      </c>
      <c r="L193" s="629"/>
      <c r="M193" s="630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</row>
    <row r="194" spans="1:32" s="2" customFormat="1" ht="20.100000000000001" customHeight="1">
      <c r="A194" s="585" t="s">
        <v>115</v>
      </c>
      <c r="B194" s="586"/>
      <c r="C194" s="122">
        <v>2</v>
      </c>
      <c r="D194" s="123" t="s">
        <v>31</v>
      </c>
      <c r="E194" s="320">
        <f>'DECK TALLY'!B167</f>
        <v>162</v>
      </c>
      <c r="F194" s="376">
        <f>VLOOKUP(E194,'DECK TALLY'!$B$6:$C$316,2,FALSE)</f>
        <v>33.94</v>
      </c>
      <c r="G194" s="377">
        <f t="shared" si="12"/>
        <v>33.534499999999994</v>
      </c>
      <c r="H194" s="131" t="s">
        <v>29</v>
      </c>
      <c r="I194" s="246">
        <f t="shared" si="11"/>
        <v>5561.5850000000009</v>
      </c>
      <c r="J194" s="371">
        <f t="shared" si="10"/>
        <v>15793.414999999999</v>
      </c>
      <c r="K194" s="145">
        <f t="shared" si="9"/>
        <v>215.97553918640185</v>
      </c>
      <c r="L194" s="629"/>
      <c r="M194" s="630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</row>
    <row r="195" spans="1:32" s="2" customFormat="1" ht="20.100000000000001" customHeight="1">
      <c r="A195" s="585" t="s">
        <v>115</v>
      </c>
      <c r="B195" s="586"/>
      <c r="C195" s="122">
        <v>2</v>
      </c>
      <c r="D195" s="123" t="s">
        <v>31</v>
      </c>
      <c r="E195" s="395">
        <f>'DECK TALLY'!B168</f>
        <v>163</v>
      </c>
      <c r="F195" s="376">
        <f>VLOOKUP(E195,'DECK TALLY'!$B$6:$C$316,2,FALSE)</f>
        <v>33.200000000000003</v>
      </c>
      <c r="G195" s="377">
        <f t="shared" si="12"/>
        <v>32.794499999999999</v>
      </c>
      <c r="H195" s="131" t="s">
        <v>29</v>
      </c>
      <c r="I195" s="246">
        <f t="shared" si="11"/>
        <v>5594.3795000000009</v>
      </c>
      <c r="J195" s="371">
        <f t="shared" si="10"/>
        <v>15760.620499999999</v>
      </c>
      <c r="K195" s="145">
        <f t="shared" si="9"/>
        <v>216.74785091405656</v>
      </c>
      <c r="L195" s="629"/>
      <c r="M195" s="630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</row>
    <row r="196" spans="1:32" s="2" customFormat="1" ht="20.100000000000001" customHeight="1">
      <c r="A196" s="585" t="s">
        <v>115</v>
      </c>
      <c r="B196" s="586"/>
      <c r="C196" s="122">
        <v>2</v>
      </c>
      <c r="D196" s="123" t="s">
        <v>31</v>
      </c>
      <c r="E196" s="320">
        <f>'DECK TALLY'!B169</f>
        <v>164</v>
      </c>
      <c r="F196" s="376">
        <f>VLOOKUP(E196,'DECK TALLY'!$B$6:$C$316,2,FALSE)</f>
        <v>33.94</v>
      </c>
      <c r="G196" s="377">
        <f t="shared" si="12"/>
        <v>33.534499999999994</v>
      </c>
      <c r="H196" s="131" t="s">
        <v>29</v>
      </c>
      <c r="I196" s="246">
        <f t="shared" si="11"/>
        <v>5627.9140000000007</v>
      </c>
      <c r="J196" s="371">
        <f t="shared" si="10"/>
        <v>15727.085999999999</v>
      </c>
      <c r="K196" s="145">
        <f t="shared" si="9"/>
        <v>217.53758966997711</v>
      </c>
      <c r="L196" s="629"/>
      <c r="M196" s="630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</row>
    <row r="197" spans="1:32" s="2" customFormat="1" ht="20.100000000000001" customHeight="1">
      <c r="A197" s="585" t="s">
        <v>115</v>
      </c>
      <c r="B197" s="586"/>
      <c r="C197" s="122">
        <v>2</v>
      </c>
      <c r="D197" s="123" t="s">
        <v>31</v>
      </c>
      <c r="E197" s="320">
        <f>'DECK TALLY'!B170</f>
        <v>165</v>
      </c>
      <c r="F197" s="376">
        <f>VLOOKUP(E197,'DECK TALLY'!$B$6:$C$316,2,FALSE)</f>
        <v>33.96</v>
      </c>
      <c r="G197" s="377">
        <f t="shared" si="12"/>
        <v>33.554500000000004</v>
      </c>
      <c r="H197" s="131" t="s">
        <v>29</v>
      </c>
      <c r="I197" s="246">
        <f t="shared" si="11"/>
        <v>5661.4685000000009</v>
      </c>
      <c r="J197" s="371">
        <f t="shared" si="10"/>
        <v>15693.531499999999</v>
      </c>
      <c r="K197" s="145">
        <f t="shared" si="9"/>
        <v>218.32779942666161</v>
      </c>
      <c r="L197" s="629"/>
      <c r="M197" s="630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</row>
    <row r="198" spans="1:32" s="2" customFormat="1" ht="20.100000000000001" customHeight="1">
      <c r="A198" s="585" t="s">
        <v>115</v>
      </c>
      <c r="B198" s="586"/>
      <c r="C198" s="122">
        <v>2</v>
      </c>
      <c r="D198" s="123" t="s">
        <v>31</v>
      </c>
      <c r="E198" s="395">
        <f>'DECK TALLY'!B171</f>
        <v>166</v>
      </c>
      <c r="F198" s="376">
        <f>VLOOKUP(E198,'DECK TALLY'!$B$6:$C$316,2,FALSE)</f>
        <v>33.96</v>
      </c>
      <c r="G198" s="377">
        <f t="shared" si="12"/>
        <v>33.554500000000004</v>
      </c>
      <c r="H198" s="131" t="s">
        <v>29</v>
      </c>
      <c r="I198" s="246">
        <f t="shared" si="11"/>
        <v>5695.023000000001</v>
      </c>
      <c r="J198" s="371">
        <f t="shared" si="10"/>
        <v>15659.976999999999</v>
      </c>
      <c r="K198" s="145">
        <f t="shared" si="9"/>
        <v>219.11800918334609</v>
      </c>
      <c r="L198" s="629"/>
      <c r="M198" s="630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</row>
    <row r="199" spans="1:32" s="2" customFormat="1" ht="20.100000000000001" customHeight="1">
      <c r="A199" s="585" t="s">
        <v>115</v>
      </c>
      <c r="B199" s="586"/>
      <c r="C199" s="122">
        <v>2</v>
      </c>
      <c r="D199" s="123" t="s">
        <v>31</v>
      </c>
      <c r="E199" s="320">
        <f>'DECK TALLY'!B172</f>
        <v>167</v>
      </c>
      <c r="F199" s="376">
        <f>VLOOKUP(E199,'DECK TALLY'!$B$6:$C$316,2,FALSE)</f>
        <v>33.96</v>
      </c>
      <c r="G199" s="377">
        <f t="shared" si="12"/>
        <v>33.554500000000004</v>
      </c>
      <c r="H199" s="131" t="s">
        <v>29</v>
      </c>
      <c r="I199" s="246">
        <f t="shared" si="11"/>
        <v>5728.5775000000012</v>
      </c>
      <c r="J199" s="371">
        <f t="shared" si="10"/>
        <v>15626.422499999999</v>
      </c>
      <c r="K199" s="145">
        <f t="shared" si="9"/>
        <v>219.90821894003059</v>
      </c>
      <c r="L199" s="629"/>
      <c r="M199" s="630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</row>
    <row r="200" spans="1:32" s="2" customFormat="1" ht="20.100000000000001" customHeight="1">
      <c r="A200" s="585" t="s">
        <v>115</v>
      </c>
      <c r="B200" s="586"/>
      <c r="C200" s="122">
        <v>2</v>
      </c>
      <c r="D200" s="123" t="s">
        <v>31</v>
      </c>
      <c r="E200" s="320">
        <f>'DECK TALLY'!B173</f>
        <v>168</v>
      </c>
      <c r="F200" s="376">
        <f>VLOOKUP(E200,'DECK TALLY'!$B$6:$C$316,2,FALSE)</f>
        <v>33.950000000000003</v>
      </c>
      <c r="G200" s="377">
        <f t="shared" si="12"/>
        <v>33.544499999999999</v>
      </c>
      <c r="H200" s="131" t="s">
        <v>29</v>
      </c>
      <c r="I200" s="246">
        <f t="shared" si="11"/>
        <v>5762.1220000000012</v>
      </c>
      <c r="J200" s="371">
        <f t="shared" si="10"/>
        <v>15592.877999999999</v>
      </c>
      <c r="K200" s="145">
        <f t="shared" si="9"/>
        <v>220.69819319633311</v>
      </c>
      <c r="L200" s="629"/>
      <c r="M200" s="630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</row>
    <row r="201" spans="1:32" s="2" customFormat="1" ht="20.100000000000001" customHeight="1">
      <c r="A201" s="585" t="s">
        <v>115</v>
      </c>
      <c r="B201" s="586"/>
      <c r="C201" s="122">
        <v>2</v>
      </c>
      <c r="D201" s="123" t="s">
        <v>31</v>
      </c>
      <c r="E201" s="395">
        <f>'DECK TALLY'!B174</f>
        <v>169</v>
      </c>
      <c r="F201" s="376">
        <f>VLOOKUP(E201,'DECK TALLY'!$B$6:$C$316,2,FALSE)</f>
        <v>33.950000000000003</v>
      </c>
      <c r="G201" s="377">
        <f t="shared" si="12"/>
        <v>33.544499999999999</v>
      </c>
      <c r="H201" s="131" t="s">
        <v>29</v>
      </c>
      <c r="I201" s="246">
        <f t="shared" si="11"/>
        <v>5795.6665000000012</v>
      </c>
      <c r="J201" s="371">
        <f t="shared" si="10"/>
        <v>15559.333499999999</v>
      </c>
      <c r="K201" s="145">
        <f t="shared" si="9"/>
        <v>221.48816745263562</v>
      </c>
      <c r="L201" s="629"/>
      <c r="M201" s="630"/>
      <c r="N201" s="29"/>
      <c r="O201" s="29" t="s">
        <v>299</v>
      </c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</row>
    <row r="202" spans="1:32" s="2" customFormat="1" ht="20.100000000000001" customHeight="1">
      <c r="A202" s="585" t="s">
        <v>115</v>
      </c>
      <c r="B202" s="586"/>
      <c r="C202" s="122">
        <v>2</v>
      </c>
      <c r="D202" s="123" t="s">
        <v>31</v>
      </c>
      <c r="E202" s="320">
        <f>'DECK TALLY'!B175</f>
        <v>170</v>
      </c>
      <c r="F202" s="376">
        <f>VLOOKUP(E202,'DECK TALLY'!$B$6:$C$316,2,FALSE)</f>
        <v>32.42</v>
      </c>
      <c r="G202" s="377">
        <f t="shared" si="12"/>
        <v>32.014499999999998</v>
      </c>
      <c r="H202" s="131" t="s">
        <v>29</v>
      </c>
      <c r="I202" s="246">
        <f t="shared" si="11"/>
        <v>5827.6810000000014</v>
      </c>
      <c r="J202" s="371">
        <f t="shared" si="10"/>
        <v>15527.319</v>
      </c>
      <c r="K202" s="145">
        <f t="shared" si="9"/>
        <v>222.24211015049659</v>
      </c>
      <c r="L202" s="629"/>
      <c r="M202" s="630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</row>
    <row r="203" spans="1:32" s="2" customFormat="1" ht="20.100000000000001" customHeight="1">
      <c r="A203" s="585" t="s">
        <v>115</v>
      </c>
      <c r="B203" s="586"/>
      <c r="C203" s="122">
        <v>2</v>
      </c>
      <c r="D203" s="123" t="s">
        <v>31</v>
      </c>
      <c r="E203" s="320">
        <f>'DECK TALLY'!B176</f>
        <v>171</v>
      </c>
      <c r="F203" s="376">
        <f>VLOOKUP(E203,'DECK TALLY'!$B$6:$C$316,2,FALSE)</f>
        <v>33.950000000000003</v>
      </c>
      <c r="G203" s="377">
        <f t="shared" si="12"/>
        <v>33.544499999999999</v>
      </c>
      <c r="H203" s="131" t="s">
        <v>29</v>
      </c>
      <c r="I203" s="246">
        <f t="shared" si="11"/>
        <v>5861.2255000000014</v>
      </c>
      <c r="J203" s="371">
        <f t="shared" si="10"/>
        <v>15493.7745</v>
      </c>
      <c r="K203" s="145">
        <f t="shared" si="9"/>
        <v>223.0320844067991</v>
      </c>
      <c r="L203" s="629"/>
      <c r="M203" s="630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</row>
    <row r="204" spans="1:32" s="2" customFormat="1" ht="20.100000000000001" customHeight="1">
      <c r="A204" s="585" t="s">
        <v>115</v>
      </c>
      <c r="B204" s="586"/>
      <c r="C204" s="122">
        <v>2</v>
      </c>
      <c r="D204" s="123" t="s">
        <v>31</v>
      </c>
      <c r="E204" s="395">
        <f>'DECK TALLY'!B177</f>
        <v>172</v>
      </c>
      <c r="F204" s="376">
        <f>VLOOKUP(E204,'DECK TALLY'!$B$6:$C$316,2,FALSE)</f>
        <v>33.03</v>
      </c>
      <c r="G204" s="377">
        <f t="shared" si="12"/>
        <v>32.624499999999998</v>
      </c>
      <c r="H204" s="131" t="s">
        <v>29</v>
      </c>
      <c r="I204" s="246">
        <f t="shared" si="11"/>
        <v>5893.8500000000013</v>
      </c>
      <c r="J204" s="371">
        <f t="shared" si="10"/>
        <v>15461.149999999998</v>
      </c>
      <c r="K204" s="145">
        <f t="shared" si="9"/>
        <v>223.80039262796029</v>
      </c>
      <c r="L204" s="629"/>
      <c r="M204" s="630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</row>
    <row r="205" spans="1:32" s="2" customFormat="1" ht="20.100000000000001" customHeight="1">
      <c r="A205" s="585" t="s">
        <v>115</v>
      </c>
      <c r="B205" s="586"/>
      <c r="C205" s="122">
        <v>2</v>
      </c>
      <c r="D205" s="123" t="s">
        <v>31</v>
      </c>
      <c r="E205" s="320">
        <f>'DECK TALLY'!B178</f>
        <v>173</v>
      </c>
      <c r="F205" s="376">
        <f>VLOOKUP(E205,'DECK TALLY'!$B$6:$C$316,2,FALSE)</f>
        <v>33.950000000000003</v>
      </c>
      <c r="G205" s="377">
        <f t="shared" si="12"/>
        <v>33.544499999999999</v>
      </c>
      <c r="H205" s="131" t="s">
        <v>29</v>
      </c>
      <c r="I205" s="246">
        <f t="shared" si="11"/>
        <v>5927.3945000000012</v>
      </c>
      <c r="J205" s="371">
        <f t="shared" si="10"/>
        <v>15427.605499999998</v>
      </c>
      <c r="K205" s="145">
        <f t="shared" si="9"/>
        <v>224.59036688426283</v>
      </c>
      <c r="L205" s="629"/>
      <c r="M205" s="630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</row>
    <row r="206" spans="1:32" s="2" customFormat="1" ht="20.100000000000001" customHeight="1">
      <c r="A206" s="585" t="s">
        <v>115</v>
      </c>
      <c r="B206" s="586"/>
      <c r="C206" s="122">
        <v>2</v>
      </c>
      <c r="D206" s="123" t="s">
        <v>31</v>
      </c>
      <c r="E206" s="320">
        <f>'DECK TALLY'!B179</f>
        <v>174</v>
      </c>
      <c r="F206" s="376">
        <f>VLOOKUP(E206,'DECK TALLY'!$B$6:$C$316,2,FALSE)</f>
        <v>33.74</v>
      </c>
      <c r="G206" s="377">
        <f t="shared" si="12"/>
        <v>33.334500000000006</v>
      </c>
      <c r="H206" s="131" t="s">
        <v>29</v>
      </c>
      <c r="I206" s="246">
        <f t="shared" si="11"/>
        <v>5960.7290000000012</v>
      </c>
      <c r="J206" s="371">
        <f t="shared" si="10"/>
        <v>15394.270999999999</v>
      </c>
      <c r="K206" s="145">
        <f t="shared" si="9"/>
        <v>225.37539563254396</v>
      </c>
      <c r="L206" s="629"/>
      <c r="M206" s="630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</row>
    <row r="207" spans="1:32" s="2" customFormat="1" ht="20.100000000000001" customHeight="1">
      <c r="A207" s="585" t="s">
        <v>115</v>
      </c>
      <c r="B207" s="586"/>
      <c r="C207" s="122">
        <v>2</v>
      </c>
      <c r="D207" s="123" t="s">
        <v>31</v>
      </c>
      <c r="E207" s="395">
        <f>'DECK TALLY'!B180</f>
        <v>175</v>
      </c>
      <c r="F207" s="376">
        <f>VLOOKUP(E207,'DECK TALLY'!$B$6:$C$316,2,FALSE)</f>
        <v>33.94</v>
      </c>
      <c r="G207" s="377">
        <f t="shared" si="12"/>
        <v>33.534499999999994</v>
      </c>
      <c r="H207" s="131" t="s">
        <v>29</v>
      </c>
      <c r="I207" s="246">
        <f t="shared" si="11"/>
        <v>5994.2635000000009</v>
      </c>
      <c r="J207" s="371">
        <f t="shared" si="10"/>
        <v>15360.736499999999</v>
      </c>
      <c r="K207" s="145">
        <f t="shared" si="9"/>
        <v>226.16513438846451</v>
      </c>
      <c r="L207" s="629"/>
      <c r="M207" s="630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</row>
    <row r="208" spans="1:32" s="2" customFormat="1" ht="20.100000000000001" customHeight="1">
      <c r="A208" s="585" t="s">
        <v>115</v>
      </c>
      <c r="B208" s="586"/>
      <c r="C208" s="122">
        <v>2</v>
      </c>
      <c r="D208" s="123" t="s">
        <v>31</v>
      </c>
      <c r="E208" s="320">
        <f>'DECK TALLY'!B181</f>
        <v>176</v>
      </c>
      <c r="F208" s="376">
        <f>VLOOKUP(E208,'DECK TALLY'!$B$6:$C$316,2,FALSE)</f>
        <v>33.94</v>
      </c>
      <c r="G208" s="377">
        <f t="shared" si="12"/>
        <v>33.534499999999994</v>
      </c>
      <c r="H208" s="131" t="s">
        <v>29</v>
      </c>
      <c r="I208" s="246">
        <f t="shared" si="11"/>
        <v>6027.7980000000007</v>
      </c>
      <c r="J208" s="371">
        <f t="shared" si="10"/>
        <v>15327.201999999999</v>
      </c>
      <c r="K208" s="145">
        <f t="shared" si="9"/>
        <v>226.95487314438506</v>
      </c>
      <c r="L208" s="629"/>
      <c r="M208" s="630"/>
      <c r="N208" s="121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</row>
    <row r="209" spans="1:32" s="2" customFormat="1" ht="20.100000000000001" customHeight="1">
      <c r="A209" s="585" t="s">
        <v>115</v>
      </c>
      <c r="B209" s="586"/>
      <c r="C209" s="122">
        <v>2</v>
      </c>
      <c r="D209" s="123" t="s">
        <v>31</v>
      </c>
      <c r="E209" s="320">
        <f>'DECK TALLY'!B182</f>
        <v>177</v>
      </c>
      <c r="F209" s="376">
        <f>VLOOKUP(E209,'DECK TALLY'!$B$6:$C$316,2,FALSE)</f>
        <v>33.770000000000003</v>
      </c>
      <c r="G209" s="377">
        <f t="shared" si="12"/>
        <v>33.364500000000007</v>
      </c>
      <c r="H209" s="131" t="s">
        <v>29</v>
      </c>
      <c r="I209" s="246">
        <f t="shared" si="11"/>
        <v>6061.1625000000004</v>
      </c>
      <c r="J209" s="371">
        <f t="shared" si="10"/>
        <v>15293.8375</v>
      </c>
      <c r="K209" s="145">
        <f t="shared" si="9"/>
        <v>227.7406083938121</v>
      </c>
      <c r="L209" s="629"/>
      <c r="M209" s="630"/>
      <c r="N209" s="142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</row>
    <row r="210" spans="1:32" s="2" customFormat="1" ht="20.100000000000001" customHeight="1">
      <c r="A210" s="585" t="s">
        <v>115</v>
      </c>
      <c r="B210" s="586"/>
      <c r="C210" s="122">
        <v>2</v>
      </c>
      <c r="D210" s="123" t="s">
        <v>31</v>
      </c>
      <c r="E210" s="395">
        <f>'DECK TALLY'!B183</f>
        <v>178</v>
      </c>
      <c r="F210" s="376">
        <f>VLOOKUP(E210,'DECK TALLY'!$B$6:$C$316,2,FALSE)</f>
        <v>33.94</v>
      </c>
      <c r="G210" s="377">
        <f t="shared" si="12"/>
        <v>33.534499999999994</v>
      </c>
      <c r="H210" s="131" t="s">
        <v>29</v>
      </c>
      <c r="I210" s="246">
        <f t="shared" si="11"/>
        <v>6094.6970000000001</v>
      </c>
      <c r="J210" s="371">
        <f t="shared" si="10"/>
        <v>15260.303</v>
      </c>
      <c r="K210" s="145">
        <f t="shared" si="9"/>
        <v>228.53034714973262</v>
      </c>
      <c r="L210" s="629"/>
      <c r="M210" s="630"/>
      <c r="N210" s="143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</row>
    <row r="211" spans="1:32" s="2" customFormat="1" ht="20.100000000000001" customHeight="1">
      <c r="A211" s="585" t="s">
        <v>115</v>
      </c>
      <c r="B211" s="586"/>
      <c r="C211" s="122">
        <v>2</v>
      </c>
      <c r="D211" s="123" t="s">
        <v>31</v>
      </c>
      <c r="E211" s="320">
        <f>'DECK TALLY'!B184</f>
        <v>179</v>
      </c>
      <c r="F211" s="376">
        <f>VLOOKUP(E211,'DECK TALLY'!$B$6:$C$316,2,FALSE)</f>
        <v>33.770000000000003</v>
      </c>
      <c r="G211" s="377">
        <f t="shared" si="12"/>
        <v>33.364500000000007</v>
      </c>
      <c r="H211" s="131" t="s">
        <v>29</v>
      </c>
      <c r="I211" s="246">
        <f t="shared" si="11"/>
        <v>6128.0614999999998</v>
      </c>
      <c r="J211" s="371">
        <f t="shared" si="10"/>
        <v>15226.9385</v>
      </c>
      <c r="K211" s="145">
        <f t="shared" si="9"/>
        <v>229.31608239915968</v>
      </c>
      <c r="L211" s="629"/>
      <c r="M211" s="630"/>
      <c r="N211" s="143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</row>
    <row r="212" spans="1:32" s="2" customFormat="1" ht="20.100000000000001" customHeight="1">
      <c r="A212" s="585" t="s">
        <v>115</v>
      </c>
      <c r="B212" s="586"/>
      <c r="C212" s="122">
        <v>2</v>
      </c>
      <c r="D212" s="123" t="s">
        <v>31</v>
      </c>
      <c r="E212" s="320">
        <f>'DECK TALLY'!B185</f>
        <v>180</v>
      </c>
      <c r="F212" s="376">
        <f>VLOOKUP(E212,'DECK TALLY'!$B$6:$C$316,2,FALSE)</f>
        <v>33.93</v>
      </c>
      <c r="G212" s="377">
        <f t="shared" si="12"/>
        <v>33.524500000000003</v>
      </c>
      <c r="H212" s="166" t="s">
        <v>29</v>
      </c>
      <c r="I212" s="246">
        <f t="shared" si="11"/>
        <v>6161.5860000000002</v>
      </c>
      <c r="J212" s="371">
        <f t="shared" si="10"/>
        <v>15193.414000000001</v>
      </c>
      <c r="K212" s="145">
        <f t="shared" ref="K212:K275" si="13">$H$8+(I212*$E$9*$E$15/1000)</f>
        <v>230.10558565469825</v>
      </c>
      <c r="L212" s="629"/>
      <c r="M212" s="630"/>
      <c r="N212" s="143"/>
      <c r="O212" s="244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</row>
    <row r="213" spans="1:32" s="2" customFormat="1" ht="20.100000000000001" customHeight="1">
      <c r="A213" s="585" t="s">
        <v>115</v>
      </c>
      <c r="B213" s="586"/>
      <c r="C213" s="122">
        <v>2</v>
      </c>
      <c r="D213" s="123" t="s">
        <v>31</v>
      </c>
      <c r="E213" s="395">
        <f>'DECK TALLY'!B186</f>
        <v>181</v>
      </c>
      <c r="F213" s="376">
        <f>VLOOKUP(E213,'DECK TALLY'!$B$6:$C$316,2,FALSE)</f>
        <v>33.9</v>
      </c>
      <c r="G213" s="377">
        <f t="shared" si="12"/>
        <v>33.494500000000002</v>
      </c>
      <c r="H213" s="131" t="s">
        <v>29</v>
      </c>
      <c r="I213" s="246">
        <f t="shared" si="11"/>
        <v>6195.0805</v>
      </c>
      <c r="J213" s="371">
        <f t="shared" ref="J213:J276" si="14">IF(I213="","",$L$10-I213)</f>
        <v>15159.9195</v>
      </c>
      <c r="K213" s="145">
        <f t="shared" si="13"/>
        <v>230.89438240909089</v>
      </c>
      <c r="L213" s="629"/>
      <c r="M213" s="630"/>
      <c r="N213" s="143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</row>
    <row r="214" spans="1:32" s="2" customFormat="1" ht="20.100000000000001" customHeight="1">
      <c r="A214" s="585" t="s">
        <v>115</v>
      </c>
      <c r="B214" s="586"/>
      <c r="C214" s="122">
        <v>2</v>
      </c>
      <c r="D214" s="123" t="s">
        <v>31</v>
      </c>
      <c r="E214" s="320">
        <f>'DECK TALLY'!B187</f>
        <v>182</v>
      </c>
      <c r="F214" s="376">
        <f>VLOOKUP(E214,'DECK TALLY'!$B$6:$C$316,2,FALSE)</f>
        <v>33.93</v>
      </c>
      <c r="G214" s="377">
        <f t="shared" si="12"/>
        <v>33.524500000000003</v>
      </c>
      <c r="H214" s="131" t="s">
        <v>29</v>
      </c>
      <c r="I214" s="246">
        <f t="shared" si="11"/>
        <v>6228.6050000000005</v>
      </c>
      <c r="J214" s="371">
        <f t="shared" si="14"/>
        <v>15126.395</v>
      </c>
      <c r="K214" s="145">
        <f t="shared" si="13"/>
        <v>231.68388566462951</v>
      </c>
      <c r="L214" s="629"/>
      <c r="M214" s="630"/>
      <c r="N214" s="143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</row>
    <row r="215" spans="1:32" s="2" customFormat="1" ht="20.100000000000001" customHeight="1">
      <c r="A215" s="585" t="s">
        <v>115</v>
      </c>
      <c r="B215" s="586"/>
      <c r="C215" s="167">
        <v>2</v>
      </c>
      <c r="D215" s="123" t="s">
        <v>31</v>
      </c>
      <c r="E215" s="320">
        <f>'DECK TALLY'!B188</f>
        <v>183</v>
      </c>
      <c r="F215" s="376">
        <f>VLOOKUP(E215,'DECK TALLY'!$B$6:$C$316,2,FALSE)</f>
        <v>33.950000000000003</v>
      </c>
      <c r="G215" s="377">
        <f t="shared" si="12"/>
        <v>33.544499999999999</v>
      </c>
      <c r="H215" s="131" t="s">
        <v>29</v>
      </c>
      <c r="I215" s="246">
        <f t="shared" si="11"/>
        <v>6262.1495000000004</v>
      </c>
      <c r="J215" s="371">
        <f t="shared" si="14"/>
        <v>15092.8505</v>
      </c>
      <c r="K215" s="145">
        <f t="shared" si="13"/>
        <v>232.47385992093203</v>
      </c>
      <c r="L215" s="629"/>
      <c r="M215" s="630"/>
      <c r="N215" s="143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</row>
    <row r="216" spans="1:32" s="2" customFormat="1" ht="20.100000000000001" customHeight="1">
      <c r="A216" s="585" t="s">
        <v>115</v>
      </c>
      <c r="B216" s="586"/>
      <c r="C216" s="122">
        <v>2</v>
      </c>
      <c r="D216" s="123" t="s">
        <v>31</v>
      </c>
      <c r="E216" s="395">
        <f>'DECK TALLY'!B189</f>
        <v>184</v>
      </c>
      <c r="F216" s="376">
        <f>VLOOKUP(E216,'DECK TALLY'!$B$6:$C$316,2,FALSE)</f>
        <v>33.94</v>
      </c>
      <c r="G216" s="377">
        <f t="shared" si="12"/>
        <v>33.534499999999994</v>
      </c>
      <c r="H216" s="131" t="s">
        <v>29</v>
      </c>
      <c r="I216" s="246">
        <f t="shared" si="11"/>
        <v>6295.6840000000002</v>
      </c>
      <c r="J216" s="371">
        <f t="shared" si="14"/>
        <v>15059.315999999999</v>
      </c>
      <c r="K216" s="145">
        <f t="shared" si="13"/>
        <v>233.26359867685255</v>
      </c>
      <c r="L216" s="629"/>
      <c r="M216" s="630"/>
      <c r="N216" s="143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</row>
    <row r="217" spans="1:32" s="2" customFormat="1" ht="20.100000000000001" customHeight="1">
      <c r="A217" s="585" t="s">
        <v>115</v>
      </c>
      <c r="B217" s="586"/>
      <c r="C217" s="122">
        <v>2</v>
      </c>
      <c r="D217" s="123" t="s">
        <v>31</v>
      </c>
      <c r="E217" s="320">
        <f>'DECK TALLY'!B190</f>
        <v>185</v>
      </c>
      <c r="F217" s="376">
        <f>VLOOKUP(E217,'DECK TALLY'!$B$6:$C$316,2,FALSE)</f>
        <v>33.94</v>
      </c>
      <c r="G217" s="377">
        <f t="shared" si="12"/>
        <v>33.534499999999994</v>
      </c>
      <c r="H217" s="131" t="s">
        <v>29</v>
      </c>
      <c r="I217" s="246">
        <f t="shared" si="11"/>
        <v>6329.2184999999999</v>
      </c>
      <c r="J217" s="371">
        <f t="shared" si="14"/>
        <v>15025.781500000001</v>
      </c>
      <c r="K217" s="145">
        <f t="shared" si="13"/>
        <v>234.05333743277311</v>
      </c>
      <c r="L217" s="629"/>
      <c r="M217" s="630"/>
      <c r="N217" s="143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</row>
    <row r="218" spans="1:32" s="2" customFormat="1" ht="20.100000000000001" customHeight="1">
      <c r="A218" s="585" t="s">
        <v>115</v>
      </c>
      <c r="B218" s="586"/>
      <c r="C218" s="122">
        <v>2</v>
      </c>
      <c r="D218" s="123" t="s">
        <v>31</v>
      </c>
      <c r="E218" s="320">
        <f>'DECK TALLY'!B191</f>
        <v>186</v>
      </c>
      <c r="F218" s="376">
        <f>VLOOKUP(E218,'DECK TALLY'!$B$6:$C$316,2,FALSE)</f>
        <v>33.950000000000003</v>
      </c>
      <c r="G218" s="377">
        <f t="shared" si="12"/>
        <v>33.544499999999999</v>
      </c>
      <c r="H218" s="131" t="s">
        <v>29</v>
      </c>
      <c r="I218" s="246">
        <f t="shared" ref="I218:I281" si="15">IF(H218="IN",I217+G218,I217)</f>
        <v>6362.7629999999999</v>
      </c>
      <c r="J218" s="371">
        <f t="shared" si="14"/>
        <v>14992.237000000001</v>
      </c>
      <c r="K218" s="145">
        <f t="shared" si="13"/>
        <v>234.84331168907565</v>
      </c>
      <c r="L218" s="629"/>
      <c r="M218" s="630"/>
      <c r="N218" s="143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</row>
    <row r="219" spans="1:32" s="2" customFormat="1" ht="20.100000000000001" customHeight="1">
      <c r="A219" s="585" t="s">
        <v>115</v>
      </c>
      <c r="B219" s="586"/>
      <c r="C219" s="122">
        <v>2</v>
      </c>
      <c r="D219" s="123" t="s">
        <v>31</v>
      </c>
      <c r="E219" s="395">
        <f>'DECK TALLY'!B192</f>
        <v>187</v>
      </c>
      <c r="F219" s="376">
        <f>VLOOKUP(E219,'DECK TALLY'!$B$6:$C$316,2,FALSE)</f>
        <v>33.950000000000003</v>
      </c>
      <c r="G219" s="377">
        <f t="shared" si="12"/>
        <v>33.544499999999999</v>
      </c>
      <c r="H219" s="131" t="s">
        <v>29</v>
      </c>
      <c r="I219" s="246">
        <f t="shared" si="15"/>
        <v>6396.3074999999999</v>
      </c>
      <c r="J219" s="371">
        <f t="shared" si="14"/>
        <v>14958.692500000001</v>
      </c>
      <c r="K219" s="145">
        <f t="shared" si="13"/>
        <v>235.63328594537816</v>
      </c>
      <c r="L219" s="629"/>
      <c r="M219" s="630"/>
      <c r="N219" s="143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</row>
    <row r="220" spans="1:32" s="2" customFormat="1" ht="20.100000000000001" customHeight="1">
      <c r="A220" s="585" t="s">
        <v>115</v>
      </c>
      <c r="B220" s="586"/>
      <c r="C220" s="122">
        <v>2</v>
      </c>
      <c r="D220" s="123" t="s">
        <v>31</v>
      </c>
      <c r="E220" s="320">
        <f>'DECK TALLY'!B193</f>
        <v>188</v>
      </c>
      <c r="F220" s="376">
        <f>VLOOKUP(E220,'DECK TALLY'!$B$6:$C$316,2,FALSE)</f>
        <v>33.950000000000003</v>
      </c>
      <c r="G220" s="377">
        <f t="shared" si="12"/>
        <v>33.544499999999999</v>
      </c>
      <c r="H220" s="131" t="s">
        <v>29</v>
      </c>
      <c r="I220" s="246">
        <f t="shared" si="15"/>
        <v>6429.8519999999999</v>
      </c>
      <c r="J220" s="371">
        <f t="shared" si="14"/>
        <v>14925.148000000001</v>
      </c>
      <c r="K220" s="145">
        <f t="shared" si="13"/>
        <v>236.42326020168068</v>
      </c>
      <c r="L220" s="629"/>
      <c r="M220" s="630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</row>
    <row r="221" spans="1:32" s="2" customFormat="1" ht="20.100000000000001" customHeight="1">
      <c r="A221" s="585" t="s">
        <v>115</v>
      </c>
      <c r="B221" s="586"/>
      <c r="C221" s="122">
        <v>2</v>
      </c>
      <c r="D221" s="123" t="s">
        <v>31</v>
      </c>
      <c r="E221" s="320">
        <f>'DECK TALLY'!B194</f>
        <v>189</v>
      </c>
      <c r="F221" s="376">
        <f>VLOOKUP(E221,'DECK TALLY'!$B$6:$C$316,2,FALSE)</f>
        <v>33.94</v>
      </c>
      <c r="G221" s="377">
        <f t="shared" si="12"/>
        <v>33.534499999999994</v>
      </c>
      <c r="H221" s="131" t="s">
        <v>29</v>
      </c>
      <c r="I221" s="246">
        <f t="shared" si="15"/>
        <v>6463.3864999999996</v>
      </c>
      <c r="J221" s="371">
        <f t="shared" si="14"/>
        <v>14891.613499999999</v>
      </c>
      <c r="K221" s="145">
        <f t="shared" si="13"/>
        <v>237.2129989576012</v>
      </c>
      <c r="L221" s="629"/>
      <c r="M221" s="630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</row>
    <row r="222" spans="1:32" s="2" customFormat="1" ht="20.100000000000001" customHeight="1">
      <c r="A222" s="585" t="s">
        <v>115</v>
      </c>
      <c r="B222" s="586"/>
      <c r="C222" s="122">
        <v>2</v>
      </c>
      <c r="D222" s="123" t="s">
        <v>31</v>
      </c>
      <c r="E222" s="395">
        <f>'DECK TALLY'!B195</f>
        <v>190</v>
      </c>
      <c r="F222" s="376">
        <f>VLOOKUP(E222,'DECK TALLY'!$B$6:$C$316,2,FALSE)</f>
        <v>33.950000000000003</v>
      </c>
      <c r="G222" s="377">
        <f t="shared" si="12"/>
        <v>33.544499999999999</v>
      </c>
      <c r="H222" s="131" t="s">
        <v>29</v>
      </c>
      <c r="I222" s="246">
        <f t="shared" si="15"/>
        <v>6496.9309999999996</v>
      </c>
      <c r="J222" s="371">
        <f t="shared" si="14"/>
        <v>14858.069</v>
      </c>
      <c r="K222" s="145">
        <f t="shared" si="13"/>
        <v>238.00297321390372</v>
      </c>
      <c r="L222" s="629"/>
      <c r="M222" s="630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</row>
    <row r="223" spans="1:32" s="2" customFormat="1" ht="20.100000000000001" customHeight="1">
      <c r="A223" s="585" t="s">
        <v>115</v>
      </c>
      <c r="B223" s="586"/>
      <c r="C223" s="122">
        <v>2</v>
      </c>
      <c r="D223" s="123" t="s">
        <v>31</v>
      </c>
      <c r="E223" s="320">
        <f>'DECK TALLY'!B196</f>
        <v>191</v>
      </c>
      <c r="F223" s="376">
        <f>VLOOKUP(E223,'DECK TALLY'!$B$6:$C$316,2,FALSE)</f>
        <v>33.9</v>
      </c>
      <c r="G223" s="377">
        <f t="shared" si="12"/>
        <v>33.494500000000002</v>
      </c>
      <c r="H223" s="131" t="s">
        <v>29</v>
      </c>
      <c r="I223" s="246">
        <f t="shared" si="15"/>
        <v>6530.4254999999994</v>
      </c>
      <c r="J223" s="371">
        <f t="shared" si="14"/>
        <v>14824.574500000001</v>
      </c>
      <c r="K223" s="145">
        <f t="shared" si="13"/>
        <v>238.79176996829639</v>
      </c>
      <c r="L223" s="629"/>
      <c r="M223" s="630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</row>
    <row r="224" spans="1:32" s="2" customFormat="1" ht="20.100000000000001" customHeight="1">
      <c r="A224" s="585" t="s">
        <v>115</v>
      </c>
      <c r="B224" s="586"/>
      <c r="C224" s="122">
        <v>2</v>
      </c>
      <c r="D224" s="123" t="s">
        <v>31</v>
      </c>
      <c r="E224" s="320">
        <f>'DECK TALLY'!B197</f>
        <v>192</v>
      </c>
      <c r="F224" s="376">
        <f>VLOOKUP(E224,'DECK TALLY'!$B$6:$C$316,2,FALSE)</f>
        <v>33.69</v>
      </c>
      <c r="G224" s="377">
        <f t="shared" si="12"/>
        <v>33.284499999999994</v>
      </c>
      <c r="H224" s="131" t="s">
        <v>29</v>
      </c>
      <c r="I224" s="246">
        <f t="shared" si="15"/>
        <v>6563.7099999999991</v>
      </c>
      <c r="J224" s="371">
        <f t="shared" si="14"/>
        <v>14791.29</v>
      </c>
      <c r="K224" s="145">
        <f t="shared" si="13"/>
        <v>239.57562121466765</v>
      </c>
      <c r="L224" s="629"/>
      <c r="M224" s="630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</row>
    <row r="225" spans="1:32" s="2" customFormat="1" ht="20.100000000000001" customHeight="1">
      <c r="A225" s="585" t="s">
        <v>115</v>
      </c>
      <c r="B225" s="586"/>
      <c r="C225" s="122">
        <v>2</v>
      </c>
      <c r="D225" s="123" t="s">
        <v>31</v>
      </c>
      <c r="E225" s="395">
        <f>'DECK TALLY'!B198</f>
        <v>193</v>
      </c>
      <c r="F225" s="376">
        <f>VLOOKUP(E225,'DECK TALLY'!$B$6:$C$316,2,FALSE)</f>
        <v>33.47</v>
      </c>
      <c r="G225" s="377">
        <f t="shared" si="12"/>
        <v>33.064499999999995</v>
      </c>
      <c r="H225" s="131" t="s">
        <v>29</v>
      </c>
      <c r="I225" s="246">
        <f t="shared" si="15"/>
        <v>6596.7744999999995</v>
      </c>
      <c r="J225" s="371">
        <f t="shared" si="14"/>
        <v>14758.2255</v>
      </c>
      <c r="K225" s="145">
        <f t="shared" si="13"/>
        <v>240.35429145263561</v>
      </c>
      <c r="L225" s="629"/>
      <c r="M225" s="630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</row>
    <row r="226" spans="1:32" s="2" customFormat="1" ht="20.100000000000001" customHeight="1">
      <c r="A226" s="585" t="s">
        <v>115</v>
      </c>
      <c r="B226" s="586"/>
      <c r="C226" s="122">
        <v>2</v>
      </c>
      <c r="D226" s="123" t="s">
        <v>31</v>
      </c>
      <c r="E226" s="320">
        <f>'DECK TALLY'!B199</f>
        <v>194</v>
      </c>
      <c r="F226" s="376">
        <f>VLOOKUP(E226,'DECK TALLY'!$B$6:$C$316,2,FALSE)</f>
        <v>33.72</v>
      </c>
      <c r="G226" s="377">
        <f t="shared" ref="G226:G291" si="16">F226-($H$12/12)</f>
        <v>33.314499999999995</v>
      </c>
      <c r="H226" s="131" t="s">
        <v>29</v>
      </c>
      <c r="I226" s="246">
        <f t="shared" si="15"/>
        <v>6630.0889999999999</v>
      </c>
      <c r="J226" s="371">
        <f t="shared" si="14"/>
        <v>14724.911</v>
      </c>
      <c r="K226" s="145">
        <f t="shared" si="13"/>
        <v>241.1388492001528</v>
      </c>
      <c r="L226" s="629"/>
      <c r="M226" s="630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</row>
    <row r="227" spans="1:32" s="2" customFormat="1" ht="20.100000000000001" customHeight="1">
      <c r="A227" s="585" t="s">
        <v>115</v>
      </c>
      <c r="B227" s="586"/>
      <c r="C227" s="122">
        <v>2</v>
      </c>
      <c r="D227" s="123" t="s">
        <v>31</v>
      </c>
      <c r="E227" s="320">
        <f>'DECK TALLY'!B200</f>
        <v>195</v>
      </c>
      <c r="F227" s="376">
        <f>VLOOKUP(E227,'DECK TALLY'!$B$6:$C$316,2,FALSE)</f>
        <v>33.97</v>
      </c>
      <c r="G227" s="377">
        <f t="shared" si="16"/>
        <v>33.564499999999995</v>
      </c>
      <c r="H227" s="131" t="s">
        <v>29</v>
      </c>
      <c r="I227" s="246">
        <f t="shared" si="15"/>
        <v>6663.6535000000003</v>
      </c>
      <c r="J227" s="371">
        <f t="shared" si="14"/>
        <v>14691.3465</v>
      </c>
      <c r="K227" s="145">
        <f t="shared" si="13"/>
        <v>241.92929445721927</v>
      </c>
      <c r="L227" s="629"/>
      <c r="M227" s="630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</row>
    <row r="228" spans="1:32" s="2" customFormat="1" ht="20.100000000000001" customHeight="1">
      <c r="A228" s="585" t="s">
        <v>115</v>
      </c>
      <c r="B228" s="586"/>
      <c r="C228" s="122">
        <v>2</v>
      </c>
      <c r="D228" s="123" t="s">
        <v>31</v>
      </c>
      <c r="E228" s="395">
        <f>'DECK TALLY'!B201</f>
        <v>196</v>
      </c>
      <c r="F228" s="376">
        <f>VLOOKUP(E228,'DECK TALLY'!$B$6:$C$316,2,FALSE)</f>
        <v>33.96</v>
      </c>
      <c r="G228" s="377">
        <f t="shared" si="16"/>
        <v>33.554500000000004</v>
      </c>
      <c r="H228" s="131" t="s">
        <v>29</v>
      </c>
      <c r="I228" s="246">
        <f t="shared" si="15"/>
        <v>6697.2080000000005</v>
      </c>
      <c r="J228" s="371">
        <f t="shared" si="14"/>
        <v>14657.791999999999</v>
      </c>
      <c r="K228" s="145">
        <f t="shared" si="13"/>
        <v>242.71950421390378</v>
      </c>
      <c r="L228" s="629"/>
      <c r="M228" s="630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</row>
    <row r="229" spans="1:32" s="2" customFormat="1" ht="20.100000000000001" customHeight="1">
      <c r="A229" s="585" t="s">
        <v>115</v>
      </c>
      <c r="B229" s="586"/>
      <c r="C229" s="122">
        <v>2</v>
      </c>
      <c r="D229" s="123" t="s">
        <v>31</v>
      </c>
      <c r="E229" s="320">
        <f>'DECK TALLY'!B202</f>
        <v>197</v>
      </c>
      <c r="F229" s="376">
        <f>VLOOKUP(E229,'DECK TALLY'!$B$6:$C$316,2,FALSE)</f>
        <v>31.92</v>
      </c>
      <c r="G229" s="377">
        <f t="shared" si="16"/>
        <v>31.514500000000002</v>
      </c>
      <c r="H229" s="131" t="s">
        <v>29</v>
      </c>
      <c r="I229" s="246">
        <f t="shared" si="15"/>
        <v>6728.7225000000008</v>
      </c>
      <c r="J229" s="371">
        <f t="shared" si="14"/>
        <v>14626.2775</v>
      </c>
      <c r="K229" s="145">
        <f t="shared" si="13"/>
        <v>243.46167189266617</v>
      </c>
      <c r="L229" s="629"/>
      <c r="M229" s="630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</row>
    <row r="230" spans="1:32" s="2" customFormat="1" ht="20.100000000000001" customHeight="1">
      <c r="A230" s="585" t="s">
        <v>115</v>
      </c>
      <c r="B230" s="586"/>
      <c r="C230" s="122">
        <v>2</v>
      </c>
      <c r="D230" s="123" t="s">
        <v>31</v>
      </c>
      <c r="E230" s="320">
        <f>'DECK TALLY'!B203</f>
        <v>198</v>
      </c>
      <c r="F230" s="376">
        <f>VLOOKUP(E230,'DECK TALLY'!$B$6:$C$316,2,FALSE)</f>
        <v>33.96</v>
      </c>
      <c r="G230" s="377">
        <f t="shared" si="16"/>
        <v>33.554500000000004</v>
      </c>
      <c r="H230" s="131" t="s">
        <v>29</v>
      </c>
      <c r="I230" s="246">
        <f t="shared" si="15"/>
        <v>6762.277000000001</v>
      </c>
      <c r="J230" s="371">
        <f t="shared" si="14"/>
        <v>14592.722999999998</v>
      </c>
      <c r="K230" s="145">
        <f t="shared" si="13"/>
        <v>244.25188164935068</v>
      </c>
      <c r="L230" s="629"/>
      <c r="M230" s="630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</row>
    <row r="231" spans="1:32" s="2" customFormat="1" ht="20.100000000000001" customHeight="1">
      <c r="A231" s="585" t="s">
        <v>115</v>
      </c>
      <c r="B231" s="586"/>
      <c r="C231" s="122">
        <v>2</v>
      </c>
      <c r="D231" s="123" t="s">
        <v>31</v>
      </c>
      <c r="E231" s="395">
        <f>'DECK TALLY'!B204</f>
        <v>199</v>
      </c>
      <c r="F231" s="376">
        <f>VLOOKUP(E231,'DECK TALLY'!$B$6:$C$316,2,FALSE)</f>
        <v>33.880000000000003</v>
      </c>
      <c r="G231" s="377">
        <f t="shared" si="16"/>
        <v>33.474500000000006</v>
      </c>
      <c r="H231" s="131" t="s">
        <v>29</v>
      </c>
      <c r="I231" s="246">
        <f t="shared" si="15"/>
        <v>6795.7515000000012</v>
      </c>
      <c r="J231" s="371">
        <f t="shared" si="14"/>
        <v>14559.248499999998</v>
      </c>
      <c r="K231" s="145">
        <f t="shared" si="13"/>
        <v>245.04020740297941</v>
      </c>
      <c r="L231" s="629"/>
      <c r="M231" s="630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</row>
    <row r="232" spans="1:32" s="2" customFormat="1" ht="20.100000000000001" customHeight="1">
      <c r="A232" s="585" t="s">
        <v>115</v>
      </c>
      <c r="B232" s="586"/>
      <c r="C232" s="122">
        <v>2</v>
      </c>
      <c r="D232" s="123" t="s">
        <v>31</v>
      </c>
      <c r="E232" s="320">
        <f>'DECK TALLY'!B205</f>
        <v>200</v>
      </c>
      <c r="F232" s="376">
        <f>VLOOKUP(E232,'DECK TALLY'!$B$6:$C$316,2,FALSE)</f>
        <v>33.96</v>
      </c>
      <c r="G232" s="377">
        <f t="shared" si="16"/>
        <v>33.554500000000004</v>
      </c>
      <c r="H232" s="131" t="s">
        <v>29</v>
      </c>
      <c r="I232" s="246">
        <f t="shared" si="15"/>
        <v>6829.3060000000014</v>
      </c>
      <c r="J232" s="371">
        <f t="shared" si="14"/>
        <v>14525.694</v>
      </c>
      <c r="K232" s="145">
        <f t="shared" si="13"/>
        <v>245.83041715966388</v>
      </c>
      <c r="L232" s="629"/>
      <c r="M232" s="630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</row>
    <row r="233" spans="1:32" s="2" customFormat="1" ht="20.100000000000001" customHeight="1">
      <c r="A233" s="585" t="s">
        <v>115</v>
      </c>
      <c r="B233" s="586"/>
      <c r="C233" s="122">
        <v>2</v>
      </c>
      <c r="D233" s="123" t="s">
        <v>31</v>
      </c>
      <c r="E233" s="320">
        <f>'DECK TALLY'!B206</f>
        <v>201</v>
      </c>
      <c r="F233" s="376">
        <f>VLOOKUP(E233,'DECK TALLY'!$B$6:$C$316,2,FALSE)</f>
        <v>33.950000000000003</v>
      </c>
      <c r="G233" s="377">
        <f t="shared" si="16"/>
        <v>33.544499999999999</v>
      </c>
      <c r="H233" s="131" t="s">
        <v>29</v>
      </c>
      <c r="I233" s="246">
        <f t="shared" si="15"/>
        <v>6862.8505000000014</v>
      </c>
      <c r="J233" s="371">
        <f t="shared" si="14"/>
        <v>14492.1495</v>
      </c>
      <c r="K233" s="145">
        <f t="shared" si="13"/>
        <v>246.62039141596645</v>
      </c>
      <c r="L233" s="629"/>
      <c r="M233" s="630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</row>
    <row r="234" spans="1:32" s="2" customFormat="1" ht="20.100000000000001" customHeight="1">
      <c r="A234" s="585" t="s">
        <v>115</v>
      </c>
      <c r="B234" s="586"/>
      <c r="C234" s="122">
        <v>2</v>
      </c>
      <c r="D234" s="123" t="s">
        <v>31</v>
      </c>
      <c r="E234" s="395">
        <f>'DECK TALLY'!B207</f>
        <v>202</v>
      </c>
      <c r="F234" s="376">
        <f>VLOOKUP(E234,'DECK TALLY'!$B$6:$C$316,2,FALSE)</f>
        <v>33.950000000000003</v>
      </c>
      <c r="G234" s="377">
        <f t="shared" si="16"/>
        <v>33.544499999999999</v>
      </c>
      <c r="H234" s="131" t="s">
        <v>29</v>
      </c>
      <c r="I234" s="246">
        <f t="shared" si="15"/>
        <v>6896.3950000000013</v>
      </c>
      <c r="J234" s="371">
        <f t="shared" si="14"/>
        <v>14458.605</v>
      </c>
      <c r="K234" s="145">
        <f t="shared" si="13"/>
        <v>247.41036567226897</v>
      </c>
      <c r="L234" s="629"/>
      <c r="M234" s="630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</row>
    <row r="235" spans="1:32" s="2" customFormat="1" ht="20.100000000000001" customHeight="1">
      <c r="A235" s="585" t="s">
        <v>115</v>
      </c>
      <c r="B235" s="586"/>
      <c r="C235" s="122">
        <v>2</v>
      </c>
      <c r="D235" s="123" t="s">
        <v>31</v>
      </c>
      <c r="E235" s="320">
        <f>'DECK TALLY'!B208</f>
        <v>203</v>
      </c>
      <c r="F235" s="376">
        <f>VLOOKUP(E235,'DECK TALLY'!$B$6:$C$316,2,FALSE)</f>
        <v>33.94</v>
      </c>
      <c r="G235" s="377">
        <f t="shared" si="16"/>
        <v>33.534499999999994</v>
      </c>
      <c r="H235" s="131" t="s">
        <v>29</v>
      </c>
      <c r="I235" s="246">
        <f t="shared" si="15"/>
        <v>6929.9295000000011</v>
      </c>
      <c r="J235" s="371">
        <f t="shared" si="14"/>
        <v>14425.070499999998</v>
      </c>
      <c r="K235" s="145">
        <f t="shared" si="13"/>
        <v>248.20010442818949</v>
      </c>
      <c r="L235" s="629"/>
      <c r="M235" s="630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</row>
    <row r="236" spans="1:32" s="2" customFormat="1" ht="20.100000000000001" customHeight="1">
      <c r="A236" s="585" t="s">
        <v>115</v>
      </c>
      <c r="B236" s="586"/>
      <c r="C236" s="167">
        <v>2</v>
      </c>
      <c r="D236" s="123" t="s">
        <v>31</v>
      </c>
      <c r="E236" s="320">
        <f>'DECK TALLY'!B209</f>
        <v>204</v>
      </c>
      <c r="F236" s="376">
        <f>VLOOKUP(E236,'DECK TALLY'!$B$6:$C$316,2,FALSE)</f>
        <v>33.950000000000003</v>
      </c>
      <c r="G236" s="377">
        <f t="shared" si="16"/>
        <v>33.544499999999999</v>
      </c>
      <c r="H236" s="131" t="s">
        <v>29</v>
      </c>
      <c r="I236" s="246">
        <f t="shared" si="15"/>
        <v>6963.4740000000011</v>
      </c>
      <c r="J236" s="371">
        <f t="shared" si="14"/>
        <v>14391.525999999998</v>
      </c>
      <c r="K236" s="145">
        <f t="shared" si="13"/>
        <v>248.990078684492</v>
      </c>
      <c r="L236" s="629"/>
      <c r="M236" s="630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</row>
    <row r="237" spans="1:32" s="2" customFormat="1" ht="20.100000000000001" customHeight="1">
      <c r="A237" s="585" t="s">
        <v>115</v>
      </c>
      <c r="B237" s="586"/>
      <c r="C237" s="167">
        <v>2</v>
      </c>
      <c r="D237" s="123" t="s">
        <v>31</v>
      </c>
      <c r="E237" s="395">
        <f>'DECK TALLY'!B210</f>
        <v>205</v>
      </c>
      <c r="F237" s="376">
        <f>VLOOKUP(E237,'DECK TALLY'!$B$6:$C$316,2,FALSE)</f>
        <v>33.94</v>
      </c>
      <c r="G237" s="377">
        <f t="shared" si="16"/>
        <v>33.534499999999994</v>
      </c>
      <c r="H237" s="131" t="s">
        <v>29</v>
      </c>
      <c r="I237" s="246">
        <f t="shared" si="15"/>
        <v>6997.0085000000008</v>
      </c>
      <c r="J237" s="371">
        <f t="shared" si="14"/>
        <v>14357.9915</v>
      </c>
      <c r="K237" s="145">
        <f t="shared" si="13"/>
        <v>249.77981744041256</v>
      </c>
      <c r="L237" s="629"/>
      <c r="M237" s="630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</row>
    <row r="238" spans="1:32" s="2" customFormat="1" ht="20.100000000000001" customHeight="1">
      <c r="A238" s="585" t="s">
        <v>115</v>
      </c>
      <c r="B238" s="586"/>
      <c r="C238" s="122">
        <v>2</v>
      </c>
      <c r="D238" s="123" t="s">
        <v>31</v>
      </c>
      <c r="E238" s="320">
        <f>'DECK TALLY'!B211</f>
        <v>206</v>
      </c>
      <c r="F238" s="376">
        <f>VLOOKUP(E238,'DECK TALLY'!$B$6:$C$316,2,FALSE)</f>
        <v>33.94</v>
      </c>
      <c r="G238" s="377">
        <f t="shared" si="16"/>
        <v>33.534499999999994</v>
      </c>
      <c r="H238" s="131" t="s">
        <v>29</v>
      </c>
      <c r="I238" s="246">
        <f t="shared" si="15"/>
        <v>7030.5430000000006</v>
      </c>
      <c r="J238" s="371">
        <f t="shared" si="14"/>
        <v>14324.456999999999</v>
      </c>
      <c r="K238" s="145">
        <f t="shared" si="13"/>
        <v>250.56955619633308</v>
      </c>
      <c r="L238" s="629"/>
      <c r="M238" s="630"/>
      <c r="N238" s="29"/>
      <c r="O238" s="245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</row>
    <row r="239" spans="1:32" s="2" customFormat="1" ht="20.100000000000001" customHeight="1">
      <c r="A239" s="585" t="s">
        <v>115</v>
      </c>
      <c r="B239" s="586"/>
      <c r="C239" s="122">
        <v>2</v>
      </c>
      <c r="D239" s="123" t="s">
        <v>31</v>
      </c>
      <c r="E239" s="320">
        <f>'DECK TALLY'!B212</f>
        <v>207</v>
      </c>
      <c r="F239" s="376">
        <f>VLOOKUP(E239,'DECK TALLY'!$B$6:$C$316,2,FALSE)</f>
        <v>33.950000000000003</v>
      </c>
      <c r="G239" s="377">
        <f t="shared" si="16"/>
        <v>33.544499999999999</v>
      </c>
      <c r="H239" s="131" t="s">
        <v>29</v>
      </c>
      <c r="I239" s="246">
        <f t="shared" si="15"/>
        <v>7064.0875000000005</v>
      </c>
      <c r="J239" s="371">
        <f t="shared" si="14"/>
        <v>14290.912499999999</v>
      </c>
      <c r="K239" s="145">
        <f t="shared" si="13"/>
        <v>251.3595304526356</v>
      </c>
      <c r="L239" s="629"/>
      <c r="M239" s="630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</row>
    <row r="240" spans="1:32" s="2" customFormat="1" ht="20.100000000000001" customHeight="1">
      <c r="A240" s="585" t="s">
        <v>115</v>
      </c>
      <c r="B240" s="586"/>
      <c r="C240" s="122">
        <v>2</v>
      </c>
      <c r="D240" s="123" t="s">
        <v>31</v>
      </c>
      <c r="E240" s="395">
        <f>'DECK TALLY'!B213</f>
        <v>208</v>
      </c>
      <c r="F240" s="376">
        <f>VLOOKUP(E240,'DECK TALLY'!$B$6:$C$316,2,FALSE)</f>
        <v>33.950000000000003</v>
      </c>
      <c r="G240" s="377">
        <f t="shared" si="16"/>
        <v>33.544499999999999</v>
      </c>
      <c r="H240" s="131" t="s">
        <v>29</v>
      </c>
      <c r="I240" s="246">
        <f t="shared" si="15"/>
        <v>7097.6320000000005</v>
      </c>
      <c r="J240" s="371">
        <f t="shared" si="14"/>
        <v>14257.367999999999</v>
      </c>
      <c r="K240" s="145">
        <f t="shared" si="13"/>
        <v>252.14950470893814</v>
      </c>
      <c r="L240" s="629"/>
      <c r="M240" s="630"/>
      <c r="N240" s="143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</row>
    <row r="241" spans="1:32" s="2" customFormat="1" ht="20.100000000000001" customHeight="1">
      <c r="A241" s="585" t="s">
        <v>115</v>
      </c>
      <c r="B241" s="586"/>
      <c r="C241" s="122">
        <v>2</v>
      </c>
      <c r="D241" s="123" t="s">
        <v>31</v>
      </c>
      <c r="E241" s="320">
        <f>'DECK TALLY'!B214</f>
        <v>209</v>
      </c>
      <c r="F241" s="376">
        <f>VLOOKUP(E241,'DECK TALLY'!$B$6:$C$316,2,FALSE)</f>
        <v>33.94</v>
      </c>
      <c r="G241" s="377">
        <f t="shared" si="16"/>
        <v>33.534499999999994</v>
      </c>
      <c r="H241" s="131" t="s">
        <v>29</v>
      </c>
      <c r="I241" s="246">
        <f t="shared" si="15"/>
        <v>7131.1665000000003</v>
      </c>
      <c r="J241" s="371">
        <f t="shared" si="14"/>
        <v>14223.833500000001</v>
      </c>
      <c r="K241" s="145">
        <f t="shared" si="13"/>
        <v>252.93924346485869</v>
      </c>
      <c r="L241" s="629"/>
      <c r="M241" s="630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</row>
    <row r="242" spans="1:32" s="2" customFormat="1" ht="20.100000000000001" customHeight="1">
      <c r="A242" s="585" t="s">
        <v>115</v>
      </c>
      <c r="B242" s="586"/>
      <c r="C242" s="122">
        <v>2</v>
      </c>
      <c r="D242" s="123" t="s">
        <v>31</v>
      </c>
      <c r="E242" s="320">
        <f>'DECK TALLY'!B215</f>
        <v>210</v>
      </c>
      <c r="F242" s="376">
        <f>VLOOKUP(E242,'DECK TALLY'!$B$6:$C$316,2,FALSE)</f>
        <v>33.94</v>
      </c>
      <c r="G242" s="377">
        <f t="shared" si="16"/>
        <v>33.534499999999994</v>
      </c>
      <c r="H242" s="131" t="s">
        <v>29</v>
      </c>
      <c r="I242" s="246">
        <f t="shared" si="15"/>
        <v>7164.701</v>
      </c>
      <c r="J242" s="371">
        <f t="shared" si="14"/>
        <v>14190.298999999999</v>
      </c>
      <c r="K242" s="145">
        <f t="shared" si="13"/>
        <v>253.72898222077924</v>
      </c>
      <c r="L242" s="629"/>
      <c r="M242" s="630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</row>
    <row r="243" spans="1:32" s="2" customFormat="1" ht="20.100000000000001" customHeight="1">
      <c r="A243" s="585" t="s">
        <v>115</v>
      </c>
      <c r="B243" s="586"/>
      <c r="C243" s="122">
        <v>2</v>
      </c>
      <c r="D243" s="123" t="s">
        <v>31</v>
      </c>
      <c r="E243" s="395">
        <f>'DECK TALLY'!B216</f>
        <v>211</v>
      </c>
      <c r="F243" s="376">
        <f>VLOOKUP(E243,'DECK TALLY'!$B$6:$C$316,2,FALSE)</f>
        <v>33.94</v>
      </c>
      <c r="G243" s="377">
        <f t="shared" si="16"/>
        <v>33.534499999999994</v>
      </c>
      <c r="H243" s="131" t="s">
        <v>29</v>
      </c>
      <c r="I243" s="246">
        <f t="shared" si="15"/>
        <v>7198.2354999999998</v>
      </c>
      <c r="J243" s="371">
        <f t="shared" si="14"/>
        <v>14156.764500000001</v>
      </c>
      <c r="K243" s="145">
        <f t="shared" si="13"/>
        <v>254.5187209766998</v>
      </c>
      <c r="L243" s="629"/>
      <c r="M243" s="630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</row>
    <row r="244" spans="1:32" s="2" customFormat="1" ht="20.100000000000001" customHeight="1">
      <c r="A244" s="585" t="s">
        <v>115</v>
      </c>
      <c r="B244" s="586"/>
      <c r="C244" s="122">
        <v>2</v>
      </c>
      <c r="D244" s="123" t="s">
        <v>31</v>
      </c>
      <c r="E244" s="320">
        <f>'DECK TALLY'!B217</f>
        <v>212</v>
      </c>
      <c r="F244" s="376">
        <f>VLOOKUP(E244,'DECK TALLY'!$B$6:$C$316,2,FALSE)</f>
        <v>33.93</v>
      </c>
      <c r="G244" s="377">
        <f t="shared" si="16"/>
        <v>33.524500000000003</v>
      </c>
      <c r="H244" s="131" t="s">
        <v>29</v>
      </c>
      <c r="I244" s="246">
        <f t="shared" si="15"/>
        <v>7231.76</v>
      </c>
      <c r="J244" s="371">
        <f t="shared" si="14"/>
        <v>14123.24</v>
      </c>
      <c r="K244" s="145">
        <f t="shared" si="13"/>
        <v>255.30822423223836</v>
      </c>
      <c r="L244" s="629"/>
      <c r="M244" s="630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</row>
    <row r="245" spans="1:32" s="2" customFormat="1" ht="20.100000000000001" customHeight="1">
      <c r="A245" s="585" t="s">
        <v>115</v>
      </c>
      <c r="B245" s="586"/>
      <c r="C245" s="122">
        <v>2</v>
      </c>
      <c r="D245" s="123" t="s">
        <v>31</v>
      </c>
      <c r="E245" s="320">
        <f>'DECK TALLY'!B218</f>
        <v>213</v>
      </c>
      <c r="F245" s="376">
        <f>VLOOKUP(E245,'DECK TALLY'!$B$6:$C$316,2,FALSE)</f>
        <v>30.91</v>
      </c>
      <c r="G245" s="377">
        <f t="shared" si="16"/>
        <v>30.5045</v>
      </c>
      <c r="H245" s="131" t="s">
        <v>29</v>
      </c>
      <c r="I245" s="246">
        <f t="shared" si="15"/>
        <v>7262.2645000000002</v>
      </c>
      <c r="J245" s="371">
        <f t="shared" si="14"/>
        <v>14092.735499999999</v>
      </c>
      <c r="K245" s="145">
        <f t="shared" si="13"/>
        <v>256.02660637242172</v>
      </c>
      <c r="L245" s="629"/>
      <c r="M245" s="630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</row>
    <row r="246" spans="1:32" s="2" customFormat="1" ht="20.100000000000001" customHeight="1">
      <c r="A246" s="585" t="s">
        <v>115</v>
      </c>
      <c r="B246" s="586"/>
      <c r="C246" s="122">
        <v>2</v>
      </c>
      <c r="D246" s="123" t="s">
        <v>31</v>
      </c>
      <c r="E246" s="395">
        <f>'DECK TALLY'!B219</f>
        <v>214</v>
      </c>
      <c r="F246" s="376">
        <f>VLOOKUP(E246,'DECK TALLY'!$B$6:$C$316,2,FALSE)</f>
        <v>33.94</v>
      </c>
      <c r="G246" s="377">
        <f t="shared" si="16"/>
        <v>33.534499999999994</v>
      </c>
      <c r="H246" s="131" t="s">
        <v>29</v>
      </c>
      <c r="I246" s="246">
        <f t="shared" si="15"/>
        <v>7295.799</v>
      </c>
      <c r="J246" s="371">
        <f t="shared" si="14"/>
        <v>14059.201000000001</v>
      </c>
      <c r="K246" s="145">
        <f t="shared" si="13"/>
        <v>256.81634512834228</v>
      </c>
      <c r="L246" s="629"/>
      <c r="M246" s="630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</row>
    <row r="247" spans="1:32" s="2" customFormat="1" ht="20.100000000000001" customHeight="1">
      <c r="A247" s="585" t="s">
        <v>115</v>
      </c>
      <c r="B247" s="586"/>
      <c r="C247" s="122">
        <v>2</v>
      </c>
      <c r="D247" s="123" t="s">
        <v>31</v>
      </c>
      <c r="E247" s="320">
        <f>'DECK TALLY'!B220</f>
        <v>215</v>
      </c>
      <c r="F247" s="376">
        <f>VLOOKUP(E247,'DECK TALLY'!$B$6:$C$316,2,FALSE)</f>
        <v>33.94</v>
      </c>
      <c r="G247" s="377">
        <f t="shared" si="16"/>
        <v>33.534499999999994</v>
      </c>
      <c r="H247" s="131" t="s">
        <v>29</v>
      </c>
      <c r="I247" s="246">
        <f t="shared" si="15"/>
        <v>7329.3334999999997</v>
      </c>
      <c r="J247" s="371">
        <f t="shared" si="14"/>
        <v>14025.666499999999</v>
      </c>
      <c r="K247" s="145">
        <f t="shared" si="13"/>
        <v>257.60608388426283</v>
      </c>
      <c r="L247" s="629"/>
      <c r="M247" s="630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</row>
    <row r="248" spans="1:32" s="2" customFormat="1" ht="20.100000000000001" customHeight="1">
      <c r="A248" s="585" t="s">
        <v>115</v>
      </c>
      <c r="B248" s="586"/>
      <c r="C248" s="122">
        <v>2</v>
      </c>
      <c r="D248" s="123" t="s">
        <v>31</v>
      </c>
      <c r="E248" s="320">
        <f>'DECK TALLY'!B221</f>
        <v>216</v>
      </c>
      <c r="F248" s="376">
        <f>VLOOKUP(E248,'DECK TALLY'!$B$6:$C$316,2,FALSE)</f>
        <v>33.58</v>
      </c>
      <c r="G248" s="377">
        <f t="shared" si="16"/>
        <v>33.174499999999995</v>
      </c>
      <c r="H248" s="131" t="s">
        <v>29</v>
      </c>
      <c r="I248" s="246">
        <f t="shared" si="15"/>
        <v>7362.5079999999998</v>
      </c>
      <c r="J248" s="371">
        <f t="shared" si="14"/>
        <v>13992.492</v>
      </c>
      <c r="K248" s="145">
        <f t="shared" si="13"/>
        <v>258.38734462643242</v>
      </c>
      <c r="L248" s="629"/>
      <c r="M248" s="630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</row>
    <row r="249" spans="1:32" s="2" customFormat="1" ht="20.100000000000001" customHeight="1">
      <c r="A249" s="585" t="s">
        <v>115</v>
      </c>
      <c r="B249" s="586"/>
      <c r="C249" s="122">
        <v>2</v>
      </c>
      <c r="D249" s="123" t="s">
        <v>31</v>
      </c>
      <c r="E249" s="395">
        <f>'DECK TALLY'!B222</f>
        <v>217</v>
      </c>
      <c r="F249" s="376">
        <f>VLOOKUP(E249,'DECK TALLY'!$B$6:$C$316,2,FALSE)</f>
        <v>33.93</v>
      </c>
      <c r="G249" s="377">
        <f t="shared" si="16"/>
        <v>33.524500000000003</v>
      </c>
      <c r="H249" s="131" t="s">
        <v>29</v>
      </c>
      <c r="I249" s="246">
        <f t="shared" si="15"/>
        <v>7396.0325000000003</v>
      </c>
      <c r="J249" s="371">
        <f t="shared" si="14"/>
        <v>13958.967499999999</v>
      </c>
      <c r="K249" s="145">
        <f t="shared" si="13"/>
        <v>259.17684788197096</v>
      </c>
      <c r="L249" s="629"/>
      <c r="M249" s="630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</row>
    <row r="250" spans="1:32" s="2" customFormat="1" ht="20.100000000000001" customHeight="1">
      <c r="A250" s="585" t="s">
        <v>115</v>
      </c>
      <c r="B250" s="586"/>
      <c r="C250" s="122">
        <v>2</v>
      </c>
      <c r="D250" s="123" t="s">
        <v>31</v>
      </c>
      <c r="E250" s="320">
        <f>'DECK TALLY'!B223</f>
        <v>218</v>
      </c>
      <c r="F250" s="376">
        <f>VLOOKUP(E250,'DECK TALLY'!$B$6:$C$316,2,FALSE)</f>
        <v>33.94</v>
      </c>
      <c r="G250" s="377">
        <f t="shared" si="16"/>
        <v>33.534499999999994</v>
      </c>
      <c r="H250" s="131" t="s">
        <v>29</v>
      </c>
      <c r="I250" s="246">
        <f t="shared" si="15"/>
        <v>7429.567</v>
      </c>
      <c r="J250" s="371">
        <f t="shared" si="14"/>
        <v>13925.433000000001</v>
      </c>
      <c r="K250" s="145">
        <f t="shared" si="13"/>
        <v>259.96658663789151</v>
      </c>
      <c r="L250" s="629"/>
      <c r="M250" s="630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</row>
    <row r="251" spans="1:32" s="2" customFormat="1" ht="20.100000000000001" customHeight="1">
      <c r="A251" s="585" t="s">
        <v>115</v>
      </c>
      <c r="B251" s="586"/>
      <c r="C251" s="122">
        <v>2</v>
      </c>
      <c r="D251" s="123" t="s">
        <v>31</v>
      </c>
      <c r="E251" s="320">
        <f>'DECK TALLY'!B224</f>
        <v>219</v>
      </c>
      <c r="F251" s="376">
        <f>VLOOKUP(E251,'DECK TALLY'!$B$6:$C$316,2,FALSE)</f>
        <v>33.94</v>
      </c>
      <c r="G251" s="377">
        <f t="shared" si="16"/>
        <v>33.534499999999994</v>
      </c>
      <c r="H251" s="131" t="s">
        <v>29</v>
      </c>
      <c r="I251" s="246">
        <f t="shared" si="15"/>
        <v>7463.1014999999998</v>
      </c>
      <c r="J251" s="371">
        <f t="shared" si="14"/>
        <v>13891.898499999999</v>
      </c>
      <c r="K251" s="145">
        <f t="shared" si="13"/>
        <v>260.75632539381206</v>
      </c>
      <c r="L251" s="629"/>
      <c r="M251" s="630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</row>
    <row r="252" spans="1:32" s="2" customFormat="1" ht="20.100000000000001" customHeight="1">
      <c r="A252" s="585" t="s">
        <v>115</v>
      </c>
      <c r="B252" s="586"/>
      <c r="C252" s="122">
        <v>2</v>
      </c>
      <c r="D252" s="123" t="s">
        <v>31</v>
      </c>
      <c r="E252" s="395">
        <f>'DECK TALLY'!B225</f>
        <v>220</v>
      </c>
      <c r="F252" s="376">
        <f>VLOOKUP(E252,'DECK TALLY'!$B$6:$C$316,2,FALSE)</f>
        <v>33.93</v>
      </c>
      <c r="G252" s="377">
        <f t="shared" si="16"/>
        <v>33.524500000000003</v>
      </c>
      <c r="H252" s="131" t="s">
        <v>29</v>
      </c>
      <c r="I252" s="246">
        <f t="shared" si="15"/>
        <v>7496.6260000000002</v>
      </c>
      <c r="J252" s="371">
        <f t="shared" si="14"/>
        <v>13858.374</v>
      </c>
      <c r="K252" s="145">
        <f t="shared" si="13"/>
        <v>261.54582864935071</v>
      </c>
      <c r="L252" s="629"/>
      <c r="M252" s="630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</row>
    <row r="253" spans="1:32" s="2" customFormat="1" ht="20.100000000000001" customHeight="1" thickBot="1">
      <c r="A253" s="585" t="s">
        <v>115</v>
      </c>
      <c r="B253" s="586"/>
      <c r="C253" s="122">
        <v>2</v>
      </c>
      <c r="D253" s="123" t="s">
        <v>31</v>
      </c>
      <c r="E253" s="320">
        <f>'DECK TALLY'!B226</f>
        <v>221</v>
      </c>
      <c r="F253" s="376">
        <f>VLOOKUP(E253,'DECK TALLY'!$B$6:$C$316,2,FALSE)</f>
        <v>33.94</v>
      </c>
      <c r="G253" s="377">
        <f t="shared" si="16"/>
        <v>33.534499999999994</v>
      </c>
      <c r="H253" s="131" t="s">
        <v>29</v>
      </c>
      <c r="I253" s="246">
        <f t="shared" si="15"/>
        <v>7530.1605</v>
      </c>
      <c r="J253" s="371">
        <f t="shared" si="14"/>
        <v>13824.8395</v>
      </c>
      <c r="K253" s="145">
        <f t="shared" si="13"/>
        <v>262.33556740527121</v>
      </c>
      <c r="L253" s="629"/>
      <c r="M253" s="630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</row>
    <row r="254" spans="1:32" s="2" customFormat="1" ht="20.100000000000001" customHeight="1">
      <c r="A254" s="585" t="s">
        <v>115</v>
      </c>
      <c r="B254" s="586"/>
      <c r="C254" s="122">
        <v>2</v>
      </c>
      <c r="D254" s="123" t="s">
        <v>31</v>
      </c>
      <c r="E254" s="320">
        <f>'DECK TALLY'!B227</f>
        <v>222</v>
      </c>
      <c r="F254" s="376">
        <f>VLOOKUP(E254,'DECK TALLY'!$B$6:$C$316,2,FALSE)</f>
        <v>33.94</v>
      </c>
      <c r="G254" s="377">
        <f t="shared" si="16"/>
        <v>33.534499999999994</v>
      </c>
      <c r="H254" s="131" t="s">
        <v>29</v>
      </c>
      <c r="I254" s="246">
        <f t="shared" si="15"/>
        <v>7563.6949999999997</v>
      </c>
      <c r="J254" s="371">
        <f t="shared" si="14"/>
        <v>13791.305</v>
      </c>
      <c r="K254" s="145">
        <f t="shared" si="13"/>
        <v>263.12530616119176</v>
      </c>
      <c r="L254" s="605" t="s">
        <v>369</v>
      </c>
      <c r="M254" s="606"/>
      <c r="N254" s="579" t="s">
        <v>211</v>
      </c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</row>
    <row r="255" spans="1:32" s="2" customFormat="1" ht="20.100000000000001" customHeight="1">
      <c r="A255" s="631" t="s">
        <v>115</v>
      </c>
      <c r="B255" s="632"/>
      <c r="C255" s="396">
        <v>2</v>
      </c>
      <c r="D255" s="176" t="s">
        <v>31</v>
      </c>
      <c r="E255" s="321">
        <f>'DECK TALLY'!B228</f>
        <v>223</v>
      </c>
      <c r="F255" s="374">
        <f>VLOOKUP(E255,'DECK TALLY'!$B$6:$C$316,2,FALSE)</f>
        <v>33.94</v>
      </c>
      <c r="G255" s="375">
        <f t="shared" si="16"/>
        <v>33.534499999999994</v>
      </c>
      <c r="H255" s="177" t="s">
        <v>29</v>
      </c>
      <c r="I255" s="243">
        <f t="shared" si="15"/>
        <v>7597.2294999999995</v>
      </c>
      <c r="J255" s="370">
        <f t="shared" si="14"/>
        <v>13757.770500000001</v>
      </c>
      <c r="K255" s="178">
        <f t="shared" si="13"/>
        <v>263.91504491711231</v>
      </c>
      <c r="L255" s="636" t="s">
        <v>364</v>
      </c>
      <c r="M255" s="637"/>
      <c r="N255" s="635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</row>
    <row r="256" spans="1:32" s="2" customFormat="1" ht="20.100000000000001" customHeight="1">
      <c r="A256" s="585" t="s">
        <v>115</v>
      </c>
      <c r="B256" s="586"/>
      <c r="C256" s="122">
        <v>2</v>
      </c>
      <c r="D256" s="123" t="s">
        <v>31</v>
      </c>
      <c r="E256" s="320">
        <f>'DECK TALLY'!B229</f>
        <v>224</v>
      </c>
      <c r="F256" s="376">
        <f>VLOOKUP(E256,'DECK TALLY'!$B$6:$C$316,2,FALSE)</f>
        <v>33.94</v>
      </c>
      <c r="G256" s="377">
        <f t="shared" si="16"/>
        <v>33.534499999999994</v>
      </c>
      <c r="H256" s="131" t="s">
        <v>29</v>
      </c>
      <c r="I256" s="246">
        <f t="shared" si="15"/>
        <v>7630.7639999999992</v>
      </c>
      <c r="J256" s="371">
        <f t="shared" si="14"/>
        <v>13724.236000000001</v>
      </c>
      <c r="K256" s="145">
        <f t="shared" si="13"/>
        <v>264.70478367303286</v>
      </c>
      <c r="L256" s="204" t="s">
        <v>208</v>
      </c>
      <c r="M256" s="205">
        <f>SUM(J254-4)</f>
        <v>13787.305</v>
      </c>
      <c r="N256" s="212">
        <v>13800</v>
      </c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</row>
    <row r="257" spans="1:32" s="2" customFormat="1" ht="20.100000000000001" customHeight="1">
      <c r="A257" s="585" t="s">
        <v>115</v>
      </c>
      <c r="B257" s="586"/>
      <c r="C257" s="122">
        <v>2</v>
      </c>
      <c r="D257" s="123" t="s">
        <v>31</v>
      </c>
      <c r="E257" s="320">
        <f>'DECK TALLY'!B230</f>
        <v>225</v>
      </c>
      <c r="F257" s="376">
        <f>VLOOKUP(E257,'DECK TALLY'!$B$6:$C$316,2,FALSE)</f>
        <v>33.94</v>
      </c>
      <c r="G257" s="377">
        <f t="shared" si="16"/>
        <v>33.534499999999994</v>
      </c>
      <c r="H257" s="131" t="s">
        <v>29</v>
      </c>
      <c r="I257" s="246">
        <f t="shared" si="15"/>
        <v>7664.298499999999</v>
      </c>
      <c r="J257" s="371">
        <f t="shared" si="14"/>
        <v>13690.701500000001</v>
      </c>
      <c r="K257" s="145">
        <f t="shared" si="13"/>
        <v>265.49452242895342</v>
      </c>
      <c r="L257" s="648" t="s">
        <v>215</v>
      </c>
      <c r="M257" s="649"/>
      <c r="N257" s="251">
        <f t="shared" ref="N257" si="17">SUM(M256-N256)</f>
        <v>-12.694999999999709</v>
      </c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</row>
    <row r="258" spans="1:32" s="2" customFormat="1" ht="20.100000000000001" customHeight="1">
      <c r="A258" s="585" t="s">
        <v>115</v>
      </c>
      <c r="B258" s="586"/>
      <c r="C258" s="122">
        <v>2</v>
      </c>
      <c r="D258" s="123" t="s">
        <v>31</v>
      </c>
      <c r="E258" s="395">
        <f>'DECK TALLY'!B231</f>
        <v>226</v>
      </c>
      <c r="F258" s="376">
        <f>VLOOKUP(E258,'DECK TALLY'!$B$6:$C$316,2,FALSE)</f>
        <v>33.93</v>
      </c>
      <c r="G258" s="368">
        <f t="shared" si="16"/>
        <v>33.524500000000003</v>
      </c>
      <c r="H258" s="166" t="s">
        <v>29</v>
      </c>
      <c r="I258" s="246">
        <f t="shared" si="15"/>
        <v>7697.8229999999994</v>
      </c>
      <c r="J258" s="371">
        <f t="shared" si="14"/>
        <v>13657.177</v>
      </c>
      <c r="K258" s="145">
        <f t="shared" si="13"/>
        <v>266.28402568449195</v>
      </c>
      <c r="L258" s="629"/>
      <c r="M258" s="630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</row>
    <row r="259" spans="1:32" s="2" customFormat="1" ht="20.100000000000001" customHeight="1">
      <c r="A259" s="585" t="s">
        <v>115</v>
      </c>
      <c r="B259" s="586"/>
      <c r="C259" s="122">
        <v>2</v>
      </c>
      <c r="D259" s="123" t="s">
        <v>31</v>
      </c>
      <c r="E259" s="320">
        <f>'DECK TALLY'!B232</f>
        <v>227</v>
      </c>
      <c r="F259" s="376">
        <f>VLOOKUP(E259,'DECK TALLY'!$B$6:$C$316,2,FALSE)</f>
        <v>33.96</v>
      </c>
      <c r="G259" s="377">
        <f t="shared" si="16"/>
        <v>33.554500000000004</v>
      </c>
      <c r="H259" s="131" t="s">
        <v>29</v>
      </c>
      <c r="I259" s="246">
        <f t="shared" si="15"/>
        <v>7731.3774999999996</v>
      </c>
      <c r="J259" s="371">
        <f t="shared" si="14"/>
        <v>13623.622500000001</v>
      </c>
      <c r="K259" s="145">
        <f t="shared" si="13"/>
        <v>267.07423544117648</v>
      </c>
      <c r="L259" s="629"/>
      <c r="M259" s="630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</row>
    <row r="260" spans="1:32" s="2" customFormat="1" ht="20.100000000000001" customHeight="1">
      <c r="A260" s="585" t="s">
        <v>115</v>
      </c>
      <c r="B260" s="586"/>
      <c r="C260" s="167">
        <v>2</v>
      </c>
      <c r="D260" s="123" t="s">
        <v>31</v>
      </c>
      <c r="E260" s="320">
        <f>'DECK TALLY'!B233</f>
        <v>228</v>
      </c>
      <c r="F260" s="376">
        <f>VLOOKUP(E260,'DECK TALLY'!$B$6:$C$316,2,FALSE)</f>
        <v>33.94</v>
      </c>
      <c r="G260" s="368">
        <f t="shared" si="16"/>
        <v>33.534499999999994</v>
      </c>
      <c r="H260" s="166" t="s">
        <v>29</v>
      </c>
      <c r="I260" s="246">
        <f t="shared" si="15"/>
        <v>7764.9119999999994</v>
      </c>
      <c r="J260" s="371">
        <f t="shared" si="14"/>
        <v>13590.088</v>
      </c>
      <c r="K260" s="145">
        <f t="shared" si="13"/>
        <v>267.86397419709704</v>
      </c>
      <c r="L260" s="629"/>
      <c r="M260" s="630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</row>
    <row r="261" spans="1:32" s="2" customFormat="1" ht="20.100000000000001" customHeight="1">
      <c r="A261" s="585" t="s">
        <v>115</v>
      </c>
      <c r="B261" s="586"/>
      <c r="C261" s="122">
        <v>2</v>
      </c>
      <c r="D261" s="123" t="s">
        <v>31</v>
      </c>
      <c r="E261" s="395">
        <f>'DECK TALLY'!B234</f>
        <v>229</v>
      </c>
      <c r="F261" s="376">
        <f>VLOOKUP(E261,'DECK TALLY'!$B$6:$C$316,2,FALSE)</f>
        <v>33.93</v>
      </c>
      <c r="G261" s="377">
        <f t="shared" si="16"/>
        <v>33.524500000000003</v>
      </c>
      <c r="H261" s="131" t="s">
        <v>29</v>
      </c>
      <c r="I261" s="246">
        <f t="shared" si="15"/>
        <v>7798.4364999999998</v>
      </c>
      <c r="J261" s="371">
        <f t="shared" si="14"/>
        <v>13556.5635</v>
      </c>
      <c r="K261" s="145">
        <f t="shared" si="13"/>
        <v>268.65347745263557</v>
      </c>
      <c r="L261" s="629"/>
      <c r="M261" s="630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</row>
    <row r="262" spans="1:32" s="2" customFormat="1" ht="20.100000000000001" customHeight="1">
      <c r="A262" s="585" t="s">
        <v>115</v>
      </c>
      <c r="B262" s="586"/>
      <c r="C262" s="122">
        <v>2</v>
      </c>
      <c r="D262" s="123" t="s">
        <v>31</v>
      </c>
      <c r="E262" s="320">
        <f>'DECK TALLY'!B235</f>
        <v>230</v>
      </c>
      <c r="F262" s="376">
        <f>VLOOKUP(E262,'DECK TALLY'!$B$6:$C$316,2,FALSE)</f>
        <v>33.869999999999997</v>
      </c>
      <c r="G262" s="377">
        <f t="shared" si="16"/>
        <v>33.464500000000001</v>
      </c>
      <c r="H262" s="131" t="s">
        <v>29</v>
      </c>
      <c r="I262" s="246">
        <f t="shared" si="15"/>
        <v>7831.9009999999998</v>
      </c>
      <c r="J262" s="371">
        <f t="shared" si="14"/>
        <v>13523.099</v>
      </c>
      <c r="K262" s="145">
        <f t="shared" si="13"/>
        <v>269.44156770588233</v>
      </c>
      <c r="L262" s="629"/>
      <c r="M262" s="630"/>
      <c r="N262" s="16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</row>
    <row r="263" spans="1:32" s="2" customFormat="1" ht="20.100000000000001" customHeight="1">
      <c r="A263" s="585" t="s">
        <v>115</v>
      </c>
      <c r="B263" s="586"/>
      <c r="C263" s="122">
        <v>2</v>
      </c>
      <c r="D263" s="123" t="s">
        <v>31</v>
      </c>
      <c r="E263" s="320">
        <f>'DECK TALLY'!B236</f>
        <v>231</v>
      </c>
      <c r="F263" s="376">
        <f>VLOOKUP(E263,'DECK TALLY'!$B$6:$C$316,2,FALSE)</f>
        <v>33.979999999999997</v>
      </c>
      <c r="G263" s="377">
        <f t="shared" si="16"/>
        <v>33.5745</v>
      </c>
      <c r="H263" s="131" t="s">
        <v>29</v>
      </c>
      <c r="I263" s="246">
        <f t="shared" si="15"/>
        <v>7865.4754999999996</v>
      </c>
      <c r="J263" s="371">
        <f t="shared" si="14"/>
        <v>13489.5245</v>
      </c>
      <c r="K263" s="145">
        <f t="shared" si="13"/>
        <v>270.23224846333079</v>
      </c>
      <c r="L263" s="629"/>
      <c r="M263" s="630"/>
      <c r="N263" s="147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</row>
    <row r="264" spans="1:32" s="2" customFormat="1" ht="20.100000000000001" customHeight="1">
      <c r="A264" s="585" t="s">
        <v>115</v>
      </c>
      <c r="B264" s="586"/>
      <c r="C264" s="122">
        <v>2</v>
      </c>
      <c r="D264" s="123" t="s">
        <v>31</v>
      </c>
      <c r="E264" s="395">
        <f>'DECK TALLY'!B237</f>
        <v>232</v>
      </c>
      <c r="F264" s="376">
        <f>VLOOKUP(E264,'DECK TALLY'!$B$6:$C$316,2,FALSE)</f>
        <v>33.42</v>
      </c>
      <c r="G264" s="377">
        <f t="shared" si="16"/>
        <v>33.014499999999998</v>
      </c>
      <c r="H264" s="131" t="s">
        <v>29</v>
      </c>
      <c r="I264" s="246">
        <f t="shared" si="15"/>
        <v>7898.49</v>
      </c>
      <c r="J264" s="371">
        <f t="shared" si="14"/>
        <v>13456.51</v>
      </c>
      <c r="K264" s="145">
        <f t="shared" si="13"/>
        <v>271.00974119938883</v>
      </c>
      <c r="L264" s="629"/>
      <c r="M264" s="630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</row>
    <row r="265" spans="1:32" s="2" customFormat="1" ht="20.100000000000001" customHeight="1">
      <c r="A265" s="585" t="s">
        <v>115</v>
      </c>
      <c r="B265" s="586"/>
      <c r="C265" s="122">
        <v>2</v>
      </c>
      <c r="D265" s="123" t="s">
        <v>31</v>
      </c>
      <c r="E265" s="320">
        <f>'DECK TALLY'!B238</f>
        <v>233</v>
      </c>
      <c r="F265" s="376">
        <f>VLOOKUP(E265,'DECK TALLY'!$B$6:$C$316,2,FALSE)</f>
        <v>33.950000000000003</v>
      </c>
      <c r="G265" s="377">
        <f t="shared" si="16"/>
        <v>33.544499999999999</v>
      </c>
      <c r="H265" s="131" t="s">
        <v>29</v>
      </c>
      <c r="I265" s="246">
        <f t="shared" si="15"/>
        <v>7932.0344999999998</v>
      </c>
      <c r="J265" s="371">
        <f t="shared" si="14"/>
        <v>13422.9655</v>
      </c>
      <c r="K265" s="145">
        <f t="shared" si="13"/>
        <v>271.7997154556914</v>
      </c>
      <c r="L265" s="629"/>
      <c r="M265" s="630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</row>
    <row r="266" spans="1:32" s="2" customFormat="1" ht="20.100000000000001" customHeight="1">
      <c r="A266" s="585" t="s">
        <v>115</v>
      </c>
      <c r="B266" s="586"/>
      <c r="C266" s="122">
        <v>2</v>
      </c>
      <c r="D266" s="123" t="s">
        <v>31</v>
      </c>
      <c r="E266" s="320">
        <f>'DECK TALLY'!B239</f>
        <v>234</v>
      </c>
      <c r="F266" s="376">
        <f>VLOOKUP(E266,'DECK TALLY'!$B$6:$C$316,2,FALSE)</f>
        <v>33.94</v>
      </c>
      <c r="G266" s="377">
        <f t="shared" si="16"/>
        <v>33.534499999999994</v>
      </c>
      <c r="H266" s="131" t="s">
        <v>29</v>
      </c>
      <c r="I266" s="246">
        <f t="shared" si="15"/>
        <v>7965.5689999999995</v>
      </c>
      <c r="J266" s="371">
        <f t="shared" si="14"/>
        <v>13389.431</v>
      </c>
      <c r="K266" s="145">
        <f t="shared" si="13"/>
        <v>272.58945421161195</v>
      </c>
      <c r="L266" s="629"/>
      <c r="M266" s="630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</row>
    <row r="267" spans="1:32" s="2" customFormat="1" ht="20.100000000000001" customHeight="1">
      <c r="A267" s="585" t="s">
        <v>115</v>
      </c>
      <c r="B267" s="586"/>
      <c r="C267" s="122">
        <v>2</v>
      </c>
      <c r="D267" s="123" t="s">
        <v>31</v>
      </c>
      <c r="E267" s="395">
        <f>'DECK TALLY'!B240</f>
        <v>235</v>
      </c>
      <c r="F267" s="376">
        <f>VLOOKUP(E267,'DECK TALLY'!$B$6:$C$316,2,FALSE)</f>
        <v>33.58</v>
      </c>
      <c r="G267" s="377">
        <f t="shared" si="16"/>
        <v>33.174499999999995</v>
      </c>
      <c r="H267" s="131" t="s">
        <v>29</v>
      </c>
      <c r="I267" s="246">
        <f t="shared" si="15"/>
        <v>7998.7434999999996</v>
      </c>
      <c r="J267" s="371">
        <f t="shared" si="14"/>
        <v>13356.2565</v>
      </c>
      <c r="K267" s="145">
        <f t="shared" si="13"/>
        <v>273.37071495378154</v>
      </c>
      <c r="L267" s="629"/>
      <c r="M267" s="630"/>
      <c r="N267" s="121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</row>
    <row r="268" spans="1:32" s="2" customFormat="1" ht="20.100000000000001" customHeight="1">
      <c r="A268" s="585" t="s">
        <v>115</v>
      </c>
      <c r="B268" s="586"/>
      <c r="C268" s="122">
        <v>2</v>
      </c>
      <c r="D268" s="123" t="s">
        <v>31</v>
      </c>
      <c r="E268" s="320">
        <f>'DECK TALLY'!B241</f>
        <v>236</v>
      </c>
      <c r="F268" s="376">
        <f>VLOOKUP(E268,'DECK TALLY'!$B$6:$C$316,2,FALSE)</f>
        <v>33.96</v>
      </c>
      <c r="G268" s="377">
        <f t="shared" si="16"/>
        <v>33.554500000000004</v>
      </c>
      <c r="H268" s="131" t="s">
        <v>29</v>
      </c>
      <c r="I268" s="246">
        <f t="shared" si="15"/>
        <v>8032.2979999999998</v>
      </c>
      <c r="J268" s="371">
        <f t="shared" si="14"/>
        <v>13322.702000000001</v>
      </c>
      <c r="K268" s="145">
        <f t="shared" si="13"/>
        <v>274.16092471046602</v>
      </c>
      <c r="L268" s="629"/>
      <c r="M268" s="630"/>
      <c r="N268" s="142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</row>
    <row r="269" spans="1:32" s="2" customFormat="1" ht="20.100000000000001" customHeight="1">
      <c r="A269" s="585" t="s">
        <v>115</v>
      </c>
      <c r="B269" s="586"/>
      <c r="C269" s="122">
        <v>2</v>
      </c>
      <c r="D269" s="123" t="s">
        <v>31</v>
      </c>
      <c r="E269" s="320">
        <f>'DECK TALLY'!B242</f>
        <v>237</v>
      </c>
      <c r="F269" s="376">
        <f>VLOOKUP(E269,'DECK TALLY'!$B$6:$C$316,2,FALSE)</f>
        <v>33.94</v>
      </c>
      <c r="G269" s="377">
        <f t="shared" si="16"/>
        <v>33.534499999999994</v>
      </c>
      <c r="H269" s="131" t="s">
        <v>29</v>
      </c>
      <c r="I269" s="246">
        <f t="shared" si="15"/>
        <v>8065.8324999999995</v>
      </c>
      <c r="J269" s="371">
        <f t="shared" si="14"/>
        <v>13289.1675</v>
      </c>
      <c r="K269" s="145">
        <f t="shared" si="13"/>
        <v>274.95066346638657</v>
      </c>
      <c r="L269" s="629"/>
      <c r="M269" s="630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</row>
    <row r="270" spans="1:32" s="2" customFormat="1" ht="20.100000000000001" customHeight="1">
      <c r="A270" s="585" t="s">
        <v>115</v>
      </c>
      <c r="B270" s="586"/>
      <c r="C270" s="122">
        <v>2</v>
      </c>
      <c r="D270" s="123" t="s">
        <v>31</v>
      </c>
      <c r="E270" s="395">
        <f>'DECK TALLY'!B243</f>
        <v>238</v>
      </c>
      <c r="F270" s="376">
        <f>VLOOKUP(E270,'DECK TALLY'!$B$6:$C$316,2,FALSE)</f>
        <v>33.950000000000003</v>
      </c>
      <c r="G270" s="377">
        <f t="shared" si="16"/>
        <v>33.544499999999999</v>
      </c>
      <c r="H270" s="131" t="s">
        <v>29</v>
      </c>
      <c r="I270" s="246">
        <f t="shared" si="15"/>
        <v>8099.3769999999995</v>
      </c>
      <c r="J270" s="371">
        <f t="shared" si="14"/>
        <v>13255.623</v>
      </c>
      <c r="K270" s="145">
        <f t="shared" si="13"/>
        <v>275.74063772268909</v>
      </c>
      <c r="L270" s="629"/>
      <c r="M270" s="630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</row>
    <row r="271" spans="1:32" s="2" customFormat="1" ht="20.100000000000001" customHeight="1">
      <c r="A271" s="585" t="s">
        <v>115</v>
      </c>
      <c r="B271" s="586"/>
      <c r="C271" s="122">
        <v>2</v>
      </c>
      <c r="D271" s="123" t="s">
        <v>31</v>
      </c>
      <c r="E271" s="320">
        <f>'DECK TALLY'!B244</f>
        <v>239</v>
      </c>
      <c r="F271" s="376">
        <f>VLOOKUP(E271,'DECK TALLY'!$B$6:$C$316,2,FALSE)</f>
        <v>33.950000000000003</v>
      </c>
      <c r="G271" s="377">
        <f t="shared" si="16"/>
        <v>33.544499999999999</v>
      </c>
      <c r="H271" s="131" t="s">
        <v>29</v>
      </c>
      <c r="I271" s="246">
        <f t="shared" si="15"/>
        <v>8132.9214999999995</v>
      </c>
      <c r="J271" s="371">
        <f t="shared" si="14"/>
        <v>13222.0785</v>
      </c>
      <c r="K271" s="145">
        <f t="shared" si="13"/>
        <v>276.5306119789916</v>
      </c>
      <c r="L271" s="629"/>
      <c r="M271" s="630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</row>
    <row r="272" spans="1:32" s="2" customFormat="1" ht="20.100000000000001" customHeight="1">
      <c r="A272" s="585" t="s">
        <v>115</v>
      </c>
      <c r="B272" s="586"/>
      <c r="C272" s="122">
        <v>2</v>
      </c>
      <c r="D272" s="123" t="s">
        <v>31</v>
      </c>
      <c r="E272" s="320">
        <f>'DECK TALLY'!B245</f>
        <v>240</v>
      </c>
      <c r="F272" s="376">
        <f>VLOOKUP(E272,'DECK TALLY'!$B$6:$C$316,2,FALSE)</f>
        <v>33.25</v>
      </c>
      <c r="G272" s="377">
        <f t="shared" si="16"/>
        <v>32.844499999999996</v>
      </c>
      <c r="H272" s="131" t="s">
        <v>29</v>
      </c>
      <c r="I272" s="246">
        <f t="shared" si="15"/>
        <v>8165.7659999999996</v>
      </c>
      <c r="J272" s="371">
        <f t="shared" si="14"/>
        <v>13189.234</v>
      </c>
      <c r="K272" s="145">
        <f t="shared" si="13"/>
        <v>277.30410120855618</v>
      </c>
      <c r="L272" s="629"/>
      <c r="M272" s="630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</row>
    <row r="273" spans="1:32" s="2" customFormat="1" ht="20.100000000000001" customHeight="1">
      <c r="A273" s="585" t="s">
        <v>115</v>
      </c>
      <c r="B273" s="586"/>
      <c r="C273" s="122">
        <v>2</v>
      </c>
      <c r="D273" s="123" t="s">
        <v>31</v>
      </c>
      <c r="E273" s="395">
        <f>'DECK TALLY'!B246</f>
        <v>241</v>
      </c>
      <c r="F273" s="376">
        <f>VLOOKUP(E273,'DECK TALLY'!$B$6:$C$316,2,FALSE)</f>
        <v>33.950000000000003</v>
      </c>
      <c r="G273" s="377">
        <f t="shared" si="16"/>
        <v>33.544499999999999</v>
      </c>
      <c r="H273" s="131" t="s">
        <v>29</v>
      </c>
      <c r="I273" s="246">
        <f t="shared" si="15"/>
        <v>8199.3104999999996</v>
      </c>
      <c r="J273" s="371">
        <f t="shared" si="14"/>
        <v>13155.6895</v>
      </c>
      <c r="K273" s="145">
        <f t="shared" si="13"/>
        <v>278.09407546485863</v>
      </c>
      <c r="L273" s="629"/>
      <c r="M273" s="630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</row>
    <row r="274" spans="1:32" s="2" customFormat="1" ht="20.100000000000001" customHeight="1">
      <c r="A274" s="585" t="s">
        <v>115</v>
      </c>
      <c r="B274" s="586"/>
      <c r="C274" s="122">
        <v>2</v>
      </c>
      <c r="D274" s="123" t="s">
        <v>31</v>
      </c>
      <c r="E274" s="320">
        <f>'DECK TALLY'!B247</f>
        <v>242</v>
      </c>
      <c r="F274" s="376">
        <f>VLOOKUP(E274,'DECK TALLY'!$B$6:$C$316,2,FALSE)</f>
        <v>33.950000000000003</v>
      </c>
      <c r="G274" s="377">
        <f t="shared" si="16"/>
        <v>33.544499999999999</v>
      </c>
      <c r="H274" s="131" t="s">
        <v>29</v>
      </c>
      <c r="I274" s="246">
        <f t="shared" si="15"/>
        <v>8232.8549999999996</v>
      </c>
      <c r="J274" s="371">
        <f t="shared" si="14"/>
        <v>13122.145</v>
      </c>
      <c r="K274" s="145">
        <f t="shared" si="13"/>
        <v>278.8840497211612</v>
      </c>
      <c r="L274" s="629"/>
      <c r="M274" s="630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</row>
    <row r="275" spans="1:32" s="2" customFormat="1" ht="20.100000000000001" customHeight="1">
      <c r="A275" s="585" t="s">
        <v>115</v>
      </c>
      <c r="B275" s="586"/>
      <c r="C275" s="122">
        <v>2</v>
      </c>
      <c r="D275" s="123" t="s">
        <v>31</v>
      </c>
      <c r="E275" s="320">
        <f>'DECK TALLY'!B248</f>
        <v>243</v>
      </c>
      <c r="F275" s="376">
        <f>VLOOKUP(E275,'DECK TALLY'!$B$6:$C$316,2,FALSE)</f>
        <v>33.96</v>
      </c>
      <c r="G275" s="377">
        <f t="shared" si="16"/>
        <v>33.554500000000004</v>
      </c>
      <c r="H275" s="131" t="s">
        <v>29</v>
      </c>
      <c r="I275" s="246">
        <f t="shared" si="15"/>
        <v>8266.4094999999998</v>
      </c>
      <c r="J275" s="371">
        <f t="shared" si="14"/>
        <v>13088.5905</v>
      </c>
      <c r="K275" s="145">
        <f t="shared" si="13"/>
        <v>279.67425947784568</v>
      </c>
      <c r="L275" s="629"/>
      <c r="M275" s="630"/>
      <c r="N275" s="16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</row>
    <row r="276" spans="1:32" s="2" customFormat="1" ht="20.100000000000001" customHeight="1">
      <c r="A276" s="585" t="s">
        <v>115</v>
      </c>
      <c r="B276" s="586"/>
      <c r="C276" s="122">
        <v>2</v>
      </c>
      <c r="D276" s="123" t="s">
        <v>31</v>
      </c>
      <c r="E276" s="395">
        <f>'DECK TALLY'!B249</f>
        <v>244</v>
      </c>
      <c r="F276" s="376">
        <f>VLOOKUP(E276,'DECK TALLY'!$B$6:$C$316,2,FALSE)</f>
        <v>33.96</v>
      </c>
      <c r="G276" s="377">
        <f t="shared" si="16"/>
        <v>33.554500000000004</v>
      </c>
      <c r="H276" s="131" t="s">
        <v>29</v>
      </c>
      <c r="I276" s="246">
        <f t="shared" si="15"/>
        <v>8299.9639999999999</v>
      </c>
      <c r="J276" s="371">
        <f t="shared" si="14"/>
        <v>13055.036</v>
      </c>
      <c r="K276" s="145">
        <f t="shared" ref="K276:K347" si="18">$H$8+(I276*$E$9*$E$15/1000)</f>
        <v>280.46446923453021</v>
      </c>
      <c r="L276" s="629"/>
      <c r="M276" s="630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</row>
    <row r="277" spans="1:32" s="2" customFormat="1" ht="20.100000000000001" customHeight="1">
      <c r="A277" s="585" t="s">
        <v>115</v>
      </c>
      <c r="B277" s="586"/>
      <c r="C277" s="122">
        <v>2</v>
      </c>
      <c r="D277" s="123" t="s">
        <v>31</v>
      </c>
      <c r="E277" s="320">
        <f>'DECK TALLY'!B250</f>
        <v>245</v>
      </c>
      <c r="F277" s="376">
        <f>VLOOKUP(E277,'DECK TALLY'!$B$6:$C$316,2,FALSE)</f>
        <v>33.619999999999997</v>
      </c>
      <c r="G277" s="377">
        <f t="shared" si="16"/>
        <v>33.214500000000001</v>
      </c>
      <c r="H277" s="131" t="s">
        <v>29</v>
      </c>
      <c r="I277" s="246">
        <f t="shared" si="15"/>
        <v>8333.1785</v>
      </c>
      <c r="J277" s="371">
        <f t="shared" ref="J277:J348" si="19">IF(I277="","",$L$10-I277)</f>
        <v>13021.8215</v>
      </c>
      <c r="K277" s="145">
        <f t="shared" si="18"/>
        <v>281.24667197822771</v>
      </c>
      <c r="L277" s="629"/>
      <c r="M277" s="630"/>
      <c r="N277" s="16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</row>
    <row r="278" spans="1:32" s="2" customFormat="1" ht="20.100000000000001" customHeight="1">
      <c r="A278" s="585" t="s">
        <v>115</v>
      </c>
      <c r="B278" s="586"/>
      <c r="C278" s="122">
        <v>2</v>
      </c>
      <c r="D278" s="123" t="s">
        <v>31</v>
      </c>
      <c r="E278" s="320">
        <f>'DECK TALLY'!B251</f>
        <v>246</v>
      </c>
      <c r="F278" s="376">
        <f>VLOOKUP(E278,'DECK TALLY'!$B$6:$C$316,2,FALSE)</f>
        <v>33.86</v>
      </c>
      <c r="G278" s="377">
        <f t="shared" si="16"/>
        <v>33.454499999999996</v>
      </c>
      <c r="H278" s="131" t="s">
        <v>29</v>
      </c>
      <c r="I278" s="246">
        <f t="shared" si="15"/>
        <v>8366.6329999999998</v>
      </c>
      <c r="J278" s="371">
        <f t="shared" si="19"/>
        <v>12988.367</v>
      </c>
      <c r="K278" s="145">
        <f t="shared" si="18"/>
        <v>282.03452673109246</v>
      </c>
      <c r="L278" s="629"/>
      <c r="M278" s="630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</row>
    <row r="279" spans="1:32" s="2" customFormat="1" ht="20.100000000000001" customHeight="1">
      <c r="A279" s="585" t="s">
        <v>115</v>
      </c>
      <c r="B279" s="586"/>
      <c r="C279" s="122">
        <v>2</v>
      </c>
      <c r="D279" s="123" t="s">
        <v>31</v>
      </c>
      <c r="E279" s="395">
        <f>'DECK TALLY'!B252</f>
        <v>247</v>
      </c>
      <c r="F279" s="376">
        <f>VLOOKUP(E279,'DECK TALLY'!$B$6:$C$316,2,FALSE)</f>
        <v>33.909999999999997</v>
      </c>
      <c r="G279" s="377">
        <f t="shared" si="16"/>
        <v>33.504499999999993</v>
      </c>
      <c r="H279" s="131" t="s">
        <v>29</v>
      </c>
      <c r="I279" s="246">
        <f t="shared" si="15"/>
        <v>8400.1374999999989</v>
      </c>
      <c r="J279" s="371">
        <f t="shared" si="19"/>
        <v>12954.862500000001</v>
      </c>
      <c r="K279" s="145">
        <f t="shared" si="18"/>
        <v>282.82355898586707</v>
      </c>
      <c r="L279" s="629"/>
      <c r="M279" s="630"/>
      <c r="N279" s="16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</row>
    <row r="280" spans="1:32" s="2" customFormat="1" ht="20.100000000000001" customHeight="1">
      <c r="A280" s="585" t="s">
        <v>115</v>
      </c>
      <c r="B280" s="586"/>
      <c r="C280" s="122">
        <v>2</v>
      </c>
      <c r="D280" s="123" t="s">
        <v>31</v>
      </c>
      <c r="E280" s="320">
        <f>'DECK TALLY'!B253</f>
        <v>248</v>
      </c>
      <c r="F280" s="376">
        <f>VLOOKUP(E280,'DECK TALLY'!$B$6:$C$316,2,FALSE)</f>
        <v>33.68</v>
      </c>
      <c r="G280" s="377">
        <f t="shared" si="16"/>
        <v>33.274500000000003</v>
      </c>
      <c r="H280" s="131" t="s">
        <v>29</v>
      </c>
      <c r="I280" s="246">
        <f t="shared" si="15"/>
        <v>8433.4119999999984</v>
      </c>
      <c r="J280" s="371">
        <f t="shared" si="19"/>
        <v>12921.588000000002</v>
      </c>
      <c r="K280" s="145">
        <f t="shared" si="18"/>
        <v>283.60717473185639</v>
      </c>
      <c r="L280" s="629"/>
      <c r="M280" s="630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</row>
    <row r="281" spans="1:32" s="2" customFormat="1" ht="20.100000000000001" customHeight="1">
      <c r="A281" s="585" t="s">
        <v>115</v>
      </c>
      <c r="B281" s="586"/>
      <c r="C281" s="122">
        <v>2</v>
      </c>
      <c r="D281" s="123" t="s">
        <v>31</v>
      </c>
      <c r="E281" s="320">
        <f>'DECK TALLY'!B254</f>
        <v>249</v>
      </c>
      <c r="F281" s="376">
        <f>VLOOKUP(E281,'DECK TALLY'!$B$6:$C$316,2,FALSE)</f>
        <v>33.96</v>
      </c>
      <c r="G281" s="377">
        <f t="shared" si="16"/>
        <v>33.554500000000004</v>
      </c>
      <c r="H281" s="131" t="s">
        <v>29</v>
      </c>
      <c r="I281" s="246">
        <f t="shared" si="15"/>
        <v>8466.9664999999986</v>
      </c>
      <c r="J281" s="371">
        <f t="shared" si="19"/>
        <v>12888.033500000001</v>
      </c>
      <c r="K281" s="145">
        <f t="shared" si="18"/>
        <v>284.39738448854087</v>
      </c>
      <c r="L281" s="629"/>
      <c r="M281" s="630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</row>
    <row r="282" spans="1:32" s="2" customFormat="1" ht="20.100000000000001" customHeight="1">
      <c r="A282" s="585" t="s">
        <v>115</v>
      </c>
      <c r="B282" s="586"/>
      <c r="C282" s="122">
        <v>2</v>
      </c>
      <c r="D282" s="123" t="s">
        <v>31</v>
      </c>
      <c r="E282" s="395">
        <f>'DECK TALLY'!B255</f>
        <v>250</v>
      </c>
      <c r="F282" s="376">
        <f>VLOOKUP(E282,'DECK TALLY'!$B$6:$C$316,2,FALSE)</f>
        <v>33.659999999999997</v>
      </c>
      <c r="G282" s="377">
        <f t="shared" si="16"/>
        <v>33.254499999999993</v>
      </c>
      <c r="H282" s="131" t="s">
        <v>29</v>
      </c>
      <c r="I282" s="246">
        <f t="shared" ref="I282:I345" si="20">IF(H282="IN",I281+G282,I281)</f>
        <v>8500.2209999999977</v>
      </c>
      <c r="J282" s="371">
        <f t="shared" si="19"/>
        <v>12854.779000000002</v>
      </c>
      <c r="K282" s="145">
        <f t="shared" si="18"/>
        <v>285.18052923376621</v>
      </c>
      <c r="L282" s="629"/>
      <c r="M282" s="630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</row>
    <row r="283" spans="1:32" s="2" customFormat="1" ht="20.100000000000001" customHeight="1">
      <c r="A283" s="585" t="s">
        <v>115</v>
      </c>
      <c r="B283" s="586"/>
      <c r="C283" s="122">
        <v>2</v>
      </c>
      <c r="D283" s="123" t="s">
        <v>31</v>
      </c>
      <c r="E283" s="320">
        <f>'DECK TALLY'!B256</f>
        <v>251</v>
      </c>
      <c r="F283" s="376">
        <f>VLOOKUP(E283,'DECK TALLY'!$B$6:$C$316,2,FALSE)</f>
        <v>33.51</v>
      </c>
      <c r="G283" s="377">
        <f t="shared" si="16"/>
        <v>33.104500000000002</v>
      </c>
      <c r="H283" s="131" t="s">
        <v>29</v>
      </c>
      <c r="I283" s="246">
        <f t="shared" si="20"/>
        <v>8533.3254999999972</v>
      </c>
      <c r="J283" s="371">
        <f t="shared" si="19"/>
        <v>12821.674500000003</v>
      </c>
      <c r="K283" s="145">
        <f t="shared" si="18"/>
        <v>285.96014147326196</v>
      </c>
      <c r="L283" s="629"/>
      <c r="M283" s="630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</row>
    <row r="284" spans="1:32" s="2" customFormat="1" ht="20.100000000000001" customHeight="1">
      <c r="A284" s="585" t="s">
        <v>115</v>
      </c>
      <c r="B284" s="586"/>
      <c r="C284" s="122">
        <v>2</v>
      </c>
      <c r="D284" s="123" t="s">
        <v>31</v>
      </c>
      <c r="E284" s="320">
        <f>'DECK TALLY'!B257</f>
        <v>252</v>
      </c>
      <c r="F284" s="376">
        <f>VLOOKUP(E284,'DECK TALLY'!$B$6:$C$316,2,FALSE)</f>
        <v>33.590000000000003</v>
      </c>
      <c r="G284" s="377">
        <f t="shared" si="16"/>
        <v>33.1845</v>
      </c>
      <c r="H284" s="131" t="s">
        <v>29</v>
      </c>
      <c r="I284" s="246">
        <f t="shared" si="20"/>
        <v>8566.5099999999966</v>
      </c>
      <c r="J284" s="371">
        <f t="shared" si="19"/>
        <v>12788.490000000003</v>
      </c>
      <c r="K284" s="145">
        <f t="shared" si="18"/>
        <v>286.74163771581357</v>
      </c>
      <c r="L284" s="629"/>
      <c r="M284" s="630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</row>
    <row r="285" spans="1:32" s="2" customFormat="1" ht="20.100000000000001" customHeight="1">
      <c r="A285" s="585" t="s">
        <v>115</v>
      </c>
      <c r="B285" s="586"/>
      <c r="C285" s="122">
        <v>2</v>
      </c>
      <c r="D285" s="123" t="s">
        <v>31</v>
      </c>
      <c r="E285" s="395">
        <f>'DECK TALLY'!B258</f>
        <v>253</v>
      </c>
      <c r="F285" s="376">
        <f>VLOOKUP(E285,'DECK TALLY'!$B$6:$C$316,2,FALSE)</f>
        <v>33.57</v>
      </c>
      <c r="G285" s="377">
        <f t="shared" si="16"/>
        <v>33.164500000000004</v>
      </c>
      <c r="H285" s="131" t="s">
        <v>29</v>
      </c>
      <c r="I285" s="246">
        <f t="shared" si="20"/>
        <v>8599.6744999999974</v>
      </c>
      <c r="J285" s="371">
        <f t="shared" si="19"/>
        <v>12755.325500000003</v>
      </c>
      <c r="K285" s="145">
        <f t="shared" si="18"/>
        <v>287.5226629576012</v>
      </c>
      <c r="L285" s="629"/>
      <c r="M285" s="630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</row>
    <row r="286" spans="1:32" s="2" customFormat="1" ht="20.100000000000001" customHeight="1">
      <c r="A286" s="585" t="s">
        <v>115</v>
      </c>
      <c r="B286" s="586"/>
      <c r="C286" s="122">
        <v>2</v>
      </c>
      <c r="D286" s="123" t="s">
        <v>31</v>
      </c>
      <c r="E286" s="320">
        <f>'DECK TALLY'!B259</f>
        <v>254</v>
      </c>
      <c r="F286" s="376">
        <f>VLOOKUP(E286,'DECK TALLY'!$B$6:$C$316,2,FALSE)</f>
        <v>33.93</v>
      </c>
      <c r="G286" s="377">
        <f t="shared" si="16"/>
        <v>33.524500000000003</v>
      </c>
      <c r="H286" s="131" t="s">
        <v>29</v>
      </c>
      <c r="I286" s="246">
        <f t="shared" si="20"/>
        <v>8633.1989999999969</v>
      </c>
      <c r="J286" s="371">
        <f t="shared" si="19"/>
        <v>12721.801000000003</v>
      </c>
      <c r="K286" s="145">
        <f t="shared" si="18"/>
        <v>288.31216621313973</v>
      </c>
      <c r="L286" s="629"/>
      <c r="M286" s="630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</row>
    <row r="287" spans="1:32" s="2" customFormat="1" ht="20.100000000000001" customHeight="1">
      <c r="A287" s="585" t="s">
        <v>115</v>
      </c>
      <c r="B287" s="586"/>
      <c r="C287" s="122">
        <v>2</v>
      </c>
      <c r="D287" s="123" t="s">
        <v>31</v>
      </c>
      <c r="E287" s="320">
        <f>'DECK TALLY'!B260</f>
        <v>255</v>
      </c>
      <c r="F287" s="376">
        <f>VLOOKUP(E287,'DECK TALLY'!$B$6:$C$316,2,FALSE)</f>
        <v>33.75</v>
      </c>
      <c r="G287" s="377">
        <f t="shared" si="16"/>
        <v>33.344499999999996</v>
      </c>
      <c r="H287" s="131" t="s">
        <v>29</v>
      </c>
      <c r="I287" s="246">
        <f t="shared" si="20"/>
        <v>8666.5434999999961</v>
      </c>
      <c r="J287" s="371">
        <f t="shared" si="19"/>
        <v>12688.456500000004</v>
      </c>
      <c r="K287" s="145">
        <f t="shared" si="18"/>
        <v>289.09743046180279</v>
      </c>
      <c r="L287" s="629"/>
      <c r="M287" s="630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</row>
    <row r="288" spans="1:32" s="2" customFormat="1" ht="20.100000000000001" customHeight="1">
      <c r="A288" s="585" t="s">
        <v>115</v>
      </c>
      <c r="B288" s="586"/>
      <c r="C288" s="122">
        <v>2</v>
      </c>
      <c r="D288" s="123" t="s">
        <v>31</v>
      </c>
      <c r="E288" s="395">
        <f>'DECK TALLY'!B261</f>
        <v>256</v>
      </c>
      <c r="F288" s="376">
        <f>VLOOKUP(E288,'DECK TALLY'!$B$6:$C$316,2,FALSE)</f>
        <v>33.799999999999997</v>
      </c>
      <c r="G288" s="377">
        <f t="shared" si="16"/>
        <v>33.394499999999994</v>
      </c>
      <c r="H288" s="131" t="s">
        <v>29</v>
      </c>
      <c r="I288" s="246">
        <f t="shared" si="20"/>
        <v>8699.9379999999965</v>
      </c>
      <c r="J288" s="371">
        <f t="shared" si="19"/>
        <v>12655.062000000004</v>
      </c>
      <c r="K288" s="145">
        <f t="shared" si="18"/>
        <v>289.88387221237576</v>
      </c>
      <c r="L288" s="629"/>
      <c r="M288" s="630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</row>
    <row r="289" spans="1:32" s="2" customFormat="1" ht="20.100000000000001" customHeight="1">
      <c r="A289" s="585" t="s">
        <v>115</v>
      </c>
      <c r="B289" s="586"/>
      <c r="C289" s="122">
        <v>2</v>
      </c>
      <c r="D289" s="123" t="s">
        <v>31</v>
      </c>
      <c r="E289" s="320">
        <f>'DECK TALLY'!B262</f>
        <v>257</v>
      </c>
      <c r="F289" s="376">
        <f>VLOOKUP(E289,'DECK TALLY'!$B$6:$C$316,2,FALSE)</f>
        <v>33.93</v>
      </c>
      <c r="G289" s="377">
        <f t="shared" si="16"/>
        <v>33.524500000000003</v>
      </c>
      <c r="H289" s="131" t="s">
        <v>29</v>
      </c>
      <c r="I289" s="246">
        <f t="shared" si="20"/>
        <v>8733.462499999996</v>
      </c>
      <c r="J289" s="371">
        <f t="shared" si="19"/>
        <v>12621.537500000004</v>
      </c>
      <c r="K289" s="145">
        <f t="shared" si="18"/>
        <v>290.67337546791435</v>
      </c>
      <c r="L289" s="629"/>
      <c r="M289" s="630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</row>
    <row r="290" spans="1:32" s="2" customFormat="1" ht="20.100000000000001" customHeight="1">
      <c r="A290" s="585" t="s">
        <v>115</v>
      </c>
      <c r="B290" s="586"/>
      <c r="C290" s="122">
        <v>2</v>
      </c>
      <c r="D290" s="123" t="s">
        <v>31</v>
      </c>
      <c r="E290" s="320">
        <f>'DECK TALLY'!B263</f>
        <v>258</v>
      </c>
      <c r="F290" s="376">
        <f>VLOOKUP(E290,'DECK TALLY'!$B$6:$C$316,2,FALSE)</f>
        <v>33.53</v>
      </c>
      <c r="G290" s="377">
        <f t="shared" si="16"/>
        <v>33.124499999999998</v>
      </c>
      <c r="H290" s="131" t="s">
        <v>29</v>
      </c>
      <c r="I290" s="246">
        <f t="shared" si="20"/>
        <v>8766.5869999999959</v>
      </c>
      <c r="J290" s="371">
        <f t="shared" si="19"/>
        <v>12588.413000000004</v>
      </c>
      <c r="K290" s="145">
        <f t="shared" si="18"/>
        <v>291.45345870817408</v>
      </c>
      <c r="L290" s="629"/>
      <c r="M290" s="630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</row>
    <row r="291" spans="1:32" s="2" customFormat="1" ht="20.100000000000001" customHeight="1">
      <c r="A291" s="585" t="s">
        <v>115</v>
      </c>
      <c r="B291" s="586"/>
      <c r="C291" s="122">
        <v>2</v>
      </c>
      <c r="D291" s="123" t="s">
        <v>31</v>
      </c>
      <c r="E291" s="395">
        <f>'DECK TALLY'!B264</f>
        <v>259</v>
      </c>
      <c r="F291" s="376">
        <f>VLOOKUP(E291,'DECK TALLY'!$B$6:$C$316,2,FALSE)</f>
        <v>33.86</v>
      </c>
      <c r="G291" s="377">
        <f t="shared" si="16"/>
        <v>33.454499999999996</v>
      </c>
      <c r="H291" s="131" t="s">
        <v>29</v>
      </c>
      <c r="I291" s="246">
        <f t="shared" si="20"/>
        <v>8800.0414999999957</v>
      </c>
      <c r="J291" s="371">
        <f t="shared" si="19"/>
        <v>12554.958500000004</v>
      </c>
      <c r="K291" s="145">
        <f t="shared" si="18"/>
        <v>292.24131346103889</v>
      </c>
      <c r="L291" s="629"/>
      <c r="M291" s="630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</row>
    <row r="292" spans="1:32" s="2" customFormat="1" ht="20.100000000000001" customHeight="1">
      <c r="A292" s="585" t="s">
        <v>115</v>
      </c>
      <c r="B292" s="586"/>
      <c r="C292" s="122">
        <v>2</v>
      </c>
      <c r="D292" s="123" t="s">
        <v>31</v>
      </c>
      <c r="E292" s="320">
        <f>'DECK TALLY'!B265</f>
        <v>260</v>
      </c>
      <c r="F292" s="376">
        <f>VLOOKUP(E292,'DECK TALLY'!$B$6:$C$316,2,FALSE)</f>
        <v>33.54</v>
      </c>
      <c r="G292" s="377">
        <f t="shared" ref="G292:G325" si="21">F292-($H$12/12)</f>
        <v>33.134500000000003</v>
      </c>
      <c r="H292" s="131" t="s">
        <v>29</v>
      </c>
      <c r="I292" s="246">
        <f t="shared" si="20"/>
        <v>8833.1759999999958</v>
      </c>
      <c r="J292" s="371">
        <f t="shared" si="19"/>
        <v>12521.824000000004</v>
      </c>
      <c r="K292" s="145">
        <f t="shared" si="18"/>
        <v>293.02163220168063</v>
      </c>
      <c r="L292" s="629"/>
      <c r="M292" s="630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</row>
    <row r="293" spans="1:32" s="2" customFormat="1" ht="20.100000000000001" customHeight="1">
      <c r="A293" s="585" t="s">
        <v>115</v>
      </c>
      <c r="B293" s="586"/>
      <c r="C293" s="122">
        <v>2</v>
      </c>
      <c r="D293" s="123" t="s">
        <v>31</v>
      </c>
      <c r="E293" s="320">
        <f>'DECK TALLY'!B266</f>
        <v>261</v>
      </c>
      <c r="F293" s="376">
        <f>VLOOKUP(E293,'DECK TALLY'!$B$6:$C$316,2,FALSE)</f>
        <v>33.35</v>
      </c>
      <c r="G293" s="377">
        <f t="shared" si="21"/>
        <v>32.944500000000005</v>
      </c>
      <c r="H293" s="131" t="s">
        <v>29</v>
      </c>
      <c r="I293" s="246">
        <f t="shared" si="20"/>
        <v>8866.1204999999954</v>
      </c>
      <c r="J293" s="371">
        <f t="shared" si="19"/>
        <v>12488.879500000005</v>
      </c>
      <c r="K293" s="145">
        <f t="shared" si="18"/>
        <v>293.79747643506482</v>
      </c>
      <c r="L293" s="629"/>
      <c r="M293" s="630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</row>
    <row r="294" spans="1:32" s="2" customFormat="1" ht="20.100000000000001" customHeight="1">
      <c r="A294" s="585" t="s">
        <v>115</v>
      </c>
      <c r="B294" s="586"/>
      <c r="C294" s="122">
        <v>2</v>
      </c>
      <c r="D294" s="123" t="s">
        <v>31</v>
      </c>
      <c r="E294" s="395">
        <f>'DECK TALLY'!B267</f>
        <v>262</v>
      </c>
      <c r="F294" s="376">
        <f>VLOOKUP(E294,'DECK TALLY'!$B$6:$C$316,2,FALSE)</f>
        <v>33.93</v>
      </c>
      <c r="G294" s="377">
        <f t="shared" si="21"/>
        <v>33.524500000000003</v>
      </c>
      <c r="H294" s="131" t="s">
        <v>29</v>
      </c>
      <c r="I294" s="246">
        <f t="shared" si="20"/>
        <v>8899.644999999995</v>
      </c>
      <c r="J294" s="371">
        <f t="shared" si="19"/>
        <v>12455.355000000005</v>
      </c>
      <c r="K294" s="145">
        <f t="shared" si="18"/>
        <v>294.58697969060336</v>
      </c>
      <c r="L294" s="629"/>
      <c r="M294" s="630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</row>
    <row r="295" spans="1:32" s="2" customFormat="1" ht="20.100000000000001" customHeight="1">
      <c r="A295" s="585" t="s">
        <v>115</v>
      </c>
      <c r="B295" s="586"/>
      <c r="C295" s="167">
        <v>2</v>
      </c>
      <c r="D295" s="123" t="s">
        <v>31</v>
      </c>
      <c r="E295" s="320">
        <f>'DECK TALLY'!B268</f>
        <v>263</v>
      </c>
      <c r="F295" s="376">
        <f>VLOOKUP(E295,'DECK TALLY'!$B$6:$C$316,2,FALSE)</f>
        <v>33.950000000000003</v>
      </c>
      <c r="G295" s="377">
        <f t="shared" si="21"/>
        <v>33.544499999999999</v>
      </c>
      <c r="H295" s="131" t="s">
        <v>29</v>
      </c>
      <c r="I295" s="246">
        <f t="shared" si="20"/>
        <v>8933.189499999995</v>
      </c>
      <c r="J295" s="371">
        <f t="shared" si="19"/>
        <v>12421.810500000005</v>
      </c>
      <c r="K295" s="145">
        <f t="shared" si="18"/>
        <v>295.37695394690593</v>
      </c>
      <c r="L295" s="629"/>
      <c r="M295" s="630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</row>
    <row r="296" spans="1:32" s="2" customFormat="1" ht="20.100000000000001" customHeight="1" thickBot="1">
      <c r="A296" s="585" t="s">
        <v>115</v>
      </c>
      <c r="B296" s="586"/>
      <c r="C296" s="122">
        <v>2</v>
      </c>
      <c r="D296" s="123" t="s">
        <v>31</v>
      </c>
      <c r="E296" s="320">
        <f>'DECK TALLY'!B269</f>
        <v>264</v>
      </c>
      <c r="F296" s="376">
        <f>VLOOKUP(E296,'DECK TALLY'!$B$6:$C$316,2,FALSE)</f>
        <v>33.950000000000003</v>
      </c>
      <c r="G296" s="377">
        <f t="shared" si="21"/>
        <v>33.544499999999999</v>
      </c>
      <c r="H296" s="131" t="s">
        <v>29</v>
      </c>
      <c r="I296" s="246">
        <f t="shared" si="20"/>
        <v>8966.7339999999949</v>
      </c>
      <c r="J296" s="371">
        <f t="shared" si="19"/>
        <v>12388.266000000005</v>
      </c>
      <c r="K296" s="145">
        <f t="shared" si="18"/>
        <v>296.16692820320844</v>
      </c>
      <c r="L296" s="623" t="s">
        <v>367</v>
      </c>
      <c r="M296" s="624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</row>
    <row r="297" spans="1:32" s="2" customFormat="1" ht="20.100000000000001" customHeight="1">
      <c r="A297" s="585" t="s">
        <v>115</v>
      </c>
      <c r="B297" s="586"/>
      <c r="C297" s="122">
        <v>2</v>
      </c>
      <c r="D297" s="123" t="s">
        <v>31</v>
      </c>
      <c r="E297" s="395">
        <f>'DECK TALLY'!B270</f>
        <v>265</v>
      </c>
      <c r="F297" s="376">
        <f>VLOOKUP(E297,'DECK TALLY'!$B$6:$C$316,2,FALSE)</f>
        <v>33.950000000000003</v>
      </c>
      <c r="G297" s="377">
        <f t="shared" si="21"/>
        <v>33.544499999999999</v>
      </c>
      <c r="H297" s="131" t="s">
        <v>29</v>
      </c>
      <c r="I297" s="246">
        <f t="shared" si="20"/>
        <v>9000.2784999999949</v>
      </c>
      <c r="J297" s="371">
        <f t="shared" si="19"/>
        <v>12354.721500000005</v>
      </c>
      <c r="K297" s="145">
        <f t="shared" si="18"/>
        <v>296.95690245951096</v>
      </c>
      <c r="L297" s="605" t="s">
        <v>368</v>
      </c>
      <c r="M297" s="606"/>
      <c r="N297" s="579" t="s">
        <v>211</v>
      </c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</row>
    <row r="298" spans="1:32" s="2" customFormat="1" ht="20.100000000000001" customHeight="1">
      <c r="A298" s="631" t="s">
        <v>115</v>
      </c>
      <c r="B298" s="632"/>
      <c r="C298" s="316">
        <v>1</v>
      </c>
      <c r="D298" s="176" t="s">
        <v>31</v>
      </c>
      <c r="E298" s="321">
        <f>'DECK TALLY'!B271</f>
        <v>266</v>
      </c>
      <c r="F298" s="374">
        <f>VLOOKUP(E298,'DECK TALLY'!$B$6:$C$316,2,FALSE)</f>
        <v>33.950000000000003</v>
      </c>
      <c r="G298" s="375">
        <f t="shared" si="21"/>
        <v>33.544499999999999</v>
      </c>
      <c r="H298" s="177" t="s">
        <v>29</v>
      </c>
      <c r="I298" s="243">
        <f t="shared" si="20"/>
        <v>9033.8229999999949</v>
      </c>
      <c r="J298" s="370">
        <f t="shared" si="19"/>
        <v>12321.177000000005</v>
      </c>
      <c r="K298" s="178">
        <f t="shared" si="18"/>
        <v>297.74687671581353</v>
      </c>
      <c r="L298" s="636" t="s">
        <v>366</v>
      </c>
      <c r="M298" s="637"/>
      <c r="N298" s="635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</row>
    <row r="299" spans="1:32" s="2" customFormat="1" ht="20.100000000000001" customHeight="1">
      <c r="A299" s="642" t="s">
        <v>115</v>
      </c>
      <c r="B299" s="643"/>
      <c r="C299" s="122">
        <v>2</v>
      </c>
      <c r="D299" s="123" t="s">
        <v>31</v>
      </c>
      <c r="E299" s="320">
        <f>'DECK TALLY'!B272</f>
        <v>267</v>
      </c>
      <c r="F299" s="376">
        <f>VLOOKUP(E299,'DECK TALLY'!$B$6:$C$316,2,FALSE)</f>
        <v>33.96</v>
      </c>
      <c r="G299" s="377">
        <f t="shared" si="21"/>
        <v>33.554500000000004</v>
      </c>
      <c r="H299" s="131" t="s">
        <v>29</v>
      </c>
      <c r="I299" s="246">
        <f t="shared" si="20"/>
        <v>9067.3774999999951</v>
      </c>
      <c r="J299" s="371">
        <f t="shared" si="19"/>
        <v>12287.622500000005</v>
      </c>
      <c r="K299" s="145">
        <f t="shared" si="18"/>
        <v>298.537086472498</v>
      </c>
      <c r="L299" s="204" t="s">
        <v>208</v>
      </c>
      <c r="M299" s="205">
        <f>SUM(J298-4)</f>
        <v>12317.177000000005</v>
      </c>
      <c r="N299" s="212">
        <v>12328</v>
      </c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</row>
    <row r="300" spans="1:32" s="2" customFormat="1" ht="20.100000000000001" customHeight="1" thickBot="1">
      <c r="A300" s="581" t="s">
        <v>329</v>
      </c>
      <c r="B300" s="582"/>
      <c r="C300" s="316">
        <v>1</v>
      </c>
      <c r="D300" s="203" t="s">
        <v>31</v>
      </c>
      <c r="E300" s="318" t="str">
        <f>'DECK TALLY'!F10</f>
        <v>P 5</v>
      </c>
      <c r="F300" s="372">
        <f>'DECK TALLY'!G10</f>
        <v>10.220000000000001</v>
      </c>
      <c r="G300" s="373">
        <f t="shared" si="21"/>
        <v>9.8145000000000007</v>
      </c>
      <c r="H300" s="394" t="s">
        <v>29</v>
      </c>
      <c r="I300" s="242">
        <f t="shared" si="20"/>
        <v>9077.1919999999955</v>
      </c>
      <c r="J300" s="369">
        <f t="shared" si="19"/>
        <v>12277.808000000005</v>
      </c>
      <c r="K300" s="170">
        <f t="shared" si="18"/>
        <v>298.7682183223834</v>
      </c>
      <c r="L300" s="650" t="s">
        <v>233</v>
      </c>
      <c r="M300" s="651"/>
      <c r="N300" s="251">
        <f>SUM(M299-N299)</f>
        <v>-10.822999999994863</v>
      </c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</row>
    <row r="301" spans="1:32" s="2" customFormat="1" ht="20.100000000000001" customHeight="1">
      <c r="A301" s="585" t="s">
        <v>115</v>
      </c>
      <c r="B301" s="586"/>
      <c r="C301" s="167">
        <v>2</v>
      </c>
      <c r="D301" s="123" t="s">
        <v>31</v>
      </c>
      <c r="E301" s="320">
        <f>'DECK TALLY'!B273</f>
        <v>268</v>
      </c>
      <c r="F301" s="376">
        <f>VLOOKUP(E301,'DECK TALLY'!$B$6:$C$316,2,FALSE)</f>
        <v>33.950000000000003</v>
      </c>
      <c r="G301" s="377">
        <f t="shared" si="21"/>
        <v>33.544499999999999</v>
      </c>
      <c r="H301" s="131" t="s">
        <v>29</v>
      </c>
      <c r="I301" s="246">
        <f t="shared" si="20"/>
        <v>9110.7364999999954</v>
      </c>
      <c r="J301" s="371">
        <f t="shared" si="19"/>
        <v>12244.263500000005</v>
      </c>
      <c r="K301" s="145">
        <f t="shared" si="18"/>
        <v>299.55819257868592</v>
      </c>
      <c r="L301" s="629"/>
      <c r="M301" s="630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</row>
    <row r="302" spans="1:32" s="2" customFormat="1" ht="20.100000000000001" customHeight="1">
      <c r="A302" s="585" t="s">
        <v>115</v>
      </c>
      <c r="B302" s="586"/>
      <c r="C302" s="167">
        <v>2</v>
      </c>
      <c r="D302" s="123" t="s">
        <v>31</v>
      </c>
      <c r="E302" s="320">
        <f>'DECK TALLY'!B274</f>
        <v>269</v>
      </c>
      <c r="F302" s="376">
        <f>VLOOKUP(E302,'DECK TALLY'!$B$6:$C$316,2,FALSE)</f>
        <v>33.950000000000003</v>
      </c>
      <c r="G302" s="377">
        <f t="shared" si="21"/>
        <v>33.544499999999999</v>
      </c>
      <c r="H302" s="131" t="s">
        <v>29</v>
      </c>
      <c r="I302" s="246">
        <f t="shared" si="20"/>
        <v>9144.2809999999954</v>
      </c>
      <c r="J302" s="371">
        <f t="shared" si="19"/>
        <v>12210.719000000005</v>
      </c>
      <c r="K302" s="145">
        <f t="shared" si="18"/>
        <v>300.34816683498843</v>
      </c>
      <c r="L302" s="629"/>
      <c r="M302" s="630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</row>
    <row r="303" spans="1:32" s="2" customFormat="1" ht="20.100000000000001" customHeight="1">
      <c r="A303" s="585" t="s">
        <v>115</v>
      </c>
      <c r="B303" s="586"/>
      <c r="C303" s="167">
        <v>2</v>
      </c>
      <c r="D303" s="123" t="s">
        <v>31</v>
      </c>
      <c r="E303" s="320">
        <f>'DECK TALLY'!B275</f>
        <v>270</v>
      </c>
      <c r="F303" s="376">
        <f>VLOOKUP(E303,'DECK TALLY'!$B$6:$C$316,2,FALSE)</f>
        <v>33.950000000000003</v>
      </c>
      <c r="G303" s="377">
        <f t="shared" si="21"/>
        <v>33.544499999999999</v>
      </c>
      <c r="H303" s="131" t="s">
        <v>29</v>
      </c>
      <c r="I303" s="246">
        <f t="shared" si="20"/>
        <v>9177.8254999999954</v>
      </c>
      <c r="J303" s="371">
        <f t="shared" si="19"/>
        <v>12177.174500000005</v>
      </c>
      <c r="K303" s="145">
        <f t="shared" si="18"/>
        <v>301.13814109129095</v>
      </c>
      <c r="L303" s="629"/>
      <c r="M303" s="630"/>
      <c r="N303" s="143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</row>
    <row r="304" spans="1:32" s="2" customFormat="1" ht="20.100000000000001" customHeight="1">
      <c r="A304" s="585" t="s">
        <v>115</v>
      </c>
      <c r="B304" s="586"/>
      <c r="C304" s="122">
        <v>2</v>
      </c>
      <c r="D304" s="123" t="s">
        <v>31</v>
      </c>
      <c r="E304" s="320">
        <f>'DECK TALLY'!B276</f>
        <v>271</v>
      </c>
      <c r="F304" s="376">
        <f>VLOOKUP(E304,'DECK TALLY'!$B$6:$C$316,2,FALSE)</f>
        <v>33.94</v>
      </c>
      <c r="G304" s="377">
        <f t="shared" si="21"/>
        <v>33.534499999999994</v>
      </c>
      <c r="H304" s="131" t="s">
        <v>29</v>
      </c>
      <c r="I304" s="246">
        <f t="shared" si="20"/>
        <v>9211.3599999999951</v>
      </c>
      <c r="J304" s="371">
        <f t="shared" si="19"/>
        <v>12143.640000000005</v>
      </c>
      <c r="K304" s="145">
        <f t="shared" si="18"/>
        <v>301.92787984721156</v>
      </c>
      <c r="L304" s="629"/>
      <c r="M304" s="630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</row>
    <row r="305" spans="1:32" s="2" customFormat="1" ht="20.100000000000001" customHeight="1">
      <c r="A305" s="585" t="s">
        <v>115</v>
      </c>
      <c r="B305" s="586"/>
      <c r="C305" s="122">
        <v>2</v>
      </c>
      <c r="D305" s="123" t="s">
        <v>31</v>
      </c>
      <c r="E305" s="320">
        <f>'DECK TALLY'!B277</f>
        <v>272</v>
      </c>
      <c r="F305" s="376">
        <f>VLOOKUP(E305,'DECK TALLY'!$B$6:$C$316,2,FALSE)</f>
        <v>33.799999999999997</v>
      </c>
      <c r="G305" s="377">
        <f t="shared" si="21"/>
        <v>33.394499999999994</v>
      </c>
      <c r="H305" s="131" t="s">
        <v>29</v>
      </c>
      <c r="I305" s="246">
        <f t="shared" si="20"/>
        <v>9244.7544999999955</v>
      </c>
      <c r="J305" s="371">
        <f t="shared" si="19"/>
        <v>12110.245500000005</v>
      </c>
      <c r="K305" s="145">
        <f t="shared" si="18"/>
        <v>302.71432159778448</v>
      </c>
      <c r="L305" s="629"/>
      <c r="M305" s="630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</row>
    <row r="306" spans="1:32" s="2" customFormat="1" ht="20.100000000000001" customHeight="1">
      <c r="A306" s="585" t="s">
        <v>115</v>
      </c>
      <c r="B306" s="586"/>
      <c r="C306" s="122">
        <v>2</v>
      </c>
      <c r="D306" s="123" t="s">
        <v>31</v>
      </c>
      <c r="E306" s="320">
        <f>'DECK TALLY'!B278</f>
        <v>273</v>
      </c>
      <c r="F306" s="376">
        <f>VLOOKUP(E306,'DECK TALLY'!$B$6:$C$316,2,FALSE)</f>
        <v>33.94</v>
      </c>
      <c r="G306" s="377">
        <f t="shared" si="21"/>
        <v>33.534499999999994</v>
      </c>
      <c r="H306" s="131" t="s">
        <v>29</v>
      </c>
      <c r="I306" s="246">
        <f t="shared" si="20"/>
        <v>9278.2889999999952</v>
      </c>
      <c r="J306" s="371">
        <f t="shared" si="19"/>
        <v>12076.711000000005</v>
      </c>
      <c r="K306" s="145">
        <f t="shared" si="18"/>
        <v>303.50406035370503</v>
      </c>
      <c r="L306" s="629"/>
      <c r="M306" s="630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</row>
    <row r="307" spans="1:32" s="2" customFormat="1" ht="20.100000000000001" customHeight="1">
      <c r="A307" s="585" t="s">
        <v>115</v>
      </c>
      <c r="B307" s="586"/>
      <c r="C307" s="122">
        <v>2</v>
      </c>
      <c r="D307" s="123" t="s">
        <v>31</v>
      </c>
      <c r="E307" s="320">
        <f>'DECK TALLY'!B279</f>
        <v>274</v>
      </c>
      <c r="F307" s="376">
        <f>VLOOKUP(E307,'DECK TALLY'!$B$6:$C$316,2,FALSE)</f>
        <v>33.94</v>
      </c>
      <c r="G307" s="377">
        <f t="shared" si="21"/>
        <v>33.534499999999994</v>
      </c>
      <c r="H307" s="131" t="s">
        <v>29</v>
      </c>
      <c r="I307" s="246">
        <f t="shared" si="20"/>
        <v>9311.823499999995</v>
      </c>
      <c r="J307" s="371">
        <f t="shared" si="19"/>
        <v>12043.176500000005</v>
      </c>
      <c r="K307" s="145">
        <f t="shared" si="18"/>
        <v>304.29379910962552</v>
      </c>
      <c r="L307" s="629"/>
      <c r="M307" s="630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</row>
    <row r="308" spans="1:32" s="2" customFormat="1" ht="20.100000000000001" customHeight="1" thickBot="1">
      <c r="A308" s="585" t="s">
        <v>115</v>
      </c>
      <c r="B308" s="586"/>
      <c r="C308" s="122">
        <v>2</v>
      </c>
      <c r="D308" s="123" t="s">
        <v>31</v>
      </c>
      <c r="E308" s="320">
        <f>'DECK TALLY'!B280</f>
        <v>275</v>
      </c>
      <c r="F308" s="376">
        <f>VLOOKUP(E308,'DECK TALLY'!$B$6:$C$316,2,FALSE)</f>
        <v>33.94</v>
      </c>
      <c r="G308" s="377">
        <f t="shared" si="21"/>
        <v>33.534499999999994</v>
      </c>
      <c r="H308" s="131" t="s">
        <v>29</v>
      </c>
      <c r="I308" s="246">
        <f t="shared" si="20"/>
        <v>9345.3579999999947</v>
      </c>
      <c r="J308" s="371">
        <f t="shared" si="19"/>
        <v>12009.642000000005</v>
      </c>
      <c r="K308" s="145">
        <f t="shared" si="18"/>
        <v>305.08353786554613</v>
      </c>
      <c r="L308" s="629"/>
      <c r="M308" s="630"/>
      <c r="N308" s="121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</row>
    <row r="309" spans="1:32" s="2" customFormat="1" ht="20.100000000000001" customHeight="1">
      <c r="A309" s="585" t="s">
        <v>115</v>
      </c>
      <c r="B309" s="586"/>
      <c r="C309" s="122">
        <v>2</v>
      </c>
      <c r="D309" s="123" t="s">
        <v>31</v>
      </c>
      <c r="E309" s="320">
        <f>'DECK TALLY'!B281</f>
        <v>276</v>
      </c>
      <c r="F309" s="376">
        <f>VLOOKUP(E309,'DECK TALLY'!$B$6:$C$316,2,FALSE)</f>
        <v>33.94</v>
      </c>
      <c r="G309" s="377">
        <f t="shared" si="21"/>
        <v>33.534499999999994</v>
      </c>
      <c r="H309" s="131" t="s">
        <v>29</v>
      </c>
      <c r="I309" s="246">
        <f t="shared" si="20"/>
        <v>9378.8924999999945</v>
      </c>
      <c r="J309" s="371">
        <f t="shared" si="19"/>
        <v>11976.107500000006</v>
      </c>
      <c r="K309" s="145">
        <f t="shared" si="18"/>
        <v>305.87327662146663</v>
      </c>
      <c r="L309" s="247" t="s">
        <v>243</v>
      </c>
      <c r="M309" s="334">
        <v>306</v>
      </c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</row>
    <row r="310" spans="1:32" s="2" customFormat="1" ht="20.100000000000001" customHeight="1">
      <c r="A310" s="585" t="s">
        <v>115</v>
      </c>
      <c r="B310" s="586"/>
      <c r="C310" s="122">
        <v>2</v>
      </c>
      <c r="D310" s="123" t="s">
        <v>31</v>
      </c>
      <c r="E310" s="320">
        <f>'DECK TALLY'!B282</f>
        <v>277</v>
      </c>
      <c r="F310" s="376">
        <f>VLOOKUP(E310,'DECK TALLY'!$B$6:$C$316,2,FALSE)</f>
        <v>33.94</v>
      </c>
      <c r="G310" s="377">
        <f t="shared" si="21"/>
        <v>33.534499999999994</v>
      </c>
      <c r="H310" s="131" t="s">
        <v>29</v>
      </c>
      <c r="I310" s="246">
        <f t="shared" si="20"/>
        <v>9412.4269999999942</v>
      </c>
      <c r="J310" s="371">
        <f t="shared" si="19"/>
        <v>11942.573000000006</v>
      </c>
      <c r="K310" s="145">
        <f t="shared" si="18"/>
        <v>306.66301537738718</v>
      </c>
      <c r="L310" s="209" t="s">
        <v>244</v>
      </c>
      <c r="M310" s="335">
        <v>285</v>
      </c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</row>
    <row r="311" spans="1:32" s="2" customFormat="1" ht="20.100000000000001" customHeight="1" thickBot="1">
      <c r="A311" s="585" t="s">
        <v>115</v>
      </c>
      <c r="B311" s="586"/>
      <c r="C311" s="122">
        <v>2</v>
      </c>
      <c r="D311" s="123" t="s">
        <v>31</v>
      </c>
      <c r="E311" s="320">
        <f>'DECK TALLY'!B283</f>
        <v>278</v>
      </c>
      <c r="F311" s="376">
        <f>VLOOKUP(E311,'DECK TALLY'!$B$6:$C$316,2,FALSE)</f>
        <v>33.950000000000003</v>
      </c>
      <c r="G311" s="377">
        <f t="shared" si="21"/>
        <v>33.544499999999999</v>
      </c>
      <c r="H311" s="131" t="s">
        <v>29</v>
      </c>
      <c r="I311" s="246">
        <f t="shared" si="20"/>
        <v>9445.9714999999942</v>
      </c>
      <c r="J311" s="371">
        <f t="shared" si="19"/>
        <v>11909.028500000006</v>
      </c>
      <c r="K311" s="145">
        <f t="shared" si="18"/>
        <v>307.45298963368975</v>
      </c>
      <c r="L311" s="248" t="s">
        <v>245</v>
      </c>
      <c r="M311" s="337">
        <f>M309-M310</f>
        <v>21</v>
      </c>
      <c r="N311" s="477" t="s">
        <v>372</v>
      </c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</row>
    <row r="312" spans="1:32" s="2" customFormat="1" ht="20.100000000000001" customHeight="1">
      <c r="A312" s="585" t="s">
        <v>115</v>
      </c>
      <c r="B312" s="586"/>
      <c r="C312" s="122">
        <v>2</v>
      </c>
      <c r="D312" s="123" t="s">
        <v>31</v>
      </c>
      <c r="E312" s="320">
        <f>'DECK TALLY'!B284</f>
        <v>279</v>
      </c>
      <c r="F312" s="376">
        <f>VLOOKUP(E312,'DECK TALLY'!$B$6:$C$316,2,FALSE)</f>
        <v>33.94</v>
      </c>
      <c r="G312" s="377">
        <f t="shared" si="21"/>
        <v>33.534499999999994</v>
      </c>
      <c r="H312" s="131" t="s">
        <v>29</v>
      </c>
      <c r="I312" s="246">
        <f t="shared" si="20"/>
        <v>9479.5059999999939</v>
      </c>
      <c r="J312" s="371">
        <f t="shared" si="19"/>
        <v>11875.494000000006</v>
      </c>
      <c r="K312" s="145">
        <f t="shared" si="18"/>
        <v>308.24272838961025</v>
      </c>
      <c r="L312" s="336" t="s">
        <v>246</v>
      </c>
      <c r="M312" s="334">
        <v>7</v>
      </c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</row>
    <row r="313" spans="1:32" s="2" customFormat="1" ht="20.100000000000001" customHeight="1">
      <c r="A313" s="585" t="s">
        <v>115</v>
      </c>
      <c r="B313" s="586"/>
      <c r="C313" s="122">
        <v>2</v>
      </c>
      <c r="D313" s="123" t="s">
        <v>31</v>
      </c>
      <c r="E313" s="320">
        <f>'DECK TALLY'!B285</f>
        <v>280</v>
      </c>
      <c r="F313" s="376">
        <f>VLOOKUP(E313,'DECK TALLY'!$B$6:$C$316,2,FALSE)</f>
        <v>33.950000000000003</v>
      </c>
      <c r="G313" s="377">
        <f t="shared" si="21"/>
        <v>33.544499999999999</v>
      </c>
      <c r="H313" s="131" t="s">
        <v>29</v>
      </c>
      <c r="I313" s="246">
        <f t="shared" si="20"/>
        <v>9513.0504999999939</v>
      </c>
      <c r="J313" s="371">
        <f t="shared" si="19"/>
        <v>11841.949500000006</v>
      </c>
      <c r="K313" s="145">
        <f t="shared" si="18"/>
        <v>309.03270264591276</v>
      </c>
      <c r="L313" s="333" t="s">
        <v>247</v>
      </c>
      <c r="M313" s="335">
        <v>5</v>
      </c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</row>
    <row r="314" spans="1:32" s="2" customFormat="1" ht="20.100000000000001" customHeight="1" thickBot="1">
      <c r="A314" s="585" t="s">
        <v>115</v>
      </c>
      <c r="B314" s="586"/>
      <c r="C314" s="122">
        <v>2</v>
      </c>
      <c r="D314" s="123" t="s">
        <v>31</v>
      </c>
      <c r="E314" s="320">
        <f>'DECK TALLY'!B286</f>
        <v>281</v>
      </c>
      <c r="F314" s="376">
        <f>VLOOKUP(E314,'DECK TALLY'!$B$6:$C$316,2,FALSE)</f>
        <v>33.83</v>
      </c>
      <c r="G314" s="377">
        <f t="shared" si="21"/>
        <v>33.424499999999995</v>
      </c>
      <c r="H314" s="131" t="s">
        <v>29</v>
      </c>
      <c r="I314" s="246">
        <f t="shared" si="20"/>
        <v>9546.4749999999931</v>
      </c>
      <c r="J314" s="371">
        <f t="shared" si="19"/>
        <v>11808.525000000007</v>
      </c>
      <c r="K314" s="145">
        <f t="shared" si="18"/>
        <v>309.81985089763157</v>
      </c>
      <c r="L314" s="248" t="s">
        <v>245</v>
      </c>
      <c r="M314" s="337">
        <f>SUM(M312-M313)</f>
        <v>2</v>
      </c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</row>
    <row r="315" spans="1:32" s="2" customFormat="1" ht="20.100000000000001" customHeight="1" thickBot="1">
      <c r="A315" s="585" t="s">
        <v>115</v>
      </c>
      <c r="B315" s="586"/>
      <c r="C315" s="122">
        <v>2</v>
      </c>
      <c r="D315" s="123" t="s">
        <v>31</v>
      </c>
      <c r="E315" s="320">
        <f>'DECK TALLY'!B287</f>
        <v>282</v>
      </c>
      <c r="F315" s="376">
        <f>VLOOKUP(E315,'DECK TALLY'!$B$6:$C$316,2,FALSE)</f>
        <v>33.950000000000003</v>
      </c>
      <c r="G315" s="377">
        <f t="shared" si="21"/>
        <v>33.544499999999999</v>
      </c>
      <c r="H315" s="131" t="s">
        <v>29</v>
      </c>
      <c r="I315" s="246">
        <f t="shared" si="20"/>
        <v>9580.0194999999931</v>
      </c>
      <c r="J315" s="371">
        <f t="shared" si="19"/>
        <v>11774.980500000007</v>
      </c>
      <c r="K315" s="145">
        <f t="shared" si="18"/>
        <v>310.60982515393414</v>
      </c>
      <c r="L315" s="652"/>
      <c r="M315" s="653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</row>
    <row r="316" spans="1:32" s="2" customFormat="1" ht="20.100000000000001" customHeight="1">
      <c r="A316" s="585" t="s">
        <v>115</v>
      </c>
      <c r="B316" s="586"/>
      <c r="C316" s="122">
        <v>2</v>
      </c>
      <c r="D316" s="123" t="s">
        <v>31</v>
      </c>
      <c r="E316" s="320">
        <f>'DECK TALLY'!B288</f>
        <v>283</v>
      </c>
      <c r="F316" s="376">
        <f>VLOOKUP(E316,'DECK TALLY'!$B$6:$C$316,2,FALSE)</f>
        <v>33.950000000000003</v>
      </c>
      <c r="G316" s="377">
        <f t="shared" si="21"/>
        <v>33.544499999999999</v>
      </c>
      <c r="H316" s="131" t="s">
        <v>29</v>
      </c>
      <c r="I316" s="246">
        <f t="shared" si="20"/>
        <v>9613.563999999993</v>
      </c>
      <c r="J316" s="371">
        <f t="shared" si="19"/>
        <v>11741.436000000007</v>
      </c>
      <c r="K316" s="145">
        <f t="shared" si="18"/>
        <v>311.39979941023671</v>
      </c>
      <c r="L316" s="605" t="s">
        <v>365</v>
      </c>
      <c r="M316" s="654"/>
      <c r="N316" s="579" t="s">
        <v>211</v>
      </c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</row>
    <row r="317" spans="1:32" s="2" customFormat="1" ht="20.100000000000001" customHeight="1">
      <c r="A317" s="585" t="s">
        <v>115</v>
      </c>
      <c r="B317" s="586"/>
      <c r="C317" s="122">
        <v>2</v>
      </c>
      <c r="D317" s="123" t="s">
        <v>31</v>
      </c>
      <c r="E317" s="320">
        <f>'DECK TALLY'!B289</f>
        <v>284</v>
      </c>
      <c r="F317" s="376">
        <f>VLOOKUP(E317,'DECK TALLY'!$B$6:$C$316,2,FALSE)</f>
        <v>33.94</v>
      </c>
      <c r="G317" s="377">
        <f t="shared" si="21"/>
        <v>33.534499999999994</v>
      </c>
      <c r="H317" s="131" t="s">
        <v>29</v>
      </c>
      <c r="I317" s="246">
        <f t="shared" si="20"/>
        <v>9647.0984999999928</v>
      </c>
      <c r="J317" s="371">
        <f t="shared" si="19"/>
        <v>11707.901500000007</v>
      </c>
      <c r="K317" s="145">
        <f t="shared" si="18"/>
        <v>312.18953816615721</v>
      </c>
      <c r="L317" s="583" t="s">
        <v>242</v>
      </c>
      <c r="M317" s="584"/>
      <c r="N317" s="580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</row>
    <row r="318" spans="1:32" s="2" customFormat="1" ht="20.100000000000001" customHeight="1">
      <c r="A318" s="585" t="s">
        <v>115</v>
      </c>
      <c r="B318" s="586"/>
      <c r="C318" s="122">
        <v>2</v>
      </c>
      <c r="D318" s="123" t="s">
        <v>31</v>
      </c>
      <c r="E318" s="320">
        <f>'DECK TALLY'!B290</f>
        <v>285</v>
      </c>
      <c r="F318" s="376">
        <f>VLOOKUP(E318,'DECK TALLY'!$B$6:$C$316,2,FALSE)</f>
        <v>33.950000000000003</v>
      </c>
      <c r="G318" s="377">
        <f t="shared" si="21"/>
        <v>33.544499999999999</v>
      </c>
      <c r="H318" s="131" t="s">
        <v>29</v>
      </c>
      <c r="I318" s="246">
        <f t="shared" si="20"/>
        <v>9680.6429999999928</v>
      </c>
      <c r="J318" s="371">
        <f t="shared" si="19"/>
        <v>11674.357000000007</v>
      </c>
      <c r="K318" s="145">
        <f t="shared" si="18"/>
        <v>312.97951242245972</v>
      </c>
      <c r="L318" s="204" t="s">
        <v>208</v>
      </c>
      <c r="M318" s="205">
        <f>J318-4</f>
        <v>11670.357000000007</v>
      </c>
      <c r="N318" s="419">
        <f>J327</f>
        <v>11572.423500000006</v>
      </c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</row>
    <row r="319" spans="1:32" s="2" customFormat="1" ht="20.100000000000001" customHeight="1" thickBot="1">
      <c r="A319" s="631" t="s">
        <v>115</v>
      </c>
      <c r="B319" s="632"/>
      <c r="C319" s="396">
        <v>2</v>
      </c>
      <c r="D319" s="176" t="s">
        <v>31</v>
      </c>
      <c r="E319" s="321">
        <f>'DECK TALLY'!B291</f>
        <v>286</v>
      </c>
      <c r="F319" s="374">
        <f>VLOOKUP(E319,'DECK TALLY'!$B$6:$C$316,2,FALSE)</f>
        <v>33.94</v>
      </c>
      <c r="G319" s="375">
        <f t="shared" si="21"/>
        <v>33.534499999999994</v>
      </c>
      <c r="H319" s="177" t="s">
        <v>29</v>
      </c>
      <c r="I319" s="243">
        <f t="shared" si="20"/>
        <v>9714.1774999999925</v>
      </c>
      <c r="J319" s="370">
        <f t="shared" si="19"/>
        <v>11640.822500000007</v>
      </c>
      <c r="K319" s="178">
        <f t="shared" si="18"/>
        <v>313.76925117838027</v>
      </c>
      <c r="L319" s="675" t="s">
        <v>373</v>
      </c>
      <c r="M319" s="676"/>
      <c r="N319" s="251">
        <f>SUM(N318-M318)</f>
        <v>-97.933500000001004</v>
      </c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</row>
    <row r="320" spans="1:32" s="2" customFormat="1" ht="20.100000000000001" customHeight="1">
      <c r="A320" s="585" t="s">
        <v>115</v>
      </c>
      <c r="B320" s="586"/>
      <c r="C320" s="122">
        <v>2</v>
      </c>
      <c r="D320" s="123" t="s">
        <v>31</v>
      </c>
      <c r="E320" s="320">
        <f>'DECK TALLY'!B292</f>
        <v>287</v>
      </c>
      <c r="F320" s="376">
        <f>VLOOKUP(E320,'DECK TALLY'!$B$6:$C$316,2,FALSE)</f>
        <v>31.21</v>
      </c>
      <c r="G320" s="377">
        <f t="shared" si="21"/>
        <v>30.804500000000001</v>
      </c>
      <c r="H320" s="131" t="s">
        <v>29</v>
      </c>
      <c r="I320" s="246">
        <f t="shared" si="20"/>
        <v>9744.9819999999927</v>
      </c>
      <c r="J320" s="371">
        <f t="shared" si="19"/>
        <v>11610.018000000007</v>
      </c>
      <c r="K320" s="145">
        <f t="shared" si="18"/>
        <v>314.49469833002274</v>
      </c>
      <c r="L320" s="677"/>
      <c r="M320" s="678"/>
      <c r="N320" s="398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</row>
    <row r="321" spans="1:32" s="2" customFormat="1" ht="20.100000000000001" hidden="1" customHeight="1">
      <c r="A321" s="585" t="s">
        <v>115</v>
      </c>
      <c r="B321" s="586"/>
      <c r="C321" s="122">
        <v>7</v>
      </c>
      <c r="D321" s="123" t="s">
        <v>31</v>
      </c>
      <c r="E321" s="320">
        <v>284</v>
      </c>
      <c r="F321" s="376">
        <f>VLOOKUP(E321,'DECK TALLY'!$B$6:$C$316,2,FALSE)</f>
        <v>33.94</v>
      </c>
      <c r="G321" s="377">
        <f t="shared" si="21"/>
        <v>33.534499999999994</v>
      </c>
      <c r="H321" s="131" t="s">
        <v>32</v>
      </c>
      <c r="I321" s="246">
        <f t="shared" si="20"/>
        <v>9744.9819999999927</v>
      </c>
      <c r="J321" s="371">
        <f t="shared" si="19"/>
        <v>11610.018000000007</v>
      </c>
      <c r="K321" s="145">
        <f t="shared" si="18"/>
        <v>314.49469833002274</v>
      </c>
      <c r="L321" s="679"/>
      <c r="M321" s="680"/>
      <c r="N321" s="39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</row>
    <row r="322" spans="1:32" s="2" customFormat="1" ht="20.100000000000001" hidden="1" customHeight="1">
      <c r="A322" s="585" t="s">
        <v>115</v>
      </c>
      <c r="B322" s="586"/>
      <c r="C322" s="167">
        <v>2</v>
      </c>
      <c r="D322" s="123" t="s">
        <v>31</v>
      </c>
      <c r="E322" s="320">
        <v>285</v>
      </c>
      <c r="F322" s="376">
        <f>VLOOKUP(E322,'DECK TALLY'!$B$6:$C$316,2,FALSE)</f>
        <v>33.950000000000003</v>
      </c>
      <c r="G322" s="377">
        <f t="shared" si="21"/>
        <v>33.544499999999999</v>
      </c>
      <c r="H322" s="131" t="s">
        <v>32</v>
      </c>
      <c r="I322" s="246">
        <f t="shared" si="20"/>
        <v>9744.9819999999927</v>
      </c>
      <c r="J322" s="371">
        <f t="shared" si="19"/>
        <v>11610.018000000007</v>
      </c>
      <c r="K322" s="145">
        <f t="shared" si="18"/>
        <v>314.49469833002274</v>
      </c>
      <c r="L322" s="669"/>
      <c r="M322" s="670"/>
      <c r="N322" s="397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</row>
    <row r="323" spans="1:32" s="2" customFormat="1" ht="20.100000000000001" hidden="1" customHeight="1">
      <c r="A323" s="585" t="s">
        <v>115</v>
      </c>
      <c r="B323" s="586"/>
      <c r="C323" s="122">
        <v>2</v>
      </c>
      <c r="D323" s="123" t="s">
        <v>31</v>
      </c>
      <c r="E323" s="320">
        <v>286</v>
      </c>
      <c r="F323" s="376">
        <f>VLOOKUP(E323,'DECK TALLY'!$B$6:$C$316,2,FALSE)</f>
        <v>33.94</v>
      </c>
      <c r="G323" s="377">
        <f t="shared" si="21"/>
        <v>33.534499999999994</v>
      </c>
      <c r="H323" s="131" t="s">
        <v>32</v>
      </c>
      <c r="I323" s="246">
        <f t="shared" si="20"/>
        <v>9744.9819999999927</v>
      </c>
      <c r="J323" s="371">
        <f t="shared" si="19"/>
        <v>11610.018000000007</v>
      </c>
      <c r="K323" s="145">
        <f t="shared" si="18"/>
        <v>314.49469833002274</v>
      </c>
      <c r="L323" s="671"/>
      <c r="M323" s="672"/>
      <c r="N323" s="397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</row>
    <row r="324" spans="1:32" s="2" customFormat="1" ht="20.100000000000001" hidden="1" customHeight="1" thickBot="1">
      <c r="A324" s="673" t="s">
        <v>115</v>
      </c>
      <c r="B324" s="674"/>
      <c r="C324" s="356">
        <v>2</v>
      </c>
      <c r="D324" s="357" t="s">
        <v>31</v>
      </c>
      <c r="E324" s="449">
        <v>287</v>
      </c>
      <c r="F324" s="378">
        <f>VLOOKUP(E324,'DECK TALLY'!$B$6:$C$316,2,FALSE)</f>
        <v>31.21</v>
      </c>
      <c r="G324" s="379">
        <f t="shared" si="21"/>
        <v>30.804500000000001</v>
      </c>
      <c r="H324" s="130" t="s">
        <v>32</v>
      </c>
      <c r="I324" s="246">
        <f t="shared" si="20"/>
        <v>9744.9819999999927</v>
      </c>
      <c r="J324" s="371">
        <f t="shared" si="19"/>
        <v>11610.018000000007</v>
      </c>
      <c r="K324" s="145">
        <f t="shared" si="18"/>
        <v>314.49469833002274</v>
      </c>
      <c r="L324" s="671"/>
      <c r="M324" s="672"/>
      <c r="N324" s="397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</row>
    <row r="325" spans="1:32" s="2" customFormat="1" ht="20.100000000000001" hidden="1" customHeight="1" thickBot="1">
      <c r="A325" s="655" t="s">
        <v>358</v>
      </c>
      <c r="B325" s="656"/>
      <c r="C325" s="361">
        <v>1</v>
      </c>
      <c r="D325" s="453" t="s">
        <v>31</v>
      </c>
      <c r="E325" s="446" t="s">
        <v>235</v>
      </c>
      <c r="F325" s="447">
        <f>VLOOKUP(E325,'DECK TALLY'!F6:G18,2,FALSE)</f>
        <v>10.220000000000001</v>
      </c>
      <c r="G325" s="448">
        <f t="shared" si="21"/>
        <v>9.8145000000000007</v>
      </c>
      <c r="H325" s="448" t="s">
        <v>32</v>
      </c>
      <c r="I325" s="454">
        <f>IF(H325="IN",I324+G325,I324)</f>
        <v>9744.9819999999927</v>
      </c>
      <c r="J325" s="455">
        <f t="shared" si="19"/>
        <v>11610.018000000007</v>
      </c>
      <c r="K325" s="456">
        <f t="shared" si="18"/>
        <v>314.49469833002274</v>
      </c>
      <c r="L325" s="657"/>
      <c r="M325" s="658"/>
      <c r="N325" s="397"/>
      <c r="O325" s="29"/>
      <c r="P325" s="29" t="s">
        <v>299</v>
      </c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</row>
    <row r="326" spans="1:32" s="2" customFormat="1" ht="21" customHeight="1">
      <c r="A326" s="591" t="s">
        <v>321</v>
      </c>
      <c r="B326" s="592"/>
      <c r="C326" s="659" t="s">
        <v>230</v>
      </c>
      <c r="D326" s="660"/>
      <c r="E326" s="661"/>
      <c r="F326" s="400">
        <f>SUM('DECK TALLY'!K20)</f>
        <v>33.97</v>
      </c>
      <c r="G326" s="386">
        <f>F326-($H$12/12)</f>
        <v>33.564499999999995</v>
      </c>
      <c r="H326" s="386" t="s">
        <v>29</v>
      </c>
      <c r="I326" s="450">
        <f t="shared" ref="I326:I335" si="22">IF(H326="IN",I325+G326,I325)</f>
        <v>9778.5464999999931</v>
      </c>
      <c r="J326" s="451">
        <f t="shared" si="19"/>
        <v>11576.453500000007</v>
      </c>
      <c r="K326" s="452">
        <f t="shared" si="18"/>
        <v>315.28514358708924</v>
      </c>
      <c r="L326" s="662"/>
      <c r="M326" s="663"/>
      <c r="N326" s="397"/>
      <c r="O326" s="29"/>
      <c r="P326" s="182"/>
      <c r="Q326" s="27"/>
      <c r="R326" s="27"/>
      <c r="S326" s="362"/>
      <c r="T326" s="27"/>
      <c r="U326" s="27"/>
      <c r="V326" s="27"/>
      <c r="W326" s="27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 s="2" customFormat="1" ht="29.65" customHeight="1" thickBot="1">
      <c r="A327" s="593"/>
      <c r="B327" s="594"/>
      <c r="C327" s="664" t="s">
        <v>338</v>
      </c>
      <c r="D327" s="665"/>
      <c r="E327" s="666"/>
      <c r="F327" s="401">
        <f>SUM('DECK TALLY'!K21)</f>
        <v>4.03</v>
      </c>
      <c r="G327" s="390">
        <f>F327</f>
        <v>4.03</v>
      </c>
      <c r="H327" s="390" t="s">
        <v>29</v>
      </c>
      <c r="I327" s="387">
        <f t="shared" si="22"/>
        <v>9782.5764999999938</v>
      </c>
      <c r="J327" s="388">
        <f t="shared" si="19"/>
        <v>11572.423500000006</v>
      </c>
      <c r="K327" s="389">
        <f t="shared" si="18"/>
        <v>315.38005024102358</v>
      </c>
      <c r="L327" s="667"/>
      <c r="M327" s="668"/>
      <c r="O327" s="29"/>
      <c r="P327" s="29"/>
      <c r="Q327" s="27"/>
      <c r="R327" s="27"/>
      <c r="S327" s="27"/>
      <c r="T327" s="27"/>
      <c r="U327" s="27"/>
      <c r="V327" s="27"/>
      <c r="W327" s="27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 s="2" customFormat="1" ht="32.1" customHeight="1">
      <c r="A328" s="722" t="s">
        <v>234</v>
      </c>
      <c r="B328" s="723"/>
      <c r="C328" s="724" t="s">
        <v>196</v>
      </c>
      <c r="D328" s="725"/>
      <c r="E328" s="725"/>
      <c r="F328" s="164">
        <v>6.25</v>
      </c>
      <c r="G328" s="164">
        <f>F328-($B$12/12)</f>
        <v>5.9124999999999996</v>
      </c>
      <c r="H328" s="164" t="s">
        <v>29</v>
      </c>
      <c r="I328" s="409">
        <f t="shared" si="22"/>
        <v>9788.4889999999941</v>
      </c>
      <c r="J328" s="410">
        <f t="shared" si="19"/>
        <v>11566.511000000006</v>
      </c>
      <c r="K328" s="411">
        <f t="shared" si="18"/>
        <v>315.51928984186384</v>
      </c>
      <c r="L328" s="726" t="s">
        <v>113</v>
      </c>
      <c r="M328" s="727"/>
      <c r="O328" s="27"/>
      <c r="P328" s="27"/>
      <c r="Q328" s="28"/>
      <c r="R328" s="28"/>
      <c r="S328" s="28"/>
      <c r="T328" s="28"/>
      <c r="U328" s="28"/>
      <c r="V328" s="28"/>
      <c r="W328" s="28"/>
      <c r="X328" s="32"/>
      <c r="Y328" s="4"/>
      <c r="Z328" s="4"/>
      <c r="AA328" s="4"/>
      <c r="AB328" s="4"/>
      <c r="AC328" s="4"/>
      <c r="AD328" s="4"/>
      <c r="AE328" s="4"/>
      <c r="AF328" s="4"/>
    </row>
    <row r="329" spans="1:32" s="2" customFormat="1" ht="20.100000000000001" customHeight="1" thickBot="1">
      <c r="A329" s="591"/>
      <c r="B329" s="592"/>
      <c r="C329" s="715" t="s">
        <v>308</v>
      </c>
      <c r="D329" s="716"/>
      <c r="E329" s="716"/>
      <c r="F329" s="194">
        <v>8.85</v>
      </c>
      <c r="G329" s="194">
        <f t="shared" ref="G329:G392" si="23">F329</f>
        <v>8.85</v>
      </c>
      <c r="H329" s="194" t="s">
        <v>29</v>
      </c>
      <c r="I329" s="412">
        <f t="shared" si="22"/>
        <v>9797.3389999999945</v>
      </c>
      <c r="J329" s="413">
        <f t="shared" si="19"/>
        <v>11557.661000000006</v>
      </c>
      <c r="K329" s="414">
        <f t="shared" si="18"/>
        <v>315.72770767990824</v>
      </c>
      <c r="L329" s="728" t="s">
        <v>339</v>
      </c>
      <c r="M329" s="729"/>
      <c r="Q329" s="101"/>
      <c r="R329" s="101"/>
      <c r="S329" s="101"/>
      <c r="T329" s="101"/>
      <c r="U329" s="101"/>
      <c r="V329" s="101"/>
      <c r="W329" s="101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 s="2" customFormat="1" ht="20.100000000000001" customHeight="1" thickBot="1">
      <c r="A330" s="591"/>
      <c r="B330" s="592"/>
      <c r="C330" s="715" t="s">
        <v>95</v>
      </c>
      <c r="D330" s="716"/>
      <c r="E330" s="716"/>
      <c r="F330" s="194">
        <v>1.73</v>
      </c>
      <c r="G330" s="194">
        <f t="shared" si="23"/>
        <v>1.73</v>
      </c>
      <c r="H330" s="194" t="s">
        <v>29</v>
      </c>
      <c r="I330" s="412">
        <f t="shared" si="22"/>
        <v>9799.068999999994</v>
      </c>
      <c r="J330" s="413">
        <f t="shared" si="19"/>
        <v>11555.931000000006</v>
      </c>
      <c r="K330" s="414">
        <f t="shared" si="18"/>
        <v>315.76844924598919</v>
      </c>
      <c r="L330" s="730"/>
      <c r="M330" s="731"/>
      <c r="N330" s="28"/>
      <c r="O330" s="711" t="s">
        <v>88</v>
      </c>
      <c r="P330" s="713">
        <v>11670</v>
      </c>
      <c r="Q330" s="101"/>
      <c r="R330" s="101"/>
      <c r="S330" s="101"/>
      <c r="T330" s="101"/>
      <c r="U330" s="101"/>
      <c r="V330" s="101"/>
      <c r="W330" s="101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 s="2" customFormat="1" ht="20.100000000000001" customHeight="1" thickBot="1">
      <c r="A331" s="591"/>
      <c r="B331" s="592"/>
      <c r="C331" s="715" t="s">
        <v>309</v>
      </c>
      <c r="D331" s="716"/>
      <c r="E331" s="716"/>
      <c r="F331" s="194">
        <v>1.91</v>
      </c>
      <c r="G331" s="194">
        <f t="shared" si="23"/>
        <v>1.91</v>
      </c>
      <c r="H331" s="194" t="s">
        <v>29</v>
      </c>
      <c r="I331" s="412">
        <f t="shared" si="22"/>
        <v>9800.9789999999939</v>
      </c>
      <c r="J331" s="413">
        <f t="shared" si="19"/>
        <v>11554.021000000006</v>
      </c>
      <c r="K331" s="414">
        <f t="shared" si="18"/>
        <v>315.81342981894568</v>
      </c>
      <c r="L331" s="427" t="s">
        <v>78</v>
      </c>
      <c r="M331" s="213">
        <f>I333</f>
        <v>9826.5789999999943</v>
      </c>
      <c r="N331" s="101"/>
      <c r="O331" s="712"/>
      <c r="P331" s="714"/>
      <c r="Q331" s="29"/>
      <c r="R331" s="29"/>
      <c r="S331" s="29"/>
      <c r="T331" s="29"/>
      <c r="U331" s="29"/>
      <c r="V331" s="29"/>
      <c r="W331" s="29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 s="2" customFormat="1" ht="20.100000000000001" customHeight="1" thickBot="1">
      <c r="A332" s="591"/>
      <c r="B332" s="592"/>
      <c r="C332" s="715" t="s">
        <v>116</v>
      </c>
      <c r="D332" s="716"/>
      <c r="E332" s="716"/>
      <c r="F332" s="194">
        <v>4.7300000000000004</v>
      </c>
      <c r="G332" s="194">
        <f t="shared" si="23"/>
        <v>4.7300000000000004</v>
      </c>
      <c r="H332" s="194" t="s">
        <v>29</v>
      </c>
      <c r="I332" s="412">
        <f t="shared" si="22"/>
        <v>9805.7089999999935</v>
      </c>
      <c r="J332" s="413">
        <f t="shared" si="19"/>
        <v>11549.291000000007</v>
      </c>
      <c r="K332" s="414">
        <f t="shared" si="18"/>
        <v>315.92482149961791</v>
      </c>
      <c r="L332" s="428" t="s">
        <v>79</v>
      </c>
      <c r="M332" s="214">
        <f>L14-J333</f>
        <v>331.57899999999427</v>
      </c>
      <c r="N332" s="101"/>
      <c r="O332" s="134" t="s">
        <v>313</v>
      </c>
      <c r="P332" s="135">
        <f>SUM(P330-J333)</f>
        <v>141.57899999999427</v>
      </c>
      <c r="Q332" s="102"/>
      <c r="R332" s="104"/>
      <c r="S332" s="102"/>
      <c r="T332" s="102"/>
      <c r="U332" s="102"/>
      <c r="V332" s="102"/>
      <c r="W332" s="102"/>
      <c r="Y332" s="4"/>
      <c r="Z332" s="4"/>
      <c r="AA332" s="4"/>
      <c r="AB332" s="4"/>
      <c r="AC332" s="4"/>
      <c r="AD332" s="4"/>
      <c r="AE332" s="4"/>
      <c r="AF332" s="4"/>
    </row>
    <row r="333" spans="1:32" s="2" customFormat="1" ht="20.100000000000001" customHeight="1" thickBot="1">
      <c r="A333" s="591"/>
      <c r="B333" s="592"/>
      <c r="C333" s="717" t="s">
        <v>310</v>
      </c>
      <c r="D333" s="718"/>
      <c r="E333" s="718"/>
      <c r="F333" s="195">
        <v>20.87</v>
      </c>
      <c r="G333" s="195">
        <f t="shared" si="23"/>
        <v>20.87</v>
      </c>
      <c r="H333" s="195" t="s">
        <v>29</v>
      </c>
      <c r="I333" s="415">
        <f t="shared" si="22"/>
        <v>9826.5789999999943</v>
      </c>
      <c r="J333" s="416">
        <f t="shared" si="19"/>
        <v>11528.421000000006</v>
      </c>
      <c r="K333" s="417">
        <f t="shared" si="18"/>
        <v>316.41631079679132</v>
      </c>
      <c r="L333" s="428" t="s">
        <v>80</v>
      </c>
      <c r="M333" s="214">
        <f>J333</f>
        <v>11528.421000000006</v>
      </c>
      <c r="N333" s="160"/>
      <c r="O333" s="29"/>
      <c r="P333" s="29"/>
      <c r="Q333" s="99"/>
      <c r="R333" s="144"/>
      <c r="S333" s="99"/>
      <c r="T333" s="99"/>
      <c r="U333" s="99"/>
      <c r="V333" s="99"/>
      <c r="W333" s="99"/>
      <c r="Y333" s="4"/>
      <c r="Z333" s="4"/>
      <c r="AA333" s="4"/>
      <c r="AB333" s="4"/>
      <c r="AC333" s="4"/>
      <c r="AD333" s="4"/>
      <c r="AE333" s="4"/>
      <c r="AF333" s="4"/>
    </row>
    <row r="334" spans="1:32" s="2" customFormat="1" ht="20.100000000000001" customHeight="1" thickBot="1">
      <c r="A334" s="593"/>
      <c r="B334" s="594"/>
      <c r="C334" s="719" t="s">
        <v>340</v>
      </c>
      <c r="D334" s="720"/>
      <c r="E334" s="721"/>
      <c r="F334" s="165">
        <v>8.14</v>
      </c>
      <c r="G334" s="165">
        <f t="shared" si="23"/>
        <v>8.14</v>
      </c>
      <c r="H334" s="165" t="s">
        <v>29</v>
      </c>
      <c r="I334" s="403">
        <f t="shared" si="22"/>
        <v>9834.7189999999937</v>
      </c>
      <c r="J334" s="404">
        <f t="shared" si="19"/>
        <v>11520.281000000006</v>
      </c>
      <c r="K334" s="405">
        <f t="shared" si="18"/>
        <v>316.6080081077157</v>
      </c>
      <c r="L334" s="429" t="s">
        <v>104</v>
      </c>
      <c r="M334" s="215">
        <v>11665</v>
      </c>
      <c r="N334" s="332"/>
      <c r="O334" s="29"/>
      <c r="P334" s="133"/>
      <c r="Q334" s="103"/>
      <c r="R334" s="103"/>
      <c r="S334" s="103"/>
      <c r="T334" s="103"/>
      <c r="U334" s="103"/>
      <c r="V334" s="103"/>
      <c r="W334" s="103"/>
      <c r="Y334" s="4"/>
      <c r="Z334" s="4"/>
      <c r="AA334" s="4"/>
      <c r="AB334" s="4"/>
      <c r="AC334" s="4"/>
      <c r="AD334" s="4"/>
      <c r="AE334" s="4"/>
      <c r="AF334" s="4"/>
    </row>
    <row r="335" spans="1:32" s="2" customFormat="1" ht="40.15" customHeight="1" thickBot="1">
      <c r="A335" s="688" t="s">
        <v>77</v>
      </c>
      <c r="B335" s="689"/>
      <c r="C335" s="690" t="s">
        <v>194</v>
      </c>
      <c r="D335" s="691"/>
      <c r="E335" s="692"/>
      <c r="F335" s="249">
        <v>2.82</v>
      </c>
      <c r="G335" s="249">
        <f t="shared" si="23"/>
        <v>2.82</v>
      </c>
      <c r="H335" s="146" t="s">
        <v>29</v>
      </c>
      <c r="I335" s="406">
        <f t="shared" si="22"/>
        <v>9837.5389999999934</v>
      </c>
      <c r="J335" s="407">
        <f t="shared" si="19"/>
        <v>11517.461000000007</v>
      </c>
      <c r="K335" s="408">
        <f t="shared" si="18"/>
        <v>316.6744192154315</v>
      </c>
      <c r="L335" s="693" t="s">
        <v>341</v>
      </c>
      <c r="M335" s="694"/>
      <c r="N335" s="99"/>
      <c r="O335" s="695" t="s">
        <v>60</v>
      </c>
      <c r="P335" s="697" t="s">
        <v>61</v>
      </c>
      <c r="Q335" s="103"/>
      <c r="R335" s="103"/>
      <c r="S335" s="103"/>
      <c r="T335" s="103"/>
      <c r="U335" s="103"/>
      <c r="V335" s="103"/>
      <c r="W335" s="103"/>
      <c r="Y335" s="4"/>
      <c r="Z335" s="4"/>
      <c r="AA335" s="4"/>
      <c r="AB335" s="4"/>
      <c r="AC335" s="4"/>
      <c r="AD335" s="4"/>
      <c r="AE335" s="4"/>
      <c r="AF335" s="4"/>
    </row>
    <row r="336" spans="1:32" s="2" customFormat="1" ht="20.100000000000001" customHeight="1">
      <c r="A336" s="699" t="s">
        <v>97</v>
      </c>
      <c r="B336" s="700"/>
      <c r="C336" s="703" t="s">
        <v>195</v>
      </c>
      <c r="D336" s="704"/>
      <c r="E336" s="705"/>
      <c r="F336" s="235">
        <v>30.15</v>
      </c>
      <c r="G336" s="206">
        <f t="shared" si="23"/>
        <v>30.15</v>
      </c>
      <c r="H336" s="207" t="s">
        <v>29</v>
      </c>
      <c r="I336" s="457">
        <f t="shared" si="20"/>
        <v>9867.688999999993</v>
      </c>
      <c r="J336" s="458">
        <f t="shared" si="19"/>
        <v>11487.311000000007</v>
      </c>
      <c r="K336" s="459">
        <f t="shared" si="18"/>
        <v>317.38445286707395</v>
      </c>
      <c r="L336" s="706" t="s">
        <v>50</v>
      </c>
      <c r="M336" s="707"/>
      <c r="N336" s="103"/>
      <c r="O336" s="696"/>
      <c r="P336" s="698"/>
      <c r="Q336" s="103"/>
      <c r="R336" s="103"/>
      <c r="S336" s="103"/>
      <c r="T336" s="103"/>
      <c r="U336" s="103"/>
      <c r="V336" s="103"/>
      <c r="W336" s="103"/>
      <c r="Y336" s="4"/>
      <c r="Z336" s="4"/>
      <c r="AA336" s="4"/>
      <c r="AB336" s="4"/>
      <c r="AC336" s="4"/>
      <c r="AD336" s="4"/>
      <c r="AE336" s="4"/>
      <c r="AF336" s="4"/>
    </row>
    <row r="337" spans="1:32" s="2" customFormat="1" ht="20.100000000000001" customHeight="1">
      <c r="A337" s="701"/>
      <c r="B337" s="702"/>
      <c r="C337" s="708" t="s">
        <v>195</v>
      </c>
      <c r="D337" s="709"/>
      <c r="E337" s="710"/>
      <c r="F337" s="255">
        <v>30.03</v>
      </c>
      <c r="G337" s="217">
        <f t="shared" si="23"/>
        <v>30.03</v>
      </c>
      <c r="H337" s="218" t="s">
        <v>29</v>
      </c>
      <c r="I337" s="460">
        <f t="shared" si="20"/>
        <v>9897.7189999999937</v>
      </c>
      <c r="J337" s="461">
        <f t="shared" si="19"/>
        <v>11457.281000000006</v>
      </c>
      <c r="K337" s="462">
        <f t="shared" si="18"/>
        <v>318.09166051413274</v>
      </c>
      <c r="L337" s="418" t="s">
        <v>34</v>
      </c>
      <c r="M337" s="250">
        <f>J329</f>
        <v>11557.661000000006</v>
      </c>
      <c r="N337" s="103"/>
      <c r="O337" s="351">
        <f>M337-L345</f>
        <v>-23.398999999993976</v>
      </c>
      <c r="P337" s="352">
        <f>M337-L346</f>
        <v>23.501000000005661</v>
      </c>
      <c r="Q337" s="99"/>
      <c r="R337" s="99"/>
      <c r="S337" s="99"/>
      <c r="T337" s="99"/>
      <c r="U337" s="99"/>
      <c r="V337" s="99"/>
      <c r="W337" s="99"/>
      <c r="X337" s="25"/>
      <c r="Y337" s="4"/>
      <c r="Z337" s="4"/>
      <c r="AA337" s="4"/>
      <c r="AB337" s="4"/>
      <c r="AC337" s="4"/>
      <c r="AD337" s="4"/>
      <c r="AE337" s="4"/>
      <c r="AF337" s="4"/>
    </row>
    <row r="338" spans="1:32" s="2" customFormat="1" ht="20.100000000000001" customHeight="1">
      <c r="A338" s="701"/>
      <c r="B338" s="702"/>
      <c r="C338" s="708" t="s">
        <v>195</v>
      </c>
      <c r="D338" s="709"/>
      <c r="E338" s="710"/>
      <c r="F338" s="256">
        <v>30.18</v>
      </c>
      <c r="G338" s="217">
        <f t="shared" si="23"/>
        <v>30.18</v>
      </c>
      <c r="H338" s="218" t="s">
        <v>29</v>
      </c>
      <c r="I338" s="460">
        <f t="shared" si="20"/>
        <v>9927.898999999994</v>
      </c>
      <c r="J338" s="461">
        <f t="shared" si="19"/>
        <v>11427.101000000006</v>
      </c>
      <c r="K338" s="462">
        <f t="shared" si="18"/>
        <v>318.80240066692113</v>
      </c>
      <c r="L338" s="418" t="s">
        <v>33</v>
      </c>
      <c r="M338" s="250">
        <f>J331</f>
        <v>11554.021000000006</v>
      </c>
      <c r="N338" s="103"/>
      <c r="O338" s="351">
        <f>M338-L345</f>
        <v>-27.038999999993393</v>
      </c>
      <c r="P338" s="352">
        <f>M338-L346</f>
        <v>19.861000000006243</v>
      </c>
      <c r="Q338" s="103"/>
      <c r="R338" s="103"/>
      <c r="S338" s="103"/>
      <c r="T338" s="103"/>
      <c r="U338" s="103"/>
      <c r="V338" s="103"/>
      <c r="W338" s="103"/>
      <c r="X338" s="25"/>
      <c r="Y338" s="4"/>
      <c r="Z338" s="4"/>
      <c r="AA338" s="4"/>
      <c r="AB338" s="4"/>
      <c r="AC338" s="4"/>
      <c r="AD338" s="4"/>
      <c r="AE338" s="4"/>
      <c r="AF338" s="4"/>
    </row>
    <row r="339" spans="1:32" s="2" customFormat="1" ht="20.100000000000001" customHeight="1">
      <c r="A339" s="681" t="s">
        <v>96</v>
      </c>
      <c r="B339" s="682"/>
      <c r="C339" s="683" t="s">
        <v>64</v>
      </c>
      <c r="D339" s="683"/>
      <c r="E339" s="683"/>
      <c r="F339" s="220">
        <v>31.03</v>
      </c>
      <c r="G339" s="220">
        <f t="shared" si="23"/>
        <v>31.03</v>
      </c>
      <c r="H339" s="221" t="s">
        <v>29</v>
      </c>
      <c r="I339" s="464">
        <f t="shared" si="20"/>
        <v>9958.9289999999946</v>
      </c>
      <c r="J339" s="465">
        <f t="shared" si="19"/>
        <v>11396.071000000005</v>
      </c>
      <c r="K339" s="466">
        <f t="shared" si="18"/>
        <v>319.53315835217711</v>
      </c>
      <c r="L339" s="684" t="s">
        <v>300</v>
      </c>
      <c r="M339" s="685"/>
      <c r="N339" s="103"/>
      <c r="O339" s="686" t="s">
        <v>63</v>
      </c>
      <c r="P339" s="687"/>
      <c r="Q339" s="99"/>
      <c r="R339" s="99"/>
      <c r="S339" s="99"/>
      <c r="T339" s="99"/>
      <c r="U339" s="99"/>
      <c r="V339" s="99"/>
      <c r="W339" s="99"/>
      <c r="X339" s="25"/>
      <c r="Y339" s="4"/>
      <c r="Z339" s="4"/>
      <c r="AA339" s="4"/>
      <c r="AB339" s="4"/>
      <c r="AC339" s="4"/>
      <c r="AD339" s="4"/>
      <c r="AE339" s="4"/>
      <c r="AF339" s="4"/>
    </row>
    <row r="340" spans="1:32" s="2" customFormat="1" ht="20.100000000000001" customHeight="1">
      <c r="A340" s="681"/>
      <c r="B340" s="682"/>
      <c r="C340" s="683" t="s">
        <v>64</v>
      </c>
      <c r="D340" s="683"/>
      <c r="E340" s="683"/>
      <c r="F340" s="220">
        <v>31.04</v>
      </c>
      <c r="G340" s="220">
        <f t="shared" si="23"/>
        <v>31.04</v>
      </c>
      <c r="H340" s="221" t="s">
        <v>29</v>
      </c>
      <c r="I340" s="464">
        <f t="shared" si="20"/>
        <v>9989.9689999999955</v>
      </c>
      <c r="J340" s="465">
        <f t="shared" si="19"/>
        <v>11365.031000000004</v>
      </c>
      <c r="K340" s="466">
        <f t="shared" si="18"/>
        <v>320.264151537815</v>
      </c>
      <c r="L340" s="418" t="s">
        <v>33</v>
      </c>
      <c r="M340" s="250">
        <f>$J$333-(3.37+4.07)</f>
        <v>11520.981000000005</v>
      </c>
      <c r="N340" s="103"/>
      <c r="O340" s="351">
        <f>M340-L346</f>
        <v>-13.17899999999463</v>
      </c>
      <c r="P340" s="352">
        <f>M340-L347</f>
        <v>33.531000000004497</v>
      </c>
      <c r="Q340" s="103"/>
      <c r="R340" s="103"/>
      <c r="S340" s="103"/>
      <c r="T340" s="103"/>
      <c r="U340" s="103"/>
      <c r="V340" s="103"/>
      <c r="W340" s="103"/>
      <c r="X340" s="25"/>
      <c r="Y340" s="4"/>
      <c r="Z340" s="4"/>
      <c r="AA340" s="4"/>
      <c r="AB340" s="4"/>
      <c r="AC340" s="4"/>
      <c r="AD340" s="4"/>
      <c r="AE340" s="4"/>
      <c r="AF340" s="4"/>
    </row>
    <row r="341" spans="1:32" s="2" customFormat="1" ht="20.100000000000001" customHeight="1">
      <c r="A341" s="681"/>
      <c r="B341" s="682"/>
      <c r="C341" s="683" t="s">
        <v>64</v>
      </c>
      <c r="D341" s="683"/>
      <c r="E341" s="683"/>
      <c r="F341" s="220">
        <v>31.07</v>
      </c>
      <c r="G341" s="220">
        <f t="shared" si="23"/>
        <v>31.07</v>
      </c>
      <c r="H341" s="221" t="s">
        <v>29</v>
      </c>
      <c r="I341" s="464">
        <f t="shared" si="20"/>
        <v>10021.038999999995</v>
      </c>
      <c r="J341" s="465">
        <f t="shared" si="19"/>
        <v>11333.961000000005</v>
      </c>
      <c r="K341" s="466">
        <f t="shared" si="18"/>
        <v>320.99585122459882</v>
      </c>
      <c r="L341" s="418" t="s">
        <v>296</v>
      </c>
      <c r="M341" s="250">
        <f>J333-(3.37+2.22)</f>
        <v>11522.831000000006</v>
      </c>
      <c r="N341" s="99"/>
      <c r="O341" s="351">
        <f>M341-L346</f>
        <v>-11.328999999994267</v>
      </c>
      <c r="P341" s="352">
        <f>M341-L347</f>
        <v>35.38100000000486</v>
      </c>
      <c r="Q341" s="103"/>
      <c r="R341" s="103"/>
      <c r="S341" s="103"/>
      <c r="T341" s="103"/>
      <c r="U341" s="103"/>
      <c r="V341" s="103"/>
      <c r="W341" s="103"/>
      <c r="X341" s="25"/>
      <c r="Y341" s="25"/>
      <c r="Z341" s="25"/>
      <c r="AA341" s="25"/>
      <c r="AB341" s="25"/>
      <c r="AC341" s="25"/>
      <c r="AD341" s="25"/>
      <c r="AE341" s="25"/>
      <c r="AF341" s="25"/>
    </row>
    <row r="342" spans="1:32" s="2" customFormat="1" ht="20.100000000000001" customHeight="1">
      <c r="A342" s="732" t="s">
        <v>117</v>
      </c>
      <c r="B342" s="733"/>
      <c r="C342" s="734" t="s">
        <v>64</v>
      </c>
      <c r="D342" s="734"/>
      <c r="E342" s="734"/>
      <c r="F342" s="223">
        <v>31.27</v>
      </c>
      <c r="G342" s="223">
        <f t="shared" si="23"/>
        <v>31.27</v>
      </c>
      <c r="H342" s="224" t="s">
        <v>29</v>
      </c>
      <c r="I342" s="246">
        <f t="shared" si="20"/>
        <v>10052.308999999996</v>
      </c>
      <c r="J342" s="371">
        <f t="shared" si="19"/>
        <v>11302.691000000004</v>
      </c>
      <c r="K342" s="145">
        <f t="shared" si="18"/>
        <v>321.73226091902211</v>
      </c>
      <c r="L342" s="740"/>
      <c r="M342" s="741"/>
      <c r="N342" s="103"/>
      <c r="Q342" s="103"/>
      <c r="R342" s="103"/>
      <c r="S342" s="103"/>
      <c r="T342" s="103"/>
      <c r="U342" s="103"/>
      <c r="V342" s="103"/>
      <c r="W342" s="103"/>
      <c r="X342" s="25"/>
      <c r="Y342" s="25"/>
      <c r="Z342" s="25"/>
      <c r="AA342" s="25"/>
      <c r="AB342" s="25"/>
      <c r="AC342" s="25"/>
      <c r="AD342" s="25"/>
      <c r="AE342" s="25"/>
      <c r="AF342" s="25"/>
    </row>
    <row r="343" spans="1:32" s="2" customFormat="1" ht="20.100000000000001" customHeight="1">
      <c r="A343" s="732"/>
      <c r="B343" s="733"/>
      <c r="C343" s="734" t="s">
        <v>64</v>
      </c>
      <c r="D343" s="734"/>
      <c r="E343" s="734"/>
      <c r="F343" s="223">
        <v>30.9</v>
      </c>
      <c r="G343" s="223">
        <f t="shared" si="23"/>
        <v>30.9</v>
      </c>
      <c r="H343" s="224" t="s">
        <v>29</v>
      </c>
      <c r="I343" s="246">
        <f t="shared" si="20"/>
        <v>10083.208999999995</v>
      </c>
      <c r="J343" s="371">
        <f t="shared" si="19"/>
        <v>11271.791000000005</v>
      </c>
      <c r="K343" s="145">
        <f t="shared" si="18"/>
        <v>322.45995709931236</v>
      </c>
      <c r="L343" s="742" t="s">
        <v>297</v>
      </c>
      <c r="M343" s="743"/>
      <c r="N343" s="103"/>
      <c r="O343" s="103"/>
      <c r="P343" s="29"/>
      <c r="Q343" s="103"/>
      <c r="R343" s="103"/>
      <c r="S343" s="103"/>
      <c r="T343" s="103"/>
      <c r="U343" s="103"/>
      <c r="V343" s="103"/>
      <c r="W343" s="103"/>
      <c r="X343" s="25"/>
      <c r="Y343" s="25"/>
      <c r="Z343" s="25"/>
      <c r="AA343" s="25"/>
      <c r="AB343" s="25"/>
      <c r="AC343" s="25"/>
      <c r="AD343" s="25"/>
      <c r="AE343" s="25"/>
      <c r="AF343" s="25"/>
    </row>
    <row r="344" spans="1:32" s="2" customFormat="1" ht="20.100000000000001" customHeight="1">
      <c r="A344" s="732"/>
      <c r="B344" s="733"/>
      <c r="C344" s="734" t="s">
        <v>64</v>
      </c>
      <c r="D344" s="734"/>
      <c r="E344" s="734"/>
      <c r="F344" s="223">
        <v>31.13</v>
      </c>
      <c r="G344" s="223">
        <f t="shared" si="23"/>
        <v>31.13</v>
      </c>
      <c r="H344" s="224" t="s">
        <v>29</v>
      </c>
      <c r="I344" s="246">
        <f t="shared" si="20"/>
        <v>10114.338999999994</v>
      </c>
      <c r="J344" s="371">
        <f t="shared" si="19"/>
        <v>11240.661000000006</v>
      </c>
      <c r="K344" s="145">
        <f t="shared" si="18"/>
        <v>323.19306978838796</v>
      </c>
      <c r="L344" s="740"/>
      <c r="M344" s="741"/>
      <c r="N344" s="103"/>
      <c r="O344" s="103"/>
      <c r="P344" s="29"/>
      <c r="Q344" s="103"/>
      <c r="R344" s="103"/>
      <c r="S344" s="103"/>
      <c r="T344" s="103"/>
      <c r="U344" s="103"/>
      <c r="V344" s="103"/>
      <c r="W344" s="103"/>
      <c r="X344" s="25"/>
      <c r="Y344" s="25"/>
      <c r="Z344" s="25"/>
      <c r="AA344" s="25"/>
      <c r="AB344" s="25"/>
      <c r="AC344" s="25"/>
      <c r="AD344" s="25"/>
      <c r="AE344" s="25"/>
      <c r="AF344" s="25"/>
    </row>
    <row r="345" spans="1:32" s="2" customFormat="1" ht="20.100000000000001" customHeight="1">
      <c r="A345" s="681" t="s">
        <v>118</v>
      </c>
      <c r="B345" s="682"/>
      <c r="C345" s="683" t="s">
        <v>64</v>
      </c>
      <c r="D345" s="683"/>
      <c r="E345" s="683"/>
      <c r="F345" s="220">
        <v>30.5</v>
      </c>
      <c r="G345" s="220">
        <f t="shared" si="23"/>
        <v>30.5</v>
      </c>
      <c r="H345" s="221" t="s">
        <v>29</v>
      </c>
      <c r="I345" s="464">
        <f t="shared" si="20"/>
        <v>10144.838999999994</v>
      </c>
      <c r="J345" s="465">
        <f t="shared" si="19"/>
        <v>11210.161000000006</v>
      </c>
      <c r="K345" s="466">
        <f t="shared" si="18"/>
        <v>323.9113459533994</v>
      </c>
      <c r="L345" s="739">
        <v>11581.06</v>
      </c>
      <c r="M345" s="738"/>
      <c r="N345" s="103"/>
      <c r="O345" s="103" t="s">
        <v>299</v>
      </c>
      <c r="P345" s="29"/>
      <c r="Q345" s="103"/>
      <c r="R345" s="103"/>
      <c r="S345" s="103"/>
      <c r="T345" s="103"/>
      <c r="U345" s="103"/>
      <c r="V345" s="103"/>
      <c r="W345" s="103"/>
      <c r="X345" s="25"/>
      <c r="Y345" s="25"/>
      <c r="Z345" s="25"/>
      <c r="AA345" s="25"/>
      <c r="AB345" s="25"/>
      <c r="AC345" s="25"/>
      <c r="AD345" s="25"/>
      <c r="AE345" s="25"/>
      <c r="AF345" s="25"/>
    </row>
    <row r="346" spans="1:32" s="2" customFormat="1" ht="20.100000000000001" customHeight="1">
      <c r="A346" s="681"/>
      <c r="B346" s="682"/>
      <c r="C346" s="683" t="s">
        <v>64</v>
      </c>
      <c r="D346" s="683"/>
      <c r="E346" s="683"/>
      <c r="F346" s="220">
        <v>31.14</v>
      </c>
      <c r="G346" s="220">
        <f t="shared" si="23"/>
        <v>31.14</v>
      </c>
      <c r="H346" s="221" t="s">
        <v>29</v>
      </c>
      <c r="I346" s="464">
        <f t="shared" ref="I346:I409" si="24">IF(H346="IN",I345+G346,I345)</f>
        <v>10175.978999999994</v>
      </c>
      <c r="J346" s="465">
        <f t="shared" si="19"/>
        <v>11179.021000000006</v>
      </c>
      <c r="K346" s="466">
        <f t="shared" si="18"/>
        <v>324.64469414285702</v>
      </c>
      <c r="L346" s="739">
        <v>11534.16</v>
      </c>
      <c r="M346" s="738"/>
      <c r="N346" s="103"/>
      <c r="O346" s="103"/>
      <c r="P346" s="29"/>
      <c r="Q346" s="103"/>
      <c r="R346" s="103"/>
      <c r="S346" s="103"/>
      <c r="T346" s="103"/>
      <c r="U346" s="103"/>
      <c r="V346" s="103"/>
      <c r="W346" s="103"/>
      <c r="X346" s="25"/>
      <c r="Y346" s="25"/>
      <c r="Z346" s="25"/>
      <c r="AA346" s="25"/>
      <c r="AB346" s="25"/>
      <c r="AC346" s="25"/>
      <c r="AD346" s="25"/>
      <c r="AE346" s="25"/>
      <c r="AF346" s="25"/>
    </row>
    <row r="347" spans="1:32" s="2" customFormat="1" ht="19.899999999999999" customHeight="1">
      <c r="A347" s="681"/>
      <c r="B347" s="682"/>
      <c r="C347" s="683" t="s">
        <v>64</v>
      </c>
      <c r="D347" s="683"/>
      <c r="E347" s="683"/>
      <c r="F347" s="220">
        <v>31.2</v>
      </c>
      <c r="G347" s="220">
        <f t="shared" si="23"/>
        <v>31.2</v>
      </c>
      <c r="H347" s="221" t="s">
        <v>29</v>
      </c>
      <c r="I347" s="467">
        <f t="shared" si="24"/>
        <v>10207.178999999995</v>
      </c>
      <c r="J347" s="468">
        <f t="shared" si="19"/>
        <v>11147.821000000005</v>
      </c>
      <c r="K347" s="469">
        <f t="shared" si="18"/>
        <v>325.3794553346064</v>
      </c>
      <c r="L347" s="739">
        <v>11487.45</v>
      </c>
      <c r="M347" s="738"/>
      <c r="N347" s="103"/>
      <c r="O347" s="103"/>
      <c r="P347" s="29"/>
      <c r="Q347" s="103"/>
      <c r="R347" s="103"/>
      <c r="S347" s="103"/>
      <c r="T347" s="103"/>
      <c r="U347" s="103"/>
      <c r="V347" s="103"/>
      <c r="W347" s="103"/>
      <c r="X347" s="25"/>
      <c r="Y347" s="25"/>
      <c r="Z347" s="25"/>
      <c r="AA347" s="25"/>
      <c r="AB347" s="25"/>
      <c r="AC347" s="25"/>
      <c r="AD347" s="25"/>
      <c r="AE347" s="25"/>
      <c r="AF347" s="25"/>
    </row>
    <row r="348" spans="1:32" s="2" customFormat="1" ht="20.100000000000001" customHeight="1">
      <c r="A348" s="732" t="s">
        <v>119</v>
      </c>
      <c r="B348" s="733"/>
      <c r="C348" s="734" t="s">
        <v>64</v>
      </c>
      <c r="D348" s="734"/>
      <c r="E348" s="734"/>
      <c r="F348" s="223">
        <v>30.77</v>
      </c>
      <c r="G348" s="223">
        <f t="shared" si="23"/>
        <v>30.77</v>
      </c>
      <c r="H348" s="224" t="s">
        <v>29</v>
      </c>
      <c r="I348" s="225">
        <f t="shared" si="24"/>
        <v>10237.948999999995</v>
      </c>
      <c r="J348" s="223">
        <f t="shared" si="19"/>
        <v>11117.051000000005</v>
      </c>
      <c r="K348" s="232">
        <f t="shared" ref="K348:K411" si="25">$H$8+(I348*$E$9*$E$15/1000)</f>
        <v>326.10409000993116</v>
      </c>
      <c r="L348" s="735"/>
      <c r="M348" s="736"/>
      <c r="N348" s="103"/>
      <c r="O348" s="103"/>
      <c r="P348" s="29"/>
      <c r="Q348" s="103"/>
      <c r="R348" s="103"/>
      <c r="S348" s="103"/>
      <c r="T348" s="103"/>
      <c r="U348" s="103"/>
      <c r="V348" s="103"/>
      <c r="W348" s="103"/>
      <c r="X348" s="25"/>
      <c r="Y348" s="25"/>
      <c r="Z348" s="25"/>
      <c r="AA348" s="25"/>
      <c r="AB348" s="25"/>
      <c r="AC348" s="25"/>
      <c r="AD348" s="25"/>
      <c r="AE348" s="25"/>
      <c r="AF348" s="25"/>
    </row>
    <row r="349" spans="1:32" s="2" customFormat="1" ht="20.100000000000001" customHeight="1">
      <c r="A349" s="732"/>
      <c r="B349" s="733"/>
      <c r="C349" s="734" t="s">
        <v>64</v>
      </c>
      <c r="D349" s="734"/>
      <c r="E349" s="734"/>
      <c r="F349" s="223">
        <v>30.85</v>
      </c>
      <c r="G349" s="223">
        <f t="shared" si="23"/>
        <v>30.85</v>
      </c>
      <c r="H349" s="224" t="s">
        <v>29</v>
      </c>
      <c r="I349" s="225">
        <f t="shared" si="24"/>
        <v>10268.798999999995</v>
      </c>
      <c r="J349" s="223">
        <f t="shared" ref="J349:J412" si="26">IF(I349="","",$L$10-I349)</f>
        <v>11086.201000000005</v>
      </c>
      <c r="K349" s="232">
        <f t="shared" si="25"/>
        <v>326.8306086883116</v>
      </c>
      <c r="L349" s="735"/>
      <c r="M349" s="736"/>
      <c r="N349" s="103"/>
      <c r="O349" s="103"/>
      <c r="P349" s="29"/>
      <c r="Q349" s="103"/>
      <c r="R349" s="103"/>
      <c r="S349" s="103"/>
      <c r="T349" s="103"/>
      <c r="U349" s="103"/>
      <c r="V349" s="103"/>
      <c r="W349" s="103"/>
      <c r="X349" s="25"/>
      <c r="Y349" s="25"/>
      <c r="Z349" s="25"/>
      <c r="AA349" s="25"/>
      <c r="AB349" s="25"/>
      <c r="AC349" s="25"/>
      <c r="AD349" s="25"/>
      <c r="AE349" s="25"/>
      <c r="AF349" s="25"/>
    </row>
    <row r="350" spans="1:32" s="2" customFormat="1" ht="20.100000000000001" customHeight="1">
      <c r="A350" s="732"/>
      <c r="B350" s="733"/>
      <c r="C350" s="734" t="s">
        <v>64</v>
      </c>
      <c r="D350" s="734"/>
      <c r="E350" s="734"/>
      <c r="F350" s="223">
        <v>30.86</v>
      </c>
      <c r="G350" s="223">
        <f t="shared" si="23"/>
        <v>30.86</v>
      </c>
      <c r="H350" s="224" t="s">
        <v>29</v>
      </c>
      <c r="I350" s="225">
        <f t="shared" si="24"/>
        <v>10299.658999999996</v>
      </c>
      <c r="J350" s="223">
        <f t="shared" si="26"/>
        <v>11055.341000000004</v>
      </c>
      <c r="K350" s="232">
        <f t="shared" si="25"/>
        <v>327.557362867074</v>
      </c>
      <c r="L350" s="737"/>
      <c r="M350" s="738"/>
      <c r="N350" s="103"/>
      <c r="O350" s="103"/>
      <c r="P350" s="29"/>
      <c r="Q350" s="103"/>
      <c r="R350" s="103"/>
      <c r="S350" s="103"/>
      <c r="T350" s="103"/>
      <c r="U350" s="103"/>
      <c r="V350" s="103"/>
      <c r="W350" s="103"/>
      <c r="X350" s="25"/>
      <c r="Y350" s="25"/>
      <c r="Z350" s="25"/>
      <c r="AA350" s="25"/>
      <c r="AB350" s="25"/>
      <c r="AC350" s="25"/>
      <c r="AD350" s="25"/>
      <c r="AE350" s="25"/>
      <c r="AF350" s="25"/>
    </row>
    <row r="351" spans="1:32" s="2" customFormat="1" ht="20.100000000000001" customHeight="1">
      <c r="A351" s="681" t="s">
        <v>112</v>
      </c>
      <c r="B351" s="682"/>
      <c r="C351" s="683" t="s">
        <v>64</v>
      </c>
      <c r="D351" s="683"/>
      <c r="E351" s="683"/>
      <c r="F351" s="220">
        <v>30.75</v>
      </c>
      <c r="G351" s="220">
        <f t="shared" si="23"/>
        <v>30.75</v>
      </c>
      <c r="H351" s="221" t="s">
        <v>29</v>
      </c>
      <c r="I351" s="222">
        <f t="shared" si="24"/>
        <v>10330.408999999996</v>
      </c>
      <c r="J351" s="220">
        <f t="shared" si="26"/>
        <v>11024.591000000004</v>
      </c>
      <c r="K351" s="231">
        <f t="shared" si="25"/>
        <v>328.28152654163472</v>
      </c>
      <c r="L351" s="744" t="s">
        <v>298</v>
      </c>
      <c r="M351" s="745"/>
      <c r="N351" s="103"/>
      <c r="O351" s="103"/>
      <c r="P351" s="29"/>
      <c r="Q351" s="103"/>
      <c r="R351" s="103"/>
      <c r="S351" s="103"/>
      <c r="T351" s="103"/>
      <c r="U351" s="103"/>
      <c r="V351" s="103"/>
      <c r="W351" s="103"/>
      <c r="X351" s="25"/>
      <c r="Y351" s="25"/>
      <c r="Z351" s="25"/>
      <c r="AA351" s="25"/>
      <c r="AB351" s="25"/>
      <c r="AC351" s="25"/>
      <c r="AD351" s="25"/>
      <c r="AE351" s="25"/>
      <c r="AF351" s="25"/>
    </row>
    <row r="352" spans="1:32" s="2" customFormat="1" ht="20.100000000000001" customHeight="1">
      <c r="A352" s="681"/>
      <c r="B352" s="682"/>
      <c r="C352" s="683" t="s">
        <v>64</v>
      </c>
      <c r="D352" s="683"/>
      <c r="E352" s="683"/>
      <c r="F352" s="220">
        <v>31.2</v>
      </c>
      <c r="G352" s="220">
        <f t="shared" si="23"/>
        <v>31.2</v>
      </c>
      <c r="H352" s="221" t="s">
        <v>29</v>
      </c>
      <c r="I352" s="222">
        <f t="shared" si="24"/>
        <v>10361.608999999997</v>
      </c>
      <c r="J352" s="220">
        <f t="shared" si="26"/>
        <v>10993.391000000003</v>
      </c>
      <c r="K352" s="231">
        <f t="shared" si="25"/>
        <v>329.01628773338422</v>
      </c>
      <c r="L352" s="735"/>
      <c r="M352" s="736"/>
      <c r="N352" s="103"/>
      <c r="O352" s="103"/>
      <c r="P352" s="29"/>
      <c r="Q352" s="103"/>
      <c r="R352" s="103"/>
      <c r="S352" s="103"/>
      <c r="T352" s="103"/>
      <c r="U352" s="103"/>
      <c r="V352" s="103"/>
      <c r="W352" s="103"/>
      <c r="X352" s="25"/>
      <c r="Y352" s="25"/>
      <c r="Z352" s="25"/>
      <c r="AA352" s="25"/>
      <c r="AB352" s="25"/>
      <c r="AC352" s="25"/>
      <c r="AD352" s="25"/>
      <c r="AE352" s="25"/>
      <c r="AF352" s="25"/>
    </row>
    <row r="353" spans="1:32" s="2" customFormat="1" ht="20.100000000000001" customHeight="1">
      <c r="A353" s="681"/>
      <c r="B353" s="682"/>
      <c r="C353" s="683" t="s">
        <v>64</v>
      </c>
      <c r="D353" s="683"/>
      <c r="E353" s="683"/>
      <c r="F353" s="220">
        <v>31.2</v>
      </c>
      <c r="G353" s="220">
        <f t="shared" si="23"/>
        <v>31.2</v>
      </c>
      <c r="H353" s="221" t="s">
        <v>29</v>
      </c>
      <c r="I353" s="222">
        <f t="shared" si="24"/>
        <v>10392.808999999997</v>
      </c>
      <c r="J353" s="220">
        <f t="shared" si="26"/>
        <v>10962.191000000003</v>
      </c>
      <c r="K353" s="231">
        <f t="shared" si="25"/>
        <v>329.75104892513366</v>
      </c>
      <c r="L353" s="735"/>
      <c r="M353" s="736"/>
      <c r="N353" s="103"/>
      <c r="O353" s="103"/>
      <c r="P353" s="29"/>
      <c r="Q353" s="103"/>
      <c r="R353" s="103"/>
      <c r="S353" s="103"/>
      <c r="T353" s="103"/>
      <c r="U353" s="103"/>
      <c r="V353" s="103"/>
      <c r="W353" s="103"/>
      <c r="X353" s="25"/>
      <c r="Y353" s="25"/>
      <c r="Z353" s="25"/>
      <c r="AA353" s="25"/>
      <c r="AB353" s="25"/>
      <c r="AC353" s="25"/>
      <c r="AD353" s="25"/>
      <c r="AE353" s="25"/>
      <c r="AF353" s="25"/>
    </row>
    <row r="354" spans="1:32" s="2" customFormat="1" ht="20.100000000000001" customHeight="1">
      <c r="A354" s="732" t="s">
        <v>120</v>
      </c>
      <c r="B354" s="733"/>
      <c r="C354" s="734" t="s">
        <v>64</v>
      </c>
      <c r="D354" s="734"/>
      <c r="E354" s="734"/>
      <c r="F354" s="223">
        <v>30.93</v>
      </c>
      <c r="G354" s="223">
        <f t="shared" si="23"/>
        <v>30.93</v>
      </c>
      <c r="H354" s="224" t="s">
        <v>29</v>
      </c>
      <c r="I354" s="225">
        <f t="shared" si="24"/>
        <v>10423.738999999998</v>
      </c>
      <c r="J354" s="223">
        <f t="shared" si="26"/>
        <v>10931.261000000002</v>
      </c>
      <c r="K354" s="232">
        <f t="shared" si="25"/>
        <v>330.47945160656985</v>
      </c>
      <c r="L354" s="735"/>
      <c r="M354" s="736"/>
      <c r="N354" s="103"/>
      <c r="O354" s="103"/>
      <c r="P354" s="29"/>
      <c r="Q354" s="103"/>
      <c r="R354" s="103"/>
      <c r="S354" s="103"/>
      <c r="T354" s="103"/>
      <c r="U354" s="103"/>
      <c r="V354" s="103"/>
      <c r="W354" s="103"/>
      <c r="X354" s="25"/>
      <c r="Y354" s="25"/>
      <c r="Z354" s="25"/>
      <c r="AA354" s="25"/>
      <c r="AB354" s="25"/>
      <c r="AC354" s="25"/>
      <c r="AD354" s="25"/>
      <c r="AE354" s="25"/>
      <c r="AF354" s="25"/>
    </row>
    <row r="355" spans="1:32" s="2" customFormat="1" ht="20.100000000000001" customHeight="1">
      <c r="A355" s="732"/>
      <c r="B355" s="733"/>
      <c r="C355" s="734" t="s">
        <v>64</v>
      </c>
      <c r="D355" s="734"/>
      <c r="E355" s="734"/>
      <c r="F355" s="223">
        <v>31.08</v>
      </c>
      <c r="G355" s="223">
        <f t="shared" si="23"/>
        <v>31.08</v>
      </c>
      <c r="H355" s="224" t="s">
        <v>29</v>
      </c>
      <c r="I355" s="225">
        <f t="shared" si="24"/>
        <v>10454.818999999998</v>
      </c>
      <c r="J355" s="223">
        <f t="shared" si="26"/>
        <v>10900.181000000002</v>
      </c>
      <c r="K355" s="232">
        <f t="shared" si="25"/>
        <v>331.21138679373564</v>
      </c>
      <c r="L355" s="735"/>
      <c r="M355" s="736"/>
      <c r="N355" s="103"/>
      <c r="O355" s="137"/>
      <c r="P355" s="29"/>
      <c r="Q355" s="103"/>
      <c r="R355" s="103"/>
      <c r="S355" s="103"/>
      <c r="T355" s="103"/>
      <c r="U355" s="103"/>
      <c r="V355" s="103"/>
      <c r="W355" s="103"/>
      <c r="X355" s="25"/>
      <c r="Y355" s="25"/>
      <c r="Z355" s="25"/>
      <c r="AA355" s="25"/>
      <c r="AB355" s="25"/>
      <c r="AC355" s="25"/>
      <c r="AD355" s="25"/>
      <c r="AE355" s="25"/>
      <c r="AF355" s="25"/>
    </row>
    <row r="356" spans="1:32" s="2" customFormat="1" ht="20.100000000000001" customHeight="1">
      <c r="A356" s="732"/>
      <c r="B356" s="733"/>
      <c r="C356" s="734" t="s">
        <v>64</v>
      </c>
      <c r="D356" s="734"/>
      <c r="E356" s="734"/>
      <c r="F356" s="223">
        <v>31.11</v>
      </c>
      <c r="G356" s="223">
        <f t="shared" si="23"/>
        <v>31.11</v>
      </c>
      <c r="H356" s="224" t="s">
        <v>29</v>
      </c>
      <c r="I356" s="225">
        <f t="shared" si="24"/>
        <v>10485.928999999998</v>
      </c>
      <c r="J356" s="223">
        <f t="shared" si="26"/>
        <v>10869.071000000002</v>
      </c>
      <c r="K356" s="232">
        <f t="shared" si="25"/>
        <v>331.94402848204732</v>
      </c>
      <c r="L356" s="735"/>
      <c r="M356" s="736"/>
      <c r="N356" s="137"/>
      <c r="O356" s="138"/>
      <c r="P356" s="29"/>
      <c r="Q356" s="103"/>
      <c r="R356" s="103"/>
      <c r="S356" s="103"/>
      <c r="T356" s="103"/>
      <c r="U356" s="103"/>
      <c r="V356" s="103"/>
      <c r="W356" s="103"/>
      <c r="X356" s="25"/>
      <c r="Y356" s="25"/>
      <c r="Z356" s="25"/>
      <c r="AA356" s="25"/>
      <c r="AB356" s="25"/>
      <c r="AC356" s="25"/>
      <c r="AD356" s="25"/>
      <c r="AE356" s="25"/>
      <c r="AF356" s="25"/>
    </row>
    <row r="357" spans="1:32" s="2" customFormat="1" ht="20.100000000000001" customHeight="1">
      <c r="A357" s="681" t="s">
        <v>121</v>
      </c>
      <c r="B357" s="682"/>
      <c r="C357" s="683" t="s">
        <v>64</v>
      </c>
      <c r="D357" s="683"/>
      <c r="E357" s="683"/>
      <c r="F357" s="220">
        <v>31.15</v>
      </c>
      <c r="G357" s="220">
        <f t="shared" si="23"/>
        <v>31.15</v>
      </c>
      <c r="H357" s="221" t="s">
        <v>29</v>
      </c>
      <c r="I357" s="222">
        <f t="shared" si="24"/>
        <v>10517.078999999998</v>
      </c>
      <c r="J357" s="220">
        <f t="shared" si="26"/>
        <v>10837.921000000002</v>
      </c>
      <c r="K357" s="231">
        <f t="shared" si="25"/>
        <v>332.67761217188695</v>
      </c>
      <c r="L357" s="735"/>
      <c r="M357" s="736"/>
      <c r="N357" s="138"/>
      <c r="O357" s="137"/>
      <c r="P357" s="29"/>
      <c r="Q357" s="103"/>
      <c r="R357" s="103"/>
      <c r="S357" s="103"/>
      <c r="T357" s="103"/>
      <c r="U357" s="103"/>
      <c r="V357" s="103"/>
      <c r="W357" s="103"/>
      <c r="X357" s="25"/>
      <c r="Y357" s="25"/>
      <c r="Z357" s="25"/>
      <c r="AA357" s="25"/>
      <c r="AB357" s="25"/>
      <c r="AC357" s="25"/>
      <c r="AD357" s="25"/>
      <c r="AE357" s="25"/>
      <c r="AF357" s="25"/>
    </row>
    <row r="358" spans="1:32" s="2" customFormat="1" ht="20.100000000000001" customHeight="1">
      <c r="A358" s="681"/>
      <c r="B358" s="682"/>
      <c r="C358" s="683" t="s">
        <v>64</v>
      </c>
      <c r="D358" s="683"/>
      <c r="E358" s="683"/>
      <c r="F358" s="220">
        <v>31.13</v>
      </c>
      <c r="G358" s="220">
        <f t="shared" si="23"/>
        <v>31.13</v>
      </c>
      <c r="H358" s="221" t="s">
        <v>29</v>
      </c>
      <c r="I358" s="222">
        <f t="shared" si="24"/>
        <v>10548.208999999997</v>
      </c>
      <c r="J358" s="220">
        <f t="shared" si="26"/>
        <v>10806.791000000003</v>
      </c>
      <c r="K358" s="231">
        <f t="shared" si="25"/>
        <v>333.41072486096255</v>
      </c>
      <c r="L358" s="735"/>
      <c r="M358" s="736"/>
      <c r="N358" s="137"/>
      <c r="O358" s="137"/>
      <c r="P358" s="29"/>
      <c r="Q358" s="103"/>
      <c r="R358" s="103"/>
      <c r="S358" s="103"/>
      <c r="T358" s="103"/>
      <c r="U358" s="103"/>
      <c r="V358" s="103"/>
      <c r="W358" s="103"/>
      <c r="X358" s="25"/>
      <c r="Y358" s="25"/>
      <c r="Z358" s="25"/>
      <c r="AA358" s="25"/>
      <c r="AB358" s="25"/>
      <c r="AC358" s="25"/>
      <c r="AD358" s="25"/>
      <c r="AE358" s="25"/>
      <c r="AF358" s="25"/>
    </row>
    <row r="359" spans="1:32" s="2" customFormat="1" ht="20.100000000000001" customHeight="1">
      <c r="A359" s="681"/>
      <c r="B359" s="682"/>
      <c r="C359" s="683" t="s">
        <v>64</v>
      </c>
      <c r="D359" s="683"/>
      <c r="E359" s="683"/>
      <c r="F359" s="220">
        <v>30.95</v>
      </c>
      <c r="G359" s="220">
        <f t="shared" si="23"/>
        <v>30.95</v>
      </c>
      <c r="H359" s="221" t="s">
        <v>29</v>
      </c>
      <c r="I359" s="222">
        <f t="shared" si="24"/>
        <v>10579.158999999998</v>
      </c>
      <c r="J359" s="220">
        <f t="shared" si="26"/>
        <v>10775.841000000002</v>
      </c>
      <c r="K359" s="231">
        <f t="shared" si="25"/>
        <v>334.13959854316266</v>
      </c>
      <c r="L359" s="735"/>
      <c r="M359" s="736"/>
      <c r="N359" s="137"/>
      <c r="O359" s="103"/>
      <c r="P359" s="29"/>
      <c r="Q359" s="103"/>
      <c r="R359" s="103"/>
      <c r="S359" s="103"/>
      <c r="T359" s="103"/>
      <c r="U359" s="103"/>
      <c r="V359" s="103"/>
      <c r="W359" s="103"/>
      <c r="X359" s="25"/>
      <c r="Y359" s="25"/>
      <c r="Z359" s="25"/>
      <c r="AA359" s="25"/>
      <c r="AB359" s="25"/>
      <c r="AC359" s="25"/>
      <c r="AD359" s="25"/>
      <c r="AE359" s="25"/>
      <c r="AF359" s="25"/>
    </row>
    <row r="360" spans="1:32" s="2" customFormat="1" ht="20.100000000000001" customHeight="1">
      <c r="A360" s="732" t="s">
        <v>122</v>
      </c>
      <c r="B360" s="733"/>
      <c r="C360" s="734" t="s">
        <v>64</v>
      </c>
      <c r="D360" s="734"/>
      <c r="E360" s="734"/>
      <c r="F360" s="223">
        <v>31.16</v>
      </c>
      <c r="G360" s="223">
        <f t="shared" si="23"/>
        <v>31.16</v>
      </c>
      <c r="H360" s="224" t="s">
        <v>29</v>
      </c>
      <c r="I360" s="225">
        <f>IF(H360="IN",I359+G360,I359)</f>
        <v>10610.318999999998</v>
      </c>
      <c r="J360" s="223">
        <f t="shared" si="26"/>
        <v>10744.681000000002</v>
      </c>
      <c r="K360" s="232">
        <f t="shared" si="25"/>
        <v>334.8734177333842</v>
      </c>
      <c r="L360" s="735"/>
      <c r="M360" s="736"/>
      <c r="N360" s="103"/>
      <c r="O360" s="103"/>
      <c r="P360" s="29"/>
      <c r="Q360" s="103"/>
      <c r="R360" s="103"/>
      <c r="S360" s="103"/>
      <c r="T360" s="103"/>
      <c r="U360" s="103"/>
      <c r="V360" s="103"/>
      <c r="W360" s="103"/>
      <c r="X360" s="25"/>
      <c r="Y360" s="25"/>
      <c r="Z360" s="25"/>
      <c r="AA360" s="25"/>
      <c r="AB360" s="25"/>
      <c r="AC360" s="25"/>
      <c r="AD360" s="25"/>
      <c r="AE360" s="25"/>
      <c r="AF360" s="25"/>
    </row>
    <row r="361" spans="1:32" s="2" customFormat="1" ht="20.100000000000001" customHeight="1">
      <c r="A361" s="732"/>
      <c r="B361" s="733"/>
      <c r="C361" s="734" t="s">
        <v>64</v>
      </c>
      <c r="D361" s="734"/>
      <c r="E361" s="734"/>
      <c r="F361" s="223">
        <v>31.29</v>
      </c>
      <c r="G361" s="223">
        <f t="shared" si="23"/>
        <v>31.29</v>
      </c>
      <c r="H361" s="224" t="s">
        <v>29</v>
      </c>
      <c r="I361" s="225">
        <f t="shared" si="24"/>
        <v>10641.608999999999</v>
      </c>
      <c r="J361" s="223">
        <f t="shared" si="26"/>
        <v>10713.391000000001</v>
      </c>
      <c r="K361" s="232">
        <f t="shared" si="25"/>
        <v>335.61029842857141</v>
      </c>
      <c r="L361" s="735"/>
      <c r="M361" s="736"/>
      <c r="N361" s="103"/>
      <c r="O361" s="103"/>
      <c r="P361" s="29"/>
      <c r="Q361" s="103"/>
      <c r="R361" s="103"/>
      <c r="S361" s="103"/>
      <c r="T361" s="103"/>
      <c r="U361" s="103"/>
      <c r="V361" s="103"/>
      <c r="W361" s="103"/>
      <c r="X361" s="25"/>
      <c r="Y361" s="25"/>
      <c r="Z361" s="25"/>
      <c r="AA361" s="25"/>
      <c r="AB361" s="25"/>
      <c r="AC361" s="25"/>
      <c r="AD361" s="25"/>
      <c r="AE361" s="25"/>
      <c r="AF361" s="25"/>
    </row>
    <row r="362" spans="1:32" s="2" customFormat="1" ht="20.100000000000001" customHeight="1">
      <c r="A362" s="732"/>
      <c r="B362" s="733"/>
      <c r="C362" s="734" t="s">
        <v>64</v>
      </c>
      <c r="D362" s="734"/>
      <c r="E362" s="734"/>
      <c r="F362" s="223">
        <v>31.13</v>
      </c>
      <c r="G362" s="223">
        <f t="shared" si="23"/>
        <v>31.13</v>
      </c>
      <c r="H362" s="224" t="s">
        <v>29</v>
      </c>
      <c r="I362" s="225">
        <f t="shared" si="24"/>
        <v>10672.738999999998</v>
      </c>
      <c r="J362" s="223">
        <f t="shared" si="26"/>
        <v>10682.261000000002</v>
      </c>
      <c r="K362" s="232">
        <f t="shared" si="25"/>
        <v>336.34341111764701</v>
      </c>
      <c r="L362" s="735"/>
      <c r="M362" s="736"/>
      <c r="N362" s="103"/>
      <c r="O362" s="103"/>
      <c r="P362" s="29"/>
      <c r="Q362" s="103"/>
      <c r="R362" s="103"/>
      <c r="S362" s="103"/>
      <c r="T362" s="103"/>
      <c r="U362" s="103"/>
      <c r="V362" s="103"/>
      <c r="W362" s="103"/>
      <c r="X362" s="25"/>
      <c r="Y362" s="4"/>
      <c r="Z362" s="4"/>
      <c r="AA362" s="4"/>
      <c r="AB362" s="4"/>
      <c r="AC362" s="4"/>
      <c r="AD362" s="4"/>
      <c r="AE362" s="4"/>
      <c r="AF362" s="4"/>
    </row>
    <row r="363" spans="1:32" s="2" customFormat="1" ht="20.100000000000001" customHeight="1">
      <c r="A363" s="681" t="s">
        <v>202</v>
      </c>
      <c r="B363" s="682"/>
      <c r="C363" s="683" t="s">
        <v>64</v>
      </c>
      <c r="D363" s="683"/>
      <c r="E363" s="683"/>
      <c r="F363" s="220">
        <v>30.93</v>
      </c>
      <c r="G363" s="220">
        <f t="shared" si="23"/>
        <v>30.93</v>
      </c>
      <c r="H363" s="221" t="s">
        <v>29</v>
      </c>
      <c r="I363" s="222">
        <f t="shared" si="24"/>
        <v>10703.668999999998</v>
      </c>
      <c r="J363" s="220">
        <f t="shared" si="26"/>
        <v>10651.331000000002</v>
      </c>
      <c r="K363" s="231">
        <f t="shared" si="25"/>
        <v>337.0718137990832</v>
      </c>
      <c r="L363" s="735"/>
      <c r="M363" s="736"/>
      <c r="N363" s="103"/>
      <c r="O363" s="103"/>
      <c r="P363" s="29"/>
      <c r="Q363" s="99"/>
      <c r="R363" s="99"/>
      <c r="S363" s="99"/>
      <c r="T363" s="99"/>
      <c r="U363" s="99"/>
      <c r="V363" s="99"/>
      <c r="W363" s="99"/>
      <c r="X363" s="25"/>
      <c r="Y363" s="4"/>
      <c r="Z363" s="4"/>
      <c r="AA363" s="4"/>
      <c r="AB363" s="4"/>
      <c r="AC363" s="4"/>
      <c r="AD363" s="4"/>
      <c r="AE363" s="4"/>
      <c r="AF363" s="4"/>
    </row>
    <row r="364" spans="1:32" s="2" customFormat="1" ht="20.100000000000001" customHeight="1">
      <c r="A364" s="681"/>
      <c r="B364" s="682"/>
      <c r="C364" s="683" t="s">
        <v>64</v>
      </c>
      <c r="D364" s="683"/>
      <c r="E364" s="683"/>
      <c r="F364" s="220">
        <v>30.77</v>
      </c>
      <c r="G364" s="220">
        <f t="shared" si="23"/>
        <v>30.77</v>
      </c>
      <c r="H364" s="221" t="s">
        <v>29</v>
      </c>
      <c r="I364" s="222">
        <f t="shared" si="24"/>
        <v>10734.438999999998</v>
      </c>
      <c r="J364" s="220">
        <f t="shared" si="26"/>
        <v>10620.561000000002</v>
      </c>
      <c r="K364" s="231">
        <f t="shared" si="25"/>
        <v>337.79644847440795</v>
      </c>
      <c r="L364" s="735"/>
      <c r="M364" s="736"/>
      <c r="N364" s="103"/>
      <c r="O364" s="103"/>
      <c r="P364" s="29"/>
      <c r="Q364" s="103"/>
      <c r="R364" s="103"/>
      <c r="S364" s="103"/>
      <c r="T364" s="103"/>
      <c r="U364" s="103"/>
      <c r="V364" s="103"/>
      <c r="W364" s="103"/>
      <c r="X364" s="25"/>
      <c r="Y364" s="4"/>
      <c r="Z364" s="4"/>
      <c r="AA364" s="4"/>
      <c r="AB364" s="4"/>
      <c r="AC364" s="4"/>
      <c r="AD364" s="4"/>
      <c r="AE364" s="4"/>
      <c r="AF364" s="4"/>
    </row>
    <row r="365" spans="1:32" s="2" customFormat="1" ht="20.100000000000001" customHeight="1">
      <c r="A365" s="681"/>
      <c r="B365" s="682"/>
      <c r="C365" s="683" t="s">
        <v>64</v>
      </c>
      <c r="D365" s="683"/>
      <c r="E365" s="683"/>
      <c r="F365" s="220">
        <v>30.98</v>
      </c>
      <c r="G365" s="220">
        <f t="shared" si="23"/>
        <v>30.98</v>
      </c>
      <c r="H365" s="221" t="s">
        <v>29</v>
      </c>
      <c r="I365" s="222">
        <f t="shared" si="24"/>
        <v>10765.418999999998</v>
      </c>
      <c r="J365" s="220">
        <f t="shared" si="26"/>
        <v>10589.581000000002</v>
      </c>
      <c r="K365" s="231">
        <f t="shared" si="25"/>
        <v>338.52602865775395</v>
      </c>
      <c r="L365" s="735"/>
      <c r="M365" s="736"/>
      <c r="N365" s="99"/>
      <c r="O365" s="99"/>
      <c r="P365" s="99"/>
      <c r="Q365" s="103"/>
      <c r="R365" s="103"/>
      <c r="S365" s="103"/>
      <c r="T365" s="103"/>
      <c r="U365" s="103"/>
      <c r="V365" s="103"/>
      <c r="W365" s="103"/>
      <c r="X365" s="25"/>
      <c r="Y365" s="25"/>
      <c r="Z365" s="25"/>
      <c r="AA365" s="25"/>
      <c r="AB365" s="25"/>
      <c r="AC365" s="25"/>
      <c r="AD365" s="25"/>
      <c r="AE365" s="25"/>
      <c r="AF365" s="25"/>
    </row>
    <row r="366" spans="1:32" s="2" customFormat="1" ht="20.100000000000001" customHeight="1">
      <c r="A366" s="732" t="s">
        <v>203</v>
      </c>
      <c r="B366" s="733"/>
      <c r="C366" s="734" t="s">
        <v>64</v>
      </c>
      <c r="D366" s="734"/>
      <c r="E366" s="734"/>
      <c r="F366" s="223">
        <v>31.17</v>
      </c>
      <c r="G366" s="223">
        <f t="shared" si="23"/>
        <v>31.17</v>
      </c>
      <c r="H366" s="224" t="s">
        <v>29</v>
      </c>
      <c r="I366" s="225">
        <f t="shared" si="24"/>
        <v>10796.588999999998</v>
      </c>
      <c r="J366" s="223">
        <f t="shared" si="26"/>
        <v>10558.411000000002</v>
      </c>
      <c r="K366" s="232">
        <f t="shared" si="25"/>
        <v>339.26008334835751</v>
      </c>
      <c r="L366" s="735"/>
      <c r="M366" s="736"/>
      <c r="N366" s="103"/>
      <c r="O366" s="103"/>
      <c r="P366" s="29"/>
      <c r="Q366" s="103"/>
      <c r="R366" s="103"/>
      <c r="S366" s="103"/>
      <c r="T366" s="103"/>
      <c r="U366" s="103"/>
      <c r="V366" s="103"/>
      <c r="W366" s="103"/>
      <c r="X366" s="25"/>
      <c r="Y366" s="25"/>
      <c r="Z366" s="25"/>
      <c r="AA366" s="25"/>
      <c r="AB366" s="25"/>
      <c r="AC366" s="25"/>
      <c r="AD366" s="25"/>
      <c r="AE366" s="25"/>
      <c r="AF366" s="25"/>
    </row>
    <row r="367" spans="1:32" s="2" customFormat="1" ht="20.100000000000001" customHeight="1">
      <c r="A367" s="732"/>
      <c r="B367" s="733"/>
      <c r="C367" s="734" t="s">
        <v>64</v>
      </c>
      <c r="D367" s="734"/>
      <c r="E367" s="734"/>
      <c r="F367" s="223">
        <v>30.9</v>
      </c>
      <c r="G367" s="223">
        <f t="shared" si="23"/>
        <v>30.9</v>
      </c>
      <c r="H367" s="224" t="s">
        <v>29</v>
      </c>
      <c r="I367" s="225">
        <f t="shared" si="24"/>
        <v>10827.488999999998</v>
      </c>
      <c r="J367" s="223">
        <f t="shared" si="26"/>
        <v>10527.511000000002</v>
      </c>
      <c r="K367" s="232">
        <f t="shared" si="25"/>
        <v>339.98777952864776</v>
      </c>
      <c r="L367" s="735"/>
      <c r="M367" s="736"/>
      <c r="N367" s="103"/>
      <c r="O367" s="103"/>
      <c r="P367" s="29"/>
      <c r="Q367" s="103"/>
      <c r="R367" s="103"/>
      <c r="S367" s="103"/>
      <c r="T367" s="103"/>
      <c r="U367" s="103"/>
      <c r="V367" s="103"/>
      <c r="W367" s="103"/>
      <c r="X367" s="25"/>
      <c r="Y367" s="25"/>
      <c r="Z367" s="25"/>
      <c r="AA367" s="25"/>
      <c r="AB367" s="25"/>
      <c r="AC367" s="25"/>
      <c r="AD367" s="25"/>
      <c r="AE367" s="25"/>
      <c r="AF367" s="25"/>
    </row>
    <row r="368" spans="1:32" s="2" customFormat="1" ht="20.100000000000001" customHeight="1">
      <c r="A368" s="732"/>
      <c r="B368" s="733"/>
      <c r="C368" s="734" t="s">
        <v>64</v>
      </c>
      <c r="D368" s="734"/>
      <c r="E368" s="734"/>
      <c r="F368" s="223">
        <v>31.17</v>
      </c>
      <c r="G368" s="223">
        <f t="shared" si="23"/>
        <v>31.17</v>
      </c>
      <c r="H368" s="224" t="s">
        <v>29</v>
      </c>
      <c r="I368" s="225">
        <f t="shared" si="24"/>
        <v>10858.658999999998</v>
      </c>
      <c r="J368" s="223">
        <f t="shared" si="26"/>
        <v>10496.341000000002</v>
      </c>
      <c r="K368" s="232">
        <f t="shared" si="25"/>
        <v>340.72183421925126</v>
      </c>
      <c r="L368" s="735"/>
      <c r="M368" s="736"/>
      <c r="N368" s="103"/>
      <c r="O368" s="103"/>
      <c r="P368" s="29"/>
      <c r="Q368" s="103"/>
      <c r="R368" s="103"/>
      <c r="S368" s="103"/>
      <c r="T368" s="103"/>
      <c r="U368" s="103"/>
      <c r="V368" s="103"/>
      <c r="W368" s="103"/>
      <c r="X368" s="25"/>
      <c r="Y368" s="25"/>
      <c r="Z368" s="25"/>
      <c r="AA368" s="25"/>
      <c r="AB368" s="25"/>
      <c r="AC368" s="25"/>
      <c r="AD368" s="25"/>
      <c r="AE368" s="25"/>
      <c r="AF368" s="25"/>
    </row>
    <row r="369" spans="1:32" s="2" customFormat="1" ht="20.100000000000001" customHeight="1">
      <c r="A369" s="681" t="s">
        <v>204</v>
      </c>
      <c r="B369" s="682"/>
      <c r="C369" s="683" t="s">
        <v>64</v>
      </c>
      <c r="D369" s="683"/>
      <c r="E369" s="683"/>
      <c r="F369" s="220">
        <v>30.98</v>
      </c>
      <c r="G369" s="220">
        <f t="shared" si="23"/>
        <v>30.98</v>
      </c>
      <c r="H369" s="221" t="s">
        <v>29</v>
      </c>
      <c r="I369" s="222">
        <f t="shared" si="24"/>
        <v>10889.638999999997</v>
      </c>
      <c r="J369" s="220">
        <f t="shared" si="26"/>
        <v>10465.361000000003</v>
      </c>
      <c r="K369" s="231">
        <f t="shared" si="25"/>
        <v>341.45141440259732</v>
      </c>
      <c r="L369" s="735"/>
      <c r="M369" s="736"/>
      <c r="N369" s="103"/>
      <c r="O369" s="103"/>
      <c r="P369" s="29"/>
      <c r="Q369" s="103"/>
      <c r="R369" s="103"/>
      <c r="S369" s="103"/>
      <c r="T369" s="103"/>
      <c r="U369" s="103"/>
      <c r="V369" s="103"/>
      <c r="W369" s="103"/>
      <c r="X369" s="25"/>
      <c r="Y369" s="25"/>
      <c r="Z369" s="25"/>
      <c r="AA369" s="25"/>
      <c r="AB369" s="25"/>
      <c r="AC369" s="25"/>
      <c r="AD369" s="25"/>
      <c r="AE369" s="25"/>
      <c r="AF369" s="25"/>
    </row>
    <row r="370" spans="1:32" s="2" customFormat="1" ht="20.100000000000001" customHeight="1">
      <c r="A370" s="681"/>
      <c r="B370" s="682"/>
      <c r="C370" s="683" t="s">
        <v>64</v>
      </c>
      <c r="D370" s="683"/>
      <c r="E370" s="683"/>
      <c r="F370" s="220">
        <v>30.92</v>
      </c>
      <c r="G370" s="220">
        <f t="shared" si="23"/>
        <v>30.92</v>
      </c>
      <c r="H370" s="221" t="s">
        <v>29</v>
      </c>
      <c r="I370" s="222">
        <f t="shared" si="24"/>
        <v>10920.558999999997</v>
      </c>
      <c r="J370" s="220">
        <f t="shared" si="26"/>
        <v>10434.441000000003</v>
      </c>
      <c r="K370" s="231">
        <f t="shared" si="25"/>
        <v>342.17958158365161</v>
      </c>
      <c r="L370" s="735"/>
      <c r="M370" s="736"/>
      <c r="N370" s="103"/>
      <c r="O370" s="103"/>
      <c r="P370" s="29"/>
      <c r="Q370" s="103"/>
      <c r="R370" s="103"/>
      <c r="S370" s="103"/>
      <c r="T370" s="103"/>
      <c r="U370" s="103"/>
      <c r="V370" s="103"/>
      <c r="W370" s="103"/>
      <c r="X370" s="25"/>
      <c r="Y370" s="25"/>
      <c r="Z370" s="25"/>
      <c r="AA370" s="25"/>
      <c r="AB370" s="25"/>
      <c r="AC370" s="25"/>
      <c r="AD370" s="25"/>
      <c r="AE370" s="25"/>
      <c r="AF370" s="25"/>
    </row>
    <row r="371" spans="1:32" s="2" customFormat="1" ht="20.100000000000001" customHeight="1">
      <c r="A371" s="681"/>
      <c r="B371" s="682"/>
      <c r="C371" s="683" t="s">
        <v>64</v>
      </c>
      <c r="D371" s="683"/>
      <c r="E371" s="683"/>
      <c r="F371" s="220">
        <v>30.5</v>
      </c>
      <c r="G371" s="220">
        <f t="shared" si="23"/>
        <v>30.5</v>
      </c>
      <c r="H371" s="221" t="s">
        <v>29</v>
      </c>
      <c r="I371" s="222">
        <f t="shared" si="24"/>
        <v>10951.058999999997</v>
      </c>
      <c r="J371" s="220">
        <f t="shared" si="26"/>
        <v>10403.941000000003</v>
      </c>
      <c r="K371" s="231">
        <f t="shared" si="25"/>
        <v>342.89785774866306</v>
      </c>
      <c r="L371" s="735"/>
      <c r="M371" s="736"/>
      <c r="N371" s="103"/>
      <c r="O371" s="103"/>
      <c r="P371" s="29"/>
      <c r="Q371" s="103"/>
      <c r="R371" s="103"/>
      <c r="S371" s="103"/>
      <c r="T371" s="103"/>
      <c r="U371" s="103"/>
      <c r="V371" s="103"/>
      <c r="W371" s="103"/>
      <c r="X371" s="25"/>
      <c r="Y371" s="25"/>
      <c r="Z371" s="25"/>
      <c r="AA371" s="25"/>
      <c r="AB371" s="25"/>
      <c r="AC371" s="25"/>
      <c r="AD371" s="25"/>
      <c r="AE371" s="25"/>
      <c r="AF371" s="25"/>
    </row>
    <row r="372" spans="1:32" s="2" customFormat="1" ht="20.100000000000001" customHeight="1">
      <c r="A372" s="732" t="s">
        <v>125</v>
      </c>
      <c r="B372" s="733"/>
      <c r="C372" s="734" t="s">
        <v>64</v>
      </c>
      <c r="D372" s="734"/>
      <c r="E372" s="734"/>
      <c r="F372" s="223">
        <v>30.05</v>
      </c>
      <c r="G372" s="223">
        <f t="shared" si="23"/>
        <v>30.05</v>
      </c>
      <c r="H372" s="224" t="s">
        <v>29</v>
      </c>
      <c r="I372" s="225">
        <f t="shared" si="24"/>
        <v>10981.108999999997</v>
      </c>
      <c r="J372" s="223">
        <f t="shared" si="26"/>
        <v>10373.891000000003</v>
      </c>
      <c r="K372" s="232">
        <f t="shared" si="25"/>
        <v>343.60553639648583</v>
      </c>
      <c r="L372" s="735"/>
      <c r="M372" s="736"/>
      <c r="N372" s="103"/>
      <c r="O372" s="103"/>
      <c r="P372" s="29"/>
      <c r="Q372" s="103"/>
      <c r="R372" s="103"/>
      <c r="S372" s="103"/>
      <c r="T372" s="103"/>
      <c r="U372" s="103"/>
      <c r="V372" s="103"/>
      <c r="W372" s="103"/>
      <c r="X372" s="25"/>
      <c r="Y372" s="25"/>
      <c r="Z372" s="25"/>
      <c r="AA372" s="25"/>
      <c r="AB372" s="25"/>
      <c r="AC372" s="25"/>
      <c r="AD372" s="25"/>
      <c r="AE372" s="25"/>
      <c r="AF372" s="25"/>
    </row>
    <row r="373" spans="1:32" s="2" customFormat="1" ht="20.100000000000001" customHeight="1">
      <c r="A373" s="732"/>
      <c r="B373" s="733"/>
      <c r="C373" s="734" t="s">
        <v>64</v>
      </c>
      <c r="D373" s="734"/>
      <c r="E373" s="734"/>
      <c r="F373" s="223">
        <v>31</v>
      </c>
      <c r="G373" s="223">
        <f t="shared" si="23"/>
        <v>31</v>
      </c>
      <c r="H373" s="224" t="s">
        <v>29</v>
      </c>
      <c r="I373" s="225">
        <f t="shared" si="24"/>
        <v>11012.108999999997</v>
      </c>
      <c r="J373" s="223">
        <f t="shared" si="26"/>
        <v>10342.891000000003</v>
      </c>
      <c r="K373" s="232">
        <f t="shared" si="25"/>
        <v>344.33558758059581</v>
      </c>
      <c r="L373" s="735"/>
      <c r="M373" s="736"/>
      <c r="N373" s="103"/>
      <c r="O373" s="103"/>
      <c r="P373" s="29"/>
      <c r="Q373" s="103"/>
      <c r="R373" s="103"/>
      <c r="S373" s="103"/>
      <c r="T373" s="103"/>
      <c r="U373" s="103"/>
      <c r="V373" s="103"/>
      <c r="W373" s="103"/>
      <c r="X373" s="25"/>
      <c r="Y373" s="25"/>
      <c r="Z373" s="25"/>
      <c r="AA373" s="25"/>
      <c r="AB373" s="25"/>
      <c r="AC373" s="25"/>
      <c r="AD373" s="25"/>
      <c r="AE373" s="25"/>
      <c r="AF373" s="25"/>
    </row>
    <row r="374" spans="1:32" s="2" customFormat="1" ht="20.100000000000001" customHeight="1">
      <c r="A374" s="732"/>
      <c r="B374" s="733"/>
      <c r="C374" s="734" t="s">
        <v>64</v>
      </c>
      <c r="D374" s="734"/>
      <c r="E374" s="734"/>
      <c r="F374" s="223">
        <v>31</v>
      </c>
      <c r="G374" s="223">
        <f t="shared" si="23"/>
        <v>31</v>
      </c>
      <c r="H374" s="224" t="s">
        <v>29</v>
      </c>
      <c r="I374" s="225">
        <f t="shared" si="24"/>
        <v>11043.108999999997</v>
      </c>
      <c r="J374" s="223">
        <f t="shared" si="26"/>
        <v>10311.891000000003</v>
      </c>
      <c r="K374" s="232">
        <f t="shared" si="25"/>
        <v>345.06563876470585</v>
      </c>
      <c r="L374" s="735"/>
      <c r="M374" s="736"/>
      <c r="N374" s="103"/>
      <c r="O374" s="103"/>
      <c r="P374" s="29"/>
      <c r="Q374" s="103"/>
      <c r="R374" s="103"/>
      <c r="S374" s="103"/>
      <c r="T374" s="103"/>
      <c r="U374" s="103"/>
      <c r="V374" s="103"/>
      <c r="W374" s="103"/>
      <c r="X374" s="25"/>
      <c r="Y374" s="25"/>
      <c r="Z374" s="25"/>
      <c r="AA374" s="25"/>
      <c r="AB374" s="25"/>
      <c r="AC374" s="25"/>
      <c r="AD374" s="25"/>
      <c r="AE374" s="25"/>
      <c r="AF374" s="25"/>
    </row>
    <row r="375" spans="1:32" s="2" customFormat="1" ht="20.100000000000001" customHeight="1">
      <c r="A375" s="681" t="s">
        <v>126</v>
      </c>
      <c r="B375" s="682"/>
      <c r="C375" s="683" t="s">
        <v>64</v>
      </c>
      <c r="D375" s="683"/>
      <c r="E375" s="683"/>
      <c r="F375" s="220">
        <v>31</v>
      </c>
      <c r="G375" s="220">
        <f t="shared" si="23"/>
        <v>31</v>
      </c>
      <c r="H375" s="221" t="s">
        <v>29</v>
      </c>
      <c r="I375" s="222">
        <f t="shared" si="24"/>
        <v>11074.108999999997</v>
      </c>
      <c r="J375" s="220">
        <f t="shared" si="26"/>
        <v>10280.891000000003</v>
      </c>
      <c r="K375" s="231">
        <f t="shared" si="25"/>
        <v>345.79568994881583</v>
      </c>
      <c r="L375" s="735"/>
      <c r="M375" s="736"/>
      <c r="N375" s="103"/>
      <c r="O375" s="103"/>
      <c r="P375" s="29"/>
      <c r="Q375" s="103"/>
      <c r="R375" s="103"/>
      <c r="S375" s="103"/>
      <c r="T375" s="103"/>
      <c r="U375" s="103"/>
      <c r="V375" s="103"/>
      <c r="W375" s="103"/>
      <c r="X375" s="25"/>
      <c r="Y375" s="25"/>
      <c r="Z375" s="25"/>
      <c r="AA375" s="25"/>
      <c r="AB375" s="25"/>
      <c r="AC375" s="25"/>
      <c r="AD375" s="25"/>
      <c r="AE375" s="25"/>
      <c r="AF375" s="25"/>
    </row>
    <row r="376" spans="1:32" s="2" customFormat="1" ht="20.100000000000001" customHeight="1">
      <c r="A376" s="681"/>
      <c r="B376" s="682"/>
      <c r="C376" s="683" t="s">
        <v>64</v>
      </c>
      <c r="D376" s="683"/>
      <c r="E376" s="683"/>
      <c r="F376" s="220">
        <v>30.67</v>
      </c>
      <c r="G376" s="220">
        <f t="shared" si="23"/>
        <v>30.67</v>
      </c>
      <c r="H376" s="221" t="s">
        <v>29</v>
      </c>
      <c r="I376" s="222">
        <f t="shared" si="24"/>
        <v>11104.778999999997</v>
      </c>
      <c r="J376" s="220">
        <f t="shared" si="26"/>
        <v>10250.221000000003</v>
      </c>
      <c r="K376" s="231">
        <f t="shared" si="25"/>
        <v>346.5179696203208</v>
      </c>
      <c r="L376" s="735"/>
      <c r="M376" s="736"/>
      <c r="N376" s="103"/>
      <c r="O376" s="103"/>
      <c r="P376" s="29"/>
      <c r="Q376" s="103"/>
      <c r="R376" s="103"/>
      <c r="S376" s="103"/>
      <c r="T376" s="103"/>
      <c r="U376" s="103"/>
      <c r="V376" s="103"/>
      <c r="W376" s="103"/>
      <c r="X376" s="25"/>
      <c r="Y376" s="25"/>
      <c r="Z376" s="25"/>
      <c r="AA376" s="25"/>
      <c r="AB376" s="25"/>
      <c r="AC376" s="25"/>
      <c r="AD376" s="25"/>
      <c r="AE376" s="25"/>
      <c r="AF376" s="25"/>
    </row>
    <row r="377" spans="1:32" s="2" customFormat="1" ht="20.100000000000001" customHeight="1">
      <c r="A377" s="681"/>
      <c r="B377" s="682"/>
      <c r="C377" s="683" t="s">
        <v>64</v>
      </c>
      <c r="D377" s="683"/>
      <c r="E377" s="683"/>
      <c r="F377" s="220">
        <v>31.2</v>
      </c>
      <c r="G377" s="220">
        <f t="shared" si="23"/>
        <v>31.2</v>
      </c>
      <c r="H377" s="221" t="s">
        <v>29</v>
      </c>
      <c r="I377" s="222">
        <f t="shared" si="24"/>
        <v>11135.978999999998</v>
      </c>
      <c r="J377" s="220">
        <f t="shared" si="26"/>
        <v>10219.021000000002</v>
      </c>
      <c r="K377" s="231">
        <f t="shared" si="25"/>
        <v>347.25273081207024</v>
      </c>
      <c r="L377" s="735"/>
      <c r="M377" s="736"/>
      <c r="N377" s="103"/>
      <c r="O377" s="103"/>
      <c r="P377" s="29"/>
      <c r="Q377" s="103"/>
      <c r="R377" s="103"/>
      <c r="S377" s="103"/>
      <c r="T377" s="103"/>
      <c r="U377" s="103"/>
      <c r="V377" s="103"/>
      <c r="W377" s="103"/>
      <c r="X377" s="25"/>
      <c r="Y377" s="25"/>
      <c r="Z377" s="25"/>
      <c r="AA377" s="25"/>
      <c r="AB377" s="25"/>
      <c r="AC377" s="25"/>
      <c r="AD377" s="25"/>
      <c r="AE377" s="25"/>
      <c r="AF377" s="25"/>
    </row>
    <row r="378" spans="1:32" s="2" customFormat="1" ht="20.100000000000001" customHeight="1">
      <c r="A378" s="732" t="s">
        <v>127</v>
      </c>
      <c r="B378" s="733"/>
      <c r="C378" s="734" t="s">
        <v>64</v>
      </c>
      <c r="D378" s="734"/>
      <c r="E378" s="734"/>
      <c r="F378" s="223">
        <v>30.88</v>
      </c>
      <c r="G378" s="223">
        <f t="shared" si="23"/>
        <v>30.88</v>
      </c>
      <c r="H378" s="224" t="s">
        <v>29</v>
      </c>
      <c r="I378" s="225">
        <f t="shared" si="24"/>
        <v>11166.858999999997</v>
      </c>
      <c r="J378" s="223">
        <f t="shared" si="26"/>
        <v>10188.141000000003</v>
      </c>
      <c r="K378" s="232">
        <f t="shared" si="25"/>
        <v>347.97995599159657</v>
      </c>
      <c r="L378" s="735"/>
      <c r="M378" s="736"/>
      <c r="N378" s="103"/>
      <c r="O378" s="103"/>
      <c r="P378" s="29"/>
      <c r="Q378" s="103"/>
      <c r="R378" s="103"/>
      <c r="S378" s="103"/>
      <c r="T378" s="103"/>
      <c r="U378" s="103"/>
      <c r="V378" s="103"/>
      <c r="W378" s="103"/>
      <c r="X378" s="25"/>
      <c r="Y378" s="25"/>
      <c r="Z378" s="25"/>
      <c r="AA378" s="25"/>
      <c r="AB378" s="25"/>
      <c r="AC378" s="25"/>
      <c r="AD378" s="25"/>
      <c r="AE378" s="25"/>
      <c r="AF378" s="25"/>
    </row>
    <row r="379" spans="1:32" s="2" customFormat="1" ht="20.100000000000001" customHeight="1">
      <c r="A379" s="732"/>
      <c r="B379" s="733"/>
      <c r="C379" s="734" t="s">
        <v>64</v>
      </c>
      <c r="D379" s="734"/>
      <c r="E379" s="734"/>
      <c r="F379" s="223">
        <v>31.08</v>
      </c>
      <c r="G379" s="223">
        <f t="shared" si="23"/>
        <v>31.08</v>
      </c>
      <c r="H379" s="224" t="s">
        <v>29</v>
      </c>
      <c r="I379" s="225">
        <f t="shared" si="24"/>
        <v>11197.938999999997</v>
      </c>
      <c r="J379" s="223">
        <f t="shared" si="26"/>
        <v>10157.061000000003</v>
      </c>
      <c r="K379" s="232">
        <f t="shared" si="25"/>
        <v>348.71189117876236</v>
      </c>
      <c r="L379" s="735"/>
      <c r="M379" s="736"/>
      <c r="N379" s="103"/>
      <c r="O379" s="137"/>
      <c r="P379" s="29"/>
      <c r="Q379" s="103"/>
      <c r="R379" s="103"/>
      <c r="S379" s="103"/>
      <c r="T379" s="103"/>
      <c r="U379" s="103"/>
      <c r="V379" s="103"/>
      <c r="W379" s="103"/>
      <c r="X379" s="25"/>
      <c r="Y379" s="25"/>
      <c r="Z379" s="25"/>
      <c r="AA379" s="25"/>
      <c r="AB379" s="25"/>
      <c r="AC379" s="25"/>
      <c r="AD379" s="25"/>
      <c r="AE379" s="25"/>
      <c r="AF379" s="25"/>
    </row>
    <row r="380" spans="1:32" s="2" customFormat="1" ht="20.100000000000001" customHeight="1">
      <c r="A380" s="732"/>
      <c r="B380" s="733"/>
      <c r="C380" s="734" t="s">
        <v>64</v>
      </c>
      <c r="D380" s="734"/>
      <c r="E380" s="734"/>
      <c r="F380" s="223">
        <v>31.25</v>
      </c>
      <c r="G380" s="223">
        <f t="shared" si="23"/>
        <v>31.25</v>
      </c>
      <c r="H380" s="224" t="s">
        <v>29</v>
      </c>
      <c r="I380" s="225">
        <f t="shared" si="24"/>
        <v>11229.188999999997</v>
      </c>
      <c r="J380" s="223">
        <f t="shared" si="26"/>
        <v>10125.811000000003</v>
      </c>
      <c r="K380" s="232">
        <f t="shared" si="25"/>
        <v>349.44782987242161</v>
      </c>
      <c r="L380" s="735"/>
      <c r="M380" s="736"/>
      <c r="N380" s="137"/>
      <c r="O380" s="138"/>
      <c r="P380" s="29"/>
      <c r="Q380" s="103"/>
      <c r="R380" s="103"/>
      <c r="S380" s="103"/>
      <c r="T380" s="103"/>
      <c r="U380" s="103"/>
      <c r="V380" s="103"/>
      <c r="W380" s="103"/>
      <c r="X380" s="25"/>
      <c r="Y380" s="25"/>
      <c r="Z380" s="25"/>
      <c r="AA380" s="25"/>
      <c r="AB380" s="25"/>
      <c r="AC380" s="25"/>
      <c r="AD380" s="25"/>
      <c r="AE380" s="25"/>
      <c r="AF380" s="25"/>
    </row>
    <row r="381" spans="1:32" s="2" customFormat="1" ht="20.100000000000001" customHeight="1">
      <c r="A381" s="681" t="s">
        <v>128</v>
      </c>
      <c r="B381" s="682"/>
      <c r="C381" s="683" t="s">
        <v>64</v>
      </c>
      <c r="D381" s="683"/>
      <c r="E381" s="683"/>
      <c r="F381" s="220">
        <v>31.03</v>
      </c>
      <c r="G381" s="220">
        <f t="shared" si="23"/>
        <v>31.03</v>
      </c>
      <c r="H381" s="221" t="s">
        <v>29</v>
      </c>
      <c r="I381" s="222">
        <f t="shared" si="24"/>
        <v>11260.218999999997</v>
      </c>
      <c r="J381" s="220">
        <f t="shared" si="26"/>
        <v>10094.781000000003</v>
      </c>
      <c r="K381" s="231">
        <f t="shared" si="25"/>
        <v>350.17858755767753</v>
      </c>
      <c r="L381" s="735"/>
      <c r="M381" s="736"/>
      <c r="N381" s="138"/>
      <c r="O381" s="137"/>
      <c r="P381" s="29"/>
      <c r="Q381" s="103"/>
      <c r="R381" s="103"/>
      <c r="S381" s="103"/>
      <c r="T381" s="103"/>
      <c r="U381" s="103"/>
      <c r="V381" s="103"/>
      <c r="W381" s="103"/>
      <c r="X381" s="25"/>
      <c r="Y381" s="25"/>
      <c r="Z381" s="25"/>
      <c r="AA381" s="25"/>
      <c r="AB381" s="25"/>
      <c r="AC381" s="25"/>
      <c r="AD381" s="25"/>
      <c r="AE381" s="25"/>
      <c r="AF381" s="25"/>
    </row>
    <row r="382" spans="1:32" s="2" customFormat="1" ht="20.100000000000001" customHeight="1">
      <c r="A382" s="681"/>
      <c r="B382" s="682"/>
      <c r="C382" s="683" t="s">
        <v>64</v>
      </c>
      <c r="D382" s="683"/>
      <c r="E382" s="683"/>
      <c r="F382" s="220">
        <v>30.84</v>
      </c>
      <c r="G382" s="220">
        <f t="shared" si="23"/>
        <v>30.84</v>
      </c>
      <c r="H382" s="221" t="s">
        <v>29</v>
      </c>
      <c r="I382" s="222">
        <f t="shared" si="24"/>
        <v>11291.058999999997</v>
      </c>
      <c r="J382" s="220">
        <f t="shared" si="26"/>
        <v>10063.941000000003</v>
      </c>
      <c r="K382" s="231">
        <f t="shared" si="25"/>
        <v>350.90487073567607</v>
      </c>
      <c r="L382" s="735"/>
      <c r="M382" s="736"/>
      <c r="N382" s="137"/>
      <c r="O382" s="137"/>
      <c r="P382" s="29"/>
      <c r="Q382" s="103"/>
      <c r="R382" s="103"/>
      <c r="S382" s="103"/>
      <c r="T382" s="103"/>
      <c r="U382" s="103"/>
      <c r="V382" s="103"/>
      <c r="W382" s="103"/>
      <c r="X382" s="25"/>
      <c r="Y382" s="25"/>
      <c r="Z382" s="25"/>
      <c r="AA382" s="25"/>
      <c r="AB382" s="25"/>
      <c r="AC382" s="25"/>
      <c r="AD382" s="25"/>
      <c r="AE382" s="25"/>
      <c r="AF382" s="25"/>
    </row>
    <row r="383" spans="1:32" ht="20.100000000000001" customHeight="1">
      <c r="A383" s="681"/>
      <c r="B383" s="682"/>
      <c r="C383" s="683" t="s">
        <v>64</v>
      </c>
      <c r="D383" s="683"/>
      <c r="E383" s="683"/>
      <c r="F383" s="220">
        <v>30.92</v>
      </c>
      <c r="G383" s="220">
        <f t="shared" si="23"/>
        <v>30.92</v>
      </c>
      <c r="H383" s="221" t="s">
        <v>29</v>
      </c>
      <c r="I383" s="222">
        <f t="shared" si="24"/>
        <v>11321.978999999998</v>
      </c>
      <c r="J383" s="220">
        <f t="shared" si="26"/>
        <v>10033.021000000002</v>
      </c>
      <c r="K383" s="231">
        <f t="shared" si="25"/>
        <v>351.6330379167303</v>
      </c>
      <c r="L383" s="748"/>
      <c r="M383" s="749"/>
      <c r="N383" s="137"/>
      <c r="O383" s="103"/>
      <c r="P383" s="29"/>
      <c r="Q383" s="29"/>
      <c r="R383" s="29"/>
      <c r="S383" s="29"/>
      <c r="T383" s="29"/>
      <c r="U383" s="29"/>
      <c r="V383" s="29"/>
      <c r="W383" s="29"/>
    </row>
    <row r="384" spans="1:32" ht="20.100000000000001" customHeight="1">
      <c r="A384" s="732" t="s">
        <v>129</v>
      </c>
      <c r="B384" s="733"/>
      <c r="C384" s="734" t="s">
        <v>64</v>
      </c>
      <c r="D384" s="734"/>
      <c r="E384" s="734"/>
      <c r="F384" s="223">
        <v>31.27</v>
      </c>
      <c r="G384" s="223">
        <f t="shared" si="23"/>
        <v>31.27</v>
      </c>
      <c r="H384" s="224" t="s">
        <v>29</v>
      </c>
      <c r="I384" s="225">
        <f t="shared" si="24"/>
        <v>11353.248999999998</v>
      </c>
      <c r="J384" s="223">
        <f t="shared" si="26"/>
        <v>10001.751000000002</v>
      </c>
      <c r="K384" s="232">
        <f t="shared" si="25"/>
        <v>352.36944761115353</v>
      </c>
      <c r="L384" s="735"/>
      <c r="M384" s="736"/>
      <c r="N384" s="136"/>
      <c r="O384" s="29"/>
      <c r="P384" s="29"/>
      <c r="Q384" s="29"/>
      <c r="R384" s="29"/>
      <c r="S384" s="29"/>
      <c r="T384" s="29"/>
      <c r="U384" s="29"/>
      <c r="V384" s="29"/>
      <c r="W384" s="29"/>
    </row>
    <row r="385" spans="1:23" ht="20.100000000000001" customHeight="1">
      <c r="A385" s="732"/>
      <c r="B385" s="733"/>
      <c r="C385" s="734" t="s">
        <v>64</v>
      </c>
      <c r="D385" s="734"/>
      <c r="E385" s="734"/>
      <c r="F385" s="223">
        <v>31</v>
      </c>
      <c r="G385" s="223">
        <f t="shared" si="23"/>
        <v>31</v>
      </c>
      <c r="H385" s="224" t="s">
        <v>29</v>
      </c>
      <c r="I385" s="225">
        <f t="shared" si="24"/>
        <v>11384.248999999998</v>
      </c>
      <c r="J385" s="223">
        <f t="shared" si="26"/>
        <v>9970.751000000002</v>
      </c>
      <c r="K385" s="232">
        <f t="shared" si="25"/>
        <v>353.09949879526351</v>
      </c>
      <c r="L385" s="735"/>
      <c r="M385" s="736"/>
      <c r="N385" s="136"/>
      <c r="O385" s="29"/>
      <c r="P385" s="29"/>
      <c r="Q385" s="29"/>
      <c r="R385" s="29"/>
      <c r="S385" s="29"/>
      <c r="T385" s="29"/>
      <c r="U385" s="29"/>
      <c r="V385" s="29"/>
      <c r="W385" s="29"/>
    </row>
    <row r="386" spans="1:23" ht="20.100000000000001" customHeight="1">
      <c r="A386" s="732"/>
      <c r="B386" s="733"/>
      <c r="C386" s="734" t="s">
        <v>64</v>
      </c>
      <c r="D386" s="734"/>
      <c r="E386" s="734"/>
      <c r="F386" s="223">
        <v>31.05</v>
      </c>
      <c r="G386" s="223">
        <f t="shared" si="23"/>
        <v>31.05</v>
      </c>
      <c r="H386" s="224" t="s">
        <v>29</v>
      </c>
      <c r="I386" s="225">
        <f t="shared" si="24"/>
        <v>11415.298999999997</v>
      </c>
      <c r="J386" s="223">
        <f t="shared" si="26"/>
        <v>9939.7010000000028</v>
      </c>
      <c r="K386" s="232">
        <f t="shared" si="25"/>
        <v>353.83072748128336</v>
      </c>
      <c r="L386" s="746"/>
      <c r="M386" s="747"/>
      <c r="N386" s="29"/>
      <c r="O386" s="29"/>
      <c r="P386" s="29"/>
      <c r="Q386" s="29"/>
      <c r="R386" s="29"/>
      <c r="S386" s="29"/>
      <c r="T386" s="29"/>
      <c r="U386" s="29"/>
      <c r="V386" s="29"/>
      <c r="W386" s="29"/>
    </row>
    <row r="387" spans="1:23" ht="20.100000000000001" customHeight="1">
      <c r="A387" s="681" t="s">
        <v>130</v>
      </c>
      <c r="B387" s="682"/>
      <c r="C387" s="683" t="s">
        <v>64</v>
      </c>
      <c r="D387" s="683"/>
      <c r="E387" s="683"/>
      <c r="F387" s="220">
        <v>31.05</v>
      </c>
      <c r="G387" s="220">
        <f t="shared" si="23"/>
        <v>31.05</v>
      </c>
      <c r="H387" s="221" t="s">
        <v>29</v>
      </c>
      <c r="I387" s="222">
        <f t="shared" si="24"/>
        <v>11446.348999999997</v>
      </c>
      <c r="J387" s="220">
        <f t="shared" si="26"/>
        <v>9908.6510000000035</v>
      </c>
      <c r="K387" s="231">
        <f t="shared" si="25"/>
        <v>354.56195616730326</v>
      </c>
      <c r="L387" s="750"/>
      <c r="M387" s="751"/>
      <c r="N387" s="29"/>
      <c r="O387" s="29"/>
      <c r="P387" s="29"/>
      <c r="Q387" s="29"/>
      <c r="R387" s="29"/>
      <c r="S387" s="29"/>
      <c r="T387" s="29"/>
      <c r="U387" s="29"/>
      <c r="V387" s="29"/>
      <c r="W387" s="29"/>
    </row>
    <row r="388" spans="1:23" ht="20.100000000000001" customHeight="1">
      <c r="A388" s="681"/>
      <c r="B388" s="682"/>
      <c r="C388" s="683" t="s">
        <v>64</v>
      </c>
      <c r="D388" s="683"/>
      <c r="E388" s="683"/>
      <c r="F388" s="220">
        <v>30.9</v>
      </c>
      <c r="G388" s="220">
        <f t="shared" si="23"/>
        <v>30.9</v>
      </c>
      <c r="H388" s="221" t="s">
        <v>29</v>
      </c>
      <c r="I388" s="222">
        <f t="shared" si="24"/>
        <v>11477.248999999996</v>
      </c>
      <c r="J388" s="220">
        <f t="shared" si="26"/>
        <v>9877.7510000000038</v>
      </c>
      <c r="K388" s="231">
        <f t="shared" si="25"/>
        <v>355.28965234759352</v>
      </c>
      <c r="L388" s="750"/>
      <c r="M388" s="751"/>
      <c r="N388" s="29"/>
      <c r="O388" s="29"/>
      <c r="P388" s="29"/>
      <c r="Q388" s="29"/>
      <c r="R388" s="29"/>
      <c r="S388" s="29"/>
      <c r="T388" s="29"/>
      <c r="U388" s="29"/>
      <c r="V388" s="29"/>
      <c r="W388" s="29"/>
    </row>
    <row r="389" spans="1:23" ht="20.100000000000001" customHeight="1">
      <c r="A389" s="681"/>
      <c r="B389" s="682"/>
      <c r="C389" s="683" t="s">
        <v>64</v>
      </c>
      <c r="D389" s="683"/>
      <c r="E389" s="683"/>
      <c r="F389" s="220">
        <v>31.09</v>
      </c>
      <c r="G389" s="220">
        <f t="shared" si="23"/>
        <v>31.09</v>
      </c>
      <c r="H389" s="221" t="s">
        <v>29</v>
      </c>
      <c r="I389" s="222">
        <f t="shared" si="24"/>
        <v>11508.338999999996</v>
      </c>
      <c r="J389" s="220">
        <f t="shared" si="26"/>
        <v>9846.6610000000037</v>
      </c>
      <c r="K389" s="231">
        <f t="shared" si="25"/>
        <v>356.02182303514127</v>
      </c>
      <c r="L389" s="750"/>
      <c r="M389" s="751"/>
      <c r="N389" s="29"/>
      <c r="O389" s="29"/>
      <c r="P389" s="29"/>
      <c r="Q389" s="29"/>
      <c r="R389" s="29"/>
      <c r="S389" s="29"/>
      <c r="T389" s="29"/>
      <c r="U389" s="29"/>
      <c r="V389" s="29"/>
      <c r="W389" s="29"/>
    </row>
    <row r="390" spans="1:23" ht="20.100000000000001" customHeight="1">
      <c r="A390" s="732" t="s">
        <v>131</v>
      </c>
      <c r="B390" s="733"/>
      <c r="C390" s="734" t="s">
        <v>64</v>
      </c>
      <c r="D390" s="734"/>
      <c r="E390" s="734"/>
      <c r="F390" s="223">
        <v>30.57</v>
      </c>
      <c r="G390" s="223">
        <f t="shared" si="23"/>
        <v>30.57</v>
      </c>
      <c r="H390" s="224" t="s">
        <v>29</v>
      </c>
      <c r="I390" s="225">
        <f t="shared" si="24"/>
        <v>11538.908999999996</v>
      </c>
      <c r="J390" s="223">
        <f t="shared" si="26"/>
        <v>9816.091000000004</v>
      </c>
      <c r="K390" s="233">
        <f t="shared" si="25"/>
        <v>356.7417477028265</v>
      </c>
      <c r="L390" s="750"/>
      <c r="M390" s="751"/>
      <c r="N390" s="29"/>
      <c r="O390" s="29"/>
      <c r="P390" s="29"/>
      <c r="Q390" s="29"/>
      <c r="R390" s="29"/>
      <c r="S390" s="29"/>
      <c r="T390" s="29"/>
      <c r="U390" s="29"/>
      <c r="V390" s="29"/>
      <c r="W390" s="29"/>
    </row>
    <row r="391" spans="1:23" ht="20.100000000000001" customHeight="1">
      <c r="A391" s="732"/>
      <c r="B391" s="733"/>
      <c r="C391" s="734" t="s">
        <v>64</v>
      </c>
      <c r="D391" s="734"/>
      <c r="E391" s="734"/>
      <c r="F391" s="223">
        <v>31.14</v>
      </c>
      <c r="G391" s="223">
        <f t="shared" si="23"/>
        <v>31.14</v>
      </c>
      <c r="H391" s="224" t="s">
        <v>29</v>
      </c>
      <c r="I391" s="225">
        <f t="shared" si="24"/>
        <v>11570.048999999995</v>
      </c>
      <c r="J391" s="223">
        <f t="shared" si="26"/>
        <v>9784.9510000000046</v>
      </c>
      <c r="K391" s="233">
        <f t="shared" si="25"/>
        <v>357.47509589228406</v>
      </c>
      <c r="L391" s="750"/>
      <c r="M391" s="751"/>
      <c r="N391" s="29"/>
      <c r="O391" s="29"/>
      <c r="P391" s="29"/>
      <c r="Q391" s="29"/>
      <c r="R391" s="29"/>
      <c r="S391" s="29"/>
      <c r="T391" s="29"/>
      <c r="U391" s="29"/>
      <c r="V391" s="29"/>
      <c r="W391" s="29"/>
    </row>
    <row r="392" spans="1:23" ht="20.100000000000001" customHeight="1">
      <c r="A392" s="732"/>
      <c r="B392" s="733"/>
      <c r="C392" s="734" t="s">
        <v>64</v>
      </c>
      <c r="D392" s="734"/>
      <c r="E392" s="734"/>
      <c r="F392" s="223">
        <v>30.87</v>
      </c>
      <c r="G392" s="223">
        <f t="shared" si="23"/>
        <v>30.87</v>
      </c>
      <c r="H392" s="224" t="s">
        <v>29</v>
      </c>
      <c r="I392" s="225">
        <f t="shared" si="24"/>
        <v>11600.918999999996</v>
      </c>
      <c r="J392" s="223">
        <f t="shared" si="26"/>
        <v>9754.0810000000038</v>
      </c>
      <c r="K392" s="233">
        <f t="shared" si="25"/>
        <v>358.20208557142854</v>
      </c>
      <c r="L392" s="750"/>
      <c r="M392" s="751"/>
      <c r="N392" s="29"/>
      <c r="O392" s="29"/>
      <c r="P392" s="29"/>
      <c r="Q392" s="29"/>
      <c r="R392" s="29"/>
      <c r="S392" s="29"/>
      <c r="T392" s="29"/>
      <c r="U392" s="29"/>
      <c r="V392" s="29"/>
      <c r="W392" s="29"/>
    </row>
    <row r="393" spans="1:23" ht="20.100000000000001" customHeight="1">
      <c r="A393" s="681" t="s">
        <v>132</v>
      </c>
      <c r="B393" s="682"/>
      <c r="C393" s="683" t="s">
        <v>64</v>
      </c>
      <c r="D393" s="683"/>
      <c r="E393" s="683"/>
      <c r="F393" s="220">
        <v>30.85</v>
      </c>
      <c r="G393" s="220">
        <f t="shared" ref="G393:G456" si="27">F393</f>
        <v>30.85</v>
      </c>
      <c r="H393" s="221" t="s">
        <v>29</v>
      </c>
      <c r="I393" s="222">
        <f t="shared" si="24"/>
        <v>11631.768999999997</v>
      </c>
      <c r="J393" s="220">
        <f t="shared" si="26"/>
        <v>9723.2310000000034</v>
      </c>
      <c r="K393" s="231">
        <f t="shared" si="25"/>
        <v>358.92860424980893</v>
      </c>
      <c r="L393" s="750"/>
      <c r="M393" s="751"/>
      <c r="N393" s="29"/>
      <c r="O393" s="29"/>
      <c r="P393" s="29"/>
      <c r="Q393" s="29"/>
      <c r="R393" s="29"/>
      <c r="S393" s="29"/>
      <c r="T393" s="29"/>
      <c r="U393" s="29"/>
      <c r="V393" s="29"/>
      <c r="W393" s="29"/>
    </row>
    <row r="394" spans="1:23" ht="20.100000000000001" customHeight="1">
      <c r="A394" s="681"/>
      <c r="B394" s="682"/>
      <c r="C394" s="683" t="s">
        <v>64</v>
      </c>
      <c r="D394" s="683"/>
      <c r="E394" s="683"/>
      <c r="F394" s="220">
        <v>31.15</v>
      </c>
      <c r="G394" s="220">
        <f t="shared" si="27"/>
        <v>31.15</v>
      </c>
      <c r="H394" s="221" t="s">
        <v>29</v>
      </c>
      <c r="I394" s="222">
        <f t="shared" si="24"/>
        <v>11662.918999999996</v>
      </c>
      <c r="J394" s="220">
        <f t="shared" si="26"/>
        <v>9692.0810000000038</v>
      </c>
      <c r="K394" s="231">
        <f t="shared" si="25"/>
        <v>359.6621879396485</v>
      </c>
      <c r="L394" s="750"/>
      <c r="M394" s="751"/>
      <c r="N394" s="29"/>
      <c r="O394" s="29"/>
      <c r="P394" s="29"/>
      <c r="Q394" s="29"/>
      <c r="R394" s="29"/>
      <c r="S394" s="29"/>
      <c r="T394" s="29"/>
      <c r="U394" s="29"/>
      <c r="V394" s="29"/>
      <c r="W394" s="29"/>
    </row>
    <row r="395" spans="1:23" ht="20.100000000000001" customHeight="1">
      <c r="A395" s="681"/>
      <c r="B395" s="682"/>
      <c r="C395" s="683" t="s">
        <v>64</v>
      </c>
      <c r="D395" s="683"/>
      <c r="E395" s="683"/>
      <c r="F395" s="220">
        <v>30.9</v>
      </c>
      <c r="G395" s="220">
        <f t="shared" si="27"/>
        <v>30.9</v>
      </c>
      <c r="H395" s="221" t="s">
        <v>29</v>
      </c>
      <c r="I395" s="222">
        <f t="shared" si="24"/>
        <v>11693.818999999996</v>
      </c>
      <c r="J395" s="220">
        <f t="shared" si="26"/>
        <v>9661.1810000000041</v>
      </c>
      <c r="K395" s="231">
        <f t="shared" si="25"/>
        <v>360.38988411993876</v>
      </c>
      <c r="L395" s="750"/>
      <c r="M395" s="751"/>
      <c r="N395" s="29"/>
      <c r="O395" s="29"/>
      <c r="P395" s="29"/>
      <c r="Q395" s="29"/>
      <c r="R395" s="29"/>
      <c r="S395" s="29"/>
      <c r="T395" s="29"/>
      <c r="U395" s="29"/>
      <c r="V395" s="29"/>
      <c r="W395" s="29"/>
    </row>
    <row r="396" spans="1:23" ht="20.100000000000001" customHeight="1">
      <c r="A396" s="732" t="s">
        <v>133</v>
      </c>
      <c r="B396" s="733"/>
      <c r="C396" s="734" t="s">
        <v>64</v>
      </c>
      <c r="D396" s="734"/>
      <c r="E396" s="734"/>
      <c r="F396" s="223">
        <v>31.15</v>
      </c>
      <c r="G396" s="223">
        <f t="shared" si="27"/>
        <v>31.15</v>
      </c>
      <c r="H396" s="224" t="s">
        <v>29</v>
      </c>
      <c r="I396" s="225">
        <f t="shared" si="24"/>
        <v>11724.968999999996</v>
      </c>
      <c r="J396" s="223">
        <f t="shared" si="26"/>
        <v>9630.0310000000045</v>
      </c>
      <c r="K396" s="233">
        <f t="shared" si="25"/>
        <v>361.12346780977833</v>
      </c>
      <c r="L396" s="750"/>
      <c r="M396" s="751"/>
      <c r="N396" s="29"/>
      <c r="O396" s="29"/>
      <c r="P396" s="29"/>
      <c r="Q396" s="29"/>
      <c r="R396" s="29"/>
      <c r="S396" s="29"/>
      <c r="T396" s="29"/>
      <c r="U396" s="29"/>
      <c r="V396" s="29"/>
      <c r="W396" s="29"/>
    </row>
    <row r="397" spans="1:23" ht="20.100000000000001" customHeight="1">
      <c r="A397" s="732"/>
      <c r="B397" s="733"/>
      <c r="C397" s="734" t="s">
        <v>64</v>
      </c>
      <c r="D397" s="734"/>
      <c r="E397" s="734"/>
      <c r="F397" s="223">
        <v>31.08</v>
      </c>
      <c r="G397" s="223">
        <f t="shared" si="27"/>
        <v>31.08</v>
      </c>
      <c r="H397" s="224" t="s">
        <v>29</v>
      </c>
      <c r="I397" s="225">
        <f t="shared" si="24"/>
        <v>11756.048999999995</v>
      </c>
      <c r="J397" s="223">
        <f t="shared" si="26"/>
        <v>9598.9510000000046</v>
      </c>
      <c r="K397" s="233">
        <f t="shared" si="25"/>
        <v>361.85540299694412</v>
      </c>
      <c r="L397" s="750"/>
      <c r="M397" s="751"/>
      <c r="N397" s="29"/>
      <c r="O397" s="29"/>
      <c r="P397" s="29"/>
      <c r="Q397" s="29"/>
      <c r="R397" s="29"/>
      <c r="S397" s="29"/>
      <c r="T397" s="29"/>
      <c r="U397" s="29"/>
      <c r="V397" s="29"/>
      <c r="W397" s="29"/>
    </row>
    <row r="398" spans="1:23" ht="20.100000000000001" customHeight="1">
      <c r="A398" s="732"/>
      <c r="B398" s="733"/>
      <c r="C398" s="734" t="s">
        <v>64</v>
      </c>
      <c r="D398" s="734"/>
      <c r="E398" s="734"/>
      <c r="F398" s="223">
        <v>30.88</v>
      </c>
      <c r="G398" s="223">
        <f t="shared" si="27"/>
        <v>30.88</v>
      </c>
      <c r="H398" s="224" t="s">
        <v>29</v>
      </c>
      <c r="I398" s="225">
        <f t="shared" si="24"/>
        <v>11786.928999999995</v>
      </c>
      <c r="J398" s="223">
        <f t="shared" si="26"/>
        <v>9568.0710000000054</v>
      </c>
      <c r="K398" s="233">
        <f t="shared" si="25"/>
        <v>362.58262817647045</v>
      </c>
      <c r="L398" s="750"/>
      <c r="M398" s="751"/>
      <c r="N398" s="29"/>
      <c r="O398" s="29"/>
      <c r="P398" s="29"/>
      <c r="Q398" s="29"/>
      <c r="R398" s="29"/>
      <c r="S398" s="29"/>
      <c r="T398" s="29"/>
      <c r="U398" s="29"/>
      <c r="V398" s="29"/>
      <c r="W398" s="29"/>
    </row>
    <row r="399" spans="1:23" ht="20.100000000000001" customHeight="1">
      <c r="A399" s="681" t="s">
        <v>134</v>
      </c>
      <c r="B399" s="682"/>
      <c r="C399" s="683" t="s">
        <v>64</v>
      </c>
      <c r="D399" s="683"/>
      <c r="E399" s="683"/>
      <c r="F399" s="220">
        <v>31.13</v>
      </c>
      <c r="G399" s="220">
        <f t="shared" si="27"/>
        <v>31.13</v>
      </c>
      <c r="H399" s="221" t="s">
        <v>29</v>
      </c>
      <c r="I399" s="222">
        <f t="shared" si="24"/>
        <v>11818.058999999994</v>
      </c>
      <c r="J399" s="220">
        <f t="shared" si="26"/>
        <v>9536.9410000000062</v>
      </c>
      <c r="K399" s="231">
        <f t="shared" si="25"/>
        <v>363.3157408655461</v>
      </c>
      <c r="L399" s="752" t="s">
        <v>344</v>
      </c>
      <c r="M399" s="753"/>
      <c r="N399" s="29"/>
      <c r="O399" s="29"/>
      <c r="P399" s="29"/>
      <c r="Q399" s="29"/>
      <c r="R399" s="29"/>
      <c r="S399" s="29"/>
      <c r="T399" s="29"/>
      <c r="U399" s="29"/>
      <c r="V399" s="29"/>
      <c r="W399" s="29"/>
    </row>
    <row r="400" spans="1:23" ht="20.100000000000001" customHeight="1">
      <c r="A400" s="681"/>
      <c r="B400" s="682"/>
      <c r="C400" s="683" t="s">
        <v>64</v>
      </c>
      <c r="D400" s="683"/>
      <c r="E400" s="683"/>
      <c r="F400" s="220">
        <v>30.95</v>
      </c>
      <c r="G400" s="220">
        <f t="shared" si="27"/>
        <v>30.95</v>
      </c>
      <c r="H400" s="221" t="s">
        <v>29</v>
      </c>
      <c r="I400" s="222">
        <f t="shared" si="24"/>
        <v>11849.008999999995</v>
      </c>
      <c r="J400" s="220">
        <f t="shared" si="26"/>
        <v>9505.9910000000054</v>
      </c>
      <c r="K400" s="231">
        <f t="shared" si="25"/>
        <v>364.04461454774628</v>
      </c>
      <c r="L400" s="754"/>
      <c r="M400" s="755"/>
      <c r="N400" s="29"/>
      <c r="O400" s="29"/>
      <c r="P400" s="29"/>
      <c r="Q400" s="29"/>
      <c r="R400" s="29"/>
      <c r="S400" s="29"/>
      <c r="T400" s="29"/>
      <c r="U400" s="29"/>
      <c r="V400" s="29"/>
      <c r="W400" s="29"/>
    </row>
    <row r="401" spans="1:23" ht="20.100000000000001" customHeight="1">
      <c r="A401" s="681"/>
      <c r="B401" s="682"/>
      <c r="C401" s="683" t="s">
        <v>64</v>
      </c>
      <c r="D401" s="683"/>
      <c r="E401" s="683"/>
      <c r="F401" s="220">
        <v>30.93</v>
      </c>
      <c r="G401" s="220">
        <f t="shared" si="27"/>
        <v>30.93</v>
      </c>
      <c r="H401" s="221" t="s">
        <v>29</v>
      </c>
      <c r="I401" s="222">
        <f t="shared" si="24"/>
        <v>11879.938999999995</v>
      </c>
      <c r="J401" s="220">
        <f t="shared" si="26"/>
        <v>9475.0610000000052</v>
      </c>
      <c r="K401" s="231">
        <f t="shared" si="25"/>
        <v>364.77301722918247</v>
      </c>
      <c r="L401" s="756"/>
      <c r="M401" s="757"/>
      <c r="N401" s="29"/>
      <c r="O401" s="29"/>
      <c r="P401" s="29"/>
      <c r="Q401" s="29"/>
      <c r="R401" s="29"/>
      <c r="S401" s="29"/>
      <c r="T401" s="29"/>
      <c r="U401" s="29"/>
      <c r="V401" s="29"/>
      <c r="W401" s="29"/>
    </row>
    <row r="402" spans="1:23" ht="20.100000000000001" customHeight="1">
      <c r="A402" s="732" t="s">
        <v>135</v>
      </c>
      <c r="B402" s="733"/>
      <c r="C402" s="734" t="s">
        <v>64</v>
      </c>
      <c r="D402" s="734"/>
      <c r="E402" s="734"/>
      <c r="F402" s="223">
        <v>30.7</v>
      </c>
      <c r="G402" s="223">
        <f t="shared" si="27"/>
        <v>30.7</v>
      </c>
      <c r="H402" s="224" t="s">
        <v>29</v>
      </c>
      <c r="I402" s="225">
        <f t="shared" si="24"/>
        <v>11910.638999999996</v>
      </c>
      <c r="J402" s="223">
        <f t="shared" si="26"/>
        <v>9444.3610000000044</v>
      </c>
      <c r="K402" s="233">
        <f t="shared" si="25"/>
        <v>365.49600340183338</v>
      </c>
      <c r="L402" s="758"/>
      <c r="M402" s="759"/>
      <c r="N402" s="29"/>
      <c r="O402" s="29"/>
      <c r="P402" s="29"/>
      <c r="Q402" s="29"/>
      <c r="R402" s="29"/>
      <c r="S402" s="29"/>
      <c r="T402" s="29"/>
      <c r="U402" s="29"/>
      <c r="V402" s="29"/>
      <c r="W402" s="29"/>
    </row>
    <row r="403" spans="1:23" ht="20.100000000000001" customHeight="1">
      <c r="A403" s="732"/>
      <c r="B403" s="733"/>
      <c r="C403" s="734" t="s">
        <v>64</v>
      </c>
      <c r="D403" s="734"/>
      <c r="E403" s="734"/>
      <c r="F403" s="223">
        <v>30.85</v>
      </c>
      <c r="G403" s="223">
        <f t="shared" si="27"/>
        <v>30.85</v>
      </c>
      <c r="H403" s="224" t="s">
        <v>29</v>
      </c>
      <c r="I403" s="225">
        <f t="shared" si="24"/>
        <v>11941.488999999996</v>
      </c>
      <c r="J403" s="223">
        <f t="shared" si="26"/>
        <v>9413.5110000000041</v>
      </c>
      <c r="K403" s="233">
        <f t="shared" si="25"/>
        <v>366.22252208021382</v>
      </c>
      <c r="L403" s="750"/>
      <c r="M403" s="751"/>
      <c r="N403" s="29"/>
      <c r="O403" s="29"/>
      <c r="P403" s="29"/>
      <c r="Q403" s="29"/>
      <c r="R403" s="29"/>
      <c r="S403" s="29"/>
      <c r="T403" s="29"/>
      <c r="U403" s="29"/>
      <c r="V403" s="29"/>
      <c r="W403" s="29"/>
    </row>
    <row r="404" spans="1:23" ht="20.100000000000001" customHeight="1">
      <c r="A404" s="732"/>
      <c r="B404" s="733"/>
      <c r="C404" s="734" t="s">
        <v>64</v>
      </c>
      <c r="D404" s="734"/>
      <c r="E404" s="734"/>
      <c r="F404" s="223">
        <v>30.9</v>
      </c>
      <c r="G404" s="223">
        <f t="shared" si="27"/>
        <v>30.9</v>
      </c>
      <c r="H404" s="224" t="s">
        <v>29</v>
      </c>
      <c r="I404" s="225">
        <f t="shared" si="24"/>
        <v>11972.388999999996</v>
      </c>
      <c r="J404" s="223">
        <f t="shared" si="26"/>
        <v>9382.6110000000044</v>
      </c>
      <c r="K404" s="233">
        <f t="shared" si="25"/>
        <v>366.95021826050407</v>
      </c>
      <c r="L404" s="750"/>
      <c r="M404" s="751"/>
      <c r="N404" s="29"/>
      <c r="O404" s="29"/>
      <c r="P404" s="29"/>
      <c r="Q404" s="29"/>
      <c r="R404" s="29"/>
      <c r="S404" s="29"/>
      <c r="T404" s="29"/>
      <c r="U404" s="29"/>
      <c r="V404" s="29"/>
      <c r="W404" s="29"/>
    </row>
    <row r="405" spans="1:23" ht="20.100000000000001" customHeight="1">
      <c r="A405" s="681" t="s">
        <v>136</v>
      </c>
      <c r="B405" s="682"/>
      <c r="C405" s="683" t="s">
        <v>64</v>
      </c>
      <c r="D405" s="683"/>
      <c r="E405" s="683"/>
      <c r="F405" s="220">
        <v>30.98</v>
      </c>
      <c r="G405" s="220">
        <f t="shared" si="27"/>
        <v>30.98</v>
      </c>
      <c r="H405" s="221" t="s">
        <v>29</v>
      </c>
      <c r="I405" s="222">
        <f t="shared" si="24"/>
        <v>12003.368999999995</v>
      </c>
      <c r="J405" s="220">
        <f t="shared" si="26"/>
        <v>9351.6310000000049</v>
      </c>
      <c r="K405" s="231">
        <f t="shared" si="25"/>
        <v>367.67979844385019</v>
      </c>
      <c r="L405" s="750"/>
      <c r="M405" s="751"/>
      <c r="N405" s="29"/>
      <c r="O405" s="29"/>
      <c r="P405" s="29"/>
      <c r="Q405" s="29"/>
      <c r="R405" s="29"/>
      <c r="S405" s="29"/>
      <c r="T405" s="29"/>
      <c r="U405" s="29"/>
      <c r="V405" s="29"/>
      <c r="W405" s="29"/>
    </row>
    <row r="406" spans="1:23" ht="20.100000000000001" customHeight="1">
      <c r="A406" s="681"/>
      <c r="B406" s="682"/>
      <c r="C406" s="683" t="s">
        <v>64</v>
      </c>
      <c r="D406" s="683"/>
      <c r="E406" s="683"/>
      <c r="F406" s="220">
        <v>30.76</v>
      </c>
      <c r="G406" s="220">
        <f t="shared" si="27"/>
        <v>30.76</v>
      </c>
      <c r="H406" s="221" t="s">
        <v>29</v>
      </c>
      <c r="I406" s="222">
        <f t="shared" si="24"/>
        <v>12034.128999999995</v>
      </c>
      <c r="J406" s="220">
        <f t="shared" si="26"/>
        <v>9320.8710000000046</v>
      </c>
      <c r="K406" s="231">
        <f t="shared" si="25"/>
        <v>368.40419761879286</v>
      </c>
      <c r="L406" s="750"/>
      <c r="M406" s="751"/>
      <c r="N406" s="29"/>
      <c r="O406" s="29"/>
      <c r="P406" s="29"/>
      <c r="Q406" s="29"/>
      <c r="R406" s="29"/>
      <c r="S406" s="29"/>
      <c r="T406" s="29"/>
      <c r="U406" s="29"/>
      <c r="V406" s="29"/>
      <c r="W406" s="29"/>
    </row>
    <row r="407" spans="1:23" ht="20.100000000000001" customHeight="1">
      <c r="A407" s="681"/>
      <c r="B407" s="682"/>
      <c r="C407" s="683" t="s">
        <v>64</v>
      </c>
      <c r="D407" s="683"/>
      <c r="E407" s="683"/>
      <c r="F407" s="220">
        <v>31.23</v>
      </c>
      <c r="G407" s="220">
        <f t="shared" si="27"/>
        <v>31.23</v>
      </c>
      <c r="H407" s="221" t="s">
        <v>29</v>
      </c>
      <c r="I407" s="222">
        <f t="shared" si="24"/>
        <v>12065.358999999995</v>
      </c>
      <c r="J407" s="220">
        <f t="shared" si="26"/>
        <v>9289.6410000000051</v>
      </c>
      <c r="K407" s="231">
        <f t="shared" si="25"/>
        <v>369.13966531168819</v>
      </c>
      <c r="L407" s="750"/>
      <c r="M407" s="751"/>
      <c r="N407" s="29"/>
      <c r="O407" s="29"/>
      <c r="P407" s="29"/>
      <c r="Q407" s="29"/>
      <c r="R407" s="29"/>
      <c r="S407" s="29"/>
      <c r="T407" s="29"/>
      <c r="U407" s="29"/>
      <c r="V407" s="29"/>
      <c r="W407" s="29"/>
    </row>
    <row r="408" spans="1:23" ht="20.100000000000001" customHeight="1">
      <c r="A408" s="732" t="s">
        <v>137</v>
      </c>
      <c r="B408" s="733"/>
      <c r="C408" s="734" t="s">
        <v>64</v>
      </c>
      <c r="D408" s="734"/>
      <c r="E408" s="734"/>
      <c r="F408" s="223">
        <v>30.89</v>
      </c>
      <c r="G408" s="223">
        <f t="shared" si="27"/>
        <v>30.89</v>
      </c>
      <c r="H408" s="224" t="s">
        <v>29</v>
      </c>
      <c r="I408" s="225">
        <f t="shared" si="24"/>
        <v>12096.248999999994</v>
      </c>
      <c r="J408" s="223">
        <f t="shared" si="26"/>
        <v>9258.7510000000057</v>
      </c>
      <c r="K408" s="233">
        <f t="shared" si="25"/>
        <v>369.86712599159654</v>
      </c>
      <c r="L408" s="750"/>
      <c r="M408" s="751"/>
      <c r="N408" s="29"/>
      <c r="O408" s="29"/>
      <c r="P408" s="29"/>
      <c r="Q408" s="29"/>
      <c r="R408" s="29"/>
      <c r="S408" s="29"/>
      <c r="T408" s="29"/>
      <c r="U408" s="29"/>
      <c r="V408" s="29"/>
      <c r="W408" s="29"/>
    </row>
    <row r="409" spans="1:23" ht="20.100000000000001" customHeight="1">
      <c r="A409" s="732"/>
      <c r="B409" s="733"/>
      <c r="C409" s="734" t="s">
        <v>64</v>
      </c>
      <c r="D409" s="734"/>
      <c r="E409" s="734"/>
      <c r="F409" s="223">
        <v>31.15</v>
      </c>
      <c r="G409" s="223">
        <f t="shared" si="27"/>
        <v>31.15</v>
      </c>
      <c r="H409" s="224" t="s">
        <v>29</v>
      </c>
      <c r="I409" s="225">
        <f t="shared" si="24"/>
        <v>12127.398999999994</v>
      </c>
      <c r="J409" s="223">
        <f t="shared" si="26"/>
        <v>9227.601000000006</v>
      </c>
      <c r="K409" s="233">
        <f t="shared" si="25"/>
        <v>370.60070968143606</v>
      </c>
      <c r="L409" s="750"/>
      <c r="M409" s="751"/>
      <c r="N409" s="29"/>
      <c r="O409" s="29"/>
      <c r="P409" s="29"/>
      <c r="Q409" s="29"/>
      <c r="R409" s="29"/>
      <c r="S409" s="29"/>
      <c r="T409" s="29"/>
      <c r="U409" s="29"/>
      <c r="V409" s="29"/>
      <c r="W409" s="29"/>
    </row>
    <row r="410" spans="1:23" ht="20.100000000000001" customHeight="1">
      <c r="A410" s="732"/>
      <c r="B410" s="733"/>
      <c r="C410" s="734" t="s">
        <v>64</v>
      </c>
      <c r="D410" s="734"/>
      <c r="E410" s="734"/>
      <c r="F410" s="223">
        <v>30.9</v>
      </c>
      <c r="G410" s="223">
        <f t="shared" si="27"/>
        <v>30.9</v>
      </c>
      <c r="H410" s="224" t="s">
        <v>29</v>
      </c>
      <c r="I410" s="225">
        <f t="shared" ref="I410:I466" si="28">IF(H410="IN",I409+G410,I409)</f>
        <v>12158.298999999994</v>
      </c>
      <c r="J410" s="223">
        <f t="shared" si="26"/>
        <v>9196.7010000000064</v>
      </c>
      <c r="K410" s="233">
        <f t="shared" si="25"/>
        <v>371.32840586172637</v>
      </c>
      <c r="L410" s="750"/>
      <c r="M410" s="751"/>
      <c r="N410" s="29"/>
      <c r="O410" s="29"/>
      <c r="P410" s="29"/>
      <c r="Q410" s="29"/>
      <c r="R410" s="29"/>
      <c r="S410" s="29"/>
      <c r="T410" s="29"/>
      <c r="U410" s="29"/>
      <c r="V410" s="29"/>
      <c r="W410" s="29"/>
    </row>
    <row r="411" spans="1:23" ht="20.100000000000001" customHeight="1">
      <c r="A411" s="681" t="s">
        <v>138</v>
      </c>
      <c r="B411" s="682"/>
      <c r="C411" s="683" t="s">
        <v>64</v>
      </c>
      <c r="D411" s="683"/>
      <c r="E411" s="683"/>
      <c r="F411" s="220">
        <v>30.94</v>
      </c>
      <c r="G411" s="220">
        <f t="shared" si="27"/>
        <v>30.94</v>
      </c>
      <c r="H411" s="221" t="s">
        <v>29</v>
      </c>
      <c r="I411" s="222">
        <f t="shared" si="28"/>
        <v>12189.238999999994</v>
      </c>
      <c r="J411" s="220">
        <f t="shared" si="26"/>
        <v>9165.7610000000059</v>
      </c>
      <c r="K411" s="231">
        <f t="shared" si="25"/>
        <v>372.05704404354458</v>
      </c>
      <c r="L411" s="750"/>
      <c r="M411" s="751"/>
      <c r="N411" s="29"/>
      <c r="O411" s="29"/>
      <c r="P411" s="29"/>
      <c r="Q411" s="29"/>
      <c r="R411" s="29"/>
      <c r="S411" s="29"/>
      <c r="T411" s="29"/>
      <c r="U411" s="29"/>
      <c r="V411" s="29"/>
      <c r="W411" s="29"/>
    </row>
    <row r="412" spans="1:23" ht="20.100000000000001" customHeight="1">
      <c r="A412" s="681"/>
      <c r="B412" s="682"/>
      <c r="C412" s="683" t="s">
        <v>64</v>
      </c>
      <c r="D412" s="683"/>
      <c r="E412" s="683"/>
      <c r="F412" s="220">
        <v>31</v>
      </c>
      <c r="G412" s="220">
        <f t="shared" si="27"/>
        <v>31</v>
      </c>
      <c r="H412" s="221" t="s">
        <v>29</v>
      </c>
      <c r="I412" s="222">
        <f t="shared" si="28"/>
        <v>12220.238999999994</v>
      </c>
      <c r="J412" s="220">
        <f t="shared" si="26"/>
        <v>9134.7610000000059</v>
      </c>
      <c r="K412" s="231">
        <f t="shared" ref="K412:K475" si="29">$H$8+(I412*$E$9*$E$15/1000)</f>
        <v>372.78709522765456</v>
      </c>
      <c r="L412" s="750"/>
      <c r="M412" s="751"/>
      <c r="N412" s="29"/>
      <c r="O412" s="29"/>
      <c r="P412" s="29"/>
      <c r="Q412" s="29"/>
      <c r="R412" s="29"/>
      <c r="S412" s="29"/>
      <c r="T412" s="29"/>
      <c r="U412" s="29"/>
      <c r="V412" s="29"/>
      <c r="W412" s="29"/>
    </row>
    <row r="413" spans="1:23" ht="20.100000000000001" customHeight="1">
      <c r="A413" s="681"/>
      <c r="B413" s="682"/>
      <c r="C413" s="683" t="s">
        <v>64</v>
      </c>
      <c r="D413" s="683"/>
      <c r="E413" s="683"/>
      <c r="F413" s="220">
        <v>30.84</v>
      </c>
      <c r="G413" s="220">
        <f t="shared" si="27"/>
        <v>30.84</v>
      </c>
      <c r="H413" s="221" t="s">
        <v>29</v>
      </c>
      <c r="I413" s="222">
        <f t="shared" si="28"/>
        <v>12251.078999999994</v>
      </c>
      <c r="J413" s="220">
        <f t="shared" ref="J413:J476" si="30">IF(I413="","",$L$10-I413)</f>
        <v>9103.9210000000057</v>
      </c>
      <c r="K413" s="231">
        <f t="shared" si="29"/>
        <v>373.51337840565304</v>
      </c>
      <c r="L413" s="750"/>
      <c r="M413" s="751"/>
      <c r="N413" s="29"/>
      <c r="O413" s="29"/>
      <c r="P413" s="29"/>
      <c r="Q413" s="29"/>
      <c r="R413" s="29"/>
      <c r="S413" s="29"/>
      <c r="T413" s="29"/>
      <c r="U413" s="29"/>
      <c r="V413" s="29"/>
      <c r="W413" s="29"/>
    </row>
    <row r="414" spans="1:23" ht="20.100000000000001" customHeight="1">
      <c r="A414" s="732" t="s">
        <v>139</v>
      </c>
      <c r="B414" s="733"/>
      <c r="C414" s="734" t="s">
        <v>64</v>
      </c>
      <c r="D414" s="734"/>
      <c r="E414" s="734"/>
      <c r="F414" s="223">
        <v>31.09</v>
      </c>
      <c r="G414" s="223">
        <f t="shared" si="27"/>
        <v>31.09</v>
      </c>
      <c r="H414" s="224" t="s">
        <v>29</v>
      </c>
      <c r="I414" s="225">
        <f t="shared" si="28"/>
        <v>12282.168999999994</v>
      </c>
      <c r="J414" s="223">
        <f t="shared" si="30"/>
        <v>9072.8310000000056</v>
      </c>
      <c r="K414" s="233">
        <f t="shared" si="29"/>
        <v>374.24554909320085</v>
      </c>
      <c r="L414" s="750"/>
      <c r="M414" s="751"/>
      <c r="N414" s="29"/>
      <c r="O414" s="29"/>
      <c r="P414" s="29"/>
      <c r="Q414" s="29"/>
      <c r="R414" s="29"/>
      <c r="S414" s="29"/>
      <c r="T414" s="29"/>
      <c r="U414" s="29"/>
      <c r="V414" s="29"/>
      <c r="W414" s="29"/>
    </row>
    <row r="415" spans="1:23" ht="20.100000000000001" customHeight="1">
      <c r="A415" s="732"/>
      <c r="B415" s="733"/>
      <c r="C415" s="734" t="s">
        <v>64</v>
      </c>
      <c r="D415" s="734"/>
      <c r="E415" s="734"/>
      <c r="F415" s="223">
        <v>31.04</v>
      </c>
      <c r="G415" s="223">
        <f t="shared" si="27"/>
        <v>31.04</v>
      </c>
      <c r="H415" s="224" t="s">
        <v>29</v>
      </c>
      <c r="I415" s="225">
        <f t="shared" si="28"/>
        <v>12313.208999999995</v>
      </c>
      <c r="J415" s="223">
        <f t="shared" si="30"/>
        <v>9041.7910000000047</v>
      </c>
      <c r="K415" s="233">
        <f t="shared" si="29"/>
        <v>374.97654227883868</v>
      </c>
      <c r="L415" s="750"/>
      <c r="M415" s="751"/>
      <c r="N415" s="29"/>
      <c r="O415" s="29"/>
      <c r="P415" s="29"/>
      <c r="Q415" s="29"/>
      <c r="R415" s="29"/>
      <c r="S415" s="29"/>
      <c r="T415" s="29"/>
      <c r="U415" s="29"/>
      <c r="V415" s="29"/>
      <c r="W415" s="29"/>
    </row>
    <row r="416" spans="1:23" ht="20.100000000000001" customHeight="1">
      <c r="A416" s="732"/>
      <c r="B416" s="733"/>
      <c r="C416" s="734" t="s">
        <v>64</v>
      </c>
      <c r="D416" s="734"/>
      <c r="E416" s="734"/>
      <c r="F416" s="223">
        <v>30.92</v>
      </c>
      <c r="G416" s="223">
        <f t="shared" si="27"/>
        <v>30.92</v>
      </c>
      <c r="H416" s="224" t="s">
        <v>29</v>
      </c>
      <c r="I416" s="225">
        <f t="shared" si="28"/>
        <v>12344.128999999995</v>
      </c>
      <c r="J416" s="223">
        <f t="shared" si="30"/>
        <v>9010.8710000000046</v>
      </c>
      <c r="K416" s="233">
        <f t="shared" si="29"/>
        <v>375.70470945989297</v>
      </c>
      <c r="L416" s="750"/>
      <c r="M416" s="751"/>
      <c r="N416" s="29"/>
      <c r="O416" s="29"/>
      <c r="P416" s="29"/>
      <c r="Q416" s="29"/>
      <c r="R416" s="29"/>
      <c r="S416" s="29"/>
      <c r="T416" s="29"/>
      <c r="U416" s="29"/>
      <c r="V416" s="29"/>
      <c r="W416" s="29"/>
    </row>
    <row r="417" spans="1:23" ht="20.100000000000001" customHeight="1">
      <c r="A417" s="681" t="s">
        <v>140</v>
      </c>
      <c r="B417" s="682"/>
      <c r="C417" s="683" t="s">
        <v>64</v>
      </c>
      <c r="D417" s="683"/>
      <c r="E417" s="683"/>
      <c r="F417" s="220">
        <v>31.04</v>
      </c>
      <c r="G417" s="220">
        <f t="shared" si="27"/>
        <v>31.04</v>
      </c>
      <c r="H417" s="221" t="s">
        <v>29</v>
      </c>
      <c r="I417" s="222">
        <f t="shared" si="28"/>
        <v>12375.168999999996</v>
      </c>
      <c r="J417" s="220">
        <f t="shared" si="30"/>
        <v>8979.8310000000038</v>
      </c>
      <c r="K417" s="231">
        <f t="shared" si="29"/>
        <v>376.43570264553085</v>
      </c>
      <c r="L417" s="750"/>
      <c r="M417" s="751"/>
      <c r="N417" s="29"/>
      <c r="O417" s="29"/>
      <c r="P417" s="29"/>
      <c r="Q417" s="29"/>
      <c r="R417" s="29"/>
      <c r="S417" s="29"/>
      <c r="T417" s="29"/>
      <c r="U417" s="29"/>
      <c r="V417" s="29"/>
      <c r="W417" s="29"/>
    </row>
    <row r="418" spans="1:23" ht="20.100000000000001" customHeight="1">
      <c r="A418" s="681"/>
      <c r="B418" s="682"/>
      <c r="C418" s="683" t="s">
        <v>64</v>
      </c>
      <c r="D418" s="683"/>
      <c r="E418" s="683"/>
      <c r="F418" s="220">
        <v>30.93</v>
      </c>
      <c r="G418" s="220">
        <f t="shared" si="27"/>
        <v>30.93</v>
      </c>
      <c r="H418" s="221" t="s">
        <v>29</v>
      </c>
      <c r="I418" s="222">
        <f t="shared" si="28"/>
        <v>12406.098999999997</v>
      </c>
      <c r="J418" s="220">
        <f t="shared" si="30"/>
        <v>8948.9010000000035</v>
      </c>
      <c r="K418" s="231">
        <f t="shared" si="29"/>
        <v>377.1641053269671</v>
      </c>
      <c r="L418" s="750"/>
      <c r="M418" s="751"/>
      <c r="N418" s="29"/>
      <c r="O418" s="29"/>
      <c r="P418" s="29"/>
      <c r="Q418" s="29"/>
      <c r="R418" s="29"/>
      <c r="S418" s="29"/>
      <c r="T418" s="29"/>
      <c r="U418" s="29"/>
      <c r="V418" s="29"/>
      <c r="W418" s="29"/>
    </row>
    <row r="419" spans="1:23" ht="20.100000000000001" customHeight="1">
      <c r="A419" s="681"/>
      <c r="B419" s="682"/>
      <c r="C419" s="683" t="s">
        <v>64</v>
      </c>
      <c r="D419" s="683"/>
      <c r="E419" s="683"/>
      <c r="F419" s="220">
        <v>31.04</v>
      </c>
      <c r="G419" s="220">
        <f t="shared" si="27"/>
        <v>31.04</v>
      </c>
      <c r="H419" s="221" t="s">
        <v>29</v>
      </c>
      <c r="I419" s="222">
        <f t="shared" si="28"/>
        <v>12437.138999999997</v>
      </c>
      <c r="J419" s="220">
        <f t="shared" si="30"/>
        <v>8917.8610000000026</v>
      </c>
      <c r="K419" s="231">
        <f t="shared" si="29"/>
        <v>377.89509851260493</v>
      </c>
      <c r="L419" s="750"/>
      <c r="M419" s="751"/>
      <c r="N419" s="29"/>
      <c r="O419" s="29"/>
      <c r="P419" s="29"/>
      <c r="Q419" s="29"/>
      <c r="R419" s="29"/>
      <c r="S419" s="29"/>
      <c r="T419" s="29"/>
      <c r="U419" s="29"/>
      <c r="V419" s="29"/>
      <c r="W419" s="29"/>
    </row>
    <row r="420" spans="1:23" ht="20.100000000000001" customHeight="1">
      <c r="A420" s="732" t="s">
        <v>141</v>
      </c>
      <c r="B420" s="733"/>
      <c r="C420" s="734" t="s">
        <v>64</v>
      </c>
      <c r="D420" s="734"/>
      <c r="E420" s="734"/>
      <c r="F420" s="223">
        <v>30.93</v>
      </c>
      <c r="G420" s="223">
        <f t="shared" si="27"/>
        <v>30.93</v>
      </c>
      <c r="H420" s="224" t="s">
        <v>29</v>
      </c>
      <c r="I420" s="225">
        <f t="shared" si="28"/>
        <v>12468.068999999998</v>
      </c>
      <c r="J420" s="223">
        <f t="shared" si="30"/>
        <v>8886.9310000000023</v>
      </c>
      <c r="K420" s="233">
        <f t="shared" si="29"/>
        <v>378.62350119404124</v>
      </c>
      <c r="L420" s="750"/>
      <c r="M420" s="751"/>
      <c r="N420" s="29"/>
      <c r="O420" s="29"/>
      <c r="P420" s="29"/>
      <c r="Q420" s="29"/>
      <c r="R420" s="29"/>
      <c r="S420" s="29"/>
      <c r="T420" s="29"/>
      <c r="U420" s="29"/>
      <c r="V420" s="29"/>
      <c r="W420" s="29"/>
    </row>
    <row r="421" spans="1:23" ht="20.100000000000001" customHeight="1">
      <c r="A421" s="732"/>
      <c r="B421" s="733"/>
      <c r="C421" s="734" t="s">
        <v>64</v>
      </c>
      <c r="D421" s="734"/>
      <c r="E421" s="734"/>
      <c r="F421" s="223">
        <v>30.96</v>
      </c>
      <c r="G421" s="223">
        <f t="shared" si="27"/>
        <v>30.96</v>
      </c>
      <c r="H421" s="224" t="s">
        <v>29</v>
      </c>
      <c r="I421" s="225">
        <f t="shared" si="28"/>
        <v>12499.028999999997</v>
      </c>
      <c r="J421" s="223">
        <f t="shared" si="30"/>
        <v>8855.9710000000032</v>
      </c>
      <c r="K421" s="233">
        <f t="shared" si="29"/>
        <v>379.35261037662326</v>
      </c>
      <c r="L421" s="750"/>
      <c r="M421" s="751"/>
      <c r="N421" s="29"/>
      <c r="O421" s="29"/>
      <c r="P421" s="29"/>
      <c r="Q421" s="29"/>
      <c r="R421" s="29"/>
      <c r="S421" s="29"/>
      <c r="T421" s="29"/>
      <c r="U421" s="29"/>
      <c r="V421" s="29"/>
      <c r="W421" s="29"/>
    </row>
    <row r="422" spans="1:23" ht="20.100000000000001" customHeight="1">
      <c r="A422" s="732"/>
      <c r="B422" s="733"/>
      <c r="C422" s="734" t="s">
        <v>64</v>
      </c>
      <c r="D422" s="734"/>
      <c r="E422" s="734"/>
      <c r="F422" s="223">
        <v>31.03</v>
      </c>
      <c r="G422" s="223">
        <f t="shared" si="27"/>
        <v>31.03</v>
      </c>
      <c r="H422" s="224" t="s">
        <v>29</v>
      </c>
      <c r="I422" s="225">
        <f t="shared" si="28"/>
        <v>12530.058999999997</v>
      </c>
      <c r="J422" s="223">
        <f t="shared" si="30"/>
        <v>8824.9410000000025</v>
      </c>
      <c r="K422" s="233">
        <f t="shared" si="29"/>
        <v>380.0833680618793</v>
      </c>
      <c r="L422" s="750"/>
      <c r="M422" s="751"/>
      <c r="N422" s="29"/>
      <c r="O422" s="29"/>
      <c r="P422" s="29"/>
      <c r="Q422" s="29"/>
      <c r="R422" s="29"/>
      <c r="S422" s="29"/>
      <c r="T422" s="29"/>
      <c r="U422" s="29"/>
      <c r="V422" s="29"/>
      <c r="W422" s="29"/>
    </row>
    <row r="423" spans="1:23" ht="20.100000000000001" customHeight="1">
      <c r="A423" s="681" t="s">
        <v>142</v>
      </c>
      <c r="B423" s="682"/>
      <c r="C423" s="683" t="s">
        <v>64</v>
      </c>
      <c r="D423" s="683"/>
      <c r="E423" s="683"/>
      <c r="F423" s="220">
        <v>30.66</v>
      </c>
      <c r="G423" s="220">
        <f t="shared" si="27"/>
        <v>30.66</v>
      </c>
      <c r="H423" s="221" t="s">
        <v>29</v>
      </c>
      <c r="I423" s="222">
        <f t="shared" si="28"/>
        <v>12560.718999999997</v>
      </c>
      <c r="J423" s="220">
        <f t="shared" si="30"/>
        <v>8794.2810000000027</v>
      </c>
      <c r="K423" s="231">
        <f t="shared" si="29"/>
        <v>380.80541223300224</v>
      </c>
      <c r="L423" s="750"/>
      <c r="M423" s="751"/>
      <c r="N423" s="29"/>
      <c r="O423" s="29"/>
      <c r="P423" s="29"/>
      <c r="Q423" s="29"/>
      <c r="R423" s="29"/>
      <c r="S423" s="29"/>
      <c r="T423" s="29"/>
      <c r="U423" s="29"/>
      <c r="V423" s="29"/>
      <c r="W423" s="29"/>
    </row>
    <row r="424" spans="1:23" ht="20.100000000000001" customHeight="1">
      <c r="A424" s="681"/>
      <c r="B424" s="682"/>
      <c r="C424" s="683" t="s">
        <v>64</v>
      </c>
      <c r="D424" s="683"/>
      <c r="E424" s="683"/>
      <c r="F424" s="220">
        <v>30.96</v>
      </c>
      <c r="G424" s="220">
        <f t="shared" si="27"/>
        <v>30.96</v>
      </c>
      <c r="H424" s="221" t="s">
        <v>29</v>
      </c>
      <c r="I424" s="222">
        <f t="shared" si="28"/>
        <v>12591.678999999996</v>
      </c>
      <c r="J424" s="220">
        <f t="shared" si="30"/>
        <v>8763.3210000000036</v>
      </c>
      <c r="K424" s="231">
        <f t="shared" si="29"/>
        <v>381.53452141558432</v>
      </c>
      <c r="L424" s="750"/>
      <c r="M424" s="751"/>
      <c r="N424" s="29"/>
      <c r="O424" s="29"/>
      <c r="P424" s="29"/>
      <c r="Q424" s="29"/>
      <c r="R424" s="29"/>
      <c r="S424" s="29"/>
      <c r="T424" s="29"/>
      <c r="U424" s="29"/>
      <c r="V424" s="29"/>
      <c r="W424" s="29"/>
    </row>
    <row r="425" spans="1:23" ht="20.100000000000001" customHeight="1">
      <c r="A425" s="681"/>
      <c r="B425" s="682"/>
      <c r="C425" s="683" t="s">
        <v>64</v>
      </c>
      <c r="D425" s="683"/>
      <c r="E425" s="683"/>
      <c r="F425" s="220">
        <v>31.25</v>
      </c>
      <c r="G425" s="220">
        <f t="shared" si="27"/>
        <v>31.25</v>
      </c>
      <c r="H425" s="221" t="s">
        <v>29</v>
      </c>
      <c r="I425" s="222">
        <f t="shared" si="28"/>
        <v>12622.928999999996</v>
      </c>
      <c r="J425" s="220">
        <f t="shared" si="30"/>
        <v>8732.0710000000036</v>
      </c>
      <c r="K425" s="231">
        <f t="shared" si="29"/>
        <v>382.27046010924363</v>
      </c>
      <c r="L425" s="750"/>
      <c r="M425" s="751"/>
      <c r="N425" s="29"/>
      <c r="O425" s="29"/>
      <c r="P425" s="29"/>
      <c r="Q425" s="29"/>
      <c r="R425" s="29"/>
      <c r="S425" s="29"/>
      <c r="T425" s="29"/>
      <c r="U425" s="29"/>
      <c r="V425" s="29"/>
      <c r="W425" s="29"/>
    </row>
    <row r="426" spans="1:23" ht="20.100000000000001" customHeight="1">
      <c r="A426" s="732" t="s">
        <v>143</v>
      </c>
      <c r="B426" s="733"/>
      <c r="C426" s="734" t="s">
        <v>64</v>
      </c>
      <c r="D426" s="734"/>
      <c r="E426" s="734"/>
      <c r="F426" s="223">
        <v>31.08</v>
      </c>
      <c r="G426" s="223">
        <f t="shared" si="27"/>
        <v>31.08</v>
      </c>
      <c r="H426" s="224" t="s">
        <v>29</v>
      </c>
      <c r="I426" s="225">
        <f t="shared" si="28"/>
        <v>12654.008999999996</v>
      </c>
      <c r="J426" s="223">
        <f t="shared" si="30"/>
        <v>8700.9910000000036</v>
      </c>
      <c r="K426" s="233">
        <f t="shared" si="29"/>
        <v>383.00239529640936</v>
      </c>
      <c r="L426" s="750"/>
      <c r="M426" s="751"/>
      <c r="N426" s="29"/>
      <c r="O426" s="29"/>
      <c r="P426" s="29"/>
      <c r="Q426" s="29"/>
      <c r="R426" s="29"/>
      <c r="S426" s="29"/>
      <c r="T426" s="29"/>
      <c r="U426" s="29"/>
      <c r="V426" s="29"/>
      <c r="W426" s="29"/>
    </row>
    <row r="427" spans="1:23" ht="20.100000000000001" customHeight="1">
      <c r="A427" s="732"/>
      <c r="B427" s="733"/>
      <c r="C427" s="734" t="s">
        <v>64</v>
      </c>
      <c r="D427" s="734"/>
      <c r="E427" s="734"/>
      <c r="F427" s="223">
        <v>31.08</v>
      </c>
      <c r="G427" s="223">
        <f t="shared" si="27"/>
        <v>31.08</v>
      </c>
      <c r="H427" s="224" t="s">
        <v>29</v>
      </c>
      <c r="I427" s="225">
        <f t="shared" si="28"/>
        <v>12685.088999999996</v>
      </c>
      <c r="J427" s="223">
        <f t="shared" si="30"/>
        <v>8669.9110000000037</v>
      </c>
      <c r="K427" s="233">
        <f t="shared" si="29"/>
        <v>383.73433048357515</v>
      </c>
      <c r="L427" s="750"/>
      <c r="M427" s="751"/>
      <c r="N427" s="29"/>
      <c r="O427" s="29"/>
      <c r="P427" s="29"/>
      <c r="Q427" s="29"/>
      <c r="R427" s="29"/>
      <c r="S427" s="29"/>
      <c r="T427" s="29"/>
      <c r="U427" s="29"/>
      <c r="V427" s="29"/>
      <c r="W427" s="29"/>
    </row>
    <row r="428" spans="1:23" ht="20.100000000000001" customHeight="1">
      <c r="A428" s="732"/>
      <c r="B428" s="733"/>
      <c r="C428" s="734" t="s">
        <v>64</v>
      </c>
      <c r="D428" s="734"/>
      <c r="E428" s="734"/>
      <c r="F428" s="223">
        <v>31.22</v>
      </c>
      <c r="G428" s="223">
        <f t="shared" si="27"/>
        <v>31.22</v>
      </c>
      <c r="H428" s="224" t="s">
        <v>29</v>
      </c>
      <c r="I428" s="225">
        <f t="shared" si="28"/>
        <v>12716.308999999996</v>
      </c>
      <c r="J428" s="223">
        <f t="shared" si="30"/>
        <v>8638.6910000000044</v>
      </c>
      <c r="K428" s="233">
        <f t="shared" si="29"/>
        <v>384.46956267608851</v>
      </c>
      <c r="L428" s="750"/>
      <c r="M428" s="751"/>
      <c r="N428" s="29"/>
      <c r="O428" s="29"/>
      <c r="P428" s="29"/>
      <c r="Q428" s="29"/>
      <c r="R428" s="29"/>
      <c r="S428" s="29"/>
      <c r="T428" s="29"/>
      <c r="U428" s="29"/>
      <c r="V428" s="29"/>
      <c r="W428" s="29"/>
    </row>
    <row r="429" spans="1:23" ht="20.100000000000001" customHeight="1">
      <c r="A429" s="681" t="s">
        <v>144</v>
      </c>
      <c r="B429" s="682"/>
      <c r="C429" s="683" t="s">
        <v>64</v>
      </c>
      <c r="D429" s="683"/>
      <c r="E429" s="683"/>
      <c r="F429" s="220">
        <v>31.23</v>
      </c>
      <c r="G429" s="220">
        <f t="shared" si="27"/>
        <v>31.23</v>
      </c>
      <c r="H429" s="221" t="s">
        <v>29</v>
      </c>
      <c r="I429" s="222">
        <f t="shared" si="28"/>
        <v>12747.538999999995</v>
      </c>
      <c r="J429" s="220">
        <f t="shared" si="30"/>
        <v>8607.4610000000048</v>
      </c>
      <c r="K429" s="231">
        <f t="shared" si="29"/>
        <v>385.20503036898384</v>
      </c>
      <c r="L429" s="750"/>
      <c r="M429" s="751"/>
      <c r="N429" s="29"/>
      <c r="O429" s="29"/>
      <c r="P429" s="29"/>
      <c r="Q429" s="29"/>
      <c r="R429" s="29"/>
      <c r="S429" s="29"/>
      <c r="T429" s="29"/>
      <c r="U429" s="29"/>
      <c r="V429" s="29"/>
      <c r="W429" s="29"/>
    </row>
    <row r="430" spans="1:23" ht="20.100000000000001" customHeight="1">
      <c r="A430" s="681"/>
      <c r="B430" s="682"/>
      <c r="C430" s="683" t="s">
        <v>64</v>
      </c>
      <c r="D430" s="683"/>
      <c r="E430" s="683"/>
      <c r="F430" s="220">
        <v>30.97</v>
      </c>
      <c r="G430" s="220">
        <f t="shared" si="27"/>
        <v>30.97</v>
      </c>
      <c r="H430" s="221" t="s">
        <v>29</v>
      </c>
      <c r="I430" s="222">
        <f t="shared" si="28"/>
        <v>12778.508999999995</v>
      </c>
      <c r="J430" s="220">
        <f t="shared" si="30"/>
        <v>8576.4910000000054</v>
      </c>
      <c r="K430" s="231">
        <f t="shared" si="29"/>
        <v>385.93437505194794</v>
      </c>
      <c r="L430" s="750"/>
      <c r="M430" s="751"/>
      <c r="N430" s="29"/>
      <c r="O430" s="29"/>
      <c r="P430" s="29"/>
      <c r="Q430" s="29"/>
      <c r="R430" s="29"/>
      <c r="S430" s="29"/>
      <c r="T430" s="29"/>
      <c r="U430" s="29"/>
      <c r="V430" s="29"/>
      <c r="W430" s="29"/>
    </row>
    <row r="431" spans="1:23" ht="20.100000000000001" customHeight="1">
      <c r="A431" s="681"/>
      <c r="B431" s="682"/>
      <c r="C431" s="683" t="s">
        <v>64</v>
      </c>
      <c r="D431" s="683"/>
      <c r="E431" s="683"/>
      <c r="F431" s="220">
        <v>31.24</v>
      </c>
      <c r="G431" s="220">
        <f t="shared" si="27"/>
        <v>31.24</v>
      </c>
      <c r="H431" s="221" t="s">
        <v>29</v>
      </c>
      <c r="I431" s="222">
        <f t="shared" si="28"/>
        <v>12809.748999999994</v>
      </c>
      <c r="J431" s="220">
        <f t="shared" si="30"/>
        <v>8545.2510000000057</v>
      </c>
      <c r="K431" s="231">
        <f t="shared" si="29"/>
        <v>386.67007824522523</v>
      </c>
      <c r="L431" s="750"/>
      <c r="M431" s="751"/>
      <c r="N431" s="29"/>
      <c r="O431" s="29"/>
      <c r="P431" s="29"/>
      <c r="Q431" s="29"/>
      <c r="R431" s="29"/>
      <c r="S431" s="29"/>
      <c r="T431" s="29"/>
      <c r="U431" s="29"/>
      <c r="V431" s="29"/>
      <c r="W431" s="29"/>
    </row>
    <row r="432" spans="1:23" ht="20.100000000000001" customHeight="1">
      <c r="A432" s="732" t="s">
        <v>145</v>
      </c>
      <c r="B432" s="733"/>
      <c r="C432" s="734" t="s">
        <v>64</v>
      </c>
      <c r="D432" s="734"/>
      <c r="E432" s="734"/>
      <c r="F432" s="223">
        <v>31.07</v>
      </c>
      <c r="G432" s="223">
        <f t="shared" si="27"/>
        <v>31.07</v>
      </c>
      <c r="H432" s="224" t="s">
        <v>29</v>
      </c>
      <c r="I432" s="225">
        <f t="shared" si="28"/>
        <v>12840.818999999994</v>
      </c>
      <c r="J432" s="223">
        <f t="shared" si="30"/>
        <v>8514.181000000006</v>
      </c>
      <c r="K432" s="233">
        <f t="shared" si="29"/>
        <v>387.401777932009</v>
      </c>
      <c r="L432" s="750"/>
      <c r="M432" s="751"/>
      <c r="N432" s="29"/>
      <c r="O432" s="29"/>
      <c r="P432" s="29"/>
      <c r="Q432" s="29"/>
      <c r="R432" s="29"/>
      <c r="S432" s="29"/>
      <c r="T432" s="29"/>
      <c r="U432" s="29"/>
      <c r="V432" s="29"/>
      <c r="W432" s="29"/>
    </row>
    <row r="433" spans="1:23" ht="20.100000000000001" customHeight="1">
      <c r="A433" s="732"/>
      <c r="B433" s="733"/>
      <c r="C433" s="734" t="s">
        <v>64</v>
      </c>
      <c r="D433" s="734"/>
      <c r="E433" s="734"/>
      <c r="F433" s="223">
        <v>30.96</v>
      </c>
      <c r="G433" s="223">
        <f t="shared" si="27"/>
        <v>30.96</v>
      </c>
      <c r="H433" s="224" t="s">
        <v>29</v>
      </c>
      <c r="I433" s="225">
        <f t="shared" si="28"/>
        <v>12871.778999999993</v>
      </c>
      <c r="J433" s="223">
        <f t="shared" si="30"/>
        <v>8483.2210000000068</v>
      </c>
      <c r="K433" s="233">
        <f t="shared" si="29"/>
        <v>388.13088711459113</v>
      </c>
      <c r="L433" s="750"/>
      <c r="M433" s="751"/>
      <c r="N433" s="29"/>
      <c r="O433" s="29"/>
      <c r="P433" s="29"/>
      <c r="Q433" s="29"/>
      <c r="R433" s="29"/>
      <c r="S433" s="29"/>
      <c r="T433" s="29"/>
      <c r="U433" s="29"/>
      <c r="V433" s="29"/>
      <c r="W433" s="29"/>
    </row>
    <row r="434" spans="1:23" ht="20.100000000000001" customHeight="1">
      <c r="A434" s="732"/>
      <c r="B434" s="733"/>
      <c r="C434" s="734" t="s">
        <v>64</v>
      </c>
      <c r="D434" s="734"/>
      <c r="E434" s="734"/>
      <c r="F434" s="223">
        <v>30.74</v>
      </c>
      <c r="G434" s="223">
        <f t="shared" si="27"/>
        <v>30.74</v>
      </c>
      <c r="H434" s="224" t="s">
        <v>29</v>
      </c>
      <c r="I434" s="225">
        <f t="shared" si="28"/>
        <v>12902.518999999993</v>
      </c>
      <c r="J434" s="223">
        <f t="shared" si="30"/>
        <v>8452.481000000007</v>
      </c>
      <c r="K434" s="233">
        <f t="shared" si="29"/>
        <v>388.85481528876988</v>
      </c>
      <c r="L434" s="750"/>
      <c r="M434" s="751"/>
      <c r="N434" s="29"/>
      <c r="O434" s="29"/>
      <c r="P434" s="29"/>
      <c r="Q434" s="29"/>
      <c r="R434" s="29"/>
      <c r="S434" s="29"/>
      <c r="T434" s="29"/>
      <c r="U434" s="29"/>
      <c r="V434" s="29"/>
      <c r="W434" s="29"/>
    </row>
    <row r="435" spans="1:23" ht="20.100000000000001" customHeight="1">
      <c r="A435" s="681" t="s">
        <v>146</v>
      </c>
      <c r="B435" s="682"/>
      <c r="C435" s="683" t="s">
        <v>64</v>
      </c>
      <c r="D435" s="683"/>
      <c r="E435" s="683"/>
      <c r="F435" s="220">
        <v>30.95</v>
      </c>
      <c r="G435" s="220">
        <f t="shared" si="27"/>
        <v>30.95</v>
      </c>
      <c r="H435" s="221" t="s">
        <v>29</v>
      </c>
      <c r="I435" s="222">
        <f t="shared" si="28"/>
        <v>12933.468999999994</v>
      </c>
      <c r="J435" s="220">
        <f t="shared" si="30"/>
        <v>8421.5310000000063</v>
      </c>
      <c r="K435" s="231">
        <f t="shared" si="29"/>
        <v>389.58368897097006</v>
      </c>
      <c r="L435" s="750"/>
      <c r="M435" s="751"/>
      <c r="N435" s="29"/>
      <c r="O435" s="29"/>
      <c r="P435" s="29"/>
      <c r="Q435" s="29"/>
      <c r="R435" s="29"/>
      <c r="S435" s="29"/>
      <c r="T435" s="29"/>
      <c r="U435" s="29"/>
      <c r="V435" s="29"/>
      <c r="W435" s="29"/>
    </row>
    <row r="436" spans="1:23" ht="20.100000000000001" customHeight="1">
      <c r="A436" s="681"/>
      <c r="B436" s="682"/>
      <c r="C436" s="683" t="s">
        <v>64</v>
      </c>
      <c r="D436" s="683"/>
      <c r="E436" s="683"/>
      <c r="F436" s="220">
        <v>31.09</v>
      </c>
      <c r="G436" s="220">
        <f t="shared" si="27"/>
        <v>31.09</v>
      </c>
      <c r="H436" s="221" t="s">
        <v>29</v>
      </c>
      <c r="I436" s="222">
        <f t="shared" si="28"/>
        <v>12964.558999999994</v>
      </c>
      <c r="J436" s="220">
        <f t="shared" si="30"/>
        <v>8390.4410000000062</v>
      </c>
      <c r="K436" s="231">
        <f t="shared" si="29"/>
        <v>390.31585965851781</v>
      </c>
      <c r="L436" s="750"/>
      <c r="M436" s="751"/>
      <c r="N436" s="29"/>
      <c r="O436" s="29"/>
      <c r="P436" s="29"/>
      <c r="Q436" s="29"/>
      <c r="R436" s="29"/>
      <c r="S436" s="29"/>
      <c r="T436" s="29"/>
      <c r="U436" s="29"/>
      <c r="V436" s="29"/>
      <c r="W436" s="29"/>
    </row>
    <row r="437" spans="1:23" ht="20.100000000000001" customHeight="1">
      <c r="A437" s="681"/>
      <c r="B437" s="682"/>
      <c r="C437" s="683" t="s">
        <v>64</v>
      </c>
      <c r="D437" s="683"/>
      <c r="E437" s="683"/>
      <c r="F437" s="220">
        <v>31.2</v>
      </c>
      <c r="G437" s="220">
        <f t="shared" si="27"/>
        <v>31.2</v>
      </c>
      <c r="H437" s="221" t="s">
        <v>29</v>
      </c>
      <c r="I437" s="222">
        <f t="shared" si="28"/>
        <v>12995.758999999995</v>
      </c>
      <c r="J437" s="220">
        <f t="shared" si="30"/>
        <v>8359.2410000000054</v>
      </c>
      <c r="K437" s="231">
        <f t="shared" si="29"/>
        <v>391.05062085026725</v>
      </c>
      <c r="L437" s="750"/>
      <c r="M437" s="751"/>
      <c r="N437" s="29"/>
      <c r="O437" s="29"/>
      <c r="P437" s="29"/>
      <c r="Q437" s="29"/>
      <c r="R437" s="29"/>
      <c r="S437" s="29"/>
      <c r="T437" s="29"/>
      <c r="U437" s="29"/>
      <c r="V437" s="29"/>
      <c r="W437" s="29"/>
    </row>
    <row r="438" spans="1:23" ht="20.100000000000001" customHeight="1">
      <c r="A438" s="732" t="s">
        <v>147</v>
      </c>
      <c r="B438" s="733"/>
      <c r="C438" s="734" t="s">
        <v>64</v>
      </c>
      <c r="D438" s="734"/>
      <c r="E438" s="734"/>
      <c r="F438" s="223">
        <v>31.31</v>
      </c>
      <c r="G438" s="223">
        <f t="shared" si="27"/>
        <v>31.31</v>
      </c>
      <c r="H438" s="224" t="s">
        <v>29</v>
      </c>
      <c r="I438" s="225">
        <f t="shared" si="28"/>
        <v>13027.068999999994</v>
      </c>
      <c r="J438" s="223">
        <f t="shared" si="30"/>
        <v>8327.931000000006</v>
      </c>
      <c r="K438" s="233">
        <f t="shared" si="29"/>
        <v>391.78797254621838</v>
      </c>
      <c r="L438" s="750"/>
      <c r="M438" s="751"/>
      <c r="N438" s="29"/>
      <c r="O438" s="29"/>
      <c r="P438" s="29"/>
      <c r="Q438" s="29"/>
      <c r="R438" s="29"/>
      <c r="S438" s="29"/>
      <c r="T438" s="29"/>
      <c r="U438" s="29"/>
      <c r="V438" s="29"/>
      <c r="W438" s="29"/>
    </row>
    <row r="439" spans="1:23" ht="20.100000000000001" customHeight="1">
      <c r="A439" s="732"/>
      <c r="B439" s="733"/>
      <c r="C439" s="734" t="s">
        <v>64</v>
      </c>
      <c r="D439" s="734"/>
      <c r="E439" s="734"/>
      <c r="F439" s="223">
        <v>31.25</v>
      </c>
      <c r="G439" s="223">
        <f t="shared" si="27"/>
        <v>31.25</v>
      </c>
      <c r="H439" s="224" t="s">
        <v>29</v>
      </c>
      <c r="I439" s="225">
        <f t="shared" si="28"/>
        <v>13058.318999999994</v>
      </c>
      <c r="J439" s="223">
        <f t="shared" si="30"/>
        <v>8296.681000000006</v>
      </c>
      <c r="K439" s="233">
        <f t="shared" si="29"/>
        <v>392.52391123987763</v>
      </c>
      <c r="L439" s="750"/>
      <c r="M439" s="751"/>
      <c r="N439" s="29"/>
      <c r="O439" s="29"/>
      <c r="P439" s="29"/>
      <c r="Q439" s="29"/>
      <c r="R439" s="29"/>
      <c r="S439" s="29"/>
      <c r="T439" s="29"/>
      <c r="U439" s="29"/>
      <c r="V439" s="29"/>
      <c r="W439" s="29"/>
    </row>
    <row r="440" spans="1:23" ht="20.100000000000001" customHeight="1">
      <c r="A440" s="732"/>
      <c r="B440" s="733"/>
      <c r="C440" s="734" t="s">
        <v>64</v>
      </c>
      <c r="D440" s="734"/>
      <c r="E440" s="734"/>
      <c r="F440" s="223">
        <v>30.83</v>
      </c>
      <c r="G440" s="223">
        <f t="shared" si="27"/>
        <v>30.83</v>
      </c>
      <c r="H440" s="224" t="s">
        <v>29</v>
      </c>
      <c r="I440" s="225">
        <f t="shared" si="28"/>
        <v>13089.148999999994</v>
      </c>
      <c r="J440" s="223">
        <f t="shared" si="30"/>
        <v>8265.851000000006</v>
      </c>
      <c r="K440" s="233">
        <f t="shared" si="29"/>
        <v>393.24995891749415</v>
      </c>
      <c r="L440" s="750"/>
      <c r="M440" s="751"/>
      <c r="N440" s="29"/>
      <c r="O440" s="29"/>
      <c r="P440" s="29"/>
      <c r="Q440" s="29"/>
      <c r="R440" s="29"/>
      <c r="S440" s="29"/>
      <c r="T440" s="29"/>
      <c r="U440" s="29"/>
      <c r="V440" s="29"/>
      <c r="W440" s="29"/>
    </row>
    <row r="441" spans="1:23" ht="20.100000000000001" customHeight="1">
      <c r="A441" s="681" t="s">
        <v>148</v>
      </c>
      <c r="B441" s="682"/>
      <c r="C441" s="683" t="s">
        <v>64</v>
      </c>
      <c r="D441" s="683"/>
      <c r="E441" s="683"/>
      <c r="F441" s="220">
        <v>31.24</v>
      </c>
      <c r="G441" s="220">
        <f t="shared" si="27"/>
        <v>31.24</v>
      </c>
      <c r="H441" s="221" t="s">
        <v>29</v>
      </c>
      <c r="I441" s="222">
        <f t="shared" si="28"/>
        <v>13120.388999999994</v>
      </c>
      <c r="J441" s="220">
        <f t="shared" si="30"/>
        <v>8234.6110000000062</v>
      </c>
      <c r="K441" s="231">
        <f t="shared" si="29"/>
        <v>393.98566211077144</v>
      </c>
      <c r="L441" s="750"/>
      <c r="M441" s="751"/>
      <c r="N441" s="29"/>
      <c r="O441" s="29"/>
      <c r="P441" s="29"/>
      <c r="Q441" s="29"/>
      <c r="R441" s="29"/>
      <c r="S441" s="29"/>
      <c r="T441" s="29"/>
      <c r="U441" s="29"/>
      <c r="V441" s="29"/>
      <c r="W441" s="29"/>
    </row>
    <row r="442" spans="1:23" ht="20.100000000000001" customHeight="1">
      <c r="A442" s="681"/>
      <c r="B442" s="682"/>
      <c r="C442" s="683" t="s">
        <v>64</v>
      </c>
      <c r="D442" s="683"/>
      <c r="E442" s="683"/>
      <c r="F442" s="220">
        <v>31.15</v>
      </c>
      <c r="G442" s="220">
        <f t="shared" si="27"/>
        <v>31.15</v>
      </c>
      <c r="H442" s="221" t="s">
        <v>29</v>
      </c>
      <c r="I442" s="222">
        <f t="shared" si="28"/>
        <v>13151.538999999993</v>
      </c>
      <c r="J442" s="220">
        <f t="shared" si="30"/>
        <v>8203.4610000000066</v>
      </c>
      <c r="K442" s="231">
        <f t="shared" si="29"/>
        <v>394.71924580061102</v>
      </c>
      <c r="L442" s="750"/>
      <c r="M442" s="751"/>
      <c r="N442" s="29"/>
      <c r="O442" s="29"/>
      <c r="P442" s="29"/>
      <c r="Q442" s="29"/>
      <c r="R442" s="29"/>
      <c r="S442" s="29"/>
      <c r="T442" s="29"/>
      <c r="U442" s="29"/>
      <c r="V442" s="29"/>
      <c r="W442" s="29"/>
    </row>
    <row r="443" spans="1:23" ht="20.100000000000001" customHeight="1">
      <c r="A443" s="681"/>
      <c r="B443" s="682"/>
      <c r="C443" s="683" t="s">
        <v>64</v>
      </c>
      <c r="D443" s="683"/>
      <c r="E443" s="683"/>
      <c r="F443" s="220">
        <v>31.39</v>
      </c>
      <c r="G443" s="220">
        <f t="shared" si="27"/>
        <v>31.39</v>
      </c>
      <c r="H443" s="221" t="s">
        <v>29</v>
      </c>
      <c r="I443" s="222">
        <f t="shared" si="28"/>
        <v>13182.928999999993</v>
      </c>
      <c r="J443" s="220">
        <f t="shared" si="30"/>
        <v>8172.0710000000072</v>
      </c>
      <c r="K443" s="231">
        <f t="shared" si="29"/>
        <v>395.4584814996179</v>
      </c>
      <c r="L443" s="750"/>
      <c r="M443" s="751"/>
      <c r="N443" s="29"/>
      <c r="O443" s="29"/>
      <c r="P443" s="29"/>
      <c r="Q443" s="29"/>
      <c r="R443" s="29"/>
      <c r="S443" s="29"/>
      <c r="T443" s="29"/>
      <c r="U443" s="29"/>
      <c r="V443" s="29"/>
      <c r="W443" s="29"/>
    </row>
    <row r="444" spans="1:23" ht="20.100000000000001" customHeight="1">
      <c r="A444" s="732" t="s">
        <v>149</v>
      </c>
      <c r="B444" s="733"/>
      <c r="C444" s="734" t="s">
        <v>64</v>
      </c>
      <c r="D444" s="734"/>
      <c r="E444" s="734"/>
      <c r="F444" s="223">
        <v>31.33</v>
      </c>
      <c r="G444" s="223">
        <f t="shared" si="27"/>
        <v>31.33</v>
      </c>
      <c r="H444" s="224" t="s">
        <v>29</v>
      </c>
      <c r="I444" s="225">
        <f t="shared" si="28"/>
        <v>13214.258999999993</v>
      </c>
      <c r="J444" s="223">
        <f t="shared" si="30"/>
        <v>8140.7410000000073</v>
      </c>
      <c r="K444" s="233">
        <f t="shared" si="29"/>
        <v>396.1963041963329</v>
      </c>
      <c r="L444" s="750"/>
      <c r="M444" s="751"/>
      <c r="N444" s="29"/>
      <c r="O444" s="29"/>
      <c r="P444" s="29"/>
      <c r="Q444" s="29"/>
      <c r="R444" s="29"/>
      <c r="S444" s="29"/>
      <c r="T444" s="29"/>
      <c r="U444" s="29"/>
      <c r="V444" s="29"/>
      <c r="W444" s="29"/>
    </row>
    <row r="445" spans="1:23" ht="20.100000000000001" customHeight="1">
      <c r="A445" s="732"/>
      <c r="B445" s="733"/>
      <c r="C445" s="734" t="s">
        <v>64</v>
      </c>
      <c r="D445" s="734"/>
      <c r="E445" s="734"/>
      <c r="F445" s="223">
        <v>31</v>
      </c>
      <c r="G445" s="223">
        <f t="shared" si="27"/>
        <v>31</v>
      </c>
      <c r="H445" s="224" t="s">
        <v>29</v>
      </c>
      <c r="I445" s="225">
        <f t="shared" si="28"/>
        <v>13245.258999999993</v>
      </c>
      <c r="J445" s="223">
        <f t="shared" si="30"/>
        <v>8109.7410000000073</v>
      </c>
      <c r="K445" s="233">
        <f t="shared" si="29"/>
        <v>396.92635538044294</v>
      </c>
      <c r="L445" s="750"/>
      <c r="M445" s="751"/>
      <c r="N445" s="29"/>
      <c r="O445" s="29"/>
      <c r="P445" s="29"/>
      <c r="Q445" s="29"/>
      <c r="R445" s="29"/>
      <c r="S445" s="29"/>
      <c r="T445" s="29"/>
      <c r="U445" s="29"/>
      <c r="V445" s="29"/>
      <c r="W445" s="29"/>
    </row>
    <row r="446" spans="1:23" ht="20.100000000000001" customHeight="1">
      <c r="A446" s="732"/>
      <c r="B446" s="733"/>
      <c r="C446" s="734" t="s">
        <v>64</v>
      </c>
      <c r="D446" s="734"/>
      <c r="E446" s="734"/>
      <c r="F446" s="223">
        <v>31.25</v>
      </c>
      <c r="G446" s="223">
        <f t="shared" si="27"/>
        <v>31.25</v>
      </c>
      <c r="H446" s="224" t="s">
        <v>29</v>
      </c>
      <c r="I446" s="225">
        <f t="shared" si="28"/>
        <v>13276.508999999993</v>
      </c>
      <c r="J446" s="223">
        <f t="shared" si="30"/>
        <v>8078.4910000000073</v>
      </c>
      <c r="K446" s="233">
        <f t="shared" si="29"/>
        <v>397.66229407410219</v>
      </c>
      <c r="L446" s="750"/>
      <c r="M446" s="751"/>
      <c r="N446" s="29"/>
      <c r="O446" s="29"/>
      <c r="P446" s="29"/>
      <c r="Q446" s="29"/>
      <c r="R446" s="29"/>
      <c r="S446" s="29"/>
      <c r="T446" s="29"/>
      <c r="U446" s="29"/>
      <c r="V446" s="29"/>
      <c r="W446" s="29"/>
    </row>
    <row r="447" spans="1:23" ht="20.100000000000001" customHeight="1">
      <c r="A447" s="681" t="s">
        <v>150</v>
      </c>
      <c r="B447" s="682"/>
      <c r="C447" s="683" t="s">
        <v>64</v>
      </c>
      <c r="D447" s="683"/>
      <c r="E447" s="683"/>
      <c r="F447" s="220">
        <v>31.18</v>
      </c>
      <c r="G447" s="220">
        <f t="shared" si="27"/>
        <v>31.18</v>
      </c>
      <c r="H447" s="221" t="s">
        <v>29</v>
      </c>
      <c r="I447" s="222">
        <f t="shared" si="28"/>
        <v>13307.688999999993</v>
      </c>
      <c r="J447" s="220">
        <f t="shared" si="30"/>
        <v>8047.311000000007</v>
      </c>
      <c r="K447" s="231">
        <f t="shared" si="29"/>
        <v>398.39658426508771</v>
      </c>
      <c r="L447" s="750"/>
      <c r="M447" s="751"/>
      <c r="N447" s="29"/>
      <c r="O447" s="29"/>
      <c r="P447" s="29"/>
      <c r="Q447" s="29"/>
      <c r="R447" s="29"/>
      <c r="S447" s="29"/>
      <c r="T447" s="29"/>
      <c r="U447" s="29"/>
      <c r="V447" s="29"/>
      <c r="W447" s="29"/>
    </row>
    <row r="448" spans="1:23" ht="20.100000000000001" customHeight="1">
      <c r="A448" s="681"/>
      <c r="B448" s="682"/>
      <c r="C448" s="683" t="s">
        <v>64</v>
      </c>
      <c r="D448" s="683"/>
      <c r="E448" s="683"/>
      <c r="F448" s="220">
        <v>31.14</v>
      </c>
      <c r="G448" s="220">
        <f t="shared" si="27"/>
        <v>31.14</v>
      </c>
      <c r="H448" s="221" t="s">
        <v>29</v>
      </c>
      <c r="I448" s="222">
        <f t="shared" si="28"/>
        <v>13338.828999999992</v>
      </c>
      <c r="J448" s="220">
        <f t="shared" si="30"/>
        <v>8016.1710000000076</v>
      </c>
      <c r="K448" s="231">
        <f t="shared" si="29"/>
        <v>399.12993245454527</v>
      </c>
      <c r="L448" s="750"/>
      <c r="M448" s="751"/>
      <c r="N448" s="29"/>
      <c r="O448" s="29"/>
      <c r="P448" s="29"/>
      <c r="Q448" s="29"/>
      <c r="R448" s="29"/>
      <c r="S448" s="29"/>
      <c r="T448" s="29"/>
      <c r="U448" s="29"/>
      <c r="V448" s="29"/>
      <c r="W448" s="29"/>
    </row>
    <row r="449" spans="1:23" ht="20.100000000000001" customHeight="1">
      <c r="A449" s="681"/>
      <c r="B449" s="682"/>
      <c r="C449" s="683" t="s">
        <v>64</v>
      </c>
      <c r="D449" s="683"/>
      <c r="E449" s="683"/>
      <c r="F449" s="220">
        <v>31.07</v>
      </c>
      <c r="G449" s="220">
        <f t="shared" si="27"/>
        <v>31.07</v>
      </c>
      <c r="H449" s="221" t="s">
        <v>29</v>
      </c>
      <c r="I449" s="222">
        <f t="shared" si="28"/>
        <v>13369.898999999992</v>
      </c>
      <c r="J449" s="220">
        <f t="shared" si="30"/>
        <v>7985.1010000000078</v>
      </c>
      <c r="K449" s="231">
        <f t="shared" si="29"/>
        <v>399.86163214132904</v>
      </c>
      <c r="L449" s="750"/>
      <c r="M449" s="751"/>
      <c r="N449" s="29"/>
      <c r="O449" s="29"/>
      <c r="P449" s="29"/>
      <c r="Q449" s="29"/>
      <c r="R449" s="29"/>
      <c r="S449" s="29"/>
      <c r="T449" s="29"/>
      <c r="U449" s="29"/>
      <c r="V449" s="29"/>
      <c r="W449" s="29"/>
    </row>
    <row r="450" spans="1:23" ht="20.100000000000001" customHeight="1">
      <c r="A450" s="732" t="s">
        <v>151</v>
      </c>
      <c r="B450" s="733"/>
      <c r="C450" s="734" t="s">
        <v>64</v>
      </c>
      <c r="D450" s="734"/>
      <c r="E450" s="734"/>
      <c r="F450" s="223">
        <v>31.22</v>
      </c>
      <c r="G450" s="223">
        <f t="shared" si="27"/>
        <v>31.22</v>
      </c>
      <c r="H450" s="224" t="s">
        <v>29</v>
      </c>
      <c r="I450" s="225">
        <f t="shared" si="28"/>
        <v>13401.118999999992</v>
      </c>
      <c r="J450" s="223">
        <f t="shared" si="30"/>
        <v>7953.8810000000085</v>
      </c>
      <c r="K450" s="233">
        <f t="shared" si="29"/>
        <v>400.59686433384246</v>
      </c>
      <c r="L450" s="750"/>
      <c r="M450" s="751"/>
      <c r="N450" s="29"/>
      <c r="O450" s="29"/>
      <c r="P450" s="29"/>
      <c r="Q450" s="29"/>
      <c r="R450" s="29"/>
      <c r="S450" s="29"/>
      <c r="T450" s="29"/>
      <c r="U450" s="29"/>
      <c r="V450" s="29"/>
      <c r="W450" s="29"/>
    </row>
    <row r="451" spans="1:23" ht="20.100000000000001" customHeight="1">
      <c r="A451" s="732"/>
      <c r="B451" s="733"/>
      <c r="C451" s="734" t="s">
        <v>64</v>
      </c>
      <c r="D451" s="734"/>
      <c r="E451" s="734"/>
      <c r="F451" s="223">
        <v>31.12</v>
      </c>
      <c r="G451" s="223">
        <f t="shared" si="27"/>
        <v>31.12</v>
      </c>
      <c r="H451" s="224" t="s">
        <v>29</v>
      </c>
      <c r="I451" s="225">
        <f t="shared" si="28"/>
        <v>13432.238999999992</v>
      </c>
      <c r="J451" s="223">
        <f t="shared" si="30"/>
        <v>7922.7610000000077</v>
      </c>
      <c r="K451" s="233">
        <f t="shared" si="29"/>
        <v>401.3297415225361</v>
      </c>
      <c r="L451" s="750"/>
      <c r="M451" s="751"/>
      <c r="N451" s="29"/>
      <c r="O451" s="29"/>
      <c r="P451" s="29"/>
      <c r="Q451" s="29"/>
      <c r="R451" s="29"/>
      <c r="S451" s="29"/>
      <c r="T451" s="29"/>
      <c r="U451" s="29"/>
      <c r="V451" s="29"/>
      <c r="W451" s="29"/>
    </row>
    <row r="452" spans="1:23" ht="20.100000000000001" customHeight="1">
      <c r="A452" s="732"/>
      <c r="B452" s="733"/>
      <c r="C452" s="734" t="s">
        <v>64</v>
      </c>
      <c r="D452" s="734"/>
      <c r="E452" s="734"/>
      <c r="F452" s="223">
        <v>31.14</v>
      </c>
      <c r="G452" s="223">
        <f t="shared" si="27"/>
        <v>31.14</v>
      </c>
      <c r="H452" s="224" t="s">
        <v>29</v>
      </c>
      <c r="I452" s="225">
        <f t="shared" si="28"/>
        <v>13463.378999999992</v>
      </c>
      <c r="J452" s="223">
        <f t="shared" si="30"/>
        <v>7891.6210000000083</v>
      </c>
      <c r="K452" s="233">
        <f t="shared" si="29"/>
        <v>402.06308971199371</v>
      </c>
      <c r="L452" s="750"/>
      <c r="M452" s="751"/>
      <c r="N452" s="29"/>
      <c r="O452" s="29"/>
      <c r="P452" s="29"/>
      <c r="Q452" s="29"/>
      <c r="R452" s="29"/>
      <c r="S452" s="29"/>
      <c r="T452" s="29"/>
      <c r="U452" s="29"/>
      <c r="V452" s="29"/>
      <c r="W452" s="29"/>
    </row>
    <row r="453" spans="1:23" ht="20.100000000000001" customHeight="1">
      <c r="A453" s="681" t="s">
        <v>152</v>
      </c>
      <c r="B453" s="682"/>
      <c r="C453" s="683" t="s">
        <v>64</v>
      </c>
      <c r="D453" s="683"/>
      <c r="E453" s="683"/>
      <c r="F453" s="220">
        <v>31.27</v>
      </c>
      <c r="G453" s="220">
        <f t="shared" si="27"/>
        <v>31.27</v>
      </c>
      <c r="H453" s="221" t="s">
        <v>29</v>
      </c>
      <c r="I453" s="222">
        <f t="shared" si="28"/>
        <v>13494.648999999992</v>
      </c>
      <c r="J453" s="220">
        <f t="shared" si="30"/>
        <v>7860.3510000000078</v>
      </c>
      <c r="K453" s="231">
        <f t="shared" si="29"/>
        <v>402.79949940641694</v>
      </c>
      <c r="L453" s="750"/>
      <c r="M453" s="751"/>
      <c r="N453" s="29"/>
      <c r="O453" s="29"/>
      <c r="P453" s="29"/>
      <c r="Q453" s="29"/>
      <c r="R453" s="29"/>
      <c r="S453" s="29"/>
      <c r="T453" s="29"/>
      <c r="U453" s="29"/>
      <c r="V453" s="29"/>
      <c r="W453" s="29"/>
    </row>
    <row r="454" spans="1:23" ht="20.100000000000001" customHeight="1">
      <c r="A454" s="681"/>
      <c r="B454" s="682"/>
      <c r="C454" s="683" t="s">
        <v>64</v>
      </c>
      <c r="D454" s="683"/>
      <c r="E454" s="683"/>
      <c r="F454" s="220">
        <v>31.31</v>
      </c>
      <c r="G454" s="220">
        <f t="shared" si="27"/>
        <v>31.31</v>
      </c>
      <c r="H454" s="221" t="s">
        <v>29</v>
      </c>
      <c r="I454" s="222">
        <f t="shared" si="28"/>
        <v>13525.958999999992</v>
      </c>
      <c r="J454" s="220">
        <f t="shared" si="30"/>
        <v>7829.0410000000084</v>
      </c>
      <c r="K454" s="231">
        <f t="shared" si="29"/>
        <v>403.53685110236802</v>
      </c>
      <c r="L454" s="750"/>
      <c r="M454" s="751"/>
      <c r="N454" s="29"/>
      <c r="O454" s="29"/>
      <c r="P454" s="29"/>
      <c r="Q454" s="29"/>
      <c r="R454" s="29"/>
      <c r="S454" s="29"/>
      <c r="T454" s="29"/>
      <c r="U454" s="29"/>
      <c r="V454" s="29"/>
      <c r="W454" s="29"/>
    </row>
    <row r="455" spans="1:23" ht="20.100000000000001" customHeight="1">
      <c r="A455" s="681"/>
      <c r="B455" s="682"/>
      <c r="C455" s="683" t="s">
        <v>64</v>
      </c>
      <c r="D455" s="683"/>
      <c r="E455" s="683"/>
      <c r="F455" s="220">
        <v>31.31</v>
      </c>
      <c r="G455" s="220">
        <f t="shared" si="27"/>
        <v>31.31</v>
      </c>
      <c r="H455" s="221" t="s">
        <v>29</v>
      </c>
      <c r="I455" s="222">
        <f t="shared" si="28"/>
        <v>13557.268999999991</v>
      </c>
      <c r="J455" s="220">
        <f t="shared" si="30"/>
        <v>7797.7310000000089</v>
      </c>
      <c r="K455" s="231">
        <f t="shared" si="29"/>
        <v>404.27420279831915</v>
      </c>
      <c r="L455" s="750"/>
      <c r="M455" s="751"/>
      <c r="N455" s="29"/>
      <c r="O455" s="29"/>
      <c r="P455" s="29"/>
      <c r="Q455" s="29"/>
      <c r="R455" s="29"/>
      <c r="S455" s="29"/>
      <c r="T455" s="29"/>
      <c r="U455" s="29"/>
      <c r="V455" s="29"/>
      <c r="W455" s="29"/>
    </row>
    <row r="456" spans="1:23" ht="20.100000000000001" customHeight="1">
      <c r="A456" s="732" t="s">
        <v>153</v>
      </c>
      <c r="B456" s="733"/>
      <c r="C456" s="734" t="s">
        <v>64</v>
      </c>
      <c r="D456" s="734"/>
      <c r="E456" s="734"/>
      <c r="F456" s="223">
        <v>31.26</v>
      </c>
      <c r="G456" s="223">
        <f t="shared" si="27"/>
        <v>31.26</v>
      </c>
      <c r="H456" s="224" t="s">
        <v>29</v>
      </c>
      <c r="I456" s="225">
        <f t="shared" si="28"/>
        <v>13588.528999999991</v>
      </c>
      <c r="J456" s="223">
        <f t="shared" si="30"/>
        <v>7766.4710000000086</v>
      </c>
      <c r="K456" s="233">
        <f t="shared" si="29"/>
        <v>405.01037699236042</v>
      </c>
      <c r="L456" s="750"/>
      <c r="M456" s="751"/>
      <c r="N456" s="29"/>
      <c r="O456" s="29"/>
      <c r="P456" s="29"/>
      <c r="Q456" s="29"/>
      <c r="R456" s="29"/>
      <c r="S456" s="29"/>
      <c r="T456" s="29"/>
      <c r="U456" s="29"/>
      <c r="V456" s="29"/>
      <c r="W456" s="29"/>
    </row>
    <row r="457" spans="1:23" ht="20.100000000000001" customHeight="1">
      <c r="A457" s="732"/>
      <c r="B457" s="733"/>
      <c r="C457" s="734" t="s">
        <v>64</v>
      </c>
      <c r="D457" s="734"/>
      <c r="E457" s="734"/>
      <c r="F457" s="223">
        <v>31.23</v>
      </c>
      <c r="G457" s="223">
        <f t="shared" ref="G457:G550" si="31">F457</f>
        <v>31.23</v>
      </c>
      <c r="H457" s="224" t="s">
        <v>29</v>
      </c>
      <c r="I457" s="225">
        <f t="shared" si="28"/>
        <v>13619.758999999991</v>
      </c>
      <c r="J457" s="223">
        <f t="shared" si="30"/>
        <v>7735.2410000000091</v>
      </c>
      <c r="K457" s="233">
        <f t="shared" si="29"/>
        <v>405.74584468525575</v>
      </c>
      <c r="L457" s="750"/>
      <c r="M457" s="751"/>
      <c r="N457" s="29"/>
      <c r="O457" s="29"/>
      <c r="P457" s="29"/>
      <c r="Q457" s="29"/>
      <c r="R457" s="29"/>
      <c r="S457" s="29"/>
      <c r="T457" s="29"/>
      <c r="U457" s="29"/>
      <c r="V457" s="29"/>
      <c r="W457" s="29"/>
    </row>
    <row r="458" spans="1:23" ht="20.100000000000001" customHeight="1">
      <c r="A458" s="732"/>
      <c r="B458" s="733"/>
      <c r="C458" s="734" t="s">
        <v>64</v>
      </c>
      <c r="D458" s="734"/>
      <c r="E458" s="734"/>
      <c r="F458" s="223">
        <v>31.85</v>
      </c>
      <c r="G458" s="223">
        <f t="shared" si="31"/>
        <v>31.85</v>
      </c>
      <c r="H458" s="224" t="s">
        <v>29</v>
      </c>
      <c r="I458" s="225">
        <f t="shared" si="28"/>
        <v>13651.608999999991</v>
      </c>
      <c r="J458" s="223">
        <f t="shared" si="30"/>
        <v>7703.3910000000087</v>
      </c>
      <c r="K458" s="233">
        <f t="shared" si="29"/>
        <v>406.49591340183326</v>
      </c>
      <c r="L458" s="750"/>
      <c r="M458" s="751"/>
      <c r="N458" s="29"/>
      <c r="O458" s="29"/>
      <c r="P458" s="29"/>
      <c r="Q458" s="29"/>
      <c r="R458" s="29"/>
      <c r="S458" s="29"/>
      <c r="T458" s="29"/>
      <c r="U458" s="29"/>
      <c r="V458" s="29"/>
      <c r="W458" s="29"/>
    </row>
    <row r="459" spans="1:23" ht="20.100000000000001" customHeight="1">
      <c r="A459" s="681" t="s">
        <v>154</v>
      </c>
      <c r="B459" s="682"/>
      <c r="C459" s="683" t="s">
        <v>64</v>
      </c>
      <c r="D459" s="683"/>
      <c r="E459" s="683"/>
      <c r="F459" s="220">
        <v>31.31</v>
      </c>
      <c r="G459" s="220">
        <f t="shared" si="31"/>
        <v>31.31</v>
      </c>
      <c r="H459" s="221" t="s">
        <v>29</v>
      </c>
      <c r="I459" s="222">
        <f t="shared" si="28"/>
        <v>13682.918999999991</v>
      </c>
      <c r="J459" s="220">
        <f t="shared" si="30"/>
        <v>7672.0810000000092</v>
      </c>
      <c r="K459" s="231">
        <f t="shared" si="29"/>
        <v>407.23326509778434</v>
      </c>
      <c r="L459" s="421"/>
      <c r="M459" s="422"/>
      <c r="N459" s="29"/>
      <c r="O459" s="29"/>
      <c r="P459" s="29"/>
      <c r="Q459" s="29"/>
      <c r="R459" s="29"/>
      <c r="S459" s="29"/>
      <c r="T459" s="29"/>
      <c r="U459" s="29"/>
      <c r="V459" s="29"/>
      <c r="W459" s="29"/>
    </row>
    <row r="460" spans="1:23" ht="20.100000000000001" customHeight="1">
      <c r="A460" s="681"/>
      <c r="B460" s="682"/>
      <c r="C460" s="683" t="s">
        <v>64</v>
      </c>
      <c r="D460" s="683"/>
      <c r="E460" s="683"/>
      <c r="F460" s="220">
        <v>31.06</v>
      </c>
      <c r="G460" s="220">
        <f t="shared" si="31"/>
        <v>31.06</v>
      </c>
      <c r="H460" s="221" t="s">
        <v>29</v>
      </c>
      <c r="I460" s="222">
        <f t="shared" si="28"/>
        <v>13713.97899999999</v>
      </c>
      <c r="J460" s="220">
        <f t="shared" si="30"/>
        <v>7641.0210000000097</v>
      </c>
      <c r="K460" s="231">
        <f t="shared" si="29"/>
        <v>407.96472928418621</v>
      </c>
      <c r="L460" s="421"/>
      <c r="M460" s="422"/>
      <c r="N460" s="29"/>
      <c r="O460" s="29"/>
      <c r="P460" s="29"/>
      <c r="Q460" s="29"/>
      <c r="R460" s="29"/>
      <c r="S460" s="29"/>
      <c r="T460" s="29"/>
      <c r="U460" s="29"/>
      <c r="V460" s="29"/>
      <c r="W460" s="29"/>
    </row>
    <row r="461" spans="1:23" ht="20.100000000000001" customHeight="1">
      <c r="A461" s="681"/>
      <c r="B461" s="682"/>
      <c r="C461" s="683" t="s">
        <v>64</v>
      </c>
      <c r="D461" s="683"/>
      <c r="E461" s="683"/>
      <c r="F461" s="220">
        <v>31.03</v>
      </c>
      <c r="G461" s="220">
        <f t="shared" si="31"/>
        <v>31.03</v>
      </c>
      <c r="H461" s="221" t="s">
        <v>29</v>
      </c>
      <c r="I461" s="222">
        <f t="shared" si="28"/>
        <v>13745.008999999991</v>
      </c>
      <c r="J461" s="220">
        <f t="shared" si="30"/>
        <v>7609.9910000000091</v>
      </c>
      <c r="K461" s="231">
        <f t="shared" si="29"/>
        <v>408.69548696944213</v>
      </c>
      <c r="L461" s="421"/>
      <c r="M461" s="422"/>
      <c r="N461" s="29"/>
      <c r="O461" s="29"/>
      <c r="P461" s="29"/>
      <c r="Q461" s="29"/>
      <c r="R461" s="29"/>
      <c r="S461" s="29"/>
      <c r="T461" s="29"/>
      <c r="U461" s="29"/>
      <c r="V461" s="29"/>
      <c r="W461" s="29"/>
    </row>
    <row r="462" spans="1:23" ht="20.100000000000001" customHeight="1">
      <c r="A462" s="732" t="s">
        <v>155</v>
      </c>
      <c r="B462" s="733"/>
      <c r="C462" s="734" t="s">
        <v>64</v>
      </c>
      <c r="D462" s="734"/>
      <c r="E462" s="734"/>
      <c r="F462" s="223">
        <v>31.3</v>
      </c>
      <c r="G462" s="223">
        <f t="shared" si="31"/>
        <v>31.3</v>
      </c>
      <c r="H462" s="224" t="s">
        <v>29</v>
      </c>
      <c r="I462" s="225">
        <f t="shared" si="28"/>
        <v>13776.30899999999</v>
      </c>
      <c r="J462" s="223">
        <f t="shared" si="30"/>
        <v>7578.6910000000098</v>
      </c>
      <c r="K462" s="233">
        <f t="shared" si="29"/>
        <v>409.43260316501124</v>
      </c>
      <c r="L462" s="421"/>
      <c r="M462" s="422"/>
      <c r="N462" s="29"/>
      <c r="O462" s="29"/>
      <c r="P462" s="29"/>
      <c r="Q462" s="29"/>
      <c r="R462" s="29"/>
      <c r="S462" s="29"/>
      <c r="T462" s="29"/>
      <c r="U462" s="29"/>
      <c r="V462" s="29"/>
      <c r="W462" s="29"/>
    </row>
    <row r="463" spans="1:23" ht="20.100000000000001" customHeight="1">
      <c r="A463" s="732"/>
      <c r="B463" s="733"/>
      <c r="C463" s="734" t="s">
        <v>64</v>
      </c>
      <c r="D463" s="734"/>
      <c r="E463" s="734"/>
      <c r="F463" s="223">
        <v>31.3</v>
      </c>
      <c r="G463" s="223">
        <f t="shared" si="31"/>
        <v>31.3</v>
      </c>
      <c r="H463" s="224" t="s">
        <v>29</v>
      </c>
      <c r="I463" s="225">
        <f t="shared" si="28"/>
        <v>13807.608999999989</v>
      </c>
      <c r="J463" s="223">
        <f t="shared" si="30"/>
        <v>7547.3910000000105</v>
      </c>
      <c r="K463" s="233">
        <f t="shared" si="29"/>
        <v>410.1697193605803</v>
      </c>
      <c r="L463" s="421"/>
      <c r="M463" s="422"/>
      <c r="N463" s="29"/>
      <c r="O463" s="29"/>
      <c r="P463" s="29"/>
      <c r="Q463" s="29"/>
      <c r="R463" s="29"/>
      <c r="S463" s="29"/>
      <c r="T463" s="29"/>
      <c r="U463" s="29"/>
      <c r="V463" s="29"/>
      <c r="W463" s="29"/>
    </row>
    <row r="464" spans="1:23" ht="20.100000000000001" customHeight="1" thickBot="1">
      <c r="A464" s="732"/>
      <c r="B464" s="733"/>
      <c r="C464" s="734" t="s">
        <v>64</v>
      </c>
      <c r="D464" s="734"/>
      <c r="E464" s="734"/>
      <c r="F464" s="223">
        <v>30.92</v>
      </c>
      <c r="G464" s="423">
        <f t="shared" si="31"/>
        <v>30.92</v>
      </c>
      <c r="H464" s="424" t="s">
        <v>29</v>
      </c>
      <c r="I464" s="425">
        <f t="shared" si="28"/>
        <v>13838.52899999999</v>
      </c>
      <c r="J464" s="423">
        <f t="shared" si="30"/>
        <v>7516.4710000000105</v>
      </c>
      <c r="K464" s="426">
        <f t="shared" si="29"/>
        <v>410.89788654163465</v>
      </c>
      <c r="L464" s="421"/>
      <c r="M464" s="422"/>
      <c r="N464" s="29"/>
      <c r="O464" s="29"/>
      <c r="P464" s="29"/>
      <c r="Q464" s="29"/>
      <c r="R464" s="29"/>
      <c r="S464" s="29"/>
      <c r="T464" s="29"/>
      <c r="U464" s="29"/>
      <c r="V464" s="29"/>
      <c r="W464" s="29"/>
    </row>
    <row r="465" spans="1:23" ht="20.100000000000001" customHeight="1">
      <c r="A465" s="699" t="s">
        <v>248</v>
      </c>
      <c r="B465" s="700"/>
      <c r="C465" s="703" t="s">
        <v>195</v>
      </c>
      <c r="D465" s="704"/>
      <c r="E465" s="705"/>
      <c r="F465" s="235">
        <v>30.22</v>
      </c>
      <c r="G465" s="206">
        <f t="shared" si="31"/>
        <v>30.22</v>
      </c>
      <c r="H465" s="207" t="s">
        <v>29</v>
      </c>
      <c r="I465" s="208">
        <f t="shared" si="28"/>
        <v>13868.748999999989</v>
      </c>
      <c r="J465" s="206">
        <f t="shared" si="30"/>
        <v>7486.2510000000111</v>
      </c>
      <c r="K465" s="229">
        <f t="shared" si="29"/>
        <v>411.60956869595083</v>
      </c>
      <c r="L465" s="750"/>
      <c r="M465" s="751"/>
      <c r="N465" s="29"/>
      <c r="O465" s="29"/>
      <c r="P465" s="29"/>
      <c r="Q465" s="29"/>
      <c r="R465" s="29"/>
      <c r="S465" s="29"/>
      <c r="T465" s="29"/>
      <c r="U465" s="29"/>
      <c r="V465" s="29"/>
      <c r="W465" s="29"/>
    </row>
    <row r="466" spans="1:23" ht="20.100000000000001" customHeight="1">
      <c r="A466" s="701"/>
      <c r="B466" s="702"/>
      <c r="C466" s="708" t="s">
        <v>195</v>
      </c>
      <c r="D466" s="709"/>
      <c r="E466" s="710"/>
      <c r="F466" s="255">
        <v>30.28</v>
      </c>
      <c r="G466" s="217">
        <f t="shared" si="31"/>
        <v>30.28</v>
      </c>
      <c r="H466" s="218" t="s">
        <v>29</v>
      </c>
      <c r="I466" s="219">
        <f t="shared" si="28"/>
        <v>13899.02899999999</v>
      </c>
      <c r="J466" s="217">
        <f t="shared" si="30"/>
        <v>7455.9710000000105</v>
      </c>
      <c r="K466" s="230">
        <f t="shared" si="29"/>
        <v>412.322663852559</v>
      </c>
      <c r="L466" s="750"/>
      <c r="M466" s="751"/>
      <c r="N466" s="29"/>
      <c r="O466" s="29"/>
      <c r="P466" s="29"/>
      <c r="Q466" s="29"/>
      <c r="R466" s="29"/>
      <c r="S466" s="29"/>
      <c r="T466" s="29"/>
      <c r="U466" s="29"/>
      <c r="V466" s="29"/>
      <c r="W466" s="29"/>
    </row>
    <row r="467" spans="1:23" ht="20.100000000000001" customHeight="1" thickBot="1">
      <c r="A467" s="701"/>
      <c r="B467" s="702"/>
      <c r="C467" s="708" t="s">
        <v>195</v>
      </c>
      <c r="D467" s="709"/>
      <c r="E467" s="710"/>
      <c r="F467" s="257">
        <v>29.99</v>
      </c>
      <c r="G467" s="217">
        <f t="shared" si="31"/>
        <v>29.99</v>
      </c>
      <c r="H467" s="218" t="s">
        <v>29</v>
      </c>
      <c r="I467" s="219">
        <f>IF(H467="IN",I466+G467,I466)</f>
        <v>13929.018999999989</v>
      </c>
      <c r="J467" s="217">
        <f t="shared" si="30"/>
        <v>7425.9810000000107</v>
      </c>
      <c r="K467" s="230">
        <f t="shared" si="29"/>
        <v>413.02892949808989</v>
      </c>
      <c r="L467" s="750"/>
      <c r="M467" s="751"/>
      <c r="N467" s="29"/>
      <c r="O467" s="29"/>
      <c r="P467" s="29"/>
      <c r="Q467" s="29"/>
      <c r="R467" s="29"/>
      <c r="S467" s="29"/>
      <c r="T467" s="29"/>
      <c r="U467" s="29"/>
      <c r="V467" s="29"/>
      <c r="W467" s="29"/>
    </row>
    <row r="468" spans="1:23" ht="20.100000000000001" customHeight="1">
      <c r="A468" s="699" t="s">
        <v>249</v>
      </c>
      <c r="B468" s="700"/>
      <c r="C468" s="703" t="s">
        <v>195</v>
      </c>
      <c r="D468" s="704"/>
      <c r="E468" s="705"/>
      <c r="F468" s="235">
        <v>30.11</v>
      </c>
      <c r="G468" s="206">
        <f t="shared" si="31"/>
        <v>30.11</v>
      </c>
      <c r="H468" s="207" t="s">
        <v>29</v>
      </c>
      <c r="I468" s="208">
        <f>IF(H468="IN",I467+G468,I467)</f>
        <v>13959.12899999999</v>
      </c>
      <c r="J468" s="206">
        <f t="shared" si="30"/>
        <v>7395.8710000000101</v>
      </c>
      <c r="K468" s="229">
        <f t="shared" si="29"/>
        <v>413.7380211482045</v>
      </c>
      <c r="L468" s="750"/>
      <c r="M468" s="751"/>
      <c r="N468" s="29"/>
      <c r="O468" s="29"/>
      <c r="P468" s="29"/>
      <c r="Q468" s="29"/>
      <c r="R468" s="29"/>
      <c r="S468" s="29"/>
      <c r="T468" s="29"/>
      <c r="U468" s="29"/>
      <c r="V468" s="29"/>
      <c r="W468" s="29"/>
    </row>
    <row r="469" spans="1:23" ht="20.100000000000001" customHeight="1">
      <c r="A469" s="701"/>
      <c r="B469" s="702"/>
      <c r="C469" s="708" t="s">
        <v>195</v>
      </c>
      <c r="D469" s="709"/>
      <c r="E469" s="710"/>
      <c r="F469" s="255">
        <v>29.79</v>
      </c>
      <c r="G469" s="217">
        <f t="shared" si="31"/>
        <v>29.79</v>
      </c>
      <c r="H469" s="218" t="s">
        <v>29</v>
      </c>
      <c r="I469" s="219">
        <f t="shared" ref="I469" si="32">IF(H469="IN",I468+G469,I468)</f>
        <v>13988.918999999991</v>
      </c>
      <c r="J469" s="217">
        <f t="shared" si="30"/>
        <v>7366.0810000000092</v>
      </c>
      <c r="K469" s="230">
        <f t="shared" si="29"/>
        <v>414.43957678609604</v>
      </c>
      <c r="L469" s="750"/>
      <c r="M469" s="751"/>
      <c r="N469" s="29"/>
      <c r="O469" s="29"/>
      <c r="P469" s="29"/>
      <c r="Q469" s="29"/>
      <c r="R469" s="29"/>
      <c r="S469" s="29"/>
      <c r="T469" s="29"/>
      <c r="U469" s="29"/>
      <c r="V469" s="29"/>
      <c r="W469" s="29"/>
    </row>
    <row r="470" spans="1:23" ht="20.100000000000001" customHeight="1" thickBot="1">
      <c r="A470" s="701"/>
      <c r="B470" s="702"/>
      <c r="C470" s="708" t="s">
        <v>195</v>
      </c>
      <c r="D470" s="709"/>
      <c r="E470" s="710"/>
      <c r="F470" s="257">
        <v>30.19</v>
      </c>
      <c r="G470" s="217">
        <f t="shared" si="31"/>
        <v>30.19</v>
      </c>
      <c r="H470" s="218" t="s">
        <v>29</v>
      </c>
      <c r="I470" s="219">
        <f>IF(H470="IN",I469+G470,I469)</f>
        <v>14019.108999999991</v>
      </c>
      <c r="J470" s="217">
        <f t="shared" si="30"/>
        <v>7335.8910000000087</v>
      </c>
      <c r="K470" s="230">
        <f t="shared" si="29"/>
        <v>415.15055243926639</v>
      </c>
      <c r="L470" s="750"/>
      <c r="M470" s="751"/>
      <c r="N470" s="29"/>
      <c r="O470" s="29"/>
      <c r="P470" s="29"/>
      <c r="Q470" s="29"/>
      <c r="R470" s="29"/>
      <c r="S470" s="29"/>
      <c r="T470" s="29"/>
      <c r="U470" s="29"/>
      <c r="V470" s="29"/>
      <c r="W470" s="29"/>
    </row>
    <row r="471" spans="1:23" ht="20.100000000000001" customHeight="1">
      <c r="A471" s="699" t="s">
        <v>212</v>
      </c>
      <c r="B471" s="700"/>
      <c r="C471" s="703" t="s">
        <v>195</v>
      </c>
      <c r="D471" s="704"/>
      <c r="E471" s="705"/>
      <c r="F471" s="235">
        <v>30.18</v>
      </c>
      <c r="G471" s="206">
        <f t="shared" si="31"/>
        <v>30.18</v>
      </c>
      <c r="H471" s="207" t="s">
        <v>29</v>
      </c>
      <c r="I471" s="208">
        <f>IF(H471="IN",I470+G471,I470)</f>
        <v>14049.288999999992</v>
      </c>
      <c r="J471" s="206">
        <f t="shared" si="30"/>
        <v>7305.7110000000084</v>
      </c>
      <c r="K471" s="229">
        <f t="shared" si="29"/>
        <v>415.86129259205484</v>
      </c>
      <c r="L471" s="750"/>
      <c r="M471" s="751"/>
      <c r="N471" s="29"/>
      <c r="O471" s="29"/>
      <c r="P471" s="29"/>
      <c r="Q471" s="29"/>
      <c r="R471" s="29"/>
      <c r="S471" s="29"/>
      <c r="T471" s="29"/>
      <c r="U471" s="29"/>
      <c r="V471" s="29"/>
      <c r="W471" s="29"/>
    </row>
    <row r="472" spans="1:23" ht="20.100000000000001" customHeight="1">
      <c r="A472" s="701"/>
      <c r="B472" s="702"/>
      <c r="C472" s="708" t="s">
        <v>195</v>
      </c>
      <c r="D472" s="709"/>
      <c r="E472" s="710"/>
      <c r="F472" s="255">
        <v>29.98</v>
      </c>
      <c r="G472" s="217">
        <f t="shared" si="31"/>
        <v>29.98</v>
      </c>
      <c r="H472" s="218" t="s">
        <v>29</v>
      </c>
      <c r="I472" s="219">
        <f t="shared" ref="I472" si="33">IF(H472="IN",I471+G472,I471)</f>
        <v>14079.268999999991</v>
      </c>
      <c r="J472" s="217">
        <f t="shared" si="30"/>
        <v>7275.7310000000089</v>
      </c>
      <c r="K472" s="230">
        <f t="shared" si="29"/>
        <v>416.56732273720377</v>
      </c>
      <c r="L472" s="750"/>
      <c r="M472" s="751"/>
      <c r="N472" s="29"/>
      <c r="O472" s="29"/>
      <c r="P472" s="29"/>
      <c r="Q472" s="29"/>
      <c r="R472" s="29"/>
      <c r="S472" s="29"/>
      <c r="T472" s="29"/>
      <c r="U472" s="29"/>
      <c r="V472" s="29"/>
      <c r="W472" s="29"/>
    </row>
    <row r="473" spans="1:23" ht="20.100000000000001" customHeight="1" thickBot="1">
      <c r="A473" s="701"/>
      <c r="B473" s="702"/>
      <c r="C473" s="708" t="s">
        <v>195</v>
      </c>
      <c r="D473" s="709"/>
      <c r="E473" s="710"/>
      <c r="F473" s="257">
        <v>31.1</v>
      </c>
      <c r="G473" s="217">
        <f t="shared" si="31"/>
        <v>31.1</v>
      </c>
      <c r="H473" s="218" t="s">
        <v>29</v>
      </c>
      <c r="I473" s="219">
        <f>IF(H473="IN",I472+G473,I472)</f>
        <v>14110.368999999992</v>
      </c>
      <c r="J473" s="217">
        <f t="shared" si="30"/>
        <v>7244.6310000000085</v>
      </c>
      <c r="K473" s="230">
        <f t="shared" si="29"/>
        <v>417.29972892513354</v>
      </c>
      <c r="L473" s="750"/>
      <c r="M473" s="751"/>
      <c r="N473" s="29"/>
      <c r="O473" s="29"/>
      <c r="P473" s="29"/>
      <c r="Q473" s="29"/>
      <c r="R473" s="29"/>
      <c r="S473" s="29"/>
      <c r="T473" s="29"/>
      <c r="U473" s="29"/>
      <c r="V473" s="29"/>
      <c r="W473" s="29"/>
    </row>
    <row r="474" spans="1:23" ht="20.100000000000001" customHeight="1">
      <c r="A474" s="699" t="s">
        <v>250</v>
      </c>
      <c r="B474" s="700"/>
      <c r="C474" s="703" t="s">
        <v>195</v>
      </c>
      <c r="D474" s="704"/>
      <c r="E474" s="705"/>
      <c r="F474" s="235">
        <v>30.39</v>
      </c>
      <c r="G474" s="206">
        <f t="shared" si="31"/>
        <v>30.39</v>
      </c>
      <c r="H474" s="207" t="s">
        <v>29</v>
      </c>
      <c r="I474" s="208">
        <f>IF(H474="IN",I473+G474,I473)</f>
        <v>14140.758999999991</v>
      </c>
      <c r="J474" s="206">
        <f t="shared" si="30"/>
        <v>7214.2410000000091</v>
      </c>
      <c r="K474" s="229">
        <f t="shared" si="29"/>
        <v>418.01541458594329</v>
      </c>
      <c r="L474" s="750"/>
      <c r="M474" s="751"/>
      <c r="N474" s="29"/>
      <c r="O474" s="29"/>
      <c r="P474" s="29"/>
      <c r="Q474" s="29"/>
      <c r="R474" s="29"/>
      <c r="S474" s="29"/>
      <c r="T474" s="29"/>
      <c r="U474" s="29"/>
      <c r="V474" s="29"/>
      <c r="W474" s="29"/>
    </row>
    <row r="475" spans="1:23" ht="20.100000000000001" customHeight="1">
      <c r="A475" s="701"/>
      <c r="B475" s="702"/>
      <c r="C475" s="708" t="s">
        <v>195</v>
      </c>
      <c r="D475" s="709"/>
      <c r="E475" s="710"/>
      <c r="F475" s="255">
        <v>30.54</v>
      </c>
      <c r="G475" s="217">
        <f t="shared" si="31"/>
        <v>30.54</v>
      </c>
      <c r="H475" s="218" t="s">
        <v>29</v>
      </c>
      <c r="I475" s="219">
        <f t="shared" ref="I475" si="34">IF(H475="IN",I474+G475,I474)</f>
        <v>14171.298999999992</v>
      </c>
      <c r="J475" s="217">
        <f t="shared" si="30"/>
        <v>7183.7010000000082</v>
      </c>
      <c r="K475" s="230">
        <f t="shared" si="29"/>
        <v>418.73463275248258</v>
      </c>
      <c r="L475" s="750"/>
      <c r="M475" s="751"/>
      <c r="N475" s="29"/>
      <c r="O475" s="29"/>
      <c r="P475" s="29"/>
      <c r="Q475" s="29"/>
      <c r="R475" s="29"/>
      <c r="S475" s="29"/>
      <c r="T475" s="29"/>
      <c r="U475" s="29"/>
      <c r="V475" s="29"/>
      <c r="W475" s="29"/>
    </row>
    <row r="476" spans="1:23" ht="20.100000000000001" customHeight="1" thickBot="1">
      <c r="A476" s="701"/>
      <c r="B476" s="702"/>
      <c r="C476" s="708" t="s">
        <v>195</v>
      </c>
      <c r="D476" s="709"/>
      <c r="E476" s="710"/>
      <c r="F476" s="257">
        <v>30.17</v>
      </c>
      <c r="G476" s="217">
        <f t="shared" si="31"/>
        <v>30.17</v>
      </c>
      <c r="H476" s="218" t="s">
        <v>29</v>
      </c>
      <c r="I476" s="219">
        <f>IF(H476="IN",I475+G476,I475)</f>
        <v>14201.468999999992</v>
      </c>
      <c r="J476" s="217">
        <f t="shared" si="30"/>
        <v>7153.5310000000081</v>
      </c>
      <c r="K476" s="230">
        <f t="shared" ref="K476:K539" si="35">$H$8+(I476*$E$9*$E$15/1000)</f>
        <v>419.44513740488912</v>
      </c>
      <c r="L476" s="750"/>
      <c r="M476" s="751"/>
      <c r="N476" s="29"/>
      <c r="O476" s="29"/>
      <c r="P476" s="29"/>
      <c r="Q476" s="29"/>
      <c r="R476" s="29"/>
      <c r="S476" s="29"/>
      <c r="T476" s="29"/>
      <c r="U476" s="29"/>
      <c r="V476" s="29"/>
      <c r="W476" s="29"/>
    </row>
    <row r="477" spans="1:23" ht="20.100000000000001" customHeight="1">
      <c r="A477" s="699" t="s">
        <v>213</v>
      </c>
      <c r="B477" s="700"/>
      <c r="C477" s="703" t="s">
        <v>195</v>
      </c>
      <c r="D477" s="704"/>
      <c r="E477" s="705"/>
      <c r="F477" s="235">
        <v>30.27</v>
      </c>
      <c r="G477" s="206">
        <f t="shared" si="31"/>
        <v>30.27</v>
      </c>
      <c r="H477" s="207" t="s">
        <v>29</v>
      </c>
      <c r="I477" s="208">
        <f>IF(H477="IN",I476+G477,I476)</f>
        <v>14231.738999999992</v>
      </c>
      <c r="J477" s="206">
        <f t="shared" ref="J477:J540" si="36">IF(I477="","",$L$10-I477)</f>
        <v>7123.2610000000077</v>
      </c>
      <c r="K477" s="229">
        <f t="shared" si="35"/>
        <v>420.15799706111517</v>
      </c>
      <c r="L477" s="750"/>
      <c r="M477" s="751"/>
      <c r="N477" s="29"/>
      <c r="O477" s="29"/>
      <c r="P477" s="29"/>
      <c r="Q477" s="29"/>
      <c r="R477" s="29"/>
      <c r="S477" s="29"/>
      <c r="T477" s="29"/>
      <c r="U477" s="29"/>
      <c r="V477" s="29"/>
      <c r="W477" s="29"/>
    </row>
    <row r="478" spans="1:23" ht="20.100000000000001" customHeight="1">
      <c r="A478" s="701"/>
      <c r="B478" s="702"/>
      <c r="C478" s="708" t="s">
        <v>195</v>
      </c>
      <c r="D478" s="709"/>
      <c r="E478" s="710"/>
      <c r="F478" s="255">
        <v>31.25</v>
      </c>
      <c r="G478" s="217">
        <f t="shared" si="31"/>
        <v>31.25</v>
      </c>
      <c r="H478" s="218" t="s">
        <v>29</v>
      </c>
      <c r="I478" s="219">
        <f t="shared" ref="I478" si="37">IF(H478="IN",I477+G478,I477)</f>
        <v>14262.988999999992</v>
      </c>
      <c r="J478" s="217">
        <f t="shared" si="36"/>
        <v>7092.0110000000077</v>
      </c>
      <c r="K478" s="230">
        <f t="shared" si="35"/>
        <v>420.89393575477442</v>
      </c>
      <c r="L478" s="750"/>
      <c r="M478" s="751"/>
      <c r="N478" s="29"/>
      <c r="O478" s="29"/>
      <c r="P478" s="29"/>
      <c r="Q478" s="29"/>
      <c r="R478" s="29"/>
      <c r="S478" s="29"/>
      <c r="T478" s="29"/>
      <c r="U478" s="29"/>
      <c r="V478" s="29"/>
      <c r="W478" s="29"/>
    </row>
    <row r="479" spans="1:23" ht="20.100000000000001" customHeight="1" thickBot="1">
      <c r="A479" s="701"/>
      <c r="B479" s="702"/>
      <c r="C479" s="708" t="s">
        <v>195</v>
      </c>
      <c r="D479" s="709"/>
      <c r="E479" s="710"/>
      <c r="F479" s="257">
        <v>31.16</v>
      </c>
      <c r="G479" s="217">
        <f t="shared" si="31"/>
        <v>31.16</v>
      </c>
      <c r="H479" s="218" t="s">
        <v>29</v>
      </c>
      <c r="I479" s="219">
        <f>IF(H479="IN",I478+G479,I478)</f>
        <v>14294.148999999992</v>
      </c>
      <c r="J479" s="217">
        <f t="shared" si="36"/>
        <v>7060.8510000000078</v>
      </c>
      <c r="K479" s="230">
        <f t="shared" si="35"/>
        <v>421.62775494499596</v>
      </c>
      <c r="L479" s="750"/>
      <c r="M479" s="751"/>
      <c r="N479" s="29"/>
      <c r="O479" s="29"/>
      <c r="P479" s="29"/>
      <c r="Q479" s="29"/>
      <c r="R479" s="29"/>
      <c r="S479" s="29"/>
      <c r="T479" s="29"/>
      <c r="U479" s="29"/>
      <c r="V479" s="29"/>
      <c r="W479" s="29"/>
    </row>
    <row r="480" spans="1:23" ht="20.100000000000001" customHeight="1">
      <c r="A480" s="699" t="s">
        <v>214</v>
      </c>
      <c r="B480" s="700"/>
      <c r="C480" s="703" t="s">
        <v>195</v>
      </c>
      <c r="D480" s="704"/>
      <c r="E480" s="705"/>
      <c r="F480" s="235">
        <v>31.15</v>
      </c>
      <c r="G480" s="206">
        <f t="shared" si="31"/>
        <v>31.15</v>
      </c>
      <c r="H480" s="207" t="s">
        <v>29</v>
      </c>
      <c r="I480" s="208">
        <f>IF(H480="IN",I479+G480,I479)</f>
        <v>14325.298999999992</v>
      </c>
      <c r="J480" s="206">
        <f t="shared" si="36"/>
        <v>7029.7010000000082</v>
      </c>
      <c r="K480" s="229">
        <f t="shared" si="35"/>
        <v>422.36133863483553</v>
      </c>
      <c r="L480" s="750"/>
      <c r="M480" s="751"/>
      <c r="N480" s="29"/>
      <c r="O480" s="29"/>
      <c r="P480" s="29"/>
      <c r="Q480" s="29"/>
      <c r="R480" s="29"/>
      <c r="S480" s="29"/>
      <c r="T480" s="29"/>
      <c r="U480" s="29"/>
      <c r="V480" s="29"/>
      <c r="W480" s="29"/>
    </row>
    <row r="481" spans="1:23" ht="20.100000000000001" customHeight="1">
      <c r="A481" s="701"/>
      <c r="B481" s="702"/>
      <c r="C481" s="708" t="s">
        <v>195</v>
      </c>
      <c r="D481" s="709"/>
      <c r="E481" s="710"/>
      <c r="F481" s="255">
        <v>30.8</v>
      </c>
      <c r="G481" s="217">
        <f t="shared" si="31"/>
        <v>30.8</v>
      </c>
      <c r="H481" s="218" t="s">
        <v>29</v>
      </c>
      <c r="I481" s="219">
        <f t="shared" ref="I481" si="38">IF(H481="IN",I480+G481,I480)</f>
        <v>14356.098999999991</v>
      </c>
      <c r="J481" s="217">
        <f t="shared" si="36"/>
        <v>6998.9010000000089</v>
      </c>
      <c r="K481" s="230">
        <f t="shared" si="35"/>
        <v>423.08667981130617</v>
      </c>
      <c r="L481" s="750"/>
      <c r="M481" s="751"/>
      <c r="N481" s="29"/>
      <c r="O481" s="29"/>
      <c r="P481" s="29"/>
      <c r="Q481" s="29"/>
      <c r="R481" s="29"/>
      <c r="S481" s="29"/>
      <c r="T481" s="29"/>
      <c r="U481" s="29"/>
      <c r="V481" s="29"/>
      <c r="W481" s="29"/>
    </row>
    <row r="482" spans="1:23" ht="20.100000000000001" customHeight="1" thickBot="1">
      <c r="A482" s="701"/>
      <c r="B482" s="702"/>
      <c r="C482" s="708" t="s">
        <v>195</v>
      </c>
      <c r="D482" s="709"/>
      <c r="E482" s="710"/>
      <c r="F482" s="257">
        <v>30.51</v>
      </c>
      <c r="G482" s="217">
        <f t="shared" si="31"/>
        <v>30.51</v>
      </c>
      <c r="H482" s="218" t="s">
        <v>29</v>
      </c>
      <c r="I482" s="219">
        <f>IF(H482="IN",I481+G482,I481)</f>
        <v>14386.608999999991</v>
      </c>
      <c r="J482" s="217">
        <f t="shared" si="36"/>
        <v>6968.3910000000087</v>
      </c>
      <c r="K482" s="230">
        <f t="shared" si="35"/>
        <v>423.80519147669952</v>
      </c>
      <c r="L482" s="750"/>
      <c r="M482" s="751"/>
      <c r="N482" s="29"/>
      <c r="O482" s="29"/>
      <c r="P482" s="29"/>
      <c r="Q482" s="29"/>
      <c r="R482" s="29"/>
      <c r="S482" s="29"/>
      <c r="T482" s="29"/>
      <c r="U482" s="29"/>
      <c r="V482" s="29"/>
      <c r="W482" s="29"/>
    </row>
    <row r="483" spans="1:23" ht="20.100000000000001" customHeight="1">
      <c r="A483" s="699" t="s">
        <v>251</v>
      </c>
      <c r="B483" s="700"/>
      <c r="C483" s="703" t="s">
        <v>195</v>
      </c>
      <c r="D483" s="704"/>
      <c r="E483" s="705"/>
      <c r="F483" s="235">
        <v>29.9</v>
      </c>
      <c r="G483" s="206">
        <f t="shared" si="31"/>
        <v>29.9</v>
      </c>
      <c r="H483" s="207" t="s">
        <v>29</v>
      </c>
      <c r="I483" s="208">
        <f>IF(H483="IN",I482+G483,I482)</f>
        <v>14416.508999999991</v>
      </c>
      <c r="J483" s="206">
        <f t="shared" si="36"/>
        <v>6938.4910000000091</v>
      </c>
      <c r="K483" s="229">
        <f t="shared" si="35"/>
        <v>424.50933761879276</v>
      </c>
      <c r="L483" s="750"/>
      <c r="M483" s="751"/>
      <c r="N483" s="29"/>
      <c r="O483" s="29"/>
      <c r="P483" s="29"/>
      <c r="Q483" s="29"/>
      <c r="R483" s="29"/>
      <c r="S483" s="29"/>
      <c r="T483" s="29"/>
      <c r="U483" s="29"/>
      <c r="V483" s="29"/>
      <c r="W483" s="29"/>
    </row>
    <row r="484" spans="1:23" ht="20.100000000000001" customHeight="1">
      <c r="A484" s="701"/>
      <c r="B484" s="702"/>
      <c r="C484" s="708" t="s">
        <v>195</v>
      </c>
      <c r="D484" s="709"/>
      <c r="E484" s="710"/>
      <c r="F484" s="255">
        <v>30.2</v>
      </c>
      <c r="G484" s="217">
        <f t="shared" si="31"/>
        <v>30.2</v>
      </c>
      <c r="H484" s="218" t="s">
        <v>29</v>
      </c>
      <c r="I484" s="219">
        <f t="shared" ref="I484" si="39">IF(H484="IN",I483+G484,I483)</f>
        <v>14446.708999999992</v>
      </c>
      <c r="J484" s="217">
        <f t="shared" si="36"/>
        <v>6908.2910000000084</v>
      </c>
      <c r="K484" s="230">
        <f t="shared" si="35"/>
        <v>425.22054877234513</v>
      </c>
      <c r="L484" s="750"/>
      <c r="M484" s="751"/>
      <c r="N484" s="29"/>
      <c r="O484" s="29"/>
      <c r="P484" s="29"/>
      <c r="Q484" s="29"/>
      <c r="R484" s="29"/>
      <c r="S484" s="29"/>
      <c r="T484" s="29"/>
      <c r="U484" s="29"/>
      <c r="V484" s="29"/>
      <c r="W484" s="29"/>
    </row>
    <row r="485" spans="1:23" ht="20.100000000000001" customHeight="1" thickBot="1">
      <c r="A485" s="701"/>
      <c r="B485" s="702"/>
      <c r="C485" s="708" t="s">
        <v>195</v>
      </c>
      <c r="D485" s="709"/>
      <c r="E485" s="710"/>
      <c r="F485" s="257">
        <v>30.35</v>
      </c>
      <c r="G485" s="217">
        <f t="shared" si="31"/>
        <v>30.35</v>
      </c>
      <c r="H485" s="218" t="s">
        <v>29</v>
      </c>
      <c r="I485" s="219">
        <f>IF(H485="IN",I484+G485,I484)</f>
        <v>14477.058999999992</v>
      </c>
      <c r="J485" s="217">
        <f t="shared" si="36"/>
        <v>6877.941000000008</v>
      </c>
      <c r="K485" s="230">
        <f t="shared" si="35"/>
        <v>425.93529243162703</v>
      </c>
      <c r="L485" s="750"/>
      <c r="M485" s="751"/>
      <c r="N485" s="29"/>
      <c r="O485" s="29"/>
      <c r="P485" s="29"/>
      <c r="Q485" s="29"/>
      <c r="R485" s="29"/>
      <c r="S485" s="29"/>
      <c r="T485" s="29"/>
      <c r="U485" s="29"/>
      <c r="V485" s="29"/>
      <c r="W485" s="29"/>
    </row>
    <row r="486" spans="1:23" ht="20.100000000000001" customHeight="1">
      <c r="A486" s="699" t="s">
        <v>252</v>
      </c>
      <c r="B486" s="700"/>
      <c r="C486" s="703" t="s">
        <v>195</v>
      </c>
      <c r="D486" s="704"/>
      <c r="E486" s="705"/>
      <c r="F486" s="235">
        <v>30.18</v>
      </c>
      <c r="G486" s="206">
        <f t="shared" si="31"/>
        <v>30.18</v>
      </c>
      <c r="H486" s="207" t="s">
        <v>29</v>
      </c>
      <c r="I486" s="208">
        <f>IF(H486="IN",I485+G486,I485)</f>
        <v>14507.238999999992</v>
      </c>
      <c r="J486" s="206">
        <f t="shared" si="36"/>
        <v>6847.7610000000077</v>
      </c>
      <c r="K486" s="229">
        <f t="shared" si="35"/>
        <v>426.64603258441542</v>
      </c>
      <c r="L486" s="750"/>
      <c r="M486" s="751"/>
      <c r="N486" s="29"/>
      <c r="O486" s="29"/>
      <c r="P486" s="29"/>
      <c r="Q486" s="29"/>
      <c r="R486" s="29"/>
      <c r="S486" s="29"/>
      <c r="T486" s="29"/>
      <c r="U486" s="29"/>
      <c r="V486" s="29"/>
      <c r="W486" s="29"/>
    </row>
    <row r="487" spans="1:23" ht="20.100000000000001" customHeight="1">
      <c r="A487" s="701"/>
      <c r="B487" s="702"/>
      <c r="C487" s="708" t="s">
        <v>195</v>
      </c>
      <c r="D487" s="709"/>
      <c r="E487" s="710"/>
      <c r="F487" s="255">
        <v>31.02</v>
      </c>
      <c r="G487" s="217">
        <f t="shared" si="31"/>
        <v>31.02</v>
      </c>
      <c r="H487" s="218" t="s">
        <v>29</v>
      </c>
      <c r="I487" s="219">
        <f t="shared" ref="I487" si="40">IF(H487="IN",I486+G487,I486)</f>
        <v>14538.258999999993</v>
      </c>
      <c r="J487" s="217">
        <f t="shared" si="36"/>
        <v>6816.7410000000073</v>
      </c>
      <c r="K487" s="230">
        <f t="shared" si="35"/>
        <v>427.37655476928938</v>
      </c>
      <c r="L487" s="750"/>
      <c r="M487" s="751"/>
      <c r="N487" s="29"/>
      <c r="O487" s="29"/>
      <c r="P487" s="29"/>
      <c r="Q487" s="29"/>
      <c r="R487" s="29"/>
      <c r="S487" s="29"/>
      <c r="T487" s="29"/>
      <c r="U487" s="29"/>
      <c r="V487" s="29"/>
      <c r="W487" s="29"/>
    </row>
    <row r="488" spans="1:23" ht="20.100000000000001" customHeight="1" thickBot="1">
      <c r="A488" s="701"/>
      <c r="B488" s="702"/>
      <c r="C488" s="708" t="s">
        <v>195</v>
      </c>
      <c r="D488" s="709"/>
      <c r="E488" s="710"/>
      <c r="F488" s="257">
        <v>31.18</v>
      </c>
      <c r="G488" s="217">
        <f t="shared" si="31"/>
        <v>31.18</v>
      </c>
      <c r="H488" s="218" t="s">
        <v>29</v>
      </c>
      <c r="I488" s="219">
        <f>IF(H488="IN",I487+G488,I487)</f>
        <v>14569.438999999993</v>
      </c>
      <c r="J488" s="217">
        <f t="shared" si="36"/>
        <v>6785.561000000007</v>
      </c>
      <c r="K488" s="230">
        <f t="shared" si="35"/>
        <v>428.11084496027485</v>
      </c>
      <c r="L488" s="750"/>
      <c r="M488" s="751"/>
      <c r="N488" s="29"/>
      <c r="O488" s="29"/>
      <c r="P488" s="29"/>
      <c r="Q488" s="29"/>
      <c r="R488" s="29"/>
      <c r="S488" s="29"/>
      <c r="T488" s="29"/>
      <c r="U488" s="29"/>
      <c r="V488" s="29"/>
      <c r="W488" s="29"/>
    </row>
    <row r="489" spans="1:23" ht="20.100000000000001" customHeight="1">
      <c r="A489" s="699" t="s">
        <v>253</v>
      </c>
      <c r="B489" s="700"/>
      <c r="C489" s="703" t="s">
        <v>195</v>
      </c>
      <c r="D489" s="704"/>
      <c r="E489" s="705"/>
      <c r="F489" s="235">
        <v>29.98</v>
      </c>
      <c r="G489" s="206">
        <f t="shared" si="31"/>
        <v>29.98</v>
      </c>
      <c r="H489" s="207" t="s">
        <v>29</v>
      </c>
      <c r="I489" s="208">
        <f>IF(H489="IN",I488+G489,I488)</f>
        <v>14599.418999999993</v>
      </c>
      <c r="J489" s="206">
        <f t="shared" si="36"/>
        <v>6755.5810000000074</v>
      </c>
      <c r="K489" s="229">
        <f t="shared" si="35"/>
        <v>428.81687510542383</v>
      </c>
      <c r="L489" s="750"/>
      <c r="M489" s="751"/>
      <c r="N489" s="29"/>
      <c r="O489" s="29"/>
      <c r="P489" s="29"/>
      <c r="Q489" s="29"/>
      <c r="R489" s="29"/>
      <c r="S489" s="29"/>
      <c r="T489" s="29"/>
      <c r="U489" s="29"/>
      <c r="V489" s="29"/>
      <c r="W489" s="29"/>
    </row>
    <row r="490" spans="1:23" ht="20.100000000000001" customHeight="1">
      <c r="A490" s="701"/>
      <c r="B490" s="702"/>
      <c r="C490" s="708" t="s">
        <v>195</v>
      </c>
      <c r="D490" s="709"/>
      <c r="E490" s="710"/>
      <c r="F490" s="255">
        <v>30.21</v>
      </c>
      <c r="G490" s="217">
        <f t="shared" si="31"/>
        <v>30.21</v>
      </c>
      <c r="H490" s="218" t="s">
        <v>29</v>
      </c>
      <c r="I490" s="219">
        <f t="shared" ref="I490" si="41">IF(H490="IN",I489+G490,I489)</f>
        <v>14629.628999999992</v>
      </c>
      <c r="J490" s="217">
        <f t="shared" si="36"/>
        <v>6725.3710000000083</v>
      </c>
      <c r="K490" s="230">
        <f t="shared" si="35"/>
        <v>429.52832175935811</v>
      </c>
      <c r="L490" s="750"/>
      <c r="M490" s="751"/>
      <c r="N490" s="29"/>
      <c r="O490" s="29"/>
      <c r="P490" s="29"/>
      <c r="Q490" s="29"/>
      <c r="R490" s="29"/>
      <c r="S490" s="29"/>
      <c r="T490" s="29"/>
      <c r="U490" s="29"/>
      <c r="V490" s="29"/>
      <c r="W490" s="29"/>
    </row>
    <row r="491" spans="1:23" ht="20.100000000000001" customHeight="1" thickBot="1">
      <c r="A491" s="701"/>
      <c r="B491" s="702"/>
      <c r="C491" s="708" t="s">
        <v>195</v>
      </c>
      <c r="D491" s="709"/>
      <c r="E491" s="710"/>
      <c r="F491" s="257">
        <v>30.24</v>
      </c>
      <c r="G491" s="217">
        <f t="shared" si="31"/>
        <v>30.24</v>
      </c>
      <c r="H491" s="218" t="s">
        <v>29</v>
      </c>
      <c r="I491" s="219">
        <f>IF(H491="IN",I490+G491,I490)</f>
        <v>14659.868999999992</v>
      </c>
      <c r="J491" s="217">
        <f t="shared" si="36"/>
        <v>6695.1310000000085</v>
      </c>
      <c r="K491" s="230">
        <f t="shared" si="35"/>
        <v>430.24047491443832</v>
      </c>
      <c r="L491" s="750"/>
      <c r="M491" s="751"/>
      <c r="N491" s="29"/>
      <c r="O491" s="29"/>
      <c r="P491" s="29"/>
      <c r="Q491" s="29"/>
      <c r="R491" s="29"/>
      <c r="S491" s="29"/>
      <c r="T491" s="29"/>
      <c r="U491" s="29"/>
      <c r="V491" s="29"/>
      <c r="W491" s="29"/>
    </row>
    <row r="492" spans="1:23" ht="20.100000000000001" customHeight="1">
      <c r="A492" s="699" t="s">
        <v>288</v>
      </c>
      <c r="B492" s="700"/>
      <c r="C492" s="703" t="s">
        <v>195</v>
      </c>
      <c r="D492" s="704"/>
      <c r="E492" s="705"/>
      <c r="F492" s="235">
        <v>30.25</v>
      </c>
      <c r="G492" s="206">
        <f t="shared" si="31"/>
        <v>30.25</v>
      </c>
      <c r="H492" s="207" t="s">
        <v>29</v>
      </c>
      <c r="I492" s="208">
        <f>IF(H492="IN",I491+G492,I491)</f>
        <v>14690.118999999992</v>
      </c>
      <c r="J492" s="206">
        <f t="shared" si="36"/>
        <v>6664.8810000000085</v>
      </c>
      <c r="K492" s="229">
        <f t="shared" si="35"/>
        <v>430.9528635699005</v>
      </c>
      <c r="L492" s="750"/>
      <c r="M492" s="751"/>
      <c r="N492" s="29"/>
      <c r="O492" s="29"/>
      <c r="P492" s="29"/>
      <c r="Q492" s="29"/>
      <c r="R492" s="29"/>
      <c r="S492" s="29"/>
      <c r="T492" s="29"/>
      <c r="U492" s="29"/>
      <c r="V492" s="29"/>
      <c r="W492" s="29"/>
    </row>
    <row r="493" spans="1:23" ht="20.100000000000001" customHeight="1">
      <c r="A493" s="701"/>
      <c r="B493" s="702"/>
      <c r="C493" s="708" t="s">
        <v>195</v>
      </c>
      <c r="D493" s="709"/>
      <c r="E493" s="710"/>
      <c r="F493" s="255">
        <v>29.87</v>
      </c>
      <c r="G493" s="217">
        <f t="shared" si="31"/>
        <v>29.87</v>
      </c>
      <c r="H493" s="218" t="s">
        <v>29</v>
      </c>
      <c r="I493" s="219">
        <f t="shared" ref="I493" si="42">IF(H493="IN",I492+G493,I492)</f>
        <v>14719.988999999992</v>
      </c>
      <c r="J493" s="217">
        <f t="shared" si="36"/>
        <v>6635.0110000000077</v>
      </c>
      <c r="K493" s="230">
        <f t="shared" si="35"/>
        <v>431.6563032108478</v>
      </c>
      <c r="L493" s="750"/>
      <c r="M493" s="751"/>
      <c r="N493" s="29"/>
      <c r="O493" s="29"/>
      <c r="P493" s="29"/>
      <c r="Q493" s="29"/>
      <c r="R493" s="29"/>
      <c r="S493" s="29"/>
      <c r="T493" s="29"/>
      <c r="U493" s="29"/>
      <c r="V493" s="29"/>
      <c r="W493" s="29"/>
    </row>
    <row r="494" spans="1:23" ht="20.100000000000001" customHeight="1">
      <c r="A494" s="701"/>
      <c r="B494" s="702"/>
      <c r="C494" s="708" t="s">
        <v>195</v>
      </c>
      <c r="D494" s="709"/>
      <c r="E494" s="710"/>
      <c r="F494" s="257">
        <v>30.17</v>
      </c>
      <c r="G494" s="217">
        <f t="shared" si="31"/>
        <v>30.17</v>
      </c>
      <c r="H494" s="218" t="s">
        <v>29</v>
      </c>
      <c r="I494" s="219">
        <f>IF(H494="IN",I493+G494,I493)</f>
        <v>14750.158999999992</v>
      </c>
      <c r="J494" s="217">
        <f t="shared" si="36"/>
        <v>6604.8410000000076</v>
      </c>
      <c r="K494" s="230">
        <f t="shared" si="35"/>
        <v>432.36680786325428</v>
      </c>
      <c r="L494" s="750"/>
      <c r="M494" s="751"/>
      <c r="N494" s="29"/>
      <c r="O494" s="29"/>
      <c r="P494" s="29"/>
      <c r="Q494" s="29"/>
      <c r="R494" s="29"/>
      <c r="S494" s="29"/>
      <c r="T494" s="29"/>
      <c r="U494" s="29"/>
      <c r="V494" s="29"/>
      <c r="W494" s="29"/>
    </row>
    <row r="495" spans="1:23" ht="20.100000000000001" customHeight="1">
      <c r="A495" s="681" t="s">
        <v>156</v>
      </c>
      <c r="B495" s="682"/>
      <c r="C495" s="683" t="s">
        <v>64</v>
      </c>
      <c r="D495" s="683"/>
      <c r="E495" s="683"/>
      <c r="F495" s="220">
        <v>31.08</v>
      </c>
      <c r="G495" s="220">
        <f t="shared" si="31"/>
        <v>31.08</v>
      </c>
      <c r="H495" s="221" t="s">
        <v>29</v>
      </c>
      <c r="I495" s="222">
        <f>IF(H495="IN",I494+G495,I494)</f>
        <v>14781.238999999992</v>
      </c>
      <c r="J495" s="220">
        <f t="shared" si="36"/>
        <v>6573.7610000000077</v>
      </c>
      <c r="K495" s="231">
        <f t="shared" si="35"/>
        <v>433.09874305041996</v>
      </c>
      <c r="L495" s="760"/>
      <c r="M495" s="761"/>
      <c r="N495" s="29"/>
      <c r="O495" s="29"/>
      <c r="P495" s="29"/>
      <c r="Q495" s="29"/>
      <c r="R495" s="29"/>
      <c r="S495" s="29"/>
      <c r="T495" s="29"/>
      <c r="U495" s="29"/>
      <c r="V495" s="29"/>
      <c r="W495" s="29"/>
    </row>
    <row r="496" spans="1:23" ht="20.100000000000001" customHeight="1">
      <c r="A496" s="681"/>
      <c r="B496" s="682"/>
      <c r="C496" s="683" t="s">
        <v>64</v>
      </c>
      <c r="D496" s="683"/>
      <c r="E496" s="683"/>
      <c r="F496" s="220">
        <v>31.11</v>
      </c>
      <c r="G496" s="220">
        <f t="shared" si="31"/>
        <v>31.11</v>
      </c>
      <c r="H496" s="221" t="s">
        <v>29</v>
      </c>
      <c r="I496" s="222">
        <f t="shared" ref="I496:I559" si="43">IF(H496="IN",I495+G496,I495)</f>
        <v>14812.348999999993</v>
      </c>
      <c r="J496" s="220">
        <f t="shared" si="36"/>
        <v>6542.6510000000071</v>
      </c>
      <c r="K496" s="231">
        <f t="shared" si="35"/>
        <v>433.83138473873174</v>
      </c>
      <c r="L496" s="760"/>
      <c r="M496" s="761"/>
      <c r="N496" s="29"/>
      <c r="O496" s="29"/>
      <c r="P496" s="29"/>
      <c r="Q496" s="29"/>
      <c r="R496" s="29"/>
      <c r="S496" s="29"/>
      <c r="T496" s="29"/>
      <c r="U496" s="29"/>
      <c r="V496" s="29"/>
      <c r="W496" s="29"/>
    </row>
    <row r="497" spans="1:23" ht="20.100000000000001" customHeight="1">
      <c r="A497" s="681"/>
      <c r="B497" s="682"/>
      <c r="C497" s="683" t="s">
        <v>64</v>
      </c>
      <c r="D497" s="683"/>
      <c r="E497" s="683"/>
      <c r="F497" s="220">
        <v>30.86</v>
      </c>
      <c r="G497" s="220">
        <f t="shared" si="31"/>
        <v>30.86</v>
      </c>
      <c r="H497" s="221" t="s">
        <v>29</v>
      </c>
      <c r="I497" s="222">
        <f t="shared" si="43"/>
        <v>14843.208999999993</v>
      </c>
      <c r="J497" s="220">
        <f t="shared" si="36"/>
        <v>6511.7910000000065</v>
      </c>
      <c r="K497" s="231">
        <f t="shared" si="35"/>
        <v>434.55813891749415</v>
      </c>
      <c r="L497" s="760"/>
      <c r="M497" s="761"/>
      <c r="N497" s="29"/>
      <c r="O497" s="29"/>
      <c r="P497" s="29"/>
      <c r="Q497" s="29"/>
      <c r="R497" s="29"/>
      <c r="S497" s="29"/>
      <c r="T497" s="29"/>
      <c r="U497" s="29"/>
      <c r="V497" s="29"/>
      <c r="W497" s="29"/>
    </row>
    <row r="498" spans="1:23" ht="20.100000000000001" customHeight="1">
      <c r="A498" s="732" t="s">
        <v>157</v>
      </c>
      <c r="B498" s="733"/>
      <c r="C498" s="734" t="s">
        <v>64</v>
      </c>
      <c r="D498" s="734"/>
      <c r="E498" s="734"/>
      <c r="F498" s="223">
        <v>31.13</v>
      </c>
      <c r="G498" s="223">
        <f t="shared" si="31"/>
        <v>31.13</v>
      </c>
      <c r="H498" s="224" t="s">
        <v>29</v>
      </c>
      <c r="I498" s="225">
        <f t="shared" si="43"/>
        <v>14874.338999999993</v>
      </c>
      <c r="J498" s="223">
        <f t="shared" si="36"/>
        <v>6480.6610000000073</v>
      </c>
      <c r="K498" s="233">
        <f t="shared" si="35"/>
        <v>435.29125160656974</v>
      </c>
      <c r="L498" s="760"/>
      <c r="M498" s="761"/>
      <c r="N498" s="29"/>
      <c r="O498" s="29"/>
      <c r="P498" s="29"/>
      <c r="Q498" s="29"/>
      <c r="R498" s="29"/>
      <c r="S498" s="29"/>
      <c r="T498" s="29"/>
      <c r="U498" s="29"/>
      <c r="V498" s="29"/>
      <c r="W498" s="29"/>
    </row>
    <row r="499" spans="1:23" ht="20.100000000000001" customHeight="1">
      <c r="A499" s="732"/>
      <c r="B499" s="733"/>
      <c r="C499" s="734" t="s">
        <v>64</v>
      </c>
      <c r="D499" s="734"/>
      <c r="E499" s="734"/>
      <c r="F499" s="223">
        <v>31.01</v>
      </c>
      <c r="G499" s="223">
        <f t="shared" si="31"/>
        <v>31.01</v>
      </c>
      <c r="H499" s="224" t="s">
        <v>29</v>
      </c>
      <c r="I499" s="225">
        <f t="shared" si="43"/>
        <v>14905.348999999993</v>
      </c>
      <c r="J499" s="223">
        <f t="shared" si="36"/>
        <v>6449.6510000000071</v>
      </c>
      <c r="K499" s="233">
        <f t="shared" si="35"/>
        <v>436.02153829106174</v>
      </c>
      <c r="L499" s="760"/>
      <c r="M499" s="761"/>
      <c r="N499" s="29"/>
      <c r="O499" s="29"/>
      <c r="P499" s="29"/>
      <c r="Q499" s="29"/>
      <c r="R499" s="29"/>
      <c r="S499" s="29"/>
      <c r="T499" s="29"/>
      <c r="U499" s="29"/>
      <c r="V499" s="29"/>
      <c r="W499" s="29"/>
    </row>
    <row r="500" spans="1:23" ht="20.100000000000001" customHeight="1">
      <c r="A500" s="732"/>
      <c r="B500" s="733"/>
      <c r="C500" s="734" t="s">
        <v>64</v>
      </c>
      <c r="D500" s="734"/>
      <c r="E500" s="734"/>
      <c r="F500" s="223">
        <v>31.11</v>
      </c>
      <c r="G500" s="223">
        <f t="shared" si="31"/>
        <v>31.11</v>
      </c>
      <c r="H500" s="224" t="s">
        <v>29</v>
      </c>
      <c r="I500" s="225">
        <f t="shared" si="43"/>
        <v>14936.458999999993</v>
      </c>
      <c r="J500" s="223">
        <f t="shared" si="36"/>
        <v>6418.5410000000065</v>
      </c>
      <c r="K500" s="233">
        <f t="shared" si="35"/>
        <v>436.75417997937342</v>
      </c>
      <c r="L500" s="760"/>
      <c r="M500" s="761"/>
      <c r="N500" s="29"/>
      <c r="O500" s="29"/>
      <c r="P500" s="29"/>
      <c r="Q500" s="29"/>
      <c r="R500" s="29"/>
      <c r="S500" s="29"/>
      <c r="T500" s="29"/>
      <c r="U500" s="29"/>
      <c r="V500" s="29"/>
      <c r="W500" s="29"/>
    </row>
    <row r="501" spans="1:23" ht="20.100000000000001" customHeight="1">
      <c r="A501" s="681" t="s">
        <v>158</v>
      </c>
      <c r="B501" s="682"/>
      <c r="C501" s="683" t="s">
        <v>64</v>
      </c>
      <c r="D501" s="683"/>
      <c r="E501" s="683"/>
      <c r="F501" s="220">
        <v>31.17</v>
      </c>
      <c r="G501" s="220">
        <f t="shared" si="31"/>
        <v>31.17</v>
      </c>
      <c r="H501" s="221" t="s">
        <v>29</v>
      </c>
      <c r="I501" s="222">
        <f t="shared" si="43"/>
        <v>14967.628999999994</v>
      </c>
      <c r="J501" s="220">
        <f t="shared" si="36"/>
        <v>6387.3710000000065</v>
      </c>
      <c r="K501" s="231">
        <f t="shared" si="35"/>
        <v>437.48823466997692</v>
      </c>
      <c r="L501" s="760"/>
      <c r="M501" s="761"/>
      <c r="N501" s="29"/>
      <c r="O501" s="29"/>
      <c r="P501" s="29"/>
      <c r="Q501" s="29"/>
      <c r="R501" s="29"/>
      <c r="S501" s="29"/>
      <c r="T501" s="29"/>
      <c r="U501" s="29"/>
      <c r="V501" s="29"/>
      <c r="W501" s="29"/>
    </row>
    <row r="502" spans="1:23" ht="20.100000000000001" customHeight="1">
      <c r="A502" s="681"/>
      <c r="B502" s="682"/>
      <c r="C502" s="683" t="s">
        <v>64</v>
      </c>
      <c r="D502" s="683"/>
      <c r="E502" s="683"/>
      <c r="F502" s="220">
        <v>31.21</v>
      </c>
      <c r="G502" s="220">
        <f t="shared" si="31"/>
        <v>31.21</v>
      </c>
      <c r="H502" s="221" t="s">
        <v>29</v>
      </c>
      <c r="I502" s="222">
        <f t="shared" si="43"/>
        <v>14998.838999999993</v>
      </c>
      <c r="J502" s="220">
        <f t="shared" si="36"/>
        <v>6356.1610000000073</v>
      </c>
      <c r="K502" s="231">
        <f t="shared" si="35"/>
        <v>438.22323136210832</v>
      </c>
      <c r="L502" s="760"/>
      <c r="M502" s="761"/>
      <c r="N502" s="29"/>
      <c r="O502" s="29"/>
      <c r="P502" s="29"/>
      <c r="Q502" s="29"/>
      <c r="R502" s="29"/>
      <c r="S502" s="29"/>
      <c r="T502" s="29"/>
      <c r="U502" s="29"/>
      <c r="V502" s="29"/>
      <c r="W502" s="29"/>
    </row>
    <row r="503" spans="1:23" ht="20.100000000000001" customHeight="1">
      <c r="A503" s="681"/>
      <c r="B503" s="682"/>
      <c r="C503" s="683" t="s">
        <v>64</v>
      </c>
      <c r="D503" s="683"/>
      <c r="E503" s="683"/>
      <c r="F503" s="220">
        <v>30.61</v>
      </c>
      <c r="G503" s="220">
        <f t="shared" si="31"/>
        <v>30.61</v>
      </c>
      <c r="H503" s="221" t="s">
        <v>29</v>
      </c>
      <c r="I503" s="222">
        <f t="shared" si="43"/>
        <v>15029.448999999993</v>
      </c>
      <c r="J503" s="220">
        <f t="shared" si="36"/>
        <v>6325.5510000000068</v>
      </c>
      <c r="K503" s="231">
        <f t="shared" si="35"/>
        <v>438.94409803132146</v>
      </c>
      <c r="L503" s="760"/>
      <c r="M503" s="761"/>
      <c r="N503" s="29"/>
      <c r="O503" s="29"/>
      <c r="P503" s="29"/>
      <c r="Q503" s="29"/>
      <c r="R503" s="29"/>
      <c r="S503" s="29"/>
      <c r="T503" s="29"/>
      <c r="U503" s="29"/>
      <c r="V503" s="29"/>
      <c r="W503" s="29"/>
    </row>
    <row r="504" spans="1:23" ht="20.100000000000001" customHeight="1">
      <c r="A504" s="732" t="s">
        <v>159</v>
      </c>
      <c r="B504" s="733"/>
      <c r="C504" s="734" t="s">
        <v>64</v>
      </c>
      <c r="D504" s="734"/>
      <c r="E504" s="734"/>
      <c r="F504" s="223">
        <v>31.24</v>
      </c>
      <c r="G504" s="223">
        <f t="shared" si="31"/>
        <v>31.24</v>
      </c>
      <c r="H504" s="224" t="s">
        <v>29</v>
      </c>
      <c r="I504" s="225">
        <f t="shared" si="43"/>
        <v>15060.688999999993</v>
      </c>
      <c r="J504" s="223">
        <f t="shared" si="36"/>
        <v>6294.311000000007</v>
      </c>
      <c r="K504" s="233">
        <f t="shared" si="35"/>
        <v>439.6798012245988</v>
      </c>
      <c r="L504" s="760"/>
      <c r="M504" s="761"/>
      <c r="N504" s="29"/>
      <c r="O504" s="29"/>
      <c r="P504" s="29"/>
      <c r="Q504" s="29"/>
      <c r="R504" s="29"/>
      <c r="S504" s="29"/>
      <c r="T504" s="29"/>
      <c r="U504" s="29"/>
      <c r="V504" s="29"/>
      <c r="W504" s="29"/>
    </row>
    <row r="505" spans="1:23" ht="20.100000000000001" customHeight="1">
      <c r="A505" s="732"/>
      <c r="B505" s="733"/>
      <c r="C505" s="734" t="s">
        <v>64</v>
      </c>
      <c r="D505" s="734"/>
      <c r="E505" s="734"/>
      <c r="F505" s="223">
        <v>31.02</v>
      </c>
      <c r="G505" s="223">
        <f t="shared" si="31"/>
        <v>31.02</v>
      </c>
      <c r="H505" s="224" t="s">
        <v>29</v>
      </c>
      <c r="I505" s="225">
        <f t="shared" si="43"/>
        <v>15091.708999999993</v>
      </c>
      <c r="J505" s="223">
        <f t="shared" si="36"/>
        <v>6263.2910000000065</v>
      </c>
      <c r="K505" s="233">
        <f t="shared" si="35"/>
        <v>440.41032340947277</v>
      </c>
      <c r="L505" s="760"/>
      <c r="M505" s="761"/>
      <c r="N505" s="29"/>
      <c r="O505" s="29"/>
      <c r="P505" s="29"/>
      <c r="Q505" s="29"/>
      <c r="R505" s="29"/>
      <c r="S505" s="29"/>
      <c r="T505" s="29"/>
      <c r="U505" s="29"/>
      <c r="V505" s="29"/>
      <c r="W505" s="29"/>
    </row>
    <row r="506" spans="1:23" ht="20.100000000000001" customHeight="1">
      <c r="A506" s="732"/>
      <c r="B506" s="733"/>
      <c r="C506" s="734" t="s">
        <v>64</v>
      </c>
      <c r="D506" s="734"/>
      <c r="E506" s="734"/>
      <c r="F506" s="223">
        <v>31.01</v>
      </c>
      <c r="G506" s="223">
        <f t="shared" si="31"/>
        <v>31.01</v>
      </c>
      <c r="H506" s="224" t="s">
        <v>29</v>
      </c>
      <c r="I506" s="225">
        <f t="shared" si="43"/>
        <v>15122.718999999994</v>
      </c>
      <c r="J506" s="223">
        <f t="shared" si="36"/>
        <v>6232.2810000000063</v>
      </c>
      <c r="K506" s="233">
        <f t="shared" si="35"/>
        <v>441.14061009396471</v>
      </c>
      <c r="L506" s="760"/>
      <c r="M506" s="761"/>
      <c r="N506" s="29"/>
      <c r="O506" s="29"/>
      <c r="P506" s="29"/>
      <c r="Q506" s="29"/>
      <c r="R506" s="29"/>
      <c r="S506" s="29"/>
      <c r="T506" s="29"/>
      <c r="U506" s="29"/>
      <c r="V506" s="29"/>
      <c r="W506" s="29"/>
    </row>
    <row r="507" spans="1:23" ht="20.100000000000001" customHeight="1">
      <c r="A507" s="681" t="s">
        <v>160</v>
      </c>
      <c r="B507" s="682"/>
      <c r="C507" s="683" t="s">
        <v>64</v>
      </c>
      <c r="D507" s="683"/>
      <c r="E507" s="683"/>
      <c r="F507" s="220">
        <v>31.21</v>
      </c>
      <c r="G507" s="220">
        <f t="shared" si="31"/>
        <v>31.21</v>
      </c>
      <c r="H507" s="221" t="s">
        <v>29</v>
      </c>
      <c r="I507" s="222">
        <f t="shared" si="43"/>
        <v>15153.928999999993</v>
      </c>
      <c r="J507" s="220">
        <f t="shared" si="36"/>
        <v>6201.0710000000072</v>
      </c>
      <c r="K507" s="231">
        <f t="shared" si="35"/>
        <v>441.87560678609611</v>
      </c>
      <c r="L507" s="760"/>
      <c r="M507" s="761"/>
      <c r="N507" s="29"/>
      <c r="O507" s="29"/>
      <c r="P507" s="29"/>
      <c r="Q507" s="29"/>
      <c r="R507" s="29"/>
      <c r="S507" s="29"/>
      <c r="T507" s="29"/>
      <c r="U507" s="29"/>
      <c r="V507" s="29"/>
      <c r="W507" s="29"/>
    </row>
    <row r="508" spans="1:23" ht="20.100000000000001" customHeight="1">
      <c r="A508" s="681"/>
      <c r="B508" s="682"/>
      <c r="C508" s="683" t="s">
        <v>64</v>
      </c>
      <c r="D508" s="683"/>
      <c r="E508" s="683"/>
      <c r="F508" s="220">
        <v>31.23</v>
      </c>
      <c r="G508" s="220">
        <f t="shared" si="31"/>
        <v>31.23</v>
      </c>
      <c r="H508" s="221" t="s">
        <v>29</v>
      </c>
      <c r="I508" s="222">
        <f t="shared" si="43"/>
        <v>15185.158999999992</v>
      </c>
      <c r="J508" s="220">
        <f t="shared" si="36"/>
        <v>6169.8410000000076</v>
      </c>
      <c r="K508" s="231">
        <f t="shared" si="35"/>
        <v>442.61107447899144</v>
      </c>
      <c r="L508" s="760"/>
      <c r="M508" s="761"/>
      <c r="N508" s="29"/>
      <c r="O508" s="29"/>
      <c r="P508" s="29"/>
      <c r="Q508" s="29"/>
      <c r="R508" s="29"/>
      <c r="S508" s="29"/>
      <c r="T508" s="29"/>
      <c r="U508" s="29"/>
      <c r="V508" s="29"/>
      <c r="W508" s="29"/>
    </row>
    <row r="509" spans="1:23" ht="20.100000000000001" customHeight="1">
      <c r="A509" s="681"/>
      <c r="B509" s="682"/>
      <c r="C509" s="683" t="s">
        <v>64</v>
      </c>
      <c r="D509" s="683"/>
      <c r="E509" s="683"/>
      <c r="F509" s="220">
        <v>31.17</v>
      </c>
      <c r="G509" s="220">
        <f t="shared" si="31"/>
        <v>31.17</v>
      </c>
      <c r="H509" s="221" t="s">
        <v>29</v>
      </c>
      <c r="I509" s="222">
        <f t="shared" si="43"/>
        <v>15216.328999999992</v>
      </c>
      <c r="J509" s="220">
        <f t="shared" si="36"/>
        <v>6138.6710000000076</v>
      </c>
      <c r="K509" s="231">
        <f t="shared" si="35"/>
        <v>443.34512916959494</v>
      </c>
      <c r="L509" s="760"/>
      <c r="M509" s="761"/>
      <c r="N509" s="29"/>
      <c r="O509" s="29"/>
      <c r="P509" s="29"/>
      <c r="Q509" s="29"/>
      <c r="R509" s="29"/>
      <c r="S509" s="29"/>
      <c r="T509" s="29"/>
      <c r="U509" s="29"/>
      <c r="V509" s="29"/>
      <c r="W509" s="29"/>
    </row>
    <row r="510" spans="1:23" ht="20.100000000000001" customHeight="1">
      <c r="A510" s="732" t="s">
        <v>161</v>
      </c>
      <c r="B510" s="733"/>
      <c r="C510" s="734" t="s">
        <v>64</v>
      </c>
      <c r="D510" s="734"/>
      <c r="E510" s="734"/>
      <c r="F510" s="223">
        <v>31.28</v>
      </c>
      <c r="G510" s="223">
        <f t="shared" si="31"/>
        <v>31.28</v>
      </c>
      <c r="H510" s="224" t="s">
        <v>29</v>
      </c>
      <c r="I510" s="225">
        <f t="shared" si="43"/>
        <v>15247.608999999993</v>
      </c>
      <c r="J510" s="223">
        <f t="shared" si="36"/>
        <v>6107.3910000000069</v>
      </c>
      <c r="K510" s="233">
        <f t="shared" si="35"/>
        <v>444.08177436440013</v>
      </c>
      <c r="L510" s="760"/>
      <c r="M510" s="761"/>
      <c r="N510" s="29"/>
      <c r="O510" s="29"/>
      <c r="P510" s="29"/>
      <c r="Q510" s="29"/>
      <c r="R510" s="29"/>
      <c r="S510" s="29"/>
      <c r="T510" s="29"/>
      <c r="U510" s="29"/>
      <c r="V510" s="29"/>
      <c r="W510" s="29"/>
    </row>
    <row r="511" spans="1:23" ht="20.100000000000001" customHeight="1">
      <c r="A511" s="732"/>
      <c r="B511" s="733"/>
      <c r="C511" s="734" t="s">
        <v>64</v>
      </c>
      <c r="D511" s="734"/>
      <c r="E511" s="734"/>
      <c r="F511" s="223">
        <v>31.09</v>
      </c>
      <c r="G511" s="223">
        <f t="shared" si="31"/>
        <v>31.09</v>
      </c>
      <c r="H511" s="224" t="s">
        <v>29</v>
      </c>
      <c r="I511" s="225">
        <f t="shared" si="43"/>
        <v>15278.698999999993</v>
      </c>
      <c r="J511" s="223">
        <f t="shared" si="36"/>
        <v>6076.3010000000068</v>
      </c>
      <c r="K511" s="233">
        <f t="shared" si="35"/>
        <v>444.81394505194794</v>
      </c>
      <c r="L511" s="760"/>
      <c r="M511" s="761"/>
      <c r="N511" s="29"/>
      <c r="O511" s="29"/>
      <c r="P511" s="29"/>
      <c r="Q511" s="29"/>
      <c r="R511" s="29"/>
      <c r="S511" s="29"/>
      <c r="T511" s="29"/>
      <c r="U511" s="29"/>
      <c r="V511" s="29"/>
      <c r="W511" s="29"/>
    </row>
    <row r="512" spans="1:23" ht="20.100000000000001" customHeight="1">
      <c r="A512" s="732"/>
      <c r="B512" s="733"/>
      <c r="C512" s="734" t="s">
        <v>64</v>
      </c>
      <c r="D512" s="734"/>
      <c r="E512" s="734"/>
      <c r="F512" s="223">
        <v>31.03</v>
      </c>
      <c r="G512" s="223">
        <f t="shared" si="31"/>
        <v>31.03</v>
      </c>
      <c r="H512" s="224" t="s">
        <v>29</v>
      </c>
      <c r="I512" s="225">
        <f t="shared" si="43"/>
        <v>15309.728999999994</v>
      </c>
      <c r="J512" s="223">
        <f t="shared" si="36"/>
        <v>6045.2710000000061</v>
      </c>
      <c r="K512" s="233">
        <f t="shared" si="35"/>
        <v>445.54470273720386</v>
      </c>
      <c r="L512" s="760"/>
      <c r="M512" s="761"/>
      <c r="N512" s="29"/>
      <c r="O512" s="29"/>
      <c r="P512" s="29"/>
      <c r="Q512" s="29"/>
      <c r="R512" s="29"/>
      <c r="S512" s="29"/>
      <c r="T512" s="29"/>
      <c r="U512" s="29"/>
      <c r="V512" s="29"/>
      <c r="W512" s="29"/>
    </row>
    <row r="513" spans="1:23" ht="20.100000000000001" customHeight="1">
      <c r="A513" s="681" t="s">
        <v>162</v>
      </c>
      <c r="B513" s="682"/>
      <c r="C513" s="683" t="s">
        <v>64</v>
      </c>
      <c r="D513" s="683"/>
      <c r="E513" s="683"/>
      <c r="F513" s="220">
        <v>31.16</v>
      </c>
      <c r="G513" s="220">
        <f t="shared" si="31"/>
        <v>31.16</v>
      </c>
      <c r="H513" s="221" t="s">
        <v>29</v>
      </c>
      <c r="I513" s="222">
        <f t="shared" si="43"/>
        <v>15340.888999999994</v>
      </c>
      <c r="J513" s="220">
        <f t="shared" si="36"/>
        <v>6014.1110000000062</v>
      </c>
      <c r="K513" s="231">
        <f t="shared" si="35"/>
        <v>446.2785219274254</v>
      </c>
      <c r="L513" s="760"/>
      <c r="M513" s="761"/>
      <c r="N513" s="29"/>
      <c r="O513" s="29"/>
      <c r="P513" s="29"/>
      <c r="Q513" s="29"/>
      <c r="R513" s="29"/>
      <c r="S513" s="29"/>
      <c r="T513" s="29"/>
      <c r="U513" s="29"/>
      <c r="V513" s="29"/>
      <c r="W513" s="29"/>
    </row>
    <row r="514" spans="1:23" ht="20.100000000000001" customHeight="1">
      <c r="A514" s="681"/>
      <c r="B514" s="682"/>
      <c r="C514" s="683" t="s">
        <v>64</v>
      </c>
      <c r="D514" s="683"/>
      <c r="E514" s="683"/>
      <c r="F514" s="220">
        <v>31.28</v>
      </c>
      <c r="G514" s="220">
        <f t="shared" si="31"/>
        <v>31.28</v>
      </c>
      <c r="H514" s="221" t="s">
        <v>29</v>
      </c>
      <c r="I514" s="222">
        <f t="shared" si="43"/>
        <v>15372.168999999994</v>
      </c>
      <c r="J514" s="220">
        <f t="shared" si="36"/>
        <v>5982.8310000000056</v>
      </c>
      <c r="K514" s="231">
        <f t="shared" si="35"/>
        <v>447.01516712223059</v>
      </c>
      <c r="L514" s="760"/>
      <c r="M514" s="761"/>
      <c r="N514" s="29"/>
      <c r="O514" s="29"/>
      <c r="P514" s="29"/>
      <c r="Q514" s="29"/>
      <c r="R514" s="29"/>
      <c r="S514" s="29"/>
      <c r="T514" s="29"/>
      <c r="U514" s="29"/>
      <c r="V514" s="29"/>
      <c r="W514" s="29"/>
    </row>
    <row r="515" spans="1:23" ht="20.100000000000001" customHeight="1">
      <c r="A515" s="681"/>
      <c r="B515" s="682"/>
      <c r="C515" s="683" t="s">
        <v>64</v>
      </c>
      <c r="D515" s="683"/>
      <c r="E515" s="683"/>
      <c r="F515" s="220">
        <v>30.92</v>
      </c>
      <c r="G515" s="220">
        <f t="shared" si="31"/>
        <v>30.92</v>
      </c>
      <c r="H515" s="221" t="s">
        <v>29</v>
      </c>
      <c r="I515" s="222">
        <f t="shared" si="43"/>
        <v>15403.088999999994</v>
      </c>
      <c r="J515" s="220">
        <f t="shared" si="36"/>
        <v>5951.9110000000055</v>
      </c>
      <c r="K515" s="231">
        <f t="shared" si="35"/>
        <v>447.74333430328483</v>
      </c>
      <c r="L515" s="760"/>
      <c r="M515" s="761"/>
      <c r="N515" s="29"/>
      <c r="O515" s="29"/>
      <c r="P515" s="29"/>
      <c r="Q515" s="29"/>
      <c r="R515" s="29"/>
      <c r="S515" s="29"/>
      <c r="T515" s="29"/>
      <c r="U515" s="29"/>
      <c r="V515" s="29"/>
      <c r="W515" s="29"/>
    </row>
    <row r="516" spans="1:23" ht="20.100000000000001" customHeight="1">
      <c r="A516" s="732" t="s">
        <v>163</v>
      </c>
      <c r="B516" s="733"/>
      <c r="C516" s="734" t="s">
        <v>64</v>
      </c>
      <c r="D516" s="734"/>
      <c r="E516" s="734"/>
      <c r="F516" s="223">
        <v>31.18</v>
      </c>
      <c r="G516" s="223">
        <f t="shared" si="31"/>
        <v>31.18</v>
      </c>
      <c r="H516" s="224" t="s">
        <v>29</v>
      </c>
      <c r="I516" s="225">
        <f t="shared" si="43"/>
        <v>15434.268999999995</v>
      </c>
      <c r="J516" s="223">
        <f t="shared" si="36"/>
        <v>5920.7310000000052</v>
      </c>
      <c r="K516" s="233">
        <f t="shared" si="35"/>
        <v>448.47762449427034</v>
      </c>
      <c r="L516" s="760"/>
      <c r="M516" s="761"/>
      <c r="N516" s="29"/>
      <c r="O516" s="29"/>
      <c r="P516" s="29"/>
      <c r="Q516" s="29"/>
      <c r="R516" s="29"/>
      <c r="S516" s="29"/>
      <c r="T516" s="29"/>
      <c r="U516" s="29"/>
      <c r="V516" s="29"/>
      <c r="W516" s="29"/>
    </row>
    <row r="517" spans="1:23" ht="20.100000000000001" customHeight="1">
      <c r="A517" s="732"/>
      <c r="B517" s="733"/>
      <c r="C517" s="734" t="s">
        <v>64</v>
      </c>
      <c r="D517" s="734"/>
      <c r="E517" s="734"/>
      <c r="F517" s="223">
        <v>31.28</v>
      </c>
      <c r="G517" s="223">
        <f t="shared" si="31"/>
        <v>31.28</v>
      </c>
      <c r="H517" s="224" t="s">
        <v>29</v>
      </c>
      <c r="I517" s="225">
        <f t="shared" si="43"/>
        <v>15465.548999999995</v>
      </c>
      <c r="J517" s="223">
        <f t="shared" si="36"/>
        <v>5889.4510000000046</v>
      </c>
      <c r="K517" s="233">
        <f t="shared" si="35"/>
        <v>449.21426968907554</v>
      </c>
      <c r="L517" s="760"/>
      <c r="M517" s="761"/>
      <c r="N517" s="29"/>
      <c r="O517" s="29"/>
      <c r="P517" s="29"/>
      <c r="Q517" s="29"/>
      <c r="R517" s="29"/>
      <c r="S517" s="29"/>
      <c r="T517" s="29"/>
      <c r="U517" s="29"/>
      <c r="V517" s="29"/>
      <c r="W517" s="29"/>
    </row>
    <row r="518" spans="1:23" ht="20.100000000000001" customHeight="1">
      <c r="A518" s="732"/>
      <c r="B518" s="733"/>
      <c r="C518" s="734" t="s">
        <v>64</v>
      </c>
      <c r="D518" s="734"/>
      <c r="E518" s="734"/>
      <c r="F518" s="223">
        <v>31.02</v>
      </c>
      <c r="G518" s="223">
        <f t="shared" si="31"/>
        <v>31.02</v>
      </c>
      <c r="H518" s="224" t="s">
        <v>29</v>
      </c>
      <c r="I518" s="225">
        <f t="shared" si="43"/>
        <v>15496.568999999996</v>
      </c>
      <c r="J518" s="223">
        <f t="shared" si="36"/>
        <v>5858.4310000000041</v>
      </c>
      <c r="K518" s="233">
        <f t="shared" si="35"/>
        <v>449.9447918739495</v>
      </c>
      <c r="L518" s="760"/>
      <c r="M518" s="761"/>
      <c r="N518" s="29"/>
      <c r="O518" s="29"/>
      <c r="P518" s="29"/>
      <c r="Q518" s="29"/>
      <c r="R518" s="29"/>
      <c r="S518" s="29"/>
      <c r="T518" s="29"/>
      <c r="U518" s="29"/>
      <c r="V518" s="29"/>
      <c r="W518" s="29"/>
    </row>
    <row r="519" spans="1:23" ht="20.100000000000001" customHeight="1">
      <c r="A519" s="681" t="s">
        <v>164</v>
      </c>
      <c r="B519" s="682"/>
      <c r="C519" s="683" t="s">
        <v>64</v>
      </c>
      <c r="D519" s="683"/>
      <c r="E519" s="683"/>
      <c r="F519" s="220">
        <v>30.9</v>
      </c>
      <c r="G519" s="220">
        <f t="shared" si="31"/>
        <v>30.9</v>
      </c>
      <c r="H519" s="221" t="s">
        <v>29</v>
      </c>
      <c r="I519" s="222">
        <f t="shared" si="43"/>
        <v>15527.468999999996</v>
      </c>
      <c r="J519" s="220">
        <f t="shared" si="36"/>
        <v>5827.5310000000045</v>
      </c>
      <c r="K519" s="231">
        <f t="shared" si="35"/>
        <v>450.67248805423975</v>
      </c>
      <c r="L519" s="760"/>
      <c r="M519" s="761"/>
      <c r="N519" s="29"/>
      <c r="O519" s="29"/>
      <c r="P519" s="29"/>
      <c r="Q519" s="29"/>
      <c r="R519" s="29"/>
      <c r="S519" s="29"/>
      <c r="T519" s="29"/>
      <c r="U519" s="29"/>
      <c r="V519" s="29"/>
      <c r="W519" s="29"/>
    </row>
    <row r="520" spans="1:23" ht="20.100000000000001" customHeight="1">
      <c r="A520" s="681"/>
      <c r="B520" s="682"/>
      <c r="C520" s="683" t="s">
        <v>64</v>
      </c>
      <c r="D520" s="683"/>
      <c r="E520" s="683"/>
      <c r="F520" s="220">
        <v>30.96</v>
      </c>
      <c r="G520" s="220">
        <f t="shared" si="31"/>
        <v>30.96</v>
      </c>
      <c r="H520" s="221" t="s">
        <v>29</v>
      </c>
      <c r="I520" s="222">
        <f t="shared" si="43"/>
        <v>15558.428999999995</v>
      </c>
      <c r="J520" s="220">
        <f t="shared" si="36"/>
        <v>5796.5710000000054</v>
      </c>
      <c r="K520" s="231">
        <f t="shared" si="35"/>
        <v>451.40159723682189</v>
      </c>
      <c r="L520" s="760"/>
      <c r="M520" s="761"/>
      <c r="N520" s="29"/>
      <c r="O520" s="29"/>
      <c r="P520" s="29"/>
      <c r="Q520" s="29"/>
      <c r="R520" s="29"/>
      <c r="S520" s="29"/>
      <c r="T520" s="29"/>
      <c r="U520" s="29"/>
      <c r="V520" s="29"/>
      <c r="W520" s="29"/>
    </row>
    <row r="521" spans="1:23" ht="20.100000000000001" customHeight="1">
      <c r="A521" s="681"/>
      <c r="B521" s="682"/>
      <c r="C521" s="683" t="s">
        <v>64</v>
      </c>
      <c r="D521" s="683"/>
      <c r="E521" s="683"/>
      <c r="F521" s="220">
        <v>31</v>
      </c>
      <c r="G521" s="220">
        <f t="shared" si="31"/>
        <v>31</v>
      </c>
      <c r="H521" s="221" t="s">
        <v>29</v>
      </c>
      <c r="I521" s="222">
        <f t="shared" si="43"/>
        <v>15589.428999999995</v>
      </c>
      <c r="J521" s="220">
        <f t="shared" si="36"/>
        <v>5765.5710000000054</v>
      </c>
      <c r="K521" s="231">
        <f t="shared" si="35"/>
        <v>452.13164842093187</v>
      </c>
      <c r="L521" s="760"/>
      <c r="M521" s="761"/>
      <c r="N521" s="29"/>
      <c r="O521" s="29"/>
      <c r="P521" s="29"/>
      <c r="Q521" s="29"/>
      <c r="R521" s="29"/>
      <c r="S521" s="29"/>
      <c r="T521" s="29"/>
      <c r="U521" s="29"/>
      <c r="V521" s="29"/>
      <c r="W521" s="29"/>
    </row>
    <row r="522" spans="1:23" ht="20.100000000000001" customHeight="1">
      <c r="A522" s="732" t="s">
        <v>165</v>
      </c>
      <c r="B522" s="733"/>
      <c r="C522" s="734" t="s">
        <v>64</v>
      </c>
      <c r="D522" s="734"/>
      <c r="E522" s="734"/>
      <c r="F522" s="223">
        <v>31.33</v>
      </c>
      <c r="G522" s="223">
        <f t="shared" si="31"/>
        <v>31.33</v>
      </c>
      <c r="H522" s="224" t="s">
        <v>29</v>
      </c>
      <c r="I522" s="225">
        <f t="shared" si="43"/>
        <v>15620.758999999995</v>
      </c>
      <c r="J522" s="223">
        <f t="shared" si="36"/>
        <v>5734.2410000000054</v>
      </c>
      <c r="K522" s="233">
        <f t="shared" si="35"/>
        <v>452.86947111764698</v>
      </c>
      <c r="L522" s="760"/>
      <c r="M522" s="761"/>
      <c r="N522" s="29"/>
      <c r="O522" s="29"/>
      <c r="P522" s="29"/>
      <c r="Q522" s="29"/>
      <c r="R522" s="29"/>
      <c r="S522" s="29"/>
      <c r="T522" s="29"/>
      <c r="U522" s="29"/>
      <c r="V522" s="29"/>
      <c r="W522" s="29"/>
    </row>
    <row r="523" spans="1:23" ht="20.100000000000001" customHeight="1">
      <c r="A523" s="732"/>
      <c r="B523" s="733"/>
      <c r="C523" s="734" t="s">
        <v>64</v>
      </c>
      <c r="D523" s="734"/>
      <c r="E523" s="734"/>
      <c r="F523" s="223">
        <v>30.9</v>
      </c>
      <c r="G523" s="223">
        <f t="shared" si="31"/>
        <v>30.9</v>
      </c>
      <c r="H523" s="224" t="s">
        <v>29</v>
      </c>
      <c r="I523" s="225">
        <f t="shared" si="43"/>
        <v>15651.658999999994</v>
      </c>
      <c r="J523" s="223">
        <f t="shared" si="36"/>
        <v>5703.3410000000058</v>
      </c>
      <c r="K523" s="233">
        <f t="shared" si="35"/>
        <v>453.59716729793729</v>
      </c>
      <c r="L523" s="760"/>
      <c r="M523" s="761"/>
      <c r="N523" s="29"/>
      <c r="O523" s="29"/>
      <c r="P523" s="29"/>
      <c r="Q523" s="29"/>
      <c r="R523" s="29"/>
      <c r="S523" s="29"/>
      <c r="T523" s="29"/>
      <c r="U523" s="29"/>
      <c r="V523" s="29"/>
      <c r="W523" s="29"/>
    </row>
    <row r="524" spans="1:23" ht="20.100000000000001" customHeight="1">
      <c r="A524" s="732"/>
      <c r="B524" s="733"/>
      <c r="C524" s="734" t="s">
        <v>64</v>
      </c>
      <c r="D524" s="734"/>
      <c r="E524" s="734"/>
      <c r="F524" s="223">
        <v>30.95</v>
      </c>
      <c r="G524" s="223">
        <f t="shared" si="31"/>
        <v>30.95</v>
      </c>
      <c r="H524" s="224" t="s">
        <v>29</v>
      </c>
      <c r="I524" s="225">
        <f t="shared" si="43"/>
        <v>15682.608999999995</v>
      </c>
      <c r="J524" s="223">
        <f t="shared" si="36"/>
        <v>5672.3910000000051</v>
      </c>
      <c r="K524" s="233">
        <f t="shared" si="35"/>
        <v>454.32604098013741</v>
      </c>
      <c r="L524" s="760"/>
      <c r="M524" s="761"/>
      <c r="N524" s="29"/>
      <c r="O524" s="29"/>
      <c r="P524" s="29"/>
      <c r="Q524" s="29"/>
      <c r="R524" s="29"/>
      <c r="S524" s="29"/>
      <c r="T524" s="29"/>
      <c r="U524" s="29"/>
      <c r="V524" s="29"/>
      <c r="W524" s="29"/>
    </row>
    <row r="525" spans="1:23" ht="20.100000000000001" customHeight="1">
      <c r="A525" s="681" t="s">
        <v>166</v>
      </c>
      <c r="B525" s="682"/>
      <c r="C525" s="683" t="s">
        <v>64</v>
      </c>
      <c r="D525" s="683"/>
      <c r="E525" s="683"/>
      <c r="F525" s="220">
        <v>31.22</v>
      </c>
      <c r="G525" s="220">
        <f t="shared" si="31"/>
        <v>31.22</v>
      </c>
      <c r="H525" s="221" t="s">
        <v>29</v>
      </c>
      <c r="I525" s="222">
        <f t="shared" si="43"/>
        <v>15713.828999999994</v>
      </c>
      <c r="J525" s="220">
        <f t="shared" si="36"/>
        <v>5641.1710000000057</v>
      </c>
      <c r="K525" s="231">
        <f t="shared" si="35"/>
        <v>455.06127317265077</v>
      </c>
      <c r="L525" s="760"/>
      <c r="M525" s="761"/>
      <c r="N525" s="29"/>
      <c r="O525" s="29"/>
      <c r="P525" s="29"/>
      <c r="Q525" s="29"/>
      <c r="R525" s="29"/>
      <c r="S525" s="29"/>
      <c r="T525" s="29"/>
      <c r="U525" s="29"/>
      <c r="V525" s="29"/>
      <c r="W525" s="29"/>
    </row>
    <row r="526" spans="1:23" ht="20.100000000000001" customHeight="1">
      <c r="A526" s="681"/>
      <c r="B526" s="682"/>
      <c r="C526" s="683" t="s">
        <v>64</v>
      </c>
      <c r="D526" s="683"/>
      <c r="E526" s="683"/>
      <c r="F526" s="220">
        <v>31.13</v>
      </c>
      <c r="G526" s="220">
        <f t="shared" si="31"/>
        <v>31.13</v>
      </c>
      <c r="H526" s="221" t="s">
        <v>29</v>
      </c>
      <c r="I526" s="222">
        <f t="shared" si="43"/>
        <v>15744.958999999993</v>
      </c>
      <c r="J526" s="220">
        <f t="shared" si="36"/>
        <v>5610.0410000000065</v>
      </c>
      <c r="K526" s="231">
        <f t="shared" si="35"/>
        <v>455.79438586172637</v>
      </c>
      <c r="L526" s="760"/>
      <c r="M526" s="761"/>
      <c r="N526" s="29"/>
      <c r="O526" s="29"/>
      <c r="P526" s="29"/>
      <c r="Q526" s="29"/>
      <c r="R526" s="29"/>
      <c r="S526" s="29"/>
      <c r="T526" s="29"/>
      <c r="U526" s="29"/>
      <c r="V526" s="29"/>
      <c r="W526" s="29"/>
    </row>
    <row r="527" spans="1:23" ht="20.100000000000001" customHeight="1">
      <c r="A527" s="681"/>
      <c r="B527" s="682"/>
      <c r="C527" s="683" t="s">
        <v>64</v>
      </c>
      <c r="D527" s="683"/>
      <c r="E527" s="683"/>
      <c r="F527" s="220">
        <v>31.01</v>
      </c>
      <c r="G527" s="220">
        <f t="shared" si="31"/>
        <v>31.01</v>
      </c>
      <c r="H527" s="221" t="s">
        <v>29</v>
      </c>
      <c r="I527" s="222">
        <f t="shared" si="43"/>
        <v>15775.968999999994</v>
      </c>
      <c r="J527" s="220">
        <f t="shared" si="36"/>
        <v>5579.0310000000063</v>
      </c>
      <c r="K527" s="231">
        <f t="shared" si="35"/>
        <v>456.52467254621831</v>
      </c>
      <c r="L527" s="760"/>
      <c r="M527" s="761"/>
      <c r="N527" s="29"/>
      <c r="O527" s="29"/>
      <c r="P527" s="29"/>
      <c r="Q527" s="29"/>
      <c r="R527" s="29"/>
      <c r="S527" s="29"/>
      <c r="T527" s="29"/>
      <c r="U527" s="29"/>
      <c r="V527" s="29"/>
      <c r="W527" s="29"/>
    </row>
    <row r="528" spans="1:23" ht="20.100000000000001" customHeight="1">
      <c r="A528" s="732" t="s">
        <v>167</v>
      </c>
      <c r="B528" s="733"/>
      <c r="C528" s="734" t="s">
        <v>64</v>
      </c>
      <c r="D528" s="734"/>
      <c r="E528" s="734"/>
      <c r="F528" s="223">
        <v>31.18</v>
      </c>
      <c r="G528" s="223">
        <f t="shared" si="31"/>
        <v>31.18</v>
      </c>
      <c r="H528" s="224" t="s">
        <v>29</v>
      </c>
      <c r="I528" s="225">
        <f t="shared" si="43"/>
        <v>15807.148999999994</v>
      </c>
      <c r="J528" s="223">
        <f t="shared" si="36"/>
        <v>5547.851000000006</v>
      </c>
      <c r="K528" s="233">
        <f t="shared" si="35"/>
        <v>457.25896273720389</v>
      </c>
      <c r="L528" s="760"/>
      <c r="M528" s="761"/>
      <c r="N528" s="29"/>
      <c r="O528" s="29"/>
      <c r="P528" s="29"/>
      <c r="Q528" s="29"/>
      <c r="R528" s="29"/>
      <c r="S528" s="29"/>
      <c r="T528" s="29"/>
      <c r="U528" s="29"/>
      <c r="V528" s="29"/>
      <c r="W528" s="29"/>
    </row>
    <row r="529" spans="1:23" ht="20.100000000000001" customHeight="1">
      <c r="A529" s="732"/>
      <c r="B529" s="733"/>
      <c r="C529" s="734" t="s">
        <v>64</v>
      </c>
      <c r="D529" s="734"/>
      <c r="E529" s="734"/>
      <c r="F529" s="223">
        <v>31.09</v>
      </c>
      <c r="G529" s="223">
        <f t="shared" si="31"/>
        <v>31.09</v>
      </c>
      <c r="H529" s="224" t="s">
        <v>29</v>
      </c>
      <c r="I529" s="225">
        <f t="shared" si="43"/>
        <v>15838.238999999994</v>
      </c>
      <c r="J529" s="223">
        <f t="shared" si="36"/>
        <v>5516.7610000000059</v>
      </c>
      <c r="K529" s="233">
        <f t="shared" si="35"/>
        <v>457.99113342475158</v>
      </c>
      <c r="L529" s="760"/>
      <c r="M529" s="761"/>
      <c r="N529" s="29"/>
      <c r="O529" s="29"/>
      <c r="P529" s="29"/>
      <c r="Q529" s="29"/>
      <c r="R529" s="29"/>
      <c r="S529" s="29"/>
      <c r="T529" s="29"/>
      <c r="U529" s="29"/>
      <c r="V529" s="29"/>
      <c r="W529" s="29"/>
    </row>
    <row r="530" spans="1:23" ht="20.100000000000001" customHeight="1">
      <c r="A530" s="732"/>
      <c r="B530" s="733"/>
      <c r="C530" s="734" t="s">
        <v>64</v>
      </c>
      <c r="D530" s="734"/>
      <c r="E530" s="734"/>
      <c r="F530" s="223">
        <v>31</v>
      </c>
      <c r="G530" s="223">
        <f t="shared" si="31"/>
        <v>31</v>
      </c>
      <c r="H530" s="224" t="s">
        <v>29</v>
      </c>
      <c r="I530" s="225">
        <f t="shared" si="43"/>
        <v>15869.238999999994</v>
      </c>
      <c r="J530" s="223">
        <f t="shared" si="36"/>
        <v>5485.7610000000059</v>
      </c>
      <c r="K530" s="233">
        <f t="shared" si="35"/>
        <v>458.72118460886156</v>
      </c>
      <c r="L530" s="760"/>
      <c r="M530" s="761"/>
      <c r="N530" s="29"/>
      <c r="O530" s="29"/>
      <c r="P530" s="29"/>
      <c r="Q530" s="29"/>
      <c r="R530" s="29"/>
      <c r="S530" s="29"/>
      <c r="T530" s="29"/>
      <c r="U530" s="29"/>
      <c r="V530" s="29"/>
      <c r="W530" s="29"/>
    </row>
    <row r="531" spans="1:23" ht="20.100000000000001" customHeight="1">
      <c r="A531" s="681" t="s">
        <v>168</v>
      </c>
      <c r="B531" s="682"/>
      <c r="C531" s="683" t="s">
        <v>64</v>
      </c>
      <c r="D531" s="683"/>
      <c r="E531" s="683"/>
      <c r="F531" s="220">
        <v>31.88</v>
      </c>
      <c r="G531" s="220">
        <f t="shared" si="31"/>
        <v>31.88</v>
      </c>
      <c r="H531" s="221" t="s">
        <v>29</v>
      </c>
      <c r="I531" s="222">
        <f t="shared" si="43"/>
        <v>15901.118999999993</v>
      </c>
      <c r="J531" s="220">
        <f t="shared" si="36"/>
        <v>5453.8810000000067</v>
      </c>
      <c r="K531" s="231">
        <f t="shared" si="35"/>
        <v>459.47195982658508</v>
      </c>
      <c r="L531" s="760"/>
      <c r="M531" s="761"/>
      <c r="N531" s="29"/>
      <c r="O531" s="29"/>
      <c r="P531" s="29"/>
      <c r="Q531" s="29"/>
      <c r="R531" s="29"/>
      <c r="S531" s="29"/>
      <c r="T531" s="29"/>
      <c r="U531" s="29"/>
      <c r="V531" s="29"/>
      <c r="W531" s="29"/>
    </row>
    <row r="532" spans="1:23" ht="20.100000000000001" customHeight="1">
      <c r="A532" s="681"/>
      <c r="B532" s="682"/>
      <c r="C532" s="683" t="s">
        <v>64</v>
      </c>
      <c r="D532" s="683"/>
      <c r="E532" s="683"/>
      <c r="F532" s="220">
        <v>31.04</v>
      </c>
      <c r="G532" s="220">
        <f t="shared" si="31"/>
        <v>31.04</v>
      </c>
      <c r="H532" s="221" t="s">
        <v>29</v>
      </c>
      <c r="I532" s="222">
        <f t="shared" si="43"/>
        <v>15932.158999999994</v>
      </c>
      <c r="J532" s="220">
        <f t="shared" si="36"/>
        <v>5422.8410000000058</v>
      </c>
      <c r="K532" s="231">
        <f t="shared" si="35"/>
        <v>460.20295301222296</v>
      </c>
      <c r="L532" s="760"/>
      <c r="M532" s="761"/>
      <c r="N532" s="29"/>
      <c r="O532" s="29"/>
      <c r="P532" s="29"/>
      <c r="Q532" s="29"/>
      <c r="R532" s="29"/>
      <c r="S532" s="29"/>
      <c r="T532" s="29"/>
      <c r="U532" s="29"/>
      <c r="V532" s="29"/>
      <c r="W532" s="29"/>
    </row>
    <row r="533" spans="1:23" ht="20.100000000000001" customHeight="1">
      <c r="A533" s="681"/>
      <c r="B533" s="682"/>
      <c r="C533" s="683" t="s">
        <v>64</v>
      </c>
      <c r="D533" s="683"/>
      <c r="E533" s="683"/>
      <c r="F533" s="220">
        <v>31.23</v>
      </c>
      <c r="G533" s="220">
        <f t="shared" si="31"/>
        <v>31.23</v>
      </c>
      <c r="H533" s="221" t="s">
        <v>29</v>
      </c>
      <c r="I533" s="222">
        <f t="shared" si="43"/>
        <v>15963.388999999994</v>
      </c>
      <c r="J533" s="220">
        <f t="shared" si="36"/>
        <v>5391.6110000000062</v>
      </c>
      <c r="K533" s="231">
        <f t="shared" si="35"/>
        <v>460.93842070511829</v>
      </c>
      <c r="L533" s="760"/>
      <c r="M533" s="761"/>
      <c r="N533" s="29"/>
      <c r="O533" s="29"/>
      <c r="P533" s="29"/>
      <c r="Q533" s="29"/>
      <c r="R533" s="29"/>
      <c r="S533" s="29"/>
      <c r="T533" s="29"/>
      <c r="U533" s="29"/>
      <c r="V533" s="29"/>
      <c r="W533" s="29"/>
    </row>
    <row r="534" spans="1:23" ht="20.100000000000001" customHeight="1">
      <c r="A534" s="732" t="s">
        <v>169</v>
      </c>
      <c r="B534" s="733"/>
      <c r="C534" s="734" t="s">
        <v>64</v>
      </c>
      <c r="D534" s="734"/>
      <c r="E534" s="734"/>
      <c r="F534" s="223">
        <v>30.91</v>
      </c>
      <c r="G534" s="223">
        <f t="shared" si="31"/>
        <v>30.91</v>
      </c>
      <c r="H534" s="224" t="s">
        <v>29</v>
      </c>
      <c r="I534" s="225">
        <f t="shared" si="43"/>
        <v>15994.298999999994</v>
      </c>
      <c r="J534" s="223">
        <f t="shared" si="36"/>
        <v>5360.7010000000064</v>
      </c>
      <c r="K534" s="233">
        <f t="shared" si="35"/>
        <v>461.66635238579056</v>
      </c>
      <c r="L534" s="760"/>
      <c r="M534" s="761"/>
      <c r="N534" s="29"/>
      <c r="O534" s="29"/>
      <c r="P534" s="29"/>
      <c r="Q534" s="29"/>
      <c r="R534" s="29"/>
      <c r="S534" s="29"/>
      <c r="T534" s="29"/>
      <c r="U534" s="29"/>
      <c r="V534" s="29"/>
      <c r="W534" s="29"/>
    </row>
    <row r="535" spans="1:23" ht="20.100000000000001" customHeight="1">
      <c r="A535" s="732"/>
      <c r="B535" s="733"/>
      <c r="C535" s="734" t="s">
        <v>64</v>
      </c>
      <c r="D535" s="734"/>
      <c r="E535" s="734"/>
      <c r="F535" s="223">
        <v>31.1</v>
      </c>
      <c r="G535" s="223">
        <f t="shared" si="31"/>
        <v>31.1</v>
      </c>
      <c r="H535" s="224" t="s">
        <v>29</v>
      </c>
      <c r="I535" s="225">
        <f t="shared" si="43"/>
        <v>16025.398999999994</v>
      </c>
      <c r="J535" s="223">
        <f t="shared" si="36"/>
        <v>5329.601000000006</v>
      </c>
      <c r="K535" s="233">
        <f t="shared" si="35"/>
        <v>462.39875857372027</v>
      </c>
      <c r="L535" s="760"/>
      <c r="M535" s="761"/>
      <c r="N535" s="29"/>
      <c r="O535" s="29"/>
      <c r="P535" s="29"/>
      <c r="Q535" s="29"/>
      <c r="R535" s="29"/>
      <c r="S535" s="29"/>
      <c r="T535" s="29"/>
      <c r="U535" s="29"/>
      <c r="V535" s="29"/>
      <c r="W535" s="29"/>
    </row>
    <row r="536" spans="1:23" ht="20.100000000000001" customHeight="1">
      <c r="A536" s="732"/>
      <c r="B536" s="733"/>
      <c r="C536" s="734" t="s">
        <v>64</v>
      </c>
      <c r="D536" s="734"/>
      <c r="E536" s="734"/>
      <c r="F536" s="223">
        <v>31.06</v>
      </c>
      <c r="G536" s="223">
        <f t="shared" si="31"/>
        <v>31.06</v>
      </c>
      <c r="H536" s="224" t="s">
        <v>29</v>
      </c>
      <c r="I536" s="225">
        <f t="shared" si="43"/>
        <v>16056.458999999993</v>
      </c>
      <c r="J536" s="223">
        <f t="shared" si="36"/>
        <v>5298.5410000000065</v>
      </c>
      <c r="K536" s="233">
        <f t="shared" si="35"/>
        <v>463.13022276012208</v>
      </c>
      <c r="L536" s="760"/>
      <c r="M536" s="761"/>
      <c r="N536" s="29"/>
      <c r="O536" s="29"/>
      <c r="P536" s="29"/>
      <c r="Q536" s="29"/>
      <c r="R536" s="29"/>
      <c r="S536" s="29"/>
      <c r="T536" s="29"/>
      <c r="U536" s="29"/>
      <c r="V536" s="29"/>
      <c r="W536" s="29"/>
    </row>
    <row r="537" spans="1:23" ht="20.100000000000001" customHeight="1">
      <c r="A537" s="681" t="s">
        <v>170</v>
      </c>
      <c r="B537" s="682"/>
      <c r="C537" s="683" t="s">
        <v>64</v>
      </c>
      <c r="D537" s="683"/>
      <c r="E537" s="683"/>
      <c r="F537" s="220">
        <v>31.19</v>
      </c>
      <c r="G537" s="220">
        <f t="shared" si="31"/>
        <v>31.19</v>
      </c>
      <c r="H537" s="221" t="s">
        <v>29</v>
      </c>
      <c r="I537" s="222">
        <f t="shared" si="43"/>
        <v>16087.648999999994</v>
      </c>
      <c r="J537" s="220">
        <f t="shared" si="36"/>
        <v>5267.351000000006</v>
      </c>
      <c r="K537" s="231">
        <f t="shared" si="35"/>
        <v>463.86474845148956</v>
      </c>
      <c r="L537" s="760" t="s">
        <v>292</v>
      </c>
      <c r="M537" s="761"/>
      <c r="N537" s="29"/>
      <c r="O537" s="29"/>
      <c r="P537" s="29"/>
      <c r="Q537" s="29"/>
      <c r="R537" s="29"/>
      <c r="S537" s="29"/>
      <c r="T537" s="29"/>
      <c r="U537" s="29"/>
      <c r="V537" s="29"/>
      <c r="W537" s="29"/>
    </row>
    <row r="538" spans="1:23" ht="20.100000000000001" customHeight="1">
      <c r="A538" s="681"/>
      <c r="B538" s="682"/>
      <c r="C538" s="683" t="s">
        <v>64</v>
      </c>
      <c r="D538" s="683"/>
      <c r="E538" s="683"/>
      <c r="F538" s="220">
        <v>31.13</v>
      </c>
      <c r="G538" s="220">
        <f t="shared" si="31"/>
        <v>31.13</v>
      </c>
      <c r="H538" s="221" t="s">
        <v>29</v>
      </c>
      <c r="I538" s="222">
        <f t="shared" si="43"/>
        <v>16118.778999999993</v>
      </c>
      <c r="J538" s="220">
        <f t="shared" si="36"/>
        <v>5236.2210000000068</v>
      </c>
      <c r="K538" s="231">
        <f t="shared" si="35"/>
        <v>464.59786114056516</v>
      </c>
      <c r="L538" s="760" t="s">
        <v>292</v>
      </c>
      <c r="M538" s="761"/>
      <c r="N538" s="29"/>
      <c r="O538" s="29"/>
      <c r="P538" s="29"/>
      <c r="Q538" s="29"/>
      <c r="R538" s="29"/>
      <c r="S538" s="29"/>
      <c r="T538" s="29"/>
      <c r="U538" s="29"/>
      <c r="V538" s="29"/>
      <c r="W538" s="29"/>
    </row>
    <row r="539" spans="1:23" ht="20.100000000000001" customHeight="1">
      <c r="A539" s="681"/>
      <c r="B539" s="682"/>
      <c r="C539" s="683" t="s">
        <v>64</v>
      </c>
      <c r="D539" s="683"/>
      <c r="E539" s="683"/>
      <c r="F539" s="220">
        <v>31.23</v>
      </c>
      <c r="G539" s="220">
        <f t="shared" si="31"/>
        <v>31.23</v>
      </c>
      <c r="H539" s="221" t="s">
        <v>29</v>
      </c>
      <c r="I539" s="222">
        <f t="shared" si="43"/>
        <v>16150.008999999993</v>
      </c>
      <c r="J539" s="220">
        <f t="shared" si="36"/>
        <v>5204.9910000000073</v>
      </c>
      <c r="K539" s="231">
        <f t="shared" si="35"/>
        <v>465.33332883346048</v>
      </c>
      <c r="L539" s="760" t="s">
        <v>292</v>
      </c>
      <c r="M539" s="761"/>
      <c r="N539" s="29"/>
      <c r="O539" s="29"/>
      <c r="P539" s="29"/>
      <c r="Q539" s="29"/>
      <c r="R539" s="29"/>
      <c r="S539" s="29"/>
      <c r="T539" s="29"/>
      <c r="U539" s="29"/>
      <c r="V539" s="29"/>
      <c r="W539" s="29"/>
    </row>
    <row r="540" spans="1:23" ht="20.100000000000001" customHeight="1">
      <c r="A540" s="732" t="s">
        <v>171</v>
      </c>
      <c r="B540" s="733"/>
      <c r="C540" s="734" t="s">
        <v>64</v>
      </c>
      <c r="D540" s="734"/>
      <c r="E540" s="734"/>
      <c r="F540" s="223">
        <v>31.21</v>
      </c>
      <c r="G540" s="223">
        <f t="shared" si="31"/>
        <v>31.21</v>
      </c>
      <c r="H540" s="224" t="s">
        <v>29</v>
      </c>
      <c r="I540" s="225">
        <f t="shared" si="43"/>
        <v>16181.218999999992</v>
      </c>
      <c r="J540" s="223">
        <f t="shared" si="36"/>
        <v>5173.7810000000081</v>
      </c>
      <c r="K540" s="233">
        <f t="shared" ref="K540:K603" si="44">$H$8+(I540*$E$9*$E$15/1000)</f>
        <v>466.06832552559189</v>
      </c>
      <c r="L540" s="760" t="s">
        <v>292</v>
      </c>
      <c r="M540" s="761"/>
      <c r="N540" s="29"/>
      <c r="O540" s="29"/>
      <c r="P540" s="29"/>
      <c r="Q540" s="29"/>
      <c r="R540" s="29"/>
      <c r="S540" s="29"/>
      <c r="T540" s="29"/>
      <c r="U540" s="29"/>
      <c r="V540" s="29"/>
      <c r="W540" s="29"/>
    </row>
    <row r="541" spans="1:23" ht="20.100000000000001" customHeight="1">
      <c r="A541" s="732"/>
      <c r="B541" s="733"/>
      <c r="C541" s="734" t="s">
        <v>64</v>
      </c>
      <c r="D541" s="734"/>
      <c r="E541" s="734"/>
      <c r="F541" s="223">
        <v>31.03</v>
      </c>
      <c r="G541" s="223">
        <f t="shared" si="31"/>
        <v>31.03</v>
      </c>
      <c r="H541" s="224" t="s">
        <v>29</v>
      </c>
      <c r="I541" s="225">
        <f t="shared" si="43"/>
        <v>16212.248999999993</v>
      </c>
      <c r="J541" s="223">
        <f t="shared" ref="J541:J604" si="45">IF(I541="","",$L$10-I541)</f>
        <v>5142.7510000000075</v>
      </c>
      <c r="K541" s="233">
        <f t="shared" si="44"/>
        <v>466.79908321084781</v>
      </c>
      <c r="L541" s="760" t="s">
        <v>292</v>
      </c>
      <c r="M541" s="761"/>
      <c r="N541" s="29"/>
      <c r="O541" s="29"/>
      <c r="P541" s="29"/>
      <c r="Q541" s="29"/>
      <c r="R541" s="29"/>
      <c r="S541" s="29"/>
      <c r="T541" s="29"/>
      <c r="U541" s="29"/>
      <c r="V541" s="29"/>
      <c r="W541" s="29"/>
    </row>
    <row r="542" spans="1:23" ht="20.100000000000001" customHeight="1">
      <c r="A542" s="732"/>
      <c r="B542" s="733"/>
      <c r="C542" s="734" t="s">
        <v>64</v>
      </c>
      <c r="D542" s="734"/>
      <c r="E542" s="734"/>
      <c r="F542" s="223">
        <v>31.26</v>
      </c>
      <c r="G542" s="223">
        <f t="shared" si="31"/>
        <v>31.26</v>
      </c>
      <c r="H542" s="224" t="s">
        <v>29</v>
      </c>
      <c r="I542" s="225">
        <f t="shared" si="43"/>
        <v>16243.508999999993</v>
      </c>
      <c r="J542" s="223">
        <f t="shared" si="45"/>
        <v>5111.4910000000073</v>
      </c>
      <c r="K542" s="233">
        <f t="shared" si="44"/>
        <v>467.53525740488902</v>
      </c>
      <c r="L542" s="760" t="s">
        <v>292</v>
      </c>
      <c r="M542" s="761"/>
      <c r="N542" s="29"/>
      <c r="O542" s="29"/>
      <c r="P542" s="29"/>
      <c r="Q542" s="29"/>
      <c r="R542" s="29"/>
      <c r="S542" s="29"/>
      <c r="T542" s="29"/>
      <c r="U542" s="29"/>
      <c r="V542" s="29"/>
      <c r="W542" s="29"/>
    </row>
    <row r="543" spans="1:23" ht="20.100000000000001" customHeight="1">
      <c r="A543" s="681" t="s">
        <v>172</v>
      </c>
      <c r="B543" s="682"/>
      <c r="C543" s="683" t="s">
        <v>64</v>
      </c>
      <c r="D543" s="683"/>
      <c r="E543" s="683"/>
      <c r="F543" s="220">
        <v>30.85</v>
      </c>
      <c r="G543" s="220">
        <f t="shared" si="31"/>
        <v>30.85</v>
      </c>
      <c r="H543" s="221" t="s">
        <v>29</v>
      </c>
      <c r="I543" s="222">
        <f t="shared" si="43"/>
        <v>16274.358999999993</v>
      </c>
      <c r="J543" s="220">
        <f t="shared" si="45"/>
        <v>5080.6410000000069</v>
      </c>
      <c r="K543" s="231">
        <f t="shared" si="44"/>
        <v>468.26177608326952</v>
      </c>
      <c r="L543" s="760" t="s">
        <v>292</v>
      </c>
      <c r="M543" s="761"/>
      <c r="N543" s="29"/>
      <c r="O543" s="29"/>
      <c r="P543" s="29"/>
      <c r="Q543" s="29"/>
      <c r="R543" s="29"/>
      <c r="S543" s="29"/>
      <c r="T543" s="29"/>
      <c r="U543" s="29"/>
      <c r="V543" s="29"/>
      <c r="W543" s="29"/>
    </row>
    <row r="544" spans="1:23" ht="20.100000000000001" customHeight="1">
      <c r="A544" s="681"/>
      <c r="B544" s="682"/>
      <c r="C544" s="683" t="s">
        <v>64</v>
      </c>
      <c r="D544" s="683"/>
      <c r="E544" s="683"/>
      <c r="F544" s="220">
        <v>31.03</v>
      </c>
      <c r="G544" s="220">
        <f t="shared" si="31"/>
        <v>31.03</v>
      </c>
      <c r="H544" s="221" t="s">
        <v>29</v>
      </c>
      <c r="I544" s="222">
        <f t="shared" si="43"/>
        <v>16305.388999999994</v>
      </c>
      <c r="J544" s="220">
        <f t="shared" si="45"/>
        <v>5049.6110000000062</v>
      </c>
      <c r="K544" s="231">
        <f t="shared" si="44"/>
        <v>468.99253376852545</v>
      </c>
      <c r="L544" s="760" t="s">
        <v>292</v>
      </c>
      <c r="M544" s="761"/>
      <c r="N544" s="29"/>
      <c r="O544" s="29"/>
      <c r="P544" s="29"/>
      <c r="Q544" s="29"/>
      <c r="R544" s="29"/>
      <c r="S544" s="29"/>
      <c r="T544" s="29"/>
      <c r="U544" s="29"/>
      <c r="V544" s="29"/>
      <c r="W544" s="29"/>
    </row>
    <row r="545" spans="1:23" ht="20.100000000000001" customHeight="1">
      <c r="A545" s="681"/>
      <c r="B545" s="682"/>
      <c r="C545" s="683" t="s">
        <v>64</v>
      </c>
      <c r="D545" s="683"/>
      <c r="E545" s="683"/>
      <c r="F545" s="220">
        <v>31.08</v>
      </c>
      <c r="G545" s="220">
        <f t="shared" si="31"/>
        <v>31.08</v>
      </c>
      <c r="H545" s="221" t="s">
        <v>29</v>
      </c>
      <c r="I545" s="222">
        <f t="shared" si="43"/>
        <v>16336.468999999994</v>
      </c>
      <c r="J545" s="220">
        <f t="shared" si="45"/>
        <v>5018.5310000000063</v>
      </c>
      <c r="K545" s="231">
        <f t="shared" si="44"/>
        <v>469.72446895569118</v>
      </c>
      <c r="L545" s="760" t="s">
        <v>292</v>
      </c>
      <c r="M545" s="761"/>
      <c r="N545" s="29"/>
      <c r="O545" s="29"/>
      <c r="P545" s="29"/>
      <c r="Q545" s="29"/>
      <c r="R545" s="29"/>
      <c r="S545" s="29"/>
      <c r="T545" s="29"/>
      <c r="U545" s="29"/>
      <c r="V545" s="29"/>
      <c r="W545" s="29"/>
    </row>
    <row r="546" spans="1:23" ht="20.100000000000001" customHeight="1">
      <c r="A546" s="732" t="s">
        <v>173</v>
      </c>
      <c r="B546" s="733"/>
      <c r="C546" s="734" t="s">
        <v>64</v>
      </c>
      <c r="D546" s="734"/>
      <c r="E546" s="734"/>
      <c r="F546" s="223">
        <v>30.94</v>
      </c>
      <c r="G546" s="223">
        <f t="shared" si="31"/>
        <v>30.94</v>
      </c>
      <c r="H546" s="224" t="s">
        <v>29</v>
      </c>
      <c r="I546" s="225">
        <f t="shared" si="43"/>
        <v>16367.408999999994</v>
      </c>
      <c r="J546" s="223">
        <f t="shared" si="45"/>
        <v>4987.5910000000058</v>
      </c>
      <c r="K546" s="233">
        <f t="shared" si="44"/>
        <v>470.45310713750945</v>
      </c>
      <c r="L546" s="760" t="s">
        <v>292</v>
      </c>
      <c r="M546" s="761"/>
      <c r="N546" s="29"/>
      <c r="O546" s="29"/>
      <c r="P546" s="29"/>
      <c r="Q546" s="29"/>
      <c r="R546" s="29"/>
      <c r="S546" s="29"/>
      <c r="T546" s="29"/>
      <c r="U546" s="29"/>
      <c r="V546" s="29"/>
      <c r="W546" s="29"/>
    </row>
    <row r="547" spans="1:23" ht="20.100000000000001" customHeight="1">
      <c r="A547" s="732"/>
      <c r="B547" s="733"/>
      <c r="C547" s="734" t="s">
        <v>64</v>
      </c>
      <c r="D547" s="734"/>
      <c r="E547" s="734"/>
      <c r="F547" s="223">
        <v>31.14</v>
      </c>
      <c r="G547" s="223">
        <f t="shared" si="31"/>
        <v>31.14</v>
      </c>
      <c r="H547" s="224" t="s">
        <v>29</v>
      </c>
      <c r="I547" s="225">
        <f t="shared" si="43"/>
        <v>16398.548999999995</v>
      </c>
      <c r="J547" s="223">
        <f t="shared" si="45"/>
        <v>4956.4510000000046</v>
      </c>
      <c r="K547" s="233">
        <f t="shared" si="44"/>
        <v>471.18645532696706</v>
      </c>
      <c r="L547" s="760" t="s">
        <v>292</v>
      </c>
      <c r="M547" s="761"/>
      <c r="N547" s="29"/>
      <c r="O547" s="29"/>
      <c r="P547" s="29"/>
      <c r="Q547" s="29"/>
      <c r="R547" s="29"/>
      <c r="S547" s="29"/>
      <c r="T547" s="29"/>
      <c r="U547" s="29"/>
      <c r="V547" s="29"/>
      <c r="W547" s="29"/>
    </row>
    <row r="548" spans="1:23" ht="20.100000000000001" customHeight="1">
      <c r="A548" s="732"/>
      <c r="B548" s="733"/>
      <c r="C548" s="734" t="s">
        <v>64</v>
      </c>
      <c r="D548" s="734"/>
      <c r="E548" s="734"/>
      <c r="F548" s="223">
        <v>31.17</v>
      </c>
      <c r="G548" s="223">
        <f t="shared" si="31"/>
        <v>31.17</v>
      </c>
      <c r="H548" s="224" t="s">
        <v>29</v>
      </c>
      <c r="I548" s="225">
        <f t="shared" si="43"/>
        <v>16429.718999999994</v>
      </c>
      <c r="J548" s="223">
        <f t="shared" si="45"/>
        <v>4925.2810000000063</v>
      </c>
      <c r="K548" s="233">
        <f t="shared" si="44"/>
        <v>471.92051001757051</v>
      </c>
      <c r="L548" s="760" t="s">
        <v>292</v>
      </c>
      <c r="M548" s="761"/>
      <c r="N548" s="29"/>
      <c r="O548" s="29"/>
      <c r="P548" s="29"/>
      <c r="Q548" s="29"/>
      <c r="R548" s="29"/>
      <c r="S548" s="29"/>
      <c r="T548" s="29"/>
      <c r="U548" s="29"/>
      <c r="V548" s="29"/>
      <c r="W548" s="29"/>
    </row>
    <row r="549" spans="1:23" ht="20.100000000000001" customHeight="1">
      <c r="A549" s="681" t="s">
        <v>174</v>
      </c>
      <c r="B549" s="682"/>
      <c r="C549" s="683" t="s">
        <v>64</v>
      </c>
      <c r="D549" s="683"/>
      <c r="E549" s="683"/>
      <c r="F549" s="220">
        <v>31.03</v>
      </c>
      <c r="G549" s="220">
        <f t="shared" si="31"/>
        <v>31.03</v>
      </c>
      <c r="H549" s="221" t="s">
        <v>29</v>
      </c>
      <c r="I549" s="222">
        <f t="shared" si="43"/>
        <v>16460.748999999993</v>
      </c>
      <c r="J549" s="220">
        <f t="shared" si="45"/>
        <v>4894.2510000000075</v>
      </c>
      <c r="K549" s="231">
        <f t="shared" si="44"/>
        <v>472.65126770282643</v>
      </c>
      <c r="L549" s="760" t="s">
        <v>292</v>
      </c>
      <c r="M549" s="761"/>
      <c r="N549" s="29"/>
      <c r="O549" s="29"/>
      <c r="P549" s="29"/>
      <c r="Q549" s="29"/>
      <c r="R549" s="29"/>
      <c r="S549" s="29"/>
      <c r="T549" s="29"/>
      <c r="U549" s="29"/>
      <c r="V549" s="29"/>
      <c r="W549" s="29"/>
    </row>
    <row r="550" spans="1:23" ht="20.100000000000001" customHeight="1">
      <c r="A550" s="681"/>
      <c r="B550" s="682"/>
      <c r="C550" s="683" t="s">
        <v>64</v>
      </c>
      <c r="D550" s="683"/>
      <c r="E550" s="683"/>
      <c r="F550" s="220">
        <v>31.15</v>
      </c>
      <c r="G550" s="220">
        <f t="shared" si="31"/>
        <v>31.15</v>
      </c>
      <c r="H550" s="221" t="s">
        <v>29</v>
      </c>
      <c r="I550" s="222">
        <f t="shared" si="43"/>
        <v>16491.898999999994</v>
      </c>
      <c r="J550" s="220">
        <f t="shared" si="45"/>
        <v>4863.101000000006</v>
      </c>
      <c r="K550" s="231">
        <f t="shared" si="44"/>
        <v>473.38485139266606</v>
      </c>
      <c r="L550" s="760" t="s">
        <v>292</v>
      </c>
      <c r="M550" s="761"/>
      <c r="N550" s="29"/>
      <c r="O550" s="29"/>
      <c r="P550" s="29"/>
      <c r="Q550" s="29"/>
      <c r="R550" s="29"/>
      <c r="S550" s="29"/>
      <c r="T550" s="29"/>
      <c r="U550" s="29"/>
      <c r="V550" s="29"/>
      <c r="W550" s="29"/>
    </row>
    <row r="551" spans="1:23" ht="20.100000000000001" customHeight="1">
      <c r="A551" s="681"/>
      <c r="B551" s="682"/>
      <c r="C551" s="683" t="s">
        <v>64</v>
      </c>
      <c r="D551" s="683"/>
      <c r="E551" s="683"/>
      <c r="F551" s="220">
        <v>31.05</v>
      </c>
      <c r="G551" s="220">
        <f t="shared" ref="G551:G614" si="46">F551</f>
        <v>31.05</v>
      </c>
      <c r="H551" s="221" t="s">
        <v>29</v>
      </c>
      <c r="I551" s="222">
        <f t="shared" si="43"/>
        <v>16522.948999999993</v>
      </c>
      <c r="J551" s="220">
        <f t="shared" si="45"/>
        <v>4832.0510000000068</v>
      </c>
      <c r="K551" s="231">
        <f t="shared" si="44"/>
        <v>474.11608007868591</v>
      </c>
      <c r="L551" s="760" t="s">
        <v>292</v>
      </c>
      <c r="M551" s="761"/>
      <c r="N551" s="29"/>
      <c r="O551" s="29"/>
      <c r="P551" s="29"/>
      <c r="Q551" s="29"/>
      <c r="R551" s="29"/>
      <c r="S551" s="29"/>
      <c r="T551" s="29"/>
      <c r="U551" s="29"/>
      <c r="V551" s="29"/>
      <c r="W551" s="29"/>
    </row>
    <row r="552" spans="1:23" ht="20.100000000000001" customHeight="1">
      <c r="A552" s="732" t="s">
        <v>175</v>
      </c>
      <c r="B552" s="733"/>
      <c r="C552" s="734" t="s">
        <v>64</v>
      </c>
      <c r="D552" s="734"/>
      <c r="E552" s="734"/>
      <c r="F552" s="223">
        <v>31.12</v>
      </c>
      <c r="G552" s="223">
        <f t="shared" si="46"/>
        <v>31.12</v>
      </c>
      <c r="H552" s="224" t="s">
        <v>29</v>
      </c>
      <c r="I552" s="225">
        <f t="shared" si="43"/>
        <v>16554.068999999992</v>
      </c>
      <c r="J552" s="223">
        <f t="shared" si="45"/>
        <v>4800.9310000000078</v>
      </c>
      <c r="K552" s="233">
        <f t="shared" si="44"/>
        <v>474.84895726737949</v>
      </c>
      <c r="L552" s="760" t="s">
        <v>292</v>
      </c>
      <c r="M552" s="761"/>
      <c r="N552" s="29"/>
      <c r="O552" s="29"/>
      <c r="P552" s="29"/>
      <c r="Q552" s="29"/>
      <c r="R552" s="29"/>
      <c r="S552" s="29"/>
      <c r="T552" s="29"/>
      <c r="U552" s="29"/>
      <c r="V552" s="29"/>
      <c r="W552" s="29"/>
    </row>
    <row r="553" spans="1:23" ht="20.100000000000001" customHeight="1">
      <c r="A553" s="732"/>
      <c r="B553" s="733"/>
      <c r="C553" s="734" t="s">
        <v>64</v>
      </c>
      <c r="D553" s="734"/>
      <c r="E553" s="734"/>
      <c r="F553" s="223">
        <v>31.24</v>
      </c>
      <c r="G553" s="223">
        <f t="shared" si="46"/>
        <v>31.24</v>
      </c>
      <c r="H553" s="224" t="s">
        <v>29</v>
      </c>
      <c r="I553" s="225">
        <f t="shared" si="43"/>
        <v>16585.308999999994</v>
      </c>
      <c r="J553" s="223">
        <f t="shared" si="45"/>
        <v>4769.6910000000062</v>
      </c>
      <c r="K553" s="233">
        <f t="shared" si="44"/>
        <v>475.58466046065683</v>
      </c>
      <c r="L553" s="760" t="s">
        <v>292</v>
      </c>
      <c r="M553" s="761"/>
      <c r="N553" s="29"/>
      <c r="O553" s="29"/>
      <c r="P553" s="29"/>
      <c r="Q553" s="29"/>
      <c r="R553" s="29"/>
      <c r="S553" s="29"/>
      <c r="T553" s="29"/>
      <c r="U553" s="29"/>
      <c r="V553" s="29"/>
      <c r="W553" s="29"/>
    </row>
    <row r="554" spans="1:23" ht="20.100000000000001" customHeight="1">
      <c r="A554" s="732"/>
      <c r="B554" s="733"/>
      <c r="C554" s="734" t="s">
        <v>64</v>
      </c>
      <c r="D554" s="734"/>
      <c r="E554" s="734"/>
      <c r="F554" s="223">
        <v>31.01</v>
      </c>
      <c r="G554" s="223">
        <f t="shared" si="46"/>
        <v>31.01</v>
      </c>
      <c r="H554" s="224" t="s">
        <v>29</v>
      </c>
      <c r="I554" s="225">
        <f t="shared" si="43"/>
        <v>16616.318999999992</v>
      </c>
      <c r="J554" s="223">
        <f t="shared" si="45"/>
        <v>4738.6810000000078</v>
      </c>
      <c r="K554" s="233">
        <f t="shared" si="44"/>
        <v>476.31494714514878</v>
      </c>
      <c r="L554" s="760" t="s">
        <v>292</v>
      </c>
      <c r="M554" s="761"/>
      <c r="N554" s="29"/>
      <c r="O554" s="29"/>
      <c r="P554" s="29"/>
      <c r="Q554" s="29"/>
      <c r="R554" s="29"/>
      <c r="S554" s="29"/>
      <c r="T554" s="29"/>
      <c r="U554" s="29"/>
      <c r="V554" s="29"/>
      <c r="W554" s="29"/>
    </row>
    <row r="555" spans="1:23" ht="20.100000000000001" customHeight="1">
      <c r="A555" s="681" t="s">
        <v>176</v>
      </c>
      <c r="B555" s="682"/>
      <c r="C555" s="683" t="s">
        <v>64</v>
      </c>
      <c r="D555" s="683"/>
      <c r="E555" s="683"/>
      <c r="F555" s="220">
        <v>31.16</v>
      </c>
      <c r="G555" s="220">
        <f t="shared" si="46"/>
        <v>31.16</v>
      </c>
      <c r="H555" s="221" t="s">
        <v>29</v>
      </c>
      <c r="I555" s="222">
        <f t="shared" si="43"/>
        <v>16647.478999999992</v>
      </c>
      <c r="J555" s="220">
        <f t="shared" si="45"/>
        <v>4707.5210000000079</v>
      </c>
      <c r="K555" s="231">
        <f t="shared" si="44"/>
        <v>477.04876633537037</v>
      </c>
      <c r="L555" s="760" t="s">
        <v>292</v>
      </c>
      <c r="M555" s="761"/>
      <c r="N555" s="29"/>
      <c r="O555" s="29"/>
      <c r="P555" s="29"/>
      <c r="Q555" s="29"/>
      <c r="R555" s="29"/>
      <c r="S555" s="29"/>
      <c r="T555" s="29"/>
      <c r="U555" s="29"/>
      <c r="V555" s="29"/>
      <c r="W555" s="29"/>
    </row>
    <row r="556" spans="1:23" ht="20.100000000000001" customHeight="1">
      <c r="A556" s="681"/>
      <c r="B556" s="682"/>
      <c r="C556" s="683" t="s">
        <v>64</v>
      </c>
      <c r="D556" s="683"/>
      <c r="E556" s="683"/>
      <c r="F556" s="220">
        <v>30.95</v>
      </c>
      <c r="G556" s="220">
        <f t="shared" si="46"/>
        <v>30.95</v>
      </c>
      <c r="H556" s="221" t="s">
        <v>29</v>
      </c>
      <c r="I556" s="222">
        <f t="shared" si="43"/>
        <v>16678.428999999993</v>
      </c>
      <c r="J556" s="220">
        <f t="shared" si="45"/>
        <v>4676.5710000000072</v>
      </c>
      <c r="K556" s="231">
        <f t="shared" si="44"/>
        <v>477.77764001757055</v>
      </c>
      <c r="L556" s="760" t="s">
        <v>292</v>
      </c>
      <c r="M556" s="761"/>
      <c r="N556" s="29"/>
      <c r="O556" s="29"/>
      <c r="P556" s="29"/>
      <c r="Q556" s="29"/>
      <c r="R556" s="29"/>
      <c r="S556" s="29"/>
      <c r="T556" s="29"/>
      <c r="U556" s="29"/>
      <c r="V556" s="29"/>
      <c r="W556" s="29"/>
    </row>
    <row r="557" spans="1:23" ht="20.100000000000001" customHeight="1">
      <c r="A557" s="681"/>
      <c r="B557" s="682"/>
      <c r="C557" s="683" t="s">
        <v>64</v>
      </c>
      <c r="D557" s="683"/>
      <c r="E557" s="683"/>
      <c r="F557" s="220">
        <v>31.05</v>
      </c>
      <c r="G557" s="220">
        <f t="shared" si="46"/>
        <v>31.05</v>
      </c>
      <c r="H557" s="221" t="s">
        <v>29</v>
      </c>
      <c r="I557" s="222">
        <f t="shared" si="43"/>
        <v>16709.478999999992</v>
      </c>
      <c r="J557" s="220">
        <f t="shared" si="45"/>
        <v>4645.5210000000079</v>
      </c>
      <c r="K557" s="231">
        <f t="shared" si="44"/>
        <v>478.50886870359034</v>
      </c>
      <c r="L557" s="760" t="s">
        <v>292</v>
      </c>
      <c r="M557" s="761"/>
      <c r="N557" s="29"/>
      <c r="O557" s="29"/>
      <c r="P557" s="29"/>
      <c r="Q557" s="29"/>
      <c r="R557" s="29"/>
      <c r="S557" s="29"/>
      <c r="T557" s="29"/>
      <c r="U557" s="29"/>
      <c r="V557" s="29"/>
      <c r="W557" s="29"/>
    </row>
    <row r="558" spans="1:23" ht="20.100000000000001" customHeight="1">
      <c r="A558" s="732" t="s">
        <v>177</v>
      </c>
      <c r="B558" s="733"/>
      <c r="C558" s="734" t="s">
        <v>64</v>
      </c>
      <c r="D558" s="734"/>
      <c r="E558" s="734"/>
      <c r="F558" s="223">
        <v>31.04</v>
      </c>
      <c r="G558" s="223">
        <f t="shared" si="46"/>
        <v>31.04</v>
      </c>
      <c r="H558" s="224" t="s">
        <v>29</v>
      </c>
      <c r="I558" s="225">
        <f t="shared" si="43"/>
        <v>16740.518999999993</v>
      </c>
      <c r="J558" s="223">
        <f t="shared" si="45"/>
        <v>4614.481000000007</v>
      </c>
      <c r="K558" s="233">
        <f t="shared" si="44"/>
        <v>479.23986188922828</v>
      </c>
      <c r="L558" s="760" t="s">
        <v>292</v>
      </c>
      <c r="M558" s="761"/>
      <c r="N558" s="29"/>
      <c r="O558" s="29"/>
      <c r="P558" s="29"/>
      <c r="Q558" s="29"/>
      <c r="R558" s="29"/>
      <c r="S558" s="29"/>
      <c r="T558" s="29"/>
      <c r="U558" s="29"/>
      <c r="V558" s="29"/>
      <c r="W558" s="29"/>
    </row>
    <row r="559" spans="1:23" ht="20.100000000000001" customHeight="1">
      <c r="A559" s="732"/>
      <c r="B559" s="733"/>
      <c r="C559" s="734" t="s">
        <v>64</v>
      </c>
      <c r="D559" s="734"/>
      <c r="E559" s="734"/>
      <c r="F559" s="223">
        <v>31.25</v>
      </c>
      <c r="G559" s="223">
        <f t="shared" si="46"/>
        <v>31.25</v>
      </c>
      <c r="H559" s="224" t="s">
        <v>29</v>
      </c>
      <c r="I559" s="225">
        <f t="shared" si="43"/>
        <v>16771.768999999993</v>
      </c>
      <c r="J559" s="223">
        <f t="shared" si="45"/>
        <v>4583.231000000007</v>
      </c>
      <c r="K559" s="233">
        <f t="shared" si="44"/>
        <v>479.97580058288753</v>
      </c>
      <c r="L559" s="760" t="s">
        <v>292</v>
      </c>
      <c r="M559" s="761"/>
      <c r="N559" s="29"/>
      <c r="O559" s="29"/>
      <c r="P559" s="29"/>
      <c r="Q559" s="29"/>
      <c r="R559" s="29"/>
      <c r="S559" s="29"/>
      <c r="T559" s="29"/>
      <c r="U559" s="29"/>
      <c r="V559" s="29"/>
      <c r="W559" s="29"/>
    </row>
    <row r="560" spans="1:23" ht="20.100000000000001" customHeight="1">
      <c r="A560" s="732"/>
      <c r="B560" s="733"/>
      <c r="C560" s="734" t="s">
        <v>64</v>
      </c>
      <c r="D560" s="734"/>
      <c r="E560" s="734"/>
      <c r="F560" s="223">
        <v>30.98</v>
      </c>
      <c r="G560" s="223">
        <f t="shared" si="46"/>
        <v>30.98</v>
      </c>
      <c r="H560" s="224" t="s">
        <v>29</v>
      </c>
      <c r="I560" s="225">
        <f t="shared" ref="I560:I623" si="47">IF(H560="IN",I559+G560,I559)</f>
        <v>16802.748999999993</v>
      </c>
      <c r="J560" s="223">
        <f t="shared" si="45"/>
        <v>4552.2510000000075</v>
      </c>
      <c r="K560" s="233">
        <f t="shared" si="44"/>
        <v>480.70538076623359</v>
      </c>
      <c r="L560" s="760" t="s">
        <v>292</v>
      </c>
      <c r="M560" s="761"/>
      <c r="N560" s="29"/>
      <c r="O560" s="29"/>
      <c r="P560" s="29"/>
      <c r="Q560" s="29"/>
      <c r="R560" s="29"/>
      <c r="S560" s="29"/>
      <c r="T560" s="29"/>
      <c r="U560" s="29"/>
      <c r="V560" s="29"/>
      <c r="W560" s="29"/>
    </row>
    <row r="561" spans="1:23" ht="20.100000000000001" customHeight="1">
      <c r="A561" s="681" t="s">
        <v>178</v>
      </c>
      <c r="B561" s="682"/>
      <c r="C561" s="683" t="s">
        <v>64</v>
      </c>
      <c r="D561" s="683"/>
      <c r="E561" s="683"/>
      <c r="F561" s="220">
        <v>30.84</v>
      </c>
      <c r="G561" s="220">
        <f t="shared" si="46"/>
        <v>30.84</v>
      </c>
      <c r="H561" s="221" t="s">
        <v>29</v>
      </c>
      <c r="I561" s="222">
        <f t="shared" si="47"/>
        <v>16833.588999999993</v>
      </c>
      <c r="J561" s="220">
        <f t="shared" si="45"/>
        <v>4521.4110000000073</v>
      </c>
      <c r="K561" s="231">
        <f t="shared" si="44"/>
        <v>481.43166394423213</v>
      </c>
      <c r="L561" s="760" t="s">
        <v>292</v>
      </c>
      <c r="M561" s="761"/>
      <c r="N561" s="29"/>
      <c r="O561" s="29"/>
      <c r="P561" s="29"/>
      <c r="Q561" s="29"/>
      <c r="R561" s="29"/>
      <c r="S561" s="29"/>
      <c r="T561" s="29"/>
      <c r="U561" s="29"/>
      <c r="V561" s="29"/>
      <c r="W561" s="29"/>
    </row>
    <row r="562" spans="1:23" ht="20.100000000000001" customHeight="1">
      <c r="A562" s="681"/>
      <c r="B562" s="682"/>
      <c r="C562" s="683" t="s">
        <v>64</v>
      </c>
      <c r="D562" s="683"/>
      <c r="E562" s="683"/>
      <c r="F562" s="220">
        <v>31.1</v>
      </c>
      <c r="G562" s="220">
        <f t="shared" si="46"/>
        <v>31.1</v>
      </c>
      <c r="H562" s="221" t="s">
        <v>29</v>
      </c>
      <c r="I562" s="222">
        <f t="shared" si="47"/>
        <v>16864.688999999991</v>
      </c>
      <c r="J562" s="220">
        <f t="shared" si="45"/>
        <v>4490.3110000000088</v>
      </c>
      <c r="K562" s="231">
        <f t="shared" si="44"/>
        <v>482.16407013216178</v>
      </c>
      <c r="L562" s="760" t="s">
        <v>292</v>
      </c>
      <c r="M562" s="761"/>
      <c r="N562" s="29"/>
      <c r="O562" s="29"/>
      <c r="P562" s="29"/>
      <c r="Q562" s="29"/>
      <c r="R562" s="29"/>
      <c r="S562" s="29"/>
      <c r="T562" s="29"/>
      <c r="U562" s="29"/>
      <c r="V562" s="29"/>
      <c r="W562" s="29"/>
    </row>
    <row r="563" spans="1:23" ht="20.100000000000001" customHeight="1">
      <c r="A563" s="681"/>
      <c r="B563" s="682"/>
      <c r="C563" s="683" t="s">
        <v>64</v>
      </c>
      <c r="D563" s="683"/>
      <c r="E563" s="683"/>
      <c r="F563" s="220">
        <v>31.29</v>
      </c>
      <c r="G563" s="220">
        <f t="shared" si="46"/>
        <v>31.29</v>
      </c>
      <c r="H563" s="221" t="s">
        <v>29</v>
      </c>
      <c r="I563" s="222">
        <f t="shared" si="47"/>
        <v>16895.978999999992</v>
      </c>
      <c r="J563" s="220">
        <f t="shared" si="45"/>
        <v>4459.0210000000079</v>
      </c>
      <c r="K563" s="231">
        <f t="shared" si="44"/>
        <v>482.90095082734899</v>
      </c>
      <c r="L563" s="760" t="s">
        <v>292</v>
      </c>
      <c r="M563" s="761"/>
      <c r="N563" s="29"/>
      <c r="O563" s="29"/>
      <c r="P563" s="29"/>
      <c r="Q563" s="29"/>
      <c r="R563" s="29"/>
      <c r="S563" s="29"/>
      <c r="T563" s="29"/>
      <c r="U563" s="29"/>
      <c r="V563" s="29"/>
      <c r="W563" s="29"/>
    </row>
    <row r="564" spans="1:23" ht="20.100000000000001" customHeight="1">
      <c r="A564" s="732" t="s">
        <v>179</v>
      </c>
      <c r="B564" s="733"/>
      <c r="C564" s="734" t="s">
        <v>64</v>
      </c>
      <c r="D564" s="734"/>
      <c r="E564" s="734"/>
      <c r="F564" s="223">
        <v>31.33</v>
      </c>
      <c r="G564" s="223">
        <f t="shared" si="46"/>
        <v>31.33</v>
      </c>
      <c r="H564" s="224" t="s">
        <v>29</v>
      </c>
      <c r="I564" s="225">
        <f t="shared" si="47"/>
        <v>16927.308999999994</v>
      </c>
      <c r="J564" s="223">
        <f t="shared" si="45"/>
        <v>4427.6910000000062</v>
      </c>
      <c r="K564" s="233">
        <f t="shared" si="44"/>
        <v>483.63877352406405</v>
      </c>
      <c r="L564" s="760" t="s">
        <v>292</v>
      </c>
      <c r="M564" s="761"/>
      <c r="N564" s="29"/>
      <c r="O564" s="29"/>
      <c r="P564" s="29"/>
      <c r="Q564" s="29"/>
      <c r="R564" s="29"/>
      <c r="S564" s="29"/>
      <c r="T564" s="29"/>
      <c r="U564" s="29"/>
      <c r="V564" s="29"/>
      <c r="W564" s="29"/>
    </row>
    <row r="565" spans="1:23" ht="20.100000000000001" customHeight="1">
      <c r="A565" s="732"/>
      <c r="B565" s="733"/>
      <c r="C565" s="734" t="s">
        <v>64</v>
      </c>
      <c r="D565" s="734"/>
      <c r="E565" s="734"/>
      <c r="F565" s="223">
        <v>31.18</v>
      </c>
      <c r="G565" s="223">
        <f t="shared" si="46"/>
        <v>31.18</v>
      </c>
      <c r="H565" s="224" t="s">
        <v>29</v>
      </c>
      <c r="I565" s="225">
        <f t="shared" si="47"/>
        <v>16958.488999999994</v>
      </c>
      <c r="J565" s="223">
        <f t="shared" si="45"/>
        <v>4396.5110000000059</v>
      </c>
      <c r="K565" s="233">
        <f t="shared" si="44"/>
        <v>484.37306371504951</v>
      </c>
      <c r="L565" s="760" t="s">
        <v>292</v>
      </c>
      <c r="M565" s="761"/>
      <c r="N565" s="29"/>
      <c r="O565" s="29"/>
      <c r="P565" s="29"/>
      <c r="Q565" s="29"/>
      <c r="R565" s="29"/>
      <c r="S565" s="29"/>
      <c r="T565" s="29"/>
      <c r="U565" s="29"/>
      <c r="V565" s="29"/>
      <c r="W565" s="29"/>
    </row>
    <row r="566" spans="1:23" ht="20.100000000000001" customHeight="1">
      <c r="A566" s="732"/>
      <c r="B566" s="733"/>
      <c r="C566" s="734" t="s">
        <v>64</v>
      </c>
      <c r="D566" s="734"/>
      <c r="E566" s="734"/>
      <c r="F566" s="223">
        <v>31.03</v>
      </c>
      <c r="G566" s="223">
        <f t="shared" si="46"/>
        <v>31.03</v>
      </c>
      <c r="H566" s="224" t="s">
        <v>29</v>
      </c>
      <c r="I566" s="225">
        <f t="shared" si="47"/>
        <v>16989.518999999993</v>
      </c>
      <c r="J566" s="223">
        <f t="shared" si="45"/>
        <v>4365.481000000007</v>
      </c>
      <c r="K566" s="233">
        <f t="shared" si="44"/>
        <v>485.10382140030543</v>
      </c>
      <c r="L566" s="760" t="s">
        <v>292</v>
      </c>
      <c r="M566" s="761"/>
      <c r="N566" s="29"/>
      <c r="O566" s="29"/>
      <c r="P566" s="29"/>
      <c r="Q566" s="29"/>
      <c r="R566" s="29"/>
      <c r="S566" s="29"/>
      <c r="T566" s="29"/>
      <c r="U566" s="29"/>
      <c r="V566" s="29"/>
      <c r="W566" s="29"/>
    </row>
    <row r="567" spans="1:23" ht="20.100000000000001" customHeight="1">
      <c r="A567" s="681" t="s">
        <v>180</v>
      </c>
      <c r="B567" s="682"/>
      <c r="C567" s="683" t="s">
        <v>64</v>
      </c>
      <c r="D567" s="683"/>
      <c r="E567" s="683"/>
      <c r="F567" s="220">
        <v>31.14</v>
      </c>
      <c r="G567" s="220">
        <f t="shared" si="46"/>
        <v>31.14</v>
      </c>
      <c r="H567" s="221" t="s">
        <v>29</v>
      </c>
      <c r="I567" s="222">
        <f t="shared" si="47"/>
        <v>17020.658999999992</v>
      </c>
      <c r="J567" s="220">
        <f t="shared" si="45"/>
        <v>4334.3410000000076</v>
      </c>
      <c r="K567" s="231">
        <f t="shared" si="44"/>
        <v>485.83716958976305</v>
      </c>
      <c r="L567" s="760" t="s">
        <v>292</v>
      </c>
      <c r="M567" s="761"/>
      <c r="N567" s="29"/>
      <c r="O567" s="29"/>
      <c r="P567" s="29"/>
      <c r="Q567" s="29"/>
      <c r="R567" s="29"/>
      <c r="S567" s="29"/>
      <c r="T567" s="29"/>
      <c r="U567" s="29"/>
      <c r="V567" s="29"/>
      <c r="W567" s="29"/>
    </row>
    <row r="568" spans="1:23" ht="20.100000000000001" customHeight="1">
      <c r="A568" s="681"/>
      <c r="B568" s="682"/>
      <c r="C568" s="683" t="s">
        <v>64</v>
      </c>
      <c r="D568" s="683"/>
      <c r="E568" s="683"/>
      <c r="F568" s="220">
        <v>31.09</v>
      </c>
      <c r="G568" s="220">
        <f t="shared" si="46"/>
        <v>31.09</v>
      </c>
      <c r="H568" s="221" t="s">
        <v>29</v>
      </c>
      <c r="I568" s="222">
        <f t="shared" si="47"/>
        <v>17051.748999999993</v>
      </c>
      <c r="J568" s="220">
        <f t="shared" si="45"/>
        <v>4303.2510000000075</v>
      </c>
      <c r="K568" s="231">
        <f t="shared" si="44"/>
        <v>486.56934027731074</v>
      </c>
      <c r="L568" s="760" t="s">
        <v>292</v>
      </c>
      <c r="M568" s="761"/>
      <c r="N568" s="29"/>
      <c r="O568" s="29"/>
      <c r="P568" s="29"/>
      <c r="Q568" s="29"/>
      <c r="R568" s="29"/>
      <c r="S568" s="29"/>
      <c r="T568" s="29"/>
      <c r="U568" s="29"/>
      <c r="V568" s="29"/>
      <c r="W568" s="29"/>
    </row>
    <row r="569" spans="1:23" ht="20.100000000000001" customHeight="1">
      <c r="A569" s="681"/>
      <c r="B569" s="682"/>
      <c r="C569" s="683" t="s">
        <v>64</v>
      </c>
      <c r="D569" s="683"/>
      <c r="E569" s="683"/>
      <c r="F569" s="220">
        <v>31.21</v>
      </c>
      <c r="G569" s="220">
        <f t="shared" si="46"/>
        <v>31.21</v>
      </c>
      <c r="H569" s="221" t="s">
        <v>29</v>
      </c>
      <c r="I569" s="222">
        <f t="shared" si="47"/>
        <v>17082.958999999992</v>
      </c>
      <c r="J569" s="220">
        <f t="shared" si="45"/>
        <v>4272.0410000000084</v>
      </c>
      <c r="K569" s="231">
        <f t="shared" si="44"/>
        <v>487.30433696944215</v>
      </c>
      <c r="L569" s="760" t="s">
        <v>292</v>
      </c>
      <c r="M569" s="761"/>
      <c r="N569" s="29"/>
      <c r="O569" s="29"/>
      <c r="P569" s="29"/>
      <c r="Q569" s="29"/>
      <c r="R569" s="29"/>
      <c r="S569" s="29"/>
      <c r="T569" s="29"/>
      <c r="U569" s="29"/>
      <c r="V569" s="29"/>
      <c r="W569" s="29"/>
    </row>
    <row r="570" spans="1:23" ht="20.100000000000001" customHeight="1">
      <c r="A570" s="732" t="s">
        <v>181</v>
      </c>
      <c r="B570" s="733"/>
      <c r="C570" s="734" t="s">
        <v>64</v>
      </c>
      <c r="D570" s="734"/>
      <c r="E570" s="734"/>
      <c r="F570" s="223">
        <v>30.93</v>
      </c>
      <c r="G570" s="223">
        <f t="shared" si="46"/>
        <v>30.93</v>
      </c>
      <c r="H570" s="224" t="s">
        <v>29</v>
      </c>
      <c r="I570" s="225">
        <f t="shared" si="47"/>
        <v>17113.888999999992</v>
      </c>
      <c r="J570" s="223">
        <f t="shared" si="45"/>
        <v>4241.1110000000081</v>
      </c>
      <c r="K570" s="233">
        <f t="shared" si="44"/>
        <v>488.03273965087834</v>
      </c>
      <c r="L570" s="760" t="s">
        <v>292</v>
      </c>
      <c r="M570" s="761"/>
      <c r="N570" s="29"/>
      <c r="O570" s="29"/>
      <c r="P570" s="29"/>
      <c r="Q570" s="29"/>
      <c r="R570" s="29"/>
      <c r="S570" s="29"/>
      <c r="T570" s="29"/>
      <c r="U570" s="29"/>
      <c r="V570" s="29"/>
      <c r="W570" s="29"/>
    </row>
    <row r="571" spans="1:23" ht="20.100000000000001" customHeight="1">
      <c r="A571" s="732"/>
      <c r="B571" s="733"/>
      <c r="C571" s="734" t="s">
        <v>64</v>
      </c>
      <c r="D571" s="734"/>
      <c r="E571" s="734"/>
      <c r="F571" s="223">
        <v>30.98</v>
      </c>
      <c r="G571" s="223">
        <f t="shared" si="46"/>
        <v>30.98</v>
      </c>
      <c r="H571" s="224" t="s">
        <v>29</v>
      </c>
      <c r="I571" s="225">
        <f t="shared" si="47"/>
        <v>17144.868999999992</v>
      </c>
      <c r="J571" s="223">
        <f t="shared" si="45"/>
        <v>4210.1310000000085</v>
      </c>
      <c r="K571" s="233">
        <f t="shared" si="44"/>
        <v>488.7623198342244</v>
      </c>
      <c r="L571" s="760" t="s">
        <v>292</v>
      </c>
      <c r="M571" s="761"/>
      <c r="N571" s="29"/>
      <c r="O571" s="29"/>
      <c r="P571" s="29"/>
      <c r="Q571" s="29"/>
      <c r="R571" s="29"/>
      <c r="S571" s="29"/>
      <c r="T571" s="29"/>
      <c r="U571" s="29"/>
      <c r="V571" s="29"/>
      <c r="W571" s="29"/>
    </row>
    <row r="572" spans="1:23" ht="20.100000000000001" customHeight="1">
      <c r="A572" s="732"/>
      <c r="B572" s="733"/>
      <c r="C572" s="734" t="s">
        <v>64</v>
      </c>
      <c r="D572" s="734"/>
      <c r="E572" s="734"/>
      <c r="F572" s="223">
        <v>31.1</v>
      </c>
      <c r="G572" s="223">
        <f t="shared" si="46"/>
        <v>31.1</v>
      </c>
      <c r="H572" s="224" t="s">
        <v>29</v>
      </c>
      <c r="I572" s="225">
        <f t="shared" si="47"/>
        <v>17175.96899999999</v>
      </c>
      <c r="J572" s="223">
        <f t="shared" si="45"/>
        <v>4179.03100000001</v>
      </c>
      <c r="K572" s="233">
        <f t="shared" si="44"/>
        <v>489.49472602215411</v>
      </c>
      <c r="L572" s="760" t="s">
        <v>292</v>
      </c>
      <c r="M572" s="761"/>
      <c r="N572" s="29"/>
      <c r="O572" s="29"/>
      <c r="P572" s="29"/>
      <c r="Q572" s="29"/>
      <c r="R572" s="29"/>
      <c r="S572" s="29"/>
      <c r="T572" s="29"/>
      <c r="U572" s="29"/>
      <c r="V572" s="29"/>
      <c r="W572" s="29"/>
    </row>
    <row r="573" spans="1:23" ht="20.100000000000001" customHeight="1">
      <c r="A573" s="681" t="s">
        <v>182</v>
      </c>
      <c r="B573" s="682"/>
      <c r="C573" s="683" t="s">
        <v>64</v>
      </c>
      <c r="D573" s="683"/>
      <c r="E573" s="683"/>
      <c r="F573" s="220">
        <v>31.24</v>
      </c>
      <c r="G573" s="220">
        <f t="shared" si="46"/>
        <v>31.24</v>
      </c>
      <c r="H573" s="221" t="s">
        <v>29</v>
      </c>
      <c r="I573" s="222">
        <f t="shared" si="47"/>
        <v>17207.208999999992</v>
      </c>
      <c r="J573" s="220">
        <f t="shared" si="45"/>
        <v>4147.7910000000084</v>
      </c>
      <c r="K573" s="231">
        <f t="shared" si="44"/>
        <v>490.23042921543146</v>
      </c>
      <c r="L573" s="760" t="s">
        <v>292</v>
      </c>
      <c r="M573" s="761"/>
      <c r="N573" s="29"/>
      <c r="O573" s="29"/>
      <c r="P573" s="29"/>
      <c r="Q573" s="29"/>
      <c r="R573" s="29"/>
      <c r="S573" s="29"/>
      <c r="T573" s="29"/>
      <c r="U573" s="29"/>
      <c r="V573" s="29"/>
      <c r="W573" s="29"/>
    </row>
    <row r="574" spans="1:23" ht="20.100000000000001" customHeight="1">
      <c r="A574" s="681"/>
      <c r="B574" s="682"/>
      <c r="C574" s="683" t="s">
        <v>64</v>
      </c>
      <c r="D574" s="683"/>
      <c r="E574" s="683"/>
      <c r="F574" s="220">
        <v>31.15</v>
      </c>
      <c r="G574" s="220">
        <f t="shared" si="46"/>
        <v>31.15</v>
      </c>
      <c r="H574" s="221" t="s">
        <v>29</v>
      </c>
      <c r="I574" s="222">
        <f t="shared" si="47"/>
        <v>17238.358999999993</v>
      </c>
      <c r="J574" s="220">
        <f t="shared" si="45"/>
        <v>4116.6410000000069</v>
      </c>
      <c r="K574" s="231">
        <f t="shared" si="44"/>
        <v>490.96401290527103</v>
      </c>
      <c r="L574" s="760" t="s">
        <v>292</v>
      </c>
      <c r="M574" s="761"/>
      <c r="N574" s="29"/>
      <c r="O574" s="29"/>
      <c r="P574" s="29"/>
      <c r="Q574" s="29"/>
      <c r="R574" s="29"/>
      <c r="S574" s="29"/>
      <c r="T574" s="29"/>
      <c r="U574" s="29"/>
      <c r="V574" s="29"/>
      <c r="W574" s="29"/>
    </row>
    <row r="575" spans="1:23" ht="20.100000000000001" customHeight="1">
      <c r="A575" s="681"/>
      <c r="B575" s="682"/>
      <c r="C575" s="683" t="s">
        <v>64</v>
      </c>
      <c r="D575" s="683"/>
      <c r="E575" s="683"/>
      <c r="F575" s="220">
        <v>31.28</v>
      </c>
      <c r="G575" s="220">
        <f t="shared" si="46"/>
        <v>31.28</v>
      </c>
      <c r="H575" s="221" t="s">
        <v>29</v>
      </c>
      <c r="I575" s="222">
        <f t="shared" si="47"/>
        <v>17269.638999999992</v>
      </c>
      <c r="J575" s="220">
        <f t="shared" si="45"/>
        <v>4085.3610000000081</v>
      </c>
      <c r="K575" s="231">
        <f t="shared" si="44"/>
        <v>491.70065810007623</v>
      </c>
      <c r="L575" s="760" t="s">
        <v>292</v>
      </c>
      <c r="M575" s="761"/>
      <c r="N575" s="29"/>
      <c r="O575" s="29"/>
      <c r="P575" s="29"/>
      <c r="Q575" s="29"/>
      <c r="R575" s="29"/>
      <c r="S575" s="29"/>
      <c r="T575" s="29"/>
      <c r="U575" s="29"/>
      <c r="V575" s="29"/>
      <c r="W575" s="29"/>
    </row>
    <row r="576" spans="1:23" ht="20.100000000000001" customHeight="1">
      <c r="A576" s="732" t="s">
        <v>183</v>
      </c>
      <c r="B576" s="733"/>
      <c r="C576" s="734" t="s">
        <v>64</v>
      </c>
      <c r="D576" s="734"/>
      <c r="E576" s="734"/>
      <c r="F576" s="223">
        <v>31.11</v>
      </c>
      <c r="G576" s="223">
        <f t="shared" si="46"/>
        <v>31.11</v>
      </c>
      <c r="H576" s="224" t="s">
        <v>29</v>
      </c>
      <c r="I576" s="225">
        <f t="shared" si="47"/>
        <v>17300.748999999993</v>
      </c>
      <c r="J576" s="223">
        <f t="shared" si="45"/>
        <v>4054.2510000000075</v>
      </c>
      <c r="K576" s="233">
        <f t="shared" si="44"/>
        <v>492.43329978838796</v>
      </c>
      <c r="L576" s="760" t="s">
        <v>292</v>
      </c>
      <c r="M576" s="761"/>
      <c r="N576" s="29"/>
      <c r="O576" s="29"/>
      <c r="P576" s="29"/>
      <c r="Q576" s="29"/>
      <c r="R576" s="29"/>
      <c r="S576" s="29"/>
      <c r="T576" s="29"/>
      <c r="U576" s="29"/>
      <c r="V576" s="29"/>
      <c r="W576" s="29"/>
    </row>
    <row r="577" spans="1:23" ht="20.100000000000001" customHeight="1">
      <c r="A577" s="732"/>
      <c r="B577" s="733"/>
      <c r="C577" s="734" t="s">
        <v>64</v>
      </c>
      <c r="D577" s="734"/>
      <c r="E577" s="734"/>
      <c r="F577" s="223">
        <v>30.85</v>
      </c>
      <c r="G577" s="223">
        <f t="shared" si="46"/>
        <v>30.85</v>
      </c>
      <c r="H577" s="224" t="s">
        <v>29</v>
      </c>
      <c r="I577" s="225">
        <f t="shared" si="47"/>
        <v>17331.598999999991</v>
      </c>
      <c r="J577" s="223">
        <f t="shared" si="45"/>
        <v>4023.4010000000089</v>
      </c>
      <c r="K577" s="233">
        <f t="shared" si="44"/>
        <v>493.15981846676834</v>
      </c>
      <c r="L577" s="760" t="s">
        <v>292</v>
      </c>
      <c r="M577" s="761"/>
      <c r="N577" s="29"/>
      <c r="O577" s="29"/>
      <c r="P577" s="29"/>
      <c r="Q577" s="29"/>
      <c r="R577" s="29"/>
      <c r="S577" s="29"/>
      <c r="T577" s="29"/>
      <c r="U577" s="29"/>
      <c r="V577" s="29"/>
      <c r="W577" s="29"/>
    </row>
    <row r="578" spans="1:23" ht="20.100000000000001" customHeight="1">
      <c r="A578" s="732"/>
      <c r="B578" s="733"/>
      <c r="C578" s="734" t="s">
        <v>64</v>
      </c>
      <c r="D578" s="734"/>
      <c r="E578" s="734"/>
      <c r="F578" s="223">
        <v>31.31</v>
      </c>
      <c r="G578" s="223">
        <f t="shared" si="46"/>
        <v>31.31</v>
      </c>
      <c r="H578" s="224" t="s">
        <v>29</v>
      </c>
      <c r="I578" s="225">
        <f t="shared" si="47"/>
        <v>17362.908999999992</v>
      </c>
      <c r="J578" s="223">
        <f t="shared" si="45"/>
        <v>3992.0910000000076</v>
      </c>
      <c r="K578" s="233">
        <f t="shared" si="44"/>
        <v>493.89717016271948</v>
      </c>
      <c r="L578" s="760" t="s">
        <v>292</v>
      </c>
      <c r="M578" s="761"/>
      <c r="N578" s="29"/>
      <c r="O578" s="29"/>
      <c r="P578" s="29"/>
      <c r="Q578" s="29"/>
      <c r="R578" s="29"/>
      <c r="S578" s="29"/>
      <c r="T578" s="29"/>
      <c r="U578" s="29"/>
      <c r="V578" s="29"/>
      <c r="W578" s="29"/>
    </row>
    <row r="579" spans="1:23" ht="20.100000000000001" customHeight="1">
      <c r="A579" s="681" t="s">
        <v>184</v>
      </c>
      <c r="B579" s="682"/>
      <c r="C579" s="683" t="s">
        <v>64</v>
      </c>
      <c r="D579" s="683"/>
      <c r="E579" s="683"/>
      <c r="F579" s="220">
        <v>31.11</v>
      </c>
      <c r="G579" s="220">
        <f t="shared" si="46"/>
        <v>31.11</v>
      </c>
      <c r="H579" s="221" t="s">
        <v>29</v>
      </c>
      <c r="I579" s="222">
        <f t="shared" si="47"/>
        <v>17394.018999999993</v>
      </c>
      <c r="J579" s="220">
        <f t="shared" si="45"/>
        <v>3960.981000000007</v>
      </c>
      <c r="K579" s="231">
        <f t="shared" si="44"/>
        <v>494.62981185103121</v>
      </c>
      <c r="L579" s="760" t="s">
        <v>292</v>
      </c>
      <c r="M579" s="761"/>
      <c r="N579" s="29"/>
      <c r="O579" s="29"/>
      <c r="P579" s="29"/>
      <c r="Q579" s="29"/>
      <c r="R579" s="29"/>
      <c r="S579" s="29"/>
      <c r="T579" s="29"/>
      <c r="U579" s="29"/>
      <c r="V579" s="29"/>
      <c r="W579" s="29"/>
    </row>
    <row r="580" spans="1:23" ht="20.100000000000001" customHeight="1">
      <c r="A580" s="681"/>
      <c r="B580" s="682"/>
      <c r="C580" s="683" t="s">
        <v>64</v>
      </c>
      <c r="D580" s="683"/>
      <c r="E580" s="683"/>
      <c r="F580" s="220">
        <v>31.23</v>
      </c>
      <c r="G580" s="220">
        <f t="shared" si="46"/>
        <v>31.23</v>
      </c>
      <c r="H580" s="221" t="s">
        <v>29</v>
      </c>
      <c r="I580" s="222">
        <f t="shared" si="47"/>
        <v>17425.248999999993</v>
      </c>
      <c r="J580" s="220">
        <f t="shared" si="45"/>
        <v>3929.7510000000075</v>
      </c>
      <c r="K580" s="231">
        <f t="shared" si="44"/>
        <v>495.36527954392653</v>
      </c>
      <c r="L580" s="760" t="s">
        <v>292</v>
      </c>
      <c r="M580" s="761"/>
      <c r="N580" s="29"/>
      <c r="O580" s="29"/>
      <c r="P580" s="29"/>
      <c r="Q580" s="29"/>
      <c r="R580" s="29"/>
      <c r="S580" s="29"/>
      <c r="T580" s="29"/>
      <c r="U580" s="29"/>
      <c r="V580" s="29"/>
      <c r="W580" s="29"/>
    </row>
    <row r="581" spans="1:23" ht="20.100000000000001" customHeight="1">
      <c r="A581" s="681"/>
      <c r="B581" s="682"/>
      <c r="C581" s="683" t="s">
        <v>64</v>
      </c>
      <c r="D581" s="683"/>
      <c r="E581" s="683"/>
      <c r="F581" s="220">
        <v>31.14</v>
      </c>
      <c r="G581" s="220">
        <f t="shared" si="46"/>
        <v>31.14</v>
      </c>
      <c r="H581" s="221" t="s">
        <v>29</v>
      </c>
      <c r="I581" s="222">
        <f t="shared" si="47"/>
        <v>17456.388999999992</v>
      </c>
      <c r="J581" s="220">
        <f t="shared" si="45"/>
        <v>3898.6110000000081</v>
      </c>
      <c r="K581" s="231">
        <f t="shared" si="44"/>
        <v>496.09862773338409</v>
      </c>
      <c r="L581" s="760" t="s">
        <v>292</v>
      </c>
      <c r="M581" s="761"/>
      <c r="N581" s="29"/>
      <c r="O581" s="29"/>
      <c r="P581" s="29"/>
      <c r="Q581" s="29"/>
      <c r="R581" s="29"/>
      <c r="S581" s="29"/>
      <c r="T581" s="29"/>
      <c r="U581" s="29"/>
      <c r="V581" s="29"/>
      <c r="W581" s="29"/>
    </row>
    <row r="582" spans="1:23" ht="20.100000000000001" customHeight="1">
      <c r="A582" s="732" t="s">
        <v>185</v>
      </c>
      <c r="B582" s="733"/>
      <c r="C582" s="734" t="s">
        <v>64</v>
      </c>
      <c r="D582" s="734"/>
      <c r="E582" s="734"/>
      <c r="F582" s="223">
        <v>30.71</v>
      </c>
      <c r="G582" s="223">
        <f t="shared" si="46"/>
        <v>30.71</v>
      </c>
      <c r="H582" s="224" t="s">
        <v>29</v>
      </c>
      <c r="I582" s="225">
        <f t="shared" si="47"/>
        <v>17487.098999999991</v>
      </c>
      <c r="J582" s="223">
        <f t="shared" si="45"/>
        <v>3867.9010000000089</v>
      </c>
      <c r="K582" s="233">
        <f t="shared" si="44"/>
        <v>496.82184940641696</v>
      </c>
      <c r="L582" s="760" t="s">
        <v>292</v>
      </c>
      <c r="M582" s="761"/>
      <c r="N582" s="29"/>
      <c r="O582" s="29"/>
      <c r="P582" s="29"/>
      <c r="Q582" s="29"/>
      <c r="R582" s="29"/>
      <c r="S582" s="29"/>
      <c r="T582" s="29"/>
      <c r="U582" s="29"/>
      <c r="V582" s="29"/>
      <c r="W582" s="29"/>
    </row>
    <row r="583" spans="1:23" ht="20.100000000000001" customHeight="1">
      <c r="A583" s="732"/>
      <c r="B583" s="733"/>
      <c r="C583" s="734" t="s">
        <v>64</v>
      </c>
      <c r="D583" s="734"/>
      <c r="E583" s="734"/>
      <c r="F583" s="223">
        <v>31.25</v>
      </c>
      <c r="G583" s="223">
        <f t="shared" si="46"/>
        <v>31.25</v>
      </c>
      <c r="H583" s="224" t="s">
        <v>29</v>
      </c>
      <c r="I583" s="225">
        <f t="shared" si="47"/>
        <v>17518.348999999991</v>
      </c>
      <c r="J583" s="223">
        <f t="shared" si="45"/>
        <v>3836.6510000000089</v>
      </c>
      <c r="K583" s="233">
        <f t="shared" si="44"/>
        <v>497.55778810007621</v>
      </c>
      <c r="L583" s="760" t="s">
        <v>292</v>
      </c>
      <c r="M583" s="761"/>
      <c r="N583" s="29"/>
      <c r="O583" s="29"/>
      <c r="P583" s="29"/>
      <c r="Q583" s="29"/>
      <c r="R583" s="29"/>
      <c r="S583" s="29"/>
      <c r="T583" s="29"/>
      <c r="U583" s="29"/>
      <c r="V583" s="29"/>
      <c r="W583" s="29"/>
    </row>
    <row r="584" spans="1:23" ht="20.100000000000001" customHeight="1">
      <c r="A584" s="732"/>
      <c r="B584" s="733"/>
      <c r="C584" s="734" t="s">
        <v>64</v>
      </c>
      <c r="D584" s="734"/>
      <c r="E584" s="734"/>
      <c r="F584" s="223">
        <v>30.84</v>
      </c>
      <c r="G584" s="223">
        <f t="shared" si="46"/>
        <v>30.84</v>
      </c>
      <c r="H584" s="224" t="s">
        <v>29</v>
      </c>
      <c r="I584" s="225">
        <f t="shared" si="47"/>
        <v>17549.188999999991</v>
      </c>
      <c r="J584" s="223">
        <f t="shared" si="45"/>
        <v>3805.8110000000088</v>
      </c>
      <c r="K584" s="233">
        <f t="shared" si="44"/>
        <v>498.28407127807469</v>
      </c>
      <c r="L584" s="760" t="s">
        <v>292</v>
      </c>
      <c r="M584" s="761"/>
      <c r="N584" s="29"/>
      <c r="O584" s="29"/>
      <c r="P584" s="29"/>
      <c r="Q584" s="29"/>
      <c r="R584" s="29"/>
      <c r="S584" s="29"/>
      <c r="T584" s="29"/>
      <c r="U584" s="29"/>
      <c r="V584" s="29"/>
      <c r="W584" s="29"/>
    </row>
    <row r="585" spans="1:23" ht="20.100000000000001" customHeight="1">
      <c r="A585" s="681" t="s">
        <v>186</v>
      </c>
      <c r="B585" s="682"/>
      <c r="C585" s="683" t="s">
        <v>64</v>
      </c>
      <c r="D585" s="683"/>
      <c r="E585" s="683"/>
      <c r="F585" s="220">
        <v>30.65</v>
      </c>
      <c r="G585" s="220">
        <f t="shared" si="46"/>
        <v>30.65</v>
      </c>
      <c r="H585" s="221" t="s">
        <v>29</v>
      </c>
      <c r="I585" s="222">
        <f t="shared" si="47"/>
        <v>17579.838999999993</v>
      </c>
      <c r="J585" s="220">
        <f t="shared" si="45"/>
        <v>3775.1610000000073</v>
      </c>
      <c r="K585" s="231">
        <f t="shared" si="44"/>
        <v>499.00587994881573</v>
      </c>
      <c r="L585" s="760" t="s">
        <v>292</v>
      </c>
      <c r="M585" s="761"/>
      <c r="N585" s="29"/>
      <c r="O585" s="29"/>
      <c r="P585" s="29"/>
      <c r="Q585" s="29"/>
      <c r="R585" s="29"/>
      <c r="S585" s="29"/>
      <c r="T585" s="29"/>
      <c r="U585" s="29"/>
      <c r="V585" s="29"/>
      <c r="W585" s="29"/>
    </row>
    <row r="586" spans="1:23" ht="20.100000000000001" customHeight="1">
      <c r="A586" s="681"/>
      <c r="B586" s="682"/>
      <c r="C586" s="683" t="s">
        <v>64</v>
      </c>
      <c r="D586" s="683"/>
      <c r="E586" s="683"/>
      <c r="F586" s="220">
        <v>30.07</v>
      </c>
      <c r="G586" s="220">
        <f t="shared" si="46"/>
        <v>30.07</v>
      </c>
      <c r="H586" s="221" t="s">
        <v>29</v>
      </c>
      <c r="I586" s="222">
        <f t="shared" si="47"/>
        <v>17609.908999999992</v>
      </c>
      <c r="J586" s="220">
        <f t="shared" si="45"/>
        <v>3745.0910000000076</v>
      </c>
      <c r="K586" s="231">
        <f t="shared" si="44"/>
        <v>499.71402959740243</v>
      </c>
      <c r="L586" s="760" t="s">
        <v>292</v>
      </c>
      <c r="M586" s="761"/>
      <c r="N586" s="29"/>
      <c r="O586" s="29"/>
      <c r="P586" s="29"/>
      <c r="Q586" s="29"/>
      <c r="R586" s="29"/>
      <c r="S586" s="29"/>
      <c r="T586" s="29"/>
      <c r="U586" s="29"/>
      <c r="V586" s="29"/>
      <c r="W586" s="29"/>
    </row>
    <row r="587" spans="1:23" ht="20.100000000000001" customHeight="1">
      <c r="A587" s="681"/>
      <c r="B587" s="682"/>
      <c r="C587" s="683" t="s">
        <v>64</v>
      </c>
      <c r="D587" s="683"/>
      <c r="E587" s="683"/>
      <c r="F587" s="220">
        <v>31.33</v>
      </c>
      <c r="G587" s="220">
        <f t="shared" si="46"/>
        <v>31.33</v>
      </c>
      <c r="H587" s="221" t="s">
        <v>29</v>
      </c>
      <c r="I587" s="222">
        <f t="shared" si="47"/>
        <v>17641.238999999994</v>
      </c>
      <c r="J587" s="220">
        <f t="shared" si="45"/>
        <v>3713.7610000000059</v>
      </c>
      <c r="K587" s="231">
        <f t="shared" si="44"/>
        <v>500.45185229411749</v>
      </c>
      <c r="L587" s="760" t="s">
        <v>292</v>
      </c>
      <c r="M587" s="761"/>
      <c r="N587" s="29"/>
      <c r="O587" s="29"/>
      <c r="P587" s="29"/>
      <c r="Q587" s="29"/>
      <c r="R587" s="29"/>
      <c r="S587" s="29"/>
      <c r="T587" s="29"/>
      <c r="U587" s="29"/>
      <c r="V587" s="29"/>
      <c r="W587" s="29"/>
    </row>
    <row r="588" spans="1:23" ht="20.100000000000001" customHeight="1">
      <c r="A588" s="732" t="s">
        <v>187</v>
      </c>
      <c r="B588" s="733"/>
      <c r="C588" s="734" t="s">
        <v>64</v>
      </c>
      <c r="D588" s="734"/>
      <c r="E588" s="734"/>
      <c r="F588" s="223">
        <v>30.93</v>
      </c>
      <c r="G588" s="223">
        <f t="shared" si="46"/>
        <v>30.93</v>
      </c>
      <c r="H588" s="224" t="s">
        <v>29</v>
      </c>
      <c r="I588" s="225">
        <f t="shared" si="47"/>
        <v>17672.168999999994</v>
      </c>
      <c r="J588" s="223">
        <f t="shared" si="45"/>
        <v>3682.8310000000056</v>
      </c>
      <c r="K588" s="233">
        <f t="shared" si="44"/>
        <v>501.18025497555379</v>
      </c>
      <c r="L588" s="760" t="s">
        <v>292</v>
      </c>
      <c r="M588" s="761"/>
      <c r="N588" s="29"/>
      <c r="O588" s="29"/>
      <c r="P588" s="29"/>
      <c r="Q588" s="29"/>
      <c r="R588" s="29"/>
      <c r="S588" s="29"/>
      <c r="T588" s="29"/>
      <c r="U588" s="29"/>
      <c r="V588" s="29"/>
      <c r="W588" s="29"/>
    </row>
    <row r="589" spans="1:23" ht="20.100000000000001" customHeight="1">
      <c r="A589" s="732"/>
      <c r="B589" s="733"/>
      <c r="C589" s="734" t="s">
        <v>64</v>
      </c>
      <c r="D589" s="734"/>
      <c r="E589" s="734"/>
      <c r="F589" s="223">
        <v>31.2</v>
      </c>
      <c r="G589" s="223">
        <f t="shared" si="46"/>
        <v>31.2</v>
      </c>
      <c r="H589" s="224" t="s">
        <v>29</v>
      </c>
      <c r="I589" s="225">
        <f t="shared" si="47"/>
        <v>17703.368999999995</v>
      </c>
      <c r="J589" s="223">
        <f t="shared" si="45"/>
        <v>3651.6310000000049</v>
      </c>
      <c r="K589" s="233">
        <f t="shared" si="44"/>
        <v>501.91501616730318</v>
      </c>
      <c r="L589" s="760" t="s">
        <v>292</v>
      </c>
      <c r="M589" s="761"/>
      <c r="N589" s="29"/>
      <c r="O589" s="29"/>
      <c r="P589" s="29"/>
      <c r="Q589" s="29"/>
      <c r="R589" s="29"/>
      <c r="S589" s="29"/>
      <c r="T589" s="29"/>
      <c r="U589" s="29"/>
      <c r="V589" s="29"/>
      <c r="W589" s="29"/>
    </row>
    <row r="590" spans="1:23" ht="20.100000000000001" customHeight="1">
      <c r="A590" s="732"/>
      <c r="B590" s="733"/>
      <c r="C590" s="734" t="s">
        <v>64</v>
      </c>
      <c r="D590" s="734"/>
      <c r="E590" s="734"/>
      <c r="F590" s="223">
        <v>31.63</v>
      </c>
      <c r="G590" s="223">
        <f t="shared" si="46"/>
        <v>31.63</v>
      </c>
      <c r="H590" s="224" t="s">
        <v>29</v>
      </c>
      <c r="I590" s="225">
        <f t="shared" si="47"/>
        <v>17734.998999999996</v>
      </c>
      <c r="J590" s="223">
        <f t="shared" si="45"/>
        <v>3620.0010000000038</v>
      </c>
      <c r="K590" s="233">
        <f t="shared" si="44"/>
        <v>502.65990387547737</v>
      </c>
      <c r="L590" s="760" t="s">
        <v>292</v>
      </c>
      <c r="M590" s="761"/>
      <c r="N590" s="29"/>
      <c r="O590" s="29"/>
      <c r="P590" s="29"/>
      <c r="Q590" s="29"/>
      <c r="R590" s="29"/>
      <c r="S590" s="29"/>
      <c r="T590" s="29"/>
      <c r="U590" s="29"/>
      <c r="V590" s="29"/>
      <c r="W590" s="29"/>
    </row>
    <row r="591" spans="1:23" ht="20.100000000000001" customHeight="1">
      <c r="A591" s="681" t="s">
        <v>188</v>
      </c>
      <c r="B591" s="682"/>
      <c r="C591" s="683" t="s">
        <v>64</v>
      </c>
      <c r="D591" s="683"/>
      <c r="E591" s="683"/>
      <c r="F591" s="220">
        <v>31.07</v>
      </c>
      <c r="G591" s="220">
        <f t="shared" si="46"/>
        <v>31.07</v>
      </c>
      <c r="H591" s="221" t="s">
        <v>29</v>
      </c>
      <c r="I591" s="222">
        <f t="shared" si="47"/>
        <v>17766.068999999996</v>
      </c>
      <c r="J591" s="220">
        <f t="shared" si="45"/>
        <v>3588.9310000000041</v>
      </c>
      <c r="K591" s="231">
        <f t="shared" si="44"/>
        <v>503.3916035622612</v>
      </c>
      <c r="L591" s="760" t="s">
        <v>292</v>
      </c>
      <c r="M591" s="761"/>
      <c r="N591" s="29"/>
      <c r="O591" s="29"/>
      <c r="P591" s="29"/>
      <c r="Q591" s="29"/>
      <c r="R591" s="29"/>
      <c r="S591" s="29"/>
      <c r="T591" s="29"/>
      <c r="U591" s="29"/>
      <c r="V591" s="29"/>
      <c r="W591" s="29"/>
    </row>
    <row r="592" spans="1:23" ht="20.100000000000001" customHeight="1">
      <c r="A592" s="681"/>
      <c r="B592" s="682"/>
      <c r="C592" s="683" t="s">
        <v>64</v>
      </c>
      <c r="D592" s="683"/>
      <c r="E592" s="683"/>
      <c r="F592" s="220">
        <v>30.86</v>
      </c>
      <c r="G592" s="220">
        <f t="shared" si="46"/>
        <v>30.86</v>
      </c>
      <c r="H592" s="221" t="s">
        <v>29</v>
      </c>
      <c r="I592" s="222">
        <f t="shared" si="47"/>
        <v>17796.928999999996</v>
      </c>
      <c r="J592" s="220">
        <f t="shared" si="45"/>
        <v>3558.0710000000036</v>
      </c>
      <c r="K592" s="231">
        <f t="shared" si="44"/>
        <v>504.1183577410236</v>
      </c>
      <c r="L592" s="760" t="s">
        <v>292</v>
      </c>
      <c r="M592" s="761"/>
      <c r="N592" s="29"/>
      <c r="O592" s="29"/>
      <c r="P592" s="29"/>
      <c r="Q592" s="29"/>
      <c r="R592" s="29"/>
      <c r="S592" s="29"/>
      <c r="T592" s="29"/>
      <c r="U592" s="29"/>
      <c r="V592" s="29"/>
      <c r="W592" s="29"/>
    </row>
    <row r="593" spans="1:23" ht="20.100000000000001" customHeight="1">
      <c r="A593" s="681"/>
      <c r="B593" s="682"/>
      <c r="C593" s="683" t="s">
        <v>64</v>
      </c>
      <c r="D593" s="683"/>
      <c r="E593" s="683"/>
      <c r="F593" s="220">
        <v>30.84</v>
      </c>
      <c r="G593" s="220">
        <f t="shared" si="46"/>
        <v>30.84</v>
      </c>
      <c r="H593" s="221" t="s">
        <v>29</v>
      </c>
      <c r="I593" s="222">
        <f t="shared" si="47"/>
        <v>17827.768999999997</v>
      </c>
      <c r="J593" s="220">
        <f t="shared" si="45"/>
        <v>3527.2310000000034</v>
      </c>
      <c r="K593" s="231">
        <f t="shared" si="44"/>
        <v>504.84464091902208</v>
      </c>
      <c r="L593" s="760" t="s">
        <v>292</v>
      </c>
      <c r="M593" s="761"/>
      <c r="N593" s="29"/>
      <c r="O593" s="29"/>
      <c r="P593" s="29"/>
      <c r="Q593" s="29"/>
      <c r="R593" s="29"/>
      <c r="S593" s="29"/>
      <c r="T593" s="29"/>
      <c r="U593" s="29"/>
      <c r="V593" s="29"/>
      <c r="W593" s="29"/>
    </row>
    <row r="594" spans="1:23" ht="20.100000000000001" customHeight="1">
      <c r="A594" s="732" t="s">
        <v>189</v>
      </c>
      <c r="B594" s="733"/>
      <c r="C594" s="734" t="s">
        <v>64</v>
      </c>
      <c r="D594" s="734"/>
      <c r="E594" s="734"/>
      <c r="F594" s="223">
        <v>30.88</v>
      </c>
      <c r="G594" s="223">
        <f t="shared" si="46"/>
        <v>30.88</v>
      </c>
      <c r="H594" s="224" t="s">
        <v>29</v>
      </c>
      <c r="I594" s="225">
        <f t="shared" si="47"/>
        <v>17858.648999999998</v>
      </c>
      <c r="J594" s="223">
        <f t="shared" si="45"/>
        <v>3496.3510000000024</v>
      </c>
      <c r="K594" s="233">
        <f t="shared" si="44"/>
        <v>505.57186609854847</v>
      </c>
      <c r="L594" s="760" t="s">
        <v>292</v>
      </c>
      <c r="M594" s="761"/>
      <c r="N594" s="29"/>
      <c r="O594" s="29"/>
      <c r="P594" s="29"/>
      <c r="Q594" s="29"/>
      <c r="R594" s="29"/>
      <c r="S594" s="29"/>
      <c r="T594" s="29"/>
      <c r="U594" s="29"/>
      <c r="V594" s="29"/>
      <c r="W594" s="29"/>
    </row>
    <row r="595" spans="1:23" ht="20.100000000000001" customHeight="1">
      <c r="A595" s="732"/>
      <c r="B595" s="733"/>
      <c r="C595" s="734" t="s">
        <v>64</v>
      </c>
      <c r="D595" s="734"/>
      <c r="E595" s="734"/>
      <c r="F595" s="223">
        <v>31.1</v>
      </c>
      <c r="G595" s="223">
        <f t="shared" si="46"/>
        <v>31.1</v>
      </c>
      <c r="H595" s="224" t="s">
        <v>29</v>
      </c>
      <c r="I595" s="225">
        <f t="shared" si="47"/>
        <v>17889.748999999996</v>
      </c>
      <c r="J595" s="223">
        <f t="shared" si="45"/>
        <v>3465.2510000000038</v>
      </c>
      <c r="K595" s="233">
        <f t="shared" si="44"/>
        <v>506.30427228647818</v>
      </c>
      <c r="L595" s="760" t="s">
        <v>292</v>
      </c>
      <c r="M595" s="761"/>
      <c r="N595" s="29"/>
      <c r="O595" s="29"/>
      <c r="P595" s="29"/>
      <c r="Q595" s="29"/>
      <c r="R595" s="29"/>
      <c r="S595" s="29"/>
      <c r="T595" s="29"/>
      <c r="U595" s="29"/>
      <c r="V595" s="29"/>
      <c r="W595" s="29"/>
    </row>
    <row r="596" spans="1:23" ht="20.100000000000001" customHeight="1">
      <c r="A596" s="732"/>
      <c r="B596" s="733"/>
      <c r="C596" s="734" t="s">
        <v>64</v>
      </c>
      <c r="D596" s="734"/>
      <c r="E596" s="734"/>
      <c r="F596" s="223">
        <v>31.2</v>
      </c>
      <c r="G596" s="223">
        <f t="shared" si="46"/>
        <v>31.2</v>
      </c>
      <c r="H596" s="224" t="s">
        <v>29</v>
      </c>
      <c r="I596" s="225">
        <f t="shared" si="47"/>
        <v>17920.948999999997</v>
      </c>
      <c r="J596" s="223">
        <f t="shared" si="45"/>
        <v>3434.0510000000031</v>
      </c>
      <c r="K596" s="233">
        <f t="shared" si="44"/>
        <v>507.03903347822757</v>
      </c>
      <c r="L596" s="760" t="s">
        <v>292</v>
      </c>
      <c r="M596" s="761"/>
      <c r="N596" s="29"/>
      <c r="O596" s="29"/>
      <c r="P596" s="29"/>
      <c r="Q596" s="29"/>
      <c r="R596" s="29"/>
      <c r="S596" s="29"/>
      <c r="T596" s="29"/>
      <c r="U596" s="29"/>
      <c r="V596" s="29"/>
      <c r="W596" s="29"/>
    </row>
    <row r="597" spans="1:23" ht="20.100000000000001" customHeight="1">
      <c r="A597" s="681" t="s">
        <v>190</v>
      </c>
      <c r="B597" s="682"/>
      <c r="C597" s="683" t="s">
        <v>64</v>
      </c>
      <c r="D597" s="683"/>
      <c r="E597" s="683"/>
      <c r="F597" s="220">
        <v>31.07</v>
      </c>
      <c r="G597" s="220">
        <f t="shared" si="46"/>
        <v>31.07</v>
      </c>
      <c r="H597" s="221" t="s">
        <v>29</v>
      </c>
      <c r="I597" s="222">
        <f t="shared" si="47"/>
        <v>17952.018999999997</v>
      </c>
      <c r="J597" s="220">
        <f t="shared" si="45"/>
        <v>3402.9810000000034</v>
      </c>
      <c r="K597" s="231">
        <f t="shared" si="44"/>
        <v>507.77073316501139</v>
      </c>
      <c r="L597" s="760" t="s">
        <v>292</v>
      </c>
      <c r="M597" s="761"/>
      <c r="N597" s="29"/>
      <c r="O597" s="29"/>
      <c r="P597" s="29"/>
      <c r="Q597" s="29"/>
      <c r="R597" s="29"/>
      <c r="S597" s="29"/>
      <c r="T597" s="29"/>
      <c r="U597" s="29"/>
      <c r="V597" s="29"/>
      <c r="W597" s="29"/>
    </row>
    <row r="598" spans="1:23" ht="20.100000000000001" customHeight="1">
      <c r="A598" s="681"/>
      <c r="B598" s="682"/>
      <c r="C598" s="683" t="s">
        <v>64</v>
      </c>
      <c r="D598" s="683"/>
      <c r="E598" s="683"/>
      <c r="F598" s="220">
        <v>30.97</v>
      </c>
      <c r="G598" s="220">
        <f t="shared" si="46"/>
        <v>30.97</v>
      </c>
      <c r="H598" s="221" t="s">
        <v>29</v>
      </c>
      <c r="I598" s="222">
        <f t="shared" si="47"/>
        <v>17982.988999999998</v>
      </c>
      <c r="J598" s="220">
        <f t="shared" si="45"/>
        <v>3372.0110000000022</v>
      </c>
      <c r="K598" s="231">
        <f t="shared" si="44"/>
        <v>508.50007784797555</v>
      </c>
      <c r="L598" s="760" t="s">
        <v>292</v>
      </c>
      <c r="M598" s="761"/>
      <c r="N598" s="29"/>
      <c r="O598" s="29"/>
      <c r="P598" s="29"/>
      <c r="Q598" s="29"/>
      <c r="R598" s="29"/>
      <c r="S598" s="29"/>
      <c r="T598" s="29"/>
      <c r="U598" s="29"/>
      <c r="V598" s="29"/>
      <c r="W598" s="29"/>
    </row>
    <row r="599" spans="1:23" ht="20.100000000000001" customHeight="1">
      <c r="A599" s="681"/>
      <c r="B599" s="682"/>
      <c r="C599" s="683" t="s">
        <v>64</v>
      </c>
      <c r="D599" s="683"/>
      <c r="E599" s="683"/>
      <c r="F599" s="220">
        <v>30.93</v>
      </c>
      <c r="G599" s="220">
        <f t="shared" si="46"/>
        <v>30.93</v>
      </c>
      <c r="H599" s="221" t="s">
        <v>29</v>
      </c>
      <c r="I599" s="222">
        <f t="shared" si="47"/>
        <v>18013.918999999998</v>
      </c>
      <c r="J599" s="220">
        <f t="shared" si="45"/>
        <v>3341.0810000000019</v>
      </c>
      <c r="K599" s="231">
        <f t="shared" si="44"/>
        <v>509.22848052941174</v>
      </c>
      <c r="L599" s="760" t="s">
        <v>292</v>
      </c>
      <c r="M599" s="761"/>
      <c r="N599" s="29"/>
      <c r="O599" s="29"/>
      <c r="P599" s="29"/>
      <c r="Q599" s="29"/>
      <c r="R599" s="29"/>
      <c r="S599" s="29"/>
      <c r="T599" s="29"/>
      <c r="U599" s="29"/>
      <c r="V599" s="29"/>
      <c r="W599" s="29"/>
    </row>
    <row r="600" spans="1:23" ht="20.100000000000001" customHeight="1">
      <c r="A600" s="732" t="s">
        <v>191</v>
      </c>
      <c r="B600" s="733"/>
      <c r="C600" s="734" t="s">
        <v>64</v>
      </c>
      <c r="D600" s="734"/>
      <c r="E600" s="734"/>
      <c r="F600" s="223">
        <v>31.17</v>
      </c>
      <c r="G600" s="223">
        <f t="shared" si="46"/>
        <v>31.17</v>
      </c>
      <c r="H600" s="224" t="s">
        <v>29</v>
      </c>
      <c r="I600" s="225">
        <f t="shared" si="47"/>
        <v>18045.088999999996</v>
      </c>
      <c r="J600" s="223">
        <f t="shared" si="45"/>
        <v>3309.9110000000037</v>
      </c>
      <c r="K600" s="233">
        <f t="shared" si="44"/>
        <v>509.96253522001518</v>
      </c>
      <c r="L600" s="760" t="s">
        <v>292</v>
      </c>
      <c r="M600" s="761"/>
      <c r="N600" s="29"/>
      <c r="O600" s="29"/>
      <c r="P600" s="29"/>
      <c r="Q600" s="29"/>
      <c r="R600" s="29"/>
      <c r="S600" s="29"/>
      <c r="T600" s="29"/>
      <c r="U600" s="29"/>
      <c r="V600" s="29"/>
      <c r="W600" s="29"/>
    </row>
    <row r="601" spans="1:23" ht="20.100000000000001" customHeight="1">
      <c r="A601" s="732"/>
      <c r="B601" s="733"/>
      <c r="C601" s="734" t="s">
        <v>64</v>
      </c>
      <c r="D601" s="734"/>
      <c r="E601" s="734"/>
      <c r="F601" s="223">
        <v>31.23</v>
      </c>
      <c r="G601" s="223">
        <f t="shared" si="46"/>
        <v>31.23</v>
      </c>
      <c r="H601" s="224" t="s">
        <v>29</v>
      </c>
      <c r="I601" s="225">
        <f t="shared" si="47"/>
        <v>18076.318999999996</v>
      </c>
      <c r="J601" s="223">
        <f t="shared" si="45"/>
        <v>3278.6810000000041</v>
      </c>
      <c r="K601" s="233">
        <f t="shared" si="44"/>
        <v>510.69800291291051</v>
      </c>
      <c r="L601" s="760" t="s">
        <v>292</v>
      </c>
      <c r="M601" s="761"/>
      <c r="N601" s="29"/>
      <c r="O601" s="29"/>
      <c r="P601" s="29"/>
      <c r="Q601" s="29"/>
      <c r="R601" s="29"/>
      <c r="S601" s="29"/>
      <c r="T601" s="29"/>
      <c r="U601" s="29"/>
      <c r="V601" s="29"/>
      <c r="W601" s="29"/>
    </row>
    <row r="602" spans="1:23" ht="20.100000000000001" customHeight="1">
      <c r="A602" s="732"/>
      <c r="B602" s="733"/>
      <c r="C602" s="734" t="s">
        <v>64</v>
      </c>
      <c r="D602" s="734"/>
      <c r="E602" s="734"/>
      <c r="F602" s="223">
        <v>30.39</v>
      </c>
      <c r="G602" s="223">
        <f t="shared" si="46"/>
        <v>30.39</v>
      </c>
      <c r="H602" s="224" t="s">
        <v>29</v>
      </c>
      <c r="I602" s="225">
        <f t="shared" si="47"/>
        <v>18106.708999999995</v>
      </c>
      <c r="J602" s="223">
        <f t="shared" si="45"/>
        <v>3248.2910000000047</v>
      </c>
      <c r="K602" s="233">
        <f t="shared" si="44"/>
        <v>511.41368857372032</v>
      </c>
      <c r="L602" s="760" t="s">
        <v>292</v>
      </c>
      <c r="M602" s="761"/>
      <c r="N602" s="29"/>
      <c r="O602" s="29"/>
      <c r="P602" s="29"/>
      <c r="Q602" s="29"/>
      <c r="R602" s="29"/>
      <c r="S602" s="29"/>
      <c r="T602" s="29"/>
      <c r="U602" s="29"/>
      <c r="V602" s="29"/>
      <c r="W602" s="29"/>
    </row>
    <row r="603" spans="1:23" ht="20.100000000000001" customHeight="1">
      <c r="A603" s="681" t="s">
        <v>192</v>
      </c>
      <c r="B603" s="682"/>
      <c r="C603" s="683" t="s">
        <v>64</v>
      </c>
      <c r="D603" s="683"/>
      <c r="E603" s="683"/>
      <c r="F603" s="220">
        <v>31.24</v>
      </c>
      <c r="G603" s="220">
        <f t="shared" si="46"/>
        <v>31.24</v>
      </c>
      <c r="H603" s="221" t="s">
        <v>29</v>
      </c>
      <c r="I603" s="222">
        <f t="shared" si="47"/>
        <v>18137.948999999997</v>
      </c>
      <c r="J603" s="220">
        <f t="shared" si="45"/>
        <v>3217.0510000000031</v>
      </c>
      <c r="K603" s="231">
        <f t="shared" si="44"/>
        <v>512.14939176699772</v>
      </c>
      <c r="L603" s="760" t="s">
        <v>292</v>
      </c>
      <c r="M603" s="761"/>
      <c r="N603" s="29"/>
      <c r="O603" s="29"/>
      <c r="P603" s="29"/>
      <c r="Q603" s="29"/>
      <c r="R603" s="29"/>
      <c r="S603" s="29"/>
      <c r="T603" s="29"/>
      <c r="U603" s="29"/>
      <c r="V603" s="29"/>
      <c r="W603" s="29"/>
    </row>
    <row r="604" spans="1:23" ht="20.100000000000001" customHeight="1">
      <c r="A604" s="681"/>
      <c r="B604" s="682"/>
      <c r="C604" s="683" t="s">
        <v>64</v>
      </c>
      <c r="D604" s="683"/>
      <c r="E604" s="683"/>
      <c r="F604" s="220">
        <v>31.37</v>
      </c>
      <c r="G604" s="220">
        <f t="shared" si="46"/>
        <v>31.37</v>
      </c>
      <c r="H604" s="221" t="s">
        <v>29</v>
      </c>
      <c r="I604" s="222">
        <f t="shared" si="47"/>
        <v>18169.318999999996</v>
      </c>
      <c r="J604" s="220">
        <f t="shared" si="45"/>
        <v>3185.6810000000041</v>
      </c>
      <c r="K604" s="231">
        <f t="shared" ref="K604:K667" si="48">$H$8+(I604*$E$9*$E$15/1000)</f>
        <v>512.88815646524063</v>
      </c>
      <c r="L604" s="760" t="s">
        <v>292</v>
      </c>
      <c r="M604" s="761"/>
      <c r="N604" s="29"/>
      <c r="O604" s="29"/>
      <c r="P604" s="29"/>
      <c r="Q604" s="29"/>
      <c r="R604" s="29"/>
      <c r="S604" s="29"/>
      <c r="T604" s="29"/>
      <c r="U604" s="29"/>
      <c r="V604" s="29"/>
      <c r="W604" s="29"/>
    </row>
    <row r="605" spans="1:23" ht="20.100000000000001" customHeight="1">
      <c r="A605" s="681"/>
      <c r="B605" s="682"/>
      <c r="C605" s="683" t="s">
        <v>64</v>
      </c>
      <c r="D605" s="683"/>
      <c r="E605" s="683"/>
      <c r="F605" s="220">
        <v>31.36</v>
      </c>
      <c r="G605" s="220">
        <f t="shared" si="46"/>
        <v>31.36</v>
      </c>
      <c r="H605" s="221" t="s">
        <v>29</v>
      </c>
      <c r="I605" s="222">
        <f t="shared" si="47"/>
        <v>18200.678999999996</v>
      </c>
      <c r="J605" s="220">
        <f t="shared" ref="J605:J668" si="49">IF(I605="","",$L$10-I605)</f>
        <v>3154.3210000000036</v>
      </c>
      <c r="K605" s="231">
        <f t="shared" si="48"/>
        <v>513.62668566310151</v>
      </c>
      <c r="L605" s="760" t="s">
        <v>292</v>
      </c>
      <c r="M605" s="761"/>
      <c r="N605" s="29"/>
      <c r="O605" s="29"/>
      <c r="P605" s="29"/>
      <c r="Q605" s="29"/>
      <c r="R605" s="29"/>
      <c r="S605" s="29"/>
      <c r="T605" s="29"/>
      <c r="U605" s="29"/>
      <c r="V605" s="29"/>
      <c r="W605" s="29"/>
    </row>
    <row r="606" spans="1:23" ht="20.100000000000001" customHeight="1">
      <c r="A606" s="732" t="s">
        <v>193</v>
      </c>
      <c r="B606" s="733"/>
      <c r="C606" s="734" t="s">
        <v>64</v>
      </c>
      <c r="D606" s="734"/>
      <c r="E606" s="734"/>
      <c r="F606" s="223">
        <v>31.19</v>
      </c>
      <c r="G606" s="223">
        <f t="shared" si="46"/>
        <v>31.19</v>
      </c>
      <c r="H606" s="224" t="s">
        <v>29</v>
      </c>
      <c r="I606" s="225">
        <f t="shared" si="47"/>
        <v>18231.868999999995</v>
      </c>
      <c r="J606" s="223">
        <f t="shared" si="49"/>
        <v>3123.1310000000049</v>
      </c>
      <c r="K606" s="233">
        <f t="shared" si="48"/>
        <v>514.36121135446899</v>
      </c>
      <c r="L606" s="760" t="s">
        <v>292</v>
      </c>
      <c r="M606" s="761"/>
      <c r="N606" s="29"/>
      <c r="O606" s="29"/>
      <c r="P606" s="29"/>
      <c r="Q606" s="29"/>
      <c r="R606" s="29"/>
      <c r="S606" s="29"/>
      <c r="T606" s="29"/>
      <c r="U606" s="29"/>
      <c r="V606" s="29"/>
      <c r="W606" s="29"/>
    </row>
    <row r="607" spans="1:23" ht="20.100000000000001" customHeight="1">
      <c r="A607" s="732"/>
      <c r="B607" s="733"/>
      <c r="C607" s="734" t="s">
        <v>64</v>
      </c>
      <c r="D607" s="734"/>
      <c r="E607" s="734"/>
      <c r="F607" s="223">
        <v>31.04</v>
      </c>
      <c r="G607" s="223">
        <f t="shared" si="46"/>
        <v>31.04</v>
      </c>
      <c r="H607" s="224" t="s">
        <v>29</v>
      </c>
      <c r="I607" s="225">
        <f t="shared" si="47"/>
        <v>18262.908999999996</v>
      </c>
      <c r="J607" s="223">
        <f t="shared" si="49"/>
        <v>3092.091000000004</v>
      </c>
      <c r="K607" s="233">
        <f t="shared" si="48"/>
        <v>515.09220454010688</v>
      </c>
      <c r="L607" s="760" t="s">
        <v>292</v>
      </c>
      <c r="M607" s="761"/>
      <c r="N607" s="29"/>
      <c r="O607" s="29"/>
      <c r="P607" s="29"/>
      <c r="Q607" s="29"/>
      <c r="R607" s="29"/>
      <c r="S607" s="29"/>
      <c r="T607" s="29"/>
      <c r="U607" s="29"/>
      <c r="V607" s="29"/>
      <c r="W607" s="29"/>
    </row>
    <row r="608" spans="1:23" ht="20.100000000000001" customHeight="1">
      <c r="A608" s="732"/>
      <c r="B608" s="733"/>
      <c r="C608" s="734" t="s">
        <v>64</v>
      </c>
      <c r="D608" s="734"/>
      <c r="E608" s="734"/>
      <c r="F608" s="223">
        <v>31</v>
      </c>
      <c r="G608" s="223">
        <f t="shared" si="46"/>
        <v>31</v>
      </c>
      <c r="H608" s="224" t="s">
        <v>29</v>
      </c>
      <c r="I608" s="225">
        <f t="shared" si="47"/>
        <v>18293.908999999996</v>
      </c>
      <c r="J608" s="223">
        <f t="shared" si="49"/>
        <v>3061.091000000004</v>
      </c>
      <c r="K608" s="233">
        <f t="shared" si="48"/>
        <v>515.82225572421692</v>
      </c>
      <c r="L608" s="760" t="s">
        <v>292</v>
      </c>
      <c r="M608" s="761"/>
      <c r="N608" s="29"/>
      <c r="O608" s="29"/>
      <c r="P608" s="29"/>
      <c r="Q608" s="29"/>
      <c r="R608" s="29"/>
      <c r="S608" s="29"/>
      <c r="T608" s="29"/>
      <c r="U608" s="29"/>
      <c r="V608" s="29"/>
      <c r="W608" s="29"/>
    </row>
    <row r="609" spans="1:23" ht="20.100000000000001" customHeight="1">
      <c r="A609" s="681" t="s">
        <v>200</v>
      </c>
      <c r="B609" s="682"/>
      <c r="C609" s="683" t="s">
        <v>64</v>
      </c>
      <c r="D609" s="683"/>
      <c r="E609" s="683"/>
      <c r="F609" s="220">
        <v>31.15</v>
      </c>
      <c r="G609" s="220">
        <f t="shared" si="46"/>
        <v>31.15</v>
      </c>
      <c r="H609" s="221" t="s">
        <v>29</v>
      </c>
      <c r="I609" s="222">
        <f t="shared" si="47"/>
        <v>18325.058999999997</v>
      </c>
      <c r="J609" s="220">
        <f t="shared" si="49"/>
        <v>3029.9410000000025</v>
      </c>
      <c r="K609" s="231">
        <f t="shared" si="48"/>
        <v>516.55583941405644</v>
      </c>
      <c r="L609" s="760" t="s">
        <v>292</v>
      </c>
      <c r="M609" s="761"/>
      <c r="N609" s="29"/>
      <c r="O609" s="29"/>
      <c r="P609" s="29"/>
      <c r="Q609" s="29"/>
      <c r="R609" s="29"/>
      <c r="S609" s="29"/>
      <c r="T609" s="29"/>
      <c r="U609" s="29"/>
      <c r="V609" s="29"/>
      <c r="W609" s="29"/>
    </row>
    <row r="610" spans="1:23" ht="20.100000000000001" customHeight="1">
      <c r="A610" s="681"/>
      <c r="B610" s="682"/>
      <c r="C610" s="683" t="s">
        <v>64</v>
      </c>
      <c r="D610" s="683"/>
      <c r="E610" s="683"/>
      <c r="F610" s="220">
        <v>31.1</v>
      </c>
      <c r="G610" s="220">
        <f t="shared" si="46"/>
        <v>31.1</v>
      </c>
      <c r="H610" s="221" t="s">
        <v>29</v>
      </c>
      <c r="I610" s="222">
        <f t="shared" si="47"/>
        <v>18356.158999999996</v>
      </c>
      <c r="J610" s="220">
        <f t="shared" si="49"/>
        <v>2998.841000000004</v>
      </c>
      <c r="K610" s="231">
        <f t="shared" si="48"/>
        <v>517.2882456019862</v>
      </c>
      <c r="L610" s="760" t="s">
        <v>292</v>
      </c>
      <c r="M610" s="761"/>
      <c r="N610" s="29"/>
      <c r="O610" s="29"/>
      <c r="P610" s="29"/>
      <c r="Q610" s="29"/>
      <c r="R610" s="29"/>
      <c r="S610" s="29"/>
      <c r="T610" s="29"/>
      <c r="U610" s="29"/>
      <c r="V610" s="29"/>
      <c r="W610" s="29"/>
    </row>
    <row r="611" spans="1:23" ht="20.100000000000001" customHeight="1">
      <c r="A611" s="681"/>
      <c r="B611" s="682"/>
      <c r="C611" s="683" t="s">
        <v>64</v>
      </c>
      <c r="D611" s="683"/>
      <c r="E611" s="683"/>
      <c r="F611" s="220">
        <v>31.03</v>
      </c>
      <c r="G611" s="220">
        <f t="shared" si="46"/>
        <v>31.03</v>
      </c>
      <c r="H611" s="221" t="s">
        <v>29</v>
      </c>
      <c r="I611" s="222">
        <f t="shared" si="47"/>
        <v>18387.188999999995</v>
      </c>
      <c r="J611" s="220">
        <f t="shared" si="49"/>
        <v>2967.8110000000052</v>
      </c>
      <c r="K611" s="231">
        <f t="shared" si="48"/>
        <v>518.01900328724196</v>
      </c>
      <c r="L611" s="760" t="s">
        <v>292</v>
      </c>
      <c r="M611" s="761"/>
      <c r="N611" s="29"/>
      <c r="O611" s="29"/>
      <c r="P611" s="29"/>
      <c r="Q611" s="29"/>
      <c r="R611" s="29"/>
      <c r="S611" s="29"/>
      <c r="T611" s="29"/>
      <c r="U611" s="29"/>
      <c r="V611" s="29"/>
      <c r="W611" s="29"/>
    </row>
    <row r="612" spans="1:23" ht="20.100000000000001" customHeight="1">
      <c r="A612" s="732" t="s">
        <v>201</v>
      </c>
      <c r="B612" s="733"/>
      <c r="C612" s="734" t="s">
        <v>64</v>
      </c>
      <c r="D612" s="734"/>
      <c r="E612" s="734"/>
      <c r="F612" s="223">
        <v>31.43</v>
      </c>
      <c r="G612" s="223">
        <f t="shared" si="46"/>
        <v>31.43</v>
      </c>
      <c r="H612" s="224" t="s">
        <v>29</v>
      </c>
      <c r="I612" s="225">
        <f t="shared" si="47"/>
        <v>18418.618999999995</v>
      </c>
      <c r="J612" s="223">
        <f t="shared" si="49"/>
        <v>2936.3810000000049</v>
      </c>
      <c r="K612" s="233">
        <f t="shared" si="48"/>
        <v>518.75918098777686</v>
      </c>
      <c r="L612" s="760" t="s">
        <v>292</v>
      </c>
      <c r="M612" s="761"/>
      <c r="N612" s="29"/>
      <c r="O612" s="29"/>
      <c r="P612" s="29"/>
      <c r="Q612" s="29"/>
      <c r="R612" s="29"/>
      <c r="S612" s="29"/>
      <c r="T612" s="29"/>
      <c r="U612" s="29"/>
      <c r="V612" s="29"/>
      <c r="W612" s="29"/>
    </row>
    <row r="613" spans="1:23" ht="20.100000000000001" customHeight="1">
      <c r="A613" s="732"/>
      <c r="B613" s="733"/>
      <c r="C613" s="734" t="s">
        <v>64</v>
      </c>
      <c r="D613" s="734"/>
      <c r="E613" s="734"/>
      <c r="F613" s="223">
        <v>30.98</v>
      </c>
      <c r="G613" s="223">
        <f t="shared" si="46"/>
        <v>30.98</v>
      </c>
      <c r="H613" s="224" t="s">
        <v>29</v>
      </c>
      <c r="I613" s="225">
        <f t="shared" si="47"/>
        <v>18449.598999999995</v>
      </c>
      <c r="J613" s="223">
        <f t="shared" si="49"/>
        <v>2905.4010000000053</v>
      </c>
      <c r="K613" s="233">
        <f t="shared" si="48"/>
        <v>519.48876117112286</v>
      </c>
      <c r="L613" s="760" t="s">
        <v>292</v>
      </c>
      <c r="M613" s="761"/>
      <c r="N613" s="29"/>
      <c r="O613" s="29"/>
      <c r="P613" s="29"/>
      <c r="Q613" s="29"/>
      <c r="R613" s="29"/>
      <c r="S613" s="29"/>
      <c r="T613" s="29"/>
      <c r="U613" s="29"/>
      <c r="V613" s="29"/>
      <c r="W613" s="29"/>
    </row>
    <row r="614" spans="1:23" ht="20.100000000000001" customHeight="1">
      <c r="A614" s="732"/>
      <c r="B614" s="733"/>
      <c r="C614" s="734" t="s">
        <v>64</v>
      </c>
      <c r="D614" s="734"/>
      <c r="E614" s="734"/>
      <c r="F614" s="223">
        <v>31.03</v>
      </c>
      <c r="G614" s="223">
        <f t="shared" si="46"/>
        <v>31.03</v>
      </c>
      <c r="H614" s="224" t="s">
        <v>29</v>
      </c>
      <c r="I614" s="225">
        <f t="shared" si="47"/>
        <v>18480.628999999994</v>
      </c>
      <c r="J614" s="223">
        <f t="shared" si="49"/>
        <v>2874.3710000000065</v>
      </c>
      <c r="K614" s="233">
        <f t="shared" si="48"/>
        <v>520.21951885637873</v>
      </c>
      <c r="L614" s="760" t="s">
        <v>292</v>
      </c>
      <c r="M614" s="761"/>
      <c r="N614" s="29"/>
      <c r="O614" s="29"/>
      <c r="P614" s="29"/>
      <c r="Q614" s="29"/>
      <c r="R614" s="29"/>
      <c r="S614" s="29"/>
      <c r="T614" s="29"/>
      <c r="U614" s="29"/>
      <c r="V614" s="29"/>
      <c r="W614" s="29"/>
    </row>
    <row r="615" spans="1:23" ht="20.100000000000001" customHeight="1">
      <c r="A615" s="681" t="s">
        <v>205</v>
      </c>
      <c r="B615" s="682"/>
      <c r="C615" s="683" t="s">
        <v>64</v>
      </c>
      <c r="D615" s="683"/>
      <c r="E615" s="683"/>
      <c r="F615" s="220">
        <v>30.67</v>
      </c>
      <c r="G615" s="220">
        <f t="shared" ref="G615:G678" si="50">F615</f>
        <v>30.67</v>
      </c>
      <c r="H615" s="221" t="s">
        <v>29</v>
      </c>
      <c r="I615" s="222">
        <f t="shared" si="47"/>
        <v>18511.298999999992</v>
      </c>
      <c r="J615" s="220">
        <f t="shared" si="49"/>
        <v>2843.7010000000082</v>
      </c>
      <c r="K615" s="231">
        <f t="shared" si="48"/>
        <v>520.94179852788375</v>
      </c>
      <c r="L615" s="760" t="s">
        <v>292</v>
      </c>
      <c r="M615" s="761"/>
      <c r="N615" s="29"/>
      <c r="O615" s="29"/>
      <c r="P615" s="29"/>
      <c r="Q615" s="29"/>
      <c r="R615" s="29"/>
      <c r="S615" s="29"/>
      <c r="T615" s="29"/>
      <c r="U615" s="29"/>
      <c r="V615" s="29"/>
      <c r="W615" s="29"/>
    </row>
    <row r="616" spans="1:23" ht="20.100000000000001" customHeight="1">
      <c r="A616" s="681"/>
      <c r="B616" s="682"/>
      <c r="C616" s="683" t="s">
        <v>64</v>
      </c>
      <c r="D616" s="683"/>
      <c r="E616" s="683"/>
      <c r="F616" s="220">
        <v>31.21</v>
      </c>
      <c r="G616" s="220">
        <f t="shared" si="50"/>
        <v>31.21</v>
      </c>
      <c r="H616" s="221" t="s">
        <v>29</v>
      </c>
      <c r="I616" s="222">
        <f t="shared" si="47"/>
        <v>18542.508999999991</v>
      </c>
      <c r="J616" s="220">
        <f t="shared" si="49"/>
        <v>2812.4910000000091</v>
      </c>
      <c r="K616" s="231">
        <f t="shared" si="48"/>
        <v>521.67679522001504</v>
      </c>
      <c r="L616" s="760" t="s">
        <v>292</v>
      </c>
      <c r="M616" s="761"/>
      <c r="N616" s="29"/>
      <c r="O616" s="29"/>
      <c r="P616" s="29"/>
      <c r="Q616" s="29"/>
      <c r="R616" s="29"/>
      <c r="S616" s="29"/>
      <c r="T616" s="29"/>
      <c r="U616" s="29"/>
      <c r="V616" s="29"/>
      <c r="W616" s="29"/>
    </row>
    <row r="617" spans="1:23" ht="20.100000000000001" customHeight="1">
      <c r="A617" s="681"/>
      <c r="B617" s="682"/>
      <c r="C617" s="683" t="s">
        <v>64</v>
      </c>
      <c r="D617" s="683"/>
      <c r="E617" s="683"/>
      <c r="F617" s="220">
        <v>30.78</v>
      </c>
      <c r="G617" s="220">
        <f t="shared" si="50"/>
        <v>30.78</v>
      </c>
      <c r="H617" s="221" t="s">
        <v>29</v>
      </c>
      <c r="I617" s="222">
        <f t="shared" si="47"/>
        <v>18573.28899999999</v>
      </c>
      <c r="J617" s="220">
        <f t="shared" si="49"/>
        <v>2781.7110000000102</v>
      </c>
      <c r="K617" s="231">
        <f t="shared" si="48"/>
        <v>522.40166539572169</v>
      </c>
      <c r="L617" s="760" t="s">
        <v>292</v>
      </c>
      <c r="M617" s="761"/>
      <c r="N617" s="29"/>
      <c r="O617" s="29"/>
      <c r="P617" s="29"/>
      <c r="Q617" s="29"/>
      <c r="R617" s="29"/>
      <c r="S617" s="29"/>
      <c r="T617" s="29"/>
      <c r="U617" s="29"/>
      <c r="V617" s="29"/>
      <c r="W617" s="29"/>
    </row>
    <row r="618" spans="1:23" ht="20.100000000000001" customHeight="1">
      <c r="A618" s="732" t="s">
        <v>254</v>
      </c>
      <c r="B618" s="733"/>
      <c r="C618" s="734" t="s">
        <v>64</v>
      </c>
      <c r="D618" s="734"/>
      <c r="E618" s="734"/>
      <c r="F618" s="223">
        <v>30.9</v>
      </c>
      <c r="G618" s="223">
        <f t="shared" si="50"/>
        <v>30.9</v>
      </c>
      <c r="H618" s="224" t="s">
        <v>29</v>
      </c>
      <c r="I618" s="225">
        <f t="shared" si="47"/>
        <v>18604.188999999991</v>
      </c>
      <c r="J618" s="223">
        <f t="shared" si="49"/>
        <v>2750.8110000000088</v>
      </c>
      <c r="K618" s="233">
        <f t="shared" si="48"/>
        <v>523.12936157601212</v>
      </c>
      <c r="L618" s="760" t="s">
        <v>292</v>
      </c>
      <c r="M618" s="761"/>
      <c r="N618" s="29"/>
      <c r="O618" s="29"/>
      <c r="P618" s="29"/>
      <c r="Q618" s="29"/>
      <c r="R618" s="29"/>
      <c r="S618" s="29"/>
      <c r="T618" s="29"/>
      <c r="U618" s="29"/>
      <c r="V618" s="29"/>
      <c r="W618" s="29"/>
    </row>
    <row r="619" spans="1:23" ht="20.100000000000001" customHeight="1">
      <c r="A619" s="732"/>
      <c r="B619" s="733"/>
      <c r="C619" s="734" t="s">
        <v>64</v>
      </c>
      <c r="D619" s="734"/>
      <c r="E619" s="734"/>
      <c r="F619" s="223">
        <v>31.22</v>
      </c>
      <c r="G619" s="223">
        <f t="shared" si="50"/>
        <v>31.22</v>
      </c>
      <c r="H619" s="224" t="s">
        <v>29</v>
      </c>
      <c r="I619" s="225">
        <f t="shared" si="47"/>
        <v>18635.408999999992</v>
      </c>
      <c r="J619" s="223">
        <f t="shared" si="49"/>
        <v>2719.5910000000076</v>
      </c>
      <c r="K619" s="233">
        <f t="shared" si="48"/>
        <v>523.86459376852554</v>
      </c>
      <c r="L619" s="760" t="s">
        <v>292</v>
      </c>
      <c r="M619" s="761"/>
      <c r="N619" s="29"/>
      <c r="O619" s="29"/>
      <c r="P619" s="29"/>
      <c r="Q619" s="29"/>
      <c r="R619" s="29"/>
      <c r="S619" s="29"/>
      <c r="T619" s="29"/>
      <c r="U619" s="29"/>
      <c r="V619" s="29"/>
      <c r="W619" s="29"/>
    </row>
    <row r="620" spans="1:23" ht="20.100000000000001" customHeight="1">
      <c r="A620" s="732"/>
      <c r="B620" s="733"/>
      <c r="C620" s="734" t="s">
        <v>64</v>
      </c>
      <c r="D620" s="734"/>
      <c r="E620" s="734"/>
      <c r="F620" s="223">
        <v>31.09</v>
      </c>
      <c r="G620" s="223">
        <f t="shared" si="50"/>
        <v>31.09</v>
      </c>
      <c r="H620" s="224" t="s">
        <v>29</v>
      </c>
      <c r="I620" s="225">
        <f t="shared" si="47"/>
        <v>18666.498999999993</v>
      </c>
      <c r="J620" s="223">
        <f t="shared" si="49"/>
        <v>2688.5010000000075</v>
      </c>
      <c r="K620" s="233">
        <f t="shared" si="48"/>
        <v>524.59676445607317</v>
      </c>
      <c r="L620" s="760" t="s">
        <v>292</v>
      </c>
      <c r="M620" s="761"/>
      <c r="N620" s="29"/>
      <c r="O620" s="29"/>
      <c r="P620" s="29"/>
      <c r="Q620" s="29"/>
      <c r="R620" s="29"/>
      <c r="S620" s="29"/>
      <c r="T620" s="29"/>
      <c r="U620" s="29"/>
      <c r="V620" s="29"/>
      <c r="W620" s="29"/>
    </row>
    <row r="621" spans="1:23" ht="20.100000000000001" customHeight="1">
      <c r="A621" s="681" t="s">
        <v>255</v>
      </c>
      <c r="B621" s="682"/>
      <c r="C621" s="683" t="s">
        <v>64</v>
      </c>
      <c r="D621" s="683"/>
      <c r="E621" s="683"/>
      <c r="F621" s="220">
        <v>31.1</v>
      </c>
      <c r="G621" s="220">
        <f t="shared" si="50"/>
        <v>31.1</v>
      </c>
      <c r="H621" s="221" t="s">
        <v>29</v>
      </c>
      <c r="I621" s="222">
        <f t="shared" si="47"/>
        <v>18697.598999999991</v>
      </c>
      <c r="J621" s="220">
        <f t="shared" si="49"/>
        <v>2657.4010000000089</v>
      </c>
      <c r="K621" s="231">
        <f t="shared" si="48"/>
        <v>525.32917064400283</v>
      </c>
      <c r="L621" s="760" t="s">
        <v>292</v>
      </c>
      <c r="M621" s="761"/>
      <c r="N621" s="29"/>
      <c r="O621" s="29"/>
      <c r="P621" s="29"/>
      <c r="Q621" s="29"/>
      <c r="R621" s="29"/>
      <c r="S621" s="29"/>
      <c r="T621" s="29"/>
      <c r="U621" s="29"/>
      <c r="V621" s="29"/>
      <c r="W621" s="29"/>
    </row>
    <row r="622" spans="1:23" ht="20.100000000000001" customHeight="1">
      <c r="A622" s="681"/>
      <c r="B622" s="682"/>
      <c r="C622" s="683" t="s">
        <v>64</v>
      </c>
      <c r="D622" s="683"/>
      <c r="E622" s="683"/>
      <c r="F622" s="220">
        <v>31.18</v>
      </c>
      <c r="G622" s="220">
        <f t="shared" si="50"/>
        <v>31.18</v>
      </c>
      <c r="H622" s="221" t="s">
        <v>29</v>
      </c>
      <c r="I622" s="222">
        <f t="shared" si="47"/>
        <v>18728.778999999991</v>
      </c>
      <c r="J622" s="220">
        <f t="shared" si="49"/>
        <v>2626.2210000000086</v>
      </c>
      <c r="K622" s="231">
        <f t="shared" si="48"/>
        <v>526.0634608349884</v>
      </c>
      <c r="L622" s="760" t="s">
        <v>292</v>
      </c>
      <c r="M622" s="761"/>
      <c r="N622" s="29"/>
      <c r="O622" s="29"/>
      <c r="P622" s="29"/>
      <c r="Q622" s="29"/>
      <c r="R622" s="29"/>
      <c r="S622" s="29"/>
      <c r="T622" s="29"/>
      <c r="U622" s="29"/>
      <c r="V622" s="29"/>
      <c r="W622" s="29"/>
    </row>
    <row r="623" spans="1:23" ht="20.100000000000001" customHeight="1">
      <c r="A623" s="681"/>
      <c r="B623" s="682"/>
      <c r="C623" s="683" t="s">
        <v>64</v>
      </c>
      <c r="D623" s="683"/>
      <c r="E623" s="683"/>
      <c r="F623" s="220">
        <v>31.07</v>
      </c>
      <c r="G623" s="220">
        <f t="shared" si="50"/>
        <v>31.07</v>
      </c>
      <c r="H623" s="221" t="s">
        <v>29</v>
      </c>
      <c r="I623" s="222">
        <f t="shared" si="47"/>
        <v>18759.848999999991</v>
      </c>
      <c r="J623" s="220">
        <f t="shared" si="49"/>
        <v>2595.1510000000089</v>
      </c>
      <c r="K623" s="231">
        <f t="shared" si="48"/>
        <v>526.79516052177212</v>
      </c>
      <c r="L623" s="760" t="s">
        <v>292</v>
      </c>
      <c r="M623" s="761"/>
      <c r="N623" s="29"/>
      <c r="O623" s="29"/>
      <c r="P623" s="29"/>
      <c r="Q623" s="29"/>
      <c r="R623" s="29"/>
      <c r="S623" s="29"/>
      <c r="T623" s="29"/>
      <c r="U623" s="29"/>
      <c r="V623" s="29"/>
      <c r="W623" s="29"/>
    </row>
    <row r="624" spans="1:23" ht="20.100000000000001" customHeight="1">
      <c r="A624" s="732" t="s">
        <v>256</v>
      </c>
      <c r="B624" s="733"/>
      <c r="C624" s="734" t="s">
        <v>64</v>
      </c>
      <c r="D624" s="734"/>
      <c r="E624" s="734"/>
      <c r="F624" s="223">
        <v>31.16</v>
      </c>
      <c r="G624" s="223">
        <f t="shared" si="50"/>
        <v>31.16</v>
      </c>
      <c r="H624" s="224" t="s">
        <v>29</v>
      </c>
      <c r="I624" s="225">
        <f t="shared" ref="I624:I687" si="51">IF(H624="IN",I623+G624,I623)</f>
        <v>18791.008999999991</v>
      </c>
      <c r="J624" s="223">
        <f t="shared" si="49"/>
        <v>2563.9910000000091</v>
      </c>
      <c r="K624" s="233">
        <f t="shared" si="48"/>
        <v>527.52897971199366</v>
      </c>
      <c r="L624" s="760" t="s">
        <v>292</v>
      </c>
      <c r="M624" s="761"/>
      <c r="N624" s="29"/>
      <c r="O624" s="29"/>
      <c r="P624" s="29"/>
      <c r="Q624" s="29"/>
      <c r="R624" s="29"/>
      <c r="S624" s="29"/>
      <c r="T624" s="29"/>
      <c r="U624" s="29"/>
      <c r="V624" s="29"/>
      <c r="W624" s="29"/>
    </row>
    <row r="625" spans="1:23" ht="20.100000000000001" customHeight="1">
      <c r="A625" s="732"/>
      <c r="B625" s="733"/>
      <c r="C625" s="734" t="s">
        <v>64</v>
      </c>
      <c r="D625" s="734"/>
      <c r="E625" s="734"/>
      <c r="F625" s="223">
        <v>31.23</v>
      </c>
      <c r="G625" s="223">
        <f t="shared" si="50"/>
        <v>31.23</v>
      </c>
      <c r="H625" s="224" t="s">
        <v>29</v>
      </c>
      <c r="I625" s="225">
        <f t="shared" si="51"/>
        <v>18822.23899999999</v>
      </c>
      <c r="J625" s="223">
        <f t="shared" si="49"/>
        <v>2532.7610000000095</v>
      </c>
      <c r="K625" s="233">
        <f t="shared" si="48"/>
        <v>528.2644474048891</v>
      </c>
      <c r="L625" s="760" t="s">
        <v>292</v>
      </c>
      <c r="M625" s="761"/>
      <c r="N625" s="29"/>
      <c r="O625" s="29"/>
      <c r="P625" s="29"/>
      <c r="Q625" s="29"/>
      <c r="R625" s="29"/>
      <c r="S625" s="29"/>
      <c r="T625" s="29"/>
      <c r="U625" s="29"/>
      <c r="V625" s="29"/>
      <c r="W625" s="29"/>
    </row>
    <row r="626" spans="1:23" ht="20.100000000000001" customHeight="1">
      <c r="A626" s="732"/>
      <c r="B626" s="733"/>
      <c r="C626" s="734" t="s">
        <v>64</v>
      </c>
      <c r="D626" s="734"/>
      <c r="E626" s="734"/>
      <c r="F626" s="223">
        <v>30.97</v>
      </c>
      <c r="G626" s="223">
        <f t="shared" si="50"/>
        <v>30.97</v>
      </c>
      <c r="H626" s="224" t="s">
        <v>29</v>
      </c>
      <c r="I626" s="225">
        <f t="shared" si="51"/>
        <v>18853.208999999992</v>
      </c>
      <c r="J626" s="223">
        <f t="shared" si="49"/>
        <v>2501.7910000000084</v>
      </c>
      <c r="K626" s="233">
        <f t="shared" si="48"/>
        <v>528.99379208785308</v>
      </c>
      <c r="L626" s="760" t="s">
        <v>292</v>
      </c>
      <c r="M626" s="761"/>
      <c r="N626" s="29"/>
      <c r="O626" s="29"/>
      <c r="P626" s="29"/>
      <c r="Q626" s="29"/>
      <c r="R626" s="29"/>
      <c r="S626" s="29"/>
      <c r="T626" s="29"/>
      <c r="U626" s="29"/>
      <c r="V626" s="29"/>
      <c r="W626" s="29"/>
    </row>
    <row r="627" spans="1:23" ht="20.100000000000001" customHeight="1">
      <c r="A627" s="681" t="s">
        <v>257</v>
      </c>
      <c r="B627" s="682"/>
      <c r="C627" s="683" t="s">
        <v>64</v>
      </c>
      <c r="D627" s="683"/>
      <c r="E627" s="683"/>
      <c r="F627" s="220">
        <v>31.02</v>
      </c>
      <c r="G627" s="220">
        <f t="shared" si="50"/>
        <v>31.02</v>
      </c>
      <c r="H627" s="221" t="s">
        <v>29</v>
      </c>
      <c r="I627" s="222">
        <f t="shared" si="51"/>
        <v>18884.228999999992</v>
      </c>
      <c r="J627" s="220">
        <f t="shared" si="49"/>
        <v>2470.7710000000079</v>
      </c>
      <c r="K627" s="231">
        <f t="shared" si="48"/>
        <v>529.72431427272716</v>
      </c>
      <c r="L627" s="760" t="s">
        <v>292</v>
      </c>
      <c r="M627" s="761"/>
      <c r="N627" s="29"/>
      <c r="O627" s="29"/>
      <c r="P627" s="29"/>
      <c r="Q627" s="29"/>
      <c r="R627" s="29"/>
      <c r="S627" s="29"/>
      <c r="T627" s="29"/>
      <c r="U627" s="29"/>
      <c r="V627" s="29"/>
      <c r="W627" s="29"/>
    </row>
    <row r="628" spans="1:23" ht="20.100000000000001" customHeight="1">
      <c r="A628" s="681"/>
      <c r="B628" s="682"/>
      <c r="C628" s="683" t="s">
        <v>64</v>
      </c>
      <c r="D628" s="683"/>
      <c r="E628" s="683"/>
      <c r="F628" s="220">
        <v>31.12</v>
      </c>
      <c r="G628" s="220">
        <f t="shared" si="50"/>
        <v>31.12</v>
      </c>
      <c r="H628" s="221" t="s">
        <v>29</v>
      </c>
      <c r="I628" s="222">
        <f t="shared" si="51"/>
        <v>18915.348999999991</v>
      </c>
      <c r="J628" s="220">
        <f t="shared" si="49"/>
        <v>2439.6510000000089</v>
      </c>
      <c r="K628" s="231">
        <f t="shared" si="48"/>
        <v>530.45719146142073</v>
      </c>
      <c r="L628" s="760" t="s">
        <v>292</v>
      </c>
      <c r="M628" s="761"/>
      <c r="N628" s="29"/>
      <c r="O628" s="29"/>
      <c r="P628" s="29"/>
      <c r="Q628" s="29"/>
      <c r="R628" s="29"/>
      <c r="S628" s="29"/>
      <c r="T628" s="29"/>
      <c r="U628" s="29"/>
      <c r="V628" s="29"/>
      <c r="W628" s="29"/>
    </row>
    <row r="629" spans="1:23" ht="20.100000000000001" customHeight="1">
      <c r="A629" s="681"/>
      <c r="B629" s="682"/>
      <c r="C629" s="683" t="s">
        <v>64</v>
      </c>
      <c r="D629" s="683"/>
      <c r="E629" s="683"/>
      <c r="F629" s="220">
        <v>31.07</v>
      </c>
      <c r="G629" s="220">
        <f t="shared" si="50"/>
        <v>31.07</v>
      </c>
      <c r="H629" s="221" t="s">
        <v>29</v>
      </c>
      <c r="I629" s="222">
        <f t="shared" si="51"/>
        <v>18946.418999999991</v>
      </c>
      <c r="J629" s="220">
        <f t="shared" si="49"/>
        <v>2408.5810000000092</v>
      </c>
      <c r="K629" s="231">
        <f t="shared" si="48"/>
        <v>531.18889114820445</v>
      </c>
      <c r="L629" s="760" t="s">
        <v>292</v>
      </c>
      <c r="M629" s="761"/>
      <c r="N629" s="29"/>
      <c r="O629" s="29"/>
      <c r="P629" s="29"/>
      <c r="Q629" s="29"/>
      <c r="R629" s="29"/>
      <c r="S629" s="29"/>
      <c r="T629" s="29"/>
      <c r="U629" s="29"/>
      <c r="V629" s="29"/>
      <c r="W629" s="29"/>
    </row>
    <row r="630" spans="1:23" ht="20.100000000000001" customHeight="1">
      <c r="A630" s="732" t="s">
        <v>258</v>
      </c>
      <c r="B630" s="733"/>
      <c r="C630" s="734" t="s">
        <v>64</v>
      </c>
      <c r="D630" s="734"/>
      <c r="E630" s="734"/>
      <c r="F630" s="223">
        <v>31.08</v>
      </c>
      <c r="G630" s="223">
        <f t="shared" si="50"/>
        <v>31.08</v>
      </c>
      <c r="H630" s="224" t="s">
        <v>29</v>
      </c>
      <c r="I630" s="225">
        <f t="shared" si="51"/>
        <v>18977.498999999993</v>
      </c>
      <c r="J630" s="223">
        <f t="shared" si="49"/>
        <v>2377.5010000000075</v>
      </c>
      <c r="K630" s="233">
        <f t="shared" si="48"/>
        <v>531.92082633537029</v>
      </c>
      <c r="L630" s="760" t="s">
        <v>292</v>
      </c>
      <c r="M630" s="761"/>
      <c r="N630" s="29"/>
      <c r="O630" s="29"/>
      <c r="P630" s="29"/>
      <c r="Q630" s="29"/>
      <c r="R630" s="29"/>
      <c r="S630" s="29"/>
      <c r="T630" s="29"/>
      <c r="U630" s="29"/>
      <c r="V630" s="29"/>
      <c r="W630" s="29"/>
    </row>
    <row r="631" spans="1:23" ht="20.100000000000001" customHeight="1">
      <c r="A631" s="732"/>
      <c r="B631" s="733"/>
      <c r="C631" s="734" t="s">
        <v>64</v>
      </c>
      <c r="D631" s="734"/>
      <c r="E631" s="734"/>
      <c r="F631" s="223">
        <v>31.18</v>
      </c>
      <c r="G631" s="223">
        <f t="shared" si="50"/>
        <v>31.18</v>
      </c>
      <c r="H631" s="224" t="s">
        <v>29</v>
      </c>
      <c r="I631" s="225">
        <f t="shared" si="51"/>
        <v>19008.678999999993</v>
      </c>
      <c r="J631" s="223">
        <f t="shared" si="49"/>
        <v>2346.3210000000072</v>
      </c>
      <c r="K631" s="233">
        <f t="shared" si="48"/>
        <v>532.65511652635587</v>
      </c>
      <c r="L631" s="760" t="s">
        <v>292</v>
      </c>
      <c r="M631" s="761"/>
      <c r="N631" s="29"/>
      <c r="O631" s="29"/>
      <c r="P631" s="29"/>
      <c r="Q631" s="29"/>
      <c r="R631" s="29"/>
      <c r="S631" s="29"/>
      <c r="T631" s="29"/>
      <c r="U631" s="29"/>
      <c r="V631" s="29"/>
      <c r="W631" s="29"/>
    </row>
    <row r="632" spans="1:23" ht="20.100000000000001" customHeight="1">
      <c r="A632" s="732"/>
      <c r="B632" s="733"/>
      <c r="C632" s="734" t="s">
        <v>64</v>
      </c>
      <c r="D632" s="734"/>
      <c r="E632" s="734"/>
      <c r="F632" s="223">
        <v>30.96</v>
      </c>
      <c r="G632" s="223">
        <f t="shared" si="50"/>
        <v>30.96</v>
      </c>
      <c r="H632" s="224" t="s">
        <v>29</v>
      </c>
      <c r="I632" s="225">
        <f t="shared" si="51"/>
        <v>19039.638999999992</v>
      </c>
      <c r="J632" s="223">
        <f t="shared" si="49"/>
        <v>2315.3610000000081</v>
      </c>
      <c r="K632" s="233">
        <f t="shared" si="48"/>
        <v>533.38422570893795</v>
      </c>
      <c r="L632" s="760" t="s">
        <v>292</v>
      </c>
      <c r="M632" s="761"/>
      <c r="N632" s="29"/>
      <c r="O632" s="29"/>
      <c r="P632" s="29"/>
      <c r="Q632" s="29"/>
      <c r="R632" s="29"/>
      <c r="S632" s="29"/>
      <c r="T632" s="29"/>
      <c r="U632" s="29"/>
      <c r="V632" s="29"/>
      <c r="W632" s="29"/>
    </row>
    <row r="633" spans="1:23" ht="20.100000000000001" customHeight="1">
      <c r="A633" s="681" t="s">
        <v>259</v>
      </c>
      <c r="B633" s="682"/>
      <c r="C633" s="683" t="s">
        <v>64</v>
      </c>
      <c r="D633" s="683"/>
      <c r="E633" s="683"/>
      <c r="F633" s="220">
        <v>31</v>
      </c>
      <c r="G633" s="220">
        <f t="shared" si="50"/>
        <v>31</v>
      </c>
      <c r="H633" s="221" t="s">
        <v>29</v>
      </c>
      <c r="I633" s="222">
        <f t="shared" si="51"/>
        <v>19070.638999999992</v>
      </c>
      <c r="J633" s="220">
        <f t="shared" si="49"/>
        <v>2284.3610000000081</v>
      </c>
      <c r="K633" s="231">
        <f t="shared" si="48"/>
        <v>534.11427689304787</v>
      </c>
      <c r="L633" s="760" t="s">
        <v>292</v>
      </c>
      <c r="M633" s="761"/>
      <c r="N633" s="29"/>
      <c r="O633" s="29"/>
      <c r="P633" s="29"/>
      <c r="Q633" s="29"/>
      <c r="R633" s="29"/>
      <c r="S633" s="29"/>
      <c r="T633" s="29"/>
      <c r="U633" s="29"/>
      <c r="V633" s="29"/>
      <c r="W633" s="29"/>
    </row>
    <row r="634" spans="1:23" ht="20.100000000000001" customHeight="1">
      <c r="A634" s="681"/>
      <c r="B634" s="682"/>
      <c r="C634" s="683" t="s">
        <v>64</v>
      </c>
      <c r="D634" s="683"/>
      <c r="E634" s="683"/>
      <c r="F634" s="220">
        <v>31.35</v>
      </c>
      <c r="G634" s="220">
        <f t="shared" si="50"/>
        <v>31.35</v>
      </c>
      <c r="H634" s="221" t="s">
        <v>29</v>
      </c>
      <c r="I634" s="222">
        <f t="shared" si="51"/>
        <v>19101.98899999999</v>
      </c>
      <c r="J634" s="220">
        <f t="shared" si="49"/>
        <v>2253.0110000000095</v>
      </c>
      <c r="K634" s="231">
        <f t="shared" si="48"/>
        <v>534.85257059052697</v>
      </c>
      <c r="L634" s="760" t="s">
        <v>292</v>
      </c>
      <c r="M634" s="761"/>
      <c r="N634" s="29"/>
      <c r="O634" s="29"/>
      <c r="P634" s="29"/>
      <c r="Q634" s="29"/>
      <c r="R634" s="29"/>
      <c r="S634" s="29"/>
      <c r="T634" s="29"/>
      <c r="U634" s="29"/>
      <c r="V634" s="29"/>
      <c r="W634" s="29"/>
    </row>
    <row r="635" spans="1:23" ht="20.100000000000001" customHeight="1">
      <c r="A635" s="681"/>
      <c r="B635" s="682"/>
      <c r="C635" s="683" t="s">
        <v>64</v>
      </c>
      <c r="D635" s="683"/>
      <c r="E635" s="683"/>
      <c r="F635" s="220">
        <v>31.04</v>
      </c>
      <c r="G635" s="220">
        <f t="shared" si="50"/>
        <v>31.04</v>
      </c>
      <c r="H635" s="221" t="s">
        <v>29</v>
      </c>
      <c r="I635" s="222">
        <f t="shared" si="51"/>
        <v>19133.028999999991</v>
      </c>
      <c r="J635" s="220">
        <f t="shared" si="49"/>
        <v>2221.9710000000086</v>
      </c>
      <c r="K635" s="231">
        <f t="shared" si="48"/>
        <v>535.58356377616485</v>
      </c>
      <c r="L635" s="760" t="s">
        <v>292</v>
      </c>
      <c r="M635" s="761"/>
      <c r="N635" s="29"/>
      <c r="O635" s="29"/>
      <c r="P635" s="29"/>
      <c r="Q635" s="29"/>
      <c r="R635" s="29"/>
      <c r="S635" s="29"/>
      <c r="T635" s="29"/>
      <c r="U635" s="29"/>
      <c r="V635" s="29"/>
      <c r="W635" s="29"/>
    </row>
    <row r="636" spans="1:23" ht="20.100000000000001" customHeight="1">
      <c r="A636" s="732" t="s">
        <v>260</v>
      </c>
      <c r="B636" s="733"/>
      <c r="C636" s="734" t="s">
        <v>64</v>
      </c>
      <c r="D636" s="734"/>
      <c r="E636" s="734"/>
      <c r="F636" s="223">
        <v>31.24</v>
      </c>
      <c r="G636" s="223">
        <f t="shared" si="50"/>
        <v>31.24</v>
      </c>
      <c r="H636" s="224" t="s">
        <v>29</v>
      </c>
      <c r="I636" s="225">
        <f t="shared" si="51"/>
        <v>19164.268999999993</v>
      </c>
      <c r="J636" s="223">
        <f t="shared" si="49"/>
        <v>2190.731000000007</v>
      </c>
      <c r="K636" s="233">
        <f t="shared" si="48"/>
        <v>536.3192669694422</v>
      </c>
      <c r="L636" s="760" t="s">
        <v>292</v>
      </c>
      <c r="M636" s="761"/>
      <c r="N636" s="29"/>
      <c r="O636" s="29"/>
      <c r="P636" s="29"/>
      <c r="Q636" s="29"/>
      <c r="R636" s="29"/>
      <c r="S636" s="29"/>
      <c r="T636" s="29"/>
      <c r="U636" s="29"/>
      <c r="V636" s="29"/>
      <c r="W636" s="29"/>
    </row>
    <row r="637" spans="1:23" ht="20.100000000000001" customHeight="1">
      <c r="A637" s="732"/>
      <c r="B637" s="733"/>
      <c r="C637" s="734" t="s">
        <v>64</v>
      </c>
      <c r="D637" s="734"/>
      <c r="E637" s="734"/>
      <c r="F637" s="223">
        <v>31.14</v>
      </c>
      <c r="G637" s="223">
        <f t="shared" si="50"/>
        <v>31.14</v>
      </c>
      <c r="H637" s="224" t="s">
        <v>29</v>
      </c>
      <c r="I637" s="225">
        <f t="shared" si="51"/>
        <v>19195.408999999992</v>
      </c>
      <c r="J637" s="223">
        <f t="shared" si="49"/>
        <v>2159.5910000000076</v>
      </c>
      <c r="K637" s="233">
        <f t="shared" si="48"/>
        <v>537.05261515889981</v>
      </c>
      <c r="L637" s="760" t="s">
        <v>292</v>
      </c>
      <c r="M637" s="761"/>
      <c r="N637" s="29"/>
      <c r="O637" s="29"/>
      <c r="P637" s="29"/>
      <c r="Q637" s="29"/>
      <c r="R637" s="29"/>
      <c r="S637" s="29"/>
      <c r="T637" s="29"/>
      <c r="U637" s="29"/>
      <c r="V637" s="29"/>
      <c r="W637" s="29"/>
    </row>
    <row r="638" spans="1:23" ht="20.100000000000001" customHeight="1">
      <c r="A638" s="732"/>
      <c r="B638" s="733"/>
      <c r="C638" s="734" t="s">
        <v>64</v>
      </c>
      <c r="D638" s="734"/>
      <c r="E638" s="734"/>
      <c r="F638" s="223">
        <v>30.95</v>
      </c>
      <c r="G638" s="223">
        <f t="shared" si="50"/>
        <v>30.95</v>
      </c>
      <c r="H638" s="224" t="s">
        <v>29</v>
      </c>
      <c r="I638" s="225">
        <f t="shared" si="51"/>
        <v>19226.358999999993</v>
      </c>
      <c r="J638" s="223">
        <f t="shared" si="49"/>
        <v>2128.6410000000069</v>
      </c>
      <c r="K638" s="233">
        <f t="shared" si="48"/>
        <v>537.78148884109987</v>
      </c>
      <c r="L638" s="760" t="s">
        <v>292</v>
      </c>
      <c r="M638" s="761"/>
      <c r="N638" s="29"/>
      <c r="O638" s="29"/>
      <c r="P638" s="29"/>
      <c r="Q638" s="29"/>
      <c r="R638" s="29"/>
      <c r="S638" s="29"/>
      <c r="T638" s="29"/>
      <c r="U638" s="29"/>
      <c r="V638" s="29"/>
      <c r="W638" s="29"/>
    </row>
    <row r="639" spans="1:23" ht="20.100000000000001" customHeight="1">
      <c r="A639" s="681" t="s">
        <v>261</v>
      </c>
      <c r="B639" s="682"/>
      <c r="C639" s="683" t="s">
        <v>64</v>
      </c>
      <c r="D639" s="683"/>
      <c r="E639" s="683"/>
      <c r="F639" s="220">
        <v>31.12</v>
      </c>
      <c r="G639" s="220">
        <f t="shared" si="50"/>
        <v>31.12</v>
      </c>
      <c r="H639" s="221" t="s">
        <v>29</v>
      </c>
      <c r="I639" s="222">
        <f t="shared" si="51"/>
        <v>19257.478999999992</v>
      </c>
      <c r="J639" s="220">
        <f t="shared" si="49"/>
        <v>2097.5210000000079</v>
      </c>
      <c r="K639" s="231">
        <f t="shared" si="48"/>
        <v>538.51436602979356</v>
      </c>
      <c r="L639" s="760" t="s">
        <v>292</v>
      </c>
      <c r="M639" s="761"/>
      <c r="N639" s="29"/>
      <c r="O639" s="29"/>
      <c r="P639" s="29"/>
      <c r="Q639" s="29"/>
      <c r="R639" s="29"/>
      <c r="S639" s="29"/>
      <c r="T639" s="29"/>
      <c r="U639" s="29"/>
      <c r="V639" s="29"/>
      <c r="W639" s="29"/>
    </row>
    <row r="640" spans="1:23" ht="20.100000000000001" customHeight="1">
      <c r="A640" s="681"/>
      <c r="B640" s="682"/>
      <c r="C640" s="683" t="s">
        <v>64</v>
      </c>
      <c r="D640" s="683"/>
      <c r="E640" s="683"/>
      <c r="F640" s="220">
        <v>30.97</v>
      </c>
      <c r="G640" s="220">
        <f t="shared" si="50"/>
        <v>30.97</v>
      </c>
      <c r="H640" s="221" t="s">
        <v>29</v>
      </c>
      <c r="I640" s="222">
        <f t="shared" si="51"/>
        <v>19288.448999999993</v>
      </c>
      <c r="J640" s="220">
        <f t="shared" si="49"/>
        <v>2066.5510000000068</v>
      </c>
      <c r="K640" s="231">
        <f t="shared" si="48"/>
        <v>539.24371071275777</v>
      </c>
      <c r="L640" s="760" t="s">
        <v>292</v>
      </c>
      <c r="M640" s="761"/>
      <c r="N640" s="29"/>
      <c r="O640" s="29"/>
      <c r="P640" s="29"/>
      <c r="Q640" s="29"/>
      <c r="R640" s="29"/>
      <c r="S640" s="29"/>
      <c r="T640" s="29"/>
      <c r="U640" s="29"/>
      <c r="V640" s="29"/>
      <c r="W640" s="29"/>
    </row>
    <row r="641" spans="1:23" ht="20.100000000000001" customHeight="1">
      <c r="A641" s="681"/>
      <c r="B641" s="682"/>
      <c r="C641" s="683" t="s">
        <v>64</v>
      </c>
      <c r="D641" s="683"/>
      <c r="E641" s="683"/>
      <c r="F641" s="220">
        <v>30.97</v>
      </c>
      <c r="G641" s="220">
        <f t="shared" si="50"/>
        <v>30.97</v>
      </c>
      <c r="H641" s="221" t="s">
        <v>29</v>
      </c>
      <c r="I641" s="222">
        <f t="shared" si="51"/>
        <v>19319.418999999994</v>
      </c>
      <c r="J641" s="220">
        <f t="shared" si="49"/>
        <v>2035.5810000000056</v>
      </c>
      <c r="K641" s="231">
        <f t="shared" si="48"/>
        <v>539.97305539572176</v>
      </c>
      <c r="L641" s="760" t="s">
        <v>292</v>
      </c>
      <c r="M641" s="761"/>
      <c r="N641" s="29"/>
      <c r="O641" s="29"/>
      <c r="P641" s="29"/>
      <c r="Q641" s="29"/>
      <c r="R641" s="29"/>
      <c r="S641" s="29"/>
      <c r="T641" s="29"/>
      <c r="U641" s="29"/>
      <c r="V641" s="29"/>
      <c r="W641" s="29"/>
    </row>
    <row r="642" spans="1:23" ht="20.100000000000001" customHeight="1">
      <c r="A642" s="732" t="s">
        <v>262</v>
      </c>
      <c r="B642" s="733"/>
      <c r="C642" s="734" t="s">
        <v>64</v>
      </c>
      <c r="D642" s="734"/>
      <c r="E642" s="734"/>
      <c r="F642" s="223">
        <v>31.42</v>
      </c>
      <c r="G642" s="223">
        <f t="shared" si="50"/>
        <v>31.42</v>
      </c>
      <c r="H642" s="224" t="s">
        <v>29</v>
      </c>
      <c r="I642" s="225">
        <f t="shared" si="51"/>
        <v>19350.838999999993</v>
      </c>
      <c r="J642" s="223">
        <f t="shared" si="49"/>
        <v>2004.1610000000073</v>
      </c>
      <c r="K642" s="233">
        <f t="shared" si="48"/>
        <v>540.71299759587453</v>
      </c>
      <c r="L642" s="760" t="s">
        <v>292</v>
      </c>
      <c r="M642" s="761"/>
      <c r="N642" s="29"/>
      <c r="O642" s="29"/>
      <c r="P642" s="29"/>
      <c r="Q642" s="29"/>
      <c r="R642" s="29"/>
      <c r="S642" s="29"/>
      <c r="T642" s="29"/>
      <c r="U642" s="29"/>
      <c r="V642" s="29"/>
      <c r="W642" s="29"/>
    </row>
    <row r="643" spans="1:23" ht="20.100000000000001" customHeight="1">
      <c r="A643" s="732"/>
      <c r="B643" s="733"/>
      <c r="C643" s="734" t="s">
        <v>64</v>
      </c>
      <c r="D643" s="734"/>
      <c r="E643" s="734"/>
      <c r="F643" s="223">
        <v>31.05</v>
      </c>
      <c r="G643" s="223">
        <f t="shared" si="50"/>
        <v>31.05</v>
      </c>
      <c r="H643" s="224" t="s">
        <v>29</v>
      </c>
      <c r="I643" s="225">
        <f t="shared" si="51"/>
        <v>19381.888999999992</v>
      </c>
      <c r="J643" s="223">
        <f t="shared" si="49"/>
        <v>1973.1110000000081</v>
      </c>
      <c r="K643" s="233">
        <f t="shared" si="48"/>
        <v>541.44422628189432</v>
      </c>
      <c r="L643" s="760" t="s">
        <v>292</v>
      </c>
      <c r="M643" s="761"/>
      <c r="N643" s="29"/>
      <c r="O643" s="29"/>
      <c r="P643" s="29"/>
      <c r="Q643" s="29"/>
      <c r="R643" s="29"/>
      <c r="S643" s="29"/>
      <c r="T643" s="29"/>
      <c r="U643" s="29"/>
      <c r="V643" s="29"/>
      <c r="W643" s="29"/>
    </row>
    <row r="644" spans="1:23" ht="20.100000000000001" customHeight="1">
      <c r="A644" s="732"/>
      <c r="B644" s="733"/>
      <c r="C644" s="734" t="s">
        <v>64</v>
      </c>
      <c r="D644" s="734"/>
      <c r="E644" s="734"/>
      <c r="F644" s="223">
        <v>31.42</v>
      </c>
      <c r="G644" s="223">
        <f t="shared" si="50"/>
        <v>31.42</v>
      </c>
      <c r="H644" s="224" t="s">
        <v>29</v>
      </c>
      <c r="I644" s="225">
        <f t="shared" si="51"/>
        <v>19413.30899999999</v>
      </c>
      <c r="J644" s="223">
        <f t="shared" si="49"/>
        <v>1941.6910000000098</v>
      </c>
      <c r="K644" s="233">
        <f t="shared" si="48"/>
        <v>542.18416848204708</v>
      </c>
      <c r="L644" s="760" t="s">
        <v>292</v>
      </c>
      <c r="M644" s="761"/>
      <c r="N644" s="29"/>
      <c r="O644" s="29"/>
      <c r="P644" s="29"/>
      <c r="Q644" s="29"/>
      <c r="R644" s="29"/>
      <c r="S644" s="29"/>
      <c r="T644" s="29"/>
      <c r="U644" s="29"/>
      <c r="V644" s="29"/>
      <c r="W644" s="29"/>
    </row>
    <row r="645" spans="1:23" ht="20.100000000000001" customHeight="1">
      <c r="A645" s="681" t="s">
        <v>263</v>
      </c>
      <c r="B645" s="682"/>
      <c r="C645" s="683" t="s">
        <v>64</v>
      </c>
      <c r="D645" s="683"/>
      <c r="E645" s="683"/>
      <c r="F645" s="220">
        <v>31.15</v>
      </c>
      <c r="G645" s="220">
        <f t="shared" si="50"/>
        <v>31.15</v>
      </c>
      <c r="H645" s="221" t="s">
        <v>29</v>
      </c>
      <c r="I645" s="222">
        <f t="shared" si="51"/>
        <v>19444.458999999992</v>
      </c>
      <c r="J645" s="220">
        <f t="shared" si="49"/>
        <v>1910.5410000000084</v>
      </c>
      <c r="K645" s="231">
        <f t="shared" si="48"/>
        <v>542.91775217188672</v>
      </c>
      <c r="L645" s="760" t="s">
        <v>292</v>
      </c>
      <c r="M645" s="761"/>
      <c r="N645" s="29"/>
      <c r="O645" s="29"/>
      <c r="P645" s="29"/>
      <c r="Q645" s="29"/>
      <c r="R645" s="29"/>
      <c r="S645" s="29"/>
      <c r="T645" s="29"/>
      <c r="U645" s="29"/>
      <c r="V645" s="29"/>
      <c r="W645" s="29"/>
    </row>
    <row r="646" spans="1:23" ht="20.100000000000001" customHeight="1">
      <c r="A646" s="681"/>
      <c r="B646" s="682"/>
      <c r="C646" s="683" t="s">
        <v>64</v>
      </c>
      <c r="D646" s="683"/>
      <c r="E646" s="683"/>
      <c r="F646" s="220">
        <v>30.88</v>
      </c>
      <c r="G646" s="220">
        <f t="shared" si="50"/>
        <v>30.88</v>
      </c>
      <c r="H646" s="221" t="s">
        <v>29</v>
      </c>
      <c r="I646" s="222">
        <f t="shared" si="51"/>
        <v>19475.338999999993</v>
      </c>
      <c r="J646" s="220">
        <f t="shared" si="49"/>
        <v>1879.6610000000073</v>
      </c>
      <c r="K646" s="231">
        <f t="shared" si="48"/>
        <v>543.6449773514131</v>
      </c>
      <c r="L646" s="760" t="s">
        <v>292</v>
      </c>
      <c r="M646" s="761"/>
      <c r="N646" s="29"/>
      <c r="O646" s="29"/>
      <c r="P646" s="29"/>
      <c r="Q646" s="29"/>
      <c r="R646" s="29"/>
      <c r="S646" s="29"/>
      <c r="T646" s="29"/>
      <c r="U646" s="29"/>
      <c r="V646" s="29"/>
      <c r="W646" s="29"/>
    </row>
    <row r="647" spans="1:23" ht="20.100000000000001" customHeight="1">
      <c r="A647" s="681"/>
      <c r="B647" s="682"/>
      <c r="C647" s="683" t="s">
        <v>64</v>
      </c>
      <c r="D647" s="683"/>
      <c r="E647" s="683"/>
      <c r="F647" s="220">
        <v>30.84</v>
      </c>
      <c r="G647" s="220">
        <f t="shared" si="50"/>
        <v>30.84</v>
      </c>
      <c r="H647" s="221" t="s">
        <v>29</v>
      </c>
      <c r="I647" s="222">
        <f t="shared" si="51"/>
        <v>19506.178999999993</v>
      </c>
      <c r="J647" s="220">
        <f t="shared" si="49"/>
        <v>1848.8210000000072</v>
      </c>
      <c r="K647" s="231">
        <f t="shared" si="48"/>
        <v>544.37126052941153</v>
      </c>
      <c r="L647" s="760" t="s">
        <v>292</v>
      </c>
      <c r="M647" s="761"/>
      <c r="N647" s="29"/>
      <c r="O647" s="29"/>
      <c r="P647" s="29"/>
      <c r="Q647" s="29"/>
      <c r="R647" s="29"/>
      <c r="S647" s="29"/>
      <c r="T647" s="29"/>
      <c r="U647" s="29"/>
      <c r="V647" s="29"/>
      <c r="W647" s="29"/>
    </row>
    <row r="648" spans="1:23" ht="20.100000000000001" customHeight="1">
      <c r="A648" s="732" t="s">
        <v>264</v>
      </c>
      <c r="B648" s="733"/>
      <c r="C648" s="734" t="s">
        <v>64</v>
      </c>
      <c r="D648" s="734"/>
      <c r="E648" s="734"/>
      <c r="F648" s="223">
        <v>31.21</v>
      </c>
      <c r="G648" s="223">
        <f t="shared" si="50"/>
        <v>31.21</v>
      </c>
      <c r="H648" s="224" t="s">
        <v>29</v>
      </c>
      <c r="I648" s="225">
        <f t="shared" si="51"/>
        <v>19537.388999999992</v>
      </c>
      <c r="J648" s="223">
        <f t="shared" si="49"/>
        <v>1817.6110000000081</v>
      </c>
      <c r="K648" s="233">
        <f t="shared" si="48"/>
        <v>545.10625722154293</v>
      </c>
      <c r="L648" s="760" t="s">
        <v>292</v>
      </c>
      <c r="M648" s="761"/>
      <c r="N648" s="29"/>
      <c r="O648" s="29"/>
      <c r="P648" s="29"/>
      <c r="Q648" s="29"/>
      <c r="R648" s="29"/>
      <c r="S648" s="29"/>
      <c r="T648" s="29"/>
      <c r="U648" s="29"/>
      <c r="V648" s="29"/>
      <c r="W648" s="29"/>
    </row>
    <row r="649" spans="1:23" ht="20.100000000000001" customHeight="1">
      <c r="A649" s="732"/>
      <c r="B649" s="733"/>
      <c r="C649" s="734" t="s">
        <v>64</v>
      </c>
      <c r="D649" s="734"/>
      <c r="E649" s="734"/>
      <c r="F649" s="223">
        <v>31.13</v>
      </c>
      <c r="G649" s="223">
        <f t="shared" si="50"/>
        <v>31.13</v>
      </c>
      <c r="H649" s="224" t="s">
        <v>29</v>
      </c>
      <c r="I649" s="225">
        <f t="shared" si="51"/>
        <v>19568.518999999993</v>
      </c>
      <c r="J649" s="223">
        <f t="shared" si="49"/>
        <v>1786.481000000007</v>
      </c>
      <c r="K649" s="233">
        <f t="shared" si="48"/>
        <v>545.83936991061864</v>
      </c>
      <c r="L649" s="760" t="s">
        <v>292</v>
      </c>
      <c r="M649" s="761"/>
      <c r="N649" s="29"/>
      <c r="O649" s="29"/>
      <c r="P649" s="29"/>
      <c r="Q649" s="29"/>
      <c r="R649" s="29"/>
      <c r="S649" s="29"/>
      <c r="T649" s="29"/>
      <c r="U649" s="29"/>
      <c r="V649" s="29"/>
      <c r="W649" s="29"/>
    </row>
    <row r="650" spans="1:23" ht="20.100000000000001" customHeight="1">
      <c r="A650" s="732"/>
      <c r="B650" s="733"/>
      <c r="C650" s="734" t="s">
        <v>64</v>
      </c>
      <c r="D650" s="734"/>
      <c r="E650" s="734"/>
      <c r="F650" s="223">
        <v>31.17</v>
      </c>
      <c r="G650" s="223">
        <f t="shared" si="50"/>
        <v>31.17</v>
      </c>
      <c r="H650" s="224" t="s">
        <v>29</v>
      </c>
      <c r="I650" s="225">
        <f t="shared" si="51"/>
        <v>19599.688999999991</v>
      </c>
      <c r="J650" s="223">
        <f t="shared" si="49"/>
        <v>1755.3110000000088</v>
      </c>
      <c r="K650" s="233">
        <f t="shared" si="48"/>
        <v>546.57342460122209</v>
      </c>
      <c r="L650" s="760" t="s">
        <v>292</v>
      </c>
      <c r="M650" s="761"/>
      <c r="N650" s="29"/>
      <c r="O650" s="29"/>
      <c r="P650" s="29"/>
      <c r="Q650" s="29"/>
      <c r="R650" s="29"/>
      <c r="S650" s="29"/>
      <c r="T650" s="29"/>
      <c r="U650" s="29"/>
      <c r="V650" s="29"/>
      <c r="W650" s="29"/>
    </row>
    <row r="651" spans="1:23" ht="20.100000000000001" customHeight="1">
      <c r="A651" s="681" t="s">
        <v>265</v>
      </c>
      <c r="B651" s="682"/>
      <c r="C651" s="683" t="s">
        <v>64</v>
      </c>
      <c r="D651" s="683"/>
      <c r="E651" s="683"/>
      <c r="F651" s="220">
        <v>30.95</v>
      </c>
      <c r="G651" s="220">
        <f t="shared" si="50"/>
        <v>30.95</v>
      </c>
      <c r="H651" s="221" t="s">
        <v>29</v>
      </c>
      <c r="I651" s="222">
        <f t="shared" si="51"/>
        <v>19630.638999999992</v>
      </c>
      <c r="J651" s="220">
        <f t="shared" si="49"/>
        <v>1724.3610000000081</v>
      </c>
      <c r="K651" s="231">
        <f t="shared" si="48"/>
        <v>547.30229828342226</v>
      </c>
      <c r="L651" s="760" t="s">
        <v>292</v>
      </c>
      <c r="M651" s="761"/>
      <c r="N651" s="29"/>
      <c r="O651" s="29"/>
      <c r="P651" s="29"/>
      <c r="Q651" s="29"/>
      <c r="R651" s="29"/>
      <c r="S651" s="29"/>
      <c r="T651" s="29"/>
      <c r="U651" s="29"/>
      <c r="V651" s="29"/>
      <c r="W651" s="29"/>
    </row>
    <row r="652" spans="1:23" ht="20.100000000000001" customHeight="1">
      <c r="A652" s="681"/>
      <c r="B652" s="682"/>
      <c r="C652" s="683" t="s">
        <v>64</v>
      </c>
      <c r="D652" s="683"/>
      <c r="E652" s="683"/>
      <c r="F652" s="220">
        <v>31.2</v>
      </c>
      <c r="G652" s="220">
        <f t="shared" si="50"/>
        <v>31.2</v>
      </c>
      <c r="H652" s="221" t="s">
        <v>29</v>
      </c>
      <c r="I652" s="222">
        <f t="shared" si="51"/>
        <v>19661.838999999993</v>
      </c>
      <c r="J652" s="220">
        <f t="shared" si="49"/>
        <v>1693.1610000000073</v>
      </c>
      <c r="K652" s="231">
        <f t="shared" si="48"/>
        <v>548.03705947517165</v>
      </c>
      <c r="L652" s="760" t="s">
        <v>292</v>
      </c>
      <c r="M652" s="761"/>
      <c r="N652" s="29"/>
      <c r="O652" s="29"/>
      <c r="P652" s="29"/>
      <c r="Q652" s="29"/>
      <c r="R652" s="29"/>
      <c r="S652" s="29"/>
      <c r="T652" s="29"/>
      <c r="U652" s="29"/>
      <c r="V652" s="29"/>
      <c r="W652" s="29"/>
    </row>
    <row r="653" spans="1:23" ht="20.100000000000001" customHeight="1">
      <c r="A653" s="681"/>
      <c r="B653" s="682"/>
      <c r="C653" s="683" t="s">
        <v>64</v>
      </c>
      <c r="D653" s="683"/>
      <c r="E653" s="683"/>
      <c r="F653" s="220">
        <v>31.24</v>
      </c>
      <c r="G653" s="220">
        <f t="shared" si="50"/>
        <v>31.24</v>
      </c>
      <c r="H653" s="221" t="s">
        <v>29</v>
      </c>
      <c r="I653" s="222">
        <f t="shared" si="51"/>
        <v>19693.078999999994</v>
      </c>
      <c r="J653" s="220">
        <f t="shared" si="49"/>
        <v>1661.9210000000057</v>
      </c>
      <c r="K653" s="231">
        <f t="shared" si="48"/>
        <v>548.7727626684491</v>
      </c>
      <c r="L653" s="760" t="s">
        <v>292</v>
      </c>
      <c r="M653" s="761"/>
      <c r="N653" s="29"/>
      <c r="O653" s="29"/>
      <c r="P653" s="29"/>
      <c r="Q653" s="29"/>
      <c r="R653" s="29"/>
      <c r="S653" s="29"/>
      <c r="T653" s="29"/>
      <c r="U653" s="29"/>
      <c r="V653" s="29"/>
      <c r="W653" s="29"/>
    </row>
    <row r="654" spans="1:23" ht="20.100000000000001" customHeight="1">
      <c r="A654" s="732" t="s">
        <v>266</v>
      </c>
      <c r="B654" s="733"/>
      <c r="C654" s="734" t="s">
        <v>64</v>
      </c>
      <c r="D654" s="734"/>
      <c r="E654" s="734"/>
      <c r="F654" s="223">
        <v>31.06</v>
      </c>
      <c r="G654" s="223">
        <f t="shared" si="50"/>
        <v>31.06</v>
      </c>
      <c r="H654" s="224" t="s">
        <v>29</v>
      </c>
      <c r="I654" s="225">
        <f t="shared" si="51"/>
        <v>19724.138999999996</v>
      </c>
      <c r="J654" s="223">
        <f t="shared" si="49"/>
        <v>1630.8610000000044</v>
      </c>
      <c r="K654" s="233">
        <f t="shared" si="48"/>
        <v>549.50422685485091</v>
      </c>
      <c r="L654" s="760" t="s">
        <v>292</v>
      </c>
      <c r="M654" s="761"/>
      <c r="N654" s="29"/>
      <c r="O654" s="29"/>
      <c r="P654" s="29"/>
      <c r="Q654" s="29"/>
      <c r="R654" s="29"/>
      <c r="S654" s="29"/>
      <c r="T654" s="29"/>
      <c r="U654" s="29"/>
      <c r="V654" s="29"/>
      <c r="W654" s="29"/>
    </row>
    <row r="655" spans="1:23" ht="20.100000000000001" customHeight="1">
      <c r="A655" s="732"/>
      <c r="B655" s="733"/>
      <c r="C655" s="734" t="s">
        <v>64</v>
      </c>
      <c r="D655" s="734"/>
      <c r="E655" s="734"/>
      <c r="F655" s="223">
        <v>31</v>
      </c>
      <c r="G655" s="223">
        <f t="shared" si="50"/>
        <v>31</v>
      </c>
      <c r="H655" s="224" t="s">
        <v>29</v>
      </c>
      <c r="I655" s="225">
        <f t="shared" si="51"/>
        <v>19755.138999999996</v>
      </c>
      <c r="J655" s="223">
        <f t="shared" si="49"/>
        <v>1599.8610000000044</v>
      </c>
      <c r="K655" s="233">
        <f t="shared" si="48"/>
        <v>550.23427803896095</v>
      </c>
      <c r="L655" s="760" t="s">
        <v>292</v>
      </c>
      <c r="M655" s="761"/>
      <c r="N655" s="29"/>
      <c r="O655" s="29"/>
      <c r="P655" s="29"/>
      <c r="Q655" s="29"/>
      <c r="R655" s="29"/>
      <c r="S655" s="29"/>
      <c r="T655" s="29"/>
      <c r="U655" s="29"/>
      <c r="V655" s="29"/>
      <c r="W655" s="29"/>
    </row>
    <row r="656" spans="1:23" ht="20.100000000000001" customHeight="1">
      <c r="A656" s="732"/>
      <c r="B656" s="733"/>
      <c r="C656" s="734" t="s">
        <v>64</v>
      </c>
      <c r="D656" s="734"/>
      <c r="E656" s="734"/>
      <c r="F656" s="223">
        <v>31.26</v>
      </c>
      <c r="G656" s="223">
        <f t="shared" si="50"/>
        <v>31.26</v>
      </c>
      <c r="H656" s="224" t="s">
        <v>29</v>
      </c>
      <c r="I656" s="225">
        <f t="shared" si="51"/>
        <v>19786.398999999994</v>
      </c>
      <c r="J656" s="223">
        <f t="shared" si="49"/>
        <v>1568.601000000006</v>
      </c>
      <c r="K656" s="233">
        <f t="shared" si="48"/>
        <v>550.97045223300222</v>
      </c>
      <c r="L656" s="760" t="s">
        <v>292</v>
      </c>
      <c r="M656" s="761"/>
      <c r="N656" s="29"/>
      <c r="O656" s="29"/>
      <c r="P656" s="29"/>
      <c r="Q656" s="29"/>
      <c r="R656" s="29"/>
      <c r="S656" s="29"/>
      <c r="T656" s="29"/>
      <c r="U656" s="29"/>
      <c r="V656" s="29"/>
      <c r="W656" s="29"/>
    </row>
    <row r="657" spans="1:23" ht="20.100000000000001" customHeight="1">
      <c r="A657" s="681" t="s">
        <v>267</v>
      </c>
      <c r="B657" s="682"/>
      <c r="C657" s="683" t="s">
        <v>64</v>
      </c>
      <c r="D657" s="683"/>
      <c r="E657" s="683"/>
      <c r="F657" s="220">
        <v>31.4</v>
      </c>
      <c r="G657" s="220">
        <f t="shared" si="50"/>
        <v>31.4</v>
      </c>
      <c r="H657" s="221" t="s">
        <v>29</v>
      </c>
      <c r="I657" s="222">
        <f t="shared" si="51"/>
        <v>19817.798999999995</v>
      </c>
      <c r="J657" s="220">
        <f t="shared" si="49"/>
        <v>1537.2010000000046</v>
      </c>
      <c r="K657" s="231">
        <f t="shared" si="48"/>
        <v>551.70992343239095</v>
      </c>
      <c r="L657" s="760" t="s">
        <v>292</v>
      </c>
      <c r="M657" s="761"/>
      <c r="N657" s="29"/>
      <c r="O657" s="29"/>
      <c r="P657" s="29"/>
      <c r="Q657" s="29"/>
      <c r="R657" s="29"/>
      <c r="S657" s="29"/>
      <c r="T657" s="29"/>
      <c r="U657" s="29"/>
      <c r="V657" s="29"/>
      <c r="W657" s="29"/>
    </row>
    <row r="658" spans="1:23" ht="20.100000000000001" customHeight="1">
      <c r="A658" s="681"/>
      <c r="B658" s="682"/>
      <c r="C658" s="683" t="s">
        <v>64</v>
      </c>
      <c r="D658" s="683"/>
      <c r="E658" s="683"/>
      <c r="F658" s="220">
        <v>30.86</v>
      </c>
      <c r="G658" s="220">
        <f t="shared" si="50"/>
        <v>30.86</v>
      </c>
      <c r="H658" s="221" t="s">
        <v>29</v>
      </c>
      <c r="I658" s="222">
        <f t="shared" si="51"/>
        <v>19848.658999999996</v>
      </c>
      <c r="J658" s="220">
        <f t="shared" si="49"/>
        <v>1506.341000000004</v>
      </c>
      <c r="K658" s="231">
        <f t="shared" si="48"/>
        <v>552.43667761115353</v>
      </c>
      <c r="L658" s="760" t="s">
        <v>292</v>
      </c>
      <c r="M658" s="761"/>
      <c r="N658" s="29"/>
      <c r="O658" s="29"/>
      <c r="P658" s="29"/>
      <c r="Q658" s="29"/>
      <c r="R658" s="29"/>
      <c r="S658" s="29"/>
      <c r="T658" s="29"/>
      <c r="U658" s="29"/>
      <c r="V658" s="29"/>
      <c r="W658" s="29"/>
    </row>
    <row r="659" spans="1:23" ht="20.100000000000001" customHeight="1">
      <c r="A659" s="681"/>
      <c r="B659" s="682"/>
      <c r="C659" s="683" t="s">
        <v>64</v>
      </c>
      <c r="D659" s="683"/>
      <c r="E659" s="683"/>
      <c r="F659" s="220">
        <v>31.21</v>
      </c>
      <c r="G659" s="220">
        <f t="shared" si="50"/>
        <v>31.21</v>
      </c>
      <c r="H659" s="221" t="s">
        <v>29</v>
      </c>
      <c r="I659" s="222">
        <f t="shared" si="51"/>
        <v>19879.868999999995</v>
      </c>
      <c r="J659" s="220">
        <f t="shared" si="49"/>
        <v>1475.1310000000049</v>
      </c>
      <c r="K659" s="231">
        <f t="shared" si="48"/>
        <v>553.17167430328493</v>
      </c>
      <c r="L659" s="760" t="s">
        <v>292</v>
      </c>
      <c r="M659" s="761"/>
      <c r="N659" s="29"/>
      <c r="O659" s="29"/>
      <c r="P659" s="29"/>
      <c r="Q659" s="29"/>
      <c r="R659" s="29"/>
      <c r="S659" s="29"/>
      <c r="T659" s="29"/>
      <c r="U659" s="29"/>
      <c r="V659" s="29"/>
      <c r="W659" s="29"/>
    </row>
    <row r="660" spans="1:23" ht="20.100000000000001" customHeight="1">
      <c r="A660" s="732" t="s">
        <v>268</v>
      </c>
      <c r="B660" s="733"/>
      <c r="C660" s="734" t="s">
        <v>64</v>
      </c>
      <c r="D660" s="734"/>
      <c r="E660" s="734"/>
      <c r="F660" s="223">
        <v>31.16</v>
      </c>
      <c r="G660" s="223">
        <f t="shared" si="50"/>
        <v>31.16</v>
      </c>
      <c r="H660" s="224" t="s">
        <v>29</v>
      </c>
      <c r="I660" s="225">
        <f t="shared" si="51"/>
        <v>19911.028999999995</v>
      </c>
      <c r="J660" s="223">
        <f t="shared" si="49"/>
        <v>1443.971000000005</v>
      </c>
      <c r="K660" s="233">
        <f t="shared" si="48"/>
        <v>553.90549349350647</v>
      </c>
      <c r="L660" s="760" t="s">
        <v>292</v>
      </c>
      <c r="M660" s="761"/>
      <c r="N660" s="29"/>
      <c r="O660" s="29"/>
      <c r="P660" s="29"/>
      <c r="Q660" s="29"/>
      <c r="R660" s="29"/>
      <c r="S660" s="29"/>
      <c r="T660" s="29"/>
      <c r="U660" s="29"/>
      <c r="V660" s="29"/>
      <c r="W660" s="29"/>
    </row>
    <row r="661" spans="1:23" ht="20.100000000000001" customHeight="1">
      <c r="A661" s="732"/>
      <c r="B661" s="733"/>
      <c r="C661" s="734" t="s">
        <v>64</v>
      </c>
      <c r="D661" s="734"/>
      <c r="E661" s="734"/>
      <c r="F661" s="223">
        <v>31</v>
      </c>
      <c r="G661" s="223">
        <f t="shared" si="50"/>
        <v>31</v>
      </c>
      <c r="H661" s="224" t="s">
        <v>29</v>
      </c>
      <c r="I661" s="225">
        <f t="shared" si="51"/>
        <v>19942.028999999995</v>
      </c>
      <c r="J661" s="223">
        <f t="shared" si="49"/>
        <v>1412.971000000005</v>
      </c>
      <c r="K661" s="233">
        <f t="shared" si="48"/>
        <v>554.63554467761651</v>
      </c>
      <c r="L661" s="760" t="s">
        <v>292</v>
      </c>
      <c r="M661" s="761"/>
      <c r="N661" s="29"/>
      <c r="O661" s="29"/>
      <c r="P661" s="29"/>
      <c r="Q661" s="29"/>
      <c r="R661" s="29"/>
      <c r="S661" s="29"/>
      <c r="T661" s="29"/>
      <c r="U661" s="29"/>
      <c r="V661" s="29"/>
      <c r="W661" s="29"/>
    </row>
    <row r="662" spans="1:23" ht="20.100000000000001" customHeight="1">
      <c r="A662" s="732"/>
      <c r="B662" s="733"/>
      <c r="C662" s="734" t="s">
        <v>64</v>
      </c>
      <c r="D662" s="734"/>
      <c r="E662" s="734"/>
      <c r="F662" s="223">
        <v>31.19</v>
      </c>
      <c r="G662" s="223">
        <f t="shared" si="50"/>
        <v>31.19</v>
      </c>
      <c r="H662" s="224" t="s">
        <v>29</v>
      </c>
      <c r="I662" s="225">
        <f t="shared" si="51"/>
        <v>19973.218999999994</v>
      </c>
      <c r="J662" s="223">
        <f t="shared" si="49"/>
        <v>1381.7810000000063</v>
      </c>
      <c r="K662" s="233">
        <f t="shared" si="48"/>
        <v>555.37007036898376</v>
      </c>
      <c r="L662" s="760" t="s">
        <v>292</v>
      </c>
      <c r="M662" s="761"/>
      <c r="N662" s="29"/>
      <c r="O662" s="29"/>
      <c r="P662" s="29"/>
      <c r="Q662" s="29"/>
      <c r="R662" s="29"/>
      <c r="S662" s="29"/>
      <c r="T662" s="29"/>
      <c r="U662" s="29"/>
      <c r="V662" s="29"/>
      <c r="W662" s="29"/>
    </row>
    <row r="663" spans="1:23" ht="20.100000000000001" customHeight="1">
      <c r="A663" s="681" t="s">
        <v>269</v>
      </c>
      <c r="B663" s="682"/>
      <c r="C663" s="683" t="s">
        <v>64</v>
      </c>
      <c r="D663" s="683"/>
      <c r="E663" s="683"/>
      <c r="F663" s="220">
        <v>31.2</v>
      </c>
      <c r="G663" s="220">
        <f t="shared" si="50"/>
        <v>31.2</v>
      </c>
      <c r="H663" s="221" t="s">
        <v>29</v>
      </c>
      <c r="I663" s="222">
        <f t="shared" si="51"/>
        <v>20004.418999999994</v>
      </c>
      <c r="J663" s="220">
        <f t="shared" si="49"/>
        <v>1350.5810000000056</v>
      </c>
      <c r="K663" s="231">
        <f t="shared" si="48"/>
        <v>556.10483156073326</v>
      </c>
      <c r="L663" s="760" t="s">
        <v>292</v>
      </c>
      <c r="M663" s="761"/>
      <c r="N663" s="29"/>
      <c r="O663" s="29"/>
      <c r="P663" s="29"/>
      <c r="Q663" s="29"/>
      <c r="R663" s="29"/>
      <c r="S663" s="29"/>
      <c r="T663" s="29"/>
      <c r="U663" s="29"/>
      <c r="V663" s="29"/>
      <c r="W663" s="29"/>
    </row>
    <row r="664" spans="1:23" ht="20.100000000000001" customHeight="1">
      <c r="A664" s="681"/>
      <c r="B664" s="682"/>
      <c r="C664" s="683" t="s">
        <v>64</v>
      </c>
      <c r="D664" s="683"/>
      <c r="E664" s="683"/>
      <c r="F664" s="220">
        <v>31.34</v>
      </c>
      <c r="G664" s="220">
        <f t="shared" si="50"/>
        <v>31.34</v>
      </c>
      <c r="H664" s="221" t="s">
        <v>29</v>
      </c>
      <c r="I664" s="222">
        <f t="shared" si="51"/>
        <v>20035.758999999995</v>
      </c>
      <c r="J664" s="220">
        <f t="shared" si="49"/>
        <v>1319.2410000000054</v>
      </c>
      <c r="K664" s="231">
        <f t="shared" si="48"/>
        <v>556.84288975783033</v>
      </c>
      <c r="L664" s="760" t="s">
        <v>292</v>
      </c>
      <c r="M664" s="761"/>
      <c r="N664" s="29"/>
      <c r="O664" s="29"/>
      <c r="P664" s="29"/>
      <c r="Q664" s="29"/>
      <c r="R664" s="29"/>
      <c r="S664" s="29"/>
      <c r="T664" s="29"/>
      <c r="U664" s="29"/>
      <c r="V664" s="29"/>
      <c r="W664" s="29"/>
    </row>
    <row r="665" spans="1:23" ht="20.100000000000001" customHeight="1">
      <c r="A665" s="681"/>
      <c r="B665" s="682"/>
      <c r="C665" s="683" t="s">
        <v>64</v>
      </c>
      <c r="D665" s="683"/>
      <c r="E665" s="683"/>
      <c r="F665" s="220">
        <v>30.9</v>
      </c>
      <c r="G665" s="220">
        <f t="shared" si="50"/>
        <v>30.9</v>
      </c>
      <c r="H665" s="221" t="s">
        <v>29</v>
      </c>
      <c r="I665" s="222">
        <f t="shared" si="51"/>
        <v>20066.658999999996</v>
      </c>
      <c r="J665" s="220">
        <f t="shared" si="49"/>
        <v>1288.341000000004</v>
      </c>
      <c r="K665" s="231">
        <f t="shared" si="48"/>
        <v>557.57058593812064</v>
      </c>
      <c r="L665" s="760" t="s">
        <v>292</v>
      </c>
      <c r="M665" s="761"/>
      <c r="N665" s="29"/>
      <c r="O665" s="29"/>
      <c r="P665" s="29"/>
      <c r="Q665" s="29"/>
      <c r="R665" s="29"/>
      <c r="S665" s="29"/>
      <c r="T665" s="29"/>
      <c r="U665" s="29"/>
      <c r="V665" s="29"/>
      <c r="W665" s="29"/>
    </row>
    <row r="666" spans="1:23" ht="20.100000000000001" customHeight="1">
      <c r="A666" s="732" t="s">
        <v>270</v>
      </c>
      <c r="B666" s="733"/>
      <c r="C666" s="734" t="s">
        <v>64</v>
      </c>
      <c r="D666" s="734"/>
      <c r="E666" s="734"/>
      <c r="F666" s="223">
        <v>31.01</v>
      </c>
      <c r="G666" s="223">
        <f t="shared" si="50"/>
        <v>31.01</v>
      </c>
      <c r="H666" s="224" t="s">
        <v>29</v>
      </c>
      <c r="I666" s="225">
        <f t="shared" si="51"/>
        <v>20097.668999999994</v>
      </c>
      <c r="J666" s="223">
        <f t="shared" si="49"/>
        <v>1257.3310000000056</v>
      </c>
      <c r="K666" s="233">
        <f t="shared" si="48"/>
        <v>558.30087262261259</v>
      </c>
      <c r="L666" s="760" t="s">
        <v>292</v>
      </c>
      <c r="M666" s="761"/>
      <c r="N666" s="29"/>
      <c r="O666" s="29"/>
      <c r="P666" s="29"/>
      <c r="Q666" s="29"/>
      <c r="R666" s="29"/>
      <c r="S666" s="29"/>
      <c r="T666" s="29"/>
      <c r="U666" s="29"/>
      <c r="V666" s="29"/>
      <c r="W666" s="29"/>
    </row>
    <row r="667" spans="1:23" ht="20.100000000000001" customHeight="1">
      <c r="A667" s="732"/>
      <c r="B667" s="733"/>
      <c r="C667" s="734" t="s">
        <v>64</v>
      </c>
      <c r="D667" s="734"/>
      <c r="E667" s="734"/>
      <c r="F667" s="223">
        <v>31.23</v>
      </c>
      <c r="G667" s="223">
        <f t="shared" si="50"/>
        <v>31.23</v>
      </c>
      <c r="H667" s="224" t="s">
        <v>29</v>
      </c>
      <c r="I667" s="225">
        <f t="shared" si="51"/>
        <v>20128.898999999994</v>
      </c>
      <c r="J667" s="223">
        <f t="shared" si="49"/>
        <v>1226.101000000006</v>
      </c>
      <c r="K667" s="233">
        <f t="shared" si="48"/>
        <v>559.03634031550791</v>
      </c>
      <c r="L667" s="760" t="s">
        <v>292</v>
      </c>
      <c r="M667" s="761"/>
      <c r="N667" s="29"/>
      <c r="O667" s="29"/>
      <c r="P667" s="29"/>
      <c r="Q667" s="29"/>
      <c r="R667" s="29"/>
      <c r="S667" s="29"/>
      <c r="T667" s="29"/>
      <c r="U667" s="29"/>
      <c r="V667" s="29"/>
      <c r="W667" s="29"/>
    </row>
    <row r="668" spans="1:23" ht="20.100000000000001" customHeight="1">
      <c r="A668" s="732"/>
      <c r="B668" s="733"/>
      <c r="C668" s="734" t="s">
        <v>64</v>
      </c>
      <c r="D668" s="734"/>
      <c r="E668" s="734"/>
      <c r="F668" s="223">
        <v>31.19</v>
      </c>
      <c r="G668" s="223">
        <f t="shared" si="50"/>
        <v>31.19</v>
      </c>
      <c r="H668" s="224" t="s">
        <v>29</v>
      </c>
      <c r="I668" s="225">
        <f t="shared" si="51"/>
        <v>20160.088999999993</v>
      </c>
      <c r="J668" s="223">
        <f t="shared" si="49"/>
        <v>1194.9110000000073</v>
      </c>
      <c r="K668" s="233">
        <f t="shared" ref="K668:K719" si="52">$H$8+(I668*$E$9*$E$15/1000)</f>
        <v>559.77086600687528</v>
      </c>
      <c r="L668" s="760" t="s">
        <v>292</v>
      </c>
      <c r="M668" s="761"/>
      <c r="N668" s="29"/>
      <c r="O668" s="29"/>
      <c r="P668" s="29"/>
      <c r="Q668" s="29"/>
      <c r="R668" s="29"/>
      <c r="S668" s="29"/>
      <c r="T668" s="29"/>
      <c r="U668" s="29"/>
      <c r="V668" s="29"/>
      <c r="W668" s="29"/>
    </row>
    <row r="669" spans="1:23" ht="20.100000000000001" customHeight="1">
      <c r="A669" s="681" t="s">
        <v>271</v>
      </c>
      <c r="B669" s="682"/>
      <c r="C669" s="683" t="s">
        <v>64</v>
      </c>
      <c r="D669" s="683"/>
      <c r="E669" s="683"/>
      <c r="F669" s="220">
        <v>31.22</v>
      </c>
      <c r="G669" s="220">
        <f t="shared" si="50"/>
        <v>31.22</v>
      </c>
      <c r="H669" s="221" t="s">
        <v>29</v>
      </c>
      <c r="I669" s="222">
        <f t="shared" si="51"/>
        <v>20191.308999999994</v>
      </c>
      <c r="J669" s="220">
        <f t="shared" ref="J669:J725" si="53">IF(I669="","",$L$10-I669)</f>
        <v>1163.6910000000062</v>
      </c>
      <c r="K669" s="231">
        <f t="shared" si="52"/>
        <v>560.5060981993887</v>
      </c>
      <c r="L669" s="760" t="s">
        <v>292</v>
      </c>
      <c r="M669" s="761"/>
      <c r="N669" s="29"/>
      <c r="O669" s="29"/>
      <c r="P669" s="29"/>
      <c r="Q669" s="29"/>
      <c r="R669" s="29"/>
      <c r="S669" s="29"/>
      <c r="T669" s="29"/>
      <c r="U669" s="29"/>
      <c r="V669" s="29"/>
      <c r="W669" s="29"/>
    </row>
    <row r="670" spans="1:23" ht="20.100000000000001" customHeight="1">
      <c r="A670" s="681"/>
      <c r="B670" s="682"/>
      <c r="C670" s="683" t="s">
        <v>64</v>
      </c>
      <c r="D670" s="683"/>
      <c r="E670" s="683"/>
      <c r="F670" s="220">
        <v>31.06</v>
      </c>
      <c r="G670" s="220">
        <f t="shared" si="50"/>
        <v>31.06</v>
      </c>
      <c r="H670" s="221" t="s">
        <v>29</v>
      </c>
      <c r="I670" s="222">
        <f t="shared" si="51"/>
        <v>20222.368999999995</v>
      </c>
      <c r="J670" s="220">
        <f t="shared" si="53"/>
        <v>1132.6310000000049</v>
      </c>
      <c r="K670" s="231">
        <f t="shared" si="52"/>
        <v>561.23756238579062</v>
      </c>
      <c r="L670" s="760" t="s">
        <v>292</v>
      </c>
      <c r="M670" s="761"/>
      <c r="N670" s="29"/>
      <c r="O670" s="29"/>
      <c r="P670" s="29"/>
      <c r="Q670" s="29"/>
      <c r="R670" s="29"/>
      <c r="S670" s="29"/>
      <c r="T670" s="29"/>
      <c r="U670" s="29"/>
      <c r="V670" s="29"/>
      <c r="W670" s="29"/>
    </row>
    <row r="671" spans="1:23" ht="20.100000000000001" customHeight="1">
      <c r="A671" s="681"/>
      <c r="B671" s="682"/>
      <c r="C671" s="683" t="s">
        <v>64</v>
      </c>
      <c r="D671" s="683"/>
      <c r="E671" s="683"/>
      <c r="F671" s="220">
        <v>31.21</v>
      </c>
      <c r="G671" s="220">
        <f t="shared" si="50"/>
        <v>31.21</v>
      </c>
      <c r="H671" s="221" t="s">
        <v>29</v>
      </c>
      <c r="I671" s="222">
        <f t="shared" si="51"/>
        <v>20253.578999999994</v>
      </c>
      <c r="J671" s="220">
        <f t="shared" si="53"/>
        <v>1101.4210000000057</v>
      </c>
      <c r="K671" s="231">
        <f t="shared" si="52"/>
        <v>561.97255907792191</v>
      </c>
      <c r="L671" s="760" t="s">
        <v>292</v>
      </c>
      <c r="M671" s="761"/>
      <c r="N671" s="29"/>
      <c r="O671" s="29"/>
      <c r="P671" s="29"/>
      <c r="Q671" s="29"/>
      <c r="R671" s="29"/>
      <c r="S671" s="29"/>
      <c r="T671" s="29"/>
      <c r="U671" s="29"/>
      <c r="V671" s="29"/>
      <c r="W671" s="29"/>
    </row>
    <row r="672" spans="1:23" ht="20.100000000000001" customHeight="1">
      <c r="A672" s="732" t="s">
        <v>272</v>
      </c>
      <c r="B672" s="733"/>
      <c r="C672" s="734" t="s">
        <v>64</v>
      </c>
      <c r="D672" s="734"/>
      <c r="E672" s="734"/>
      <c r="F672" s="223">
        <v>31.06</v>
      </c>
      <c r="G672" s="223">
        <f t="shared" si="50"/>
        <v>31.06</v>
      </c>
      <c r="H672" s="224" t="s">
        <v>29</v>
      </c>
      <c r="I672" s="225">
        <f t="shared" si="51"/>
        <v>20284.638999999996</v>
      </c>
      <c r="J672" s="223">
        <f t="shared" si="53"/>
        <v>1070.3610000000044</v>
      </c>
      <c r="K672" s="233">
        <f t="shared" si="52"/>
        <v>562.70402326432384</v>
      </c>
      <c r="L672" s="760" t="s">
        <v>292</v>
      </c>
      <c r="M672" s="761"/>
      <c r="N672" s="29"/>
      <c r="O672" s="29"/>
      <c r="P672" s="29"/>
      <c r="Q672" s="29"/>
      <c r="R672" s="29"/>
      <c r="S672" s="29"/>
      <c r="T672" s="29"/>
      <c r="U672" s="29"/>
      <c r="V672" s="29"/>
      <c r="W672" s="29"/>
    </row>
    <row r="673" spans="1:23" ht="20.100000000000001" customHeight="1">
      <c r="A673" s="732"/>
      <c r="B673" s="733"/>
      <c r="C673" s="734" t="s">
        <v>64</v>
      </c>
      <c r="D673" s="734"/>
      <c r="E673" s="734"/>
      <c r="F673" s="223">
        <v>30.77</v>
      </c>
      <c r="G673" s="223">
        <f t="shared" si="50"/>
        <v>30.77</v>
      </c>
      <c r="H673" s="224" t="s">
        <v>29</v>
      </c>
      <c r="I673" s="225">
        <f t="shared" si="51"/>
        <v>20315.408999999996</v>
      </c>
      <c r="J673" s="223">
        <f t="shared" si="53"/>
        <v>1039.591000000004</v>
      </c>
      <c r="K673" s="233">
        <f t="shared" si="52"/>
        <v>563.42865793964847</v>
      </c>
      <c r="L673" s="760" t="s">
        <v>292</v>
      </c>
      <c r="M673" s="761"/>
      <c r="N673" s="29"/>
      <c r="O673" s="29"/>
      <c r="P673" s="29"/>
      <c r="Q673" s="29"/>
      <c r="R673" s="29"/>
      <c r="S673" s="29"/>
      <c r="T673" s="29"/>
      <c r="U673" s="29"/>
      <c r="V673" s="29"/>
      <c r="W673" s="29"/>
    </row>
    <row r="674" spans="1:23" ht="20.100000000000001" customHeight="1">
      <c r="A674" s="732"/>
      <c r="B674" s="733"/>
      <c r="C674" s="734" t="s">
        <v>64</v>
      </c>
      <c r="D674" s="734"/>
      <c r="E674" s="734"/>
      <c r="F674" s="223">
        <v>30.91</v>
      </c>
      <c r="G674" s="223">
        <f t="shared" si="50"/>
        <v>30.91</v>
      </c>
      <c r="H674" s="224" t="s">
        <v>29</v>
      </c>
      <c r="I674" s="225">
        <f t="shared" si="51"/>
        <v>20346.318999999996</v>
      </c>
      <c r="J674" s="223">
        <f t="shared" si="53"/>
        <v>1008.6810000000041</v>
      </c>
      <c r="K674" s="233">
        <f t="shared" si="52"/>
        <v>564.1565896203208</v>
      </c>
      <c r="L674" s="760" t="s">
        <v>292</v>
      </c>
      <c r="M674" s="761"/>
      <c r="N674" s="29"/>
      <c r="O674" s="29"/>
      <c r="P674" s="29"/>
      <c r="Q674" s="29"/>
      <c r="R674" s="29"/>
      <c r="S674" s="29"/>
      <c r="T674" s="29"/>
      <c r="U674" s="29"/>
      <c r="V674" s="29"/>
      <c r="W674" s="29"/>
    </row>
    <row r="675" spans="1:23" ht="20.100000000000001" customHeight="1">
      <c r="A675" s="681" t="s">
        <v>273</v>
      </c>
      <c r="B675" s="682"/>
      <c r="C675" s="683" t="s">
        <v>64</v>
      </c>
      <c r="D675" s="683"/>
      <c r="E675" s="683"/>
      <c r="F675" s="220">
        <v>30.85</v>
      </c>
      <c r="G675" s="220">
        <f t="shared" si="50"/>
        <v>30.85</v>
      </c>
      <c r="H675" s="221" t="s">
        <v>29</v>
      </c>
      <c r="I675" s="222">
        <f t="shared" si="51"/>
        <v>20377.168999999994</v>
      </c>
      <c r="J675" s="220">
        <f t="shared" si="53"/>
        <v>977.83100000000559</v>
      </c>
      <c r="K675" s="231">
        <f t="shared" si="52"/>
        <v>564.88310829870125</v>
      </c>
      <c r="L675" s="760" t="s">
        <v>292</v>
      </c>
      <c r="M675" s="761"/>
      <c r="N675" s="29"/>
      <c r="O675" s="29"/>
      <c r="P675" s="29"/>
      <c r="Q675" s="29"/>
      <c r="R675" s="29"/>
      <c r="S675" s="29"/>
      <c r="T675" s="29"/>
      <c r="U675" s="29"/>
      <c r="V675" s="29"/>
      <c r="W675" s="29"/>
    </row>
    <row r="676" spans="1:23" ht="20.100000000000001" customHeight="1">
      <c r="A676" s="681"/>
      <c r="B676" s="682"/>
      <c r="C676" s="683" t="s">
        <v>64</v>
      </c>
      <c r="D676" s="683"/>
      <c r="E676" s="683"/>
      <c r="F676" s="220">
        <v>30.77</v>
      </c>
      <c r="G676" s="220">
        <f t="shared" si="50"/>
        <v>30.77</v>
      </c>
      <c r="H676" s="221" t="s">
        <v>29</v>
      </c>
      <c r="I676" s="222">
        <f t="shared" si="51"/>
        <v>20407.938999999995</v>
      </c>
      <c r="J676" s="220">
        <f t="shared" si="53"/>
        <v>947.06100000000515</v>
      </c>
      <c r="K676" s="231">
        <f t="shared" si="52"/>
        <v>565.60774297402577</v>
      </c>
      <c r="L676" s="760" t="s">
        <v>292</v>
      </c>
      <c r="M676" s="761"/>
      <c r="N676" s="29"/>
      <c r="O676" s="29"/>
      <c r="P676" s="29"/>
      <c r="Q676" s="29"/>
      <c r="R676" s="29"/>
      <c r="S676" s="29"/>
      <c r="T676" s="29"/>
      <c r="U676" s="29"/>
      <c r="V676" s="29"/>
      <c r="W676" s="29"/>
    </row>
    <row r="677" spans="1:23" ht="20.100000000000001" customHeight="1">
      <c r="A677" s="681"/>
      <c r="B677" s="682"/>
      <c r="C677" s="683" t="s">
        <v>64</v>
      </c>
      <c r="D677" s="683"/>
      <c r="E677" s="683"/>
      <c r="F677" s="220">
        <v>31.1</v>
      </c>
      <c r="G677" s="220">
        <f t="shared" si="50"/>
        <v>31.1</v>
      </c>
      <c r="H677" s="221" t="s">
        <v>29</v>
      </c>
      <c r="I677" s="222">
        <f t="shared" si="51"/>
        <v>20439.038999999993</v>
      </c>
      <c r="J677" s="220">
        <f t="shared" si="53"/>
        <v>915.96100000000661</v>
      </c>
      <c r="K677" s="231">
        <f t="shared" si="52"/>
        <v>566.34014916195565</v>
      </c>
      <c r="L677" s="760" t="s">
        <v>292</v>
      </c>
      <c r="M677" s="761"/>
      <c r="N677" s="29"/>
      <c r="O677" s="29"/>
      <c r="P677" s="29"/>
      <c r="Q677" s="29"/>
      <c r="R677" s="29"/>
      <c r="S677" s="29"/>
      <c r="T677" s="29"/>
      <c r="U677" s="29"/>
      <c r="V677" s="29"/>
      <c r="W677" s="29"/>
    </row>
    <row r="678" spans="1:23" ht="20.100000000000001" customHeight="1">
      <c r="A678" s="732" t="s">
        <v>274</v>
      </c>
      <c r="B678" s="733"/>
      <c r="C678" s="734" t="s">
        <v>64</v>
      </c>
      <c r="D678" s="734"/>
      <c r="E678" s="734"/>
      <c r="F678" s="223">
        <v>30.78</v>
      </c>
      <c r="G678" s="223">
        <f t="shared" si="50"/>
        <v>30.78</v>
      </c>
      <c r="H678" s="224" t="s">
        <v>29</v>
      </c>
      <c r="I678" s="225">
        <f t="shared" si="51"/>
        <v>20469.818999999992</v>
      </c>
      <c r="J678" s="223">
        <f t="shared" si="53"/>
        <v>885.18100000000777</v>
      </c>
      <c r="K678" s="233">
        <f t="shared" si="52"/>
        <v>567.06501933766219</v>
      </c>
      <c r="L678" s="760" t="s">
        <v>292</v>
      </c>
      <c r="M678" s="761"/>
      <c r="N678" s="29"/>
      <c r="O678" s="29"/>
      <c r="P678" s="29"/>
      <c r="Q678" s="29"/>
      <c r="R678" s="29"/>
      <c r="S678" s="29"/>
      <c r="T678" s="29"/>
      <c r="U678" s="29"/>
      <c r="V678" s="29"/>
      <c r="W678" s="29"/>
    </row>
    <row r="679" spans="1:23" ht="20.100000000000001" customHeight="1">
      <c r="A679" s="732"/>
      <c r="B679" s="733"/>
      <c r="C679" s="734" t="s">
        <v>64</v>
      </c>
      <c r="D679" s="734"/>
      <c r="E679" s="734"/>
      <c r="F679" s="223">
        <v>31.11</v>
      </c>
      <c r="G679" s="223">
        <f t="shared" ref="G679:G725" si="54">F679</f>
        <v>31.11</v>
      </c>
      <c r="H679" s="224" t="s">
        <v>29</v>
      </c>
      <c r="I679" s="225">
        <f t="shared" si="51"/>
        <v>20500.928999999993</v>
      </c>
      <c r="J679" s="223">
        <f t="shared" si="53"/>
        <v>854.07100000000719</v>
      </c>
      <c r="K679" s="233">
        <f t="shared" si="52"/>
        <v>567.79766102597387</v>
      </c>
      <c r="L679" s="760" t="s">
        <v>292</v>
      </c>
      <c r="M679" s="761"/>
      <c r="N679" s="29"/>
      <c r="O679" s="29"/>
      <c r="P679" s="29"/>
      <c r="Q679" s="29"/>
      <c r="R679" s="29"/>
      <c r="S679" s="29"/>
      <c r="T679" s="29"/>
      <c r="U679" s="29"/>
      <c r="V679" s="29"/>
      <c r="W679" s="29"/>
    </row>
    <row r="680" spans="1:23" ht="20.100000000000001" customHeight="1">
      <c r="A680" s="732"/>
      <c r="B680" s="733"/>
      <c r="C680" s="734" t="s">
        <v>64</v>
      </c>
      <c r="D680" s="734"/>
      <c r="E680" s="734"/>
      <c r="F680" s="223">
        <v>31.24</v>
      </c>
      <c r="G680" s="223">
        <f t="shared" si="54"/>
        <v>31.24</v>
      </c>
      <c r="H680" s="224" t="s">
        <v>29</v>
      </c>
      <c r="I680" s="225">
        <f t="shared" si="51"/>
        <v>20532.168999999994</v>
      </c>
      <c r="J680" s="223">
        <f t="shared" si="53"/>
        <v>822.83100000000559</v>
      </c>
      <c r="K680" s="233">
        <f t="shared" si="52"/>
        <v>568.53336421925121</v>
      </c>
      <c r="L680" s="760" t="s">
        <v>292</v>
      </c>
      <c r="M680" s="761"/>
      <c r="N680" s="29"/>
      <c r="O680" s="29"/>
      <c r="P680" s="29"/>
      <c r="Q680" s="29"/>
      <c r="R680" s="29"/>
      <c r="S680" s="29"/>
      <c r="T680" s="29"/>
      <c r="U680" s="29"/>
      <c r="V680" s="29"/>
      <c r="W680" s="29"/>
    </row>
    <row r="681" spans="1:23" ht="20.100000000000001" customHeight="1">
      <c r="A681" s="681" t="s">
        <v>275</v>
      </c>
      <c r="B681" s="682"/>
      <c r="C681" s="683" t="s">
        <v>64</v>
      </c>
      <c r="D681" s="683"/>
      <c r="E681" s="683"/>
      <c r="F681" s="220">
        <v>30.96</v>
      </c>
      <c r="G681" s="220">
        <f t="shared" si="54"/>
        <v>30.96</v>
      </c>
      <c r="H681" s="221" t="s">
        <v>29</v>
      </c>
      <c r="I681" s="222">
        <f t="shared" si="51"/>
        <v>20563.128999999994</v>
      </c>
      <c r="J681" s="220">
        <f t="shared" si="53"/>
        <v>791.87100000000646</v>
      </c>
      <c r="K681" s="231">
        <f t="shared" si="52"/>
        <v>569.2624734018334</v>
      </c>
      <c r="L681" s="760" t="s">
        <v>292</v>
      </c>
      <c r="M681" s="761"/>
      <c r="N681" s="29"/>
      <c r="O681" s="29"/>
      <c r="P681" s="29"/>
      <c r="Q681" s="29"/>
      <c r="R681" s="29"/>
      <c r="S681" s="29"/>
      <c r="T681" s="29"/>
      <c r="U681" s="29"/>
      <c r="V681" s="29"/>
      <c r="W681" s="29"/>
    </row>
    <row r="682" spans="1:23" ht="20.100000000000001" customHeight="1">
      <c r="A682" s="681"/>
      <c r="B682" s="682"/>
      <c r="C682" s="683" t="s">
        <v>64</v>
      </c>
      <c r="D682" s="683"/>
      <c r="E682" s="683"/>
      <c r="F682" s="220">
        <v>31.13</v>
      </c>
      <c r="G682" s="220">
        <f t="shared" si="54"/>
        <v>31.13</v>
      </c>
      <c r="H682" s="221" t="s">
        <v>29</v>
      </c>
      <c r="I682" s="222">
        <f t="shared" si="51"/>
        <v>20594.258999999995</v>
      </c>
      <c r="J682" s="220">
        <f t="shared" si="53"/>
        <v>760.74100000000544</v>
      </c>
      <c r="K682" s="231">
        <f t="shared" si="52"/>
        <v>569.995586090909</v>
      </c>
      <c r="L682" s="760" t="s">
        <v>292</v>
      </c>
      <c r="M682" s="761"/>
      <c r="N682" s="29"/>
      <c r="O682" s="29"/>
      <c r="P682" s="29"/>
      <c r="Q682" s="29"/>
      <c r="R682" s="29"/>
      <c r="S682" s="29"/>
      <c r="T682" s="29"/>
      <c r="U682" s="29"/>
      <c r="V682" s="29"/>
      <c r="W682" s="29"/>
    </row>
    <row r="683" spans="1:23" ht="20.100000000000001" customHeight="1">
      <c r="A683" s="681"/>
      <c r="B683" s="682"/>
      <c r="C683" s="683" t="s">
        <v>64</v>
      </c>
      <c r="D683" s="683"/>
      <c r="E683" s="683"/>
      <c r="F683" s="220">
        <v>31.12</v>
      </c>
      <c r="G683" s="220">
        <f t="shared" si="54"/>
        <v>31.12</v>
      </c>
      <c r="H683" s="221" t="s">
        <v>29</v>
      </c>
      <c r="I683" s="222">
        <f t="shared" si="51"/>
        <v>20625.378999999994</v>
      </c>
      <c r="J683" s="220">
        <f t="shared" si="53"/>
        <v>729.62100000000646</v>
      </c>
      <c r="K683" s="231">
        <f t="shared" si="52"/>
        <v>570.72846327960269</v>
      </c>
      <c r="L683" s="760" t="s">
        <v>292</v>
      </c>
      <c r="M683" s="761"/>
      <c r="N683" s="29"/>
      <c r="O683" s="29"/>
      <c r="P683" s="29"/>
      <c r="Q683" s="29"/>
      <c r="R683" s="29"/>
      <c r="S683" s="29"/>
      <c r="T683" s="29"/>
      <c r="U683" s="29"/>
      <c r="V683" s="29"/>
      <c r="W683" s="29"/>
    </row>
    <row r="684" spans="1:23" ht="20.100000000000001" customHeight="1">
      <c r="A684" s="732" t="s">
        <v>276</v>
      </c>
      <c r="B684" s="733"/>
      <c r="C684" s="734" t="s">
        <v>64</v>
      </c>
      <c r="D684" s="734"/>
      <c r="E684" s="734"/>
      <c r="F684" s="223">
        <v>31.2</v>
      </c>
      <c r="G684" s="223">
        <f t="shared" si="54"/>
        <v>31.2</v>
      </c>
      <c r="H684" s="224" t="s">
        <v>29</v>
      </c>
      <c r="I684" s="225">
        <f t="shared" si="51"/>
        <v>20656.578999999994</v>
      </c>
      <c r="J684" s="223">
        <f t="shared" si="53"/>
        <v>698.42100000000573</v>
      </c>
      <c r="K684" s="233">
        <f t="shared" si="52"/>
        <v>571.46322447135208</v>
      </c>
      <c r="L684" s="760" t="s">
        <v>292</v>
      </c>
      <c r="M684" s="761"/>
      <c r="N684" s="29"/>
      <c r="O684" s="29"/>
      <c r="P684" s="29"/>
      <c r="Q684" s="29"/>
      <c r="R684" s="29"/>
      <c r="S684" s="29"/>
      <c r="T684" s="29"/>
      <c r="U684" s="29"/>
      <c r="V684" s="29"/>
      <c r="W684" s="29"/>
    </row>
    <row r="685" spans="1:23" ht="20.100000000000001" customHeight="1">
      <c r="A685" s="732"/>
      <c r="B685" s="733"/>
      <c r="C685" s="734" t="s">
        <v>64</v>
      </c>
      <c r="D685" s="734"/>
      <c r="E685" s="734"/>
      <c r="F685" s="223">
        <v>31.08</v>
      </c>
      <c r="G685" s="223">
        <f t="shared" si="54"/>
        <v>31.08</v>
      </c>
      <c r="H685" s="224" t="s">
        <v>29</v>
      </c>
      <c r="I685" s="225">
        <f t="shared" si="51"/>
        <v>20687.658999999996</v>
      </c>
      <c r="J685" s="223">
        <f t="shared" si="53"/>
        <v>667.34100000000399</v>
      </c>
      <c r="K685" s="233">
        <f t="shared" si="52"/>
        <v>572.19515965851792</v>
      </c>
      <c r="L685" s="760" t="s">
        <v>292</v>
      </c>
      <c r="M685" s="761"/>
      <c r="N685" s="29"/>
      <c r="O685" s="29"/>
      <c r="P685" s="29"/>
      <c r="Q685" s="29"/>
      <c r="R685" s="29"/>
      <c r="S685" s="29"/>
      <c r="T685" s="29"/>
      <c r="U685" s="29"/>
      <c r="V685" s="29"/>
      <c r="W685" s="29"/>
    </row>
    <row r="686" spans="1:23" ht="20.100000000000001" customHeight="1">
      <c r="A686" s="732"/>
      <c r="B686" s="733"/>
      <c r="C686" s="734" t="s">
        <v>64</v>
      </c>
      <c r="D686" s="734"/>
      <c r="E686" s="734"/>
      <c r="F686" s="223">
        <v>30.94</v>
      </c>
      <c r="G686" s="223">
        <f t="shared" si="54"/>
        <v>30.94</v>
      </c>
      <c r="H686" s="224" t="s">
        <v>29</v>
      </c>
      <c r="I686" s="225">
        <f t="shared" si="51"/>
        <v>20718.598999999995</v>
      </c>
      <c r="J686" s="223">
        <f t="shared" si="53"/>
        <v>636.4010000000053</v>
      </c>
      <c r="K686" s="233">
        <f t="shared" si="52"/>
        <v>572.92379784033596</v>
      </c>
      <c r="L686" s="760" t="s">
        <v>292</v>
      </c>
      <c r="M686" s="761"/>
      <c r="N686" s="29"/>
      <c r="O686" s="29"/>
      <c r="P686" s="29"/>
      <c r="Q686" s="29"/>
      <c r="R686" s="29"/>
      <c r="S686" s="29"/>
      <c r="T686" s="29"/>
      <c r="U686" s="29"/>
      <c r="V686" s="29"/>
      <c r="W686" s="29"/>
    </row>
    <row r="687" spans="1:23" ht="20.100000000000001" customHeight="1">
      <c r="A687" s="681" t="s">
        <v>277</v>
      </c>
      <c r="B687" s="682"/>
      <c r="C687" s="683" t="s">
        <v>64</v>
      </c>
      <c r="D687" s="683"/>
      <c r="E687" s="683"/>
      <c r="F687" s="220">
        <v>31.21</v>
      </c>
      <c r="G687" s="220">
        <f t="shared" si="54"/>
        <v>31.21</v>
      </c>
      <c r="H687" s="221" t="s">
        <v>29</v>
      </c>
      <c r="I687" s="222">
        <f t="shared" si="51"/>
        <v>20749.808999999994</v>
      </c>
      <c r="J687" s="220">
        <f t="shared" si="53"/>
        <v>605.19100000000617</v>
      </c>
      <c r="K687" s="231">
        <f t="shared" si="52"/>
        <v>573.65879453246737</v>
      </c>
      <c r="L687" s="760" t="s">
        <v>292</v>
      </c>
      <c r="M687" s="761"/>
      <c r="N687" s="29"/>
      <c r="O687" s="29"/>
      <c r="P687" s="29"/>
      <c r="Q687" s="29"/>
      <c r="R687" s="29"/>
      <c r="S687" s="29"/>
      <c r="T687" s="29"/>
      <c r="U687" s="29"/>
      <c r="V687" s="29"/>
      <c r="W687" s="29"/>
    </row>
    <row r="688" spans="1:23" ht="20.100000000000001" customHeight="1">
      <c r="A688" s="681"/>
      <c r="B688" s="682"/>
      <c r="C688" s="683" t="s">
        <v>64</v>
      </c>
      <c r="D688" s="683"/>
      <c r="E688" s="683"/>
      <c r="F688" s="220">
        <v>30.8</v>
      </c>
      <c r="G688" s="220">
        <f t="shared" si="54"/>
        <v>30.8</v>
      </c>
      <c r="H688" s="221" t="s">
        <v>29</v>
      </c>
      <c r="I688" s="222">
        <f t="shared" ref="I688:I725" si="55">IF(H688="IN",I687+G688,I687)</f>
        <v>20780.608999999993</v>
      </c>
      <c r="J688" s="220">
        <f t="shared" si="53"/>
        <v>574.3910000000069</v>
      </c>
      <c r="K688" s="231">
        <f t="shared" si="52"/>
        <v>574.38413570893795</v>
      </c>
      <c r="L688" s="760" t="s">
        <v>292</v>
      </c>
      <c r="M688" s="761"/>
      <c r="N688" s="29"/>
      <c r="O688" s="29"/>
      <c r="P688" s="29"/>
      <c r="Q688" s="29"/>
      <c r="R688" s="29"/>
      <c r="S688" s="29"/>
      <c r="T688" s="29"/>
      <c r="U688" s="29"/>
      <c r="V688" s="29"/>
      <c r="W688" s="29"/>
    </row>
    <row r="689" spans="1:23" ht="20.100000000000001" customHeight="1">
      <c r="A689" s="681"/>
      <c r="B689" s="682"/>
      <c r="C689" s="683" t="s">
        <v>64</v>
      </c>
      <c r="D689" s="683"/>
      <c r="E689" s="683"/>
      <c r="F689" s="220">
        <v>31</v>
      </c>
      <c r="G689" s="220">
        <f t="shared" si="54"/>
        <v>31</v>
      </c>
      <c r="H689" s="221" t="s">
        <v>29</v>
      </c>
      <c r="I689" s="222">
        <f t="shared" si="55"/>
        <v>20811.608999999993</v>
      </c>
      <c r="J689" s="220">
        <f t="shared" si="53"/>
        <v>543.3910000000069</v>
      </c>
      <c r="K689" s="231">
        <f t="shared" si="52"/>
        <v>575.1141868930481</v>
      </c>
      <c r="L689" s="760" t="s">
        <v>292</v>
      </c>
      <c r="M689" s="761"/>
      <c r="N689" s="29"/>
      <c r="O689" s="29"/>
      <c r="P689" s="29"/>
      <c r="Q689" s="29"/>
      <c r="R689" s="29"/>
      <c r="S689" s="29"/>
      <c r="T689" s="29"/>
      <c r="U689" s="29"/>
      <c r="V689" s="29"/>
      <c r="W689" s="29"/>
    </row>
    <row r="690" spans="1:23" ht="20.100000000000001" customHeight="1">
      <c r="A690" s="732" t="s">
        <v>278</v>
      </c>
      <c r="B690" s="733"/>
      <c r="C690" s="734" t="s">
        <v>64</v>
      </c>
      <c r="D690" s="734"/>
      <c r="E690" s="734"/>
      <c r="F690" s="223">
        <v>30.94</v>
      </c>
      <c r="G690" s="223">
        <f t="shared" si="54"/>
        <v>30.94</v>
      </c>
      <c r="H690" s="224" t="s">
        <v>29</v>
      </c>
      <c r="I690" s="225">
        <f t="shared" si="55"/>
        <v>20842.548999999992</v>
      </c>
      <c r="J690" s="223">
        <f t="shared" si="53"/>
        <v>512.45100000000821</v>
      </c>
      <c r="K690" s="233">
        <f t="shared" si="52"/>
        <v>575.84282507486614</v>
      </c>
      <c r="L690" s="760" t="s">
        <v>292</v>
      </c>
      <c r="M690" s="761"/>
      <c r="N690" s="29"/>
      <c r="O690" s="29"/>
      <c r="P690" s="29"/>
      <c r="Q690" s="29"/>
      <c r="R690" s="29"/>
      <c r="S690" s="29"/>
      <c r="T690" s="29"/>
      <c r="U690" s="29"/>
      <c r="V690" s="29"/>
      <c r="W690" s="29"/>
    </row>
    <row r="691" spans="1:23" ht="20.100000000000001" customHeight="1">
      <c r="A691" s="732"/>
      <c r="B691" s="733"/>
      <c r="C691" s="734" t="s">
        <v>64</v>
      </c>
      <c r="D691" s="734"/>
      <c r="E691" s="734"/>
      <c r="F691" s="223">
        <v>31.13</v>
      </c>
      <c r="G691" s="223">
        <f t="shared" si="54"/>
        <v>31.13</v>
      </c>
      <c r="H691" s="224" t="s">
        <v>29</v>
      </c>
      <c r="I691" s="225">
        <f t="shared" si="55"/>
        <v>20873.678999999993</v>
      </c>
      <c r="J691" s="223">
        <f t="shared" si="53"/>
        <v>481.32100000000719</v>
      </c>
      <c r="K691" s="233">
        <f t="shared" si="52"/>
        <v>576.57593776394174</v>
      </c>
      <c r="L691" s="760" t="s">
        <v>292</v>
      </c>
      <c r="M691" s="761"/>
      <c r="N691" s="29"/>
      <c r="O691" s="29"/>
      <c r="P691" s="29"/>
      <c r="Q691" s="29"/>
      <c r="R691" s="29"/>
      <c r="S691" s="29"/>
      <c r="T691" s="29"/>
      <c r="U691" s="29"/>
      <c r="V691" s="29"/>
      <c r="W691" s="29"/>
    </row>
    <row r="692" spans="1:23" ht="20.100000000000001" customHeight="1">
      <c r="A692" s="732"/>
      <c r="B692" s="733"/>
      <c r="C692" s="734" t="s">
        <v>64</v>
      </c>
      <c r="D692" s="734"/>
      <c r="E692" s="734"/>
      <c r="F692" s="223">
        <v>31.17</v>
      </c>
      <c r="G692" s="223">
        <f t="shared" si="54"/>
        <v>31.17</v>
      </c>
      <c r="H692" s="224" t="s">
        <v>29</v>
      </c>
      <c r="I692" s="225">
        <f t="shared" si="55"/>
        <v>20904.848999999991</v>
      </c>
      <c r="J692" s="223">
        <f t="shared" si="53"/>
        <v>450.15100000000893</v>
      </c>
      <c r="K692" s="233">
        <f t="shared" si="52"/>
        <v>577.30999245454518</v>
      </c>
      <c r="L692" s="760" t="s">
        <v>292</v>
      </c>
      <c r="M692" s="761"/>
      <c r="N692" s="29"/>
      <c r="O692" s="29"/>
      <c r="P692" s="29"/>
      <c r="Q692" s="29"/>
      <c r="R692" s="29"/>
      <c r="S692" s="29"/>
      <c r="T692" s="29"/>
      <c r="U692" s="29"/>
      <c r="V692" s="29"/>
      <c r="W692" s="29"/>
    </row>
    <row r="693" spans="1:23" ht="20.100000000000001" customHeight="1">
      <c r="A693" s="681" t="s">
        <v>279</v>
      </c>
      <c r="B693" s="682"/>
      <c r="C693" s="683" t="s">
        <v>64</v>
      </c>
      <c r="D693" s="683"/>
      <c r="E693" s="683"/>
      <c r="F693" s="220">
        <v>31.14</v>
      </c>
      <c r="G693" s="220">
        <f t="shared" si="54"/>
        <v>31.14</v>
      </c>
      <c r="H693" s="221" t="s">
        <v>29</v>
      </c>
      <c r="I693" s="222">
        <f t="shared" si="55"/>
        <v>20935.98899999999</v>
      </c>
      <c r="J693" s="220">
        <f t="shared" si="53"/>
        <v>419.01100000000952</v>
      </c>
      <c r="K693" s="231">
        <f t="shared" si="52"/>
        <v>578.04334064400291</v>
      </c>
      <c r="L693" s="760" t="s">
        <v>292</v>
      </c>
      <c r="M693" s="761"/>
      <c r="N693" s="29"/>
      <c r="O693" s="29"/>
      <c r="P693" s="29"/>
      <c r="Q693" s="29"/>
      <c r="R693" s="29"/>
      <c r="S693" s="29"/>
      <c r="T693" s="29"/>
      <c r="U693" s="29"/>
      <c r="V693" s="29"/>
      <c r="W693" s="29"/>
    </row>
    <row r="694" spans="1:23" ht="20.100000000000001" customHeight="1">
      <c r="A694" s="681"/>
      <c r="B694" s="682"/>
      <c r="C694" s="683" t="s">
        <v>64</v>
      </c>
      <c r="D694" s="683"/>
      <c r="E694" s="683"/>
      <c r="F694" s="220">
        <v>30.96</v>
      </c>
      <c r="G694" s="220">
        <f t="shared" si="54"/>
        <v>30.96</v>
      </c>
      <c r="H694" s="221" t="s">
        <v>29</v>
      </c>
      <c r="I694" s="222">
        <f t="shared" si="55"/>
        <v>20966.94899999999</v>
      </c>
      <c r="J694" s="220">
        <f t="shared" si="53"/>
        <v>388.05100000001039</v>
      </c>
      <c r="K694" s="231">
        <f t="shared" si="52"/>
        <v>578.77244982658499</v>
      </c>
      <c r="L694" s="760" t="s">
        <v>292</v>
      </c>
      <c r="M694" s="761"/>
      <c r="N694" s="29"/>
      <c r="O694" s="29"/>
      <c r="P694" s="29"/>
      <c r="Q694" s="29"/>
      <c r="R694" s="29"/>
      <c r="S694" s="29"/>
      <c r="T694" s="29"/>
      <c r="U694" s="29"/>
      <c r="V694" s="29"/>
      <c r="W694" s="29"/>
    </row>
    <row r="695" spans="1:23" ht="20.100000000000001" customHeight="1">
      <c r="A695" s="681"/>
      <c r="B695" s="682"/>
      <c r="C695" s="683" t="s">
        <v>64</v>
      </c>
      <c r="D695" s="683"/>
      <c r="E695" s="683"/>
      <c r="F695" s="220">
        <v>30.94</v>
      </c>
      <c r="G695" s="220">
        <f t="shared" si="54"/>
        <v>30.94</v>
      </c>
      <c r="H695" s="221" t="s">
        <v>29</v>
      </c>
      <c r="I695" s="222">
        <f t="shared" si="55"/>
        <v>20997.888999999988</v>
      </c>
      <c r="J695" s="220">
        <f t="shared" si="53"/>
        <v>357.1110000000117</v>
      </c>
      <c r="K695" s="231">
        <f t="shared" si="52"/>
        <v>579.50108800840303</v>
      </c>
      <c r="L695" s="760" t="s">
        <v>292</v>
      </c>
      <c r="M695" s="761"/>
      <c r="N695" s="29"/>
      <c r="O695" s="29"/>
      <c r="P695" s="29"/>
      <c r="Q695" s="29"/>
      <c r="R695" s="29"/>
      <c r="S695" s="29"/>
      <c r="T695" s="29"/>
      <c r="U695" s="29"/>
      <c r="V695" s="29"/>
      <c r="W695" s="29"/>
    </row>
    <row r="696" spans="1:23" ht="20.100000000000001" customHeight="1">
      <c r="A696" s="732" t="s">
        <v>280</v>
      </c>
      <c r="B696" s="733"/>
      <c r="C696" s="734" t="s">
        <v>64</v>
      </c>
      <c r="D696" s="734"/>
      <c r="E696" s="734"/>
      <c r="F696" s="223">
        <v>31.81</v>
      </c>
      <c r="G696" s="223">
        <f t="shared" si="54"/>
        <v>31.81</v>
      </c>
      <c r="H696" s="224" t="s">
        <v>29</v>
      </c>
      <c r="I696" s="225">
        <f t="shared" si="55"/>
        <v>21029.69899999999</v>
      </c>
      <c r="J696" s="223">
        <f t="shared" si="53"/>
        <v>325.30100000001039</v>
      </c>
      <c r="K696" s="233">
        <f t="shared" si="52"/>
        <v>580.25021472345281</v>
      </c>
      <c r="L696" s="760" t="s">
        <v>292</v>
      </c>
      <c r="M696" s="761"/>
      <c r="N696" s="29"/>
      <c r="O696" s="29"/>
      <c r="P696" s="29"/>
      <c r="Q696" s="29"/>
      <c r="R696" s="29"/>
      <c r="S696" s="29"/>
      <c r="T696" s="29"/>
      <c r="U696" s="29"/>
      <c r="V696" s="29"/>
      <c r="W696" s="29"/>
    </row>
    <row r="697" spans="1:23" ht="20.100000000000001" customHeight="1">
      <c r="A697" s="732"/>
      <c r="B697" s="733"/>
      <c r="C697" s="734" t="s">
        <v>64</v>
      </c>
      <c r="D697" s="734"/>
      <c r="E697" s="734"/>
      <c r="F697" s="223">
        <v>30.78</v>
      </c>
      <c r="G697" s="223">
        <f t="shared" si="54"/>
        <v>30.78</v>
      </c>
      <c r="H697" s="224" t="s">
        <v>29</v>
      </c>
      <c r="I697" s="225">
        <f t="shared" si="55"/>
        <v>21060.478999999988</v>
      </c>
      <c r="J697" s="223">
        <f t="shared" si="53"/>
        <v>294.52100000001155</v>
      </c>
      <c r="K697" s="233">
        <f t="shared" si="52"/>
        <v>580.97508489915936</v>
      </c>
      <c r="L697" s="760" t="s">
        <v>292</v>
      </c>
      <c r="M697" s="761"/>
      <c r="N697" s="29"/>
      <c r="O697" s="29"/>
      <c r="P697" s="29"/>
      <c r="Q697" s="29"/>
      <c r="R697" s="29"/>
      <c r="S697" s="29"/>
      <c r="T697" s="29"/>
      <c r="U697" s="29"/>
      <c r="V697" s="29"/>
      <c r="W697" s="29"/>
    </row>
    <row r="698" spans="1:23" ht="20.100000000000001" customHeight="1">
      <c r="A698" s="732"/>
      <c r="B698" s="733"/>
      <c r="C698" s="734" t="s">
        <v>64</v>
      </c>
      <c r="D698" s="734"/>
      <c r="E698" s="734"/>
      <c r="F698" s="223">
        <v>30.84</v>
      </c>
      <c r="G698" s="223">
        <f t="shared" si="54"/>
        <v>30.84</v>
      </c>
      <c r="H698" s="224" t="s">
        <v>29</v>
      </c>
      <c r="I698" s="225">
        <f t="shared" si="55"/>
        <v>21091.318999999989</v>
      </c>
      <c r="J698" s="223">
        <f t="shared" si="53"/>
        <v>263.68100000001141</v>
      </c>
      <c r="K698" s="233">
        <f t="shared" si="52"/>
        <v>581.70136807715789</v>
      </c>
      <c r="L698" s="760" t="s">
        <v>292</v>
      </c>
      <c r="M698" s="761"/>
      <c r="N698" s="29"/>
      <c r="O698" s="29"/>
      <c r="P698" s="29"/>
      <c r="Q698" s="29"/>
      <c r="R698" s="29"/>
      <c r="S698" s="29"/>
      <c r="T698" s="29"/>
      <c r="U698" s="29"/>
      <c r="V698" s="29"/>
      <c r="W698" s="29"/>
    </row>
    <row r="699" spans="1:23" ht="20.100000000000001" customHeight="1">
      <c r="A699" s="681" t="s">
        <v>281</v>
      </c>
      <c r="B699" s="682"/>
      <c r="C699" s="683" t="s">
        <v>64</v>
      </c>
      <c r="D699" s="683"/>
      <c r="E699" s="683"/>
      <c r="F699" s="220">
        <v>31.22</v>
      </c>
      <c r="G699" s="220">
        <f t="shared" si="54"/>
        <v>31.22</v>
      </c>
      <c r="H699" s="221" t="s">
        <v>29</v>
      </c>
      <c r="I699" s="222">
        <f t="shared" si="55"/>
        <v>21122.53899999999</v>
      </c>
      <c r="J699" s="220">
        <f t="shared" si="53"/>
        <v>232.46100000001024</v>
      </c>
      <c r="K699" s="231">
        <f t="shared" si="52"/>
        <v>582.43660026967132</v>
      </c>
      <c r="L699" s="339" t="s">
        <v>287</v>
      </c>
      <c r="M699" s="196">
        <f>L10</f>
        <v>21355</v>
      </c>
      <c r="N699" s="29"/>
      <c r="O699" s="29"/>
      <c r="P699" s="29"/>
      <c r="Q699" s="29"/>
      <c r="R699" s="29"/>
      <c r="S699" s="29"/>
      <c r="T699" s="29"/>
      <c r="U699" s="29"/>
      <c r="V699" s="29"/>
      <c r="W699" s="29"/>
    </row>
    <row r="700" spans="1:23" ht="20.100000000000001" customHeight="1">
      <c r="A700" s="681"/>
      <c r="B700" s="682"/>
      <c r="C700" s="683" t="s">
        <v>64</v>
      </c>
      <c r="D700" s="683"/>
      <c r="E700" s="683"/>
      <c r="F700" s="220">
        <v>31.13</v>
      </c>
      <c r="G700" s="220">
        <f t="shared" si="54"/>
        <v>31.13</v>
      </c>
      <c r="H700" s="221" t="s">
        <v>29</v>
      </c>
      <c r="I700" s="222">
        <f t="shared" si="55"/>
        <v>21153.668999999991</v>
      </c>
      <c r="J700" s="220">
        <f t="shared" si="53"/>
        <v>201.33100000000923</v>
      </c>
      <c r="K700" s="231">
        <f t="shared" si="52"/>
        <v>583.16971295874691</v>
      </c>
      <c r="L700" s="340" t="s">
        <v>114</v>
      </c>
      <c r="M700" s="341">
        <f>L11</f>
        <v>21365</v>
      </c>
      <c r="N700" s="29"/>
      <c r="O700" s="29"/>
      <c r="P700" s="29"/>
      <c r="Q700" s="29"/>
      <c r="R700" s="29"/>
      <c r="S700" s="29"/>
      <c r="T700" s="29"/>
      <c r="U700" s="29"/>
      <c r="V700" s="29"/>
      <c r="W700" s="29"/>
    </row>
    <row r="701" spans="1:23" ht="20.100000000000001" customHeight="1">
      <c r="A701" s="681"/>
      <c r="B701" s="682"/>
      <c r="C701" s="683" t="s">
        <v>64</v>
      </c>
      <c r="D701" s="683"/>
      <c r="E701" s="683"/>
      <c r="F701" s="220">
        <v>31.09</v>
      </c>
      <c r="G701" s="220">
        <f t="shared" si="54"/>
        <v>31.09</v>
      </c>
      <c r="H701" s="221" t="s">
        <v>29</v>
      </c>
      <c r="I701" s="222">
        <f t="shared" si="55"/>
        <v>21184.758999999991</v>
      </c>
      <c r="J701" s="220">
        <f t="shared" si="53"/>
        <v>170.24100000000908</v>
      </c>
      <c r="K701" s="231">
        <f t="shared" si="52"/>
        <v>583.90188364629466</v>
      </c>
      <c r="L701" s="758"/>
      <c r="M701" s="759"/>
      <c r="N701" s="29"/>
      <c r="O701" s="29"/>
      <c r="P701" s="29"/>
      <c r="Q701" s="29"/>
      <c r="R701" s="29"/>
      <c r="S701" s="29"/>
      <c r="T701" s="29"/>
      <c r="U701" s="29"/>
      <c r="V701" s="29"/>
      <c r="W701" s="29"/>
    </row>
    <row r="702" spans="1:23" ht="20.100000000000001" customHeight="1">
      <c r="A702" s="732" t="s">
        <v>282</v>
      </c>
      <c r="B702" s="733"/>
      <c r="C702" s="734" t="s">
        <v>64</v>
      </c>
      <c r="D702" s="734"/>
      <c r="E702" s="734"/>
      <c r="F702" s="223">
        <v>31.15</v>
      </c>
      <c r="G702" s="223">
        <f t="shared" si="54"/>
        <v>31.15</v>
      </c>
      <c r="H702" s="224" t="s">
        <v>29</v>
      </c>
      <c r="I702" s="225">
        <f t="shared" si="55"/>
        <v>21215.908999999992</v>
      </c>
      <c r="J702" s="223">
        <f t="shared" si="53"/>
        <v>139.09100000000763</v>
      </c>
      <c r="K702" s="233">
        <f t="shared" si="52"/>
        <v>584.6354673361343</v>
      </c>
      <c r="L702" s="758"/>
      <c r="M702" s="759"/>
      <c r="N702" s="29"/>
      <c r="O702" s="29"/>
      <c r="P702" s="29"/>
      <c r="Q702" s="29"/>
      <c r="R702" s="29"/>
      <c r="S702" s="29"/>
      <c r="T702" s="29"/>
      <c r="U702" s="29"/>
      <c r="V702" s="29"/>
      <c r="W702" s="29"/>
    </row>
    <row r="703" spans="1:23" ht="20.100000000000001" customHeight="1">
      <c r="A703" s="732"/>
      <c r="B703" s="733"/>
      <c r="C703" s="734" t="s">
        <v>64</v>
      </c>
      <c r="D703" s="734"/>
      <c r="E703" s="734"/>
      <c r="F703" s="223">
        <v>31.02</v>
      </c>
      <c r="G703" s="223">
        <f t="shared" si="54"/>
        <v>31.02</v>
      </c>
      <c r="H703" s="224" t="s">
        <v>29</v>
      </c>
      <c r="I703" s="225">
        <f t="shared" si="55"/>
        <v>21246.928999999993</v>
      </c>
      <c r="J703" s="223">
        <f t="shared" si="53"/>
        <v>108.07100000000719</v>
      </c>
      <c r="K703" s="233">
        <f t="shared" si="52"/>
        <v>585.36598952100826</v>
      </c>
      <c r="L703" s="762" t="s">
        <v>343</v>
      </c>
      <c r="M703" s="763"/>
      <c r="N703" s="29"/>
      <c r="O703" s="29"/>
      <c r="P703" s="29"/>
      <c r="Q703" s="29"/>
      <c r="R703" s="29"/>
      <c r="S703" s="29"/>
      <c r="T703" s="29"/>
      <c r="U703" s="29"/>
      <c r="V703" s="29"/>
      <c r="W703" s="29"/>
    </row>
    <row r="704" spans="1:23" ht="20.100000000000001" customHeight="1">
      <c r="A704" s="732"/>
      <c r="B704" s="733"/>
      <c r="C704" s="734" t="s">
        <v>64</v>
      </c>
      <c r="D704" s="734"/>
      <c r="E704" s="734"/>
      <c r="F704" s="223">
        <v>31.17</v>
      </c>
      <c r="G704" s="223">
        <f t="shared" si="54"/>
        <v>31.17</v>
      </c>
      <c r="H704" s="224" t="s">
        <v>29</v>
      </c>
      <c r="I704" s="225">
        <f t="shared" si="55"/>
        <v>21278.098999999991</v>
      </c>
      <c r="J704" s="223">
        <f t="shared" si="53"/>
        <v>76.901000000008935</v>
      </c>
      <c r="K704" s="233">
        <f t="shared" si="52"/>
        <v>586.1000442116117</v>
      </c>
      <c r="L704" s="764"/>
      <c r="M704" s="765"/>
      <c r="N704" s="29"/>
      <c r="O704" s="29"/>
      <c r="P704" s="29"/>
      <c r="Q704" s="29"/>
      <c r="R704" s="29"/>
      <c r="S704" s="29"/>
      <c r="T704" s="29"/>
      <c r="U704" s="29"/>
      <c r="V704" s="29"/>
      <c r="W704" s="29"/>
    </row>
    <row r="705" spans="1:32" ht="20.100000000000001" customHeight="1">
      <c r="A705" s="681" t="s">
        <v>283</v>
      </c>
      <c r="B705" s="682"/>
      <c r="C705" s="683" t="s">
        <v>64</v>
      </c>
      <c r="D705" s="683"/>
      <c r="E705" s="683"/>
      <c r="F705" s="220">
        <v>31.27</v>
      </c>
      <c r="G705" s="220">
        <f t="shared" si="54"/>
        <v>31.27</v>
      </c>
      <c r="H705" s="221" t="s">
        <v>29</v>
      </c>
      <c r="I705" s="222">
        <f t="shared" si="55"/>
        <v>21309.368999999992</v>
      </c>
      <c r="J705" s="220">
        <f t="shared" si="53"/>
        <v>45.631000000008498</v>
      </c>
      <c r="K705" s="231">
        <f t="shared" si="52"/>
        <v>586.83645390603499</v>
      </c>
      <c r="L705" s="764"/>
      <c r="M705" s="765"/>
      <c r="N705" s="29"/>
      <c r="O705" s="29"/>
      <c r="P705" s="29"/>
      <c r="Q705" s="29"/>
      <c r="R705" s="29"/>
      <c r="S705" s="29"/>
      <c r="T705" s="29"/>
      <c r="U705" s="29"/>
      <c r="V705" s="29"/>
      <c r="W705" s="29"/>
    </row>
    <row r="706" spans="1:32" ht="20.100000000000001" customHeight="1">
      <c r="A706" s="681"/>
      <c r="B706" s="682"/>
      <c r="C706" s="683" t="s">
        <v>64</v>
      </c>
      <c r="D706" s="683"/>
      <c r="E706" s="683"/>
      <c r="F706" s="220">
        <v>31.22</v>
      </c>
      <c r="G706" s="220">
        <f t="shared" si="54"/>
        <v>31.22</v>
      </c>
      <c r="H706" s="221" t="s">
        <v>29</v>
      </c>
      <c r="I706" s="222">
        <f t="shared" si="55"/>
        <v>21340.588999999993</v>
      </c>
      <c r="J706" s="220">
        <f t="shared" si="53"/>
        <v>14.411000000007334</v>
      </c>
      <c r="K706" s="231">
        <f t="shared" si="52"/>
        <v>587.5716860985483</v>
      </c>
      <c r="L706" s="766"/>
      <c r="M706" s="767"/>
      <c r="N706" s="29"/>
      <c r="O706" s="29"/>
      <c r="P706" s="29"/>
      <c r="Q706" s="29"/>
      <c r="R706" s="29"/>
      <c r="S706" s="29"/>
      <c r="T706" s="29"/>
      <c r="U706" s="29"/>
      <c r="V706" s="29"/>
      <c r="W706" s="29"/>
    </row>
    <row r="707" spans="1:32" ht="20.100000000000001" customHeight="1">
      <c r="A707" s="681"/>
      <c r="B707" s="682"/>
      <c r="C707" s="683" t="s">
        <v>64</v>
      </c>
      <c r="D707" s="683"/>
      <c r="E707" s="683"/>
      <c r="F707" s="220">
        <v>31.27</v>
      </c>
      <c r="G707" s="220">
        <f t="shared" si="54"/>
        <v>31.27</v>
      </c>
      <c r="H707" s="420" t="s">
        <v>32</v>
      </c>
      <c r="I707" s="222">
        <f t="shared" si="55"/>
        <v>21340.588999999993</v>
      </c>
      <c r="J707" s="220">
        <f t="shared" si="53"/>
        <v>14.411000000007334</v>
      </c>
      <c r="K707" s="231">
        <f t="shared" si="52"/>
        <v>587.5716860985483</v>
      </c>
      <c r="L707" s="766"/>
      <c r="M707" s="767"/>
      <c r="N707" s="29"/>
      <c r="O707" s="29"/>
      <c r="P707" s="29"/>
      <c r="Q707" s="29"/>
      <c r="R707" s="29"/>
      <c r="S707" s="29"/>
      <c r="T707" s="29"/>
      <c r="U707" s="29"/>
      <c r="V707" s="29"/>
      <c r="W707" s="29"/>
    </row>
    <row r="708" spans="1:32" ht="20.100000000000001" hidden="1" customHeight="1">
      <c r="A708" s="732" t="s">
        <v>284</v>
      </c>
      <c r="B708" s="733"/>
      <c r="C708" s="734" t="s">
        <v>64</v>
      </c>
      <c r="D708" s="734"/>
      <c r="E708" s="734"/>
      <c r="F708" s="223" t="e">
        <f>SUM(#REF!)</f>
        <v>#REF!</v>
      </c>
      <c r="G708" s="223" t="e">
        <f t="shared" si="54"/>
        <v>#REF!</v>
      </c>
      <c r="H708" s="224" t="s">
        <v>32</v>
      </c>
      <c r="I708" s="225">
        <f t="shared" si="55"/>
        <v>21340.588999999993</v>
      </c>
      <c r="J708" s="223">
        <f t="shared" si="53"/>
        <v>14.411000000007334</v>
      </c>
      <c r="K708" s="233">
        <f t="shared" si="52"/>
        <v>587.5716860985483</v>
      </c>
      <c r="L708" s="766" t="s">
        <v>217</v>
      </c>
      <c r="M708" s="767"/>
      <c r="N708" s="29"/>
      <c r="O708" s="29"/>
      <c r="P708" s="29"/>
      <c r="Q708" s="29"/>
      <c r="R708" s="29"/>
      <c r="S708" s="29"/>
      <c r="T708" s="29"/>
      <c r="U708" s="29"/>
      <c r="V708" s="29"/>
      <c r="W708" s="29"/>
    </row>
    <row r="709" spans="1:32" ht="20.100000000000001" hidden="1" customHeight="1">
      <c r="A709" s="732"/>
      <c r="B709" s="733"/>
      <c r="C709" s="734" t="s">
        <v>64</v>
      </c>
      <c r="D709" s="734"/>
      <c r="E709" s="734"/>
      <c r="F709" s="223" t="e">
        <f>SUM(#REF!)</f>
        <v>#REF!</v>
      </c>
      <c r="G709" s="223" t="e">
        <f t="shared" si="54"/>
        <v>#REF!</v>
      </c>
      <c r="H709" s="224" t="s">
        <v>32</v>
      </c>
      <c r="I709" s="225">
        <f t="shared" si="55"/>
        <v>21340.588999999993</v>
      </c>
      <c r="J709" s="223">
        <f t="shared" si="53"/>
        <v>14.411000000007334</v>
      </c>
      <c r="K709" s="233">
        <f t="shared" si="52"/>
        <v>587.5716860985483</v>
      </c>
      <c r="L709" s="766" t="s">
        <v>217</v>
      </c>
      <c r="M709" s="767"/>
      <c r="N709" s="29"/>
      <c r="O709" s="29"/>
      <c r="P709" s="29"/>
      <c r="Q709" s="29"/>
      <c r="R709" s="29"/>
      <c r="S709" s="29"/>
      <c r="T709" s="29"/>
      <c r="U709" s="29"/>
      <c r="V709" s="29"/>
      <c r="W709" s="29"/>
    </row>
    <row r="710" spans="1:32" ht="20.100000000000001" hidden="1" customHeight="1">
      <c r="A710" s="732"/>
      <c r="B710" s="733"/>
      <c r="C710" s="734" t="s">
        <v>64</v>
      </c>
      <c r="D710" s="734"/>
      <c r="E710" s="734"/>
      <c r="F710" s="223" t="e">
        <f>SUM(#REF!)</f>
        <v>#REF!</v>
      </c>
      <c r="G710" s="223" t="e">
        <f t="shared" si="54"/>
        <v>#REF!</v>
      </c>
      <c r="H710" s="224" t="s">
        <v>32</v>
      </c>
      <c r="I710" s="225">
        <f t="shared" si="55"/>
        <v>21340.588999999993</v>
      </c>
      <c r="J710" s="223">
        <f t="shared" si="53"/>
        <v>14.411000000007334</v>
      </c>
      <c r="K710" s="233">
        <f t="shared" si="52"/>
        <v>587.5716860985483</v>
      </c>
      <c r="L710" s="766" t="s">
        <v>217</v>
      </c>
      <c r="M710" s="767"/>
      <c r="N710" s="29"/>
      <c r="O710" s="29"/>
      <c r="P710" s="29"/>
      <c r="Q710" s="29"/>
      <c r="R710" s="29"/>
      <c r="S710" s="29"/>
      <c r="T710" s="29"/>
      <c r="U710" s="29"/>
      <c r="V710" s="29"/>
      <c r="W710" s="29"/>
    </row>
    <row r="711" spans="1:32" ht="20.100000000000001" hidden="1" customHeight="1">
      <c r="A711" s="681" t="s">
        <v>285</v>
      </c>
      <c r="B711" s="682"/>
      <c r="C711" s="683" t="s">
        <v>64</v>
      </c>
      <c r="D711" s="683"/>
      <c r="E711" s="683"/>
      <c r="F711" s="220" t="e">
        <f>SUM(#REF!)</f>
        <v>#REF!</v>
      </c>
      <c r="G711" s="220" t="e">
        <f t="shared" si="54"/>
        <v>#REF!</v>
      </c>
      <c r="H711" s="224" t="s">
        <v>32</v>
      </c>
      <c r="I711" s="222">
        <f t="shared" si="55"/>
        <v>21340.588999999993</v>
      </c>
      <c r="J711" s="220">
        <f t="shared" si="53"/>
        <v>14.411000000007334</v>
      </c>
      <c r="K711" s="231">
        <f t="shared" si="52"/>
        <v>587.5716860985483</v>
      </c>
      <c r="L711" s="766" t="s">
        <v>217</v>
      </c>
      <c r="M711" s="767"/>
      <c r="N711" s="29"/>
      <c r="O711" s="29"/>
      <c r="P711" s="29"/>
      <c r="Q711" s="29"/>
      <c r="R711" s="29"/>
      <c r="S711" s="29"/>
      <c r="T711" s="29"/>
      <c r="U711" s="29"/>
      <c r="V711" s="29"/>
      <c r="W711" s="29"/>
    </row>
    <row r="712" spans="1:32" ht="20.100000000000001" hidden="1" customHeight="1">
      <c r="A712" s="681"/>
      <c r="B712" s="682"/>
      <c r="C712" s="683" t="s">
        <v>64</v>
      </c>
      <c r="D712" s="683"/>
      <c r="E712" s="683"/>
      <c r="F712" s="220" t="e">
        <f>SUM(#REF!)</f>
        <v>#REF!</v>
      </c>
      <c r="G712" s="220" t="e">
        <f t="shared" si="54"/>
        <v>#REF!</v>
      </c>
      <c r="H712" s="224" t="s">
        <v>32</v>
      </c>
      <c r="I712" s="222">
        <f t="shared" si="55"/>
        <v>21340.588999999993</v>
      </c>
      <c r="J712" s="220">
        <f t="shared" si="53"/>
        <v>14.411000000007334</v>
      </c>
      <c r="K712" s="231">
        <f t="shared" si="52"/>
        <v>587.5716860985483</v>
      </c>
      <c r="L712" s="766" t="s">
        <v>217</v>
      </c>
      <c r="M712" s="767"/>
      <c r="N712" s="29"/>
      <c r="O712" s="29"/>
      <c r="P712" s="29"/>
      <c r="Q712" s="29"/>
      <c r="R712" s="29"/>
      <c r="S712" s="29"/>
      <c r="T712" s="29"/>
      <c r="U712" s="29"/>
      <c r="V712" s="29"/>
      <c r="W712" s="29"/>
    </row>
    <row r="713" spans="1:32" ht="20.100000000000001" hidden="1" customHeight="1">
      <c r="A713" s="681"/>
      <c r="B713" s="682"/>
      <c r="C713" s="683" t="s">
        <v>64</v>
      </c>
      <c r="D713" s="683"/>
      <c r="E713" s="683"/>
      <c r="F713" s="220" t="e">
        <f>SUM(#REF!)</f>
        <v>#REF!</v>
      </c>
      <c r="G713" s="220" t="e">
        <f t="shared" si="54"/>
        <v>#REF!</v>
      </c>
      <c r="H713" s="224" t="s">
        <v>32</v>
      </c>
      <c r="I713" s="222">
        <f t="shared" si="55"/>
        <v>21340.588999999993</v>
      </c>
      <c r="J713" s="220">
        <f t="shared" si="53"/>
        <v>14.411000000007334</v>
      </c>
      <c r="K713" s="231">
        <f t="shared" si="52"/>
        <v>587.5716860985483</v>
      </c>
      <c r="L713" s="766" t="s">
        <v>217</v>
      </c>
      <c r="M713" s="767"/>
      <c r="N713" s="29"/>
      <c r="O713" s="29"/>
      <c r="P713" s="29"/>
      <c r="Q713" s="29"/>
      <c r="R713" s="29"/>
      <c r="S713" s="29"/>
      <c r="T713" s="29"/>
      <c r="U713" s="29"/>
      <c r="V713" s="29"/>
      <c r="W713" s="29"/>
    </row>
    <row r="714" spans="1:32" ht="20.100000000000001" hidden="1" customHeight="1">
      <c r="A714" s="732" t="s">
        <v>286</v>
      </c>
      <c r="B714" s="733"/>
      <c r="C714" s="734" t="s">
        <v>64</v>
      </c>
      <c r="D714" s="734"/>
      <c r="E714" s="734"/>
      <c r="F714" s="223" t="e">
        <f>SUM(#REF!)</f>
        <v>#REF!</v>
      </c>
      <c r="G714" s="223" t="e">
        <f t="shared" si="54"/>
        <v>#REF!</v>
      </c>
      <c r="H714" s="224" t="s">
        <v>32</v>
      </c>
      <c r="I714" s="225">
        <f t="shared" si="55"/>
        <v>21340.588999999993</v>
      </c>
      <c r="J714" s="223">
        <f t="shared" si="53"/>
        <v>14.411000000007334</v>
      </c>
      <c r="K714" s="233">
        <f t="shared" si="52"/>
        <v>587.5716860985483</v>
      </c>
      <c r="L714" s="766" t="s">
        <v>217</v>
      </c>
      <c r="M714" s="767"/>
      <c r="N714" s="29"/>
      <c r="O714" s="29"/>
      <c r="P714" s="29"/>
      <c r="Q714" s="29"/>
      <c r="R714" s="29"/>
      <c r="S714" s="29"/>
      <c r="T714" s="29"/>
      <c r="U714" s="29"/>
      <c r="V714" s="29"/>
      <c r="W714" s="29"/>
    </row>
    <row r="715" spans="1:32" ht="20.100000000000001" hidden="1" customHeight="1">
      <c r="A715" s="732"/>
      <c r="B715" s="733"/>
      <c r="C715" s="734" t="s">
        <v>64</v>
      </c>
      <c r="D715" s="734"/>
      <c r="E715" s="734"/>
      <c r="F715" s="223" t="e">
        <f>SUM(#REF!)</f>
        <v>#REF!</v>
      </c>
      <c r="G715" s="223" t="e">
        <f t="shared" si="54"/>
        <v>#REF!</v>
      </c>
      <c r="H715" s="224" t="s">
        <v>32</v>
      </c>
      <c r="I715" s="225">
        <f t="shared" si="55"/>
        <v>21340.588999999993</v>
      </c>
      <c r="J715" s="223">
        <f t="shared" si="53"/>
        <v>14.411000000007334</v>
      </c>
      <c r="K715" s="233">
        <f t="shared" si="52"/>
        <v>587.5716860985483</v>
      </c>
      <c r="L715" s="766" t="s">
        <v>217</v>
      </c>
      <c r="M715" s="767"/>
      <c r="N715" s="29"/>
      <c r="O715" s="29"/>
      <c r="P715" s="29"/>
      <c r="Q715" s="29"/>
      <c r="R715" s="29"/>
      <c r="S715" s="29"/>
      <c r="T715" s="29"/>
      <c r="U715" s="29"/>
      <c r="V715" s="29"/>
      <c r="W715" s="29"/>
    </row>
    <row r="716" spans="1:32" ht="20.100000000000001" hidden="1" customHeight="1">
      <c r="A716" s="732"/>
      <c r="B716" s="733"/>
      <c r="C716" s="734" t="s">
        <v>64</v>
      </c>
      <c r="D716" s="734"/>
      <c r="E716" s="734"/>
      <c r="F716" s="223" t="e">
        <f>SUM(#REF!)</f>
        <v>#REF!</v>
      </c>
      <c r="G716" s="223" t="e">
        <f t="shared" si="54"/>
        <v>#REF!</v>
      </c>
      <c r="H716" s="224" t="s">
        <v>32</v>
      </c>
      <c r="I716" s="225">
        <f t="shared" si="55"/>
        <v>21340.588999999993</v>
      </c>
      <c r="J716" s="223">
        <f t="shared" si="53"/>
        <v>14.411000000007334</v>
      </c>
      <c r="K716" s="233">
        <f t="shared" si="52"/>
        <v>587.5716860985483</v>
      </c>
      <c r="L716" s="766" t="s">
        <v>217</v>
      </c>
      <c r="M716" s="767"/>
      <c r="N716" s="29"/>
      <c r="O716" s="29"/>
      <c r="P716" s="29"/>
      <c r="Q716" s="29"/>
      <c r="R716" s="29"/>
      <c r="S716" s="29"/>
      <c r="T716" s="29"/>
      <c r="U716" s="29"/>
      <c r="V716" s="29"/>
      <c r="W716" s="29"/>
    </row>
    <row r="717" spans="1:32" ht="20.100000000000001" customHeight="1">
      <c r="A717" s="768"/>
      <c r="B717" s="769"/>
      <c r="C717" s="770" t="s">
        <v>293</v>
      </c>
      <c r="D717" s="771"/>
      <c r="E717" s="772"/>
      <c r="F717" s="344">
        <v>10</v>
      </c>
      <c r="G717" s="344">
        <f t="shared" si="54"/>
        <v>10</v>
      </c>
      <c r="H717" s="345" t="s">
        <v>29</v>
      </c>
      <c r="I717" s="346">
        <f t="shared" si="55"/>
        <v>21350.588999999993</v>
      </c>
      <c r="J717" s="344">
        <f t="shared" si="53"/>
        <v>4.4110000000073342</v>
      </c>
      <c r="K717" s="347">
        <f t="shared" si="52"/>
        <v>587.80718648051925</v>
      </c>
      <c r="L717" s="766" t="s">
        <v>217</v>
      </c>
      <c r="M717" s="767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</row>
    <row r="718" spans="1:32" ht="20.100000000000001" customHeight="1">
      <c r="A718" s="768"/>
      <c r="B718" s="769"/>
      <c r="C718" s="770" t="s">
        <v>293</v>
      </c>
      <c r="D718" s="771"/>
      <c r="E718" s="772"/>
      <c r="F718" s="344">
        <v>10</v>
      </c>
      <c r="G718" s="344">
        <f t="shared" si="54"/>
        <v>10</v>
      </c>
      <c r="H718" s="344" t="s">
        <v>29</v>
      </c>
      <c r="I718" s="346">
        <f t="shared" si="55"/>
        <v>21360.588999999993</v>
      </c>
      <c r="J718" s="344">
        <f t="shared" si="53"/>
        <v>-5.5889999999926658</v>
      </c>
      <c r="K718" s="347">
        <f t="shared" si="52"/>
        <v>588.04268686249031</v>
      </c>
      <c r="L718" s="766" t="s">
        <v>217</v>
      </c>
      <c r="M718" s="767"/>
      <c r="N718" s="105"/>
      <c r="O718" s="104"/>
      <c r="P718" s="104"/>
      <c r="Q718" s="105"/>
      <c r="R718" s="105"/>
      <c r="S718" s="105"/>
      <c r="T718" s="105"/>
      <c r="U718" s="105"/>
      <c r="V718" s="105"/>
      <c r="W718" s="105"/>
    </row>
    <row r="719" spans="1:32" ht="20.100000000000001" customHeight="1">
      <c r="A719" s="768"/>
      <c r="B719" s="769"/>
      <c r="C719" s="770" t="s">
        <v>294</v>
      </c>
      <c r="D719" s="771"/>
      <c r="E719" s="772"/>
      <c r="F719" s="344">
        <v>5</v>
      </c>
      <c r="G719" s="344">
        <f t="shared" si="54"/>
        <v>5</v>
      </c>
      <c r="H719" s="344" t="s">
        <v>29</v>
      </c>
      <c r="I719" s="346">
        <f t="shared" si="55"/>
        <v>21365.588999999993</v>
      </c>
      <c r="J719" s="348">
        <f t="shared" si="53"/>
        <v>-10.588999999992666</v>
      </c>
      <c r="K719" s="347">
        <f t="shared" si="52"/>
        <v>588.16043705347579</v>
      </c>
      <c r="L719" s="766" t="s">
        <v>217</v>
      </c>
      <c r="M719" s="767"/>
      <c r="N719" s="105"/>
      <c r="O719" s="104"/>
      <c r="P719" s="104"/>
      <c r="Q719" s="105"/>
      <c r="R719" s="105"/>
      <c r="S719" s="105"/>
      <c r="T719" s="105"/>
      <c r="U719" s="105"/>
      <c r="V719" s="105"/>
      <c r="W719" s="105"/>
    </row>
    <row r="720" spans="1:32" ht="20.100000000000001" customHeight="1">
      <c r="A720" s="773" t="s">
        <v>216</v>
      </c>
      <c r="B720" s="774"/>
      <c r="C720" s="779" t="s">
        <v>111</v>
      </c>
      <c r="D720" s="780"/>
      <c r="E720" s="781"/>
      <c r="F720" s="155">
        <v>3.58</v>
      </c>
      <c r="G720" s="155">
        <f t="shared" si="54"/>
        <v>3.58</v>
      </c>
      <c r="H720" s="156" t="s">
        <v>29</v>
      </c>
      <c r="I720" s="156">
        <f t="shared" si="55"/>
        <v>21369.168999999994</v>
      </c>
      <c r="J720" s="156">
        <f t="shared" si="53"/>
        <v>-14.168999999994412</v>
      </c>
      <c r="K720" s="782" t="s">
        <v>65</v>
      </c>
      <c r="L720" s="785" t="s">
        <v>124</v>
      </c>
      <c r="M720" s="786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20"/>
      <c r="Y720" s="20"/>
      <c r="Z720" s="20"/>
      <c r="AA720" s="20"/>
      <c r="AB720" s="20"/>
      <c r="AC720" s="20"/>
      <c r="AD720" s="20"/>
      <c r="AE720" s="20"/>
      <c r="AF720" s="20"/>
    </row>
    <row r="721" spans="1:32" ht="20.100000000000001" customHeight="1">
      <c r="A721" s="775"/>
      <c r="B721" s="776"/>
      <c r="C721" s="779" t="s">
        <v>110</v>
      </c>
      <c r="D721" s="780"/>
      <c r="E721" s="781"/>
      <c r="F721" s="226">
        <v>3.78</v>
      </c>
      <c r="G721" s="226">
        <f t="shared" si="54"/>
        <v>3.78</v>
      </c>
      <c r="H721" s="227" t="s">
        <v>29</v>
      </c>
      <c r="I721" s="228">
        <f t="shared" si="55"/>
        <v>21372.948999999993</v>
      </c>
      <c r="J721" s="197">
        <f t="shared" si="53"/>
        <v>-17.948999999993248</v>
      </c>
      <c r="K721" s="783"/>
      <c r="L721" s="785" t="s">
        <v>123</v>
      </c>
      <c r="M721" s="786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20"/>
      <c r="Y721" s="20"/>
      <c r="Z721" s="20"/>
      <c r="AA721" s="20"/>
      <c r="AB721" s="20"/>
      <c r="AC721" s="20"/>
      <c r="AD721" s="20"/>
      <c r="AE721" s="20"/>
      <c r="AF721" s="20"/>
    </row>
    <row r="722" spans="1:32" ht="20.100000000000001" customHeight="1">
      <c r="A722" s="775"/>
      <c r="B722" s="776"/>
      <c r="C722" s="779" t="s">
        <v>109</v>
      </c>
      <c r="D722" s="780"/>
      <c r="E722" s="781"/>
      <c r="F722" s="226">
        <v>12.18</v>
      </c>
      <c r="G722" s="226">
        <f t="shared" si="54"/>
        <v>12.18</v>
      </c>
      <c r="H722" s="227" t="s">
        <v>29</v>
      </c>
      <c r="I722" s="228">
        <f t="shared" si="55"/>
        <v>21385.128999999994</v>
      </c>
      <c r="J722" s="197">
        <f t="shared" si="53"/>
        <v>-30.128999999993539</v>
      </c>
      <c r="K722" s="783"/>
      <c r="L722" s="785" t="s">
        <v>73</v>
      </c>
      <c r="M722" s="786"/>
      <c r="N722" s="105"/>
      <c r="O722" s="105"/>
      <c r="P722" s="105"/>
      <c r="Q722" s="106"/>
      <c r="R722" s="106"/>
      <c r="S722" s="106"/>
      <c r="T722" s="106"/>
      <c r="U722" s="106"/>
      <c r="V722" s="106"/>
      <c r="W722" s="106"/>
    </row>
    <row r="723" spans="1:32" ht="20.100000000000001" customHeight="1">
      <c r="A723" s="775"/>
      <c r="B723" s="776"/>
      <c r="C723" s="779" t="s">
        <v>108</v>
      </c>
      <c r="D723" s="780"/>
      <c r="E723" s="781"/>
      <c r="F723" s="226">
        <v>3.78</v>
      </c>
      <c r="G723" s="226">
        <f t="shared" si="54"/>
        <v>3.78</v>
      </c>
      <c r="H723" s="227" t="s">
        <v>29</v>
      </c>
      <c r="I723" s="228">
        <f t="shared" si="55"/>
        <v>21388.908999999992</v>
      </c>
      <c r="J723" s="197">
        <f t="shared" si="53"/>
        <v>-33.908999999992375</v>
      </c>
      <c r="K723" s="783"/>
      <c r="L723" s="785" t="s">
        <v>74</v>
      </c>
      <c r="M723" s="786"/>
      <c r="N723" s="105"/>
      <c r="O723" s="105"/>
      <c r="P723" s="105"/>
      <c r="Q723" s="30"/>
      <c r="R723" s="30"/>
      <c r="S723" s="30"/>
      <c r="T723" s="30"/>
      <c r="U723" s="30"/>
      <c r="V723" s="30"/>
      <c r="W723" s="30"/>
    </row>
    <row r="724" spans="1:32" ht="20.100000000000001" customHeight="1">
      <c r="A724" s="775"/>
      <c r="B724" s="776"/>
      <c r="C724" s="779" t="s">
        <v>107</v>
      </c>
      <c r="D724" s="780"/>
      <c r="E724" s="781"/>
      <c r="F724" s="226">
        <v>3.61</v>
      </c>
      <c r="G724" s="226">
        <f t="shared" si="54"/>
        <v>3.61</v>
      </c>
      <c r="H724" s="227" t="s">
        <v>29</v>
      </c>
      <c r="I724" s="228">
        <f t="shared" si="55"/>
        <v>21392.518999999993</v>
      </c>
      <c r="J724" s="197">
        <f t="shared" si="53"/>
        <v>-37.518999999992957</v>
      </c>
      <c r="K724" s="783"/>
      <c r="L724" s="216"/>
      <c r="M724" s="132"/>
      <c r="N724" s="106"/>
      <c r="O724" s="106"/>
      <c r="P724" s="106"/>
      <c r="Q724" s="4"/>
      <c r="R724" s="4"/>
      <c r="S724" s="4"/>
      <c r="T724" s="4"/>
      <c r="U724" s="4"/>
      <c r="V724" s="4"/>
      <c r="W724" s="4"/>
    </row>
    <row r="725" spans="1:32" ht="20.100000000000001" customHeight="1" thickBot="1">
      <c r="A725" s="777"/>
      <c r="B725" s="778"/>
      <c r="C725" s="808" t="s">
        <v>106</v>
      </c>
      <c r="D725" s="809"/>
      <c r="E725" s="810"/>
      <c r="F725" s="226">
        <v>9.56</v>
      </c>
      <c r="G725" s="198">
        <f t="shared" si="54"/>
        <v>9.56</v>
      </c>
      <c r="H725" s="199" t="s">
        <v>29</v>
      </c>
      <c r="I725" s="200">
        <f t="shared" si="55"/>
        <v>21402.078999999994</v>
      </c>
      <c r="J725" s="201">
        <f t="shared" si="53"/>
        <v>-47.078999999994267</v>
      </c>
      <c r="K725" s="784"/>
      <c r="L725" s="811"/>
      <c r="M725" s="812"/>
      <c r="N725" s="30"/>
      <c r="O725" s="30"/>
      <c r="P725" s="30"/>
      <c r="Q725" s="4"/>
      <c r="R725" s="4"/>
      <c r="S725" s="4"/>
      <c r="T725" s="4"/>
      <c r="U725" s="4"/>
      <c r="V725" s="4"/>
      <c r="W725" s="4"/>
    </row>
    <row r="726" spans="1:32" ht="20.100000000000001" customHeight="1" thickBot="1">
      <c r="A726" s="796" t="s">
        <v>49</v>
      </c>
      <c r="B726" s="797"/>
      <c r="C726" s="797"/>
      <c r="D726" s="797"/>
      <c r="E726" s="798"/>
      <c r="F726" s="202">
        <f>SUM(F720:F725)</f>
        <v>36.49</v>
      </c>
      <c r="G726" s="111"/>
      <c r="H726" s="112"/>
      <c r="I726" s="112"/>
      <c r="J726" s="112"/>
      <c r="K726" s="234"/>
      <c r="L726" s="799"/>
      <c r="M726" s="800"/>
      <c r="N726" s="4"/>
      <c r="O726" s="4"/>
      <c r="P726" s="4"/>
      <c r="Q726" s="107"/>
      <c r="R726" s="107"/>
      <c r="S726" s="107"/>
      <c r="T726" s="107"/>
      <c r="U726" s="107"/>
      <c r="V726" s="107"/>
      <c r="W726" s="107"/>
    </row>
    <row r="727" spans="1:32" ht="24.75" thickTop="1">
      <c r="A727" s="801" t="s">
        <v>35</v>
      </c>
      <c r="B727" s="802"/>
      <c r="C727" s="802"/>
      <c r="D727" s="802"/>
      <c r="E727" s="803"/>
      <c r="F727" s="77" t="s">
        <v>53</v>
      </c>
      <c r="G727" s="77" t="s">
        <v>52</v>
      </c>
      <c r="H727" s="804" t="s">
        <v>36</v>
      </c>
      <c r="I727" s="805"/>
      <c r="J727" s="78" t="s">
        <v>41</v>
      </c>
      <c r="K727" s="79" t="s">
        <v>37</v>
      </c>
      <c r="L727" s="806" t="s">
        <v>38</v>
      </c>
      <c r="M727" s="807"/>
      <c r="N727" s="31"/>
      <c r="O727" s="31"/>
      <c r="P727" s="31"/>
      <c r="Q727" s="31"/>
      <c r="R727" s="31"/>
      <c r="S727" s="31"/>
      <c r="T727" s="31"/>
      <c r="U727" s="31"/>
      <c r="V727" s="31"/>
      <c r="W727" s="31"/>
    </row>
    <row r="728" spans="1:32" ht="20.100000000000001" customHeight="1">
      <c r="A728" s="787" t="s">
        <v>64</v>
      </c>
      <c r="B728" s="788"/>
      <c r="C728" s="788"/>
      <c r="D728" s="788"/>
      <c r="E728" s="789"/>
      <c r="F728" s="71">
        <v>4</v>
      </c>
      <c r="G728" s="72">
        <f>(I720-I494)+(I464-I338)</f>
        <v>10529.639999999998</v>
      </c>
      <c r="H728" s="790">
        <v>2.0199999999999999E-2</v>
      </c>
      <c r="I728" s="791"/>
      <c r="J728" s="73">
        <f>H728*G728</f>
        <v>212.69872799999993</v>
      </c>
      <c r="K728" s="74">
        <f>J728/$M$15</f>
        <v>1787.3842689075625</v>
      </c>
      <c r="L728" s="792">
        <f>K728</f>
        <v>1787.3842689075625</v>
      </c>
      <c r="M728" s="793"/>
      <c r="N728" s="31"/>
      <c r="O728" s="31"/>
      <c r="P728" s="31"/>
      <c r="Q728" s="31"/>
      <c r="R728" s="31"/>
      <c r="S728" s="31"/>
      <c r="T728" s="31"/>
      <c r="U728" s="31"/>
      <c r="V728" s="31"/>
      <c r="W728" s="31"/>
    </row>
    <row r="729" spans="1:32" ht="20.100000000000001" customHeight="1">
      <c r="A729" s="787" t="s">
        <v>209</v>
      </c>
      <c r="B729" s="788"/>
      <c r="C729" s="788"/>
      <c r="D729" s="788"/>
      <c r="E729" s="789"/>
      <c r="F729" s="71">
        <v>3.25</v>
      </c>
      <c r="G729" s="72">
        <f>(I494-I464)+(I338-I334)</f>
        <v>1004.8100000000031</v>
      </c>
      <c r="H729" s="790">
        <v>1.03E-2</v>
      </c>
      <c r="I729" s="791"/>
      <c r="J729" s="73">
        <f>H729*G729</f>
        <v>10.349543000000033</v>
      </c>
      <c r="K729" s="74">
        <f>J729/$M$15</f>
        <v>86.970949579832208</v>
      </c>
      <c r="L729" s="792">
        <f>K729+L728</f>
        <v>1874.3552184873947</v>
      </c>
      <c r="M729" s="793"/>
      <c r="N729" s="31"/>
      <c r="O729" s="31"/>
      <c r="P729" s="31"/>
      <c r="Q729" s="31"/>
      <c r="R729" s="31"/>
      <c r="S729" s="31"/>
      <c r="T729" s="31"/>
      <c r="U729" s="31"/>
      <c r="V729" s="31"/>
      <c r="W729" s="31"/>
    </row>
    <row r="730" spans="1:32" ht="20.100000000000001" customHeight="1">
      <c r="A730" s="787" t="s">
        <v>59</v>
      </c>
      <c r="B730" s="788"/>
      <c r="C730" s="788"/>
      <c r="D730" s="788"/>
      <c r="E730" s="789"/>
      <c r="F730" s="71">
        <v>3</v>
      </c>
      <c r="G730" s="72">
        <f>I334-I327</f>
        <v>52.142499999999927</v>
      </c>
      <c r="H730" s="794">
        <f>(F730^2)/1029.4</f>
        <v>8.7429570623664271E-3</v>
      </c>
      <c r="I730" s="795"/>
      <c r="J730" s="73">
        <f>H730*G730</f>
        <v>0.45587963862444081</v>
      </c>
      <c r="K730" s="74">
        <f>J730/$M$15</f>
        <v>3.8309213329784946</v>
      </c>
      <c r="L730" s="792">
        <f>K730+L729</f>
        <v>1878.1861398203732</v>
      </c>
      <c r="M730" s="793"/>
      <c r="N730" s="31"/>
      <c r="O730" s="31"/>
      <c r="P730" s="31"/>
      <c r="Q730" s="108"/>
      <c r="R730" s="108"/>
      <c r="S730" s="108"/>
      <c r="T730" s="108"/>
      <c r="U730" s="108"/>
      <c r="V730" s="108"/>
      <c r="W730" s="108"/>
    </row>
    <row r="731" spans="1:32" ht="20.100000000000001" customHeight="1">
      <c r="A731" s="787" t="s">
        <v>47</v>
      </c>
      <c r="B731" s="788"/>
      <c r="C731" s="788"/>
      <c r="D731" s="788"/>
      <c r="E731" s="789"/>
      <c r="F731" s="71">
        <v>6.25</v>
      </c>
      <c r="G731" s="72">
        <f>I327-I24</f>
        <v>9676.8514999999934</v>
      </c>
      <c r="H731" s="794">
        <f>(F731^2)/1029.4</f>
        <v>3.7946862249854281E-2</v>
      </c>
      <c r="I731" s="795"/>
      <c r="J731" s="73">
        <f>H731*G731</f>
        <v>367.2061508827955</v>
      </c>
      <c r="K731" s="74">
        <f>J731/$M$15</f>
        <v>3085.7659738050043</v>
      </c>
      <c r="L731" s="792">
        <f>K731+L730</f>
        <v>4963.952113625377</v>
      </c>
      <c r="M731" s="793"/>
      <c r="N731" s="31"/>
      <c r="O731" s="31"/>
      <c r="P731" s="31"/>
      <c r="Q731" s="108"/>
      <c r="R731" s="108"/>
      <c r="S731" s="108"/>
      <c r="T731" s="108"/>
      <c r="U731" s="108"/>
      <c r="V731" s="108"/>
      <c r="W731" s="108"/>
    </row>
    <row r="732" spans="1:32" ht="20.100000000000001" customHeight="1" thickBot="1">
      <c r="A732" s="823" t="s">
        <v>48</v>
      </c>
      <c r="B732" s="824"/>
      <c r="C732" s="824"/>
      <c r="D732" s="824"/>
      <c r="E732" s="825"/>
      <c r="F732" s="75">
        <v>6.25</v>
      </c>
      <c r="G732" s="76">
        <f>I24</f>
        <v>105.72500000000001</v>
      </c>
      <c r="H732" s="826">
        <f>(F732^2)/1029.4</f>
        <v>3.7946862249854281E-2</v>
      </c>
      <c r="I732" s="827"/>
      <c r="J732" s="80">
        <f>H732*G732</f>
        <v>4.0119320113658441</v>
      </c>
      <c r="K732" s="81">
        <f>J732/$M$15</f>
        <v>33.713714381225579</v>
      </c>
      <c r="L732" s="828">
        <f>K732+L731</f>
        <v>4997.6658280066022</v>
      </c>
      <c r="M732" s="829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</row>
    <row r="733" spans="1:32" ht="20.100000000000001" customHeight="1" thickBot="1">
      <c r="A733" s="820" t="s">
        <v>91</v>
      </c>
      <c r="B733" s="821"/>
      <c r="C733" s="821"/>
      <c r="D733" s="821"/>
      <c r="E733" s="821"/>
      <c r="F733" s="821"/>
      <c r="G733" s="821"/>
      <c r="H733" s="821"/>
      <c r="I733" s="822"/>
      <c r="J733" s="816">
        <f>(J728+J729+J730)*0.6</f>
        <v>134.10249038317465</v>
      </c>
      <c r="K733" s="817"/>
      <c r="L733" s="818">
        <f t="shared" ref="L733" si="56">J733/$M$15</f>
        <v>1126.9116838922241</v>
      </c>
      <c r="M733" s="819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</row>
    <row r="734" spans="1:32" ht="20.100000000000001" customHeight="1" thickBot="1">
      <c r="A734" s="813" t="s">
        <v>198</v>
      </c>
      <c r="B734" s="814"/>
      <c r="C734" s="814"/>
      <c r="D734" s="814"/>
      <c r="E734" s="814"/>
      <c r="F734" s="814"/>
      <c r="G734" s="814"/>
      <c r="H734" s="814"/>
      <c r="I734" s="815"/>
      <c r="J734" s="816">
        <f>(1.5*SUM(J731:J732))+SUM(J729:J730)+O735</f>
        <v>597.4992670798664</v>
      </c>
      <c r="K734" s="817"/>
      <c r="L734" s="818">
        <f>J734/$M$15</f>
        <v>5021.0022443686257</v>
      </c>
      <c r="M734" s="819"/>
      <c r="N734" s="108"/>
      <c r="O734" s="72">
        <f>SUM(G283:G335)</f>
        <v>1478.5504999999989</v>
      </c>
      <c r="P734" s="72"/>
      <c r="Q734" s="108"/>
      <c r="R734" s="108"/>
      <c r="S734" s="108"/>
      <c r="T734" s="108"/>
      <c r="U734" s="108"/>
      <c r="V734" s="108"/>
      <c r="W734" s="108"/>
    </row>
    <row r="735" spans="1:32" ht="20.100000000000001" customHeight="1" thickBot="1">
      <c r="A735" s="813" t="s">
        <v>199</v>
      </c>
      <c r="B735" s="814"/>
      <c r="C735" s="814"/>
      <c r="D735" s="814"/>
      <c r="E735" s="814"/>
      <c r="F735" s="814"/>
      <c r="G735" s="814"/>
      <c r="H735" s="814"/>
      <c r="I735" s="815"/>
      <c r="J735" s="816">
        <f>1.5*SUM(J731:J732)+SUM(J728:J730)</f>
        <v>780.33127497986641</v>
      </c>
      <c r="K735" s="817"/>
      <c r="L735" s="818">
        <f>J735/$M$15</f>
        <v>6557.4056720997178</v>
      </c>
      <c r="M735" s="819"/>
      <c r="N735" s="108"/>
      <c r="O735" s="72">
        <f>O734*H728</f>
        <v>29.866720099999977</v>
      </c>
      <c r="P735" s="108"/>
      <c r="Q735" s="108"/>
      <c r="R735" s="108"/>
      <c r="S735" s="108"/>
      <c r="T735" s="108"/>
      <c r="U735" s="108"/>
      <c r="V735" s="108"/>
      <c r="W735" s="108"/>
    </row>
    <row r="736" spans="1:32" ht="20.100000000000001" customHeight="1" thickBot="1">
      <c r="A736" s="813" t="s">
        <v>210</v>
      </c>
      <c r="B736" s="814"/>
      <c r="C736" s="814"/>
      <c r="D736" s="814"/>
      <c r="E736" s="814"/>
      <c r="F736" s="814"/>
      <c r="G736" s="814"/>
      <c r="H736" s="814"/>
      <c r="I736" s="815"/>
      <c r="J736" s="816">
        <f>J731</f>
        <v>367.2061508827955</v>
      </c>
      <c r="K736" s="817"/>
      <c r="L736" s="818">
        <f>J736/$M$15</f>
        <v>3085.7659738050043</v>
      </c>
      <c r="M736" s="819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</row>
    <row r="737" spans="1:32" ht="20.100000000000001" customHeight="1" thickBot="1">
      <c r="A737" s="813" t="s">
        <v>57</v>
      </c>
      <c r="B737" s="814"/>
      <c r="C737" s="814"/>
      <c r="D737" s="814"/>
      <c r="E737" s="814"/>
      <c r="F737" s="814"/>
      <c r="G737" s="814"/>
      <c r="H737" s="814"/>
      <c r="I737" s="815"/>
      <c r="J737" s="816">
        <f>SUM(J728:J730)</f>
        <v>223.50415063862442</v>
      </c>
      <c r="K737" s="817"/>
      <c r="L737" s="818">
        <f>J737/$M$15</f>
        <v>1878.1861398203735</v>
      </c>
      <c r="M737" s="819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</row>
    <row r="738" spans="1:32" ht="20.100000000000001" customHeight="1" thickBot="1">
      <c r="A738" s="813" t="s">
        <v>51</v>
      </c>
      <c r="B738" s="814"/>
      <c r="C738" s="814"/>
      <c r="D738" s="814"/>
      <c r="E738" s="814"/>
      <c r="F738" s="814"/>
      <c r="G738" s="814"/>
      <c r="H738" s="814"/>
      <c r="I738" s="815"/>
      <c r="J738" s="816">
        <f>SUM(J728:J732)</f>
        <v>594.72223353278582</v>
      </c>
      <c r="K738" s="817"/>
      <c r="L738" s="818">
        <f t="shared" ref="L738:L743" si="57">J738/$M$15</f>
        <v>4997.665828006604</v>
      </c>
      <c r="M738" s="819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</row>
    <row r="739" spans="1:32" ht="20.100000000000001" customHeight="1" thickBot="1">
      <c r="A739" s="813" t="s">
        <v>54</v>
      </c>
      <c r="B739" s="814"/>
      <c r="C739" s="814"/>
      <c r="D739" s="814"/>
      <c r="E739" s="814"/>
      <c r="F739" s="814"/>
      <c r="G739" s="814"/>
      <c r="H739" s="814"/>
      <c r="I739" s="815"/>
      <c r="J739" s="816">
        <f>SUM(J728:J731)</f>
        <v>590.71030152141998</v>
      </c>
      <c r="K739" s="817"/>
      <c r="L739" s="818">
        <f t="shared" si="57"/>
        <v>4963.9521136253779</v>
      </c>
      <c r="M739" s="819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</row>
    <row r="740" spans="1:32" ht="20.100000000000001" customHeight="1" thickBot="1">
      <c r="A740" s="813" t="s">
        <v>55</v>
      </c>
      <c r="B740" s="814"/>
      <c r="C740" s="814"/>
      <c r="D740" s="814"/>
      <c r="E740" s="814"/>
      <c r="F740" s="814"/>
      <c r="G740" s="814"/>
      <c r="H740" s="814"/>
      <c r="I740" s="815"/>
      <c r="J740" s="816">
        <f>J732/2</f>
        <v>2.005966005682922</v>
      </c>
      <c r="K740" s="817"/>
      <c r="L740" s="818">
        <f t="shared" si="57"/>
        <v>16.856857190612789</v>
      </c>
      <c r="M740" s="819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</row>
    <row r="741" spans="1:32" ht="20.100000000000001" customHeight="1" thickBot="1">
      <c r="A741" s="813" t="s">
        <v>56</v>
      </c>
      <c r="B741" s="814"/>
      <c r="C741" s="814"/>
      <c r="D741" s="814"/>
      <c r="E741" s="814"/>
      <c r="F741" s="814"/>
      <c r="G741" s="814"/>
      <c r="H741" s="814"/>
      <c r="I741" s="815"/>
      <c r="J741" s="816">
        <f>((J739+J740)*3000*2.5/1000000)</f>
        <v>4.4453720064532716</v>
      </c>
      <c r="K741" s="817"/>
      <c r="L741" s="818">
        <f t="shared" si="57"/>
        <v>37.356067281119934</v>
      </c>
      <c r="M741" s="819"/>
      <c r="N741" s="108"/>
      <c r="O741" s="108"/>
      <c r="P741" s="108"/>
      <c r="Q741" s="4"/>
      <c r="R741" s="4"/>
      <c r="S741" s="4"/>
      <c r="T741" s="4"/>
      <c r="U741" s="4"/>
      <c r="V741" s="4"/>
      <c r="W741" s="4"/>
    </row>
    <row r="742" spans="1:32" ht="20.100000000000001" customHeight="1" thickBot="1">
      <c r="A742" s="833" t="s">
        <v>58</v>
      </c>
      <c r="B742" s="834"/>
      <c r="C742" s="834"/>
      <c r="D742" s="834"/>
      <c r="E742" s="834"/>
      <c r="F742" s="834"/>
      <c r="G742" s="834"/>
      <c r="H742" s="834"/>
      <c r="I742" s="835"/>
      <c r="J742" s="816">
        <f>SUM(J739:K741)</f>
        <v>597.16163953355613</v>
      </c>
      <c r="K742" s="817"/>
      <c r="L742" s="818">
        <f t="shared" si="57"/>
        <v>5018.1650380971105</v>
      </c>
      <c r="M742" s="819"/>
      <c r="N742" s="108"/>
      <c r="O742" s="108"/>
      <c r="P742" s="108"/>
      <c r="Q742" s="4"/>
      <c r="R742" s="4"/>
      <c r="S742" s="4"/>
      <c r="T742" s="4"/>
      <c r="U742" s="4"/>
      <c r="V742" s="4"/>
      <c r="W742" s="4"/>
    </row>
    <row r="743" spans="1:32" ht="20.100000000000001" customHeight="1" thickBot="1">
      <c r="A743" s="830" t="s">
        <v>197</v>
      </c>
      <c r="B743" s="831"/>
      <c r="C743" s="831"/>
      <c r="D743" s="831"/>
      <c r="E743" s="831"/>
      <c r="F743" s="831"/>
      <c r="G743" s="831"/>
      <c r="H743" s="832"/>
      <c r="I743" s="171">
        <v>20</v>
      </c>
      <c r="J743" s="816">
        <f>J742-I743</f>
        <v>577.16163953355613</v>
      </c>
      <c r="K743" s="817"/>
      <c r="L743" s="818">
        <f t="shared" si="57"/>
        <v>4850.097811206354</v>
      </c>
      <c r="M743" s="819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32">
      <c r="B744" s="4"/>
      <c r="C744" s="4"/>
      <c r="D744" s="6"/>
      <c r="E744" s="4"/>
      <c r="F744" s="4"/>
      <c r="G744" s="4"/>
      <c r="H744" s="4"/>
      <c r="I744" s="4"/>
      <c r="J744" s="4"/>
      <c r="K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32">
      <c r="B745" s="4"/>
      <c r="C745" s="4"/>
      <c r="D745" s="6"/>
      <c r="E745" s="4"/>
      <c r="F745" s="4"/>
      <c r="G745" s="4"/>
      <c r="H745" s="4"/>
      <c r="I745" s="4"/>
      <c r="J745" s="4"/>
      <c r="K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32">
      <c r="B746" s="4"/>
      <c r="C746" s="4"/>
      <c r="D746" s="6"/>
      <c r="E746" s="4"/>
      <c r="F746" s="4"/>
      <c r="G746" s="4"/>
      <c r="H746" s="4"/>
      <c r="I746" s="4"/>
      <c r="J746" s="4"/>
      <c r="K746" s="22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32">
      <c r="B747" s="4"/>
      <c r="C747" s="4"/>
      <c r="D747" s="6"/>
      <c r="E747" s="4"/>
      <c r="F747" s="4"/>
      <c r="G747" s="4"/>
      <c r="H747" s="4"/>
      <c r="I747" s="4"/>
      <c r="J747" s="4"/>
      <c r="K747" s="4"/>
      <c r="M747" s="4"/>
      <c r="N747" s="4"/>
      <c r="O747" s="4"/>
      <c r="P747" s="4"/>
    </row>
    <row r="748" spans="1:32">
      <c r="B748" s="4"/>
      <c r="C748" s="4"/>
      <c r="D748" s="6"/>
      <c r="E748" s="4"/>
      <c r="F748" s="4"/>
      <c r="G748" s="4"/>
      <c r="H748" s="4"/>
      <c r="I748" s="4"/>
      <c r="J748" s="4"/>
      <c r="K748" s="4"/>
      <c r="M748" s="4"/>
      <c r="N748" s="4"/>
      <c r="O748" s="4"/>
      <c r="P748" s="4"/>
    </row>
    <row r="749" spans="1:32">
      <c r="B749" s="4"/>
      <c r="C749" s="4"/>
      <c r="D749" s="6"/>
      <c r="E749" s="4"/>
      <c r="F749" s="4"/>
      <c r="G749" s="4"/>
      <c r="H749" s="4"/>
      <c r="I749" s="4"/>
      <c r="J749" s="4"/>
      <c r="K749" s="4"/>
      <c r="M749" s="4"/>
    </row>
    <row r="750" spans="1:32" s="2" customFormat="1" ht="20.65" customHeight="1">
      <c r="A750" s="25"/>
      <c r="B750" s="4"/>
      <c r="C750" s="4"/>
      <c r="D750" s="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114"/>
      <c r="Q750" s="114"/>
      <c r="R750" s="114"/>
      <c r="S750" s="114"/>
      <c r="T750" s="114"/>
      <c r="U750" s="114"/>
      <c r="V750" s="114"/>
      <c r="W750" s="114"/>
      <c r="X750" s="29"/>
      <c r="Y750" s="29"/>
      <c r="Z750" s="29"/>
      <c r="AA750" s="29"/>
      <c r="AB750" s="29"/>
      <c r="AC750" s="29"/>
      <c r="AD750" s="29"/>
      <c r="AE750" s="29"/>
      <c r="AF750" s="29"/>
    </row>
    <row r="751" spans="1:32" s="2" customFormat="1" ht="20.100000000000001" customHeight="1">
      <c r="A751" s="25"/>
      <c r="B751" s="4"/>
      <c r="C751" s="4"/>
      <c r="D751" s="6"/>
      <c r="E751" s="4"/>
      <c r="F751" s="4"/>
      <c r="G751" s="4"/>
      <c r="H751" s="4"/>
      <c r="I751" s="4"/>
      <c r="J751" s="4"/>
      <c r="K751" s="4"/>
      <c r="L751" s="4"/>
      <c r="M751" s="4"/>
      <c r="N751" s="25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</row>
    <row r="752" spans="1:32" s="2" customFormat="1" ht="20.100000000000001" customHeight="1">
      <c r="A752" s="25"/>
      <c r="B752" s="4"/>
      <c r="C752" s="4"/>
      <c r="D752" s="6"/>
      <c r="E752" s="4"/>
      <c r="F752" s="4"/>
      <c r="G752" s="4"/>
      <c r="H752" s="4"/>
      <c r="I752" s="4"/>
      <c r="J752" s="4"/>
      <c r="K752" s="4"/>
      <c r="L752" s="4"/>
      <c r="M752" s="4"/>
      <c r="N752" s="25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</row>
    <row r="753" spans="1:32" s="2" customFormat="1" ht="21" customHeight="1">
      <c r="A753" s="25"/>
      <c r="B753" s="4"/>
      <c r="C753" s="4"/>
      <c r="D753" s="6"/>
      <c r="E753" s="4"/>
      <c r="F753" s="4"/>
      <c r="G753" s="4"/>
      <c r="H753" s="4"/>
      <c r="I753" s="4"/>
      <c r="J753" s="4"/>
      <c r="K753" s="4"/>
      <c r="L753" s="4"/>
      <c r="M753" s="4"/>
      <c r="N753" s="25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</row>
    <row r="754" spans="1:32" s="2" customFormat="1">
      <c r="A754" s="25"/>
      <c r="B754" s="4"/>
      <c r="C754" s="4"/>
      <c r="D754" s="6"/>
      <c r="E754" s="4"/>
      <c r="F754" s="4"/>
      <c r="G754" s="4"/>
      <c r="H754" s="4"/>
      <c r="I754" s="4"/>
      <c r="J754" s="4"/>
      <c r="K754" s="4"/>
      <c r="L754" s="4"/>
      <c r="M754" s="4"/>
      <c r="N754" s="25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</row>
    <row r="755" spans="1:32">
      <c r="B755" s="4"/>
      <c r="C755" s="4"/>
      <c r="D755" s="6"/>
      <c r="E755" s="4"/>
      <c r="F755" s="4"/>
      <c r="G755" s="4"/>
      <c r="H755" s="4"/>
      <c r="I755" s="4"/>
      <c r="J755" s="4"/>
      <c r="K755" s="4"/>
      <c r="M755" s="4"/>
      <c r="N755" s="4"/>
      <c r="O755" s="4"/>
      <c r="P755" s="4"/>
    </row>
    <row r="756" spans="1:32">
      <c r="B756" s="4"/>
      <c r="C756" s="4"/>
      <c r="D756" s="6"/>
      <c r="E756" s="4"/>
      <c r="F756" s="4"/>
      <c r="G756" s="4"/>
      <c r="H756" s="4"/>
      <c r="I756" s="4"/>
      <c r="J756" s="4"/>
      <c r="K756" s="4"/>
      <c r="M756" s="4"/>
    </row>
    <row r="757" spans="1:32" s="2" customFormat="1" ht="20.65" customHeight="1">
      <c r="A757" s="25"/>
      <c r="B757" s="4"/>
      <c r="C757" s="4"/>
      <c r="D757" s="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114"/>
      <c r="Q757" s="114"/>
      <c r="R757" s="114"/>
      <c r="S757" s="114"/>
      <c r="T757" s="114"/>
      <c r="U757" s="114"/>
      <c r="V757" s="114"/>
      <c r="W757" s="114"/>
      <c r="X757" s="29"/>
      <c r="Y757" s="29"/>
      <c r="Z757" s="29"/>
      <c r="AA757" s="29"/>
      <c r="AB757" s="29"/>
      <c r="AC757" s="29"/>
      <c r="AD757" s="29"/>
      <c r="AE757" s="29"/>
      <c r="AF757" s="29"/>
    </row>
    <row r="758" spans="1:32" s="2" customFormat="1" ht="20.100000000000001" customHeight="1">
      <c r="A758" s="25"/>
      <c r="B758" s="4"/>
      <c r="C758" s="4"/>
      <c r="D758" s="6"/>
      <c r="E758" s="4"/>
      <c r="F758" s="4"/>
      <c r="G758" s="4"/>
      <c r="H758" s="4"/>
      <c r="I758" s="4"/>
      <c r="J758" s="4"/>
      <c r="K758" s="4"/>
      <c r="L758" s="4"/>
      <c r="M758" s="4"/>
      <c r="N758" s="25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</row>
    <row r="759" spans="1:32" s="2" customFormat="1" ht="20.100000000000001" customHeight="1">
      <c r="A759" s="25"/>
      <c r="B759" s="4"/>
      <c r="C759" s="4"/>
      <c r="D759" s="6"/>
      <c r="E759" s="4"/>
      <c r="F759" s="4"/>
      <c r="G759" s="4"/>
      <c r="H759" s="4"/>
      <c r="I759" s="4"/>
      <c r="J759" s="4"/>
      <c r="K759" s="4"/>
      <c r="L759" s="4"/>
      <c r="M759" s="4"/>
      <c r="N759" s="25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</row>
    <row r="760" spans="1:32" s="2" customFormat="1" ht="21" customHeight="1">
      <c r="A760" s="25"/>
      <c r="B760" s="4"/>
      <c r="C760" s="4"/>
      <c r="D760" s="6"/>
      <c r="E760" s="4"/>
      <c r="F760" s="4"/>
      <c r="G760" s="4"/>
      <c r="H760" s="4"/>
      <c r="I760" s="4"/>
      <c r="J760" s="4"/>
      <c r="K760" s="4"/>
      <c r="L760" s="4"/>
      <c r="M760" s="4"/>
      <c r="N760" s="25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</row>
    <row r="761" spans="1:32" s="2" customFormat="1">
      <c r="A761" s="25"/>
      <c r="B761" s="4"/>
      <c r="C761" s="4"/>
      <c r="D761" s="6"/>
      <c r="E761" s="4"/>
      <c r="F761" s="4"/>
      <c r="G761" s="4"/>
      <c r="H761" s="4"/>
      <c r="I761" s="4"/>
      <c r="J761" s="4"/>
      <c r="K761" s="4"/>
      <c r="L761" s="4"/>
      <c r="M761" s="4"/>
      <c r="N761" s="25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</row>
    <row r="762" spans="1:32" s="2" customFormat="1" ht="25.5" customHeight="1">
      <c r="A762" s="25"/>
      <c r="B762" s="4"/>
      <c r="C762" s="4"/>
      <c r="D762" s="6"/>
      <c r="E762" s="4"/>
      <c r="F762" s="4"/>
      <c r="G762" s="4"/>
      <c r="H762" s="4"/>
      <c r="I762" s="4"/>
      <c r="J762" s="4"/>
      <c r="K762" s="4"/>
      <c r="L762" s="4"/>
      <c r="M762" s="4"/>
      <c r="N762" s="25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</row>
    <row r="763" spans="1:32">
      <c r="B763" s="4"/>
      <c r="C763" s="4"/>
      <c r="D763" s="6"/>
      <c r="E763" s="4"/>
      <c r="F763" s="25"/>
      <c r="G763" s="25"/>
      <c r="H763" s="25"/>
      <c r="I763" s="25"/>
      <c r="J763" s="25"/>
      <c r="K763" s="25"/>
      <c r="L763" s="25"/>
    </row>
    <row r="764" spans="1:32">
      <c r="B764" s="25"/>
      <c r="C764" s="25"/>
      <c r="D764" s="7"/>
      <c r="E764" s="25"/>
      <c r="F764" s="25"/>
      <c r="G764" s="25"/>
      <c r="H764" s="25"/>
      <c r="I764" s="25"/>
      <c r="J764" s="25"/>
      <c r="K764" s="25"/>
      <c r="L764" s="25"/>
    </row>
    <row r="765" spans="1:32">
      <c r="B765" s="25"/>
      <c r="C765" s="25"/>
      <c r="D765" s="7"/>
      <c r="E765" s="25"/>
      <c r="F765" s="25"/>
      <c r="G765" s="25"/>
      <c r="H765" s="25"/>
      <c r="I765" s="25"/>
      <c r="J765" s="25"/>
      <c r="K765" s="25"/>
      <c r="L765" s="25"/>
    </row>
    <row r="766" spans="1:32">
      <c r="B766" s="25"/>
      <c r="C766" s="25"/>
      <c r="D766" s="7"/>
      <c r="E766" s="25"/>
      <c r="F766" s="25"/>
      <c r="G766" s="25"/>
      <c r="H766" s="25"/>
      <c r="I766" s="25"/>
      <c r="J766" s="25"/>
      <c r="K766" s="25"/>
      <c r="L766" s="25"/>
    </row>
    <row r="767" spans="1:32">
      <c r="B767" s="25"/>
      <c r="C767" s="25"/>
      <c r="D767" s="7"/>
      <c r="E767" s="25"/>
      <c r="F767" s="25"/>
      <c r="G767" s="25"/>
      <c r="H767" s="25"/>
      <c r="I767" s="25"/>
      <c r="J767" s="25"/>
      <c r="K767" s="25"/>
      <c r="L767" s="25"/>
    </row>
    <row r="768" spans="1:32">
      <c r="B768" s="25"/>
    </row>
    <row r="769" spans="2:2">
      <c r="B769" s="25"/>
    </row>
    <row r="770" spans="2:2">
      <c r="B770" s="25"/>
    </row>
    <row r="771" spans="2:2">
      <c r="B771" s="25"/>
    </row>
    <row r="772" spans="2:2">
      <c r="B772" s="25"/>
    </row>
    <row r="773" spans="2:2">
      <c r="B773" s="25"/>
    </row>
    <row r="774" spans="2:2">
      <c r="B774" s="25"/>
    </row>
    <row r="775" spans="2:2">
      <c r="B775" s="25"/>
    </row>
    <row r="776" spans="2:2">
      <c r="B776" s="25"/>
    </row>
    <row r="777" spans="2:2">
      <c r="B777" s="25"/>
    </row>
    <row r="778" spans="2:2">
      <c r="B778" s="25"/>
    </row>
    <row r="779" spans="2:2">
      <c r="B779" s="25"/>
    </row>
    <row r="780" spans="2:2">
      <c r="B780" s="25"/>
    </row>
    <row r="781" spans="2:2">
      <c r="B781" s="25"/>
    </row>
    <row r="782" spans="2:2">
      <c r="B782" s="25"/>
    </row>
    <row r="783" spans="2:2">
      <c r="B783" s="25"/>
    </row>
    <row r="784" spans="2:2">
      <c r="B784" s="25"/>
    </row>
    <row r="785" spans="2:2">
      <c r="B785" s="25"/>
    </row>
    <row r="786" spans="2:2">
      <c r="B786" s="25"/>
    </row>
    <row r="787" spans="2:2">
      <c r="B787" s="25"/>
    </row>
    <row r="788" spans="2:2">
      <c r="B788" s="25"/>
    </row>
    <row r="789" spans="2:2">
      <c r="B789" s="25"/>
    </row>
    <row r="790" spans="2:2">
      <c r="B790" s="25"/>
    </row>
    <row r="791" spans="2:2">
      <c r="B791" s="25"/>
    </row>
    <row r="792" spans="2:2">
      <c r="B792" s="25"/>
    </row>
    <row r="793" spans="2:2">
      <c r="B793" s="25"/>
    </row>
    <row r="794" spans="2:2">
      <c r="B794" s="25"/>
    </row>
    <row r="795" spans="2:2">
      <c r="B795" s="25"/>
    </row>
    <row r="796" spans="2:2">
      <c r="B796" s="25"/>
    </row>
    <row r="797" spans="2:2">
      <c r="B797" s="25"/>
    </row>
    <row r="798" spans="2:2">
      <c r="B798" s="25"/>
    </row>
    <row r="799" spans="2:2">
      <c r="B799" s="25"/>
    </row>
    <row r="800" spans="2:2">
      <c r="B800" s="25"/>
    </row>
    <row r="801" spans="2:2">
      <c r="B801" s="25"/>
    </row>
    <row r="802" spans="2:2">
      <c r="B802" s="25"/>
    </row>
    <row r="803" spans="2:2">
      <c r="B803" s="25"/>
    </row>
    <row r="804" spans="2:2">
      <c r="B804" s="25"/>
    </row>
    <row r="805" spans="2:2">
      <c r="B805" s="25"/>
    </row>
    <row r="806" spans="2:2">
      <c r="B806" s="25"/>
    </row>
    <row r="807" spans="2:2">
      <c r="B807" s="25"/>
    </row>
    <row r="808" spans="2:2">
      <c r="B808" s="25"/>
    </row>
    <row r="809" spans="2:2">
      <c r="B809" s="25"/>
    </row>
    <row r="810" spans="2:2">
      <c r="B810" s="25"/>
    </row>
    <row r="811" spans="2:2">
      <c r="B811" s="25"/>
    </row>
    <row r="812" spans="2:2">
      <c r="B812" s="25"/>
    </row>
    <row r="813" spans="2:2">
      <c r="B813" s="25"/>
    </row>
    <row r="814" spans="2:2">
      <c r="B814" s="25"/>
    </row>
    <row r="815" spans="2:2">
      <c r="B815" s="25"/>
    </row>
    <row r="816" spans="2:2">
      <c r="B816" s="25"/>
    </row>
    <row r="817" spans="2:2">
      <c r="B817" s="25"/>
    </row>
    <row r="818" spans="2:2">
      <c r="B818" s="25"/>
    </row>
    <row r="819" spans="2:2">
      <c r="B819" s="25"/>
    </row>
    <row r="820" spans="2:2">
      <c r="B820" s="25"/>
    </row>
    <row r="821" spans="2:2">
      <c r="B821" s="25"/>
    </row>
    <row r="822" spans="2:2">
      <c r="B822" s="25"/>
    </row>
    <row r="823" spans="2:2">
      <c r="B823" s="25"/>
    </row>
    <row r="824" spans="2:2">
      <c r="B824" s="25"/>
    </row>
    <row r="825" spans="2:2">
      <c r="B825" s="25"/>
    </row>
    <row r="826" spans="2:2">
      <c r="B826" s="25"/>
    </row>
    <row r="827" spans="2:2">
      <c r="B827" s="25"/>
    </row>
    <row r="828" spans="2:2">
      <c r="B828" s="25"/>
    </row>
    <row r="829" spans="2:2">
      <c r="B829" s="25"/>
    </row>
    <row r="830" spans="2:2">
      <c r="B830" s="25"/>
    </row>
    <row r="831" spans="2:2">
      <c r="B831" s="25"/>
    </row>
    <row r="832" spans="2:2">
      <c r="B832" s="25"/>
    </row>
    <row r="833" spans="2:2">
      <c r="B833" s="25"/>
    </row>
    <row r="834" spans="2:2">
      <c r="B834" s="25"/>
    </row>
    <row r="835" spans="2:2">
      <c r="B835" s="25"/>
    </row>
    <row r="836" spans="2:2">
      <c r="B836" s="25"/>
    </row>
    <row r="837" spans="2:2">
      <c r="B837" s="25"/>
    </row>
    <row r="838" spans="2:2">
      <c r="B838" s="25"/>
    </row>
    <row r="839" spans="2:2">
      <c r="B839" s="25"/>
    </row>
    <row r="840" spans="2:2">
      <c r="B840" s="25"/>
    </row>
    <row r="841" spans="2:2">
      <c r="B841" s="25"/>
    </row>
    <row r="842" spans="2:2">
      <c r="B842" s="25"/>
    </row>
    <row r="843" spans="2:2">
      <c r="B843" s="25"/>
    </row>
    <row r="844" spans="2:2">
      <c r="B844" s="25"/>
    </row>
    <row r="845" spans="2:2">
      <c r="B845" s="25"/>
    </row>
    <row r="846" spans="2:2">
      <c r="B846" s="25"/>
    </row>
    <row r="847" spans="2:2">
      <c r="B847" s="25"/>
    </row>
    <row r="848" spans="2:2">
      <c r="B848" s="25"/>
    </row>
    <row r="849" spans="2:2">
      <c r="B849" s="25"/>
    </row>
    <row r="850" spans="2:2">
      <c r="B850" s="25"/>
    </row>
    <row r="851" spans="2:2">
      <c r="B851" s="25"/>
    </row>
    <row r="852" spans="2:2">
      <c r="B852" s="25"/>
    </row>
    <row r="853" spans="2:2">
      <c r="B853" s="25"/>
    </row>
    <row r="854" spans="2:2">
      <c r="B854" s="25"/>
    </row>
    <row r="855" spans="2:2">
      <c r="B855" s="25"/>
    </row>
    <row r="856" spans="2:2">
      <c r="B856" s="25"/>
    </row>
    <row r="857" spans="2:2">
      <c r="B857" s="25"/>
    </row>
    <row r="858" spans="2:2">
      <c r="B858" s="25"/>
    </row>
    <row r="859" spans="2:2">
      <c r="B859" s="25"/>
    </row>
    <row r="860" spans="2:2">
      <c r="B860" s="25"/>
    </row>
    <row r="861" spans="2:2">
      <c r="B861" s="25"/>
    </row>
    <row r="862" spans="2:2">
      <c r="B862" s="25"/>
    </row>
    <row r="863" spans="2:2">
      <c r="B863" s="25"/>
    </row>
    <row r="864" spans="2:2">
      <c r="B864" s="25"/>
    </row>
    <row r="865" spans="2:2">
      <c r="B865" s="25"/>
    </row>
    <row r="866" spans="2:2">
      <c r="B866" s="25"/>
    </row>
    <row r="867" spans="2:2">
      <c r="B867" s="25"/>
    </row>
    <row r="868" spans="2:2">
      <c r="B868" s="25"/>
    </row>
    <row r="869" spans="2:2">
      <c r="B869" s="25"/>
    </row>
    <row r="870" spans="2:2">
      <c r="B870" s="25"/>
    </row>
    <row r="871" spans="2:2">
      <c r="B871" s="25"/>
    </row>
    <row r="872" spans="2:2">
      <c r="B872" s="25"/>
    </row>
    <row r="873" spans="2:2">
      <c r="B873" s="25"/>
    </row>
    <row r="874" spans="2:2">
      <c r="B874" s="25"/>
    </row>
    <row r="875" spans="2:2">
      <c r="B875" s="25"/>
    </row>
    <row r="876" spans="2:2">
      <c r="B876" s="25"/>
    </row>
    <row r="877" spans="2:2">
      <c r="B877" s="25"/>
    </row>
    <row r="878" spans="2:2">
      <c r="B878" s="25"/>
    </row>
    <row r="879" spans="2:2">
      <c r="B879" s="25"/>
    </row>
    <row r="880" spans="2:2">
      <c r="B880" s="25"/>
    </row>
    <row r="881" spans="2:2">
      <c r="B881" s="25"/>
    </row>
    <row r="882" spans="2:2">
      <c r="B882" s="25"/>
    </row>
    <row r="883" spans="2:2">
      <c r="B883" s="25"/>
    </row>
    <row r="884" spans="2:2">
      <c r="B884" s="25"/>
    </row>
    <row r="885" spans="2:2">
      <c r="B885" s="25"/>
    </row>
    <row r="886" spans="2:2">
      <c r="B886" s="25"/>
    </row>
    <row r="887" spans="2:2">
      <c r="B887" s="25"/>
    </row>
    <row r="888" spans="2:2">
      <c r="B888" s="25"/>
    </row>
    <row r="889" spans="2:2">
      <c r="B889" s="25"/>
    </row>
    <row r="890" spans="2:2">
      <c r="B890" s="25"/>
    </row>
    <row r="891" spans="2:2">
      <c r="B891" s="25"/>
    </row>
    <row r="892" spans="2:2">
      <c r="B892" s="25"/>
    </row>
    <row r="893" spans="2:2">
      <c r="B893" s="25"/>
    </row>
    <row r="894" spans="2:2">
      <c r="B894" s="25"/>
    </row>
    <row r="895" spans="2:2">
      <c r="B895" s="25"/>
    </row>
    <row r="896" spans="2:2">
      <c r="B896" s="25"/>
    </row>
    <row r="897" spans="2:2">
      <c r="B897" s="25"/>
    </row>
    <row r="898" spans="2:2">
      <c r="B898" s="25"/>
    </row>
    <row r="899" spans="2:2">
      <c r="B899" s="25"/>
    </row>
    <row r="900" spans="2:2">
      <c r="B900" s="25"/>
    </row>
    <row r="901" spans="2:2">
      <c r="B901" s="25"/>
    </row>
    <row r="902" spans="2:2">
      <c r="B902" s="25"/>
    </row>
    <row r="903" spans="2:2">
      <c r="B903" s="25"/>
    </row>
    <row r="904" spans="2:2">
      <c r="B904" s="25"/>
    </row>
    <row r="905" spans="2:2">
      <c r="B905" s="25"/>
    </row>
    <row r="906" spans="2:2">
      <c r="B906" s="25"/>
    </row>
    <row r="907" spans="2:2">
      <c r="B907" s="25"/>
    </row>
    <row r="908" spans="2:2">
      <c r="B908" s="25"/>
    </row>
    <row r="909" spans="2:2">
      <c r="B909" s="25"/>
    </row>
    <row r="910" spans="2:2">
      <c r="B910" s="25"/>
    </row>
    <row r="911" spans="2:2">
      <c r="B911" s="25"/>
    </row>
    <row r="912" spans="2:2">
      <c r="B912" s="25"/>
    </row>
    <row r="913" spans="2:2">
      <c r="B913" s="25"/>
    </row>
    <row r="914" spans="2:2">
      <c r="B914" s="25"/>
    </row>
    <row r="915" spans="2:2">
      <c r="B915" s="25"/>
    </row>
    <row r="916" spans="2:2">
      <c r="B916" s="25"/>
    </row>
    <row r="917" spans="2:2">
      <c r="B917" s="25"/>
    </row>
    <row r="918" spans="2:2">
      <c r="B918" s="25"/>
    </row>
    <row r="919" spans="2:2">
      <c r="B919" s="25"/>
    </row>
    <row r="920" spans="2:2">
      <c r="B920" s="25"/>
    </row>
    <row r="921" spans="2:2">
      <c r="B921" s="25"/>
    </row>
    <row r="922" spans="2:2">
      <c r="B922" s="25"/>
    </row>
    <row r="923" spans="2:2">
      <c r="B923" s="25"/>
    </row>
    <row r="924" spans="2:2">
      <c r="B924" s="25"/>
    </row>
    <row r="925" spans="2:2">
      <c r="B925" s="25"/>
    </row>
    <row r="926" spans="2:2">
      <c r="B926" s="25"/>
    </row>
    <row r="927" spans="2:2">
      <c r="B927" s="25"/>
    </row>
    <row r="928" spans="2:2">
      <c r="B928" s="25"/>
    </row>
    <row r="929" spans="2:2">
      <c r="B929" s="25"/>
    </row>
    <row r="930" spans="2:2">
      <c r="B930" s="25"/>
    </row>
    <row r="931" spans="2:2">
      <c r="B931" s="25"/>
    </row>
    <row r="932" spans="2:2">
      <c r="B932" s="25"/>
    </row>
    <row r="933" spans="2:2">
      <c r="B933" s="25"/>
    </row>
    <row r="934" spans="2:2">
      <c r="B934" s="25"/>
    </row>
    <row r="935" spans="2:2">
      <c r="B935" s="25"/>
    </row>
    <row r="936" spans="2:2">
      <c r="B936" s="25"/>
    </row>
    <row r="937" spans="2:2">
      <c r="B937" s="25"/>
    </row>
    <row r="938" spans="2:2">
      <c r="B938" s="25"/>
    </row>
    <row r="939" spans="2:2">
      <c r="B939" s="25"/>
    </row>
    <row r="940" spans="2:2">
      <c r="B940" s="25"/>
    </row>
    <row r="941" spans="2:2">
      <c r="B941" s="25"/>
    </row>
    <row r="942" spans="2:2">
      <c r="B942" s="25"/>
    </row>
    <row r="943" spans="2:2">
      <c r="B943" s="25"/>
    </row>
    <row r="944" spans="2:2">
      <c r="B944" s="25"/>
    </row>
    <row r="945" spans="2:2">
      <c r="B945" s="25"/>
    </row>
    <row r="946" spans="2:2">
      <c r="B946" s="25"/>
    </row>
    <row r="947" spans="2:2">
      <c r="B947" s="25"/>
    </row>
    <row r="948" spans="2:2">
      <c r="B948" s="25"/>
    </row>
    <row r="949" spans="2:2">
      <c r="B949" s="25"/>
    </row>
    <row r="950" spans="2:2">
      <c r="B950" s="25"/>
    </row>
    <row r="951" spans="2:2">
      <c r="B951" s="25"/>
    </row>
    <row r="952" spans="2:2">
      <c r="B952" s="25"/>
    </row>
    <row r="953" spans="2:2">
      <c r="B953" s="25"/>
    </row>
    <row r="954" spans="2:2">
      <c r="B954" s="25"/>
    </row>
    <row r="955" spans="2:2">
      <c r="B955" s="25"/>
    </row>
    <row r="956" spans="2:2">
      <c r="B956" s="25"/>
    </row>
    <row r="957" spans="2:2">
      <c r="B957" s="25"/>
    </row>
    <row r="958" spans="2:2">
      <c r="B958" s="25"/>
    </row>
    <row r="959" spans="2:2">
      <c r="B959" s="25"/>
    </row>
    <row r="960" spans="2:2">
      <c r="B960" s="25"/>
    </row>
    <row r="961" spans="2:2">
      <c r="B961" s="25"/>
    </row>
    <row r="962" spans="2:2">
      <c r="B962" s="25"/>
    </row>
    <row r="963" spans="2:2">
      <c r="B963" s="25"/>
    </row>
    <row r="964" spans="2:2">
      <c r="B964" s="25"/>
    </row>
    <row r="965" spans="2:2">
      <c r="B965" s="25"/>
    </row>
    <row r="966" spans="2:2">
      <c r="B966" s="25"/>
    </row>
    <row r="967" spans="2:2">
      <c r="B967" s="25"/>
    </row>
    <row r="968" spans="2:2">
      <c r="B968" s="25"/>
    </row>
    <row r="969" spans="2:2">
      <c r="B969" s="25"/>
    </row>
    <row r="970" spans="2:2">
      <c r="B970" s="25"/>
    </row>
    <row r="971" spans="2:2">
      <c r="B971" s="25"/>
    </row>
    <row r="972" spans="2:2">
      <c r="B972" s="25"/>
    </row>
    <row r="973" spans="2:2">
      <c r="B973" s="25"/>
    </row>
    <row r="974" spans="2:2">
      <c r="B974" s="25"/>
    </row>
    <row r="975" spans="2:2">
      <c r="B975" s="25"/>
    </row>
    <row r="976" spans="2:2">
      <c r="B976" s="25"/>
    </row>
    <row r="977" spans="2:2">
      <c r="B977" s="25"/>
    </row>
    <row r="978" spans="2:2">
      <c r="B978" s="25"/>
    </row>
    <row r="979" spans="2:2">
      <c r="B979" s="25"/>
    </row>
    <row r="980" spans="2:2">
      <c r="B980" s="25"/>
    </row>
    <row r="981" spans="2:2">
      <c r="B981" s="25"/>
    </row>
    <row r="982" spans="2:2">
      <c r="B982" s="25"/>
    </row>
    <row r="983" spans="2:2">
      <c r="B983" s="25"/>
    </row>
    <row r="984" spans="2:2">
      <c r="B984" s="25"/>
    </row>
    <row r="985" spans="2:2">
      <c r="B985" s="25"/>
    </row>
    <row r="986" spans="2:2">
      <c r="B986" s="25"/>
    </row>
    <row r="987" spans="2:2">
      <c r="B987" s="25"/>
    </row>
    <row r="988" spans="2:2">
      <c r="B988" s="25"/>
    </row>
    <row r="989" spans="2:2">
      <c r="B989" s="25"/>
    </row>
    <row r="990" spans="2:2">
      <c r="B990" s="25"/>
    </row>
    <row r="991" spans="2:2">
      <c r="B991" s="25"/>
    </row>
    <row r="992" spans="2:2">
      <c r="B992" s="25"/>
    </row>
    <row r="993" spans="2:2">
      <c r="B993" s="25"/>
    </row>
    <row r="994" spans="2:2">
      <c r="B994" s="25"/>
    </row>
    <row r="995" spans="2:2">
      <c r="B995" s="25"/>
    </row>
    <row r="996" spans="2:2">
      <c r="B996" s="25"/>
    </row>
    <row r="997" spans="2:2">
      <c r="B997" s="25"/>
    </row>
    <row r="998" spans="2:2">
      <c r="B998" s="25"/>
    </row>
    <row r="999" spans="2:2">
      <c r="B999" s="25"/>
    </row>
    <row r="1000" spans="2:2">
      <c r="B1000" s="25"/>
    </row>
    <row r="1001" spans="2:2">
      <c r="B1001" s="25"/>
    </row>
    <row r="1002" spans="2:2">
      <c r="B1002" s="25"/>
    </row>
    <row r="1003" spans="2:2">
      <c r="B1003" s="25"/>
    </row>
    <row r="1004" spans="2:2">
      <c r="B1004" s="25"/>
    </row>
    <row r="1005" spans="2:2">
      <c r="B1005" s="25"/>
    </row>
    <row r="1006" spans="2:2">
      <c r="B1006" s="25"/>
    </row>
    <row r="1007" spans="2:2">
      <c r="B1007" s="25"/>
    </row>
    <row r="1008" spans="2:2">
      <c r="B1008" s="25"/>
    </row>
    <row r="1009" spans="2:2">
      <c r="B1009" s="25"/>
    </row>
    <row r="1010" spans="2:2">
      <c r="B1010" s="25"/>
    </row>
    <row r="1011" spans="2:2">
      <c r="B1011" s="25"/>
    </row>
    <row r="1012" spans="2:2">
      <c r="B1012" s="25"/>
    </row>
    <row r="1013" spans="2:2">
      <c r="B1013" s="25"/>
    </row>
    <row r="1014" spans="2:2">
      <c r="B1014" s="25"/>
    </row>
    <row r="1015" spans="2:2">
      <c r="B1015" s="25"/>
    </row>
    <row r="1016" spans="2:2">
      <c r="B1016" s="25"/>
    </row>
    <row r="1017" spans="2:2">
      <c r="B1017" s="25"/>
    </row>
    <row r="1018" spans="2:2">
      <c r="B1018" s="25"/>
    </row>
    <row r="1019" spans="2:2">
      <c r="B1019" s="25"/>
    </row>
    <row r="1020" spans="2:2">
      <c r="B1020" s="25"/>
    </row>
    <row r="1021" spans="2:2">
      <c r="B1021" s="25"/>
    </row>
    <row r="1022" spans="2:2">
      <c r="B1022" s="25"/>
    </row>
    <row r="1023" spans="2:2">
      <c r="B1023" s="25"/>
    </row>
    <row r="1024" spans="2:2">
      <c r="B1024" s="25"/>
    </row>
    <row r="1025" spans="2:2">
      <c r="B1025" s="25"/>
    </row>
    <row r="1026" spans="2:2">
      <c r="B1026" s="25"/>
    </row>
    <row r="1027" spans="2:2">
      <c r="B1027" s="25"/>
    </row>
    <row r="1028" spans="2:2">
      <c r="B1028" s="25"/>
    </row>
    <row r="1029" spans="2:2">
      <c r="B1029" s="25"/>
    </row>
    <row r="1030" spans="2:2">
      <c r="B1030" s="25"/>
    </row>
    <row r="1031" spans="2:2">
      <c r="B1031" s="25"/>
    </row>
    <row r="1032" spans="2:2">
      <c r="B1032" s="25"/>
    </row>
    <row r="1033" spans="2:2">
      <c r="B1033" s="25"/>
    </row>
    <row r="1034" spans="2:2">
      <c r="B1034" s="25"/>
    </row>
    <row r="1035" spans="2:2">
      <c r="B1035" s="25"/>
    </row>
    <row r="1036" spans="2:2">
      <c r="B1036" s="25"/>
    </row>
    <row r="1037" spans="2:2">
      <c r="B1037" s="25"/>
    </row>
    <row r="1038" spans="2:2">
      <c r="B1038" s="25"/>
    </row>
    <row r="1039" spans="2:2">
      <c r="B1039" s="25"/>
    </row>
    <row r="1040" spans="2:2">
      <c r="B1040" s="25"/>
    </row>
    <row r="1041" spans="2:2">
      <c r="B1041" s="25"/>
    </row>
    <row r="1042" spans="2:2">
      <c r="B1042" s="25"/>
    </row>
    <row r="1043" spans="2:2">
      <c r="B1043" s="25"/>
    </row>
    <row r="1044" spans="2:2">
      <c r="B1044" s="25"/>
    </row>
    <row r="1045" spans="2:2">
      <c r="B1045" s="25"/>
    </row>
    <row r="1046" spans="2:2">
      <c r="B1046" s="25"/>
    </row>
    <row r="1047" spans="2:2">
      <c r="B1047" s="25"/>
    </row>
    <row r="1048" spans="2:2">
      <c r="B1048" s="25"/>
    </row>
    <row r="1049" spans="2:2">
      <c r="B1049" s="25"/>
    </row>
    <row r="1050" spans="2:2">
      <c r="B1050" s="25"/>
    </row>
    <row r="1051" spans="2:2">
      <c r="B1051" s="25"/>
    </row>
    <row r="1052" spans="2:2">
      <c r="B1052" s="25"/>
    </row>
    <row r="1053" spans="2:2">
      <c r="B1053" s="25"/>
    </row>
    <row r="1054" spans="2:2">
      <c r="B1054" s="25"/>
    </row>
    <row r="1055" spans="2:2">
      <c r="B1055" s="25"/>
    </row>
    <row r="1056" spans="2:2">
      <c r="B1056" s="25"/>
    </row>
    <row r="1057" spans="2:2">
      <c r="B1057" s="25"/>
    </row>
    <row r="1058" spans="2:2">
      <c r="B1058" s="25"/>
    </row>
    <row r="1059" spans="2:2">
      <c r="B1059" s="25"/>
    </row>
    <row r="1060" spans="2:2">
      <c r="B1060" s="25"/>
    </row>
    <row r="1061" spans="2:2">
      <c r="B1061" s="25"/>
    </row>
    <row r="1062" spans="2:2">
      <c r="B1062" s="25"/>
    </row>
    <row r="1063" spans="2:2">
      <c r="B1063" s="25"/>
    </row>
    <row r="1064" spans="2:2">
      <c r="B1064" s="25"/>
    </row>
    <row r="1065" spans="2:2">
      <c r="B1065" s="25"/>
    </row>
    <row r="1066" spans="2:2">
      <c r="B1066" s="25"/>
    </row>
    <row r="1067" spans="2:2">
      <c r="B1067" s="25"/>
    </row>
    <row r="1068" spans="2:2">
      <c r="B1068" s="25"/>
    </row>
    <row r="1069" spans="2:2">
      <c r="B1069" s="25"/>
    </row>
    <row r="1070" spans="2:2">
      <c r="B1070" s="25"/>
    </row>
    <row r="1071" spans="2:2">
      <c r="B1071" s="25"/>
    </row>
    <row r="1072" spans="2:2">
      <c r="B1072" s="25"/>
    </row>
    <row r="1073" spans="2:2">
      <c r="B1073" s="25"/>
    </row>
    <row r="1074" spans="2:2">
      <c r="B1074" s="25"/>
    </row>
    <row r="1075" spans="2:2">
      <c r="B1075" s="25"/>
    </row>
    <row r="1076" spans="2:2">
      <c r="B1076" s="25"/>
    </row>
    <row r="1077" spans="2:2">
      <c r="B1077" s="25"/>
    </row>
    <row r="1078" spans="2:2">
      <c r="B1078" s="25"/>
    </row>
    <row r="1079" spans="2:2">
      <c r="B1079" s="25"/>
    </row>
    <row r="1080" spans="2:2">
      <c r="B1080" s="25"/>
    </row>
    <row r="1081" spans="2:2">
      <c r="B1081" s="25"/>
    </row>
    <row r="1082" spans="2:2">
      <c r="B1082" s="25"/>
    </row>
    <row r="1083" spans="2:2">
      <c r="B1083" s="25"/>
    </row>
    <row r="1084" spans="2:2">
      <c r="B1084" s="25"/>
    </row>
    <row r="1085" spans="2:2">
      <c r="B1085" s="25"/>
    </row>
    <row r="1086" spans="2:2">
      <c r="B1086" s="25"/>
    </row>
    <row r="1087" spans="2:2">
      <c r="B1087" s="25"/>
    </row>
    <row r="1088" spans="2:2">
      <c r="B1088" s="25"/>
    </row>
    <row r="1089" spans="2:2">
      <c r="B1089" s="25"/>
    </row>
    <row r="1090" spans="2:2">
      <c r="B1090" s="25"/>
    </row>
    <row r="1091" spans="2:2">
      <c r="B1091" s="25"/>
    </row>
    <row r="1092" spans="2:2">
      <c r="B1092" s="25"/>
    </row>
    <row r="1093" spans="2:2">
      <c r="B1093" s="25"/>
    </row>
    <row r="1094" spans="2:2">
      <c r="B1094" s="25"/>
    </row>
    <row r="1095" spans="2:2">
      <c r="B1095" s="25"/>
    </row>
    <row r="1096" spans="2:2">
      <c r="B1096" s="25"/>
    </row>
    <row r="1097" spans="2:2">
      <c r="B1097" s="25"/>
    </row>
    <row r="1098" spans="2:2">
      <c r="B1098" s="25"/>
    </row>
    <row r="1099" spans="2:2">
      <c r="B1099" s="25"/>
    </row>
    <row r="1100" spans="2:2">
      <c r="B1100" s="25"/>
    </row>
    <row r="1101" spans="2:2">
      <c r="B1101" s="25"/>
    </row>
    <row r="1102" spans="2:2">
      <c r="B1102" s="25"/>
    </row>
    <row r="1103" spans="2:2">
      <c r="B1103" s="25"/>
    </row>
    <row r="1104" spans="2:2">
      <c r="B1104" s="25"/>
    </row>
    <row r="1105" spans="2:2">
      <c r="B1105" s="25"/>
    </row>
    <row r="1106" spans="2:2">
      <c r="B1106" s="25"/>
    </row>
    <row r="1107" spans="2:2">
      <c r="B1107" s="25"/>
    </row>
    <row r="1108" spans="2:2">
      <c r="B1108" s="25"/>
    </row>
    <row r="1109" spans="2:2">
      <c r="B1109" s="25"/>
    </row>
    <row r="1110" spans="2:2">
      <c r="B1110" s="25"/>
    </row>
    <row r="1111" spans="2:2">
      <c r="B1111" s="25"/>
    </row>
    <row r="1112" spans="2:2">
      <c r="B1112" s="25"/>
    </row>
    <row r="1113" spans="2:2">
      <c r="B1113" s="25"/>
    </row>
    <row r="1114" spans="2:2">
      <c r="B1114" s="25"/>
    </row>
    <row r="1115" spans="2:2">
      <c r="B1115" s="25"/>
    </row>
    <row r="1116" spans="2:2">
      <c r="B1116" s="25"/>
    </row>
    <row r="1117" spans="2:2">
      <c r="B1117" s="25"/>
    </row>
    <row r="1118" spans="2:2">
      <c r="B1118" s="25"/>
    </row>
    <row r="1119" spans="2:2">
      <c r="B1119" s="25"/>
    </row>
    <row r="1120" spans="2:2">
      <c r="B1120" s="25"/>
    </row>
    <row r="1121" spans="2:2">
      <c r="B1121" s="25"/>
    </row>
    <row r="1122" spans="2:2">
      <c r="B1122" s="25"/>
    </row>
    <row r="1123" spans="2:2">
      <c r="B1123" s="25"/>
    </row>
    <row r="1124" spans="2:2">
      <c r="B1124" s="25"/>
    </row>
    <row r="1125" spans="2:2">
      <c r="B1125" s="25"/>
    </row>
    <row r="1126" spans="2:2">
      <c r="B1126" s="25"/>
    </row>
    <row r="1127" spans="2:2">
      <c r="B1127" s="25"/>
    </row>
    <row r="1128" spans="2:2">
      <c r="B1128" s="25"/>
    </row>
    <row r="1129" spans="2:2">
      <c r="B1129" s="25"/>
    </row>
    <row r="1130" spans="2:2">
      <c r="B1130" s="25"/>
    </row>
    <row r="1131" spans="2:2">
      <c r="B1131" s="25"/>
    </row>
    <row r="1132" spans="2:2">
      <c r="B1132" s="25"/>
    </row>
    <row r="1133" spans="2:2">
      <c r="B1133" s="25"/>
    </row>
    <row r="1134" spans="2:2">
      <c r="B1134" s="25"/>
    </row>
    <row r="1135" spans="2:2">
      <c r="B1135" s="25"/>
    </row>
    <row r="1136" spans="2:2">
      <c r="B1136" s="25"/>
    </row>
    <row r="1137" spans="2:2">
      <c r="B1137" s="25"/>
    </row>
    <row r="1138" spans="2:2">
      <c r="B1138" s="25"/>
    </row>
    <row r="1139" spans="2:2">
      <c r="B1139" s="25"/>
    </row>
    <row r="1140" spans="2:2">
      <c r="B1140" s="25"/>
    </row>
    <row r="1141" spans="2:2">
      <c r="B1141" s="25"/>
    </row>
    <row r="1142" spans="2:2">
      <c r="B1142" s="25"/>
    </row>
    <row r="1143" spans="2:2">
      <c r="B1143" s="25"/>
    </row>
    <row r="1144" spans="2:2">
      <c r="B1144" s="25"/>
    </row>
    <row r="1145" spans="2:2">
      <c r="B1145" s="25"/>
    </row>
    <row r="1146" spans="2:2">
      <c r="B1146" s="25"/>
    </row>
    <row r="1147" spans="2:2">
      <c r="B1147" s="25"/>
    </row>
    <row r="1148" spans="2:2">
      <c r="B1148" s="25"/>
    </row>
    <row r="1149" spans="2:2">
      <c r="B1149" s="25"/>
    </row>
    <row r="1150" spans="2:2">
      <c r="B1150" s="25"/>
    </row>
    <row r="1151" spans="2:2">
      <c r="B1151" s="25"/>
    </row>
    <row r="1152" spans="2:2">
      <c r="B1152" s="25"/>
    </row>
    <row r="1153" spans="2:2">
      <c r="B1153" s="25"/>
    </row>
    <row r="1154" spans="2:2">
      <c r="B1154" s="25"/>
    </row>
    <row r="1155" spans="2:2">
      <c r="B1155" s="25"/>
    </row>
    <row r="1156" spans="2:2">
      <c r="B1156" s="25"/>
    </row>
    <row r="1157" spans="2:2">
      <c r="B1157" s="25"/>
    </row>
    <row r="1158" spans="2:2">
      <c r="B1158" s="25"/>
    </row>
    <row r="1159" spans="2:2">
      <c r="B1159" s="25"/>
    </row>
    <row r="1160" spans="2:2">
      <c r="B1160" s="25"/>
    </row>
    <row r="1161" spans="2:2">
      <c r="B1161" s="25"/>
    </row>
    <row r="1162" spans="2:2">
      <c r="B1162" s="25"/>
    </row>
    <row r="1163" spans="2:2">
      <c r="B1163" s="25"/>
    </row>
    <row r="1164" spans="2:2">
      <c r="B1164" s="25"/>
    </row>
    <row r="1165" spans="2:2">
      <c r="B1165" s="25"/>
    </row>
    <row r="1166" spans="2:2">
      <c r="B1166" s="25"/>
    </row>
    <row r="1167" spans="2:2">
      <c r="B1167" s="25"/>
    </row>
    <row r="1168" spans="2:2">
      <c r="B1168" s="25"/>
    </row>
    <row r="1169" spans="2:2">
      <c r="B1169" s="25"/>
    </row>
    <row r="1170" spans="2:2">
      <c r="B1170" s="25"/>
    </row>
    <row r="1171" spans="2:2">
      <c r="B1171" s="25"/>
    </row>
    <row r="1172" spans="2:2">
      <c r="B1172" s="25"/>
    </row>
    <row r="1173" spans="2:2">
      <c r="B1173" s="25"/>
    </row>
    <row r="1174" spans="2:2">
      <c r="B1174" s="25"/>
    </row>
    <row r="1175" spans="2:2">
      <c r="B1175" s="25"/>
    </row>
    <row r="1176" spans="2:2">
      <c r="B1176" s="25"/>
    </row>
    <row r="1177" spans="2:2">
      <c r="B1177" s="25"/>
    </row>
    <row r="1178" spans="2:2">
      <c r="B1178" s="25"/>
    </row>
    <row r="1179" spans="2:2">
      <c r="B1179" s="25"/>
    </row>
    <row r="1180" spans="2:2">
      <c r="B1180" s="25"/>
    </row>
    <row r="1181" spans="2:2">
      <c r="B1181" s="25"/>
    </row>
    <row r="1182" spans="2:2">
      <c r="B1182" s="25"/>
    </row>
    <row r="1183" spans="2:2">
      <c r="B1183" s="25"/>
    </row>
    <row r="1184" spans="2:2">
      <c r="B1184" s="25"/>
    </row>
    <row r="1185" spans="2:2">
      <c r="B1185" s="25"/>
    </row>
    <row r="1186" spans="2:2">
      <c r="B1186" s="25"/>
    </row>
    <row r="1187" spans="2:2">
      <c r="B1187" s="25"/>
    </row>
    <row r="1188" spans="2:2">
      <c r="B1188" s="25"/>
    </row>
    <row r="1189" spans="2:2">
      <c r="B1189" s="25"/>
    </row>
    <row r="1190" spans="2:2">
      <c r="B1190" s="25"/>
    </row>
    <row r="1191" spans="2:2">
      <c r="B1191" s="25"/>
    </row>
    <row r="1192" spans="2:2">
      <c r="B1192" s="25"/>
    </row>
    <row r="1193" spans="2:2">
      <c r="B1193" s="25"/>
    </row>
    <row r="1194" spans="2:2">
      <c r="B1194" s="25"/>
    </row>
    <row r="1195" spans="2:2">
      <c r="B1195" s="25"/>
    </row>
    <row r="1196" spans="2:2">
      <c r="B1196" s="25"/>
    </row>
    <row r="1197" spans="2:2">
      <c r="B1197" s="25"/>
    </row>
    <row r="1198" spans="2:2">
      <c r="B1198" s="25"/>
    </row>
    <row r="1199" spans="2:2">
      <c r="B1199" s="25"/>
    </row>
    <row r="1200" spans="2:2">
      <c r="B1200" s="25"/>
    </row>
    <row r="1201" spans="2:2">
      <c r="B1201" s="25"/>
    </row>
    <row r="1202" spans="2:2">
      <c r="B1202" s="25"/>
    </row>
    <row r="1203" spans="2:2">
      <c r="B1203" s="25"/>
    </row>
    <row r="1204" spans="2:2">
      <c r="B1204" s="25"/>
    </row>
    <row r="1205" spans="2:2">
      <c r="B1205" s="25"/>
    </row>
    <row r="1206" spans="2:2">
      <c r="B1206" s="25"/>
    </row>
    <row r="1207" spans="2:2">
      <c r="B1207" s="25"/>
    </row>
    <row r="1208" spans="2:2">
      <c r="B1208" s="25"/>
    </row>
    <row r="1209" spans="2:2">
      <c r="B1209" s="25"/>
    </row>
    <row r="1210" spans="2:2">
      <c r="B1210" s="25"/>
    </row>
    <row r="1211" spans="2:2">
      <c r="B1211" s="25"/>
    </row>
    <row r="1212" spans="2:2">
      <c r="B1212" s="25"/>
    </row>
    <row r="1213" spans="2:2">
      <c r="B1213" s="25"/>
    </row>
    <row r="1214" spans="2:2">
      <c r="B1214" s="25"/>
    </row>
    <row r="1215" spans="2:2">
      <c r="B1215" s="25"/>
    </row>
    <row r="1216" spans="2:2">
      <c r="B1216" s="25"/>
    </row>
    <row r="1217" spans="2:2">
      <c r="B1217" s="25"/>
    </row>
    <row r="1218" spans="2:2">
      <c r="B1218" s="25"/>
    </row>
    <row r="1219" spans="2:2">
      <c r="B1219" s="25"/>
    </row>
    <row r="1220" spans="2:2">
      <c r="B1220" s="25"/>
    </row>
    <row r="1221" spans="2:2">
      <c r="B1221" s="25"/>
    </row>
    <row r="1222" spans="2:2">
      <c r="B1222" s="25"/>
    </row>
    <row r="1223" spans="2:2">
      <c r="B1223" s="25"/>
    </row>
    <row r="1224" spans="2:2">
      <c r="B1224" s="25"/>
    </row>
    <row r="1225" spans="2:2">
      <c r="B1225" s="25"/>
    </row>
    <row r="1226" spans="2:2">
      <c r="B1226" s="25"/>
    </row>
    <row r="1227" spans="2:2">
      <c r="B1227" s="25"/>
    </row>
    <row r="1228" spans="2:2">
      <c r="B1228" s="25"/>
    </row>
    <row r="1229" spans="2:2">
      <c r="B1229" s="25"/>
    </row>
    <row r="1230" spans="2:2">
      <c r="B1230" s="25"/>
    </row>
    <row r="1231" spans="2:2">
      <c r="B1231" s="25"/>
    </row>
    <row r="1232" spans="2:2">
      <c r="B1232" s="25"/>
    </row>
    <row r="1233" spans="2:2">
      <c r="B1233" s="25"/>
    </row>
    <row r="1234" spans="2:2">
      <c r="B1234" s="25"/>
    </row>
    <row r="1235" spans="2:2">
      <c r="B1235" s="25"/>
    </row>
    <row r="1236" spans="2:2">
      <c r="B1236" s="25"/>
    </row>
    <row r="1237" spans="2:2">
      <c r="B1237" s="25"/>
    </row>
    <row r="1238" spans="2:2">
      <c r="B1238" s="25"/>
    </row>
    <row r="1239" spans="2:2">
      <c r="B1239" s="25"/>
    </row>
    <row r="1240" spans="2:2">
      <c r="B1240" s="25"/>
    </row>
    <row r="1241" spans="2:2">
      <c r="B1241" s="25"/>
    </row>
    <row r="1242" spans="2:2">
      <c r="B1242" s="25"/>
    </row>
    <row r="1243" spans="2:2">
      <c r="B1243" s="25"/>
    </row>
    <row r="1244" spans="2:2">
      <c r="B1244" s="25"/>
    </row>
    <row r="1245" spans="2:2">
      <c r="B1245" s="25"/>
    </row>
    <row r="1246" spans="2:2">
      <c r="B1246" s="25"/>
    </row>
    <row r="1247" spans="2:2">
      <c r="B1247" s="25"/>
    </row>
    <row r="1248" spans="2:2">
      <c r="B1248" s="25"/>
    </row>
    <row r="1249" spans="2:2">
      <c r="B1249" s="25"/>
    </row>
    <row r="1250" spans="2:2">
      <c r="B1250" s="25"/>
    </row>
    <row r="1251" spans="2:2">
      <c r="B1251" s="25"/>
    </row>
    <row r="1252" spans="2:2">
      <c r="B1252" s="25"/>
    </row>
    <row r="1253" spans="2:2">
      <c r="B1253" s="25"/>
    </row>
    <row r="1254" spans="2:2">
      <c r="B1254" s="25"/>
    </row>
    <row r="1255" spans="2:2">
      <c r="B1255" s="25"/>
    </row>
    <row r="1256" spans="2:2">
      <c r="B1256" s="25"/>
    </row>
    <row r="1257" spans="2:2">
      <c r="B1257" s="25"/>
    </row>
    <row r="1258" spans="2:2">
      <c r="B1258" s="25"/>
    </row>
    <row r="1259" spans="2:2">
      <c r="B1259" s="25"/>
    </row>
    <row r="1260" spans="2:2">
      <c r="B1260" s="25"/>
    </row>
    <row r="1261" spans="2:2">
      <c r="B1261" s="25"/>
    </row>
    <row r="1262" spans="2:2">
      <c r="B1262" s="25"/>
    </row>
    <row r="1263" spans="2:2">
      <c r="B1263" s="25"/>
    </row>
    <row r="1264" spans="2:2">
      <c r="B1264" s="25"/>
    </row>
    <row r="1265" spans="2:2">
      <c r="B1265" s="25"/>
    </row>
    <row r="1266" spans="2:2">
      <c r="B1266" s="25"/>
    </row>
    <row r="1267" spans="2:2">
      <c r="B1267" s="25"/>
    </row>
    <row r="1268" spans="2:2">
      <c r="B1268" s="25"/>
    </row>
    <row r="1269" spans="2:2">
      <c r="B1269" s="25"/>
    </row>
    <row r="1270" spans="2:2">
      <c r="B1270" s="25"/>
    </row>
    <row r="1271" spans="2:2">
      <c r="B1271" s="25"/>
    </row>
    <row r="1272" spans="2:2">
      <c r="B1272" s="25"/>
    </row>
    <row r="1273" spans="2:2">
      <c r="B1273" s="25"/>
    </row>
    <row r="1274" spans="2:2">
      <c r="B1274" s="25"/>
    </row>
    <row r="1275" spans="2:2">
      <c r="B1275" s="25"/>
    </row>
    <row r="1276" spans="2:2">
      <c r="B1276" s="25"/>
    </row>
    <row r="1277" spans="2:2">
      <c r="B1277" s="25"/>
    </row>
    <row r="1278" spans="2:2">
      <c r="B1278" s="25"/>
    </row>
    <row r="1279" spans="2:2">
      <c r="B1279" s="25"/>
    </row>
    <row r="1280" spans="2:2">
      <c r="B1280" s="25"/>
    </row>
    <row r="1281" spans="2:2">
      <c r="B1281" s="25"/>
    </row>
    <row r="1282" spans="2:2">
      <c r="B1282" s="25"/>
    </row>
    <row r="1283" spans="2:2">
      <c r="B1283" s="25"/>
    </row>
    <row r="1284" spans="2:2">
      <c r="B1284" s="25"/>
    </row>
    <row r="1285" spans="2:2">
      <c r="B1285" s="25"/>
    </row>
    <row r="1286" spans="2:2">
      <c r="B1286" s="25"/>
    </row>
    <row r="1287" spans="2:2">
      <c r="B1287" s="25"/>
    </row>
    <row r="1288" spans="2:2">
      <c r="B1288" s="25"/>
    </row>
    <row r="1289" spans="2:2">
      <c r="B1289" s="25"/>
    </row>
    <row r="1290" spans="2:2">
      <c r="B1290" s="25"/>
    </row>
    <row r="1291" spans="2:2">
      <c r="B1291" s="25"/>
    </row>
    <row r="1292" spans="2:2">
      <c r="B1292" s="25"/>
    </row>
    <row r="1293" spans="2:2">
      <c r="B1293" s="25"/>
    </row>
    <row r="1294" spans="2:2">
      <c r="B1294" s="25"/>
    </row>
    <row r="1295" spans="2:2">
      <c r="B1295" s="25"/>
    </row>
    <row r="1296" spans="2:2">
      <c r="B1296" s="25"/>
    </row>
    <row r="1297" spans="2:2">
      <c r="B1297" s="25"/>
    </row>
    <row r="1298" spans="2:2">
      <c r="B1298" s="25"/>
    </row>
    <row r="1299" spans="2:2">
      <c r="B1299" s="25"/>
    </row>
    <row r="1300" spans="2:2">
      <c r="B1300" s="25"/>
    </row>
    <row r="1301" spans="2:2">
      <c r="B1301" s="25"/>
    </row>
    <row r="1302" spans="2:2">
      <c r="B1302" s="25"/>
    </row>
    <row r="1303" spans="2:2">
      <c r="B1303" s="25"/>
    </row>
    <row r="1304" spans="2:2">
      <c r="B1304" s="25"/>
    </row>
    <row r="1305" spans="2:2">
      <c r="B1305" s="25"/>
    </row>
    <row r="1306" spans="2:2">
      <c r="B1306" s="25"/>
    </row>
    <row r="1307" spans="2:2">
      <c r="B1307" s="25"/>
    </row>
    <row r="1308" spans="2:2">
      <c r="B1308" s="25"/>
    </row>
    <row r="1309" spans="2:2">
      <c r="B1309" s="25"/>
    </row>
    <row r="1310" spans="2:2">
      <c r="B1310" s="25"/>
    </row>
    <row r="1311" spans="2:2">
      <c r="B1311" s="25"/>
    </row>
    <row r="1312" spans="2:2">
      <c r="B1312" s="25"/>
    </row>
    <row r="1313" spans="2:2">
      <c r="B1313" s="25"/>
    </row>
    <row r="1314" spans="2:2">
      <c r="B1314" s="25"/>
    </row>
    <row r="1315" spans="2:2">
      <c r="B1315" s="25"/>
    </row>
    <row r="1316" spans="2:2">
      <c r="B1316" s="25"/>
    </row>
    <row r="1317" spans="2:2">
      <c r="B1317" s="25"/>
    </row>
    <row r="1318" spans="2:2">
      <c r="B1318" s="25"/>
    </row>
    <row r="1319" spans="2:2">
      <c r="B1319" s="25"/>
    </row>
    <row r="1320" spans="2:2">
      <c r="B1320" s="25"/>
    </row>
    <row r="1321" spans="2:2">
      <c r="B1321" s="25"/>
    </row>
    <row r="1322" spans="2:2">
      <c r="B1322" s="25"/>
    </row>
    <row r="1323" spans="2:2">
      <c r="B1323" s="25"/>
    </row>
    <row r="1324" spans="2:2">
      <c r="B1324" s="25"/>
    </row>
    <row r="1325" spans="2:2">
      <c r="B1325" s="25"/>
    </row>
    <row r="1326" spans="2:2">
      <c r="B1326" s="25"/>
    </row>
    <row r="1327" spans="2:2">
      <c r="B1327" s="25"/>
    </row>
    <row r="1328" spans="2:2">
      <c r="B1328" s="25"/>
    </row>
    <row r="1329" spans="2:2">
      <c r="B1329" s="25"/>
    </row>
    <row r="1330" spans="2:2">
      <c r="B1330" s="25"/>
    </row>
    <row r="1331" spans="2:2">
      <c r="B1331" s="25"/>
    </row>
    <row r="1332" spans="2:2">
      <c r="B1332" s="25"/>
    </row>
    <row r="1333" spans="2:2">
      <c r="B1333" s="25"/>
    </row>
    <row r="1334" spans="2:2">
      <c r="B1334" s="25"/>
    </row>
    <row r="1335" spans="2:2">
      <c r="B1335" s="25"/>
    </row>
    <row r="1336" spans="2:2">
      <c r="B1336" s="25"/>
    </row>
    <row r="1337" spans="2:2">
      <c r="B1337" s="25"/>
    </row>
    <row r="1338" spans="2:2">
      <c r="B1338" s="25"/>
    </row>
    <row r="1339" spans="2:2">
      <c r="B1339" s="25"/>
    </row>
    <row r="1340" spans="2:2">
      <c r="B1340" s="25"/>
    </row>
    <row r="1341" spans="2:2">
      <c r="B1341" s="25"/>
    </row>
    <row r="1342" spans="2:2">
      <c r="B1342" s="25"/>
    </row>
    <row r="1343" spans="2:2">
      <c r="B1343" s="25"/>
    </row>
    <row r="1344" spans="2:2">
      <c r="B1344" s="25"/>
    </row>
    <row r="1345" spans="2:2">
      <c r="B1345" s="25"/>
    </row>
    <row r="1346" spans="2:2">
      <c r="B1346" s="25"/>
    </row>
    <row r="1347" spans="2:2">
      <c r="B1347" s="25"/>
    </row>
    <row r="1348" spans="2:2">
      <c r="B1348" s="25"/>
    </row>
    <row r="1349" spans="2:2">
      <c r="B1349" s="25"/>
    </row>
    <row r="1350" spans="2:2">
      <c r="B1350" s="25"/>
    </row>
    <row r="1351" spans="2:2">
      <c r="B1351" s="25"/>
    </row>
    <row r="1352" spans="2:2">
      <c r="B1352" s="25"/>
    </row>
    <row r="1353" spans="2:2">
      <c r="B1353" s="25"/>
    </row>
    <row r="1354" spans="2:2">
      <c r="B1354" s="25"/>
    </row>
    <row r="1355" spans="2:2">
      <c r="B1355" s="25"/>
    </row>
    <row r="1356" spans="2:2">
      <c r="B1356" s="25"/>
    </row>
    <row r="1357" spans="2:2">
      <c r="B1357" s="25"/>
    </row>
    <row r="1358" spans="2:2">
      <c r="B1358" s="25"/>
    </row>
    <row r="1359" spans="2:2">
      <c r="B1359" s="25"/>
    </row>
    <row r="1360" spans="2:2">
      <c r="B1360" s="25"/>
    </row>
    <row r="1361" spans="2:2">
      <c r="B1361" s="25"/>
    </row>
    <row r="1362" spans="2:2">
      <c r="B1362" s="25"/>
    </row>
    <row r="1363" spans="2:2">
      <c r="B1363" s="25"/>
    </row>
    <row r="1364" spans="2:2">
      <c r="B1364" s="25"/>
    </row>
    <row r="1365" spans="2:2">
      <c r="B1365" s="25"/>
    </row>
    <row r="1366" spans="2:2">
      <c r="B1366" s="25"/>
    </row>
    <row r="1367" spans="2:2">
      <c r="B1367" s="25"/>
    </row>
    <row r="1368" spans="2:2">
      <c r="B1368" s="25"/>
    </row>
    <row r="1369" spans="2:2">
      <c r="B1369" s="25"/>
    </row>
    <row r="1370" spans="2:2">
      <c r="B1370" s="25"/>
    </row>
    <row r="1371" spans="2:2">
      <c r="B1371" s="25"/>
    </row>
    <row r="1372" spans="2:2">
      <c r="B1372" s="25"/>
    </row>
    <row r="1373" spans="2:2">
      <c r="B1373" s="25"/>
    </row>
    <row r="1374" spans="2:2">
      <c r="B1374" s="25"/>
    </row>
    <row r="1375" spans="2:2">
      <c r="B1375" s="25"/>
    </row>
    <row r="1376" spans="2:2">
      <c r="B1376" s="25"/>
    </row>
    <row r="1377" spans="2:2">
      <c r="B1377" s="25"/>
    </row>
    <row r="1378" spans="2:2">
      <c r="B1378" s="25"/>
    </row>
    <row r="1379" spans="2:2">
      <c r="B1379" s="25"/>
    </row>
    <row r="1380" spans="2:2">
      <c r="B1380" s="25"/>
    </row>
    <row r="1381" spans="2:2">
      <c r="B1381" s="25"/>
    </row>
    <row r="1382" spans="2:2">
      <c r="B1382" s="25"/>
    </row>
    <row r="1383" spans="2:2">
      <c r="B1383" s="25"/>
    </row>
    <row r="1384" spans="2:2">
      <c r="B1384" s="25"/>
    </row>
    <row r="1385" spans="2:2">
      <c r="B1385" s="25"/>
    </row>
    <row r="1386" spans="2:2">
      <c r="B1386" s="25"/>
    </row>
    <row r="1387" spans="2:2">
      <c r="B1387" s="25"/>
    </row>
    <row r="1388" spans="2:2">
      <c r="B1388" s="25"/>
    </row>
    <row r="1389" spans="2:2">
      <c r="B1389" s="25"/>
    </row>
    <row r="1390" spans="2:2">
      <c r="B1390" s="25"/>
    </row>
    <row r="1391" spans="2:2">
      <c r="B1391" s="25"/>
    </row>
    <row r="1392" spans="2:2">
      <c r="B1392" s="25"/>
    </row>
    <row r="1393" spans="2:2">
      <c r="B1393" s="25"/>
    </row>
    <row r="1394" spans="2:2">
      <c r="B1394" s="25"/>
    </row>
    <row r="1395" spans="2:2">
      <c r="B1395" s="25"/>
    </row>
    <row r="1396" spans="2:2">
      <c r="B1396" s="25"/>
    </row>
    <row r="1397" spans="2:2">
      <c r="B1397" s="25"/>
    </row>
    <row r="1398" spans="2:2">
      <c r="B1398" s="25"/>
    </row>
    <row r="1399" spans="2:2">
      <c r="B1399" s="25"/>
    </row>
    <row r="1400" spans="2:2">
      <c r="B1400" s="25"/>
    </row>
    <row r="1401" spans="2:2">
      <c r="B1401" s="25"/>
    </row>
    <row r="1402" spans="2:2">
      <c r="B1402" s="25"/>
    </row>
    <row r="1403" spans="2:2">
      <c r="B1403" s="25"/>
    </row>
    <row r="1404" spans="2:2">
      <c r="B1404" s="25"/>
    </row>
    <row r="1405" spans="2:2">
      <c r="B1405" s="25"/>
    </row>
    <row r="1406" spans="2:2">
      <c r="B1406" s="25"/>
    </row>
    <row r="1407" spans="2:2">
      <c r="B1407" s="25"/>
    </row>
    <row r="1408" spans="2:2">
      <c r="B1408" s="25"/>
    </row>
    <row r="1409" spans="2:2">
      <c r="B1409" s="25"/>
    </row>
    <row r="1410" spans="2:2">
      <c r="B1410" s="25"/>
    </row>
    <row r="1411" spans="2:2">
      <c r="B1411" s="25"/>
    </row>
    <row r="1412" spans="2:2">
      <c r="B1412" s="25"/>
    </row>
    <row r="1413" spans="2:2">
      <c r="B1413" s="25"/>
    </row>
    <row r="1414" spans="2:2">
      <c r="B1414" s="25"/>
    </row>
    <row r="1415" spans="2:2">
      <c r="B1415" s="25"/>
    </row>
    <row r="1416" spans="2:2">
      <c r="B1416" s="25"/>
    </row>
    <row r="1417" spans="2:2">
      <c r="B1417" s="25"/>
    </row>
    <row r="1418" spans="2:2">
      <c r="B1418" s="25"/>
    </row>
    <row r="1419" spans="2:2">
      <c r="B1419" s="25"/>
    </row>
    <row r="1420" spans="2:2">
      <c r="B1420" s="25"/>
    </row>
    <row r="1421" spans="2:2">
      <c r="B1421" s="25"/>
    </row>
    <row r="1422" spans="2:2">
      <c r="B1422" s="25"/>
    </row>
    <row r="1423" spans="2:2">
      <c r="B1423" s="25"/>
    </row>
    <row r="1424" spans="2:2">
      <c r="B1424" s="25"/>
    </row>
    <row r="1425" spans="2:2">
      <c r="B1425" s="25"/>
    </row>
    <row r="1426" spans="2:2">
      <c r="B1426" s="25"/>
    </row>
    <row r="1427" spans="2:2">
      <c r="B1427" s="25"/>
    </row>
    <row r="1428" spans="2:2">
      <c r="B1428" s="25"/>
    </row>
    <row r="1429" spans="2:2">
      <c r="B1429" s="25"/>
    </row>
    <row r="1430" spans="2:2">
      <c r="B1430" s="25"/>
    </row>
    <row r="1431" spans="2:2">
      <c r="B1431" s="25"/>
    </row>
    <row r="1432" spans="2:2">
      <c r="B1432" s="25"/>
    </row>
    <row r="1433" spans="2:2">
      <c r="B1433" s="25"/>
    </row>
    <row r="1434" spans="2:2">
      <c r="B1434" s="25"/>
    </row>
    <row r="1435" spans="2:2">
      <c r="B1435" s="25"/>
    </row>
    <row r="1436" spans="2:2">
      <c r="B1436" s="25"/>
    </row>
    <row r="1437" spans="2:2">
      <c r="B1437" s="25"/>
    </row>
    <row r="1438" spans="2:2">
      <c r="B1438" s="25"/>
    </row>
    <row r="1439" spans="2:2">
      <c r="B1439" s="25"/>
    </row>
    <row r="1440" spans="2:2">
      <c r="B1440" s="25"/>
    </row>
    <row r="1441" spans="2:2">
      <c r="B1441" s="25"/>
    </row>
    <row r="1442" spans="2:2">
      <c r="B1442" s="25"/>
    </row>
    <row r="1443" spans="2:2">
      <c r="B1443" s="25"/>
    </row>
    <row r="1444" spans="2:2">
      <c r="B1444" s="25"/>
    </row>
    <row r="1445" spans="2:2">
      <c r="B1445" s="25"/>
    </row>
    <row r="1446" spans="2:2">
      <c r="B1446" s="25"/>
    </row>
    <row r="1447" spans="2:2">
      <c r="B1447" s="25"/>
    </row>
    <row r="1448" spans="2:2">
      <c r="B1448" s="25"/>
    </row>
    <row r="1449" spans="2:2">
      <c r="B1449" s="25"/>
    </row>
    <row r="1450" spans="2:2">
      <c r="B1450" s="25"/>
    </row>
    <row r="1451" spans="2:2">
      <c r="B1451" s="25"/>
    </row>
    <row r="1452" spans="2:2">
      <c r="B1452" s="25"/>
    </row>
    <row r="1453" spans="2:2">
      <c r="B1453" s="25"/>
    </row>
    <row r="1454" spans="2:2">
      <c r="B1454" s="25"/>
    </row>
    <row r="1455" spans="2:2">
      <c r="B1455" s="25"/>
    </row>
    <row r="1456" spans="2:2">
      <c r="B1456" s="25"/>
    </row>
    <row r="1457" spans="2:2">
      <c r="B1457" s="25"/>
    </row>
    <row r="1458" spans="2:2">
      <c r="B1458" s="25"/>
    </row>
    <row r="1459" spans="2:2">
      <c r="B1459" s="25"/>
    </row>
    <row r="1460" spans="2:2">
      <c r="B1460" s="25"/>
    </row>
    <row r="1461" spans="2:2">
      <c r="B1461" s="25"/>
    </row>
  </sheetData>
  <mergeCells count="1594">
    <mergeCell ref="A743:H743"/>
    <mergeCell ref="J743:K743"/>
    <mergeCell ref="L743:M743"/>
    <mergeCell ref="A741:I741"/>
    <mergeCell ref="J741:K741"/>
    <mergeCell ref="L741:M741"/>
    <mergeCell ref="A742:I742"/>
    <mergeCell ref="J742:K742"/>
    <mergeCell ref="L742:M742"/>
    <mergeCell ref="A739:I739"/>
    <mergeCell ref="J739:K739"/>
    <mergeCell ref="L739:M739"/>
    <mergeCell ref="A740:I740"/>
    <mergeCell ref="J740:K740"/>
    <mergeCell ref="L740:M740"/>
    <mergeCell ref="A737:I737"/>
    <mergeCell ref="J737:K737"/>
    <mergeCell ref="L737:M737"/>
    <mergeCell ref="A738:I738"/>
    <mergeCell ref="J738:K738"/>
    <mergeCell ref="L738:M738"/>
    <mergeCell ref="A735:I735"/>
    <mergeCell ref="J735:K735"/>
    <mergeCell ref="L735:M735"/>
    <mergeCell ref="A736:I736"/>
    <mergeCell ref="J736:K736"/>
    <mergeCell ref="L736:M736"/>
    <mergeCell ref="A733:I733"/>
    <mergeCell ref="J733:K733"/>
    <mergeCell ref="L733:M733"/>
    <mergeCell ref="A734:I734"/>
    <mergeCell ref="J734:K734"/>
    <mergeCell ref="L734:M734"/>
    <mergeCell ref="A731:E731"/>
    <mergeCell ref="H731:I731"/>
    <mergeCell ref="L731:M731"/>
    <mergeCell ref="A732:E732"/>
    <mergeCell ref="H732:I732"/>
    <mergeCell ref="L732:M732"/>
    <mergeCell ref="A729:E729"/>
    <mergeCell ref="H729:I729"/>
    <mergeCell ref="L729:M729"/>
    <mergeCell ref="A730:E730"/>
    <mergeCell ref="H730:I730"/>
    <mergeCell ref="L730:M730"/>
    <mergeCell ref="A726:E726"/>
    <mergeCell ref="L726:M726"/>
    <mergeCell ref="A727:E727"/>
    <mergeCell ref="H727:I727"/>
    <mergeCell ref="L727:M727"/>
    <mergeCell ref="A728:E728"/>
    <mergeCell ref="H728:I728"/>
    <mergeCell ref="L728:M728"/>
    <mergeCell ref="L722:M722"/>
    <mergeCell ref="C723:E723"/>
    <mergeCell ref="L723:M723"/>
    <mergeCell ref="C724:E724"/>
    <mergeCell ref="C725:E725"/>
    <mergeCell ref="L725:M725"/>
    <mergeCell ref="A719:B719"/>
    <mergeCell ref="C719:E719"/>
    <mergeCell ref="L719:M719"/>
    <mergeCell ref="A720:B725"/>
    <mergeCell ref="C720:E720"/>
    <mergeCell ref="K720:K725"/>
    <mergeCell ref="L720:M720"/>
    <mergeCell ref="C721:E721"/>
    <mergeCell ref="L721:M721"/>
    <mergeCell ref="C722:E722"/>
    <mergeCell ref="A717:B717"/>
    <mergeCell ref="C717:E717"/>
    <mergeCell ref="L717:M717"/>
    <mergeCell ref="A718:B718"/>
    <mergeCell ref="C718:E718"/>
    <mergeCell ref="L718:M718"/>
    <mergeCell ref="A714:B716"/>
    <mergeCell ref="C714:E714"/>
    <mergeCell ref="L714:M714"/>
    <mergeCell ref="C715:E715"/>
    <mergeCell ref="L715:M715"/>
    <mergeCell ref="C716:E716"/>
    <mergeCell ref="L716:M716"/>
    <mergeCell ref="A711:B713"/>
    <mergeCell ref="C711:E711"/>
    <mergeCell ref="L711:M711"/>
    <mergeCell ref="C712:E712"/>
    <mergeCell ref="L712:M712"/>
    <mergeCell ref="C713:E713"/>
    <mergeCell ref="L713:M713"/>
    <mergeCell ref="A708:B710"/>
    <mergeCell ref="C708:E708"/>
    <mergeCell ref="L708:M708"/>
    <mergeCell ref="C709:E709"/>
    <mergeCell ref="L709:M709"/>
    <mergeCell ref="C710:E710"/>
    <mergeCell ref="L710:M710"/>
    <mergeCell ref="C704:E704"/>
    <mergeCell ref="A705:B707"/>
    <mergeCell ref="C705:E705"/>
    <mergeCell ref="C706:E706"/>
    <mergeCell ref="L706:M706"/>
    <mergeCell ref="C707:E707"/>
    <mergeCell ref="L707:M707"/>
    <mergeCell ref="A699:B701"/>
    <mergeCell ref="C699:E699"/>
    <mergeCell ref="C700:E700"/>
    <mergeCell ref="C701:E701"/>
    <mergeCell ref="L701:M701"/>
    <mergeCell ref="A702:B704"/>
    <mergeCell ref="C702:E702"/>
    <mergeCell ref="L702:M702"/>
    <mergeCell ref="C703:E703"/>
    <mergeCell ref="L703:M705"/>
    <mergeCell ref="A696:B698"/>
    <mergeCell ref="C696:E696"/>
    <mergeCell ref="L696:M696"/>
    <mergeCell ref="C697:E697"/>
    <mergeCell ref="L697:M697"/>
    <mergeCell ref="C698:E698"/>
    <mergeCell ref="L698:M698"/>
    <mergeCell ref="A693:B695"/>
    <mergeCell ref="C693:E693"/>
    <mergeCell ref="L693:M693"/>
    <mergeCell ref="C694:E694"/>
    <mergeCell ref="L694:M694"/>
    <mergeCell ref="C695:E695"/>
    <mergeCell ref="L695:M695"/>
    <mergeCell ref="A690:B692"/>
    <mergeCell ref="C690:E690"/>
    <mergeCell ref="L690:M690"/>
    <mergeCell ref="C691:E691"/>
    <mergeCell ref="L691:M691"/>
    <mergeCell ref="C692:E692"/>
    <mergeCell ref="L692:M692"/>
    <mergeCell ref="A687:B689"/>
    <mergeCell ref="C687:E687"/>
    <mergeCell ref="L687:M687"/>
    <mergeCell ref="C688:E688"/>
    <mergeCell ref="L688:M688"/>
    <mergeCell ref="C689:E689"/>
    <mergeCell ref="L689:M689"/>
    <mergeCell ref="A684:B686"/>
    <mergeCell ref="C684:E684"/>
    <mergeCell ref="L684:M684"/>
    <mergeCell ref="C685:E685"/>
    <mergeCell ref="L685:M685"/>
    <mergeCell ref="C686:E686"/>
    <mergeCell ref="L686:M686"/>
    <mergeCell ref="A681:B683"/>
    <mergeCell ref="C681:E681"/>
    <mergeCell ref="L681:M681"/>
    <mergeCell ref="C682:E682"/>
    <mergeCell ref="L682:M682"/>
    <mergeCell ref="C683:E683"/>
    <mergeCell ref="L683:M683"/>
    <mergeCell ref="A678:B680"/>
    <mergeCell ref="C678:E678"/>
    <mergeCell ref="L678:M678"/>
    <mergeCell ref="C679:E679"/>
    <mergeCell ref="L679:M679"/>
    <mergeCell ref="C680:E680"/>
    <mergeCell ref="L680:M680"/>
    <mergeCell ref="A675:B677"/>
    <mergeCell ref="C675:E675"/>
    <mergeCell ref="L675:M675"/>
    <mergeCell ref="C676:E676"/>
    <mergeCell ref="L676:M676"/>
    <mergeCell ref="C677:E677"/>
    <mergeCell ref="L677:M677"/>
    <mergeCell ref="A672:B674"/>
    <mergeCell ref="C672:E672"/>
    <mergeCell ref="L672:M672"/>
    <mergeCell ref="C673:E673"/>
    <mergeCell ref="L673:M673"/>
    <mergeCell ref="C674:E674"/>
    <mergeCell ref="L674:M674"/>
    <mergeCell ref="A669:B671"/>
    <mergeCell ref="C669:E669"/>
    <mergeCell ref="L669:M669"/>
    <mergeCell ref="C670:E670"/>
    <mergeCell ref="L670:M670"/>
    <mergeCell ref="C671:E671"/>
    <mergeCell ref="L671:M671"/>
    <mergeCell ref="A666:B668"/>
    <mergeCell ref="C666:E666"/>
    <mergeCell ref="L666:M666"/>
    <mergeCell ref="C667:E667"/>
    <mergeCell ref="L667:M667"/>
    <mergeCell ref="C668:E668"/>
    <mergeCell ref="L668:M668"/>
    <mergeCell ref="A663:B665"/>
    <mergeCell ref="C663:E663"/>
    <mergeCell ref="L663:M663"/>
    <mergeCell ref="C664:E664"/>
    <mergeCell ref="L664:M664"/>
    <mergeCell ref="C665:E665"/>
    <mergeCell ref="L665:M665"/>
    <mergeCell ref="A660:B662"/>
    <mergeCell ref="C660:E660"/>
    <mergeCell ref="L660:M660"/>
    <mergeCell ref="C661:E661"/>
    <mergeCell ref="L661:M661"/>
    <mergeCell ref="C662:E662"/>
    <mergeCell ref="L662:M662"/>
    <mergeCell ref="A657:B659"/>
    <mergeCell ref="C657:E657"/>
    <mergeCell ref="L657:M657"/>
    <mergeCell ref="C658:E658"/>
    <mergeCell ref="L658:M658"/>
    <mergeCell ref="C659:E659"/>
    <mergeCell ref="L659:M659"/>
    <mergeCell ref="A654:B656"/>
    <mergeCell ref="C654:E654"/>
    <mergeCell ref="L654:M654"/>
    <mergeCell ref="C655:E655"/>
    <mergeCell ref="L655:M655"/>
    <mergeCell ref="C656:E656"/>
    <mergeCell ref="L656:M656"/>
    <mergeCell ref="A651:B653"/>
    <mergeCell ref="C651:E651"/>
    <mergeCell ref="L651:M651"/>
    <mergeCell ref="C652:E652"/>
    <mergeCell ref="L652:M652"/>
    <mergeCell ref="C653:E653"/>
    <mergeCell ref="L653:M653"/>
    <mergeCell ref="A648:B650"/>
    <mergeCell ref="C648:E648"/>
    <mergeCell ref="L648:M648"/>
    <mergeCell ref="C649:E649"/>
    <mergeCell ref="L649:M649"/>
    <mergeCell ref="C650:E650"/>
    <mergeCell ref="L650:M650"/>
    <mergeCell ref="A645:B647"/>
    <mergeCell ref="C645:E645"/>
    <mergeCell ref="L645:M645"/>
    <mergeCell ref="C646:E646"/>
    <mergeCell ref="L646:M646"/>
    <mergeCell ref="C647:E647"/>
    <mergeCell ref="L647:M647"/>
    <mergeCell ref="A642:B644"/>
    <mergeCell ref="C642:E642"/>
    <mergeCell ref="L642:M642"/>
    <mergeCell ref="C643:E643"/>
    <mergeCell ref="L643:M643"/>
    <mergeCell ref="C644:E644"/>
    <mergeCell ref="L644:M644"/>
    <mergeCell ref="A639:B641"/>
    <mergeCell ref="C639:E639"/>
    <mergeCell ref="L639:M639"/>
    <mergeCell ref="C640:E640"/>
    <mergeCell ref="L640:M640"/>
    <mergeCell ref="C641:E641"/>
    <mergeCell ref="L641:M641"/>
    <mergeCell ref="A636:B638"/>
    <mergeCell ref="C636:E636"/>
    <mergeCell ref="L636:M636"/>
    <mergeCell ref="C637:E637"/>
    <mergeCell ref="L637:M637"/>
    <mergeCell ref="C638:E638"/>
    <mergeCell ref="L638:M638"/>
    <mergeCell ref="A633:B635"/>
    <mergeCell ref="C633:E633"/>
    <mergeCell ref="L633:M633"/>
    <mergeCell ref="C634:E634"/>
    <mergeCell ref="L634:M634"/>
    <mergeCell ref="C635:E635"/>
    <mergeCell ref="L635:M635"/>
    <mergeCell ref="A630:B632"/>
    <mergeCell ref="C630:E630"/>
    <mergeCell ref="L630:M630"/>
    <mergeCell ref="C631:E631"/>
    <mergeCell ref="L631:M631"/>
    <mergeCell ref="C632:E632"/>
    <mergeCell ref="L632:M632"/>
    <mergeCell ref="A627:B629"/>
    <mergeCell ref="C627:E627"/>
    <mergeCell ref="L627:M627"/>
    <mergeCell ref="C628:E628"/>
    <mergeCell ref="L628:M628"/>
    <mergeCell ref="C629:E629"/>
    <mergeCell ref="L629:M629"/>
    <mergeCell ref="A624:B626"/>
    <mergeCell ref="C624:E624"/>
    <mergeCell ref="L624:M624"/>
    <mergeCell ref="C625:E625"/>
    <mergeCell ref="L625:M625"/>
    <mergeCell ref="C626:E626"/>
    <mergeCell ref="L626:M626"/>
    <mergeCell ref="A621:B623"/>
    <mergeCell ref="C621:E621"/>
    <mergeCell ref="L621:M621"/>
    <mergeCell ref="C622:E622"/>
    <mergeCell ref="L622:M622"/>
    <mergeCell ref="C623:E623"/>
    <mergeCell ref="L623:M623"/>
    <mergeCell ref="A618:B620"/>
    <mergeCell ref="C618:E618"/>
    <mergeCell ref="L618:M618"/>
    <mergeCell ref="C619:E619"/>
    <mergeCell ref="L619:M619"/>
    <mergeCell ref="C620:E620"/>
    <mergeCell ref="L620:M620"/>
    <mergeCell ref="A615:B617"/>
    <mergeCell ref="C615:E615"/>
    <mergeCell ref="L615:M615"/>
    <mergeCell ref="C616:E616"/>
    <mergeCell ref="L616:M616"/>
    <mergeCell ref="C617:E617"/>
    <mergeCell ref="L617:M617"/>
    <mergeCell ref="A612:B614"/>
    <mergeCell ref="C612:E612"/>
    <mergeCell ref="L612:M612"/>
    <mergeCell ref="C613:E613"/>
    <mergeCell ref="L613:M613"/>
    <mergeCell ref="C614:E614"/>
    <mergeCell ref="L614:M614"/>
    <mergeCell ref="A609:B611"/>
    <mergeCell ref="C609:E609"/>
    <mergeCell ref="L609:M609"/>
    <mergeCell ref="C610:E610"/>
    <mergeCell ref="L610:M610"/>
    <mergeCell ref="C611:E611"/>
    <mergeCell ref="L611:M611"/>
    <mergeCell ref="A606:B608"/>
    <mergeCell ref="C606:E606"/>
    <mergeCell ref="L606:M606"/>
    <mergeCell ref="C607:E607"/>
    <mergeCell ref="L607:M607"/>
    <mergeCell ref="C608:E608"/>
    <mergeCell ref="L608:M608"/>
    <mergeCell ref="A603:B605"/>
    <mergeCell ref="C603:E603"/>
    <mergeCell ref="L603:M603"/>
    <mergeCell ref="C604:E604"/>
    <mergeCell ref="L604:M604"/>
    <mergeCell ref="C605:E605"/>
    <mergeCell ref="L605:M605"/>
    <mergeCell ref="A600:B602"/>
    <mergeCell ref="C600:E600"/>
    <mergeCell ref="L600:M600"/>
    <mergeCell ref="C601:E601"/>
    <mergeCell ref="L601:M601"/>
    <mergeCell ref="C602:E602"/>
    <mergeCell ref="L602:M602"/>
    <mergeCell ref="A597:B599"/>
    <mergeCell ref="C597:E597"/>
    <mergeCell ref="L597:M597"/>
    <mergeCell ref="C598:E598"/>
    <mergeCell ref="L598:M598"/>
    <mergeCell ref="C599:E599"/>
    <mergeCell ref="L599:M599"/>
    <mergeCell ref="A594:B596"/>
    <mergeCell ref="C594:E594"/>
    <mergeCell ref="L594:M594"/>
    <mergeCell ref="C595:E595"/>
    <mergeCell ref="L595:M595"/>
    <mergeCell ref="C596:E596"/>
    <mergeCell ref="L596:M596"/>
    <mergeCell ref="A591:B593"/>
    <mergeCell ref="C591:E591"/>
    <mergeCell ref="L591:M591"/>
    <mergeCell ref="C592:E592"/>
    <mergeCell ref="L592:M592"/>
    <mergeCell ref="C593:E593"/>
    <mergeCell ref="L593:M593"/>
    <mergeCell ref="A588:B590"/>
    <mergeCell ref="C588:E588"/>
    <mergeCell ref="L588:M588"/>
    <mergeCell ref="C589:E589"/>
    <mergeCell ref="L589:M589"/>
    <mergeCell ref="C590:E590"/>
    <mergeCell ref="L590:M590"/>
    <mergeCell ref="A585:B587"/>
    <mergeCell ref="C585:E585"/>
    <mergeCell ref="L585:M585"/>
    <mergeCell ref="C586:E586"/>
    <mergeCell ref="L586:M586"/>
    <mergeCell ref="C587:E587"/>
    <mergeCell ref="L587:M587"/>
    <mergeCell ref="A582:B584"/>
    <mergeCell ref="C582:E582"/>
    <mergeCell ref="L582:M582"/>
    <mergeCell ref="C583:E583"/>
    <mergeCell ref="L583:M583"/>
    <mergeCell ref="C584:E584"/>
    <mergeCell ref="L584:M584"/>
    <mergeCell ref="A579:B581"/>
    <mergeCell ref="C579:E579"/>
    <mergeCell ref="L579:M579"/>
    <mergeCell ref="C580:E580"/>
    <mergeCell ref="L580:M580"/>
    <mergeCell ref="C581:E581"/>
    <mergeCell ref="L581:M581"/>
    <mergeCell ref="A576:B578"/>
    <mergeCell ref="C576:E576"/>
    <mergeCell ref="L576:M576"/>
    <mergeCell ref="C577:E577"/>
    <mergeCell ref="L577:M577"/>
    <mergeCell ref="C578:E578"/>
    <mergeCell ref="L578:M578"/>
    <mergeCell ref="A573:B575"/>
    <mergeCell ref="C573:E573"/>
    <mergeCell ref="L573:M573"/>
    <mergeCell ref="C574:E574"/>
    <mergeCell ref="L574:M574"/>
    <mergeCell ref="C575:E575"/>
    <mergeCell ref="L575:M575"/>
    <mergeCell ref="A570:B572"/>
    <mergeCell ref="C570:E570"/>
    <mergeCell ref="L570:M570"/>
    <mergeCell ref="C571:E571"/>
    <mergeCell ref="L571:M571"/>
    <mergeCell ref="C572:E572"/>
    <mergeCell ref="L572:M572"/>
    <mergeCell ref="A567:B569"/>
    <mergeCell ref="C567:E567"/>
    <mergeCell ref="L567:M567"/>
    <mergeCell ref="C568:E568"/>
    <mergeCell ref="L568:M568"/>
    <mergeCell ref="C569:E569"/>
    <mergeCell ref="L569:M569"/>
    <mergeCell ref="A564:B566"/>
    <mergeCell ref="C564:E564"/>
    <mergeCell ref="L564:M564"/>
    <mergeCell ref="C565:E565"/>
    <mergeCell ref="L565:M565"/>
    <mergeCell ref="C566:E566"/>
    <mergeCell ref="L566:M566"/>
    <mergeCell ref="A561:B563"/>
    <mergeCell ref="C561:E561"/>
    <mergeCell ref="L561:M561"/>
    <mergeCell ref="C562:E562"/>
    <mergeCell ref="L562:M562"/>
    <mergeCell ref="C563:E563"/>
    <mergeCell ref="L563:M563"/>
    <mergeCell ref="A558:B560"/>
    <mergeCell ref="C558:E558"/>
    <mergeCell ref="L558:M558"/>
    <mergeCell ref="C559:E559"/>
    <mergeCell ref="L559:M559"/>
    <mergeCell ref="C560:E560"/>
    <mergeCell ref="L560:M560"/>
    <mergeCell ref="A555:B557"/>
    <mergeCell ref="C555:E555"/>
    <mergeCell ref="L555:M555"/>
    <mergeCell ref="C556:E556"/>
    <mergeCell ref="L556:M556"/>
    <mergeCell ref="C557:E557"/>
    <mergeCell ref="L557:M557"/>
    <mergeCell ref="A552:B554"/>
    <mergeCell ref="C552:E552"/>
    <mergeCell ref="L552:M552"/>
    <mergeCell ref="C553:E553"/>
    <mergeCell ref="L553:M553"/>
    <mergeCell ref="C554:E554"/>
    <mergeCell ref="L554:M554"/>
    <mergeCell ref="A549:B551"/>
    <mergeCell ref="C549:E549"/>
    <mergeCell ref="L549:M549"/>
    <mergeCell ref="C550:E550"/>
    <mergeCell ref="L550:M550"/>
    <mergeCell ref="C551:E551"/>
    <mergeCell ref="L551:M551"/>
    <mergeCell ref="A546:B548"/>
    <mergeCell ref="C546:E546"/>
    <mergeCell ref="L546:M546"/>
    <mergeCell ref="C547:E547"/>
    <mergeCell ref="L547:M547"/>
    <mergeCell ref="C548:E548"/>
    <mergeCell ref="L548:M548"/>
    <mergeCell ref="A543:B545"/>
    <mergeCell ref="C543:E543"/>
    <mergeCell ref="L543:M543"/>
    <mergeCell ref="C544:E544"/>
    <mergeCell ref="L544:M544"/>
    <mergeCell ref="C545:E545"/>
    <mergeCell ref="L545:M545"/>
    <mergeCell ref="A540:B542"/>
    <mergeCell ref="C540:E540"/>
    <mergeCell ref="L540:M540"/>
    <mergeCell ref="C541:E541"/>
    <mergeCell ref="L541:M541"/>
    <mergeCell ref="C542:E542"/>
    <mergeCell ref="L542:M542"/>
    <mergeCell ref="A537:B539"/>
    <mergeCell ref="C537:E537"/>
    <mergeCell ref="L537:M537"/>
    <mergeCell ref="C538:E538"/>
    <mergeCell ref="L538:M538"/>
    <mergeCell ref="C539:E539"/>
    <mergeCell ref="L539:M539"/>
    <mergeCell ref="A534:B536"/>
    <mergeCell ref="C534:E534"/>
    <mergeCell ref="L534:M534"/>
    <mergeCell ref="C535:E535"/>
    <mergeCell ref="L535:M535"/>
    <mergeCell ref="C536:E536"/>
    <mergeCell ref="L536:M536"/>
    <mergeCell ref="A531:B533"/>
    <mergeCell ref="C531:E531"/>
    <mergeCell ref="L531:M531"/>
    <mergeCell ref="C532:E532"/>
    <mergeCell ref="L532:M532"/>
    <mergeCell ref="C533:E533"/>
    <mergeCell ref="L533:M533"/>
    <mergeCell ref="A528:B530"/>
    <mergeCell ref="C528:E528"/>
    <mergeCell ref="L528:M528"/>
    <mergeCell ref="C529:E529"/>
    <mergeCell ref="L529:M529"/>
    <mergeCell ref="C530:E530"/>
    <mergeCell ref="L530:M530"/>
    <mergeCell ref="A525:B527"/>
    <mergeCell ref="C525:E525"/>
    <mergeCell ref="L525:M525"/>
    <mergeCell ref="C526:E526"/>
    <mergeCell ref="L526:M526"/>
    <mergeCell ref="C527:E527"/>
    <mergeCell ref="L527:M527"/>
    <mergeCell ref="A522:B524"/>
    <mergeCell ref="C522:E522"/>
    <mergeCell ref="L522:M522"/>
    <mergeCell ref="C523:E523"/>
    <mergeCell ref="L523:M523"/>
    <mergeCell ref="C524:E524"/>
    <mergeCell ref="L524:M524"/>
    <mergeCell ref="A519:B521"/>
    <mergeCell ref="C519:E519"/>
    <mergeCell ref="L519:M519"/>
    <mergeCell ref="C520:E520"/>
    <mergeCell ref="L520:M520"/>
    <mergeCell ref="C521:E521"/>
    <mergeCell ref="L521:M521"/>
    <mergeCell ref="A516:B518"/>
    <mergeCell ref="C516:E516"/>
    <mergeCell ref="L516:M516"/>
    <mergeCell ref="C517:E517"/>
    <mergeCell ref="L517:M517"/>
    <mergeCell ref="C518:E518"/>
    <mergeCell ref="L518:M518"/>
    <mergeCell ref="A513:B515"/>
    <mergeCell ref="C513:E513"/>
    <mergeCell ref="L513:M513"/>
    <mergeCell ref="C514:E514"/>
    <mergeCell ref="L514:M514"/>
    <mergeCell ref="C515:E515"/>
    <mergeCell ref="L515:M515"/>
    <mergeCell ref="A510:B512"/>
    <mergeCell ref="C510:E510"/>
    <mergeCell ref="L510:M510"/>
    <mergeCell ref="C511:E511"/>
    <mergeCell ref="L511:M511"/>
    <mergeCell ref="C512:E512"/>
    <mergeCell ref="L512:M512"/>
    <mergeCell ref="A507:B509"/>
    <mergeCell ref="C507:E507"/>
    <mergeCell ref="L507:M507"/>
    <mergeCell ref="C508:E508"/>
    <mergeCell ref="L508:M508"/>
    <mergeCell ref="C509:E509"/>
    <mergeCell ref="L509:M509"/>
    <mergeCell ref="A504:B506"/>
    <mergeCell ref="C504:E504"/>
    <mergeCell ref="L504:M504"/>
    <mergeCell ref="C505:E505"/>
    <mergeCell ref="L505:M505"/>
    <mergeCell ref="C506:E506"/>
    <mergeCell ref="L506:M506"/>
    <mergeCell ref="A501:B503"/>
    <mergeCell ref="C501:E501"/>
    <mergeCell ref="L501:M501"/>
    <mergeCell ref="C502:E502"/>
    <mergeCell ref="L502:M502"/>
    <mergeCell ref="C503:E503"/>
    <mergeCell ref="L503:M503"/>
    <mergeCell ref="A498:B500"/>
    <mergeCell ref="C498:E498"/>
    <mergeCell ref="L498:M498"/>
    <mergeCell ref="C499:E499"/>
    <mergeCell ref="L499:M499"/>
    <mergeCell ref="C500:E500"/>
    <mergeCell ref="L500:M500"/>
    <mergeCell ref="A495:B497"/>
    <mergeCell ref="C495:E495"/>
    <mergeCell ref="L495:M495"/>
    <mergeCell ref="C496:E496"/>
    <mergeCell ref="L496:M496"/>
    <mergeCell ref="C497:E497"/>
    <mergeCell ref="L497:M497"/>
    <mergeCell ref="A492:B494"/>
    <mergeCell ref="C492:E492"/>
    <mergeCell ref="L492:M492"/>
    <mergeCell ref="C493:E493"/>
    <mergeCell ref="L493:M493"/>
    <mergeCell ref="C494:E494"/>
    <mergeCell ref="L494:M494"/>
    <mergeCell ref="A489:B491"/>
    <mergeCell ref="C489:E489"/>
    <mergeCell ref="L489:M489"/>
    <mergeCell ref="C490:E490"/>
    <mergeCell ref="L490:M490"/>
    <mergeCell ref="C491:E491"/>
    <mergeCell ref="L491:M491"/>
    <mergeCell ref="A486:B488"/>
    <mergeCell ref="C486:E486"/>
    <mergeCell ref="L486:M486"/>
    <mergeCell ref="C487:E487"/>
    <mergeCell ref="L487:M487"/>
    <mergeCell ref="C488:E488"/>
    <mergeCell ref="L488:M488"/>
    <mergeCell ref="A483:B485"/>
    <mergeCell ref="C483:E483"/>
    <mergeCell ref="L483:M483"/>
    <mergeCell ref="C484:E484"/>
    <mergeCell ref="L484:M484"/>
    <mergeCell ref="C485:E485"/>
    <mergeCell ref="L485:M485"/>
    <mergeCell ref="A480:B482"/>
    <mergeCell ref="C480:E480"/>
    <mergeCell ref="L480:M480"/>
    <mergeCell ref="C481:E481"/>
    <mergeCell ref="L481:M481"/>
    <mergeCell ref="C482:E482"/>
    <mergeCell ref="L482:M482"/>
    <mergeCell ref="A477:B479"/>
    <mergeCell ref="C477:E477"/>
    <mergeCell ref="L477:M477"/>
    <mergeCell ref="C478:E478"/>
    <mergeCell ref="L478:M478"/>
    <mergeCell ref="C479:E479"/>
    <mergeCell ref="L479:M479"/>
    <mergeCell ref="A474:B476"/>
    <mergeCell ref="C474:E474"/>
    <mergeCell ref="L474:M474"/>
    <mergeCell ref="C475:E475"/>
    <mergeCell ref="L475:M475"/>
    <mergeCell ref="C476:E476"/>
    <mergeCell ref="L476:M476"/>
    <mergeCell ref="A471:B473"/>
    <mergeCell ref="C471:E471"/>
    <mergeCell ref="L471:M471"/>
    <mergeCell ref="C472:E472"/>
    <mergeCell ref="L472:M472"/>
    <mergeCell ref="C473:E473"/>
    <mergeCell ref="L473:M473"/>
    <mergeCell ref="A468:B470"/>
    <mergeCell ref="C468:E468"/>
    <mergeCell ref="L468:M468"/>
    <mergeCell ref="C469:E469"/>
    <mergeCell ref="L469:M469"/>
    <mergeCell ref="C470:E470"/>
    <mergeCell ref="L470:M470"/>
    <mergeCell ref="A465:B467"/>
    <mergeCell ref="C465:E465"/>
    <mergeCell ref="L465:M465"/>
    <mergeCell ref="C466:E466"/>
    <mergeCell ref="L466:M466"/>
    <mergeCell ref="C467:E467"/>
    <mergeCell ref="L467:M467"/>
    <mergeCell ref="A459:B461"/>
    <mergeCell ref="C459:E459"/>
    <mergeCell ref="C460:E460"/>
    <mergeCell ref="C461:E461"/>
    <mergeCell ref="A462:B464"/>
    <mergeCell ref="C462:E462"/>
    <mergeCell ref="C463:E463"/>
    <mergeCell ref="C464:E464"/>
    <mergeCell ref="A456:B458"/>
    <mergeCell ref="C456:E456"/>
    <mergeCell ref="L456:M456"/>
    <mergeCell ref="C457:E457"/>
    <mergeCell ref="L457:M457"/>
    <mergeCell ref="C458:E458"/>
    <mergeCell ref="L458:M458"/>
    <mergeCell ref="A453:B455"/>
    <mergeCell ref="C453:E453"/>
    <mergeCell ref="L453:M453"/>
    <mergeCell ref="C454:E454"/>
    <mergeCell ref="L454:M454"/>
    <mergeCell ref="C455:E455"/>
    <mergeCell ref="L455:M455"/>
    <mergeCell ref="A450:B452"/>
    <mergeCell ref="C450:E450"/>
    <mergeCell ref="L450:M450"/>
    <mergeCell ref="C451:E451"/>
    <mergeCell ref="L451:M451"/>
    <mergeCell ref="C452:E452"/>
    <mergeCell ref="L452:M452"/>
    <mergeCell ref="A447:B449"/>
    <mergeCell ref="C447:E447"/>
    <mergeCell ref="L447:M447"/>
    <mergeCell ref="C448:E448"/>
    <mergeCell ref="L448:M448"/>
    <mergeCell ref="C449:E449"/>
    <mergeCell ref="L449:M449"/>
    <mergeCell ref="A444:B446"/>
    <mergeCell ref="C444:E444"/>
    <mergeCell ref="L444:M444"/>
    <mergeCell ref="C445:E445"/>
    <mergeCell ref="L445:M445"/>
    <mergeCell ref="C446:E446"/>
    <mergeCell ref="L446:M446"/>
    <mergeCell ref="A441:B443"/>
    <mergeCell ref="C441:E441"/>
    <mergeCell ref="L441:M441"/>
    <mergeCell ref="C442:E442"/>
    <mergeCell ref="L442:M442"/>
    <mergeCell ref="C443:E443"/>
    <mergeCell ref="L443:M443"/>
    <mergeCell ref="A438:B440"/>
    <mergeCell ref="C438:E438"/>
    <mergeCell ref="L438:M438"/>
    <mergeCell ref="C439:E439"/>
    <mergeCell ref="L439:M439"/>
    <mergeCell ref="C440:E440"/>
    <mergeCell ref="L440:M440"/>
    <mergeCell ref="A435:B437"/>
    <mergeCell ref="C435:E435"/>
    <mergeCell ref="L435:M435"/>
    <mergeCell ref="C436:E436"/>
    <mergeCell ref="L436:M436"/>
    <mergeCell ref="C437:E437"/>
    <mergeCell ref="L437:M437"/>
    <mergeCell ref="A432:B434"/>
    <mergeCell ref="C432:E432"/>
    <mergeCell ref="L432:M432"/>
    <mergeCell ref="C433:E433"/>
    <mergeCell ref="L433:M433"/>
    <mergeCell ref="C434:E434"/>
    <mergeCell ref="L434:M434"/>
    <mergeCell ref="A429:B431"/>
    <mergeCell ref="C429:E429"/>
    <mergeCell ref="L429:M429"/>
    <mergeCell ref="C430:E430"/>
    <mergeCell ref="L430:M430"/>
    <mergeCell ref="C431:E431"/>
    <mergeCell ref="L431:M431"/>
    <mergeCell ref="A426:B428"/>
    <mergeCell ref="C426:E426"/>
    <mergeCell ref="L426:M426"/>
    <mergeCell ref="C427:E427"/>
    <mergeCell ref="L427:M427"/>
    <mergeCell ref="C428:E428"/>
    <mergeCell ref="L428:M428"/>
    <mergeCell ref="A423:B425"/>
    <mergeCell ref="C423:E423"/>
    <mergeCell ref="L423:M423"/>
    <mergeCell ref="C424:E424"/>
    <mergeCell ref="L424:M424"/>
    <mergeCell ref="C425:E425"/>
    <mergeCell ref="L425:M425"/>
    <mergeCell ref="A420:B422"/>
    <mergeCell ref="C420:E420"/>
    <mergeCell ref="L420:M420"/>
    <mergeCell ref="C421:E421"/>
    <mergeCell ref="L421:M421"/>
    <mergeCell ref="C422:E422"/>
    <mergeCell ref="L422:M422"/>
    <mergeCell ref="A417:B419"/>
    <mergeCell ref="C417:E417"/>
    <mergeCell ref="L417:M417"/>
    <mergeCell ref="C418:E418"/>
    <mergeCell ref="L418:M418"/>
    <mergeCell ref="C419:E419"/>
    <mergeCell ref="L419:M419"/>
    <mergeCell ref="A414:B416"/>
    <mergeCell ref="C414:E414"/>
    <mergeCell ref="L414:M414"/>
    <mergeCell ref="C415:E415"/>
    <mergeCell ref="L415:M415"/>
    <mergeCell ref="C416:E416"/>
    <mergeCell ref="L416:M416"/>
    <mergeCell ref="A411:B413"/>
    <mergeCell ref="C411:E411"/>
    <mergeCell ref="L411:M411"/>
    <mergeCell ref="C412:E412"/>
    <mergeCell ref="L412:M412"/>
    <mergeCell ref="C413:E413"/>
    <mergeCell ref="L413:M413"/>
    <mergeCell ref="A408:B410"/>
    <mergeCell ref="C408:E408"/>
    <mergeCell ref="L408:M408"/>
    <mergeCell ref="C409:E409"/>
    <mergeCell ref="L409:M409"/>
    <mergeCell ref="C410:E410"/>
    <mergeCell ref="L410:M410"/>
    <mergeCell ref="C404:E404"/>
    <mergeCell ref="L404:M404"/>
    <mergeCell ref="A405:B407"/>
    <mergeCell ref="C405:E405"/>
    <mergeCell ref="L405:M405"/>
    <mergeCell ref="C406:E406"/>
    <mergeCell ref="L406:M406"/>
    <mergeCell ref="C407:E407"/>
    <mergeCell ref="L407:M407"/>
    <mergeCell ref="A399:B401"/>
    <mergeCell ref="C399:E399"/>
    <mergeCell ref="L399:M401"/>
    <mergeCell ref="C400:E400"/>
    <mergeCell ref="C401:E401"/>
    <mergeCell ref="A402:B404"/>
    <mergeCell ref="C402:E402"/>
    <mergeCell ref="L402:M402"/>
    <mergeCell ref="C403:E403"/>
    <mergeCell ref="L403:M403"/>
    <mergeCell ref="A396:B398"/>
    <mergeCell ref="C396:E396"/>
    <mergeCell ref="L396:M396"/>
    <mergeCell ref="C397:E397"/>
    <mergeCell ref="L397:M397"/>
    <mergeCell ref="C398:E398"/>
    <mergeCell ref="L398:M398"/>
    <mergeCell ref="A393:B395"/>
    <mergeCell ref="C393:E393"/>
    <mergeCell ref="L393:M393"/>
    <mergeCell ref="C394:E394"/>
    <mergeCell ref="L394:M394"/>
    <mergeCell ref="C395:E395"/>
    <mergeCell ref="L395:M395"/>
    <mergeCell ref="A390:B392"/>
    <mergeCell ref="C390:E390"/>
    <mergeCell ref="L390:M390"/>
    <mergeCell ref="C391:E391"/>
    <mergeCell ref="L391:M391"/>
    <mergeCell ref="C392:E392"/>
    <mergeCell ref="L392:M392"/>
    <mergeCell ref="A387:B389"/>
    <mergeCell ref="C387:E387"/>
    <mergeCell ref="L387:M387"/>
    <mergeCell ref="C388:E388"/>
    <mergeCell ref="L388:M388"/>
    <mergeCell ref="C389:E389"/>
    <mergeCell ref="L389:M389"/>
    <mergeCell ref="A384:B386"/>
    <mergeCell ref="C384:E384"/>
    <mergeCell ref="L384:M384"/>
    <mergeCell ref="C385:E385"/>
    <mergeCell ref="L385:M385"/>
    <mergeCell ref="C386:E386"/>
    <mergeCell ref="L386:M386"/>
    <mergeCell ref="A381:B383"/>
    <mergeCell ref="C381:E381"/>
    <mergeCell ref="L381:M381"/>
    <mergeCell ref="C382:E382"/>
    <mergeCell ref="L382:M382"/>
    <mergeCell ref="C383:E383"/>
    <mergeCell ref="L383:M383"/>
    <mergeCell ref="A378:B380"/>
    <mergeCell ref="C378:E378"/>
    <mergeCell ref="L378:M378"/>
    <mergeCell ref="C379:E379"/>
    <mergeCell ref="L379:M379"/>
    <mergeCell ref="C380:E380"/>
    <mergeCell ref="L380:M380"/>
    <mergeCell ref="A375:B377"/>
    <mergeCell ref="C375:E375"/>
    <mergeCell ref="L375:M375"/>
    <mergeCell ref="C376:E376"/>
    <mergeCell ref="L376:M376"/>
    <mergeCell ref="C377:E377"/>
    <mergeCell ref="L377:M377"/>
    <mergeCell ref="A372:B374"/>
    <mergeCell ref="C372:E372"/>
    <mergeCell ref="L372:M372"/>
    <mergeCell ref="C373:E373"/>
    <mergeCell ref="L373:M373"/>
    <mergeCell ref="C374:E374"/>
    <mergeCell ref="L374:M374"/>
    <mergeCell ref="A369:B371"/>
    <mergeCell ref="C369:E369"/>
    <mergeCell ref="L369:M369"/>
    <mergeCell ref="C370:E370"/>
    <mergeCell ref="L370:M370"/>
    <mergeCell ref="C371:E371"/>
    <mergeCell ref="L371:M371"/>
    <mergeCell ref="A366:B368"/>
    <mergeCell ref="C366:E366"/>
    <mergeCell ref="L366:M366"/>
    <mergeCell ref="C367:E367"/>
    <mergeCell ref="L367:M367"/>
    <mergeCell ref="C368:E368"/>
    <mergeCell ref="L368:M368"/>
    <mergeCell ref="A363:B365"/>
    <mergeCell ref="C363:E363"/>
    <mergeCell ref="L363:M363"/>
    <mergeCell ref="C364:E364"/>
    <mergeCell ref="L364:M364"/>
    <mergeCell ref="C365:E365"/>
    <mergeCell ref="L365:M365"/>
    <mergeCell ref="A360:B362"/>
    <mergeCell ref="C360:E360"/>
    <mergeCell ref="L360:M360"/>
    <mergeCell ref="C361:E361"/>
    <mergeCell ref="L361:M361"/>
    <mergeCell ref="C362:E362"/>
    <mergeCell ref="L362:M362"/>
    <mergeCell ref="A357:B359"/>
    <mergeCell ref="C357:E357"/>
    <mergeCell ref="L357:M357"/>
    <mergeCell ref="C358:E358"/>
    <mergeCell ref="L358:M358"/>
    <mergeCell ref="C359:E359"/>
    <mergeCell ref="L359:M359"/>
    <mergeCell ref="A354:B356"/>
    <mergeCell ref="C354:E354"/>
    <mergeCell ref="L354:M354"/>
    <mergeCell ref="C355:E355"/>
    <mergeCell ref="L355:M355"/>
    <mergeCell ref="C356:E356"/>
    <mergeCell ref="L356:M356"/>
    <mergeCell ref="A351:B353"/>
    <mergeCell ref="C351:E351"/>
    <mergeCell ref="L351:M351"/>
    <mergeCell ref="C352:E352"/>
    <mergeCell ref="L352:M352"/>
    <mergeCell ref="C353:E353"/>
    <mergeCell ref="L353:M353"/>
    <mergeCell ref="A348:B350"/>
    <mergeCell ref="C348:E348"/>
    <mergeCell ref="L348:M348"/>
    <mergeCell ref="C349:E349"/>
    <mergeCell ref="L349:M349"/>
    <mergeCell ref="C350:E350"/>
    <mergeCell ref="L350:M350"/>
    <mergeCell ref="A345:B347"/>
    <mergeCell ref="C345:E345"/>
    <mergeCell ref="L345:M345"/>
    <mergeCell ref="C346:E346"/>
    <mergeCell ref="L346:M346"/>
    <mergeCell ref="C347:E347"/>
    <mergeCell ref="L347:M347"/>
    <mergeCell ref="A342:B344"/>
    <mergeCell ref="C342:E342"/>
    <mergeCell ref="L342:M342"/>
    <mergeCell ref="C343:E343"/>
    <mergeCell ref="L343:M343"/>
    <mergeCell ref="C344:E344"/>
    <mergeCell ref="L344:M344"/>
    <mergeCell ref="A339:B341"/>
    <mergeCell ref="C339:E339"/>
    <mergeCell ref="L339:M339"/>
    <mergeCell ref="O339:P339"/>
    <mergeCell ref="C340:E340"/>
    <mergeCell ref="C341:E341"/>
    <mergeCell ref="A335:B335"/>
    <mergeCell ref="C335:E335"/>
    <mergeCell ref="L335:M335"/>
    <mergeCell ref="O335:O336"/>
    <mergeCell ref="P335:P336"/>
    <mergeCell ref="A336:B338"/>
    <mergeCell ref="C336:E336"/>
    <mergeCell ref="L336:M336"/>
    <mergeCell ref="C337:E337"/>
    <mergeCell ref="C338:E338"/>
    <mergeCell ref="O330:O331"/>
    <mergeCell ref="P330:P331"/>
    <mergeCell ref="C331:E331"/>
    <mergeCell ref="C332:E332"/>
    <mergeCell ref="C333:E333"/>
    <mergeCell ref="C334:E334"/>
    <mergeCell ref="A328:B334"/>
    <mergeCell ref="C328:E328"/>
    <mergeCell ref="L328:M328"/>
    <mergeCell ref="C329:E329"/>
    <mergeCell ref="L329:M329"/>
    <mergeCell ref="C330:E330"/>
    <mergeCell ref="L330:M330"/>
    <mergeCell ref="A325:B325"/>
    <mergeCell ref="L325:M325"/>
    <mergeCell ref="A326:B327"/>
    <mergeCell ref="C326:E326"/>
    <mergeCell ref="L326:M326"/>
    <mergeCell ref="C327:E327"/>
    <mergeCell ref="L327:M327"/>
    <mergeCell ref="A322:B322"/>
    <mergeCell ref="L322:M322"/>
    <mergeCell ref="A323:B323"/>
    <mergeCell ref="L323:M323"/>
    <mergeCell ref="A324:B324"/>
    <mergeCell ref="L324:M324"/>
    <mergeCell ref="A318:B318"/>
    <mergeCell ref="A319:B319"/>
    <mergeCell ref="L319:M319"/>
    <mergeCell ref="A320:B320"/>
    <mergeCell ref="L320:M320"/>
    <mergeCell ref="A321:B321"/>
    <mergeCell ref="L321:M321"/>
    <mergeCell ref="A315:B315"/>
    <mergeCell ref="L315:M315"/>
    <mergeCell ref="A316:B316"/>
    <mergeCell ref="L316:M316"/>
    <mergeCell ref="N316:N317"/>
    <mergeCell ref="A317:B317"/>
    <mergeCell ref="L317:M317"/>
    <mergeCell ref="A309:B309"/>
    <mergeCell ref="A310:B310"/>
    <mergeCell ref="A311:B311"/>
    <mergeCell ref="A312:B312"/>
    <mergeCell ref="A313:B313"/>
    <mergeCell ref="A314:B314"/>
    <mergeCell ref="A306:B306"/>
    <mergeCell ref="L306:M306"/>
    <mergeCell ref="A307:B307"/>
    <mergeCell ref="L307:M307"/>
    <mergeCell ref="A308:B308"/>
    <mergeCell ref="L308:M308"/>
    <mergeCell ref="A303:B303"/>
    <mergeCell ref="L303:M303"/>
    <mergeCell ref="A304:B304"/>
    <mergeCell ref="L304:M304"/>
    <mergeCell ref="A305:B305"/>
    <mergeCell ref="L305:M305"/>
    <mergeCell ref="A299:B299"/>
    <mergeCell ref="A300:B300"/>
    <mergeCell ref="L300:M300"/>
    <mergeCell ref="A301:B301"/>
    <mergeCell ref="L301:M301"/>
    <mergeCell ref="A302:B302"/>
    <mergeCell ref="L302:M302"/>
    <mergeCell ref="A296:B296"/>
    <mergeCell ref="L296:M296"/>
    <mergeCell ref="A297:B297"/>
    <mergeCell ref="L297:M297"/>
    <mergeCell ref="N297:N298"/>
    <mergeCell ref="A298:B298"/>
    <mergeCell ref="L298:M298"/>
    <mergeCell ref="A293:B293"/>
    <mergeCell ref="L293:M293"/>
    <mergeCell ref="A294:B294"/>
    <mergeCell ref="L294:M294"/>
    <mergeCell ref="A295:B295"/>
    <mergeCell ref="L295:M295"/>
    <mergeCell ref="A290:B290"/>
    <mergeCell ref="L290:M290"/>
    <mergeCell ref="A291:B291"/>
    <mergeCell ref="L291:M291"/>
    <mergeCell ref="A292:B292"/>
    <mergeCell ref="L292:M292"/>
    <mergeCell ref="A287:B287"/>
    <mergeCell ref="L287:M287"/>
    <mergeCell ref="A288:B288"/>
    <mergeCell ref="L288:M288"/>
    <mergeCell ref="A289:B289"/>
    <mergeCell ref="L289:M289"/>
    <mergeCell ref="A284:B284"/>
    <mergeCell ref="L284:M284"/>
    <mergeCell ref="A285:B285"/>
    <mergeCell ref="L285:M285"/>
    <mergeCell ref="A286:B286"/>
    <mergeCell ref="L286:M286"/>
    <mergeCell ref="A281:B281"/>
    <mergeCell ref="L281:M281"/>
    <mergeCell ref="A282:B282"/>
    <mergeCell ref="L282:M282"/>
    <mergeCell ref="A283:B283"/>
    <mergeCell ref="L283:M283"/>
    <mergeCell ref="A278:B278"/>
    <mergeCell ref="L278:M278"/>
    <mergeCell ref="A279:B279"/>
    <mergeCell ref="L279:M279"/>
    <mergeCell ref="A280:B280"/>
    <mergeCell ref="L280:M280"/>
    <mergeCell ref="A275:B275"/>
    <mergeCell ref="L275:M275"/>
    <mergeCell ref="A276:B276"/>
    <mergeCell ref="L276:M276"/>
    <mergeCell ref="A277:B277"/>
    <mergeCell ref="L277:M277"/>
    <mergeCell ref="A272:B272"/>
    <mergeCell ref="L272:M272"/>
    <mergeCell ref="A273:B273"/>
    <mergeCell ref="L273:M273"/>
    <mergeCell ref="A274:B274"/>
    <mergeCell ref="L274:M274"/>
    <mergeCell ref="A269:B269"/>
    <mergeCell ref="L269:M269"/>
    <mergeCell ref="A270:B270"/>
    <mergeCell ref="L270:M270"/>
    <mergeCell ref="A271:B271"/>
    <mergeCell ref="L271:M271"/>
    <mergeCell ref="A266:B266"/>
    <mergeCell ref="L266:M266"/>
    <mergeCell ref="A267:B267"/>
    <mergeCell ref="L267:M267"/>
    <mergeCell ref="A268:B268"/>
    <mergeCell ref="L268:M268"/>
    <mergeCell ref="A263:B263"/>
    <mergeCell ref="L263:M263"/>
    <mergeCell ref="A264:B264"/>
    <mergeCell ref="L264:M264"/>
    <mergeCell ref="A265:B265"/>
    <mergeCell ref="L265:M265"/>
    <mergeCell ref="A260:B260"/>
    <mergeCell ref="L260:M260"/>
    <mergeCell ref="A261:B261"/>
    <mergeCell ref="L261:M261"/>
    <mergeCell ref="A262:B262"/>
    <mergeCell ref="L262:M262"/>
    <mergeCell ref="A256:B256"/>
    <mergeCell ref="A257:B257"/>
    <mergeCell ref="L257:M257"/>
    <mergeCell ref="A258:B258"/>
    <mergeCell ref="L258:M258"/>
    <mergeCell ref="A259:B259"/>
    <mergeCell ref="L259:M259"/>
    <mergeCell ref="A253:B253"/>
    <mergeCell ref="L253:M253"/>
    <mergeCell ref="A254:B254"/>
    <mergeCell ref="L254:M254"/>
    <mergeCell ref="N254:N255"/>
    <mergeCell ref="A255:B255"/>
    <mergeCell ref="L255:M255"/>
    <mergeCell ref="A250:B250"/>
    <mergeCell ref="L250:M250"/>
    <mergeCell ref="A251:B251"/>
    <mergeCell ref="L251:M251"/>
    <mergeCell ref="A252:B252"/>
    <mergeCell ref="L252:M252"/>
    <mergeCell ref="A247:B247"/>
    <mergeCell ref="L247:M247"/>
    <mergeCell ref="A248:B248"/>
    <mergeCell ref="L248:M248"/>
    <mergeCell ref="A249:B249"/>
    <mergeCell ref="L249:M249"/>
    <mergeCell ref="A244:B244"/>
    <mergeCell ref="L244:M244"/>
    <mergeCell ref="A245:B245"/>
    <mergeCell ref="L245:M245"/>
    <mergeCell ref="A246:B246"/>
    <mergeCell ref="L246:M246"/>
    <mergeCell ref="A241:B241"/>
    <mergeCell ref="L241:M241"/>
    <mergeCell ref="A242:B242"/>
    <mergeCell ref="L242:M242"/>
    <mergeCell ref="A243:B243"/>
    <mergeCell ref="L243:M243"/>
    <mergeCell ref="A238:B238"/>
    <mergeCell ref="L238:M238"/>
    <mergeCell ref="A239:B239"/>
    <mergeCell ref="L239:M239"/>
    <mergeCell ref="A240:B240"/>
    <mergeCell ref="L240:M240"/>
    <mergeCell ref="A235:B235"/>
    <mergeCell ref="L235:M235"/>
    <mergeCell ref="A236:B236"/>
    <mergeCell ref="L236:M236"/>
    <mergeCell ref="A237:B237"/>
    <mergeCell ref="L237:M237"/>
    <mergeCell ref="A232:B232"/>
    <mergeCell ref="L232:M232"/>
    <mergeCell ref="A233:B233"/>
    <mergeCell ref="L233:M233"/>
    <mergeCell ref="A234:B234"/>
    <mergeCell ref="L234:M234"/>
    <mergeCell ref="A229:B229"/>
    <mergeCell ref="L229:M229"/>
    <mergeCell ref="A230:B230"/>
    <mergeCell ref="L230:M230"/>
    <mergeCell ref="A231:B231"/>
    <mergeCell ref="L231:M231"/>
    <mergeCell ref="A226:B226"/>
    <mergeCell ref="L226:M226"/>
    <mergeCell ref="A227:B227"/>
    <mergeCell ref="L227:M227"/>
    <mergeCell ref="A228:B228"/>
    <mergeCell ref="L228:M228"/>
    <mergeCell ref="A223:B223"/>
    <mergeCell ref="L223:M223"/>
    <mergeCell ref="A224:B224"/>
    <mergeCell ref="L224:M224"/>
    <mergeCell ref="A225:B225"/>
    <mergeCell ref="L225:M225"/>
    <mergeCell ref="A220:B220"/>
    <mergeCell ref="L220:M220"/>
    <mergeCell ref="A221:B221"/>
    <mergeCell ref="L221:M221"/>
    <mergeCell ref="A222:B222"/>
    <mergeCell ref="L222:M222"/>
    <mergeCell ref="A217:B217"/>
    <mergeCell ref="L217:M217"/>
    <mergeCell ref="A218:B218"/>
    <mergeCell ref="L218:M218"/>
    <mergeCell ref="A219:B219"/>
    <mergeCell ref="L219:M219"/>
    <mergeCell ref="A214:B214"/>
    <mergeCell ref="L214:M214"/>
    <mergeCell ref="A215:B215"/>
    <mergeCell ref="L215:M215"/>
    <mergeCell ref="A216:B216"/>
    <mergeCell ref="L216:M216"/>
    <mergeCell ref="A211:B211"/>
    <mergeCell ref="L211:M211"/>
    <mergeCell ref="A212:B212"/>
    <mergeCell ref="L212:M212"/>
    <mergeCell ref="A213:B213"/>
    <mergeCell ref="L213:M213"/>
    <mergeCell ref="A208:B208"/>
    <mergeCell ref="L208:M208"/>
    <mergeCell ref="A209:B209"/>
    <mergeCell ref="L209:M209"/>
    <mergeCell ref="A210:B210"/>
    <mergeCell ref="L210:M210"/>
    <mergeCell ref="A205:B205"/>
    <mergeCell ref="L205:M205"/>
    <mergeCell ref="A206:B206"/>
    <mergeCell ref="L206:M206"/>
    <mergeCell ref="A207:B207"/>
    <mergeCell ref="L207:M207"/>
    <mergeCell ref="A202:B202"/>
    <mergeCell ref="L202:M202"/>
    <mergeCell ref="A203:B203"/>
    <mergeCell ref="L203:M203"/>
    <mergeCell ref="A204:B204"/>
    <mergeCell ref="L204:M204"/>
    <mergeCell ref="A199:B199"/>
    <mergeCell ref="L199:M199"/>
    <mergeCell ref="A200:B200"/>
    <mergeCell ref="L200:M200"/>
    <mergeCell ref="A201:B201"/>
    <mergeCell ref="L201:M201"/>
    <mergeCell ref="A196:B196"/>
    <mergeCell ref="L196:M196"/>
    <mergeCell ref="A197:B197"/>
    <mergeCell ref="L197:M197"/>
    <mergeCell ref="A198:B198"/>
    <mergeCell ref="L198:M198"/>
    <mergeCell ref="A193:B193"/>
    <mergeCell ref="L193:M193"/>
    <mergeCell ref="A194:B194"/>
    <mergeCell ref="L194:M194"/>
    <mergeCell ref="A195:B195"/>
    <mergeCell ref="L195:M195"/>
    <mergeCell ref="A189:B189"/>
    <mergeCell ref="A190:B190"/>
    <mergeCell ref="L190:M190"/>
    <mergeCell ref="A191:B191"/>
    <mergeCell ref="L191:M191"/>
    <mergeCell ref="A192:B192"/>
    <mergeCell ref="L192:M192"/>
    <mergeCell ref="A186:B186"/>
    <mergeCell ref="L186:M186"/>
    <mergeCell ref="A187:B187"/>
    <mergeCell ref="L187:M187"/>
    <mergeCell ref="N187:N188"/>
    <mergeCell ref="A188:B188"/>
    <mergeCell ref="L188:M188"/>
    <mergeCell ref="A183:B183"/>
    <mergeCell ref="L183:M183"/>
    <mergeCell ref="A184:B184"/>
    <mergeCell ref="L184:M184"/>
    <mergeCell ref="A185:B185"/>
    <mergeCell ref="L185:M185"/>
    <mergeCell ref="A180:B180"/>
    <mergeCell ref="L180:M180"/>
    <mergeCell ref="A181:B181"/>
    <mergeCell ref="L181:M181"/>
    <mergeCell ref="A182:B182"/>
    <mergeCell ref="L182:M182"/>
    <mergeCell ref="A177:B177"/>
    <mergeCell ref="L177:M177"/>
    <mergeCell ref="A178:B178"/>
    <mergeCell ref="L178:M178"/>
    <mergeCell ref="A179:B179"/>
    <mergeCell ref="L179:M179"/>
    <mergeCell ref="A174:B174"/>
    <mergeCell ref="L174:M174"/>
    <mergeCell ref="A175:B175"/>
    <mergeCell ref="L175:M175"/>
    <mergeCell ref="A176:B176"/>
    <mergeCell ref="L176:M176"/>
    <mergeCell ref="A171:B171"/>
    <mergeCell ref="L171:M171"/>
    <mergeCell ref="A172:B172"/>
    <mergeCell ref="L172:M172"/>
    <mergeCell ref="A173:B173"/>
    <mergeCell ref="L173:M173"/>
    <mergeCell ref="A168:B168"/>
    <mergeCell ref="L168:M168"/>
    <mergeCell ref="A169:B169"/>
    <mergeCell ref="L169:M169"/>
    <mergeCell ref="A170:B170"/>
    <mergeCell ref="L170:M170"/>
    <mergeCell ref="A165:B165"/>
    <mergeCell ref="L165:M165"/>
    <mergeCell ref="A166:B166"/>
    <mergeCell ref="L166:M166"/>
    <mergeCell ref="A167:B167"/>
    <mergeCell ref="L167:M167"/>
    <mergeCell ref="A162:B162"/>
    <mergeCell ref="L162:M162"/>
    <mergeCell ref="A163:B163"/>
    <mergeCell ref="L163:M163"/>
    <mergeCell ref="A164:B164"/>
    <mergeCell ref="L164:M164"/>
    <mergeCell ref="A159:B159"/>
    <mergeCell ref="L159:M159"/>
    <mergeCell ref="A160:B160"/>
    <mergeCell ref="L160:M160"/>
    <mergeCell ref="A161:B161"/>
    <mergeCell ref="L161:M161"/>
    <mergeCell ref="N155:N156"/>
    <mergeCell ref="A156:B156"/>
    <mergeCell ref="L156:M156"/>
    <mergeCell ref="A157:B157"/>
    <mergeCell ref="A158:B158"/>
    <mergeCell ref="L158:M158"/>
    <mergeCell ref="A153:B153"/>
    <mergeCell ref="L153:M153"/>
    <mergeCell ref="A154:B154"/>
    <mergeCell ref="L154:M154"/>
    <mergeCell ref="A155:B155"/>
    <mergeCell ref="L155:M155"/>
    <mergeCell ref="A150:B150"/>
    <mergeCell ref="L150:M150"/>
    <mergeCell ref="A151:B151"/>
    <mergeCell ref="L151:M151"/>
    <mergeCell ref="A152:B152"/>
    <mergeCell ref="L152:M152"/>
    <mergeCell ref="A147:B147"/>
    <mergeCell ref="L147:M147"/>
    <mergeCell ref="A148:B148"/>
    <mergeCell ref="L148:M148"/>
    <mergeCell ref="A149:B149"/>
    <mergeCell ref="L149:M149"/>
    <mergeCell ref="A144:B144"/>
    <mergeCell ref="L144:M144"/>
    <mergeCell ref="A145:B145"/>
    <mergeCell ref="L145:M145"/>
    <mergeCell ref="A146:B146"/>
    <mergeCell ref="L146:M146"/>
    <mergeCell ref="A141:B141"/>
    <mergeCell ref="L141:M141"/>
    <mergeCell ref="A142:B142"/>
    <mergeCell ref="L142:M142"/>
    <mergeCell ref="A143:B143"/>
    <mergeCell ref="L143:M143"/>
    <mergeCell ref="A138:B138"/>
    <mergeCell ref="L138:M138"/>
    <mergeCell ref="A139:B139"/>
    <mergeCell ref="L139:M139"/>
    <mergeCell ref="A140:B140"/>
    <mergeCell ref="L140:M140"/>
    <mergeCell ref="A135:B135"/>
    <mergeCell ref="L135:M135"/>
    <mergeCell ref="A136:B136"/>
    <mergeCell ref="L136:M136"/>
    <mergeCell ref="A137:B137"/>
    <mergeCell ref="L137:M137"/>
    <mergeCell ref="A132:B132"/>
    <mergeCell ref="L132:M132"/>
    <mergeCell ref="A133:B133"/>
    <mergeCell ref="L133:M133"/>
    <mergeCell ref="A134:B134"/>
    <mergeCell ref="L134:M134"/>
    <mergeCell ref="A129:B129"/>
    <mergeCell ref="L129:M129"/>
    <mergeCell ref="A130:B130"/>
    <mergeCell ref="L130:M130"/>
    <mergeCell ref="A131:B131"/>
    <mergeCell ref="L131:M131"/>
    <mergeCell ref="A126:B126"/>
    <mergeCell ref="L126:M126"/>
    <mergeCell ref="A127:B127"/>
    <mergeCell ref="L127:M127"/>
    <mergeCell ref="A128:B128"/>
    <mergeCell ref="L128:M128"/>
    <mergeCell ref="A123:B123"/>
    <mergeCell ref="L123:M123"/>
    <mergeCell ref="A124:B124"/>
    <mergeCell ref="L124:M124"/>
    <mergeCell ref="A125:B125"/>
    <mergeCell ref="L125:M125"/>
    <mergeCell ref="A120:B120"/>
    <mergeCell ref="L120:M120"/>
    <mergeCell ref="A121:B121"/>
    <mergeCell ref="L121:M121"/>
    <mergeCell ref="A122:B122"/>
    <mergeCell ref="L122:M122"/>
    <mergeCell ref="A117:B117"/>
    <mergeCell ref="L117:M117"/>
    <mergeCell ref="A118:B118"/>
    <mergeCell ref="L118:M118"/>
    <mergeCell ref="A119:B119"/>
    <mergeCell ref="L119:M119"/>
    <mergeCell ref="A114:B114"/>
    <mergeCell ref="L114:M114"/>
    <mergeCell ref="A115:B115"/>
    <mergeCell ref="L115:M115"/>
    <mergeCell ref="A116:B116"/>
    <mergeCell ref="L116:M116"/>
    <mergeCell ref="A111:B111"/>
    <mergeCell ref="L111:M111"/>
    <mergeCell ref="A112:B112"/>
    <mergeCell ref="L112:M112"/>
    <mergeCell ref="A113:B113"/>
    <mergeCell ref="L113:M113"/>
    <mergeCell ref="A108:B108"/>
    <mergeCell ref="L108:M108"/>
    <mergeCell ref="A109:B109"/>
    <mergeCell ref="L109:M109"/>
    <mergeCell ref="A110:B110"/>
    <mergeCell ref="L110:M110"/>
    <mergeCell ref="A105:B105"/>
    <mergeCell ref="L105:M105"/>
    <mergeCell ref="A106:B106"/>
    <mergeCell ref="L106:M106"/>
    <mergeCell ref="A107:B107"/>
    <mergeCell ref="L107:M107"/>
    <mergeCell ref="A102:B102"/>
    <mergeCell ref="L102:M102"/>
    <mergeCell ref="A103:B103"/>
    <mergeCell ref="L103:M103"/>
    <mergeCell ref="A104:B104"/>
    <mergeCell ref="L104:M104"/>
    <mergeCell ref="A99:B99"/>
    <mergeCell ref="L99:M99"/>
    <mergeCell ref="A100:B100"/>
    <mergeCell ref="L100:M100"/>
    <mergeCell ref="A101:B101"/>
    <mergeCell ref="L101:M101"/>
    <mergeCell ref="A96:B96"/>
    <mergeCell ref="L96:M96"/>
    <mergeCell ref="A97:B97"/>
    <mergeCell ref="L97:M97"/>
    <mergeCell ref="A98:B98"/>
    <mergeCell ref="L98:M98"/>
    <mergeCell ref="N92:N93"/>
    <mergeCell ref="A93:B93"/>
    <mergeCell ref="L93:M93"/>
    <mergeCell ref="A94:B94"/>
    <mergeCell ref="A95:B95"/>
    <mergeCell ref="L95:M95"/>
    <mergeCell ref="A90:B90"/>
    <mergeCell ref="L90:M90"/>
    <mergeCell ref="A91:B91"/>
    <mergeCell ref="L91:M91"/>
    <mergeCell ref="A92:B92"/>
    <mergeCell ref="L92:M92"/>
    <mergeCell ref="A87:B87"/>
    <mergeCell ref="L87:M87"/>
    <mergeCell ref="A88:B88"/>
    <mergeCell ref="L88:M88"/>
    <mergeCell ref="A89:B89"/>
    <mergeCell ref="L89:M89"/>
    <mergeCell ref="A84:B84"/>
    <mergeCell ref="L84:M84"/>
    <mergeCell ref="A85:B85"/>
    <mergeCell ref="L85:M85"/>
    <mergeCell ref="A86:B86"/>
    <mergeCell ref="L86:M86"/>
    <mergeCell ref="A81:B81"/>
    <mergeCell ref="L81:M81"/>
    <mergeCell ref="A82:B82"/>
    <mergeCell ref="L82:M82"/>
    <mergeCell ref="A83:B83"/>
    <mergeCell ref="L83:M83"/>
    <mergeCell ref="A78:B78"/>
    <mergeCell ref="L78:M78"/>
    <mergeCell ref="A79:B79"/>
    <mergeCell ref="L79:M79"/>
    <mergeCell ref="A80:B80"/>
    <mergeCell ref="L80:M80"/>
    <mergeCell ref="A75:B75"/>
    <mergeCell ref="L75:M75"/>
    <mergeCell ref="A76:B76"/>
    <mergeCell ref="L76:M76"/>
    <mergeCell ref="A77:B77"/>
    <mergeCell ref="L77:M77"/>
    <mergeCell ref="A72:B72"/>
    <mergeCell ref="L72:M72"/>
    <mergeCell ref="A73:B73"/>
    <mergeCell ref="L73:M73"/>
    <mergeCell ref="A74:B74"/>
    <mergeCell ref="L74:M74"/>
    <mergeCell ref="A69:B69"/>
    <mergeCell ref="L69:M69"/>
    <mergeCell ref="A70:B70"/>
    <mergeCell ref="L70:M70"/>
    <mergeCell ref="A71:B71"/>
    <mergeCell ref="L71:M71"/>
    <mergeCell ref="A66:B66"/>
    <mergeCell ref="L66:M66"/>
    <mergeCell ref="A67:B67"/>
    <mergeCell ref="L67:M67"/>
    <mergeCell ref="A68:B68"/>
    <mergeCell ref="L68:M68"/>
    <mergeCell ref="A63:B63"/>
    <mergeCell ref="L63:M63"/>
    <mergeCell ref="A64:B64"/>
    <mergeCell ref="L64:M64"/>
    <mergeCell ref="A65:B65"/>
    <mergeCell ref="L65:M65"/>
    <mergeCell ref="A60:B60"/>
    <mergeCell ref="L60:M60"/>
    <mergeCell ref="A61:B61"/>
    <mergeCell ref="L61:M61"/>
    <mergeCell ref="A62:B62"/>
    <mergeCell ref="L62:M62"/>
    <mergeCell ref="A57:B57"/>
    <mergeCell ref="L57:M57"/>
    <mergeCell ref="A58:B58"/>
    <mergeCell ref="L58:M58"/>
    <mergeCell ref="A59:B59"/>
    <mergeCell ref="L59:M59"/>
    <mergeCell ref="A54:B54"/>
    <mergeCell ref="L54:M54"/>
    <mergeCell ref="A55:B55"/>
    <mergeCell ref="L55:M55"/>
    <mergeCell ref="A56:B56"/>
    <mergeCell ref="L56:M56"/>
    <mergeCell ref="A51:B51"/>
    <mergeCell ref="L51:M51"/>
    <mergeCell ref="A52:B52"/>
    <mergeCell ref="L52:M52"/>
    <mergeCell ref="A53:B53"/>
    <mergeCell ref="L53:M53"/>
    <mergeCell ref="A48:B48"/>
    <mergeCell ref="L48:M48"/>
    <mergeCell ref="A49:B49"/>
    <mergeCell ref="L49:M49"/>
    <mergeCell ref="A50:B50"/>
    <mergeCell ref="L50:M50"/>
    <mergeCell ref="A45:B45"/>
    <mergeCell ref="L45:M45"/>
    <mergeCell ref="A46:B46"/>
    <mergeCell ref="L46:M46"/>
    <mergeCell ref="A47:B47"/>
    <mergeCell ref="L47:M47"/>
    <mergeCell ref="A42:B42"/>
    <mergeCell ref="L42:M42"/>
    <mergeCell ref="A43:B43"/>
    <mergeCell ref="L43:M43"/>
    <mergeCell ref="A44:B44"/>
    <mergeCell ref="L44:M44"/>
    <mergeCell ref="A39:B39"/>
    <mergeCell ref="L39:M39"/>
    <mergeCell ref="A40:B40"/>
    <mergeCell ref="L40:M40"/>
    <mergeCell ref="A41:B41"/>
    <mergeCell ref="L41:M41"/>
    <mergeCell ref="A36:B36"/>
    <mergeCell ref="L36:M36"/>
    <mergeCell ref="A37:B37"/>
    <mergeCell ref="L37:M37"/>
    <mergeCell ref="A38:B38"/>
    <mergeCell ref="L38:M38"/>
    <mergeCell ref="A33:B33"/>
    <mergeCell ref="L33:M33"/>
    <mergeCell ref="A34:B34"/>
    <mergeCell ref="L34:M34"/>
    <mergeCell ref="A35:B35"/>
    <mergeCell ref="L35:M35"/>
    <mergeCell ref="N29:N30"/>
    <mergeCell ref="A30:B30"/>
    <mergeCell ref="L30:M30"/>
    <mergeCell ref="A31:B31"/>
    <mergeCell ref="A32:B32"/>
    <mergeCell ref="L32:M32"/>
    <mergeCell ref="A27:B28"/>
    <mergeCell ref="C27:E27"/>
    <mergeCell ref="L27:M27"/>
    <mergeCell ref="C28:E28"/>
    <mergeCell ref="L28:M28"/>
    <mergeCell ref="A29:B29"/>
    <mergeCell ref="L29:M29"/>
    <mergeCell ref="A23:B26"/>
    <mergeCell ref="D23:E23"/>
    <mergeCell ref="L23:M26"/>
    <mergeCell ref="D24:E24"/>
    <mergeCell ref="D25:E25"/>
    <mergeCell ref="D26:E26"/>
    <mergeCell ref="L16:M17"/>
    <mergeCell ref="A18:B19"/>
    <mergeCell ref="D18:E18"/>
    <mergeCell ref="L18:M19"/>
    <mergeCell ref="D19:E19"/>
    <mergeCell ref="A20:B22"/>
    <mergeCell ref="D20:E20"/>
    <mergeCell ref="L20:M22"/>
    <mergeCell ref="D21:E21"/>
    <mergeCell ref="D22:E22"/>
    <mergeCell ref="A9:B9"/>
    <mergeCell ref="A10:B10"/>
    <mergeCell ref="H13:I13"/>
    <mergeCell ref="H14:I14"/>
    <mergeCell ref="A16:B17"/>
    <mergeCell ref="C16:D16"/>
    <mergeCell ref="K1:L4"/>
    <mergeCell ref="E2:J2"/>
    <mergeCell ref="H5:I5"/>
    <mergeCell ref="H6:I6"/>
    <mergeCell ref="L7:M7"/>
    <mergeCell ref="H8:I8"/>
    <mergeCell ref="L8:M8"/>
  </mergeCells>
  <printOptions horizontalCentered="1" gridLines="1"/>
  <pageMargins left="0.2" right="0.2" top="0.75" bottom="0.5" header="0" footer="0"/>
  <pageSetup scale="72" fitToHeight="0" orientation="portrait" r:id="rId1"/>
  <headerFooter>
    <oddHeader>&amp;L&amp;"Calibri"&amp;9&amp;K000000Classification: Internal&amp;1#</oddHeader>
    <oddFooter>Page 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T1461"/>
  <sheetViews>
    <sheetView topLeftCell="A178" zoomScaleNormal="100" zoomScaleSheetLayoutView="115" workbookViewId="0">
      <selection activeCell="M185" sqref="M185:N185"/>
    </sheetView>
  </sheetViews>
  <sheetFormatPr defaultColWidth="11.42578125" defaultRowHeight="15"/>
  <cols>
    <col min="1" max="1" width="8.5703125" style="25" customWidth="1"/>
    <col min="2" max="2" width="9.28515625" style="11" customWidth="1"/>
    <col min="3" max="3" width="4.7109375" style="8" customWidth="1"/>
    <col min="4" max="4" width="12.42578125" style="5" customWidth="1"/>
    <col min="5" max="5" width="16.5703125" style="5" customWidth="1"/>
    <col min="6" max="6" width="7.28515625" style="9" customWidth="1"/>
    <col min="7" max="7" width="9.28515625" style="9" customWidth="1"/>
    <col min="8" max="8" width="7.7109375" style="9" customWidth="1"/>
    <col min="9" max="9" width="11.28515625" style="9" customWidth="1"/>
    <col min="10" max="10" width="10.7109375" style="9" bestFit="1" customWidth="1"/>
    <col min="11" max="11" width="22.7109375" style="5" bestFit="1" customWidth="1"/>
    <col min="12" max="12" width="8" style="10" customWidth="1"/>
    <col min="13" max="13" width="19.5703125" style="4" customWidth="1"/>
    <col min="14" max="14" width="15.42578125" style="25" customWidth="1"/>
    <col min="15" max="15" width="21.28515625" style="25" customWidth="1"/>
    <col min="16" max="16" width="27.28515625" style="25" customWidth="1"/>
    <col min="17" max="17" width="10.42578125" style="25" customWidth="1"/>
    <col min="18" max="18" width="12.28515625" style="25" customWidth="1"/>
    <col min="19" max="24" width="10.42578125" style="25" customWidth="1"/>
    <col min="25" max="25" width="9.28515625" style="25" customWidth="1"/>
    <col min="26" max="33" width="7.7109375" style="25" customWidth="1"/>
    <col min="34" max="270" width="11.42578125" style="25"/>
    <col min="271" max="271" width="0.7109375" style="25" customWidth="1"/>
    <col min="272" max="272" width="10.7109375" style="25" customWidth="1"/>
    <col min="273" max="273" width="5.28515625" style="25" customWidth="1"/>
    <col min="274" max="274" width="10.28515625" style="25" customWidth="1"/>
    <col min="275" max="275" width="7.7109375" style="25" customWidth="1"/>
    <col min="276" max="276" width="8" style="25" customWidth="1"/>
    <col min="277" max="277" width="9.7109375" style="25" customWidth="1"/>
    <col min="278" max="278" width="8.42578125" style="25" customWidth="1"/>
    <col min="279" max="279" width="10.5703125" style="25" customWidth="1"/>
    <col min="280" max="280" width="12.7109375" style="25" customWidth="1"/>
    <col min="281" max="281" width="10" style="25" customWidth="1"/>
    <col min="282" max="282" width="14" style="25" customWidth="1"/>
    <col min="283" max="283" width="11.5703125" style="25" customWidth="1"/>
    <col min="284" max="284" width="8.28515625" style="25" customWidth="1"/>
    <col min="285" max="285" width="7.7109375" style="25" customWidth="1"/>
    <col min="286" max="526" width="11.42578125" style="25"/>
    <col min="527" max="527" width="0.7109375" style="25" customWidth="1"/>
    <col min="528" max="528" width="10.7109375" style="25" customWidth="1"/>
    <col min="529" max="529" width="5.28515625" style="25" customWidth="1"/>
    <col min="530" max="530" width="10.28515625" style="25" customWidth="1"/>
    <col min="531" max="531" width="7.7109375" style="25" customWidth="1"/>
    <col min="532" max="532" width="8" style="25" customWidth="1"/>
    <col min="533" max="533" width="9.7109375" style="25" customWidth="1"/>
    <col min="534" max="534" width="8.42578125" style="25" customWidth="1"/>
    <col min="535" max="535" width="10.5703125" style="25" customWidth="1"/>
    <col min="536" max="536" width="12.7109375" style="25" customWidth="1"/>
    <col min="537" max="537" width="10" style="25" customWidth="1"/>
    <col min="538" max="538" width="14" style="25" customWidth="1"/>
    <col min="539" max="539" width="11.5703125" style="25" customWidth="1"/>
    <col min="540" max="540" width="8.28515625" style="25" customWidth="1"/>
    <col min="541" max="541" width="7.7109375" style="25" customWidth="1"/>
    <col min="542" max="782" width="11.42578125" style="25"/>
    <col min="783" max="783" width="0.7109375" style="25" customWidth="1"/>
    <col min="784" max="784" width="10.7109375" style="25" customWidth="1"/>
    <col min="785" max="785" width="5.28515625" style="25" customWidth="1"/>
    <col min="786" max="786" width="10.28515625" style="25" customWidth="1"/>
    <col min="787" max="787" width="7.7109375" style="25" customWidth="1"/>
    <col min="788" max="788" width="8" style="25" customWidth="1"/>
    <col min="789" max="789" width="9.7109375" style="25" customWidth="1"/>
    <col min="790" max="790" width="8.42578125" style="25" customWidth="1"/>
    <col min="791" max="791" width="10.5703125" style="25" customWidth="1"/>
    <col min="792" max="792" width="12.7109375" style="25" customWidth="1"/>
    <col min="793" max="793" width="10" style="25" customWidth="1"/>
    <col min="794" max="794" width="14" style="25" customWidth="1"/>
    <col min="795" max="795" width="11.5703125" style="25" customWidth="1"/>
    <col min="796" max="796" width="8.28515625" style="25" customWidth="1"/>
    <col min="797" max="797" width="7.7109375" style="25" customWidth="1"/>
    <col min="798" max="1038" width="11.42578125" style="25"/>
    <col min="1039" max="1039" width="0.7109375" style="25" customWidth="1"/>
    <col min="1040" max="1040" width="10.7109375" style="25" customWidth="1"/>
    <col min="1041" max="1041" width="5.28515625" style="25" customWidth="1"/>
    <col min="1042" max="1042" width="10.28515625" style="25" customWidth="1"/>
    <col min="1043" max="1043" width="7.7109375" style="25" customWidth="1"/>
    <col min="1044" max="1044" width="8" style="25" customWidth="1"/>
    <col min="1045" max="1045" width="9.7109375" style="25" customWidth="1"/>
    <col min="1046" max="1046" width="8.42578125" style="25" customWidth="1"/>
    <col min="1047" max="1047" width="10.5703125" style="25" customWidth="1"/>
    <col min="1048" max="1048" width="12.7109375" style="25" customWidth="1"/>
    <col min="1049" max="1049" width="10" style="25" customWidth="1"/>
    <col min="1050" max="1050" width="14" style="25" customWidth="1"/>
    <col min="1051" max="1051" width="11.5703125" style="25" customWidth="1"/>
    <col min="1052" max="1052" width="8.28515625" style="25" customWidth="1"/>
    <col min="1053" max="1053" width="7.7109375" style="25" customWidth="1"/>
    <col min="1054" max="1294" width="11.42578125" style="25"/>
    <col min="1295" max="1295" width="0.7109375" style="25" customWidth="1"/>
    <col min="1296" max="1296" width="10.7109375" style="25" customWidth="1"/>
    <col min="1297" max="1297" width="5.28515625" style="25" customWidth="1"/>
    <col min="1298" max="1298" width="10.28515625" style="25" customWidth="1"/>
    <col min="1299" max="1299" width="7.7109375" style="25" customWidth="1"/>
    <col min="1300" max="1300" width="8" style="25" customWidth="1"/>
    <col min="1301" max="1301" width="9.7109375" style="25" customWidth="1"/>
    <col min="1302" max="1302" width="8.42578125" style="25" customWidth="1"/>
    <col min="1303" max="1303" width="10.5703125" style="25" customWidth="1"/>
    <col min="1304" max="1304" width="12.7109375" style="25" customWidth="1"/>
    <col min="1305" max="1305" width="10" style="25" customWidth="1"/>
    <col min="1306" max="1306" width="14" style="25" customWidth="1"/>
    <col min="1307" max="1307" width="11.5703125" style="25" customWidth="1"/>
    <col min="1308" max="1308" width="8.28515625" style="25" customWidth="1"/>
    <col min="1309" max="1309" width="7.7109375" style="25" customWidth="1"/>
    <col min="1310" max="1550" width="11.42578125" style="25"/>
    <col min="1551" max="1551" width="0.7109375" style="25" customWidth="1"/>
    <col min="1552" max="1552" width="10.7109375" style="25" customWidth="1"/>
    <col min="1553" max="1553" width="5.28515625" style="25" customWidth="1"/>
    <col min="1554" max="1554" width="10.28515625" style="25" customWidth="1"/>
    <col min="1555" max="1555" width="7.7109375" style="25" customWidth="1"/>
    <col min="1556" max="1556" width="8" style="25" customWidth="1"/>
    <col min="1557" max="1557" width="9.7109375" style="25" customWidth="1"/>
    <col min="1558" max="1558" width="8.42578125" style="25" customWidth="1"/>
    <col min="1559" max="1559" width="10.5703125" style="25" customWidth="1"/>
    <col min="1560" max="1560" width="12.7109375" style="25" customWidth="1"/>
    <col min="1561" max="1561" width="10" style="25" customWidth="1"/>
    <col min="1562" max="1562" width="14" style="25" customWidth="1"/>
    <col min="1563" max="1563" width="11.5703125" style="25" customWidth="1"/>
    <col min="1564" max="1564" width="8.28515625" style="25" customWidth="1"/>
    <col min="1565" max="1565" width="7.7109375" style="25" customWidth="1"/>
    <col min="1566" max="1806" width="11.42578125" style="25"/>
    <col min="1807" max="1807" width="0.7109375" style="25" customWidth="1"/>
    <col min="1808" max="1808" width="10.7109375" style="25" customWidth="1"/>
    <col min="1809" max="1809" width="5.28515625" style="25" customWidth="1"/>
    <col min="1810" max="1810" width="10.28515625" style="25" customWidth="1"/>
    <col min="1811" max="1811" width="7.7109375" style="25" customWidth="1"/>
    <col min="1812" max="1812" width="8" style="25" customWidth="1"/>
    <col min="1813" max="1813" width="9.7109375" style="25" customWidth="1"/>
    <col min="1814" max="1814" width="8.42578125" style="25" customWidth="1"/>
    <col min="1815" max="1815" width="10.5703125" style="25" customWidth="1"/>
    <col min="1816" max="1816" width="12.7109375" style="25" customWidth="1"/>
    <col min="1817" max="1817" width="10" style="25" customWidth="1"/>
    <col min="1818" max="1818" width="14" style="25" customWidth="1"/>
    <col min="1819" max="1819" width="11.5703125" style="25" customWidth="1"/>
    <col min="1820" max="1820" width="8.28515625" style="25" customWidth="1"/>
    <col min="1821" max="1821" width="7.7109375" style="25" customWidth="1"/>
    <col min="1822" max="2062" width="11.42578125" style="25"/>
    <col min="2063" max="2063" width="0.7109375" style="25" customWidth="1"/>
    <col min="2064" max="2064" width="10.7109375" style="25" customWidth="1"/>
    <col min="2065" max="2065" width="5.28515625" style="25" customWidth="1"/>
    <col min="2066" max="2066" width="10.28515625" style="25" customWidth="1"/>
    <col min="2067" max="2067" width="7.7109375" style="25" customWidth="1"/>
    <col min="2068" max="2068" width="8" style="25" customWidth="1"/>
    <col min="2069" max="2069" width="9.7109375" style="25" customWidth="1"/>
    <col min="2070" max="2070" width="8.42578125" style="25" customWidth="1"/>
    <col min="2071" max="2071" width="10.5703125" style="25" customWidth="1"/>
    <col min="2072" max="2072" width="12.7109375" style="25" customWidth="1"/>
    <col min="2073" max="2073" width="10" style="25" customWidth="1"/>
    <col min="2074" max="2074" width="14" style="25" customWidth="1"/>
    <col min="2075" max="2075" width="11.5703125" style="25" customWidth="1"/>
    <col min="2076" max="2076" width="8.28515625" style="25" customWidth="1"/>
    <col min="2077" max="2077" width="7.7109375" style="25" customWidth="1"/>
    <col min="2078" max="2318" width="11.42578125" style="25"/>
    <col min="2319" max="2319" width="0.7109375" style="25" customWidth="1"/>
    <col min="2320" max="2320" width="10.7109375" style="25" customWidth="1"/>
    <col min="2321" max="2321" width="5.28515625" style="25" customWidth="1"/>
    <col min="2322" max="2322" width="10.28515625" style="25" customWidth="1"/>
    <col min="2323" max="2323" width="7.7109375" style="25" customWidth="1"/>
    <col min="2324" max="2324" width="8" style="25" customWidth="1"/>
    <col min="2325" max="2325" width="9.7109375" style="25" customWidth="1"/>
    <col min="2326" max="2326" width="8.42578125" style="25" customWidth="1"/>
    <col min="2327" max="2327" width="10.5703125" style="25" customWidth="1"/>
    <col min="2328" max="2328" width="12.7109375" style="25" customWidth="1"/>
    <col min="2329" max="2329" width="10" style="25" customWidth="1"/>
    <col min="2330" max="2330" width="14" style="25" customWidth="1"/>
    <col min="2331" max="2331" width="11.5703125" style="25" customWidth="1"/>
    <col min="2332" max="2332" width="8.28515625" style="25" customWidth="1"/>
    <col min="2333" max="2333" width="7.7109375" style="25" customWidth="1"/>
    <col min="2334" max="2574" width="11.42578125" style="25"/>
    <col min="2575" max="2575" width="0.7109375" style="25" customWidth="1"/>
    <col min="2576" max="2576" width="10.7109375" style="25" customWidth="1"/>
    <col min="2577" max="2577" width="5.28515625" style="25" customWidth="1"/>
    <col min="2578" max="2578" width="10.28515625" style="25" customWidth="1"/>
    <col min="2579" max="2579" width="7.7109375" style="25" customWidth="1"/>
    <col min="2580" max="2580" width="8" style="25" customWidth="1"/>
    <col min="2581" max="2581" width="9.7109375" style="25" customWidth="1"/>
    <col min="2582" max="2582" width="8.42578125" style="25" customWidth="1"/>
    <col min="2583" max="2583" width="10.5703125" style="25" customWidth="1"/>
    <col min="2584" max="2584" width="12.7109375" style="25" customWidth="1"/>
    <col min="2585" max="2585" width="10" style="25" customWidth="1"/>
    <col min="2586" max="2586" width="14" style="25" customWidth="1"/>
    <col min="2587" max="2587" width="11.5703125" style="25" customWidth="1"/>
    <col min="2588" max="2588" width="8.28515625" style="25" customWidth="1"/>
    <col min="2589" max="2589" width="7.7109375" style="25" customWidth="1"/>
    <col min="2590" max="2830" width="11.42578125" style="25"/>
    <col min="2831" max="2831" width="0.7109375" style="25" customWidth="1"/>
    <col min="2832" max="2832" width="10.7109375" style="25" customWidth="1"/>
    <col min="2833" max="2833" width="5.28515625" style="25" customWidth="1"/>
    <col min="2834" max="2834" width="10.28515625" style="25" customWidth="1"/>
    <col min="2835" max="2835" width="7.7109375" style="25" customWidth="1"/>
    <col min="2836" max="2836" width="8" style="25" customWidth="1"/>
    <col min="2837" max="2837" width="9.7109375" style="25" customWidth="1"/>
    <col min="2838" max="2838" width="8.42578125" style="25" customWidth="1"/>
    <col min="2839" max="2839" width="10.5703125" style="25" customWidth="1"/>
    <col min="2840" max="2840" width="12.7109375" style="25" customWidth="1"/>
    <col min="2841" max="2841" width="10" style="25" customWidth="1"/>
    <col min="2842" max="2842" width="14" style="25" customWidth="1"/>
    <col min="2843" max="2843" width="11.5703125" style="25" customWidth="1"/>
    <col min="2844" max="2844" width="8.28515625" style="25" customWidth="1"/>
    <col min="2845" max="2845" width="7.7109375" style="25" customWidth="1"/>
    <col min="2846" max="3086" width="11.42578125" style="25"/>
    <col min="3087" max="3087" width="0.7109375" style="25" customWidth="1"/>
    <col min="3088" max="3088" width="10.7109375" style="25" customWidth="1"/>
    <col min="3089" max="3089" width="5.28515625" style="25" customWidth="1"/>
    <col min="3090" max="3090" width="10.28515625" style="25" customWidth="1"/>
    <col min="3091" max="3091" width="7.7109375" style="25" customWidth="1"/>
    <col min="3092" max="3092" width="8" style="25" customWidth="1"/>
    <col min="3093" max="3093" width="9.7109375" style="25" customWidth="1"/>
    <col min="3094" max="3094" width="8.42578125" style="25" customWidth="1"/>
    <col min="3095" max="3095" width="10.5703125" style="25" customWidth="1"/>
    <col min="3096" max="3096" width="12.7109375" style="25" customWidth="1"/>
    <col min="3097" max="3097" width="10" style="25" customWidth="1"/>
    <col min="3098" max="3098" width="14" style="25" customWidth="1"/>
    <col min="3099" max="3099" width="11.5703125" style="25" customWidth="1"/>
    <col min="3100" max="3100" width="8.28515625" style="25" customWidth="1"/>
    <col min="3101" max="3101" width="7.7109375" style="25" customWidth="1"/>
    <col min="3102" max="3342" width="11.42578125" style="25"/>
    <col min="3343" max="3343" width="0.7109375" style="25" customWidth="1"/>
    <col min="3344" max="3344" width="10.7109375" style="25" customWidth="1"/>
    <col min="3345" max="3345" width="5.28515625" style="25" customWidth="1"/>
    <col min="3346" max="3346" width="10.28515625" style="25" customWidth="1"/>
    <col min="3347" max="3347" width="7.7109375" style="25" customWidth="1"/>
    <col min="3348" max="3348" width="8" style="25" customWidth="1"/>
    <col min="3349" max="3349" width="9.7109375" style="25" customWidth="1"/>
    <col min="3350" max="3350" width="8.42578125" style="25" customWidth="1"/>
    <col min="3351" max="3351" width="10.5703125" style="25" customWidth="1"/>
    <col min="3352" max="3352" width="12.7109375" style="25" customWidth="1"/>
    <col min="3353" max="3353" width="10" style="25" customWidth="1"/>
    <col min="3354" max="3354" width="14" style="25" customWidth="1"/>
    <col min="3355" max="3355" width="11.5703125" style="25" customWidth="1"/>
    <col min="3356" max="3356" width="8.28515625" style="25" customWidth="1"/>
    <col min="3357" max="3357" width="7.7109375" style="25" customWidth="1"/>
    <col min="3358" max="3598" width="11.42578125" style="25"/>
    <col min="3599" max="3599" width="0.7109375" style="25" customWidth="1"/>
    <col min="3600" max="3600" width="10.7109375" style="25" customWidth="1"/>
    <col min="3601" max="3601" width="5.28515625" style="25" customWidth="1"/>
    <col min="3602" max="3602" width="10.28515625" style="25" customWidth="1"/>
    <col min="3603" max="3603" width="7.7109375" style="25" customWidth="1"/>
    <col min="3604" max="3604" width="8" style="25" customWidth="1"/>
    <col min="3605" max="3605" width="9.7109375" style="25" customWidth="1"/>
    <col min="3606" max="3606" width="8.42578125" style="25" customWidth="1"/>
    <col min="3607" max="3607" width="10.5703125" style="25" customWidth="1"/>
    <col min="3608" max="3608" width="12.7109375" style="25" customWidth="1"/>
    <col min="3609" max="3609" width="10" style="25" customWidth="1"/>
    <col min="3610" max="3610" width="14" style="25" customWidth="1"/>
    <col min="3611" max="3611" width="11.5703125" style="25" customWidth="1"/>
    <col min="3612" max="3612" width="8.28515625" style="25" customWidth="1"/>
    <col min="3613" max="3613" width="7.7109375" style="25" customWidth="1"/>
    <col min="3614" max="3854" width="11.42578125" style="25"/>
    <col min="3855" max="3855" width="0.7109375" style="25" customWidth="1"/>
    <col min="3856" max="3856" width="10.7109375" style="25" customWidth="1"/>
    <col min="3857" max="3857" width="5.28515625" style="25" customWidth="1"/>
    <col min="3858" max="3858" width="10.28515625" style="25" customWidth="1"/>
    <col min="3859" max="3859" width="7.7109375" style="25" customWidth="1"/>
    <col min="3860" max="3860" width="8" style="25" customWidth="1"/>
    <col min="3861" max="3861" width="9.7109375" style="25" customWidth="1"/>
    <col min="3862" max="3862" width="8.42578125" style="25" customWidth="1"/>
    <col min="3863" max="3863" width="10.5703125" style="25" customWidth="1"/>
    <col min="3864" max="3864" width="12.7109375" style="25" customWidth="1"/>
    <col min="3865" max="3865" width="10" style="25" customWidth="1"/>
    <col min="3866" max="3866" width="14" style="25" customWidth="1"/>
    <col min="3867" max="3867" width="11.5703125" style="25" customWidth="1"/>
    <col min="3868" max="3868" width="8.28515625" style="25" customWidth="1"/>
    <col min="3869" max="3869" width="7.7109375" style="25" customWidth="1"/>
    <col min="3870" max="4110" width="11.42578125" style="25"/>
    <col min="4111" max="4111" width="0.7109375" style="25" customWidth="1"/>
    <col min="4112" max="4112" width="10.7109375" style="25" customWidth="1"/>
    <col min="4113" max="4113" width="5.28515625" style="25" customWidth="1"/>
    <col min="4114" max="4114" width="10.28515625" style="25" customWidth="1"/>
    <col min="4115" max="4115" width="7.7109375" style="25" customWidth="1"/>
    <col min="4116" max="4116" width="8" style="25" customWidth="1"/>
    <col min="4117" max="4117" width="9.7109375" style="25" customWidth="1"/>
    <col min="4118" max="4118" width="8.42578125" style="25" customWidth="1"/>
    <col min="4119" max="4119" width="10.5703125" style="25" customWidth="1"/>
    <col min="4120" max="4120" width="12.7109375" style="25" customWidth="1"/>
    <col min="4121" max="4121" width="10" style="25" customWidth="1"/>
    <col min="4122" max="4122" width="14" style="25" customWidth="1"/>
    <col min="4123" max="4123" width="11.5703125" style="25" customWidth="1"/>
    <col min="4124" max="4124" width="8.28515625" style="25" customWidth="1"/>
    <col min="4125" max="4125" width="7.7109375" style="25" customWidth="1"/>
    <col min="4126" max="4366" width="11.42578125" style="25"/>
    <col min="4367" max="4367" width="0.7109375" style="25" customWidth="1"/>
    <col min="4368" max="4368" width="10.7109375" style="25" customWidth="1"/>
    <col min="4369" max="4369" width="5.28515625" style="25" customWidth="1"/>
    <col min="4370" max="4370" width="10.28515625" style="25" customWidth="1"/>
    <col min="4371" max="4371" width="7.7109375" style="25" customWidth="1"/>
    <col min="4372" max="4372" width="8" style="25" customWidth="1"/>
    <col min="4373" max="4373" width="9.7109375" style="25" customWidth="1"/>
    <col min="4374" max="4374" width="8.42578125" style="25" customWidth="1"/>
    <col min="4375" max="4375" width="10.5703125" style="25" customWidth="1"/>
    <col min="4376" max="4376" width="12.7109375" style="25" customWidth="1"/>
    <col min="4377" max="4377" width="10" style="25" customWidth="1"/>
    <col min="4378" max="4378" width="14" style="25" customWidth="1"/>
    <col min="4379" max="4379" width="11.5703125" style="25" customWidth="1"/>
    <col min="4380" max="4380" width="8.28515625" style="25" customWidth="1"/>
    <col min="4381" max="4381" width="7.7109375" style="25" customWidth="1"/>
    <col min="4382" max="4622" width="11.42578125" style="25"/>
    <col min="4623" max="4623" width="0.7109375" style="25" customWidth="1"/>
    <col min="4624" max="4624" width="10.7109375" style="25" customWidth="1"/>
    <col min="4625" max="4625" width="5.28515625" style="25" customWidth="1"/>
    <col min="4626" max="4626" width="10.28515625" style="25" customWidth="1"/>
    <col min="4627" max="4627" width="7.7109375" style="25" customWidth="1"/>
    <col min="4628" max="4628" width="8" style="25" customWidth="1"/>
    <col min="4629" max="4629" width="9.7109375" style="25" customWidth="1"/>
    <col min="4630" max="4630" width="8.42578125" style="25" customWidth="1"/>
    <col min="4631" max="4631" width="10.5703125" style="25" customWidth="1"/>
    <col min="4632" max="4632" width="12.7109375" style="25" customWidth="1"/>
    <col min="4633" max="4633" width="10" style="25" customWidth="1"/>
    <col min="4634" max="4634" width="14" style="25" customWidth="1"/>
    <col min="4635" max="4635" width="11.5703125" style="25" customWidth="1"/>
    <col min="4636" max="4636" width="8.28515625" style="25" customWidth="1"/>
    <col min="4637" max="4637" width="7.7109375" style="25" customWidth="1"/>
    <col min="4638" max="4878" width="11.42578125" style="25"/>
    <col min="4879" max="4879" width="0.7109375" style="25" customWidth="1"/>
    <col min="4880" max="4880" width="10.7109375" style="25" customWidth="1"/>
    <col min="4881" max="4881" width="5.28515625" style="25" customWidth="1"/>
    <col min="4882" max="4882" width="10.28515625" style="25" customWidth="1"/>
    <col min="4883" max="4883" width="7.7109375" style="25" customWidth="1"/>
    <col min="4884" max="4884" width="8" style="25" customWidth="1"/>
    <col min="4885" max="4885" width="9.7109375" style="25" customWidth="1"/>
    <col min="4886" max="4886" width="8.42578125" style="25" customWidth="1"/>
    <col min="4887" max="4887" width="10.5703125" style="25" customWidth="1"/>
    <col min="4888" max="4888" width="12.7109375" style="25" customWidth="1"/>
    <col min="4889" max="4889" width="10" style="25" customWidth="1"/>
    <col min="4890" max="4890" width="14" style="25" customWidth="1"/>
    <col min="4891" max="4891" width="11.5703125" style="25" customWidth="1"/>
    <col min="4892" max="4892" width="8.28515625" style="25" customWidth="1"/>
    <col min="4893" max="4893" width="7.7109375" style="25" customWidth="1"/>
    <col min="4894" max="5134" width="11.42578125" style="25"/>
    <col min="5135" max="5135" width="0.7109375" style="25" customWidth="1"/>
    <col min="5136" max="5136" width="10.7109375" style="25" customWidth="1"/>
    <col min="5137" max="5137" width="5.28515625" style="25" customWidth="1"/>
    <col min="5138" max="5138" width="10.28515625" style="25" customWidth="1"/>
    <col min="5139" max="5139" width="7.7109375" style="25" customWidth="1"/>
    <col min="5140" max="5140" width="8" style="25" customWidth="1"/>
    <col min="5141" max="5141" width="9.7109375" style="25" customWidth="1"/>
    <col min="5142" max="5142" width="8.42578125" style="25" customWidth="1"/>
    <col min="5143" max="5143" width="10.5703125" style="25" customWidth="1"/>
    <col min="5144" max="5144" width="12.7109375" style="25" customWidth="1"/>
    <col min="5145" max="5145" width="10" style="25" customWidth="1"/>
    <col min="5146" max="5146" width="14" style="25" customWidth="1"/>
    <col min="5147" max="5147" width="11.5703125" style="25" customWidth="1"/>
    <col min="5148" max="5148" width="8.28515625" style="25" customWidth="1"/>
    <col min="5149" max="5149" width="7.7109375" style="25" customWidth="1"/>
    <col min="5150" max="5390" width="11.42578125" style="25"/>
    <col min="5391" max="5391" width="0.7109375" style="25" customWidth="1"/>
    <col min="5392" max="5392" width="10.7109375" style="25" customWidth="1"/>
    <col min="5393" max="5393" width="5.28515625" style="25" customWidth="1"/>
    <col min="5394" max="5394" width="10.28515625" style="25" customWidth="1"/>
    <col min="5395" max="5395" width="7.7109375" style="25" customWidth="1"/>
    <col min="5396" max="5396" width="8" style="25" customWidth="1"/>
    <col min="5397" max="5397" width="9.7109375" style="25" customWidth="1"/>
    <col min="5398" max="5398" width="8.42578125" style="25" customWidth="1"/>
    <col min="5399" max="5399" width="10.5703125" style="25" customWidth="1"/>
    <col min="5400" max="5400" width="12.7109375" style="25" customWidth="1"/>
    <col min="5401" max="5401" width="10" style="25" customWidth="1"/>
    <col min="5402" max="5402" width="14" style="25" customWidth="1"/>
    <col min="5403" max="5403" width="11.5703125" style="25" customWidth="1"/>
    <col min="5404" max="5404" width="8.28515625" style="25" customWidth="1"/>
    <col min="5405" max="5405" width="7.7109375" style="25" customWidth="1"/>
    <col min="5406" max="5646" width="11.42578125" style="25"/>
    <col min="5647" max="5647" width="0.7109375" style="25" customWidth="1"/>
    <col min="5648" max="5648" width="10.7109375" style="25" customWidth="1"/>
    <col min="5649" max="5649" width="5.28515625" style="25" customWidth="1"/>
    <col min="5650" max="5650" width="10.28515625" style="25" customWidth="1"/>
    <col min="5651" max="5651" width="7.7109375" style="25" customWidth="1"/>
    <col min="5652" max="5652" width="8" style="25" customWidth="1"/>
    <col min="5653" max="5653" width="9.7109375" style="25" customWidth="1"/>
    <col min="5654" max="5654" width="8.42578125" style="25" customWidth="1"/>
    <col min="5655" max="5655" width="10.5703125" style="25" customWidth="1"/>
    <col min="5656" max="5656" width="12.7109375" style="25" customWidth="1"/>
    <col min="5657" max="5657" width="10" style="25" customWidth="1"/>
    <col min="5658" max="5658" width="14" style="25" customWidth="1"/>
    <col min="5659" max="5659" width="11.5703125" style="25" customWidth="1"/>
    <col min="5660" max="5660" width="8.28515625" style="25" customWidth="1"/>
    <col min="5661" max="5661" width="7.7109375" style="25" customWidth="1"/>
    <col min="5662" max="5902" width="11.42578125" style="25"/>
    <col min="5903" max="5903" width="0.7109375" style="25" customWidth="1"/>
    <col min="5904" max="5904" width="10.7109375" style="25" customWidth="1"/>
    <col min="5905" max="5905" width="5.28515625" style="25" customWidth="1"/>
    <col min="5906" max="5906" width="10.28515625" style="25" customWidth="1"/>
    <col min="5907" max="5907" width="7.7109375" style="25" customWidth="1"/>
    <col min="5908" max="5908" width="8" style="25" customWidth="1"/>
    <col min="5909" max="5909" width="9.7109375" style="25" customWidth="1"/>
    <col min="5910" max="5910" width="8.42578125" style="25" customWidth="1"/>
    <col min="5911" max="5911" width="10.5703125" style="25" customWidth="1"/>
    <col min="5912" max="5912" width="12.7109375" style="25" customWidth="1"/>
    <col min="5913" max="5913" width="10" style="25" customWidth="1"/>
    <col min="5914" max="5914" width="14" style="25" customWidth="1"/>
    <col min="5915" max="5915" width="11.5703125" style="25" customWidth="1"/>
    <col min="5916" max="5916" width="8.28515625" style="25" customWidth="1"/>
    <col min="5917" max="5917" width="7.7109375" style="25" customWidth="1"/>
    <col min="5918" max="6158" width="11.42578125" style="25"/>
    <col min="6159" max="6159" width="0.7109375" style="25" customWidth="1"/>
    <col min="6160" max="6160" width="10.7109375" style="25" customWidth="1"/>
    <col min="6161" max="6161" width="5.28515625" style="25" customWidth="1"/>
    <col min="6162" max="6162" width="10.28515625" style="25" customWidth="1"/>
    <col min="6163" max="6163" width="7.7109375" style="25" customWidth="1"/>
    <col min="6164" max="6164" width="8" style="25" customWidth="1"/>
    <col min="6165" max="6165" width="9.7109375" style="25" customWidth="1"/>
    <col min="6166" max="6166" width="8.42578125" style="25" customWidth="1"/>
    <col min="6167" max="6167" width="10.5703125" style="25" customWidth="1"/>
    <col min="6168" max="6168" width="12.7109375" style="25" customWidth="1"/>
    <col min="6169" max="6169" width="10" style="25" customWidth="1"/>
    <col min="6170" max="6170" width="14" style="25" customWidth="1"/>
    <col min="6171" max="6171" width="11.5703125" style="25" customWidth="1"/>
    <col min="6172" max="6172" width="8.28515625" style="25" customWidth="1"/>
    <col min="6173" max="6173" width="7.7109375" style="25" customWidth="1"/>
    <col min="6174" max="6414" width="11.42578125" style="25"/>
    <col min="6415" max="6415" width="0.7109375" style="25" customWidth="1"/>
    <col min="6416" max="6416" width="10.7109375" style="25" customWidth="1"/>
    <col min="6417" max="6417" width="5.28515625" style="25" customWidth="1"/>
    <col min="6418" max="6418" width="10.28515625" style="25" customWidth="1"/>
    <col min="6419" max="6419" width="7.7109375" style="25" customWidth="1"/>
    <col min="6420" max="6420" width="8" style="25" customWidth="1"/>
    <col min="6421" max="6421" width="9.7109375" style="25" customWidth="1"/>
    <col min="6422" max="6422" width="8.42578125" style="25" customWidth="1"/>
    <col min="6423" max="6423" width="10.5703125" style="25" customWidth="1"/>
    <col min="6424" max="6424" width="12.7109375" style="25" customWidth="1"/>
    <col min="6425" max="6425" width="10" style="25" customWidth="1"/>
    <col min="6426" max="6426" width="14" style="25" customWidth="1"/>
    <col min="6427" max="6427" width="11.5703125" style="25" customWidth="1"/>
    <col min="6428" max="6428" width="8.28515625" style="25" customWidth="1"/>
    <col min="6429" max="6429" width="7.7109375" style="25" customWidth="1"/>
    <col min="6430" max="6670" width="11.42578125" style="25"/>
    <col min="6671" max="6671" width="0.7109375" style="25" customWidth="1"/>
    <col min="6672" max="6672" width="10.7109375" style="25" customWidth="1"/>
    <col min="6673" max="6673" width="5.28515625" style="25" customWidth="1"/>
    <col min="6674" max="6674" width="10.28515625" style="25" customWidth="1"/>
    <col min="6675" max="6675" width="7.7109375" style="25" customWidth="1"/>
    <col min="6676" max="6676" width="8" style="25" customWidth="1"/>
    <col min="6677" max="6677" width="9.7109375" style="25" customWidth="1"/>
    <col min="6678" max="6678" width="8.42578125" style="25" customWidth="1"/>
    <col min="6679" max="6679" width="10.5703125" style="25" customWidth="1"/>
    <col min="6680" max="6680" width="12.7109375" style="25" customWidth="1"/>
    <col min="6681" max="6681" width="10" style="25" customWidth="1"/>
    <col min="6682" max="6682" width="14" style="25" customWidth="1"/>
    <col min="6683" max="6683" width="11.5703125" style="25" customWidth="1"/>
    <col min="6684" max="6684" width="8.28515625" style="25" customWidth="1"/>
    <col min="6685" max="6685" width="7.7109375" style="25" customWidth="1"/>
    <col min="6686" max="6926" width="11.42578125" style="25"/>
    <col min="6927" max="6927" width="0.7109375" style="25" customWidth="1"/>
    <col min="6928" max="6928" width="10.7109375" style="25" customWidth="1"/>
    <col min="6929" max="6929" width="5.28515625" style="25" customWidth="1"/>
    <col min="6930" max="6930" width="10.28515625" style="25" customWidth="1"/>
    <col min="6931" max="6931" width="7.7109375" style="25" customWidth="1"/>
    <col min="6932" max="6932" width="8" style="25" customWidth="1"/>
    <col min="6933" max="6933" width="9.7109375" style="25" customWidth="1"/>
    <col min="6934" max="6934" width="8.42578125" style="25" customWidth="1"/>
    <col min="6935" max="6935" width="10.5703125" style="25" customWidth="1"/>
    <col min="6936" max="6936" width="12.7109375" style="25" customWidth="1"/>
    <col min="6937" max="6937" width="10" style="25" customWidth="1"/>
    <col min="6938" max="6938" width="14" style="25" customWidth="1"/>
    <col min="6939" max="6939" width="11.5703125" style="25" customWidth="1"/>
    <col min="6940" max="6940" width="8.28515625" style="25" customWidth="1"/>
    <col min="6941" max="6941" width="7.7109375" style="25" customWidth="1"/>
    <col min="6942" max="7182" width="11.42578125" style="25"/>
    <col min="7183" max="7183" width="0.7109375" style="25" customWidth="1"/>
    <col min="7184" max="7184" width="10.7109375" style="25" customWidth="1"/>
    <col min="7185" max="7185" width="5.28515625" style="25" customWidth="1"/>
    <col min="7186" max="7186" width="10.28515625" style="25" customWidth="1"/>
    <col min="7187" max="7187" width="7.7109375" style="25" customWidth="1"/>
    <col min="7188" max="7188" width="8" style="25" customWidth="1"/>
    <col min="7189" max="7189" width="9.7109375" style="25" customWidth="1"/>
    <col min="7190" max="7190" width="8.42578125" style="25" customWidth="1"/>
    <col min="7191" max="7191" width="10.5703125" style="25" customWidth="1"/>
    <col min="7192" max="7192" width="12.7109375" style="25" customWidth="1"/>
    <col min="7193" max="7193" width="10" style="25" customWidth="1"/>
    <col min="7194" max="7194" width="14" style="25" customWidth="1"/>
    <col min="7195" max="7195" width="11.5703125" style="25" customWidth="1"/>
    <col min="7196" max="7196" width="8.28515625" style="25" customWidth="1"/>
    <col min="7197" max="7197" width="7.7109375" style="25" customWidth="1"/>
    <col min="7198" max="7438" width="11.42578125" style="25"/>
    <col min="7439" max="7439" width="0.7109375" style="25" customWidth="1"/>
    <col min="7440" max="7440" width="10.7109375" style="25" customWidth="1"/>
    <col min="7441" max="7441" width="5.28515625" style="25" customWidth="1"/>
    <col min="7442" max="7442" width="10.28515625" style="25" customWidth="1"/>
    <col min="7443" max="7443" width="7.7109375" style="25" customWidth="1"/>
    <col min="7444" max="7444" width="8" style="25" customWidth="1"/>
    <col min="7445" max="7445" width="9.7109375" style="25" customWidth="1"/>
    <col min="7446" max="7446" width="8.42578125" style="25" customWidth="1"/>
    <col min="7447" max="7447" width="10.5703125" style="25" customWidth="1"/>
    <col min="7448" max="7448" width="12.7109375" style="25" customWidth="1"/>
    <col min="7449" max="7449" width="10" style="25" customWidth="1"/>
    <col min="7450" max="7450" width="14" style="25" customWidth="1"/>
    <col min="7451" max="7451" width="11.5703125" style="25" customWidth="1"/>
    <col min="7452" max="7452" width="8.28515625" style="25" customWidth="1"/>
    <col min="7453" max="7453" width="7.7109375" style="25" customWidth="1"/>
    <col min="7454" max="7694" width="11.42578125" style="25"/>
    <col min="7695" max="7695" width="0.7109375" style="25" customWidth="1"/>
    <col min="7696" max="7696" width="10.7109375" style="25" customWidth="1"/>
    <col min="7697" max="7697" width="5.28515625" style="25" customWidth="1"/>
    <col min="7698" max="7698" width="10.28515625" style="25" customWidth="1"/>
    <col min="7699" max="7699" width="7.7109375" style="25" customWidth="1"/>
    <col min="7700" max="7700" width="8" style="25" customWidth="1"/>
    <col min="7701" max="7701" width="9.7109375" style="25" customWidth="1"/>
    <col min="7702" max="7702" width="8.42578125" style="25" customWidth="1"/>
    <col min="7703" max="7703" width="10.5703125" style="25" customWidth="1"/>
    <col min="7704" max="7704" width="12.7109375" style="25" customWidth="1"/>
    <col min="7705" max="7705" width="10" style="25" customWidth="1"/>
    <col min="7706" max="7706" width="14" style="25" customWidth="1"/>
    <col min="7707" max="7707" width="11.5703125" style="25" customWidth="1"/>
    <col min="7708" max="7708" width="8.28515625" style="25" customWidth="1"/>
    <col min="7709" max="7709" width="7.7109375" style="25" customWidth="1"/>
    <col min="7710" max="7950" width="11.42578125" style="25"/>
    <col min="7951" max="7951" width="0.7109375" style="25" customWidth="1"/>
    <col min="7952" max="7952" width="10.7109375" style="25" customWidth="1"/>
    <col min="7953" max="7953" width="5.28515625" style="25" customWidth="1"/>
    <col min="7954" max="7954" width="10.28515625" style="25" customWidth="1"/>
    <col min="7955" max="7955" width="7.7109375" style="25" customWidth="1"/>
    <col min="7956" max="7956" width="8" style="25" customWidth="1"/>
    <col min="7957" max="7957" width="9.7109375" style="25" customWidth="1"/>
    <col min="7958" max="7958" width="8.42578125" style="25" customWidth="1"/>
    <col min="7959" max="7959" width="10.5703125" style="25" customWidth="1"/>
    <col min="7960" max="7960" width="12.7109375" style="25" customWidth="1"/>
    <col min="7961" max="7961" width="10" style="25" customWidth="1"/>
    <col min="7962" max="7962" width="14" style="25" customWidth="1"/>
    <col min="7963" max="7963" width="11.5703125" style="25" customWidth="1"/>
    <col min="7964" max="7964" width="8.28515625" style="25" customWidth="1"/>
    <col min="7965" max="7965" width="7.7109375" style="25" customWidth="1"/>
    <col min="7966" max="8206" width="11.42578125" style="25"/>
    <col min="8207" max="8207" width="0.7109375" style="25" customWidth="1"/>
    <col min="8208" max="8208" width="10.7109375" style="25" customWidth="1"/>
    <col min="8209" max="8209" width="5.28515625" style="25" customWidth="1"/>
    <col min="8210" max="8210" width="10.28515625" style="25" customWidth="1"/>
    <col min="8211" max="8211" width="7.7109375" style="25" customWidth="1"/>
    <col min="8212" max="8212" width="8" style="25" customWidth="1"/>
    <col min="8213" max="8213" width="9.7109375" style="25" customWidth="1"/>
    <col min="8214" max="8214" width="8.42578125" style="25" customWidth="1"/>
    <col min="8215" max="8215" width="10.5703125" style="25" customWidth="1"/>
    <col min="8216" max="8216" width="12.7109375" style="25" customWidth="1"/>
    <col min="8217" max="8217" width="10" style="25" customWidth="1"/>
    <col min="8218" max="8218" width="14" style="25" customWidth="1"/>
    <col min="8219" max="8219" width="11.5703125" style="25" customWidth="1"/>
    <col min="8220" max="8220" width="8.28515625" style="25" customWidth="1"/>
    <col min="8221" max="8221" width="7.7109375" style="25" customWidth="1"/>
    <col min="8222" max="8462" width="11.42578125" style="25"/>
    <col min="8463" max="8463" width="0.7109375" style="25" customWidth="1"/>
    <col min="8464" max="8464" width="10.7109375" style="25" customWidth="1"/>
    <col min="8465" max="8465" width="5.28515625" style="25" customWidth="1"/>
    <col min="8466" max="8466" width="10.28515625" style="25" customWidth="1"/>
    <col min="8467" max="8467" width="7.7109375" style="25" customWidth="1"/>
    <col min="8468" max="8468" width="8" style="25" customWidth="1"/>
    <col min="8469" max="8469" width="9.7109375" style="25" customWidth="1"/>
    <col min="8470" max="8470" width="8.42578125" style="25" customWidth="1"/>
    <col min="8471" max="8471" width="10.5703125" style="25" customWidth="1"/>
    <col min="8472" max="8472" width="12.7109375" style="25" customWidth="1"/>
    <col min="8473" max="8473" width="10" style="25" customWidth="1"/>
    <col min="8474" max="8474" width="14" style="25" customWidth="1"/>
    <col min="8475" max="8475" width="11.5703125" style="25" customWidth="1"/>
    <col min="8476" max="8476" width="8.28515625" style="25" customWidth="1"/>
    <col min="8477" max="8477" width="7.7109375" style="25" customWidth="1"/>
    <col min="8478" max="8718" width="11.42578125" style="25"/>
    <col min="8719" max="8719" width="0.7109375" style="25" customWidth="1"/>
    <col min="8720" max="8720" width="10.7109375" style="25" customWidth="1"/>
    <col min="8721" max="8721" width="5.28515625" style="25" customWidth="1"/>
    <col min="8722" max="8722" width="10.28515625" style="25" customWidth="1"/>
    <col min="8723" max="8723" width="7.7109375" style="25" customWidth="1"/>
    <col min="8724" max="8724" width="8" style="25" customWidth="1"/>
    <col min="8725" max="8725" width="9.7109375" style="25" customWidth="1"/>
    <col min="8726" max="8726" width="8.42578125" style="25" customWidth="1"/>
    <col min="8727" max="8727" width="10.5703125" style="25" customWidth="1"/>
    <col min="8728" max="8728" width="12.7109375" style="25" customWidth="1"/>
    <col min="8729" max="8729" width="10" style="25" customWidth="1"/>
    <col min="8730" max="8730" width="14" style="25" customWidth="1"/>
    <col min="8731" max="8731" width="11.5703125" style="25" customWidth="1"/>
    <col min="8732" max="8732" width="8.28515625" style="25" customWidth="1"/>
    <col min="8733" max="8733" width="7.7109375" style="25" customWidth="1"/>
    <col min="8734" max="8974" width="11.42578125" style="25"/>
    <col min="8975" max="8975" width="0.7109375" style="25" customWidth="1"/>
    <col min="8976" max="8976" width="10.7109375" style="25" customWidth="1"/>
    <col min="8977" max="8977" width="5.28515625" style="25" customWidth="1"/>
    <col min="8978" max="8978" width="10.28515625" style="25" customWidth="1"/>
    <col min="8979" max="8979" width="7.7109375" style="25" customWidth="1"/>
    <col min="8980" max="8980" width="8" style="25" customWidth="1"/>
    <col min="8981" max="8981" width="9.7109375" style="25" customWidth="1"/>
    <col min="8982" max="8982" width="8.42578125" style="25" customWidth="1"/>
    <col min="8983" max="8983" width="10.5703125" style="25" customWidth="1"/>
    <col min="8984" max="8984" width="12.7109375" style="25" customWidth="1"/>
    <col min="8985" max="8985" width="10" style="25" customWidth="1"/>
    <col min="8986" max="8986" width="14" style="25" customWidth="1"/>
    <col min="8987" max="8987" width="11.5703125" style="25" customWidth="1"/>
    <col min="8988" max="8988" width="8.28515625" style="25" customWidth="1"/>
    <col min="8989" max="8989" width="7.7109375" style="25" customWidth="1"/>
    <col min="8990" max="9230" width="11.42578125" style="25"/>
    <col min="9231" max="9231" width="0.7109375" style="25" customWidth="1"/>
    <col min="9232" max="9232" width="10.7109375" style="25" customWidth="1"/>
    <col min="9233" max="9233" width="5.28515625" style="25" customWidth="1"/>
    <col min="9234" max="9234" width="10.28515625" style="25" customWidth="1"/>
    <col min="9235" max="9235" width="7.7109375" style="25" customWidth="1"/>
    <col min="9236" max="9236" width="8" style="25" customWidth="1"/>
    <col min="9237" max="9237" width="9.7109375" style="25" customWidth="1"/>
    <col min="9238" max="9238" width="8.42578125" style="25" customWidth="1"/>
    <col min="9239" max="9239" width="10.5703125" style="25" customWidth="1"/>
    <col min="9240" max="9240" width="12.7109375" style="25" customWidth="1"/>
    <col min="9241" max="9241" width="10" style="25" customWidth="1"/>
    <col min="9242" max="9242" width="14" style="25" customWidth="1"/>
    <col min="9243" max="9243" width="11.5703125" style="25" customWidth="1"/>
    <col min="9244" max="9244" width="8.28515625" style="25" customWidth="1"/>
    <col min="9245" max="9245" width="7.7109375" style="25" customWidth="1"/>
    <col min="9246" max="9486" width="11.42578125" style="25"/>
    <col min="9487" max="9487" width="0.7109375" style="25" customWidth="1"/>
    <col min="9488" max="9488" width="10.7109375" style="25" customWidth="1"/>
    <col min="9489" max="9489" width="5.28515625" style="25" customWidth="1"/>
    <col min="9490" max="9490" width="10.28515625" style="25" customWidth="1"/>
    <col min="9491" max="9491" width="7.7109375" style="25" customWidth="1"/>
    <col min="9492" max="9492" width="8" style="25" customWidth="1"/>
    <col min="9493" max="9493" width="9.7109375" style="25" customWidth="1"/>
    <col min="9494" max="9494" width="8.42578125" style="25" customWidth="1"/>
    <col min="9495" max="9495" width="10.5703125" style="25" customWidth="1"/>
    <col min="9496" max="9496" width="12.7109375" style="25" customWidth="1"/>
    <col min="9497" max="9497" width="10" style="25" customWidth="1"/>
    <col min="9498" max="9498" width="14" style="25" customWidth="1"/>
    <col min="9499" max="9499" width="11.5703125" style="25" customWidth="1"/>
    <col min="9500" max="9500" width="8.28515625" style="25" customWidth="1"/>
    <col min="9501" max="9501" width="7.7109375" style="25" customWidth="1"/>
    <col min="9502" max="9742" width="11.42578125" style="25"/>
    <col min="9743" max="9743" width="0.7109375" style="25" customWidth="1"/>
    <col min="9744" max="9744" width="10.7109375" style="25" customWidth="1"/>
    <col min="9745" max="9745" width="5.28515625" style="25" customWidth="1"/>
    <col min="9746" max="9746" width="10.28515625" style="25" customWidth="1"/>
    <col min="9747" max="9747" width="7.7109375" style="25" customWidth="1"/>
    <col min="9748" max="9748" width="8" style="25" customWidth="1"/>
    <col min="9749" max="9749" width="9.7109375" style="25" customWidth="1"/>
    <col min="9750" max="9750" width="8.42578125" style="25" customWidth="1"/>
    <col min="9751" max="9751" width="10.5703125" style="25" customWidth="1"/>
    <col min="9752" max="9752" width="12.7109375" style="25" customWidth="1"/>
    <col min="9753" max="9753" width="10" style="25" customWidth="1"/>
    <col min="9754" max="9754" width="14" style="25" customWidth="1"/>
    <col min="9755" max="9755" width="11.5703125" style="25" customWidth="1"/>
    <col min="9756" max="9756" width="8.28515625" style="25" customWidth="1"/>
    <col min="9757" max="9757" width="7.7109375" style="25" customWidth="1"/>
    <col min="9758" max="9998" width="11.42578125" style="25"/>
    <col min="9999" max="9999" width="0.7109375" style="25" customWidth="1"/>
    <col min="10000" max="10000" width="10.7109375" style="25" customWidth="1"/>
    <col min="10001" max="10001" width="5.28515625" style="25" customWidth="1"/>
    <col min="10002" max="10002" width="10.28515625" style="25" customWidth="1"/>
    <col min="10003" max="10003" width="7.7109375" style="25" customWidth="1"/>
    <col min="10004" max="10004" width="8" style="25" customWidth="1"/>
    <col min="10005" max="10005" width="9.7109375" style="25" customWidth="1"/>
    <col min="10006" max="10006" width="8.42578125" style="25" customWidth="1"/>
    <col min="10007" max="10007" width="10.5703125" style="25" customWidth="1"/>
    <col min="10008" max="10008" width="12.7109375" style="25" customWidth="1"/>
    <col min="10009" max="10009" width="10" style="25" customWidth="1"/>
    <col min="10010" max="10010" width="14" style="25" customWidth="1"/>
    <col min="10011" max="10011" width="11.5703125" style="25" customWidth="1"/>
    <col min="10012" max="10012" width="8.28515625" style="25" customWidth="1"/>
    <col min="10013" max="10013" width="7.7109375" style="25" customWidth="1"/>
    <col min="10014" max="10254" width="11.42578125" style="25"/>
    <col min="10255" max="10255" width="0.7109375" style="25" customWidth="1"/>
    <col min="10256" max="10256" width="10.7109375" style="25" customWidth="1"/>
    <col min="10257" max="10257" width="5.28515625" style="25" customWidth="1"/>
    <col min="10258" max="10258" width="10.28515625" style="25" customWidth="1"/>
    <col min="10259" max="10259" width="7.7109375" style="25" customWidth="1"/>
    <col min="10260" max="10260" width="8" style="25" customWidth="1"/>
    <col min="10261" max="10261" width="9.7109375" style="25" customWidth="1"/>
    <col min="10262" max="10262" width="8.42578125" style="25" customWidth="1"/>
    <col min="10263" max="10263" width="10.5703125" style="25" customWidth="1"/>
    <col min="10264" max="10264" width="12.7109375" style="25" customWidth="1"/>
    <col min="10265" max="10265" width="10" style="25" customWidth="1"/>
    <col min="10266" max="10266" width="14" style="25" customWidth="1"/>
    <col min="10267" max="10267" width="11.5703125" style="25" customWidth="1"/>
    <col min="10268" max="10268" width="8.28515625" style="25" customWidth="1"/>
    <col min="10269" max="10269" width="7.7109375" style="25" customWidth="1"/>
    <col min="10270" max="10510" width="11.42578125" style="25"/>
    <col min="10511" max="10511" width="0.7109375" style="25" customWidth="1"/>
    <col min="10512" max="10512" width="10.7109375" style="25" customWidth="1"/>
    <col min="10513" max="10513" width="5.28515625" style="25" customWidth="1"/>
    <col min="10514" max="10514" width="10.28515625" style="25" customWidth="1"/>
    <col min="10515" max="10515" width="7.7109375" style="25" customWidth="1"/>
    <col min="10516" max="10516" width="8" style="25" customWidth="1"/>
    <col min="10517" max="10517" width="9.7109375" style="25" customWidth="1"/>
    <col min="10518" max="10518" width="8.42578125" style="25" customWidth="1"/>
    <col min="10519" max="10519" width="10.5703125" style="25" customWidth="1"/>
    <col min="10520" max="10520" width="12.7109375" style="25" customWidth="1"/>
    <col min="10521" max="10521" width="10" style="25" customWidth="1"/>
    <col min="10522" max="10522" width="14" style="25" customWidth="1"/>
    <col min="10523" max="10523" width="11.5703125" style="25" customWidth="1"/>
    <col min="10524" max="10524" width="8.28515625" style="25" customWidth="1"/>
    <col min="10525" max="10525" width="7.7109375" style="25" customWidth="1"/>
    <col min="10526" max="10766" width="11.42578125" style="25"/>
    <col min="10767" max="10767" width="0.7109375" style="25" customWidth="1"/>
    <col min="10768" max="10768" width="10.7109375" style="25" customWidth="1"/>
    <col min="10769" max="10769" width="5.28515625" style="25" customWidth="1"/>
    <col min="10770" max="10770" width="10.28515625" style="25" customWidth="1"/>
    <col min="10771" max="10771" width="7.7109375" style="25" customWidth="1"/>
    <col min="10772" max="10772" width="8" style="25" customWidth="1"/>
    <col min="10773" max="10773" width="9.7109375" style="25" customWidth="1"/>
    <col min="10774" max="10774" width="8.42578125" style="25" customWidth="1"/>
    <col min="10775" max="10775" width="10.5703125" style="25" customWidth="1"/>
    <col min="10776" max="10776" width="12.7109375" style="25" customWidth="1"/>
    <col min="10777" max="10777" width="10" style="25" customWidth="1"/>
    <col min="10778" max="10778" width="14" style="25" customWidth="1"/>
    <col min="10779" max="10779" width="11.5703125" style="25" customWidth="1"/>
    <col min="10780" max="10780" width="8.28515625" style="25" customWidth="1"/>
    <col min="10781" max="10781" width="7.7109375" style="25" customWidth="1"/>
    <col min="10782" max="11022" width="11.42578125" style="25"/>
    <col min="11023" max="11023" width="0.7109375" style="25" customWidth="1"/>
    <col min="11024" max="11024" width="10.7109375" style="25" customWidth="1"/>
    <col min="11025" max="11025" width="5.28515625" style="25" customWidth="1"/>
    <col min="11026" max="11026" width="10.28515625" style="25" customWidth="1"/>
    <col min="11027" max="11027" width="7.7109375" style="25" customWidth="1"/>
    <col min="11028" max="11028" width="8" style="25" customWidth="1"/>
    <col min="11029" max="11029" width="9.7109375" style="25" customWidth="1"/>
    <col min="11030" max="11030" width="8.42578125" style="25" customWidth="1"/>
    <col min="11031" max="11031" width="10.5703125" style="25" customWidth="1"/>
    <col min="11032" max="11032" width="12.7109375" style="25" customWidth="1"/>
    <col min="11033" max="11033" width="10" style="25" customWidth="1"/>
    <col min="11034" max="11034" width="14" style="25" customWidth="1"/>
    <col min="11035" max="11035" width="11.5703125" style="25" customWidth="1"/>
    <col min="11036" max="11036" width="8.28515625" style="25" customWidth="1"/>
    <col min="11037" max="11037" width="7.7109375" style="25" customWidth="1"/>
    <col min="11038" max="11278" width="11.42578125" style="25"/>
    <col min="11279" max="11279" width="0.7109375" style="25" customWidth="1"/>
    <col min="11280" max="11280" width="10.7109375" style="25" customWidth="1"/>
    <col min="11281" max="11281" width="5.28515625" style="25" customWidth="1"/>
    <col min="11282" max="11282" width="10.28515625" style="25" customWidth="1"/>
    <col min="11283" max="11283" width="7.7109375" style="25" customWidth="1"/>
    <col min="11284" max="11284" width="8" style="25" customWidth="1"/>
    <col min="11285" max="11285" width="9.7109375" style="25" customWidth="1"/>
    <col min="11286" max="11286" width="8.42578125" style="25" customWidth="1"/>
    <col min="11287" max="11287" width="10.5703125" style="25" customWidth="1"/>
    <col min="11288" max="11288" width="12.7109375" style="25" customWidth="1"/>
    <col min="11289" max="11289" width="10" style="25" customWidth="1"/>
    <col min="11290" max="11290" width="14" style="25" customWidth="1"/>
    <col min="11291" max="11291" width="11.5703125" style="25" customWidth="1"/>
    <col min="11292" max="11292" width="8.28515625" style="25" customWidth="1"/>
    <col min="11293" max="11293" width="7.7109375" style="25" customWidth="1"/>
    <col min="11294" max="11534" width="11.42578125" style="25"/>
    <col min="11535" max="11535" width="0.7109375" style="25" customWidth="1"/>
    <col min="11536" max="11536" width="10.7109375" style="25" customWidth="1"/>
    <col min="11537" max="11537" width="5.28515625" style="25" customWidth="1"/>
    <col min="11538" max="11538" width="10.28515625" style="25" customWidth="1"/>
    <col min="11539" max="11539" width="7.7109375" style="25" customWidth="1"/>
    <col min="11540" max="11540" width="8" style="25" customWidth="1"/>
    <col min="11541" max="11541" width="9.7109375" style="25" customWidth="1"/>
    <col min="11542" max="11542" width="8.42578125" style="25" customWidth="1"/>
    <col min="11543" max="11543" width="10.5703125" style="25" customWidth="1"/>
    <col min="11544" max="11544" width="12.7109375" style="25" customWidth="1"/>
    <col min="11545" max="11545" width="10" style="25" customWidth="1"/>
    <col min="11546" max="11546" width="14" style="25" customWidth="1"/>
    <col min="11547" max="11547" width="11.5703125" style="25" customWidth="1"/>
    <col min="11548" max="11548" width="8.28515625" style="25" customWidth="1"/>
    <col min="11549" max="11549" width="7.7109375" style="25" customWidth="1"/>
    <col min="11550" max="11790" width="11.42578125" style="25"/>
    <col min="11791" max="11791" width="0.7109375" style="25" customWidth="1"/>
    <col min="11792" max="11792" width="10.7109375" style="25" customWidth="1"/>
    <col min="11793" max="11793" width="5.28515625" style="25" customWidth="1"/>
    <col min="11794" max="11794" width="10.28515625" style="25" customWidth="1"/>
    <col min="11795" max="11795" width="7.7109375" style="25" customWidth="1"/>
    <col min="11796" max="11796" width="8" style="25" customWidth="1"/>
    <col min="11797" max="11797" width="9.7109375" style="25" customWidth="1"/>
    <col min="11798" max="11798" width="8.42578125" style="25" customWidth="1"/>
    <col min="11799" max="11799" width="10.5703125" style="25" customWidth="1"/>
    <col min="11800" max="11800" width="12.7109375" style="25" customWidth="1"/>
    <col min="11801" max="11801" width="10" style="25" customWidth="1"/>
    <col min="11802" max="11802" width="14" style="25" customWidth="1"/>
    <col min="11803" max="11803" width="11.5703125" style="25" customWidth="1"/>
    <col min="11804" max="11804" width="8.28515625" style="25" customWidth="1"/>
    <col min="11805" max="11805" width="7.7109375" style="25" customWidth="1"/>
    <col min="11806" max="12046" width="11.42578125" style="25"/>
    <col min="12047" max="12047" width="0.7109375" style="25" customWidth="1"/>
    <col min="12048" max="12048" width="10.7109375" style="25" customWidth="1"/>
    <col min="12049" max="12049" width="5.28515625" style="25" customWidth="1"/>
    <col min="12050" max="12050" width="10.28515625" style="25" customWidth="1"/>
    <col min="12051" max="12051" width="7.7109375" style="25" customWidth="1"/>
    <col min="12052" max="12052" width="8" style="25" customWidth="1"/>
    <col min="12053" max="12053" width="9.7109375" style="25" customWidth="1"/>
    <col min="12054" max="12054" width="8.42578125" style="25" customWidth="1"/>
    <col min="12055" max="12055" width="10.5703125" style="25" customWidth="1"/>
    <col min="12056" max="12056" width="12.7109375" style="25" customWidth="1"/>
    <col min="12057" max="12057" width="10" style="25" customWidth="1"/>
    <col min="12058" max="12058" width="14" style="25" customWidth="1"/>
    <col min="12059" max="12059" width="11.5703125" style="25" customWidth="1"/>
    <col min="12060" max="12060" width="8.28515625" style="25" customWidth="1"/>
    <col min="12061" max="12061" width="7.7109375" style="25" customWidth="1"/>
    <col min="12062" max="12302" width="11.42578125" style="25"/>
    <col min="12303" max="12303" width="0.7109375" style="25" customWidth="1"/>
    <col min="12304" max="12304" width="10.7109375" style="25" customWidth="1"/>
    <col min="12305" max="12305" width="5.28515625" style="25" customWidth="1"/>
    <col min="12306" max="12306" width="10.28515625" style="25" customWidth="1"/>
    <col min="12307" max="12307" width="7.7109375" style="25" customWidth="1"/>
    <col min="12308" max="12308" width="8" style="25" customWidth="1"/>
    <col min="12309" max="12309" width="9.7109375" style="25" customWidth="1"/>
    <col min="12310" max="12310" width="8.42578125" style="25" customWidth="1"/>
    <col min="12311" max="12311" width="10.5703125" style="25" customWidth="1"/>
    <col min="12312" max="12312" width="12.7109375" style="25" customWidth="1"/>
    <col min="12313" max="12313" width="10" style="25" customWidth="1"/>
    <col min="12314" max="12314" width="14" style="25" customWidth="1"/>
    <col min="12315" max="12315" width="11.5703125" style="25" customWidth="1"/>
    <col min="12316" max="12316" width="8.28515625" style="25" customWidth="1"/>
    <col min="12317" max="12317" width="7.7109375" style="25" customWidth="1"/>
    <col min="12318" max="12558" width="11.42578125" style="25"/>
    <col min="12559" max="12559" width="0.7109375" style="25" customWidth="1"/>
    <col min="12560" max="12560" width="10.7109375" style="25" customWidth="1"/>
    <col min="12561" max="12561" width="5.28515625" style="25" customWidth="1"/>
    <col min="12562" max="12562" width="10.28515625" style="25" customWidth="1"/>
    <col min="12563" max="12563" width="7.7109375" style="25" customWidth="1"/>
    <col min="12564" max="12564" width="8" style="25" customWidth="1"/>
    <col min="12565" max="12565" width="9.7109375" style="25" customWidth="1"/>
    <col min="12566" max="12566" width="8.42578125" style="25" customWidth="1"/>
    <col min="12567" max="12567" width="10.5703125" style="25" customWidth="1"/>
    <col min="12568" max="12568" width="12.7109375" style="25" customWidth="1"/>
    <col min="12569" max="12569" width="10" style="25" customWidth="1"/>
    <col min="12570" max="12570" width="14" style="25" customWidth="1"/>
    <col min="12571" max="12571" width="11.5703125" style="25" customWidth="1"/>
    <col min="12572" max="12572" width="8.28515625" style="25" customWidth="1"/>
    <col min="12573" max="12573" width="7.7109375" style="25" customWidth="1"/>
    <col min="12574" max="12814" width="11.42578125" style="25"/>
    <col min="12815" max="12815" width="0.7109375" style="25" customWidth="1"/>
    <col min="12816" max="12816" width="10.7109375" style="25" customWidth="1"/>
    <col min="12817" max="12817" width="5.28515625" style="25" customWidth="1"/>
    <col min="12818" max="12818" width="10.28515625" style="25" customWidth="1"/>
    <col min="12819" max="12819" width="7.7109375" style="25" customWidth="1"/>
    <col min="12820" max="12820" width="8" style="25" customWidth="1"/>
    <col min="12821" max="12821" width="9.7109375" style="25" customWidth="1"/>
    <col min="12822" max="12822" width="8.42578125" style="25" customWidth="1"/>
    <col min="12823" max="12823" width="10.5703125" style="25" customWidth="1"/>
    <col min="12824" max="12824" width="12.7109375" style="25" customWidth="1"/>
    <col min="12825" max="12825" width="10" style="25" customWidth="1"/>
    <col min="12826" max="12826" width="14" style="25" customWidth="1"/>
    <col min="12827" max="12827" width="11.5703125" style="25" customWidth="1"/>
    <col min="12828" max="12828" width="8.28515625" style="25" customWidth="1"/>
    <col min="12829" max="12829" width="7.7109375" style="25" customWidth="1"/>
    <col min="12830" max="13070" width="11.42578125" style="25"/>
    <col min="13071" max="13071" width="0.7109375" style="25" customWidth="1"/>
    <col min="13072" max="13072" width="10.7109375" style="25" customWidth="1"/>
    <col min="13073" max="13073" width="5.28515625" style="25" customWidth="1"/>
    <col min="13074" max="13074" width="10.28515625" style="25" customWidth="1"/>
    <col min="13075" max="13075" width="7.7109375" style="25" customWidth="1"/>
    <col min="13076" max="13076" width="8" style="25" customWidth="1"/>
    <col min="13077" max="13077" width="9.7109375" style="25" customWidth="1"/>
    <col min="13078" max="13078" width="8.42578125" style="25" customWidth="1"/>
    <col min="13079" max="13079" width="10.5703125" style="25" customWidth="1"/>
    <col min="13080" max="13080" width="12.7109375" style="25" customWidth="1"/>
    <col min="13081" max="13081" width="10" style="25" customWidth="1"/>
    <col min="13082" max="13082" width="14" style="25" customWidth="1"/>
    <col min="13083" max="13083" width="11.5703125" style="25" customWidth="1"/>
    <col min="13084" max="13084" width="8.28515625" style="25" customWidth="1"/>
    <col min="13085" max="13085" width="7.7109375" style="25" customWidth="1"/>
    <col min="13086" max="13326" width="11.42578125" style="25"/>
    <col min="13327" max="13327" width="0.7109375" style="25" customWidth="1"/>
    <col min="13328" max="13328" width="10.7109375" style="25" customWidth="1"/>
    <col min="13329" max="13329" width="5.28515625" style="25" customWidth="1"/>
    <col min="13330" max="13330" width="10.28515625" style="25" customWidth="1"/>
    <col min="13331" max="13331" width="7.7109375" style="25" customWidth="1"/>
    <col min="13332" max="13332" width="8" style="25" customWidth="1"/>
    <col min="13333" max="13333" width="9.7109375" style="25" customWidth="1"/>
    <col min="13334" max="13334" width="8.42578125" style="25" customWidth="1"/>
    <col min="13335" max="13335" width="10.5703125" style="25" customWidth="1"/>
    <col min="13336" max="13336" width="12.7109375" style="25" customWidth="1"/>
    <col min="13337" max="13337" width="10" style="25" customWidth="1"/>
    <col min="13338" max="13338" width="14" style="25" customWidth="1"/>
    <col min="13339" max="13339" width="11.5703125" style="25" customWidth="1"/>
    <col min="13340" max="13340" width="8.28515625" style="25" customWidth="1"/>
    <col min="13341" max="13341" width="7.7109375" style="25" customWidth="1"/>
    <col min="13342" max="13582" width="11.42578125" style="25"/>
    <col min="13583" max="13583" width="0.7109375" style="25" customWidth="1"/>
    <col min="13584" max="13584" width="10.7109375" style="25" customWidth="1"/>
    <col min="13585" max="13585" width="5.28515625" style="25" customWidth="1"/>
    <col min="13586" max="13586" width="10.28515625" style="25" customWidth="1"/>
    <col min="13587" max="13587" width="7.7109375" style="25" customWidth="1"/>
    <col min="13588" max="13588" width="8" style="25" customWidth="1"/>
    <col min="13589" max="13589" width="9.7109375" style="25" customWidth="1"/>
    <col min="13590" max="13590" width="8.42578125" style="25" customWidth="1"/>
    <col min="13591" max="13591" width="10.5703125" style="25" customWidth="1"/>
    <col min="13592" max="13592" width="12.7109375" style="25" customWidth="1"/>
    <col min="13593" max="13593" width="10" style="25" customWidth="1"/>
    <col min="13594" max="13594" width="14" style="25" customWidth="1"/>
    <col min="13595" max="13595" width="11.5703125" style="25" customWidth="1"/>
    <col min="13596" max="13596" width="8.28515625" style="25" customWidth="1"/>
    <col min="13597" max="13597" width="7.7109375" style="25" customWidth="1"/>
    <col min="13598" max="13838" width="11.42578125" style="25"/>
    <col min="13839" max="13839" width="0.7109375" style="25" customWidth="1"/>
    <col min="13840" max="13840" width="10.7109375" style="25" customWidth="1"/>
    <col min="13841" max="13841" width="5.28515625" style="25" customWidth="1"/>
    <col min="13842" max="13842" width="10.28515625" style="25" customWidth="1"/>
    <col min="13843" max="13843" width="7.7109375" style="25" customWidth="1"/>
    <col min="13844" max="13844" width="8" style="25" customWidth="1"/>
    <col min="13845" max="13845" width="9.7109375" style="25" customWidth="1"/>
    <col min="13846" max="13846" width="8.42578125" style="25" customWidth="1"/>
    <col min="13847" max="13847" width="10.5703125" style="25" customWidth="1"/>
    <col min="13848" max="13848" width="12.7109375" style="25" customWidth="1"/>
    <col min="13849" max="13849" width="10" style="25" customWidth="1"/>
    <col min="13850" max="13850" width="14" style="25" customWidth="1"/>
    <col min="13851" max="13851" width="11.5703125" style="25" customWidth="1"/>
    <col min="13852" max="13852" width="8.28515625" style="25" customWidth="1"/>
    <col min="13853" max="13853" width="7.7109375" style="25" customWidth="1"/>
    <col min="13854" max="14094" width="11.42578125" style="25"/>
    <col min="14095" max="14095" width="0.7109375" style="25" customWidth="1"/>
    <col min="14096" max="14096" width="10.7109375" style="25" customWidth="1"/>
    <col min="14097" max="14097" width="5.28515625" style="25" customWidth="1"/>
    <col min="14098" max="14098" width="10.28515625" style="25" customWidth="1"/>
    <col min="14099" max="14099" width="7.7109375" style="25" customWidth="1"/>
    <col min="14100" max="14100" width="8" style="25" customWidth="1"/>
    <col min="14101" max="14101" width="9.7109375" style="25" customWidth="1"/>
    <col min="14102" max="14102" width="8.42578125" style="25" customWidth="1"/>
    <col min="14103" max="14103" width="10.5703125" style="25" customWidth="1"/>
    <col min="14104" max="14104" width="12.7109375" style="25" customWidth="1"/>
    <col min="14105" max="14105" width="10" style="25" customWidth="1"/>
    <col min="14106" max="14106" width="14" style="25" customWidth="1"/>
    <col min="14107" max="14107" width="11.5703125" style="25" customWidth="1"/>
    <col min="14108" max="14108" width="8.28515625" style="25" customWidth="1"/>
    <col min="14109" max="14109" width="7.7109375" style="25" customWidth="1"/>
    <col min="14110" max="14350" width="11.42578125" style="25"/>
    <col min="14351" max="14351" width="0.7109375" style="25" customWidth="1"/>
    <col min="14352" max="14352" width="10.7109375" style="25" customWidth="1"/>
    <col min="14353" max="14353" width="5.28515625" style="25" customWidth="1"/>
    <col min="14354" max="14354" width="10.28515625" style="25" customWidth="1"/>
    <col min="14355" max="14355" width="7.7109375" style="25" customWidth="1"/>
    <col min="14356" max="14356" width="8" style="25" customWidth="1"/>
    <col min="14357" max="14357" width="9.7109375" style="25" customWidth="1"/>
    <col min="14358" max="14358" width="8.42578125" style="25" customWidth="1"/>
    <col min="14359" max="14359" width="10.5703125" style="25" customWidth="1"/>
    <col min="14360" max="14360" width="12.7109375" style="25" customWidth="1"/>
    <col min="14361" max="14361" width="10" style="25" customWidth="1"/>
    <col min="14362" max="14362" width="14" style="25" customWidth="1"/>
    <col min="14363" max="14363" width="11.5703125" style="25" customWidth="1"/>
    <col min="14364" max="14364" width="8.28515625" style="25" customWidth="1"/>
    <col min="14365" max="14365" width="7.7109375" style="25" customWidth="1"/>
    <col min="14366" max="14606" width="11.42578125" style="25"/>
    <col min="14607" max="14607" width="0.7109375" style="25" customWidth="1"/>
    <col min="14608" max="14608" width="10.7109375" style="25" customWidth="1"/>
    <col min="14609" max="14609" width="5.28515625" style="25" customWidth="1"/>
    <col min="14610" max="14610" width="10.28515625" style="25" customWidth="1"/>
    <col min="14611" max="14611" width="7.7109375" style="25" customWidth="1"/>
    <col min="14612" max="14612" width="8" style="25" customWidth="1"/>
    <col min="14613" max="14613" width="9.7109375" style="25" customWidth="1"/>
    <col min="14614" max="14614" width="8.42578125" style="25" customWidth="1"/>
    <col min="14615" max="14615" width="10.5703125" style="25" customWidth="1"/>
    <col min="14616" max="14616" width="12.7109375" style="25" customWidth="1"/>
    <col min="14617" max="14617" width="10" style="25" customWidth="1"/>
    <col min="14618" max="14618" width="14" style="25" customWidth="1"/>
    <col min="14619" max="14619" width="11.5703125" style="25" customWidth="1"/>
    <col min="14620" max="14620" width="8.28515625" style="25" customWidth="1"/>
    <col min="14621" max="14621" width="7.7109375" style="25" customWidth="1"/>
    <col min="14622" max="14862" width="11.42578125" style="25"/>
    <col min="14863" max="14863" width="0.7109375" style="25" customWidth="1"/>
    <col min="14864" max="14864" width="10.7109375" style="25" customWidth="1"/>
    <col min="14865" max="14865" width="5.28515625" style="25" customWidth="1"/>
    <col min="14866" max="14866" width="10.28515625" style="25" customWidth="1"/>
    <col min="14867" max="14867" width="7.7109375" style="25" customWidth="1"/>
    <col min="14868" max="14868" width="8" style="25" customWidth="1"/>
    <col min="14869" max="14869" width="9.7109375" style="25" customWidth="1"/>
    <col min="14870" max="14870" width="8.42578125" style="25" customWidth="1"/>
    <col min="14871" max="14871" width="10.5703125" style="25" customWidth="1"/>
    <col min="14872" max="14872" width="12.7109375" style="25" customWidth="1"/>
    <col min="14873" max="14873" width="10" style="25" customWidth="1"/>
    <col min="14874" max="14874" width="14" style="25" customWidth="1"/>
    <col min="14875" max="14875" width="11.5703125" style="25" customWidth="1"/>
    <col min="14876" max="14876" width="8.28515625" style="25" customWidth="1"/>
    <col min="14877" max="14877" width="7.7109375" style="25" customWidth="1"/>
    <col min="14878" max="15118" width="11.42578125" style="25"/>
    <col min="15119" max="15119" width="0.7109375" style="25" customWidth="1"/>
    <col min="15120" max="15120" width="10.7109375" style="25" customWidth="1"/>
    <col min="15121" max="15121" width="5.28515625" style="25" customWidth="1"/>
    <col min="15122" max="15122" width="10.28515625" style="25" customWidth="1"/>
    <col min="15123" max="15123" width="7.7109375" style="25" customWidth="1"/>
    <col min="15124" max="15124" width="8" style="25" customWidth="1"/>
    <col min="15125" max="15125" width="9.7109375" style="25" customWidth="1"/>
    <col min="15126" max="15126" width="8.42578125" style="25" customWidth="1"/>
    <col min="15127" max="15127" width="10.5703125" style="25" customWidth="1"/>
    <col min="15128" max="15128" width="12.7109375" style="25" customWidth="1"/>
    <col min="15129" max="15129" width="10" style="25" customWidth="1"/>
    <col min="15130" max="15130" width="14" style="25" customWidth="1"/>
    <col min="15131" max="15131" width="11.5703125" style="25" customWidth="1"/>
    <col min="15132" max="15132" width="8.28515625" style="25" customWidth="1"/>
    <col min="15133" max="15133" width="7.7109375" style="25" customWidth="1"/>
    <col min="15134" max="15374" width="11.42578125" style="25"/>
    <col min="15375" max="15375" width="0.7109375" style="25" customWidth="1"/>
    <col min="15376" max="15376" width="10.7109375" style="25" customWidth="1"/>
    <col min="15377" max="15377" width="5.28515625" style="25" customWidth="1"/>
    <col min="15378" max="15378" width="10.28515625" style="25" customWidth="1"/>
    <col min="15379" max="15379" width="7.7109375" style="25" customWidth="1"/>
    <col min="15380" max="15380" width="8" style="25" customWidth="1"/>
    <col min="15381" max="15381" width="9.7109375" style="25" customWidth="1"/>
    <col min="15382" max="15382" width="8.42578125" style="25" customWidth="1"/>
    <col min="15383" max="15383" width="10.5703125" style="25" customWidth="1"/>
    <col min="15384" max="15384" width="12.7109375" style="25" customWidth="1"/>
    <col min="15385" max="15385" width="10" style="25" customWidth="1"/>
    <col min="15386" max="15386" width="14" style="25" customWidth="1"/>
    <col min="15387" max="15387" width="11.5703125" style="25" customWidth="1"/>
    <col min="15388" max="15388" width="8.28515625" style="25" customWidth="1"/>
    <col min="15389" max="15389" width="7.7109375" style="25" customWidth="1"/>
    <col min="15390" max="15630" width="11.42578125" style="25"/>
    <col min="15631" max="15631" width="0.7109375" style="25" customWidth="1"/>
    <col min="15632" max="15632" width="10.7109375" style="25" customWidth="1"/>
    <col min="15633" max="15633" width="5.28515625" style="25" customWidth="1"/>
    <col min="15634" max="15634" width="10.28515625" style="25" customWidth="1"/>
    <col min="15635" max="15635" width="7.7109375" style="25" customWidth="1"/>
    <col min="15636" max="15636" width="8" style="25" customWidth="1"/>
    <col min="15637" max="15637" width="9.7109375" style="25" customWidth="1"/>
    <col min="15638" max="15638" width="8.42578125" style="25" customWidth="1"/>
    <col min="15639" max="15639" width="10.5703125" style="25" customWidth="1"/>
    <col min="15640" max="15640" width="12.7109375" style="25" customWidth="1"/>
    <col min="15641" max="15641" width="10" style="25" customWidth="1"/>
    <col min="15642" max="15642" width="14" style="25" customWidth="1"/>
    <col min="15643" max="15643" width="11.5703125" style="25" customWidth="1"/>
    <col min="15644" max="15644" width="8.28515625" style="25" customWidth="1"/>
    <col min="15645" max="15645" width="7.7109375" style="25" customWidth="1"/>
    <col min="15646" max="15886" width="11.42578125" style="25"/>
    <col min="15887" max="15887" width="0.7109375" style="25" customWidth="1"/>
    <col min="15888" max="15888" width="10.7109375" style="25" customWidth="1"/>
    <col min="15889" max="15889" width="5.28515625" style="25" customWidth="1"/>
    <col min="15890" max="15890" width="10.28515625" style="25" customWidth="1"/>
    <col min="15891" max="15891" width="7.7109375" style="25" customWidth="1"/>
    <col min="15892" max="15892" width="8" style="25" customWidth="1"/>
    <col min="15893" max="15893" width="9.7109375" style="25" customWidth="1"/>
    <col min="15894" max="15894" width="8.42578125" style="25" customWidth="1"/>
    <col min="15895" max="15895" width="10.5703125" style="25" customWidth="1"/>
    <col min="15896" max="15896" width="12.7109375" style="25" customWidth="1"/>
    <col min="15897" max="15897" width="10" style="25" customWidth="1"/>
    <col min="15898" max="15898" width="14" style="25" customWidth="1"/>
    <col min="15899" max="15899" width="11.5703125" style="25" customWidth="1"/>
    <col min="15900" max="15900" width="8.28515625" style="25" customWidth="1"/>
    <col min="15901" max="15901" width="7.7109375" style="25" customWidth="1"/>
    <col min="15902" max="16142" width="11.42578125" style="25"/>
    <col min="16143" max="16143" width="0.7109375" style="25" customWidth="1"/>
    <col min="16144" max="16144" width="10.7109375" style="25" customWidth="1"/>
    <col min="16145" max="16145" width="5.28515625" style="25" customWidth="1"/>
    <col min="16146" max="16146" width="10.28515625" style="25" customWidth="1"/>
    <col min="16147" max="16147" width="7.7109375" style="25" customWidth="1"/>
    <col min="16148" max="16148" width="8" style="25" customWidth="1"/>
    <col min="16149" max="16149" width="9.7109375" style="25" customWidth="1"/>
    <col min="16150" max="16150" width="8.42578125" style="25" customWidth="1"/>
    <col min="16151" max="16151" width="10.5703125" style="25" customWidth="1"/>
    <col min="16152" max="16152" width="12.7109375" style="25" customWidth="1"/>
    <col min="16153" max="16153" width="10" style="25" customWidth="1"/>
    <col min="16154" max="16154" width="14" style="25" customWidth="1"/>
    <col min="16155" max="16155" width="11.5703125" style="25" customWidth="1"/>
    <col min="16156" max="16156" width="8.28515625" style="25" customWidth="1"/>
    <col min="16157" max="16157" width="7.7109375" style="25" customWidth="1"/>
    <col min="16158" max="16384" width="11.42578125" style="25"/>
  </cols>
  <sheetData>
    <row r="1" spans="1:24" s="1" customFormat="1" ht="18" customHeight="1" thickTop="1">
      <c r="A1" s="56"/>
      <c r="B1" s="57"/>
      <c r="C1" s="57"/>
      <c r="D1" s="58"/>
      <c r="E1" s="59"/>
      <c r="F1" s="59"/>
      <c r="G1" s="59"/>
      <c r="H1" s="59"/>
      <c r="I1" s="60"/>
      <c r="J1" s="61"/>
      <c r="K1" s="486"/>
      <c r="L1" s="572"/>
      <c r="M1" s="572"/>
      <c r="N1" s="62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4" ht="18" customHeight="1">
      <c r="A2" s="63"/>
      <c r="B2" s="12"/>
      <c r="C2" s="12"/>
      <c r="D2" s="13"/>
      <c r="E2" s="574" t="s">
        <v>82</v>
      </c>
      <c r="F2" s="574"/>
      <c r="G2" s="574"/>
      <c r="H2" s="574"/>
      <c r="I2" s="574"/>
      <c r="J2" s="574"/>
      <c r="K2" s="487"/>
      <c r="L2" s="573"/>
      <c r="M2" s="573"/>
      <c r="N2" s="6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2.6" customHeight="1">
      <c r="A3" s="63"/>
      <c r="B3" s="12"/>
      <c r="C3" s="12"/>
      <c r="D3" s="13"/>
      <c r="E3" s="88"/>
      <c r="F3" s="88"/>
      <c r="G3" s="88"/>
      <c r="H3" s="88"/>
      <c r="I3" s="88"/>
      <c r="J3" s="88"/>
      <c r="K3" s="488"/>
      <c r="L3" s="573"/>
      <c r="M3" s="573"/>
      <c r="N3" s="6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2" customHeight="1">
      <c r="A4" s="63"/>
      <c r="B4" s="12"/>
      <c r="C4" s="12"/>
      <c r="D4" s="13"/>
      <c r="E4" s="14"/>
      <c r="F4" s="15"/>
      <c r="G4" s="15"/>
      <c r="H4" s="15"/>
      <c r="I4" s="16"/>
      <c r="J4" s="17"/>
      <c r="K4" s="489"/>
      <c r="L4" s="573"/>
      <c r="M4" s="573"/>
      <c r="N4" s="6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6.5" customHeight="1">
      <c r="A5" s="63"/>
      <c r="B5" s="18"/>
      <c r="C5" s="18"/>
      <c r="D5" s="44" t="s">
        <v>0</v>
      </c>
      <c r="E5" s="125" t="s">
        <v>305</v>
      </c>
      <c r="F5" s="15"/>
      <c r="G5" s="47" t="s">
        <v>1</v>
      </c>
      <c r="H5" s="575" t="s">
        <v>311</v>
      </c>
      <c r="I5" s="575"/>
      <c r="J5" s="17"/>
      <c r="K5" s="489"/>
      <c r="L5" s="115"/>
      <c r="M5" s="116"/>
      <c r="N5" s="65"/>
      <c r="O5" s="93"/>
      <c r="P5" s="93"/>
      <c r="Q5" s="93"/>
      <c r="R5" s="93"/>
      <c r="S5" s="93"/>
      <c r="T5" s="93"/>
      <c r="U5" s="93"/>
      <c r="V5" s="93"/>
      <c r="W5" s="93"/>
      <c r="X5" s="93"/>
    </row>
    <row r="6" spans="1:24" ht="16.5" customHeight="1">
      <c r="A6" s="63"/>
      <c r="B6" s="12"/>
      <c r="C6" s="12"/>
      <c r="D6" s="44" t="s">
        <v>3</v>
      </c>
      <c r="E6" s="126">
        <v>11220</v>
      </c>
      <c r="F6" s="15"/>
      <c r="G6" s="47" t="s">
        <v>4</v>
      </c>
      <c r="H6" s="576" t="s">
        <v>218</v>
      </c>
      <c r="I6" s="576"/>
      <c r="J6" s="12"/>
      <c r="K6" s="489"/>
      <c r="L6" s="52" t="s">
        <v>2</v>
      </c>
      <c r="M6" s="53">
        <v>45754</v>
      </c>
      <c r="N6" s="113"/>
      <c r="O6" s="94"/>
      <c r="P6" s="94"/>
      <c r="Q6" s="94"/>
      <c r="R6" s="94"/>
      <c r="S6" s="94"/>
      <c r="T6" s="94"/>
      <c r="U6" s="94"/>
      <c r="V6" s="94"/>
      <c r="W6" s="94"/>
      <c r="X6" s="94"/>
    </row>
    <row r="7" spans="1:24" ht="16.5" customHeight="1">
      <c r="A7" s="63"/>
      <c r="B7" s="12"/>
      <c r="C7" s="12"/>
      <c r="D7" s="44" t="s">
        <v>5</v>
      </c>
      <c r="E7" s="127">
        <v>8530</v>
      </c>
      <c r="F7" s="15"/>
      <c r="G7" s="47" t="s">
        <v>6</v>
      </c>
      <c r="H7" s="49">
        <v>1</v>
      </c>
      <c r="I7" s="50"/>
      <c r="J7" s="17"/>
      <c r="K7" s="489"/>
      <c r="L7" s="52" t="s">
        <v>83</v>
      </c>
      <c r="M7" s="563" t="s">
        <v>345</v>
      </c>
      <c r="N7" s="577"/>
      <c r="O7" s="94"/>
      <c r="P7" s="94"/>
      <c r="Q7" s="94"/>
      <c r="R7" s="94"/>
      <c r="S7" s="94"/>
      <c r="T7" s="94"/>
      <c r="U7" s="94"/>
      <c r="V7" s="94"/>
      <c r="W7" s="94"/>
      <c r="X7" s="94"/>
    </row>
    <row r="8" spans="1:24" ht="16.5" customHeight="1">
      <c r="A8" s="63"/>
      <c r="B8" s="12"/>
      <c r="C8" s="12"/>
      <c r="D8" s="44" t="s">
        <v>7</v>
      </c>
      <c r="E8" s="45">
        <v>7</v>
      </c>
      <c r="F8" s="15"/>
      <c r="G8" s="47" t="s">
        <v>306</v>
      </c>
      <c r="H8" s="578">
        <v>85</v>
      </c>
      <c r="I8" s="578"/>
      <c r="J8" s="19"/>
      <c r="K8" s="490"/>
      <c r="L8" s="52" t="s">
        <v>84</v>
      </c>
      <c r="M8" s="563" t="s">
        <v>322</v>
      </c>
      <c r="N8" s="577"/>
      <c r="O8" s="26"/>
      <c r="P8" s="26"/>
      <c r="Q8" s="26"/>
      <c r="R8" s="26"/>
      <c r="S8" s="26"/>
      <c r="T8" s="26"/>
      <c r="U8" s="26"/>
      <c r="V8" s="26"/>
      <c r="W8" s="26"/>
      <c r="X8" s="26"/>
    </row>
    <row r="9" spans="1:24" ht="16.5" customHeight="1" thickBot="1">
      <c r="A9" s="560" t="s">
        <v>295</v>
      </c>
      <c r="B9" s="561"/>
      <c r="C9" s="12"/>
      <c r="D9" s="44" t="s">
        <v>226</v>
      </c>
      <c r="E9" s="46">
        <v>29</v>
      </c>
      <c r="F9" s="15"/>
      <c r="G9" s="44" t="s">
        <v>14</v>
      </c>
      <c r="H9" s="45" t="s">
        <v>100</v>
      </c>
      <c r="I9" s="51"/>
      <c r="J9" s="17"/>
      <c r="K9" s="489"/>
      <c r="L9" s="115"/>
      <c r="M9" s="116"/>
      <c r="N9" s="66">
        <v>27.58</v>
      </c>
      <c r="O9" s="24"/>
      <c r="P9" s="24"/>
      <c r="Q9" s="24"/>
      <c r="R9" s="24"/>
      <c r="S9" s="24"/>
      <c r="T9" s="24"/>
      <c r="U9" s="24"/>
      <c r="V9" s="24"/>
      <c r="W9" s="24"/>
      <c r="X9" s="24"/>
    </row>
    <row r="10" spans="1:24" ht="16.5" customHeight="1">
      <c r="A10" s="562" t="s">
        <v>225</v>
      </c>
      <c r="B10" s="563"/>
      <c r="C10" s="82"/>
      <c r="D10" s="83" t="s">
        <v>98</v>
      </c>
      <c r="E10" s="84" t="s">
        <v>224</v>
      </c>
      <c r="F10" s="67"/>
      <c r="G10" s="117" t="s">
        <v>99</v>
      </c>
      <c r="H10" s="128" t="s">
        <v>222</v>
      </c>
      <c r="I10" s="67"/>
      <c r="J10" s="17"/>
      <c r="K10" s="489"/>
      <c r="L10" s="52" t="s">
        <v>8</v>
      </c>
      <c r="M10" s="252">
        <f>SUM(M11-M12)</f>
        <v>21355</v>
      </c>
      <c r="N10" s="68"/>
      <c r="O10" s="24"/>
      <c r="P10" s="241"/>
      <c r="Q10" s="24"/>
      <c r="R10" s="24"/>
      <c r="S10" s="24"/>
      <c r="T10" s="24"/>
      <c r="U10" s="24"/>
      <c r="V10" s="24"/>
      <c r="W10" s="24"/>
      <c r="X10" s="24"/>
    </row>
    <row r="11" spans="1:24" ht="20.65" customHeight="1">
      <c r="A11" s="365" t="s">
        <v>301</v>
      </c>
      <c r="B11" s="12"/>
      <c r="C11" s="85"/>
      <c r="D11" s="83" t="s">
        <v>10</v>
      </c>
      <c r="E11" s="110" t="s">
        <v>103</v>
      </c>
      <c r="F11" s="67"/>
      <c r="G11" s="117" t="s">
        <v>10</v>
      </c>
      <c r="H11" s="319" t="s">
        <v>103</v>
      </c>
      <c r="I11" s="67"/>
      <c r="J11" s="17"/>
      <c r="K11" s="489"/>
      <c r="L11" s="52" t="s">
        <v>9</v>
      </c>
      <c r="M11" s="254">
        <v>21365</v>
      </c>
      <c r="N11" s="350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spans="1:24" ht="16.5" customHeight="1" thickBot="1">
      <c r="A12" s="366" t="s">
        <v>304</v>
      </c>
      <c r="B12" s="367">
        <v>4.05</v>
      </c>
      <c r="C12" s="85"/>
      <c r="D12" s="83" t="s">
        <v>13</v>
      </c>
      <c r="E12" s="86">
        <v>4.7759999999999998</v>
      </c>
      <c r="G12" s="117" t="s">
        <v>13</v>
      </c>
      <c r="H12" s="175">
        <v>4.8659999999999997</v>
      </c>
      <c r="I12" s="129"/>
      <c r="J12" s="17"/>
      <c r="K12" s="489"/>
      <c r="L12" s="52" t="s">
        <v>12</v>
      </c>
      <c r="M12" s="253">
        <v>10</v>
      </c>
      <c r="N12" s="349"/>
      <c r="O12" s="26"/>
      <c r="P12" s="241"/>
      <c r="Q12" s="24"/>
      <c r="R12" s="24"/>
      <c r="S12" s="24"/>
      <c r="T12" s="24"/>
      <c r="U12" s="24"/>
      <c r="V12" s="24"/>
      <c r="W12" s="24"/>
      <c r="X12" s="24"/>
    </row>
    <row r="13" spans="1:24" ht="16.5" customHeight="1" thickBot="1">
      <c r="A13" s="365" t="s">
        <v>303</v>
      </c>
      <c r="B13" s="12"/>
      <c r="C13" s="85"/>
      <c r="D13" s="87" t="s">
        <v>302</v>
      </c>
      <c r="E13" s="364">
        <v>6.25</v>
      </c>
      <c r="F13" s="47"/>
      <c r="G13" s="117" t="s">
        <v>302</v>
      </c>
      <c r="H13" s="564">
        <v>6.25</v>
      </c>
      <c r="I13" s="564"/>
      <c r="J13" s="17"/>
      <c r="K13" s="489"/>
      <c r="L13" s="52" t="s">
        <v>46</v>
      </c>
      <c r="M13" s="161">
        <f>J333</f>
        <v>11528.421000000006</v>
      </c>
      <c r="N13" s="118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spans="1:24" ht="16.5" customHeight="1" thickBot="1">
      <c r="A14" s="63"/>
      <c r="B14" s="12"/>
      <c r="C14" s="85"/>
      <c r="D14" s="47" t="s">
        <v>307</v>
      </c>
      <c r="E14" s="48">
        <v>12.3</v>
      </c>
      <c r="F14" s="47"/>
      <c r="G14" s="47" t="s">
        <v>62</v>
      </c>
      <c r="H14" s="565" t="s">
        <v>223</v>
      </c>
      <c r="I14" s="565"/>
      <c r="J14" s="17"/>
      <c r="K14" s="489"/>
      <c r="L14" s="52" t="s">
        <v>45</v>
      </c>
      <c r="M14" s="162">
        <v>11860</v>
      </c>
      <c r="N14" s="89" t="s">
        <v>66</v>
      </c>
      <c r="O14" s="24"/>
      <c r="P14" s="241"/>
      <c r="Q14" s="24"/>
      <c r="R14" s="24"/>
      <c r="S14" s="24"/>
      <c r="T14" s="24"/>
      <c r="U14" s="24"/>
      <c r="V14" s="24"/>
      <c r="W14" s="24"/>
      <c r="X14" s="24"/>
    </row>
    <row r="15" spans="1:24" ht="16.5" customHeight="1" thickBot="1">
      <c r="A15" s="63"/>
      <c r="B15" s="12"/>
      <c r="C15" s="85"/>
      <c r="D15" s="47" t="s">
        <v>11</v>
      </c>
      <c r="E15" s="174">
        <f>(65.45-E14)/65.45</f>
        <v>0.81207028265851799</v>
      </c>
      <c r="F15" s="69"/>
      <c r="G15" s="44" t="s">
        <v>39</v>
      </c>
      <c r="H15" s="338">
        <f>SUM(C18:C320)</f>
        <v>580</v>
      </c>
      <c r="I15" s="174"/>
      <c r="J15" s="17"/>
      <c r="K15" s="489"/>
      <c r="L15" s="52" t="s">
        <v>102</v>
      </c>
      <c r="M15" s="163" t="s">
        <v>342</v>
      </c>
      <c r="N15" s="70">
        <v>0.11899999999999999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spans="1:24" ht="13.5" customHeight="1">
      <c r="A16" s="566" t="s">
        <v>81</v>
      </c>
      <c r="B16" s="567"/>
      <c r="C16" s="570" t="s">
        <v>15</v>
      </c>
      <c r="D16" s="571"/>
      <c r="E16" s="173" t="s">
        <v>76</v>
      </c>
      <c r="F16" s="43" t="s">
        <v>16</v>
      </c>
      <c r="G16" s="43" t="s">
        <v>17</v>
      </c>
      <c r="H16" s="43" t="s">
        <v>16</v>
      </c>
      <c r="I16" s="43" t="s">
        <v>18</v>
      </c>
      <c r="J16" s="43" t="s">
        <v>19</v>
      </c>
      <c r="K16" s="491"/>
      <c r="L16" s="140" t="s">
        <v>20</v>
      </c>
      <c r="M16" s="532" t="s">
        <v>21</v>
      </c>
      <c r="N16" s="533"/>
      <c r="O16" s="95"/>
      <c r="P16" s="95"/>
      <c r="Q16" s="24"/>
      <c r="R16" s="24"/>
      <c r="S16" s="24"/>
      <c r="T16" s="24"/>
      <c r="U16" s="24"/>
      <c r="V16" s="24"/>
      <c r="W16" s="24"/>
      <c r="X16" s="95"/>
    </row>
    <row r="17" spans="1:33" ht="11.65" customHeight="1" thickBot="1">
      <c r="A17" s="568"/>
      <c r="B17" s="569"/>
      <c r="C17" s="90" t="s">
        <v>22</v>
      </c>
      <c r="D17" s="91" t="s">
        <v>105</v>
      </c>
      <c r="E17" s="91" t="s">
        <v>23</v>
      </c>
      <c r="F17" s="92" t="s">
        <v>24</v>
      </c>
      <c r="G17" s="92" t="s">
        <v>24</v>
      </c>
      <c r="H17" s="92" t="s">
        <v>25</v>
      </c>
      <c r="I17" s="92" t="s">
        <v>24</v>
      </c>
      <c r="J17" s="92" t="s">
        <v>26</v>
      </c>
      <c r="K17" s="492"/>
      <c r="L17" s="141" t="s">
        <v>27</v>
      </c>
      <c r="M17" s="534" t="s">
        <v>28</v>
      </c>
      <c r="N17" s="535"/>
      <c r="O17" s="95"/>
      <c r="P17" s="95"/>
      <c r="Q17" s="24"/>
      <c r="R17" s="24"/>
      <c r="S17" s="24"/>
      <c r="T17" s="24"/>
      <c r="U17" s="24"/>
      <c r="V17" s="24"/>
      <c r="W17" s="24"/>
      <c r="X17" s="95"/>
    </row>
    <row r="18" spans="1:33" s="2" customFormat="1" ht="26.1" customHeight="1" thickTop="1">
      <c r="A18" s="536" t="s">
        <v>323</v>
      </c>
      <c r="B18" s="537"/>
      <c r="C18" s="149" t="s">
        <v>101</v>
      </c>
      <c r="D18" s="540" t="s">
        <v>90</v>
      </c>
      <c r="E18" s="541"/>
      <c r="F18" s="184">
        <f>'DECK TALLY'!K6</f>
        <v>3.37</v>
      </c>
      <c r="G18" s="184">
        <f>SUM('DECK TALLY'!K6)</f>
        <v>3.37</v>
      </c>
      <c r="H18" s="150" t="s">
        <v>29</v>
      </c>
      <c r="I18" s="157">
        <f>G18</f>
        <v>3.37</v>
      </c>
      <c r="J18" s="150">
        <f>M10-G18</f>
        <v>21351.63</v>
      </c>
      <c r="K18" s="493"/>
      <c r="L18" s="151"/>
      <c r="M18" s="542" t="s">
        <v>324</v>
      </c>
      <c r="N18" s="543"/>
      <c r="O18" s="96"/>
      <c r="P18" s="28"/>
      <c r="Q18" s="24"/>
      <c r="R18" s="24"/>
      <c r="S18" s="24"/>
      <c r="T18" s="24"/>
      <c r="U18" s="24"/>
      <c r="V18" s="24"/>
      <c r="W18" s="24"/>
      <c r="X18" s="96"/>
      <c r="Y18" s="25"/>
      <c r="Z18" s="25"/>
      <c r="AA18" s="25"/>
      <c r="AB18" s="25"/>
      <c r="AC18" s="25"/>
      <c r="AD18" s="25"/>
      <c r="AE18" s="25"/>
      <c r="AF18" s="25"/>
      <c r="AG18" s="25"/>
    </row>
    <row r="19" spans="1:33" s="2" customFormat="1" ht="29.65" customHeight="1" thickBot="1">
      <c r="A19" s="538"/>
      <c r="B19" s="539"/>
      <c r="C19" s="185">
        <v>2</v>
      </c>
      <c r="D19" s="546" t="s">
        <v>92</v>
      </c>
      <c r="E19" s="546"/>
      <c r="F19" s="184">
        <f>SUM('DECK TALLY'!K7)</f>
        <v>37.200000000000003</v>
      </c>
      <c r="G19" s="184">
        <f>SUM('DECK TALLY'!K7)</f>
        <v>37.200000000000003</v>
      </c>
      <c r="H19" s="184" t="s">
        <v>29</v>
      </c>
      <c r="I19" s="186">
        <f t="shared" ref="I19:I24" si="0">IF(H19="IN",I18+G19,I18)</f>
        <v>40.57</v>
      </c>
      <c r="J19" s="184">
        <f t="shared" ref="J19:J82" si="1">IF(I19="","",$M$10-I19)</f>
        <v>21314.43</v>
      </c>
      <c r="K19" s="494"/>
      <c r="L19" s="187"/>
      <c r="M19" s="544"/>
      <c r="N19" s="545"/>
      <c r="O19" s="96"/>
      <c r="P19" s="28"/>
      <c r="Q19" s="24"/>
      <c r="R19" s="24"/>
      <c r="S19" s="24"/>
      <c r="T19" s="24"/>
      <c r="U19" s="24"/>
      <c r="V19" s="24"/>
      <c r="W19" s="24"/>
      <c r="X19" s="96"/>
      <c r="Y19" s="25"/>
      <c r="Z19" s="25"/>
      <c r="AA19" s="25"/>
      <c r="AB19" s="25"/>
      <c r="AC19" s="25"/>
      <c r="AD19" s="25"/>
      <c r="AE19" s="25"/>
      <c r="AF19" s="25"/>
      <c r="AG19" s="25"/>
    </row>
    <row r="20" spans="1:33" s="2" customFormat="1" ht="14.65" customHeight="1" thickBot="1">
      <c r="A20" s="547" t="s">
        <v>325</v>
      </c>
      <c r="B20" s="548"/>
      <c r="C20" s="152">
        <v>1</v>
      </c>
      <c r="D20" s="549" t="s">
        <v>93</v>
      </c>
      <c r="E20" s="549"/>
      <c r="F20" s="289">
        <f>SUM('DECK TALLY'!K9)</f>
        <v>20.260000000000002</v>
      </c>
      <c r="G20" s="153">
        <f>F20-(B12/12)</f>
        <v>19.922500000000003</v>
      </c>
      <c r="H20" s="153" t="s">
        <v>29</v>
      </c>
      <c r="I20" s="158">
        <f t="shared" si="0"/>
        <v>60.492500000000007</v>
      </c>
      <c r="J20" s="153">
        <f t="shared" si="1"/>
        <v>21294.5075</v>
      </c>
      <c r="K20" s="495"/>
      <c r="L20" s="154"/>
      <c r="M20" s="550" t="s">
        <v>326</v>
      </c>
      <c r="N20" s="551"/>
      <c r="O20" s="96"/>
      <c r="P20" s="28"/>
      <c r="Q20" s="24"/>
      <c r="R20" s="24"/>
      <c r="S20" s="24"/>
      <c r="T20" s="24"/>
      <c r="U20" s="24"/>
      <c r="V20" s="24"/>
      <c r="W20" s="24"/>
      <c r="X20" s="96"/>
      <c r="Y20" s="25"/>
      <c r="Z20" s="25"/>
      <c r="AA20" s="25"/>
      <c r="AB20" s="25"/>
      <c r="AC20" s="25"/>
      <c r="AD20" s="25"/>
      <c r="AE20" s="25"/>
      <c r="AF20" s="25"/>
      <c r="AG20" s="25"/>
    </row>
    <row r="21" spans="1:33" s="2" customFormat="1" ht="20.65" customHeight="1" thickBot="1">
      <c r="A21" s="547"/>
      <c r="B21" s="548"/>
      <c r="C21" s="188" t="s">
        <v>101</v>
      </c>
      <c r="D21" s="556" t="s">
        <v>89</v>
      </c>
      <c r="E21" s="557"/>
      <c r="F21" s="290">
        <f>SUM('DECK TALLY'!K10)</f>
        <v>2.91</v>
      </c>
      <c r="G21" s="189">
        <f>F21</f>
        <v>2.91</v>
      </c>
      <c r="H21" s="189" t="s">
        <v>29</v>
      </c>
      <c r="I21" s="190">
        <f t="shared" si="0"/>
        <v>63.402500000000003</v>
      </c>
      <c r="J21" s="189">
        <f t="shared" si="1"/>
        <v>21291.5975</v>
      </c>
      <c r="K21" s="496"/>
      <c r="L21" s="191"/>
      <c r="M21" s="552"/>
      <c r="N21" s="553"/>
      <c r="O21" s="96"/>
      <c r="P21" s="28"/>
      <c r="Q21" s="24"/>
      <c r="R21" s="24"/>
      <c r="S21" s="24"/>
      <c r="T21" s="24"/>
      <c r="U21" s="24"/>
      <c r="V21" s="24"/>
      <c r="W21" s="24"/>
      <c r="X21" s="96"/>
      <c r="Y21" s="25"/>
      <c r="Z21" s="25"/>
      <c r="AA21" s="25"/>
      <c r="AB21" s="25"/>
      <c r="AC21" s="25"/>
      <c r="AD21" s="25"/>
      <c r="AE21" s="25"/>
      <c r="AF21" s="25"/>
      <c r="AG21" s="25"/>
    </row>
    <row r="22" spans="1:33" s="2" customFormat="1" ht="24" customHeight="1" thickBot="1">
      <c r="A22" s="547"/>
      <c r="B22" s="548"/>
      <c r="C22" s="292">
        <v>1</v>
      </c>
      <c r="D22" s="558" t="s">
        <v>94</v>
      </c>
      <c r="E22" s="559"/>
      <c r="F22" s="293">
        <f>SUM('DECK TALLY'!K11)</f>
        <v>19.899999999999999</v>
      </c>
      <c r="G22" s="294">
        <f>F22</f>
        <v>19.899999999999999</v>
      </c>
      <c r="H22" s="294" t="s">
        <v>29</v>
      </c>
      <c r="I22" s="295">
        <f>IF(H22="IN",I21+G22,I21)</f>
        <v>83.302500000000009</v>
      </c>
      <c r="J22" s="294">
        <f t="shared" si="1"/>
        <v>21271.697499999998</v>
      </c>
      <c r="K22" s="478"/>
      <c r="L22" s="296"/>
      <c r="M22" s="554"/>
      <c r="N22" s="555"/>
      <c r="O22" s="96"/>
      <c r="P22" s="28"/>
      <c r="Q22" s="24"/>
      <c r="R22" s="24"/>
      <c r="S22" s="24"/>
      <c r="T22" s="24"/>
      <c r="U22" s="24"/>
      <c r="V22" s="24"/>
      <c r="W22" s="24"/>
      <c r="X22" s="96"/>
      <c r="Y22" s="25"/>
      <c r="Z22" s="25"/>
      <c r="AA22" s="25"/>
      <c r="AB22" s="25"/>
      <c r="AC22" s="25"/>
      <c r="AD22" s="25"/>
      <c r="AE22" s="25"/>
      <c r="AF22" s="25"/>
      <c r="AG22" s="25"/>
    </row>
    <row r="23" spans="1:33" s="2" customFormat="1" ht="14.65" customHeight="1">
      <c r="A23" s="607" t="s">
        <v>327</v>
      </c>
      <c r="B23" s="608"/>
      <c r="C23" s="297">
        <v>1</v>
      </c>
      <c r="D23" s="611" t="s">
        <v>93</v>
      </c>
      <c r="E23" s="611"/>
      <c r="F23" s="193">
        <f>SUM('DECK TALLY'!K13)</f>
        <v>18.350000000000001</v>
      </c>
      <c r="G23" s="291">
        <f>F23-(B12/12)</f>
        <v>18.012500000000003</v>
      </c>
      <c r="H23" s="291" t="s">
        <v>29</v>
      </c>
      <c r="I23" s="298">
        <f t="shared" si="0"/>
        <v>101.31500000000001</v>
      </c>
      <c r="J23" s="291">
        <f t="shared" si="1"/>
        <v>21253.685000000001</v>
      </c>
      <c r="K23" s="497"/>
      <c r="L23" s="299"/>
      <c r="M23" s="612" t="s">
        <v>328</v>
      </c>
      <c r="N23" s="613"/>
      <c r="O23" s="97"/>
      <c r="P23" s="28"/>
      <c r="Q23" s="24"/>
      <c r="R23" s="24"/>
      <c r="S23" s="24"/>
      <c r="T23" s="24"/>
      <c r="U23" s="24"/>
      <c r="V23" s="24"/>
      <c r="W23" s="24"/>
      <c r="X23" s="97"/>
      <c r="Y23" s="23"/>
      <c r="Z23" s="23"/>
      <c r="AA23" s="23"/>
      <c r="AB23" s="23"/>
      <c r="AC23" s="23"/>
      <c r="AD23" s="23"/>
      <c r="AE23" s="23"/>
      <c r="AF23" s="25"/>
      <c r="AG23" s="23"/>
    </row>
    <row r="24" spans="1:33" s="2" customFormat="1" ht="19.149999999999999" customHeight="1">
      <c r="A24" s="607"/>
      <c r="B24" s="608"/>
      <c r="C24" s="300" t="s">
        <v>101</v>
      </c>
      <c r="D24" s="556" t="s">
        <v>44</v>
      </c>
      <c r="E24" s="557"/>
      <c r="F24" s="291">
        <f>SUM('DECK TALLY'!K14)</f>
        <v>4.41</v>
      </c>
      <c r="G24" s="291">
        <f>F24</f>
        <v>4.41</v>
      </c>
      <c r="H24" s="301" t="s">
        <v>29</v>
      </c>
      <c r="I24" s="159">
        <f t="shared" si="0"/>
        <v>105.72500000000001</v>
      </c>
      <c r="J24" s="302">
        <f t="shared" si="1"/>
        <v>21249.275000000001</v>
      </c>
      <c r="K24" s="498"/>
      <c r="L24" s="299"/>
      <c r="M24" s="614"/>
      <c r="N24" s="615"/>
      <c r="O24" s="97"/>
      <c r="P24" s="28"/>
      <c r="Q24" s="24"/>
      <c r="R24" s="24"/>
      <c r="S24" s="24"/>
      <c r="T24" s="24"/>
      <c r="U24" s="24"/>
      <c r="V24" s="24"/>
      <c r="W24" s="24"/>
      <c r="X24" s="97"/>
      <c r="Y24" s="23"/>
      <c r="Z24" s="23"/>
      <c r="AA24" s="23"/>
      <c r="AB24" s="23"/>
      <c r="AC24" s="23"/>
      <c r="AD24" s="23"/>
      <c r="AE24" s="23"/>
      <c r="AF24" s="25"/>
      <c r="AG24" s="23"/>
    </row>
    <row r="25" spans="1:33" s="2" customFormat="1" ht="21" customHeight="1">
      <c r="A25" s="607"/>
      <c r="B25" s="608"/>
      <c r="C25" s="192">
        <v>1</v>
      </c>
      <c r="D25" s="618" t="s">
        <v>94</v>
      </c>
      <c r="E25" s="618"/>
      <c r="F25" s="291">
        <f>SUM('DECK TALLY'!K15)</f>
        <v>17.47</v>
      </c>
      <c r="G25" s="193">
        <f>F25</f>
        <v>17.47</v>
      </c>
      <c r="H25" s="193" t="s">
        <v>29</v>
      </c>
      <c r="I25" s="303">
        <f>IF(H25="IN",I24+G25,I24)</f>
        <v>123.19500000000001</v>
      </c>
      <c r="J25" s="193">
        <f t="shared" si="1"/>
        <v>21231.805</v>
      </c>
      <c r="K25" s="499"/>
      <c r="L25" s="304"/>
      <c r="M25" s="614"/>
      <c r="N25" s="615"/>
      <c r="O25" s="97"/>
      <c r="P25" s="28"/>
      <c r="Q25" s="24"/>
      <c r="R25" s="24"/>
      <c r="S25" s="24"/>
      <c r="T25" s="24"/>
      <c r="U25" s="24"/>
      <c r="V25" s="24"/>
      <c r="W25" s="24"/>
      <c r="X25" s="97"/>
      <c r="Y25" s="23"/>
      <c r="Z25" s="23"/>
      <c r="AA25" s="23"/>
      <c r="AB25" s="23"/>
      <c r="AC25" s="23"/>
      <c r="AD25" s="23"/>
      <c r="AE25" s="23"/>
      <c r="AF25" s="25"/>
      <c r="AG25" s="23"/>
    </row>
    <row r="26" spans="1:33" s="2" customFormat="1" ht="30.6" customHeight="1" thickBot="1">
      <c r="A26" s="609"/>
      <c r="B26" s="610"/>
      <c r="C26" s="305" t="s">
        <v>40</v>
      </c>
      <c r="D26" s="619" t="s">
        <v>314</v>
      </c>
      <c r="E26" s="620"/>
      <c r="F26" s="306">
        <f>SUM('DECK TALLY'!K16)</f>
        <v>5.48</v>
      </c>
      <c r="G26" s="307">
        <f>F26</f>
        <v>5.48</v>
      </c>
      <c r="H26" s="307" t="s">
        <v>29</v>
      </c>
      <c r="I26" s="308">
        <f t="shared" ref="I26:I28" si="2">IF(H26="IN",I25+G26,I25)</f>
        <v>128.67500000000001</v>
      </c>
      <c r="J26" s="307">
        <f t="shared" si="1"/>
        <v>21226.325000000001</v>
      </c>
      <c r="K26" s="500"/>
      <c r="L26" s="309"/>
      <c r="M26" s="616"/>
      <c r="N26" s="617"/>
      <c r="O26" s="97"/>
      <c r="P26" s="28"/>
      <c r="Q26" s="24"/>
      <c r="R26" s="24"/>
      <c r="S26" s="24"/>
      <c r="T26" s="24"/>
      <c r="U26" s="24"/>
      <c r="V26" s="24"/>
      <c r="W26" s="24"/>
      <c r="X26" s="97"/>
      <c r="Y26" s="23"/>
      <c r="Z26" s="23"/>
      <c r="AA26" s="23"/>
      <c r="AB26" s="23"/>
      <c r="AC26" s="23"/>
      <c r="AD26" s="23"/>
      <c r="AE26" s="23"/>
      <c r="AF26" s="25"/>
      <c r="AG26" s="23"/>
    </row>
    <row r="27" spans="1:33" s="2" customFormat="1" ht="21" customHeight="1" thickBot="1">
      <c r="A27" s="591" t="s">
        <v>317</v>
      </c>
      <c r="B27" s="592"/>
      <c r="C27" s="595" t="s">
        <v>315</v>
      </c>
      <c r="D27" s="596"/>
      <c r="E27" s="597"/>
      <c r="F27" s="380">
        <f>SUM('DECK TALLY'!K18)</f>
        <v>33.35</v>
      </c>
      <c r="G27" s="381">
        <f>F27-(4.776/12)</f>
        <v>32.951999999999998</v>
      </c>
      <c r="H27" s="381" t="s">
        <v>29</v>
      </c>
      <c r="I27" s="382">
        <f t="shared" si="2"/>
        <v>161.62700000000001</v>
      </c>
      <c r="J27" s="383">
        <f t="shared" si="1"/>
        <v>21193.373</v>
      </c>
      <c r="K27" s="501"/>
      <c r="L27" s="384"/>
      <c r="M27" s="598"/>
      <c r="N27" s="599"/>
      <c r="P27" s="29"/>
      <c r="Q27" s="182"/>
      <c r="R27" s="27"/>
      <c r="S27" s="27"/>
      <c r="T27" s="362"/>
      <c r="U27" s="27"/>
      <c r="V27" s="27"/>
      <c r="W27" s="27"/>
      <c r="X27" s="27"/>
      <c r="Y27" s="4"/>
      <c r="Z27" s="4"/>
      <c r="AA27" s="4"/>
      <c r="AB27" s="4"/>
      <c r="AC27" s="4"/>
      <c r="AD27" s="4"/>
      <c r="AE27" s="4"/>
      <c r="AF27" s="4"/>
      <c r="AG27" s="4"/>
    </row>
    <row r="28" spans="1:33" s="2" customFormat="1" ht="29.65" customHeight="1" thickBot="1">
      <c r="A28" s="593"/>
      <c r="B28" s="594"/>
      <c r="C28" s="600" t="s">
        <v>316</v>
      </c>
      <c r="D28" s="601"/>
      <c r="E28" s="602"/>
      <c r="F28" s="380">
        <f>SUM('DECK TALLY'!K19)</f>
        <v>5.35</v>
      </c>
      <c r="G28" s="385">
        <f>F28</f>
        <v>5.35</v>
      </c>
      <c r="H28" s="385" t="s">
        <v>29</v>
      </c>
      <c r="I28" s="382">
        <f t="shared" si="2"/>
        <v>166.977</v>
      </c>
      <c r="J28" s="383">
        <f t="shared" si="1"/>
        <v>21188.023000000001</v>
      </c>
      <c r="K28" s="501"/>
      <c r="L28" s="384"/>
      <c r="M28" s="603"/>
      <c r="N28" s="604"/>
      <c r="P28" s="29"/>
      <c r="Q28" s="29"/>
      <c r="R28" s="27"/>
      <c r="S28" s="27"/>
      <c r="T28" s="27"/>
      <c r="U28" s="27"/>
      <c r="V28" s="27"/>
      <c r="W28" s="27"/>
      <c r="X28" s="27"/>
      <c r="Y28" s="4"/>
      <c r="Z28" s="4"/>
      <c r="AA28" s="4"/>
      <c r="AB28" s="4"/>
      <c r="AC28" s="4"/>
      <c r="AD28" s="4"/>
      <c r="AE28" s="4"/>
      <c r="AF28" s="4"/>
      <c r="AG28" s="4"/>
    </row>
    <row r="29" spans="1:33" s="2" customFormat="1" ht="20.100000000000001" customHeight="1">
      <c r="A29" s="585" t="s">
        <v>115</v>
      </c>
      <c r="B29" s="586"/>
      <c r="C29" s="122">
        <v>2</v>
      </c>
      <c r="D29" s="168" t="s">
        <v>31</v>
      </c>
      <c r="E29" s="320">
        <f>'DECK TALLY'!B6</f>
        <v>1</v>
      </c>
      <c r="F29" s="368">
        <f>'DECK TALLY'!C6</f>
        <v>33.75</v>
      </c>
      <c r="G29" s="368">
        <f>F29-($H$12/12)</f>
        <v>33.344499999999996</v>
      </c>
      <c r="H29" s="166" t="s">
        <v>29</v>
      </c>
      <c r="I29" s="183">
        <f t="shared" ref="I29:I33" si="3">IF(H29="IN",I28+G29,I28)</f>
        <v>200.32150000000001</v>
      </c>
      <c r="J29" s="368">
        <f t="shared" si="1"/>
        <v>21154.678500000002</v>
      </c>
      <c r="K29" s="502"/>
      <c r="L29" s="145"/>
      <c r="M29" s="605" t="s">
        <v>332</v>
      </c>
      <c r="N29" s="606"/>
      <c r="O29" s="579" t="s">
        <v>211</v>
      </c>
      <c r="P29" s="28"/>
      <c r="Q29" s="119"/>
      <c r="R29" s="119"/>
      <c r="S29" s="24"/>
      <c r="T29" s="119"/>
      <c r="U29" s="119"/>
      <c r="V29" s="119"/>
      <c r="W29" s="119"/>
      <c r="X29" s="119"/>
      <c r="Y29" s="29"/>
      <c r="Z29" s="29"/>
      <c r="AA29" s="29"/>
      <c r="AB29" s="29"/>
      <c r="AC29" s="29"/>
      <c r="AD29" s="29"/>
      <c r="AE29" s="29"/>
      <c r="AF29" s="25"/>
      <c r="AG29" s="29"/>
    </row>
    <row r="30" spans="1:33" s="2" customFormat="1" ht="20.100000000000001" customHeight="1">
      <c r="A30" s="581" t="s">
        <v>312</v>
      </c>
      <c r="B30" s="582"/>
      <c r="C30" s="316">
        <v>1</v>
      </c>
      <c r="D30" s="203" t="s">
        <v>31</v>
      </c>
      <c r="E30" s="318" t="str">
        <f>'DECK TALLY'!F11</f>
        <v>P 6</v>
      </c>
      <c r="F30" s="373">
        <f>'DECK TALLY'!G11</f>
        <v>20.2</v>
      </c>
      <c r="G30" s="373">
        <f>F30-($H$12/12)</f>
        <v>19.794499999999999</v>
      </c>
      <c r="H30" s="394" t="s">
        <v>29</v>
      </c>
      <c r="I30" s="391">
        <f t="shared" si="3"/>
        <v>220.11600000000001</v>
      </c>
      <c r="J30" s="373">
        <f t="shared" si="1"/>
        <v>21134.883999999998</v>
      </c>
      <c r="K30" s="503"/>
      <c r="L30" s="170"/>
      <c r="M30" s="583" t="s">
        <v>330</v>
      </c>
      <c r="N30" s="584"/>
      <c r="O30" s="580"/>
      <c r="P30" s="28"/>
      <c r="Q30" s="119"/>
      <c r="R30" s="119"/>
      <c r="S30" s="24"/>
      <c r="T30" s="119"/>
      <c r="U30" s="119"/>
      <c r="V30" s="119"/>
      <c r="W30" s="119"/>
      <c r="X30" s="119"/>
      <c r="Y30" s="29"/>
      <c r="Z30" s="29"/>
      <c r="AA30" s="29"/>
      <c r="AB30" s="29"/>
      <c r="AC30" s="29"/>
      <c r="AD30" s="29"/>
      <c r="AE30" s="29"/>
      <c r="AF30" s="25"/>
      <c r="AG30" s="29"/>
    </row>
    <row r="31" spans="1:33" s="2" customFormat="1" ht="20.100000000000001" customHeight="1">
      <c r="A31" s="585" t="s">
        <v>115</v>
      </c>
      <c r="B31" s="586"/>
      <c r="C31" s="122">
        <v>2</v>
      </c>
      <c r="D31" s="168" t="s">
        <v>31</v>
      </c>
      <c r="E31" s="320">
        <f>'DECK TALLY'!B7</f>
        <v>2</v>
      </c>
      <c r="F31" s="368">
        <f>'DECK TALLY'!C7</f>
        <v>33.94</v>
      </c>
      <c r="G31" s="368">
        <f>F31-($H$12/12)</f>
        <v>33.534499999999994</v>
      </c>
      <c r="H31" s="166" t="s">
        <v>29</v>
      </c>
      <c r="I31" s="183">
        <f t="shared" si="3"/>
        <v>253.65050000000002</v>
      </c>
      <c r="J31" s="368">
        <f t="shared" si="1"/>
        <v>21101.3495</v>
      </c>
      <c r="K31" s="502"/>
      <c r="L31" s="145"/>
      <c r="M31" s="204" t="s">
        <v>208</v>
      </c>
      <c r="N31" s="205">
        <f>SUM(J30-4)</f>
        <v>21130.883999999998</v>
      </c>
      <c r="O31" s="212">
        <v>21100</v>
      </c>
      <c r="P31" s="28"/>
      <c r="Q31" s="119"/>
      <c r="R31" s="119"/>
      <c r="S31" s="24"/>
      <c r="T31" s="119"/>
      <c r="U31" s="119"/>
      <c r="V31" s="119"/>
      <c r="W31" s="119"/>
      <c r="X31" s="119"/>
      <c r="Y31" s="29"/>
      <c r="Z31" s="29"/>
      <c r="AA31" s="29"/>
      <c r="AB31" s="29"/>
      <c r="AC31" s="29"/>
      <c r="AD31" s="29"/>
      <c r="AE31" s="29"/>
      <c r="AF31" s="25"/>
      <c r="AG31" s="29"/>
    </row>
    <row r="32" spans="1:33" s="2" customFormat="1" ht="20.100000000000001" customHeight="1">
      <c r="A32" s="587" t="s">
        <v>115</v>
      </c>
      <c r="B32" s="588"/>
      <c r="C32" s="316">
        <v>1</v>
      </c>
      <c r="D32" s="176" t="s">
        <v>31</v>
      </c>
      <c r="E32" s="321">
        <f>'DECK TALLY'!B8</f>
        <v>3</v>
      </c>
      <c r="F32" s="375">
        <f>VLOOKUP(E32,'DECK TALLY'!$B$6:$C$316,2,FALSE)</f>
        <v>33.94</v>
      </c>
      <c r="G32" s="375">
        <f>F32-($H$12/12)</f>
        <v>33.534499999999994</v>
      </c>
      <c r="H32" s="177" t="s">
        <v>29</v>
      </c>
      <c r="I32" s="393">
        <f t="shared" si="3"/>
        <v>287.185</v>
      </c>
      <c r="J32" s="375">
        <f t="shared" si="1"/>
        <v>21067.814999999999</v>
      </c>
      <c r="K32" s="504"/>
      <c r="L32" s="178"/>
      <c r="M32" s="589" t="s">
        <v>231</v>
      </c>
      <c r="N32" s="590"/>
      <c r="O32" s="402">
        <f>N31-O31</f>
        <v>30.883999999998196</v>
      </c>
      <c r="P32" s="28"/>
      <c r="Q32" s="119"/>
      <c r="R32" s="119"/>
      <c r="S32" s="24"/>
      <c r="T32" s="119"/>
      <c r="U32" s="119"/>
      <c r="V32" s="119"/>
      <c r="W32" s="119"/>
      <c r="X32" s="119"/>
      <c r="Y32" s="29"/>
      <c r="Z32" s="29"/>
      <c r="AA32" s="29"/>
      <c r="AB32" s="29"/>
      <c r="AC32" s="29"/>
      <c r="AD32" s="29"/>
      <c r="AE32" s="29"/>
      <c r="AF32" s="25"/>
      <c r="AG32" s="29"/>
    </row>
    <row r="33" spans="1:33" s="2" customFormat="1" ht="20.100000000000001" customHeight="1" thickBot="1">
      <c r="A33" s="585" t="s">
        <v>115</v>
      </c>
      <c r="B33" s="586"/>
      <c r="C33" s="122">
        <v>2</v>
      </c>
      <c r="D33" s="123" t="s">
        <v>31</v>
      </c>
      <c r="E33" s="395">
        <f>'DECK TALLY'!B9</f>
        <v>4</v>
      </c>
      <c r="F33" s="376">
        <f>VLOOKUP(E33,'DECK TALLY'!$B$6:$C$316,2,FALSE)</f>
        <v>33.9</v>
      </c>
      <c r="G33" s="377">
        <f>F33-($H$12/12)</f>
        <v>33.494500000000002</v>
      </c>
      <c r="H33" s="131" t="s">
        <v>29</v>
      </c>
      <c r="I33" s="183">
        <f t="shared" si="3"/>
        <v>320.67950000000002</v>
      </c>
      <c r="J33" s="368">
        <f t="shared" si="1"/>
        <v>21034.320500000002</v>
      </c>
      <c r="K33" s="502"/>
      <c r="L33" s="145"/>
      <c r="M33" s="623" t="s">
        <v>333</v>
      </c>
      <c r="N33" s="624"/>
      <c r="O33" s="251"/>
      <c r="P33" s="28"/>
      <c r="Q33" s="119"/>
      <c r="R33" s="119"/>
      <c r="S33" s="24"/>
      <c r="T33" s="119"/>
      <c r="U33" s="119"/>
      <c r="V33" s="119"/>
      <c r="W33" s="119"/>
      <c r="X33" s="11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1:33" s="2" customFormat="1" ht="20.100000000000001" customHeight="1">
      <c r="A34" s="585" t="s">
        <v>115</v>
      </c>
      <c r="B34" s="586"/>
      <c r="C34" s="122">
        <v>2</v>
      </c>
      <c r="D34" s="168" t="s">
        <v>31</v>
      </c>
      <c r="E34" s="320">
        <f>'DECK TALLY'!B10</f>
        <v>5</v>
      </c>
      <c r="F34" s="368">
        <f>VLOOKUP(E34,'DECK TALLY'!$B$6:$C$316,2,FALSE)</f>
        <v>33.89</v>
      </c>
      <c r="G34" s="377">
        <f t="shared" ref="G34:G94" si="4">F34-($H$12/12)</f>
        <v>33.484499999999997</v>
      </c>
      <c r="H34" s="166" t="s">
        <v>29</v>
      </c>
      <c r="I34" s="183">
        <f t="shared" ref="I34" si="5">IF(H34="IN",I33+G34,I33)</f>
        <v>354.16399999999999</v>
      </c>
      <c r="J34" s="368">
        <f t="shared" si="1"/>
        <v>21000.835999999999</v>
      </c>
      <c r="K34" s="502"/>
      <c r="L34" s="145"/>
      <c r="M34" s="621"/>
      <c r="N34" s="622"/>
      <c r="O34" s="29"/>
      <c r="P34" s="28"/>
      <c r="Q34" s="119"/>
      <c r="R34" s="119"/>
      <c r="S34" s="24"/>
      <c r="T34" s="119"/>
      <c r="U34" s="119"/>
      <c r="V34" s="119"/>
      <c r="W34" s="119"/>
      <c r="X34" s="11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 s="2" customFormat="1" ht="20.100000000000001" customHeight="1">
      <c r="A35" s="585" t="s">
        <v>115</v>
      </c>
      <c r="B35" s="586"/>
      <c r="C35" s="122">
        <v>2</v>
      </c>
      <c r="D35" s="123" t="s">
        <v>31</v>
      </c>
      <c r="E35" s="320">
        <f>'DECK TALLY'!B11</f>
        <v>6</v>
      </c>
      <c r="F35" s="368">
        <f>VLOOKUP(E35,'DECK TALLY'!$B$6:$C$316,2,FALSE)</f>
        <v>33.520000000000003</v>
      </c>
      <c r="G35" s="377">
        <f t="shared" si="4"/>
        <v>33.114500000000007</v>
      </c>
      <c r="H35" s="130" t="s">
        <v>29</v>
      </c>
      <c r="I35" s="183">
        <f t="shared" ref="I35:I101" si="6">IF(H35="IN",I34+G35,I34)</f>
        <v>387.27850000000001</v>
      </c>
      <c r="J35" s="368">
        <f t="shared" si="1"/>
        <v>20967.7215</v>
      </c>
      <c r="K35" s="502"/>
      <c r="L35" s="145"/>
      <c r="M35" s="621"/>
      <c r="N35" s="622"/>
      <c r="O35" s="29"/>
      <c r="P35" s="28"/>
      <c r="Q35" s="114"/>
      <c r="R35" s="114"/>
      <c r="S35" s="24"/>
      <c r="T35" s="114"/>
      <c r="U35" s="114"/>
      <c r="V35" s="114"/>
      <c r="W35" s="114"/>
      <c r="X35" s="114"/>
      <c r="Y35" s="29"/>
      <c r="Z35" s="29"/>
      <c r="AA35" s="29"/>
      <c r="AB35" s="29"/>
      <c r="AC35" s="29"/>
      <c r="AD35" s="29"/>
      <c r="AE35" s="29"/>
      <c r="AF35" s="29"/>
      <c r="AG35" s="29"/>
    </row>
    <row r="36" spans="1:33" s="2" customFormat="1" ht="20.100000000000001" customHeight="1">
      <c r="A36" s="585" t="s">
        <v>115</v>
      </c>
      <c r="B36" s="586"/>
      <c r="C36" s="122">
        <v>2</v>
      </c>
      <c r="D36" s="123" t="s">
        <v>31</v>
      </c>
      <c r="E36" s="320">
        <f>'DECK TALLY'!B12</f>
        <v>7</v>
      </c>
      <c r="F36" s="368">
        <f>VLOOKUP(E36,'DECK TALLY'!$B$6:$C$316,2,FALSE)</f>
        <v>32.450000000000003</v>
      </c>
      <c r="G36" s="377">
        <f t="shared" si="4"/>
        <v>32.044499999999999</v>
      </c>
      <c r="H36" s="130" t="s">
        <v>29</v>
      </c>
      <c r="I36" s="183">
        <f t="shared" si="6"/>
        <v>419.32299999999998</v>
      </c>
      <c r="J36" s="368">
        <f t="shared" si="1"/>
        <v>20935.677</v>
      </c>
      <c r="K36" s="502"/>
      <c r="L36" s="145"/>
      <c r="M36" s="621"/>
      <c r="N36" s="622"/>
      <c r="O36" s="29"/>
      <c r="P36" s="28"/>
      <c r="Q36" s="98"/>
      <c r="R36" s="98"/>
      <c r="S36" s="24"/>
      <c r="T36" s="98"/>
      <c r="U36" s="98"/>
      <c r="V36" s="98"/>
      <c r="W36" s="98"/>
      <c r="X36" s="98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s="2" customFormat="1" ht="20.100000000000001" customHeight="1">
      <c r="A37" s="585" t="s">
        <v>115</v>
      </c>
      <c r="B37" s="586"/>
      <c r="C37" s="122">
        <v>2</v>
      </c>
      <c r="D37" s="123" t="s">
        <v>31</v>
      </c>
      <c r="E37" s="320">
        <f>'DECK TALLY'!B13</f>
        <v>8</v>
      </c>
      <c r="F37" s="376">
        <f>VLOOKUP(E37,'DECK TALLY'!$B$6:$C$316,2,FALSE)</f>
        <v>33.770000000000003</v>
      </c>
      <c r="G37" s="377">
        <f t="shared" si="4"/>
        <v>33.364500000000007</v>
      </c>
      <c r="H37" s="130" t="s">
        <v>29</v>
      </c>
      <c r="I37" s="183">
        <f t="shared" si="6"/>
        <v>452.6875</v>
      </c>
      <c r="J37" s="368">
        <f t="shared" si="1"/>
        <v>20902.3125</v>
      </c>
      <c r="K37" s="502"/>
      <c r="L37" s="145"/>
      <c r="M37" s="621"/>
      <c r="N37" s="622"/>
      <c r="P37" s="28"/>
      <c r="Q37" s="139"/>
      <c r="R37" s="28"/>
      <c r="S37" s="28"/>
      <c r="T37" s="28"/>
      <c r="U37" s="28"/>
      <c r="V37" s="28"/>
      <c r="W37" s="28"/>
      <c r="X37" s="28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 s="2" customFormat="1" ht="20.100000000000001" customHeight="1">
      <c r="A38" s="585" t="s">
        <v>115</v>
      </c>
      <c r="B38" s="586"/>
      <c r="C38" s="122">
        <v>2</v>
      </c>
      <c r="D38" s="123" t="s">
        <v>31</v>
      </c>
      <c r="E38" s="320">
        <f>'DECK TALLY'!B14</f>
        <v>9</v>
      </c>
      <c r="F38" s="368">
        <f>VLOOKUP(E38,'DECK TALLY'!$B$6:$C$316,2,FALSE)</f>
        <v>33.4</v>
      </c>
      <c r="G38" s="377">
        <f t="shared" si="4"/>
        <v>32.994500000000002</v>
      </c>
      <c r="H38" s="130" t="s">
        <v>29</v>
      </c>
      <c r="I38" s="183">
        <f t="shared" si="6"/>
        <v>485.68200000000002</v>
      </c>
      <c r="J38" s="368">
        <f t="shared" si="1"/>
        <v>20869.317999999999</v>
      </c>
      <c r="K38" s="502"/>
      <c r="L38" s="145"/>
      <c r="M38" s="621"/>
      <c r="N38" s="622"/>
      <c r="P38" s="28"/>
      <c r="Q38" s="114"/>
      <c r="R38" s="114"/>
      <c r="S38" s="99"/>
      <c r="T38" s="99"/>
      <c r="U38" s="99"/>
      <c r="V38" s="99"/>
      <c r="W38" s="99"/>
      <c r="X38" s="99"/>
      <c r="Y38" s="29"/>
      <c r="Z38" s="29"/>
      <c r="AA38" s="29"/>
      <c r="AB38" s="29"/>
      <c r="AC38" s="29"/>
      <c r="AD38" s="29"/>
      <c r="AE38" s="29"/>
      <c r="AF38" s="29"/>
      <c r="AG38" s="29"/>
    </row>
    <row r="39" spans="1:33" s="2" customFormat="1" ht="20.100000000000001" customHeight="1">
      <c r="A39" s="585" t="s">
        <v>115</v>
      </c>
      <c r="B39" s="586"/>
      <c r="C39" s="122">
        <v>2</v>
      </c>
      <c r="D39" s="123" t="s">
        <v>31</v>
      </c>
      <c r="E39" s="320">
        <f>'DECK TALLY'!B15</f>
        <v>10</v>
      </c>
      <c r="F39" s="368">
        <f>VLOOKUP(E39,'DECK TALLY'!$B$6:$C$316,2,FALSE)</f>
        <v>33.83</v>
      </c>
      <c r="G39" s="377">
        <f t="shared" si="4"/>
        <v>33.424499999999995</v>
      </c>
      <c r="H39" s="130" t="s">
        <v>29</v>
      </c>
      <c r="I39" s="183">
        <f t="shared" si="6"/>
        <v>519.10649999999998</v>
      </c>
      <c r="J39" s="368">
        <f t="shared" si="1"/>
        <v>20835.893499999998</v>
      </c>
      <c r="K39" s="502"/>
      <c r="L39" s="145"/>
      <c r="M39" s="621"/>
      <c r="N39" s="622"/>
      <c r="O39" s="121"/>
      <c r="P39" s="28"/>
      <c r="Q39" s="114"/>
      <c r="R39" s="98"/>
      <c r="S39" s="100"/>
      <c r="T39" s="100"/>
      <c r="U39" s="100"/>
      <c r="V39" s="100"/>
      <c r="W39" s="100"/>
      <c r="X39" s="100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s="2" customFormat="1" ht="20.100000000000001" customHeight="1">
      <c r="A40" s="585" t="s">
        <v>115</v>
      </c>
      <c r="B40" s="586"/>
      <c r="C40" s="122">
        <v>2</v>
      </c>
      <c r="D40" s="123" t="s">
        <v>31</v>
      </c>
      <c r="E40" s="320">
        <f>'DECK TALLY'!B16</f>
        <v>11</v>
      </c>
      <c r="F40" s="368">
        <f>VLOOKUP(E40,'DECK TALLY'!$B$6:$C$316,2,FALSE)</f>
        <v>33.79</v>
      </c>
      <c r="G40" s="377">
        <f t="shared" si="4"/>
        <v>33.384500000000003</v>
      </c>
      <c r="H40" s="130" t="s">
        <v>29</v>
      </c>
      <c r="I40" s="183">
        <f t="shared" si="6"/>
        <v>552.49099999999999</v>
      </c>
      <c r="J40" s="368">
        <f t="shared" si="1"/>
        <v>20802.508999999998</v>
      </c>
      <c r="K40" s="502"/>
      <c r="L40" s="145"/>
      <c r="M40" s="621"/>
      <c r="N40" s="622"/>
      <c r="O40" s="142"/>
      <c r="P40" s="28"/>
      <c r="Q40" s="114"/>
      <c r="R40" s="28"/>
      <c r="S40" s="100"/>
      <c r="T40" s="100"/>
      <c r="U40" s="100"/>
      <c r="V40" s="100"/>
      <c r="W40" s="100"/>
      <c r="X40" s="100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s="2" customFormat="1" ht="20.100000000000001" customHeight="1">
      <c r="A41" s="585" t="s">
        <v>115</v>
      </c>
      <c r="B41" s="586"/>
      <c r="C41" s="122">
        <v>2</v>
      </c>
      <c r="D41" s="123" t="s">
        <v>31</v>
      </c>
      <c r="E41" s="320">
        <f>'DECK TALLY'!B17</f>
        <v>12</v>
      </c>
      <c r="F41" s="376">
        <f>VLOOKUP(E41,'DECK TALLY'!$B$6:$C$316,2,FALSE)</f>
        <v>33.94</v>
      </c>
      <c r="G41" s="377">
        <f t="shared" si="4"/>
        <v>33.534499999999994</v>
      </c>
      <c r="H41" s="130" t="s">
        <v>29</v>
      </c>
      <c r="I41" s="183">
        <f t="shared" si="6"/>
        <v>586.02549999999997</v>
      </c>
      <c r="J41" s="368">
        <f t="shared" si="1"/>
        <v>20768.9745</v>
      </c>
      <c r="K41" s="502"/>
      <c r="L41" s="145"/>
      <c r="M41" s="621"/>
      <c r="N41" s="622"/>
      <c r="O41" s="143"/>
      <c r="Q41" s="114"/>
      <c r="R41" s="114"/>
      <c r="S41" s="100"/>
      <c r="T41" s="100"/>
      <c r="U41" s="100"/>
      <c r="V41" s="100"/>
      <c r="W41" s="100"/>
      <c r="X41" s="100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3" s="2" customFormat="1" ht="20.100000000000001" customHeight="1">
      <c r="A42" s="585" t="s">
        <v>115</v>
      </c>
      <c r="B42" s="586"/>
      <c r="C42" s="122">
        <v>2</v>
      </c>
      <c r="D42" s="124" t="s">
        <v>31</v>
      </c>
      <c r="E42" s="320">
        <f>'DECK TALLY'!B18</f>
        <v>13</v>
      </c>
      <c r="F42" s="368">
        <f>VLOOKUP(E42,'DECK TALLY'!$B$6:$C$316,2,FALSE)</f>
        <v>33.85</v>
      </c>
      <c r="G42" s="377">
        <f t="shared" si="4"/>
        <v>33.444500000000005</v>
      </c>
      <c r="H42" s="130" t="s">
        <v>29</v>
      </c>
      <c r="I42" s="183">
        <f t="shared" si="6"/>
        <v>619.47</v>
      </c>
      <c r="J42" s="368">
        <f t="shared" si="1"/>
        <v>20735.53</v>
      </c>
      <c r="K42" s="502"/>
      <c r="L42" s="145"/>
      <c r="M42" s="621"/>
      <c r="N42" s="622"/>
      <c r="O42" s="143"/>
      <c r="P42" s="28"/>
      <c r="Q42" s="114"/>
      <c r="R42" s="98"/>
      <c r="S42" s="120"/>
      <c r="T42" s="120"/>
      <c r="U42" s="120"/>
      <c r="V42" s="120"/>
      <c r="W42" s="120"/>
      <c r="X42" s="120"/>
      <c r="Y42" s="29"/>
      <c r="Z42" s="29"/>
      <c r="AA42" s="29"/>
      <c r="AB42" s="29"/>
      <c r="AC42" s="29"/>
      <c r="AD42" s="29"/>
      <c r="AE42" s="29"/>
      <c r="AF42" s="29"/>
      <c r="AG42" s="29"/>
    </row>
    <row r="43" spans="1:33" s="2" customFormat="1" ht="20.100000000000001" customHeight="1">
      <c r="A43" s="585" t="s">
        <v>115</v>
      </c>
      <c r="B43" s="586"/>
      <c r="C43" s="122">
        <v>2</v>
      </c>
      <c r="D43" s="123" t="s">
        <v>31</v>
      </c>
      <c r="E43" s="320">
        <f>'DECK TALLY'!B19</f>
        <v>14</v>
      </c>
      <c r="F43" s="368">
        <f>VLOOKUP(E43,'DECK TALLY'!$B$6:$C$316,2,FALSE)</f>
        <v>33.549999999999997</v>
      </c>
      <c r="G43" s="377">
        <f t="shared" si="4"/>
        <v>33.144499999999994</v>
      </c>
      <c r="H43" s="130" t="s">
        <v>29</v>
      </c>
      <c r="I43" s="183">
        <f t="shared" si="6"/>
        <v>652.61450000000002</v>
      </c>
      <c r="J43" s="368">
        <f t="shared" si="1"/>
        <v>20702.3855</v>
      </c>
      <c r="K43" s="502"/>
      <c r="L43" s="145"/>
      <c r="M43" s="621"/>
      <c r="N43" s="622"/>
      <c r="O43" s="147"/>
      <c r="P43" s="28"/>
      <c r="Q43" s="114"/>
      <c r="R43" s="28"/>
      <c r="S43" s="120"/>
      <c r="T43" s="120"/>
      <c r="U43" s="120"/>
      <c r="V43" s="120"/>
      <c r="W43" s="120"/>
      <c r="X43" s="120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s="2" customFormat="1" ht="20.100000000000001" customHeight="1">
      <c r="A44" s="585" t="s">
        <v>115</v>
      </c>
      <c r="B44" s="586"/>
      <c r="C44" s="122">
        <v>2</v>
      </c>
      <c r="D44" s="123" t="s">
        <v>31</v>
      </c>
      <c r="E44" s="320">
        <f>'DECK TALLY'!B20</f>
        <v>15</v>
      </c>
      <c r="F44" s="368">
        <f>VLOOKUP(E44,'DECK TALLY'!$B$6:$C$316,2,FALSE)</f>
        <v>33.58</v>
      </c>
      <c r="G44" s="377">
        <f t="shared" si="4"/>
        <v>33.174499999999995</v>
      </c>
      <c r="H44" s="130" t="s">
        <v>29</v>
      </c>
      <c r="I44" s="183">
        <f t="shared" si="6"/>
        <v>685.78899999999999</v>
      </c>
      <c r="J44" s="368">
        <f t="shared" si="1"/>
        <v>20669.210999999999</v>
      </c>
      <c r="K44" s="502"/>
      <c r="L44" s="145"/>
      <c r="M44" s="621"/>
      <c r="N44" s="622"/>
      <c r="O44" s="169"/>
      <c r="P44" s="28"/>
      <c r="Q44" s="114"/>
      <c r="R44" s="114"/>
      <c r="S44" s="120"/>
      <c r="T44" s="120"/>
      <c r="U44" s="120"/>
      <c r="V44" s="120"/>
      <c r="W44" s="120"/>
      <c r="X44" s="120"/>
      <c r="Y44" s="29"/>
      <c r="Z44" s="29"/>
      <c r="AA44" s="29"/>
      <c r="AB44" s="29"/>
      <c r="AC44" s="29"/>
      <c r="AD44" s="29"/>
      <c r="AE44" s="29"/>
      <c r="AF44" s="29"/>
      <c r="AG44" s="29"/>
    </row>
    <row r="45" spans="1:33" s="2" customFormat="1" ht="20.100000000000001" customHeight="1">
      <c r="A45" s="585" t="s">
        <v>115</v>
      </c>
      <c r="B45" s="586"/>
      <c r="C45" s="122">
        <v>2</v>
      </c>
      <c r="D45" s="123" t="s">
        <v>31</v>
      </c>
      <c r="E45" s="320">
        <f>'DECK TALLY'!B21</f>
        <v>16</v>
      </c>
      <c r="F45" s="376">
        <f>VLOOKUP(E45,'DECK TALLY'!$B$6:$C$316,2,FALSE)</f>
        <v>33.71</v>
      </c>
      <c r="G45" s="377">
        <f t="shared" si="4"/>
        <v>33.304500000000004</v>
      </c>
      <c r="H45" s="130" t="s">
        <v>29</v>
      </c>
      <c r="I45" s="183">
        <f t="shared" si="6"/>
        <v>719.09349999999995</v>
      </c>
      <c r="J45" s="368">
        <f t="shared" si="1"/>
        <v>20635.906500000001</v>
      </c>
      <c r="K45" s="502"/>
      <c r="L45" s="145"/>
      <c r="M45" s="621"/>
      <c r="N45" s="622"/>
      <c r="O45" s="147"/>
      <c r="P45" s="28"/>
      <c r="Q45" s="114"/>
      <c r="R45" s="98"/>
      <c r="S45" s="120"/>
      <c r="T45" s="120"/>
      <c r="U45" s="120"/>
      <c r="V45" s="120"/>
      <c r="W45" s="120"/>
      <c r="X45" s="120"/>
      <c r="Y45" s="29"/>
      <c r="Z45" s="29"/>
      <c r="AA45" s="29"/>
      <c r="AB45" s="29"/>
      <c r="AC45" s="29"/>
      <c r="AD45" s="29"/>
      <c r="AE45" s="29"/>
      <c r="AF45" s="29"/>
      <c r="AG45" s="29"/>
    </row>
    <row r="46" spans="1:33" s="2" customFormat="1" ht="20.100000000000001" customHeight="1">
      <c r="A46" s="585" t="s">
        <v>115</v>
      </c>
      <c r="B46" s="586"/>
      <c r="C46" s="122">
        <v>2</v>
      </c>
      <c r="D46" s="123" t="s">
        <v>31</v>
      </c>
      <c r="E46" s="320">
        <f>'DECK TALLY'!B22</f>
        <v>17</v>
      </c>
      <c r="F46" s="368">
        <f>VLOOKUP(E46,'DECK TALLY'!$B$6:$C$316,2,FALSE)</f>
        <v>33.94</v>
      </c>
      <c r="G46" s="377">
        <f t="shared" si="4"/>
        <v>33.534499999999994</v>
      </c>
      <c r="H46" s="130" t="s">
        <v>29</v>
      </c>
      <c r="I46" s="183">
        <f t="shared" si="6"/>
        <v>752.62799999999993</v>
      </c>
      <c r="J46" s="368">
        <f t="shared" si="1"/>
        <v>20602.371999999999</v>
      </c>
      <c r="K46" s="502"/>
      <c r="L46" s="145"/>
      <c r="M46" s="621"/>
      <c r="N46" s="622"/>
      <c r="O46" s="28"/>
      <c r="P46" s="99"/>
      <c r="Q46" s="114"/>
      <c r="R46" s="28"/>
      <c r="S46" s="28"/>
      <c r="T46" s="28"/>
      <c r="U46" s="28"/>
      <c r="V46" s="28"/>
      <c r="W46" s="28"/>
      <c r="X46" s="28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s="2" customFormat="1" ht="20.100000000000001" customHeight="1">
      <c r="A47" s="585" t="s">
        <v>115</v>
      </c>
      <c r="B47" s="586"/>
      <c r="C47" s="122">
        <v>2</v>
      </c>
      <c r="D47" s="123" t="s">
        <v>31</v>
      </c>
      <c r="E47" s="320">
        <f>'DECK TALLY'!B23</f>
        <v>18</v>
      </c>
      <c r="F47" s="368">
        <f>VLOOKUP(E47,'DECK TALLY'!$B$6:$C$316,2,FALSE)</f>
        <v>33.96</v>
      </c>
      <c r="G47" s="377">
        <f t="shared" si="4"/>
        <v>33.554500000000004</v>
      </c>
      <c r="H47" s="130" t="s">
        <v>29</v>
      </c>
      <c r="I47" s="183">
        <f t="shared" si="6"/>
        <v>786.18249999999989</v>
      </c>
      <c r="J47" s="368">
        <f t="shared" si="1"/>
        <v>20568.817500000001</v>
      </c>
      <c r="K47" s="502"/>
      <c r="L47" s="145"/>
      <c r="M47" s="621"/>
      <c r="N47" s="622"/>
      <c r="O47" s="28"/>
      <c r="P47" s="28"/>
      <c r="Q47" s="28"/>
      <c r="R47" s="114"/>
      <c r="S47" s="28"/>
      <c r="T47" s="28"/>
      <c r="U47" s="28"/>
      <c r="V47" s="28"/>
      <c r="W47" s="28"/>
      <c r="X47" s="28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 s="2" customFormat="1" ht="20.100000000000001" customHeight="1">
      <c r="A48" s="585" t="s">
        <v>115</v>
      </c>
      <c r="B48" s="586"/>
      <c r="C48" s="122">
        <v>2</v>
      </c>
      <c r="D48" s="123" t="s">
        <v>31</v>
      </c>
      <c r="E48" s="320">
        <f>'DECK TALLY'!B24</f>
        <v>19</v>
      </c>
      <c r="F48" s="368">
        <f>VLOOKUP(E48,'DECK TALLY'!$B$6:$C$316,2,FALSE)</f>
        <v>33.950000000000003</v>
      </c>
      <c r="G48" s="377">
        <f t="shared" si="4"/>
        <v>33.544499999999999</v>
      </c>
      <c r="H48" s="130" t="s">
        <v>29</v>
      </c>
      <c r="I48" s="183">
        <f t="shared" si="6"/>
        <v>819.72699999999986</v>
      </c>
      <c r="J48" s="368">
        <f t="shared" si="1"/>
        <v>20535.273000000001</v>
      </c>
      <c r="K48" s="502"/>
      <c r="L48" s="145"/>
      <c r="M48" s="621"/>
      <c r="N48" s="622"/>
      <c r="O48" s="147"/>
      <c r="P48" s="28"/>
      <c r="Q48" s="28"/>
      <c r="R48" s="98"/>
      <c r="S48" s="114"/>
      <c r="T48" s="114"/>
      <c r="U48" s="114"/>
      <c r="V48" s="114"/>
      <c r="W48" s="114"/>
      <c r="X48" s="114"/>
      <c r="Y48" s="29"/>
      <c r="Z48" s="29"/>
      <c r="AA48" s="29"/>
      <c r="AB48" s="29"/>
      <c r="AC48" s="29"/>
      <c r="AD48" s="29"/>
      <c r="AE48" s="29"/>
      <c r="AF48" s="29"/>
      <c r="AG48" s="29"/>
    </row>
    <row r="49" spans="1:46" s="2" customFormat="1" ht="20.100000000000001" customHeight="1">
      <c r="A49" s="625" t="s">
        <v>115</v>
      </c>
      <c r="B49" s="626"/>
      <c r="C49" s="470">
        <v>2</v>
      </c>
      <c r="D49" s="471" t="s">
        <v>31</v>
      </c>
      <c r="E49" s="472">
        <f>'DECK TALLY'!B25</f>
        <v>20</v>
      </c>
      <c r="F49" s="473">
        <f>VLOOKUP(E49,'DECK TALLY'!$B$6:$C$316,2,FALSE)</f>
        <v>33.79</v>
      </c>
      <c r="G49" s="474">
        <f t="shared" si="4"/>
        <v>33.384500000000003</v>
      </c>
      <c r="H49" s="475" t="s">
        <v>32</v>
      </c>
      <c r="I49" s="476">
        <f t="shared" si="6"/>
        <v>819.72699999999986</v>
      </c>
      <c r="J49" s="474">
        <f t="shared" si="1"/>
        <v>20535.273000000001</v>
      </c>
      <c r="K49" s="505"/>
      <c r="L49" s="463"/>
      <c r="M49" s="627" t="s">
        <v>359</v>
      </c>
      <c r="N49" s="628"/>
      <c r="O49" s="147"/>
      <c r="P49" s="28"/>
      <c r="Q49" s="28"/>
      <c r="R49" s="114"/>
      <c r="S49" s="114"/>
      <c r="T49" s="114"/>
      <c r="U49" s="114"/>
      <c r="V49" s="114"/>
      <c r="W49" s="114"/>
      <c r="X49" s="114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46" s="2" customFormat="1" ht="20.100000000000001" customHeight="1">
      <c r="A50" s="625" t="s">
        <v>115</v>
      </c>
      <c r="B50" s="626"/>
      <c r="C50" s="470">
        <v>2</v>
      </c>
      <c r="D50" s="471" t="s">
        <v>31</v>
      </c>
      <c r="E50" s="472">
        <f>'DECK TALLY'!B26</f>
        <v>21</v>
      </c>
      <c r="F50" s="474">
        <f>VLOOKUP(E50,'DECK TALLY'!$B$6:$C$316,2,FALSE)</f>
        <v>33.94</v>
      </c>
      <c r="G50" s="474">
        <f t="shared" si="4"/>
        <v>33.534499999999994</v>
      </c>
      <c r="H50" s="475" t="s">
        <v>32</v>
      </c>
      <c r="I50" s="476">
        <f t="shared" si="6"/>
        <v>819.72699999999986</v>
      </c>
      <c r="J50" s="474">
        <f t="shared" si="1"/>
        <v>20535.273000000001</v>
      </c>
      <c r="K50" s="505"/>
      <c r="L50" s="463"/>
      <c r="M50" s="627" t="s">
        <v>359</v>
      </c>
      <c r="N50" s="628"/>
      <c r="O50" s="147"/>
      <c r="P50" s="28"/>
      <c r="Q50" s="28"/>
      <c r="R50" s="114"/>
      <c r="S50" s="114"/>
      <c r="T50" s="114"/>
      <c r="U50" s="114"/>
      <c r="V50" s="114"/>
      <c r="W50" s="114"/>
      <c r="X50" s="114"/>
      <c r="Y50" s="29"/>
      <c r="Z50" s="29"/>
      <c r="AA50" s="29"/>
      <c r="AB50" s="29"/>
      <c r="AC50" s="29"/>
      <c r="AD50" s="29"/>
      <c r="AE50" s="29"/>
      <c r="AF50" s="29"/>
      <c r="AG50" s="29"/>
    </row>
    <row r="51" spans="1:46" s="2" customFormat="1" ht="20.100000000000001" customHeight="1">
      <c r="A51" s="585" t="s">
        <v>115</v>
      </c>
      <c r="B51" s="586"/>
      <c r="C51" s="122">
        <v>2</v>
      </c>
      <c r="D51" s="168" t="s">
        <v>31</v>
      </c>
      <c r="E51" s="320">
        <f>'DECK TALLY'!B27</f>
        <v>22</v>
      </c>
      <c r="F51" s="368">
        <f>VLOOKUP(E51,'DECK TALLY'!$B$6:$C$316,2,FALSE)</f>
        <v>33.950000000000003</v>
      </c>
      <c r="G51" s="377">
        <f t="shared" si="4"/>
        <v>33.544499999999999</v>
      </c>
      <c r="H51" s="130" t="s">
        <v>29</v>
      </c>
      <c r="I51" s="183">
        <f t="shared" si="6"/>
        <v>853.27149999999983</v>
      </c>
      <c r="J51" s="368">
        <f t="shared" si="1"/>
        <v>20501.728500000001</v>
      </c>
      <c r="K51" s="502"/>
      <c r="L51" s="145"/>
      <c r="M51" s="621"/>
      <c r="N51" s="622"/>
      <c r="O51" s="181"/>
      <c r="P51" s="28"/>
      <c r="Q51" s="28"/>
      <c r="R51" s="121"/>
      <c r="S51" s="121"/>
      <c r="T51" s="121"/>
      <c r="U51" s="121"/>
      <c r="V51" s="121"/>
      <c r="W51" s="121"/>
      <c r="X51" s="121"/>
      <c r="Y51" s="29"/>
      <c r="Z51" s="29"/>
      <c r="AA51" s="29"/>
      <c r="AB51" s="29"/>
      <c r="AC51" s="29"/>
      <c r="AD51" s="29"/>
      <c r="AE51" s="29"/>
      <c r="AF51" s="29"/>
      <c r="AG51" s="29"/>
    </row>
    <row r="52" spans="1:46" s="2" customFormat="1" ht="20.100000000000001" customHeight="1">
      <c r="A52" s="585" t="s">
        <v>115</v>
      </c>
      <c r="B52" s="586"/>
      <c r="C52" s="122">
        <v>2</v>
      </c>
      <c r="D52" s="124" t="s">
        <v>31</v>
      </c>
      <c r="E52" s="320">
        <f>'DECK TALLY'!B28</f>
        <v>23</v>
      </c>
      <c r="F52" s="368">
        <f>VLOOKUP(E52,'DECK TALLY'!$B$6:$C$316,2,FALSE)</f>
        <v>33.72</v>
      </c>
      <c r="G52" s="377">
        <f t="shared" si="4"/>
        <v>33.314499999999995</v>
      </c>
      <c r="H52" s="130" t="s">
        <v>29</v>
      </c>
      <c r="I52" s="183">
        <f t="shared" si="6"/>
        <v>886.58599999999979</v>
      </c>
      <c r="J52" s="368">
        <f t="shared" si="1"/>
        <v>20468.414000000001</v>
      </c>
      <c r="K52" s="502"/>
      <c r="L52" s="145"/>
      <c r="M52" s="621"/>
      <c r="N52" s="622"/>
      <c r="O52" s="121"/>
      <c r="P52" s="120"/>
      <c r="Q52" s="120"/>
      <c r="R52" s="120"/>
      <c r="S52" s="120"/>
      <c r="T52" s="120"/>
      <c r="U52" s="120"/>
      <c r="V52" s="120"/>
      <c r="W52" s="120"/>
      <c r="X52" s="120"/>
      <c r="Y52" s="29"/>
      <c r="Z52" s="29"/>
      <c r="AA52" s="29"/>
      <c r="AB52" s="29"/>
      <c r="AC52" s="29"/>
      <c r="AD52" s="29"/>
      <c r="AE52" s="29"/>
      <c r="AF52" s="29"/>
      <c r="AG52" s="29"/>
    </row>
    <row r="53" spans="1:46" s="2" customFormat="1" ht="20.100000000000001" customHeight="1">
      <c r="A53" s="585" t="s">
        <v>115</v>
      </c>
      <c r="B53" s="586"/>
      <c r="C53" s="122">
        <v>2</v>
      </c>
      <c r="D53" s="123" t="s">
        <v>31</v>
      </c>
      <c r="E53" s="320">
        <f>'DECK TALLY'!B29</f>
        <v>24</v>
      </c>
      <c r="F53" s="376">
        <f>VLOOKUP(E53,'DECK TALLY'!$B$6:$C$316,2,FALSE)</f>
        <v>33.67</v>
      </c>
      <c r="G53" s="377">
        <f t="shared" si="4"/>
        <v>33.264499999999998</v>
      </c>
      <c r="H53" s="130" t="s">
        <v>29</v>
      </c>
      <c r="I53" s="183">
        <f t="shared" si="6"/>
        <v>919.85049999999978</v>
      </c>
      <c r="J53" s="368">
        <f t="shared" si="1"/>
        <v>20435.1495</v>
      </c>
      <c r="K53" s="502"/>
      <c r="L53" s="145"/>
      <c r="M53" s="621"/>
      <c r="N53" s="622"/>
      <c r="O53" s="121"/>
      <c r="P53" s="120"/>
      <c r="Q53" s="120"/>
      <c r="R53" s="120"/>
      <c r="S53" s="120"/>
      <c r="T53" s="120"/>
      <c r="U53" s="120"/>
      <c r="V53" s="120"/>
      <c r="W53" s="120"/>
      <c r="X53" s="120"/>
      <c r="Y53" s="29"/>
      <c r="Z53" s="29"/>
      <c r="AA53" s="29"/>
      <c r="AB53" s="29"/>
      <c r="AC53" s="29"/>
      <c r="AD53" s="29"/>
      <c r="AE53" s="29"/>
      <c r="AF53" s="29"/>
      <c r="AG53" s="29"/>
      <c r="AH53" s="21"/>
    </row>
    <row r="54" spans="1:46" s="2" customFormat="1" ht="20.100000000000001" customHeight="1">
      <c r="A54" s="585" t="s">
        <v>115</v>
      </c>
      <c r="B54" s="586"/>
      <c r="C54" s="122">
        <v>2</v>
      </c>
      <c r="D54" s="123" t="s">
        <v>31</v>
      </c>
      <c r="E54" s="320">
        <f>'DECK TALLY'!B30</f>
        <v>25</v>
      </c>
      <c r="F54" s="368">
        <f>VLOOKUP(E54,'DECK TALLY'!$B$6:$C$316,2,FALSE)</f>
        <v>33.950000000000003</v>
      </c>
      <c r="G54" s="377">
        <f t="shared" si="4"/>
        <v>33.544499999999999</v>
      </c>
      <c r="H54" s="130" t="s">
        <v>29</v>
      </c>
      <c r="I54" s="183">
        <f t="shared" si="6"/>
        <v>953.39499999999975</v>
      </c>
      <c r="J54" s="368">
        <f t="shared" si="1"/>
        <v>20401.605</v>
      </c>
      <c r="K54" s="502"/>
      <c r="L54" s="145"/>
      <c r="M54" s="621"/>
      <c r="N54" s="622"/>
      <c r="O54" s="121"/>
      <c r="P54" s="28"/>
      <c r="Q54" s="28"/>
      <c r="R54" s="120"/>
      <c r="S54" s="120"/>
      <c r="T54" s="120"/>
      <c r="U54" s="120"/>
      <c r="V54" s="120"/>
      <c r="W54" s="120"/>
      <c r="X54" s="120"/>
      <c r="Y54" s="29"/>
      <c r="Z54" s="29"/>
      <c r="AA54" s="29"/>
      <c r="AB54" s="29"/>
      <c r="AC54" s="29"/>
      <c r="AD54" s="29"/>
      <c r="AE54" s="29"/>
      <c r="AF54" s="29"/>
      <c r="AG54" s="29"/>
      <c r="AH54" s="21"/>
    </row>
    <row r="55" spans="1:46" s="2" customFormat="1" ht="20.100000000000001" customHeight="1">
      <c r="A55" s="585" t="s">
        <v>115</v>
      </c>
      <c r="B55" s="586"/>
      <c r="C55" s="122">
        <v>2</v>
      </c>
      <c r="D55" s="123" t="s">
        <v>31</v>
      </c>
      <c r="E55" s="320">
        <f>'DECK TALLY'!B31</f>
        <v>26</v>
      </c>
      <c r="F55" s="368">
        <f>VLOOKUP(E55,'DECK TALLY'!$B$6:$C$316,2,FALSE)</f>
        <v>33.9</v>
      </c>
      <c r="G55" s="377">
        <f t="shared" si="4"/>
        <v>33.494500000000002</v>
      </c>
      <c r="H55" s="130" t="s">
        <v>29</v>
      </c>
      <c r="I55" s="183">
        <f t="shared" si="6"/>
        <v>986.88949999999977</v>
      </c>
      <c r="J55" s="368">
        <f t="shared" si="1"/>
        <v>20368.110499999999</v>
      </c>
      <c r="K55" s="502"/>
      <c r="L55" s="145"/>
      <c r="M55" s="621"/>
      <c r="N55" s="622"/>
      <c r="O55" s="121"/>
      <c r="P55" s="28"/>
      <c r="Q55" s="28"/>
      <c r="R55" s="120"/>
      <c r="S55" s="120"/>
      <c r="T55" s="120"/>
      <c r="U55" s="120"/>
      <c r="V55" s="120"/>
      <c r="W55" s="120"/>
      <c r="X55" s="120"/>
      <c r="Y55" s="29"/>
      <c r="Z55" s="29"/>
      <c r="AA55" s="29"/>
      <c r="AB55" s="29"/>
      <c r="AC55" s="29"/>
      <c r="AD55" s="29"/>
      <c r="AE55" s="29"/>
      <c r="AF55" s="29"/>
      <c r="AG55" s="29"/>
    </row>
    <row r="56" spans="1:46" s="3" customFormat="1" ht="20.100000000000001" customHeight="1">
      <c r="A56" s="585" t="s">
        <v>115</v>
      </c>
      <c r="B56" s="586"/>
      <c r="C56" s="122">
        <v>2</v>
      </c>
      <c r="D56" s="124" t="s">
        <v>31</v>
      </c>
      <c r="E56" s="320">
        <f>'DECK TALLY'!B32</f>
        <v>27</v>
      </c>
      <c r="F56" s="368">
        <f>VLOOKUP(E56,'DECK TALLY'!$B$6:$C$316,2,FALSE)</f>
        <v>33.9</v>
      </c>
      <c r="G56" s="377">
        <f t="shared" si="4"/>
        <v>33.494500000000002</v>
      </c>
      <c r="H56" s="130" t="s">
        <v>29</v>
      </c>
      <c r="I56" s="183">
        <f t="shared" si="6"/>
        <v>1020.3839999999998</v>
      </c>
      <c r="J56" s="368">
        <f t="shared" si="1"/>
        <v>20334.616000000002</v>
      </c>
      <c r="K56" s="502"/>
      <c r="L56" s="145"/>
      <c r="M56" s="621"/>
      <c r="N56" s="622"/>
      <c r="O56" s="142"/>
      <c r="P56" s="28"/>
      <c r="Q56" s="28"/>
      <c r="R56" s="120"/>
      <c r="S56" s="120"/>
      <c r="T56" s="120"/>
      <c r="U56" s="120"/>
      <c r="V56" s="120"/>
      <c r="W56" s="120"/>
      <c r="X56" s="120"/>
      <c r="Y56" s="29"/>
      <c r="Z56" s="29"/>
      <c r="AA56" s="29"/>
      <c r="AB56" s="29"/>
      <c r="AC56" s="29"/>
      <c r="AD56" s="29"/>
      <c r="AE56" s="29"/>
      <c r="AF56" s="29"/>
      <c r="AG56" s="29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6" s="2" customFormat="1" ht="20.100000000000001" customHeight="1">
      <c r="A57" s="585" t="s">
        <v>115</v>
      </c>
      <c r="B57" s="586"/>
      <c r="C57" s="122">
        <v>2</v>
      </c>
      <c r="D57" s="123" t="s">
        <v>31</v>
      </c>
      <c r="E57" s="320">
        <f>'DECK TALLY'!B33</f>
        <v>28</v>
      </c>
      <c r="F57" s="376">
        <f>VLOOKUP(E57,'DECK TALLY'!$B$6:$C$316,2,FALSE)</f>
        <v>33.9</v>
      </c>
      <c r="G57" s="377">
        <f t="shared" si="4"/>
        <v>33.494500000000002</v>
      </c>
      <c r="H57" s="130" t="s">
        <v>29</v>
      </c>
      <c r="I57" s="183">
        <f t="shared" si="6"/>
        <v>1053.8784999999998</v>
      </c>
      <c r="J57" s="368">
        <f t="shared" si="1"/>
        <v>20301.121500000001</v>
      </c>
      <c r="K57" s="502"/>
      <c r="L57" s="145"/>
      <c r="M57" s="621"/>
      <c r="N57" s="622"/>
      <c r="O57" s="143"/>
      <c r="P57" s="120"/>
      <c r="Q57" s="120"/>
      <c r="R57" s="120"/>
      <c r="S57" s="120"/>
      <c r="T57" s="120"/>
      <c r="U57" s="120"/>
      <c r="V57" s="120"/>
      <c r="W57" s="120"/>
      <c r="X57" s="120"/>
      <c r="Y57" s="29"/>
      <c r="Z57" s="29"/>
      <c r="AA57" s="29"/>
      <c r="AB57" s="29"/>
      <c r="AC57" s="29"/>
      <c r="AD57" s="29"/>
      <c r="AE57" s="29"/>
      <c r="AF57" s="29"/>
      <c r="AG57" s="29"/>
      <c r="AH57" s="21"/>
    </row>
    <row r="58" spans="1:46" s="2" customFormat="1" ht="20.100000000000001" customHeight="1">
      <c r="A58" s="585" t="s">
        <v>115</v>
      </c>
      <c r="B58" s="586"/>
      <c r="C58" s="122">
        <v>2</v>
      </c>
      <c r="D58" s="123" t="s">
        <v>31</v>
      </c>
      <c r="E58" s="320">
        <f>'DECK TALLY'!B34</f>
        <v>29</v>
      </c>
      <c r="F58" s="368">
        <f>VLOOKUP(E58,'DECK TALLY'!$B$6:$C$316,2,FALSE)</f>
        <v>33.72</v>
      </c>
      <c r="G58" s="377">
        <f t="shared" si="4"/>
        <v>33.314499999999995</v>
      </c>
      <c r="H58" s="130" t="s">
        <v>29</v>
      </c>
      <c r="I58" s="183">
        <f t="shared" si="6"/>
        <v>1087.1929999999998</v>
      </c>
      <c r="J58" s="368">
        <f t="shared" si="1"/>
        <v>20267.807000000001</v>
      </c>
      <c r="K58" s="502"/>
      <c r="L58" s="145"/>
      <c r="M58" s="621"/>
      <c r="N58" s="622"/>
      <c r="O58" s="143"/>
      <c r="P58" s="120"/>
      <c r="Q58" s="120"/>
      <c r="R58" s="120"/>
      <c r="S58" s="120"/>
      <c r="T58" s="120"/>
      <c r="U58" s="120"/>
      <c r="V58" s="120"/>
      <c r="W58" s="120"/>
      <c r="X58" s="120"/>
      <c r="Y58" s="29"/>
      <c r="Z58" s="29"/>
      <c r="AA58" s="29"/>
      <c r="AB58" s="29"/>
      <c r="AC58" s="29"/>
      <c r="AD58" s="29"/>
      <c r="AE58" s="29"/>
      <c r="AF58" s="29"/>
      <c r="AG58" s="29"/>
      <c r="AH58" s="21"/>
    </row>
    <row r="59" spans="1:46" s="2" customFormat="1" ht="20.100000000000001" customHeight="1">
      <c r="A59" s="585" t="s">
        <v>115</v>
      </c>
      <c r="B59" s="586"/>
      <c r="C59" s="122">
        <v>2</v>
      </c>
      <c r="D59" s="123" t="s">
        <v>31</v>
      </c>
      <c r="E59" s="320">
        <f>'DECK TALLY'!B35</f>
        <v>30</v>
      </c>
      <c r="F59" s="368">
        <f>VLOOKUP(E59,'DECK TALLY'!$B$6:$C$316,2,FALSE)</f>
        <v>33.85</v>
      </c>
      <c r="G59" s="377">
        <f t="shared" si="4"/>
        <v>33.444500000000005</v>
      </c>
      <c r="H59" s="130" t="s">
        <v>29</v>
      </c>
      <c r="I59" s="183">
        <f t="shared" si="6"/>
        <v>1120.6374999999998</v>
      </c>
      <c r="J59" s="368">
        <f t="shared" si="1"/>
        <v>20234.362499999999</v>
      </c>
      <c r="K59" s="502"/>
      <c r="L59" s="145"/>
      <c r="M59" s="621"/>
      <c r="N59" s="622"/>
      <c r="O59" s="143"/>
      <c r="P59" s="120"/>
      <c r="Q59" s="120"/>
      <c r="R59" s="120"/>
      <c r="S59" s="120"/>
      <c r="T59" s="120"/>
      <c r="U59" s="120"/>
      <c r="V59" s="120"/>
      <c r="W59" s="120"/>
      <c r="X59" s="120"/>
      <c r="Y59" s="29"/>
      <c r="Z59" s="29"/>
      <c r="AA59" s="29"/>
      <c r="AB59" s="29"/>
      <c r="AC59" s="29"/>
      <c r="AD59" s="29"/>
      <c r="AE59" s="29"/>
      <c r="AF59" s="29"/>
      <c r="AG59" s="29"/>
    </row>
    <row r="60" spans="1:46" s="2" customFormat="1" ht="20.100000000000001" customHeight="1">
      <c r="A60" s="585" t="s">
        <v>115</v>
      </c>
      <c r="B60" s="586"/>
      <c r="C60" s="122">
        <v>2</v>
      </c>
      <c r="D60" s="123" t="s">
        <v>31</v>
      </c>
      <c r="E60" s="320">
        <f>'DECK TALLY'!B36</f>
        <v>31</v>
      </c>
      <c r="F60" s="368">
        <f>VLOOKUP(E60,'DECK TALLY'!$B$6:$C$316,2,FALSE)</f>
        <v>33.76</v>
      </c>
      <c r="G60" s="377">
        <f t="shared" si="4"/>
        <v>33.354500000000002</v>
      </c>
      <c r="H60" s="130" t="s">
        <v>29</v>
      </c>
      <c r="I60" s="183">
        <f t="shared" si="6"/>
        <v>1153.9919999999997</v>
      </c>
      <c r="J60" s="368">
        <f t="shared" si="1"/>
        <v>20201.008000000002</v>
      </c>
      <c r="K60" s="502"/>
      <c r="L60" s="145"/>
      <c r="M60" s="621"/>
      <c r="N60" s="622"/>
      <c r="O60" s="148"/>
      <c r="P60" s="28"/>
      <c r="Q60" s="28"/>
      <c r="R60" s="28"/>
      <c r="S60" s="28"/>
      <c r="T60" s="28"/>
      <c r="U60" s="28"/>
      <c r="V60" s="28"/>
      <c r="W60" s="28"/>
      <c r="X60" s="28"/>
      <c r="Y60" s="29"/>
      <c r="Z60" s="29"/>
      <c r="AA60" s="29"/>
      <c r="AB60" s="29"/>
      <c r="AC60" s="29"/>
      <c r="AD60" s="29"/>
      <c r="AE60" s="29"/>
      <c r="AF60" s="29"/>
      <c r="AG60" s="29"/>
    </row>
    <row r="61" spans="1:46" s="2" customFormat="1" ht="20.100000000000001" customHeight="1">
      <c r="A61" s="585" t="s">
        <v>115</v>
      </c>
      <c r="B61" s="586"/>
      <c r="C61" s="122">
        <v>2</v>
      </c>
      <c r="D61" s="123" t="s">
        <v>31</v>
      </c>
      <c r="E61" s="320">
        <f>'DECK TALLY'!B37</f>
        <v>32</v>
      </c>
      <c r="F61" s="376">
        <f>VLOOKUP(E61,'DECK TALLY'!$B$6:$C$316,2,FALSE)</f>
        <v>33.94</v>
      </c>
      <c r="G61" s="377">
        <f t="shared" si="4"/>
        <v>33.534499999999994</v>
      </c>
      <c r="H61" s="130" t="s">
        <v>29</v>
      </c>
      <c r="I61" s="183">
        <f t="shared" si="6"/>
        <v>1187.5264999999997</v>
      </c>
      <c r="J61" s="368">
        <f t="shared" si="1"/>
        <v>20167.4735</v>
      </c>
      <c r="K61" s="502"/>
      <c r="L61" s="145"/>
      <c r="M61" s="621"/>
      <c r="N61" s="622"/>
      <c r="O61" s="147"/>
      <c r="P61" s="28"/>
      <c r="Q61" s="28"/>
      <c r="R61" s="28"/>
      <c r="S61" s="28"/>
      <c r="T61" s="28"/>
      <c r="U61" s="28"/>
      <c r="V61" s="28"/>
      <c r="W61" s="28"/>
      <c r="X61" s="28"/>
      <c r="Y61" s="29"/>
      <c r="Z61" s="29"/>
      <c r="AA61" s="29"/>
      <c r="AB61" s="29"/>
      <c r="AC61" s="29"/>
      <c r="AD61" s="29"/>
      <c r="AE61" s="29"/>
      <c r="AF61" s="29"/>
      <c r="AG61" s="29"/>
      <c r="AH61" s="21"/>
    </row>
    <row r="62" spans="1:46" s="2" customFormat="1" ht="20.100000000000001" customHeight="1">
      <c r="A62" s="585" t="s">
        <v>115</v>
      </c>
      <c r="B62" s="586"/>
      <c r="C62" s="122">
        <v>2</v>
      </c>
      <c r="D62" s="123" t="s">
        <v>31</v>
      </c>
      <c r="E62" s="320">
        <f>'DECK TALLY'!B38</f>
        <v>33</v>
      </c>
      <c r="F62" s="368">
        <f>VLOOKUP(E62,'DECK TALLY'!$B$6:$C$316,2,FALSE)</f>
        <v>33.36</v>
      </c>
      <c r="G62" s="377">
        <f t="shared" si="4"/>
        <v>32.954499999999996</v>
      </c>
      <c r="H62" s="130" t="s">
        <v>29</v>
      </c>
      <c r="I62" s="183">
        <f t="shared" si="6"/>
        <v>1220.4809999999998</v>
      </c>
      <c r="J62" s="368">
        <f t="shared" si="1"/>
        <v>20134.519</v>
      </c>
      <c r="K62" s="502"/>
      <c r="L62" s="145"/>
      <c r="M62" s="621"/>
      <c r="N62" s="622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9"/>
      <c r="Z62" s="29"/>
      <c r="AA62" s="29"/>
      <c r="AB62" s="29"/>
      <c r="AC62" s="29"/>
      <c r="AD62" s="29"/>
      <c r="AE62" s="29"/>
      <c r="AF62" s="29"/>
      <c r="AG62" s="29"/>
    </row>
    <row r="63" spans="1:46" s="2" customFormat="1" ht="20.100000000000001" customHeight="1">
      <c r="A63" s="585" t="s">
        <v>115</v>
      </c>
      <c r="B63" s="586"/>
      <c r="C63" s="122">
        <v>2</v>
      </c>
      <c r="D63" s="123" t="s">
        <v>31</v>
      </c>
      <c r="E63" s="320">
        <f>'DECK TALLY'!B39</f>
        <v>34</v>
      </c>
      <c r="F63" s="368">
        <f>VLOOKUP(E63,'DECK TALLY'!$B$6:$C$316,2,FALSE)</f>
        <v>33.94</v>
      </c>
      <c r="G63" s="377">
        <f t="shared" si="4"/>
        <v>33.534499999999994</v>
      </c>
      <c r="H63" s="130" t="s">
        <v>29</v>
      </c>
      <c r="I63" s="183">
        <f t="shared" si="6"/>
        <v>1254.0154999999997</v>
      </c>
      <c r="J63" s="368">
        <f t="shared" si="1"/>
        <v>20100.984499999999</v>
      </c>
      <c r="K63" s="502"/>
      <c r="L63" s="145"/>
      <c r="M63" s="621"/>
      <c r="N63" s="622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9"/>
      <c r="Z63" s="29"/>
      <c r="AA63" s="29"/>
      <c r="AB63" s="29"/>
      <c r="AC63" s="29"/>
      <c r="AD63" s="29"/>
      <c r="AE63" s="29"/>
      <c r="AF63" s="29"/>
      <c r="AG63" s="29"/>
    </row>
    <row r="64" spans="1:46" s="2" customFormat="1" ht="20.100000000000001" customHeight="1">
      <c r="A64" s="585" t="s">
        <v>115</v>
      </c>
      <c r="B64" s="586"/>
      <c r="C64" s="122">
        <v>2</v>
      </c>
      <c r="D64" s="124" t="s">
        <v>31</v>
      </c>
      <c r="E64" s="320">
        <f>'DECK TALLY'!B40</f>
        <v>35</v>
      </c>
      <c r="F64" s="368">
        <f>VLOOKUP(E64,'DECK TALLY'!$B$6:$C$316,2,FALSE)</f>
        <v>32.4</v>
      </c>
      <c r="G64" s="377">
        <f t="shared" si="4"/>
        <v>31.994499999999999</v>
      </c>
      <c r="H64" s="130" t="s">
        <v>29</v>
      </c>
      <c r="I64" s="183">
        <f t="shared" si="6"/>
        <v>1286.0099999999998</v>
      </c>
      <c r="J64" s="368">
        <f t="shared" si="1"/>
        <v>20068.990000000002</v>
      </c>
      <c r="K64" s="502"/>
      <c r="L64" s="145"/>
      <c r="M64" s="621"/>
      <c r="N64" s="622"/>
      <c r="O64" s="121"/>
      <c r="P64" s="120"/>
      <c r="Q64" s="120"/>
      <c r="R64" s="120"/>
      <c r="S64" s="120"/>
      <c r="T64" s="120"/>
      <c r="U64" s="120"/>
      <c r="V64" s="120"/>
      <c r="W64" s="120"/>
      <c r="X64" s="120"/>
      <c r="Y64" s="29"/>
      <c r="Z64" s="29"/>
      <c r="AA64" s="29"/>
      <c r="AB64" s="29"/>
      <c r="AC64" s="29"/>
      <c r="AD64" s="29"/>
      <c r="AE64" s="29"/>
      <c r="AF64" s="29"/>
      <c r="AG64" s="29"/>
    </row>
    <row r="65" spans="1:33" s="2" customFormat="1" ht="20.100000000000001" customHeight="1">
      <c r="A65" s="585" t="s">
        <v>115</v>
      </c>
      <c r="B65" s="586"/>
      <c r="C65" s="122">
        <v>2</v>
      </c>
      <c r="D65" s="123" t="s">
        <v>31</v>
      </c>
      <c r="E65" s="320">
        <f>'DECK TALLY'!B41</f>
        <v>36</v>
      </c>
      <c r="F65" s="376">
        <f>VLOOKUP(E65,'DECK TALLY'!$B$6:$C$316,2,FALSE)</f>
        <v>33.93</v>
      </c>
      <c r="G65" s="377">
        <f t="shared" si="4"/>
        <v>33.524500000000003</v>
      </c>
      <c r="H65" s="130" t="s">
        <v>29</v>
      </c>
      <c r="I65" s="183">
        <f t="shared" si="6"/>
        <v>1319.5344999999998</v>
      </c>
      <c r="J65" s="368">
        <f t="shared" si="1"/>
        <v>20035.465499999998</v>
      </c>
      <c r="K65" s="502"/>
      <c r="L65" s="145"/>
      <c r="M65" s="621"/>
      <c r="N65" s="622"/>
      <c r="O65" s="121"/>
      <c r="P65" s="120"/>
      <c r="Q65" s="120"/>
      <c r="R65" s="120"/>
      <c r="S65" s="120"/>
      <c r="T65" s="120"/>
      <c r="U65" s="120"/>
      <c r="V65" s="120"/>
      <c r="W65" s="120"/>
      <c r="X65" s="120"/>
      <c r="Y65" s="29"/>
      <c r="Z65" s="29"/>
      <c r="AA65" s="29"/>
      <c r="AB65" s="29"/>
      <c r="AC65" s="29"/>
      <c r="AD65" s="29"/>
      <c r="AE65" s="29"/>
      <c r="AF65" s="29"/>
      <c r="AG65" s="29"/>
    </row>
    <row r="66" spans="1:33" s="2" customFormat="1" ht="20.100000000000001" customHeight="1">
      <c r="A66" s="585" t="s">
        <v>115</v>
      </c>
      <c r="B66" s="586"/>
      <c r="C66" s="122">
        <v>2</v>
      </c>
      <c r="D66" s="123" t="s">
        <v>31</v>
      </c>
      <c r="E66" s="320">
        <f>'DECK TALLY'!B42</f>
        <v>37</v>
      </c>
      <c r="F66" s="368">
        <f>VLOOKUP(E66,'DECK TALLY'!$B$6:$C$316,2,FALSE)</f>
        <v>32.89</v>
      </c>
      <c r="G66" s="377">
        <f t="shared" si="4"/>
        <v>32.484499999999997</v>
      </c>
      <c r="H66" s="130" t="s">
        <v>29</v>
      </c>
      <c r="I66" s="183">
        <f t="shared" si="6"/>
        <v>1352.0189999999998</v>
      </c>
      <c r="J66" s="368">
        <f t="shared" si="1"/>
        <v>20002.981</v>
      </c>
      <c r="K66" s="502"/>
      <c r="L66" s="145"/>
      <c r="M66" s="621"/>
      <c r="N66" s="622"/>
      <c r="O66" s="121"/>
      <c r="P66" s="120"/>
      <c r="Q66" s="120"/>
      <c r="R66" s="120"/>
      <c r="S66" s="120"/>
      <c r="T66" s="120"/>
      <c r="U66" s="120"/>
      <c r="V66" s="120"/>
      <c r="W66" s="120"/>
      <c r="X66" s="120"/>
      <c r="Y66" s="29"/>
      <c r="Z66" s="29"/>
      <c r="AA66" s="29"/>
      <c r="AB66" s="29"/>
      <c r="AC66" s="29"/>
      <c r="AD66" s="29"/>
      <c r="AE66" s="29"/>
      <c r="AF66" s="29"/>
      <c r="AG66" s="29"/>
    </row>
    <row r="67" spans="1:33" s="2" customFormat="1" ht="20.100000000000001" customHeight="1">
      <c r="A67" s="585" t="s">
        <v>115</v>
      </c>
      <c r="B67" s="586"/>
      <c r="C67" s="122">
        <v>2</v>
      </c>
      <c r="D67" s="123" t="s">
        <v>31</v>
      </c>
      <c r="E67" s="320">
        <f>'DECK TALLY'!B43</f>
        <v>38</v>
      </c>
      <c r="F67" s="368">
        <f>VLOOKUP(E67,'DECK TALLY'!$B$6:$C$316,2,FALSE)</f>
        <v>33.94</v>
      </c>
      <c r="G67" s="377">
        <f t="shared" si="4"/>
        <v>33.534499999999994</v>
      </c>
      <c r="H67" s="130" t="s">
        <v>29</v>
      </c>
      <c r="I67" s="183">
        <f t="shared" si="6"/>
        <v>1385.5534999999998</v>
      </c>
      <c r="J67" s="368">
        <f t="shared" si="1"/>
        <v>19969.446500000002</v>
      </c>
      <c r="K67" s="502"/>
      <c r="L67" s="145"/>
      <c r="M67" s="621"/>
      <c r="N67" s="622"/>
      <c r="O67" s="121"/>
      <c r="P67" s="120"/>
      <c r="Q67" s="120"/>
      <c r="R67" s="120"/>
      <c r="S67" s="120"/>
      <c r="T67" s="120"/>
      <c r="U67" s="120"/>
      <c r="V67" s="120"/>
      <c r="W67" s="120"/>
      <c r="X67" s="120"/>
      <c r="Y67" s="29"/>
      <c r="Z67" s="29"/>
      <c r="AA67" s="29"/>
      <c r="AB67" s="29"/>
      <c r="AC67" s="29"/>
      <c r="AD67" s="29"/>
      <c r="AE67" s="29"/>
      <c r="AF67" s="29"/>
      <c r="AG67" s="29"/>
    </row>
    <row r="68" spans="1:33" s="2" customFormat="1" ht="20.100000000000001" customHeight="1">
      <c r="A68" s="585" t="s">
        <v>115</v>
      </c>
      <c r="B68" s="586"/>
      <c r="C68" s="122">
        <v>2</v>
      </c>
      <c r="D68" s="124" t="s">
        <v>31</v>
      </c>
      <c r="E68" s="320">
        <f>'DECK TALLY'!B44</f>
        <v>39</v>
      </c>
      <c r="F68" s="368">
        <f>VLOOKUP(E68,'DECK TALLY'!$B$6:$C$316,2,FALSE)</f>
        <v>33.93</v>
      </c>
      <c r="G68" s="377">
        <f t="shared" si="4"/>
        <v>33.524500000000003</v>
      </c>
      <c r="H68" s="130" t="s">
        <v>29</v>
      </c>
      <c r="I68" s="183">
        <f t="shared" si="6"/>
        <v>1419.0779999999997</v>
      </c>
      <c r="J68" s="368">
        <f t="shared" si="1"/>
        <v>19935.921999999999</v>
      </c>
      <c r="K68" s="502"/>
      <c r="L68" s="145"/>
      <c r="M68" s="621"/>
      <c r="N68" s="622"/>
      <c r="O68" s="121"/>
      <c r="P68" s="120"/>
      <c r="Q68" s="120"/>
      <c r="R68" s="120"/>
      <c r="S68" s="120"/>
      <c r="T68" s="120"/>
      <c r="U68" s="120"/>
      <c r="V68" s="120"/>
      <c r="W68" s="120"/>
      <c r="X68" s="120"/>
      <c r="Y68" s="29"/>
      <c r="Z68" s="29"/>
      <c r="AA68" s="29"/>
      <c r="AB68" s="29"/>
      <c r="AC68" s="29"/>
      <c r="AD68" s="29"/>
      <c r="AE68" s="29"/>
      <c r="AF68" s="29"/>
      <c r="AG68" s="29"/>
    </row>
    <row r="69" spans="1:33" s="2" customFormat="1" ht="20.100000000000001" customHeight="1">
      <c r="A69" s="585" t="s">
        <v>115</v>
      </c>
      <c r="B69" s="586"/>
      <c r="C69" s="122">
        <v>2</v>
      </c>
      <c r="D69" s="123" t="s">
        <v>31</v>
      </c>
      <c r="E69" s="320">
        <f>'DECK TALLY'!B45</f>
        <v>40</v>
      </c>
      <c r="F69" s="376">
        <f>VLOOKUP(E69,'DECK TALLY'!$B$6:$C$316,2,FALSE)</f>
        <v>32.08</v>
      </c>
      <c r="G69" s="377">
        <f t="shared" si="4"/>
        <v>31.674499999999998</v>
      </c>
      <c r="H69" s="130" t="s">
        <v>29</v>
      </c>
      <c r="I69" s="183">
        <f t="shared" si="6"/>
        <v>1450.7524999999998</v>
      </c>
      <c r="J69" s="368">
        <f t="shared" si="1"/>
        <v>19904.247500000001</v>
      </c>
      <c r="K69" s="502"/>
      <c r="L69" s="145"/>
      <c r="M69" s="621"/>
      <c r="N69" s="622"/>
      <c r="O69" s="121"/>
      <c r="P69" s="120"/>
      <c r="Q69" s="120"/>
      <c r="R69" s="120"/>
      <c r="S69" s="120"/>
      <c r="T69" s="120"/>
      <c r="U69" s="120"/>
      <c r="V69" s="120"/>
      <c r="W69" s="120"/>
      <c r="X69" s="120"/>
      <c r="Y69" s="29"/>
      <c r="Z69" s="29"/>
      <c r="AA69" s="29"/>
      <c r="AB69" s="29"/>
      <c r="AC69" s="29"/>
      <c r="AD69" s="29"/>
      <c r="AE69" s="29"/>
      <c r="AF69" s="29"/>
      <c r="AG69" s="29"/>
    </row>
    <row r="70" spans="1:33" s="2" customFormat="1" ht="20.100000000000001" customHeight="1">
      <c r="A70" s="585" t="s">
        <v>115</v>
      </c>
      <c r="B70" s="586"/>
      <c r="C70" s="122">
        <v>2</v>
      </c>
      <c r="D70" s="123" t="s">
        <v>31</v>
      </c>
      <c r="E70" s="320">
        <f>'DECK TALLY'!B46</f>
        <v>41</v>
      </c>
      <c r="F70" s="368">
        <f>VLOOKUP(E70,'DECK TALLY'!$B$6:$C$316,2,FALSE)</f>
        <v>33.93</v>
      </c>
      <c r="G70" s="377">
        <f t="shared" si="4"/>
        <v>33.524500000000003</v>
      </c>
      <c r="H70" s="130" t="s">
        <v>29</v>
      </c>
      <c r="I70" s="183">
        <f t="shared" si="6"/>
        <v>1484.2769999999998</v>
      </c>
      <c r="J70" s="368">
        <f t="shared" si="1"/>
        <v>19870.723000000002</v>
      </c>
      <c r="K70" s="502"/>
      <c r="L70" s="145"/>
      <c r="M70" s="621"/>
      <c r="N70" s="622"/>
      <c r="O70" s="121"/>
      <c r="P70" s="179"/>
      <c r="Q70" s="120"/>
      <c r="R70" s="120"/>
      <c r="S70" s="120"/>
      <c r="T70" s="120"/>
      <c r="U70" s="120"/>
      <c r="V70" s="120"/>
      <c r="W70" s="120"/>
      <c r="X70" s="120"/>
      <c r="Y70" s="29"/>
      <c r="Z70" s="29"/>
      <c r="AA70" s="29"/>
      <c r="AB70" s="29"/>
      <c r="AC70" s="29"/>
      <c r="AD70" s="29"/>
      <c r="AE70" s="29"/>
      <c r="AF70" s="29"/>
      <c r="AG70" s="29"/>
    </row>
    <row r="71" spans="1:33" s="2" customFormat="1" ht="20.100000000000001" customHeight="1">
      <c r="A71" s="585" t="s">
        <v>115</v>
      </c>
      <c r="B71" s="586"/>
      <c r="C71" s="122">
        <v>2</v>
      </c>
      <c r="D71" s="123" t="s">
        <v>31</v>
      </c>
      <c r="E71" s="320">
        <f>'DECK TALLY'!B47</f>
        <v>42</v>
      </c>
      <c r="F71" s="368">
        <f>VLOOKUP(E71,'DECK TALLY'!$B$6:$C$316,2,FALSE)</f>
        <v>33.94</v>
      </c>
      <c r="G71" s="377">
        <f t="shared" si="4"/>
        <v>33.534499999999994</v>
      </c>
      <c r="H71" s="130" t="s">
        <v>29</v>
      </c>
      <c r="I71" s="183">
        <f t="shared" si="6"/>
        <v>1517.8114999999998</v>
      </c>
      <c r="J71" s="368">
        <f t="shared" si="1"/>
        <v>19837.1885</v>
      </c>
      <c r="K71" s="502"/>
      <c r="L71" s="145"/>
      <c r="M71" s="621"/>
      <c r="N71" s="622"/>
      <c r="O71" s="121"/>
      <c r="P71" s="120"/>
      <c r="Q71" s="120"/>
      <c r="R71" s="120"/>
      <c r="S71" s="120"/>
      <c r="T71" s="120"/>
      <c r="U71" s="120"/>
      <c r="V71" s="120"/>
      <c r="W71" s="120"/>
      <c r="X71" s="120"/>
      <c r="Y71" s="29"/>
      <c r="Z71" s="29"/>
      <c r="AA71" s="29"/>
      <c r="AB71" s="29"/>
      <c r="AC71" s="29"/>
      <c r="AD71" s="29"/>
      <c r="AE71" s="29"/>
      <c r="AF71" s="29"/>
      <c r="AG71" s="29"/>
    </row>
    <row r="72" spans="1:33" s="2" customFormat="1" ht="20.100000000000001" customHeight="1">
      <c r="A72" s="585" t="s">
        <v>115</v>
      </c>
      <c r="B72" s="586"/>
      <c r="C72" s="122">
        <v>2</v>
      </c>
      <c r="D72" s="168" t="s">
        <v>31</v>
      </c>
      <c r="E72" s="320">
        <f>'DECK TALLY'!B48</f>
        <v>43</v>
      </c>
      <c r="F72" s="368">
        <f>VLOOKUP(E72,'DECK TALLY'!$B$6:$C$316,2,FALSE)</f>
        <v>33.94</v>
      </c>
      <c r="G72" s="377">
        <f t="shared" si="4"/>
        <v>33.534499999999994</v>
      </c>
      <c r="H72" s="130" t="s">
        <v>29</v>
      </c>
      <c r="I72" s="183">
        <f t="shared" si="6"/>
        <v>1551.3459999999998</v>
      </c>
      <c r="J72" s="368">
        <f t="shared" si="1"/>
        <v>19803.653999999999</v>
      </c>
      <c r="K72" s="502"/>
      <c r="L72" s="145"/>
      <c r="M72" s="621"/>
      <c r="N72" s="622"/>
      <c r="O72" s="121"/>
      <c r="P72" s="28"/>
      <c r="Q72" s="28"/>
      <c r="R72" s="28"/>
      <c r="S72" s="28"/>
      <c r="T72" s="28"/>
      <c r="U72" s="28"/>
      <c r="V72" s="28"/>
      <c r="W72" s="28"/>
      <c r="X72" s="28"/>
      <c r="Y72" s="29"/>
      <c r="Z72" s="29"/>
      <c r="AA72" s="29"/>
      <c r="AB72" s="29"/>
      <c r="AC72" s="29"/>
      <c r="AD72" s="29"/>
      <c r="AE72" s="29"/>
      <c r="AF72" s="29"/>
      <c r="AG72" s="29"/>
    </row>
    <row r="73" spans="1:33" s="2" customFormat="1" ht="20.100000000000001" customHeight="1">
      <c r="A73" s="585" t="s">
        <v>115</v>
      </c>
      <c r="B73" s="586"/>
      <c r="C73" s="122">
        <v>2</v>
      </c>
      <c r="D73" s="123" t="s">
        <v>31</v>
      </c>
      <c r="E73" s="320">
        <f>'DECK TALLY'!B49</f>
        <v>44</v>
      </c>
      <c r="F73" s="376">
        <f>VLOOKUP(E73,'DECK TALLY'!$B$6:$C$316,2,FALSE)</f>
        <v>33.93</v>
      </c>
      <c r="G73" s="377">
        <f t="shared" si="4"/>
        <v>33.524500000000003</v>
      </c>
      <c r="H73" s="130" t="s">
        <v>29</v>
      </c>
      <c r="I73" s="183">
        <f t="shared" si="6"/>
        <v>1584.8704999999998</v>
      </c>
      <c r="J73" s="368">
        <f t="shared" si="1"/>
        <v>19770.129499999999</v>
      </c>
      <c r="K73" s="502"/>
      <c r="L73" s="145"/>
      <c r="M73" s="621"/>
      <c r="N73" s="622"/>
      <c r="O73" s="121"/>
      <c r="P73" s="28"/>
      <c r="Q73" s="28"/>
      <c r="R73" s="28"/>
      <c r="S73" s="28"/>
      <c r="T73" s="28"/>
      <c r="U73" s="28"/>
      <c r="V73" s="28"/>
      <c r="W73" s="28"/>
      <c r="X73" s="28"/>
      <c r="Y73" s="29"/>
      <c r="Z73" s="29"/>
      <c r="AA73" s="29"/>
      <c r="AB73" s="29"/>
      <c r="AC73" s="29"/>
      <c r="AD73" s="29"/>
      <c r="AE73" s="29"/>
      <c r="AF73" s="29"/>
      <c r="AG73" s="29"/>
    </row>
    <row r="74" spans="1:33" s="2" customFormat="1" ht="20.100000000000001" customHeight="1">
      <c r="A74" s="585" t="s">
        <v>115</v>
      </c>
      <c r="B74" s="586"/>
      <c r="C74" s="167">
        <v>2</v>
      </c>
      <c r="D74" s="168" t="s">
        <v>31</v>
      </c>
      <c r="E74" s="320">
        <f>'DECK TALLY'!B50</f>
        <v>45</v>
      </c>
      <c r="F74" s="368">
        <f>VLOOKUP(E74,'DECK TALLY'!$B$6:$C$316,2,FALSE)</f>
        <v>33.81</v>
      </c>
      <c r="G74" s="377">
        <f t="shared" si="4"/>
        <v>33.404499999999999</v>
      </c>
      <c r="H74" s="317" t="s">
        <v>29</v>
      </c>
      <c r="I74" s="183">
        <f t="shared" si="6"/>
        <v>1618.2749999999999</v>
      </c>
      <c r="J74" s="368">
        <f t="shared" si="1"/>
        <v>19736.724999999999</v>
      </c>
      <c r="K74" s="502"/>
      <c r="L74" s="145"/>
      <c r="M74" s="621"/>
      <c r="N74" s="622"/>
      <c r="P74" s="28"/>
      <c r="Q74" s="28"/>
      <c r="R74" s="28"/>
      <c r="S74" s="28"/>
      <c r="T74" s="28"/>
      <c r="U74" s="28"/>
      <c r="V74" s="28"/>
      <c r="W74" s="28"/>
      <c r="X74" s="28"/>
      <c r="Y74" s="29"/>
      <c r="Z74" s="29"/>
      <c r="AA74" s="29"/>
      <c r="AB74" s="29"/>
      <c r="AC74" s="29"/>
      <c r="AD74" s="29"/>
      <c r="AE74" s="29"/>
      <c r="AF74" s="29"/>
      <c r="AG74" s="29"/>
    </row>
    <row r="75" spans="1:33" s="2" customFormat="1" ht="20.100000000000001" customHeight="1">
      <c r="A75" s="585" t="s">
        <v>115</v>
      </c>
      <c r="B75" s="586"/>
      <c r="C75" s="122">
        <v>2</v>
      </c>
      <c r="D75" s="123" t="s">
        <v>31</v>
      </c>
      <c r="E75" s="320">
        <f>'DECK TALLY'!B51</f>
        <v>46</v>
      </c>
      <c r="F75" s="368">
        <f>VLOOKUP(E75,'DECK TALLY'!$B$6:$C$316,2,FALSE)</f>
        <v>33.57</v>
      </c>
      <c r="G75" s="377">
        <f t="shared" si="4"/>
        <v>33.164500000000004</v>
      </c>
      <c r="H75" s="130" t="s">
        <v>29</v>
      </c>
      <c r="I75" s="183">
        <f t="shared" si="6"/>
        <v>1651.4395</v>
      </c>
      <c r="J75" s="368">
        <f t="shared" si="1"/>
        <v>19703.5605</v>
      </c>
      <c r="K75" s="502"/>
      <c r="L75" s="145"/>
      <c r="M75" s="621"/>
      <c r="N75" s="622"/>
      <c r="P75" s="28"/>
      <c r="Q75" s="28"/>
      <c r="R75" s="28"/>
      <c r="S75" s="28"/>
      <c r="T75" s="28"/>
      <c r="U75" s="28"/>
      <c r="V75" s="28"/>
      <c r="W75" s="28"/>
      <c r="X75" s="28"/>
      <c r="Y75" s="29"/>
      <c r="Z75" s="29"/>
      <c r="AA75" s="29"/>
      <c r="AB75" s="29"/>
      <c r="AC75" s="29"/>
      <c r="AD75" s="29"/>
      <c r="AE75" s="29"/>
      <c r="AF75" s="29"/>
      <c r="AG75" s="29"/>
    </row>
    <row r="76" spans="1:33" s="2" customFormat="1" ht="20.100000000000001" customHeight="1">
      <c r="A76" s="585" t="s">
        <v>115</v>
      </c>
      <c r="B76" s="586"/>
      <c r="C76" s="167">
        <v>2</v>
      </c>
      <c r="D76" s="168" t="s">
        <v>31</v>
      </c>
      <c r="E76" s="320">
        <f>'DECK TALLY'!B52</f>
        <v>47</v>
      </c>
      <c r="F76" s="368">
        <f>VLOOKUP(E76,'DECK TALLY'!$B$6:$C$316,2,FALSE)</f>
        <v>33.93</v>
      </c>
      <c r="G76" s="377">
        <f t="shared" si="4"/>
        <v>33.524500000000003</v>
      </c>
      <c r="H76" s="317" t="s">
        <v>29</v>
      </c>
      <c r="I76" s="183">
        <f t="shared" si="6"/>
        <v>1684.9639999999999</v>
      </c>
      <c r="J76" s="368">
        <f t="shared" si="1"/>
        <v>19670.036</v>
      </c>
      <c r="K76" s="502"/>
      <c r="L76" s="145"/>
      <c r="M76" s="621"/>
      <c r="N76" s="622"/>
      <c r="P76" s="28"/>
      <c r="Q76" s="28"/>
      <c r="R76" s="28"/>
      <c r="S76" s="28"/>
      <c r="T76" s="28"/>
      <c r="U76" s="28"/>
      <c r="V76" s="28"/>
      <c r="W76" s="28"/>
      <c r="X76" s="28"/>
      <c r="Y76" s="29"/>
      <c r="Z76" s="29"/>
      <c r="AA76" s="29"/>
      <c r="AB76" s="29"/>
      <c r="AC76" s="29"/>
      <c r="AD76" s="29"/>
      <c r="AE76" s="29"/>
      <c r="AF76" s="29"/>
      <c r="AG76" s="29"/>
    </row>
    <row r="77" spans="1:33" s="2" customFormat="1" ht="20.100000000000001" customHeight="1">
      <c r="A77" s="585" t="s">
        <v>115</v>
      </c>
      <c r="B77" s="586"/>
      <c r="C77" s="122">
        <v>2</v>
      </c>
      <c r="D77" s="123" t="s">
        <v>31</v>
      </c>
      <c r="E77" s="320">
        <f>'DECK TALLY'!B53</f>
        <v>48</v>
      </c>
      <c r="F77" s="376">
        <f>VLOOKUP(E77,'DECK TALLY'!$B$6:$C$316,2,FALSE)</f>
        <v>33.9</v>
      </c>
      <c r="G77" s="377">
        <f t="shared" si="4"/>
        <v>33.494500000000002</v>
      </c>
      <c r="H77" s="130" t="s">
        <v>29</v>
      </c>
      <c r="I77" s="183">
        <f t="shared" si="6"/>
        <v>1718.4585</v>
      </c>
      <c r="J77" s="368">
        <f t="shared" si="1"/>
        <v>19636.541499999999</v>
      </c>
      <c r="K77" s="502"/>
      <c r="L77" s="145"/>
      <c r="M77" s="621"/>
      <c r="N77" s="622"/>
      <c r="O77" s="29"/>
      <c r="P77" s="28"/>
      <c r="Q77" s="28"/>
      <c r="R77" s="28"/>
      <c r="S77" s="28"/>
      <c r="T77" s="28"/>
      <c r="U77" s="28"/>
      <c r="V77" s="28"/>
      <c r="W77" s="28"/>
      <c r="X77" s="28"/>
      <c r="Y77" s="29"/>
      <c r="Z77" s="29"/>
      <c r="AA77" s="29"/>
      <c r="AB77" s="29"/>
      <c r="AC77" s="29"/>
      <c r="AD77" s="29"/>
      <c r="AE77" s="29"/>
      <c r="AF77" s="29"/>
      <c r="AG77" s="29"/>
    </row>
    <row r="78" spans="1:33" s="2" customFormat="1" ht="20.100000000000001" customHeight="1">
      <c r="A78" s="585" t="s">
        <v>115</v>
      </c>
      <c r="B78" s="586"/>
      <c r="C78" s="122">
        <v>2</v>
      </c>
      <c r="D78" s="123" t="s">
        <v>31</v>
      </c>
      <c r="E78" s="320">
        <f>'DECK TALLY'!B54</f>
        <v>49</v>
      </c>
      <c r="F78" s="368">
        <f>VLOOKUP(E78,'DECK TALLY'!$B$6:$C$316,2,FALSE)</f>
        <v>33.659999999999997</v>
      </c>
      <c r="G78" s="377">
        <f t="shared" si="4"/>
        <v>33.254499999999993</v>
      </c>
      <c r="H78" s="130" t="s">
        <v>29</v>
      </c>
      <c r="I78" s="183">
        <f t="shared" si="6"/>
        <v>1751.713</v>
      </c>
      <c r="J78" s="368">
        <f t="shared" si="1"/>
        <v>19603.287</v>
      </c>
      <c r="K78" s="502"/>
      <c r="L78" s="145"/>
      <c r="M78" s="621"/>
      <c r="N78" s="622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9"/>
      <c r="Z78" s="29"/>
      <c r="AA78" s="29"/>
      <c r="AB78" s="29"/>
      <c r="AC78" s="29"/>
      <c r="AD78" s="29"/>
      <c r="AE78" s="29"/>
      <c r="AF78" s="29"/>
      <c r="AG78" s="29"/>
    </row>
    <row r="79" spans="1:33" s="2" customFormat="1" ht="20.100000000000001" customHeight="1">
      <c r="A79" s="585" t="s">
        <v>115</v>
      </c>
      <c r="B79" s="586"/>
      <c r="C79" s="122">
        <v>2</v>
      </c>
      <c r="D79" s="123" t="s">
        <v>31</v>
      </c>
      <c r="E79" s="320">
        <f>'DECK TALLY'!B55</f>
        <v>50</v>
      </c>
      <c r="F79" s="368">
        <f>VLOOKUP(E79,'DECK TALLY'!$B$6:$C$316,2,FALSE)</f>
        <v>33.9</v>
      </c>
      <c r="G79" s="377">
        <f t="shared" si="4"/>
        <v>33.494500000000002</v>
      </c>
      <c r="H79" s="130" t="s">
        <v>29</v>
      </c>
      <c r="I79" s="183">
        <f t="shared" si="6"/>
        <v>1785.2075</v>
      </c>
      <c r="J79" s="368">
        <f t="shared" si="1"/>
        <v>19569.7925</v>
      </c>
      <c r="K79" s="502"/>
      <c r="L79" s="145"/>
      <c r="M79" s="629"/>
      <c r="N79" s="630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9"/>
      <c r="Z79" s="29"/>
      <c r="AA79" s="29"/>
      <c r="AB79" s="29"/>
      <c r="AC79" s="29"/>
      <c r="AD79" s="29"/>
      <c r="AE79" s="29"/>
      <c r="AF79" s="29"/>
      <c r="AG79" s="29"/>
    </row>
    <row r="80" spans="1:33" s="2" customFormat="1" ht="20.100000000000001" customHeight="1">
      <c r="A80" s="585" t="s">
        <v>115</v>
      </c>
      <c r="B80" s="586"/>
      <c r="C80" s="122">
        <v>2</v>
      </c>
      <c r="D80" s="123" t="s">
        <v>31</v>
      </c>
      <c r="E80" s="320">
        <f>'DECK TALLY'!B56</f>
        <v>51</v>
      </c>
      <c r="F80" s="368">
        <f>VLOOKUP(E80,'DECK TALLY'!$B$6:$C$316,2,FALSE)</f>
        <v>33.94</v>
      </c>
      <c r="G80" s="377">
        <f t="shared" si="4"/>
        <v>33.534499999999994</v>
      </c>
      <c r="H80" s="130" t="s">
        <v>29</v>
      </c>
      <c r="I80" s="183">
        <f t="shared" si="6"/>
        <v>1818.742</v>
      </c>
      <c r="J80" s="368">
        <f t="shared" si="1"/>
        <v>19536.258000000002</v>
      </c>
      <c r="K80" s="502"/>
      <c r="L80" s="145"/>
      <c r="M80" s="629"/>
      <c r="N80" s="630"/>
      <c r="O80" s="143"/>
      <c r="P80" s="28"/>
      <c r="Q80" s="28"/>
      <c r="R80" s="28"/>
      <c r="S80" s="28"/>
      <c r="T80" s="28"/>
      <c r="U80" s="28"/>
      <c r="V80" s="28"/>
      <c r="W80" s="28"/>
      <c r="X80" s="28"/>
      <c r="Y80" s="29"/>
      <c r="Z80" s="29"/>
      <c r="AA80" s="29"/>
      <c r="AB80" s="29"/>
      <c r="AC80" s="29"/>
      <c r="AD80" s="29"/>
      <c r="AE80" s="29"/>
      <c r="AF80" s="29"/>
      <c r="AG80" s="29"/>
    </row>
    <row r="81" spans="1:33" s="2" customFormat="1" ht="20.100000000000001" customHeight="1">
      <c r="A81" s="585" t="s">
        <v>115</v>
      </c>
      <c r="B81" s="586"/>
      <c r="C81" s="122">
        <v>2</v>
      </c>
      <c r="D81" s="123" t="s">
        <v>31</v>
      </c>
      <c r="E81" s="320">
        <f>'DECK TALLY'!B57</f>
        <v>52</v>
      </c>
      <c r="F81" s="376">
        <f>VLOOKUP(E81,'DECK TALLY'!$B$6:$C$316,2,FALSE)</f>
        <v>33.51</v>
      </c>
      <c r="G81" s="377">
        <f t="shared" si="4"/>
        <v>33.104500000000002</v>
      </c>
      <c r="H81" s="130" t="s">
        <v>29</v>
      </c>
      <c r="I81" s="183">
        <f t="shared" si="6"/>
        <v>1851.8464999999999</v>
      </c>
      <c r="J81" s="368">
        <f t="shared" si="1"/>
        <v>19503.1535</v>
      </c>
      <c r="K81" s="502"/>
      <c r="L81" s="145"/>
      <c r="M81" s="629"/>
      <c r="N81" s="630"/>
      <c r="O81" s="143"/>
      <c r="P81" s="28"/>
      <c r="Q81" s="28"/>
      <c r="R81" s="28"/>
      <c r="S81" s="28"/>
      <c r="T81" s="28"/>
      <c r="U81" s="28"/>
      <c r="V81" s="28"/>
      <c r="W81" s="28"/>
      <c r="X81" s="28"/>
      <c r="Y81" s="29"/>
      <c r="Z81" s="29"/>
      <c r="AA81" s="29"/>
      <c r="AB81" s="29"/>
      <c r="AC81" s="29"/>
      <c r="AD81" s="29"/>
      <c r="AE81" s="29"/>
      <c r="AF81" s="29"/>
      <c r="AG81" s="29"/>
    </row>
    <row r="82" spans="1:33" s="2" customFormat="1" ht="20.100000000000001" customHeight="1">
      <c r="A82" s="585" t="s">
        <v>115</v>
      </c>
      <c r="B82" s="586"/>
      <c r="C82" s="122">
        <v>2</v>
      </c>
      <c r="D82" s="123" t="s">
        <v>31</v>
      </c>
      <c r="E82" s="320">
        <f>'DECK TALLY'!B58</f>
        <v>53</v>
      </c>
      <c r="F82" s="368">
        <f>VLOOKUP(E82,'DECK TALLY'!$B$6:$C$316,2,FALSE)</f>
        <v>33.94</v>
      </c>
      <c r="G82" s="377">
        <f t="shared" si="4"/>
        <v>33.534499999999994</v>
      </c>
      <c r="H82" s="130" t="s">
        <v>29</v>
      </c>
      <c r="I82" s="183">
        <f t="shared" si="6"/>
        <v>1885.3809999999999</v>
      </c>
      <c r="J82" s="368">
        <f t="shared" si="1"/>
        <v>19469.618999999999</v>
      </c>
      <c r="K82" s="502"/>
      <c r="L82" s="145"/>
      <c r="M82" s="629"/>
      <c r="N82" s="630"/>
      <c r="O82" s="143"/>
      <c r="P82" s="28"/>
      <c r="Q82" s="28"/>
      <c r="R82" s="28"/>
      <c r="S82" s="28"/>
      <c r="T82" s="28"/>
      <c r="U82" s="28"/>
      <c r="V82" s="28"/>
      <c r="W82" s="28"/>
      <c r="X82" s="28"/>
      <c r="Y82" s="29"/>
      <c r="Z82" s="29"/>
      <c r="AA82" s="29"/>
      <c r="AB82" s="29"/>
      <c r="AC82" s="29"/>
      <c r="AD82" s="29"/>
      <c r="AE82" s="29"/>
      <c r="AF82" s="29"/>
      <c r="AG82" s="29"/>
    </row>
    <row r="83" spans="1:33" s="2" customFormat="1" ht="20.100000000000001" customHeight="1">
      <c r="A83" s="585" t="s">
        <v>115</v>
      </c>
      <c r="B83" s="586"/>
      <c r="C83" s="122">
        <v>2</v>
      </c>
      <c r="D83" s="123" t="s">
        <v>31</v>
      </c>
      <c r="E83" s="320">
        <f>'DECK TALLY'!B59</f>
        <v>54</v>
      </c>
      <c r="F83" s="368">
        <f>VLOOKUP(E83,'DECK TALLY'!$B$6:$C$316,2,FALSE)</f>
        <v>33.9</v>
      </c>
      <c r="G83" s="377">
        <f t="shared" si="4"/>
        <v>33.494500000000002</v>
      </c>
      <c r="H83" s="130" t="s">
        <v>29</v>
      </c>
      <c r="I83" s="183">
        <f t="shared" si="6"/>
        <v>1918.8754999999999</v>
      </c>
      <c r="J83" s="368">
        <f t="shared" ref="J83:J146" si="7">IF(I83="","",$M$10-I83)</f>
        <v>19436.124500000002</v>
      </c>
      <c r="K83" s="502"/>
      <c r="L83" s="145"/>
      <c r="M83" s="629"/>
      <c r="N83" s="630"/>
      <c r="O83" s="143"/>
      <c r="P83" s="28"/>
      <c r="Q83" s="28"/>
      <c r="R83" s="28"/>
      <c r="S83" s="28"/>
      <c r="T83" s="28"/>
      <c r="U83" s="28"/>
      <c r="V83" s="28"/>
      <c r="W83" s="28"/>
      <c r="X83" s="28"/>
      <c r="Y83" s="29"/>
      <c r="Z83" s="29"/>
      <c r="AA83" s="29"/>
      <c r="AB83" s="29"/>
      <c r="AC83" s="29"/>
      <c r="AD83" s="29"/>
      <c r="AE83" s="29"/>
      <c r="AF83" s="29"/>
      <c r="AG83" s="29"/>
    </row>
    <row r="84" spans="1:33" s="2" customFormat="1" ht="20.100000000000001" customHeight="1">
      <c r="A84" s="585" t="s">
        <v>115</v>
      </c>
      <c r="B84" s="586"/>
      <c r="C84" s="122">
        <v>2</v>
      </c>
      <c r="D84" s="123" t="s">
        <v>31</v>
      </c>
      <c r="E84" s="320">
        <f>'DECK TALLY'!B60</f>
        <v>55</v>
      </c>
      <c r="F84" s="368">
        <f>VLOOKUP(E84,'DECK TALLY'!$B$6:$C$316,2,FALSE)</f>
        <v>32.380000000000003</v>
      </c>
      <c r="G84" s="377">
        <f t="shared" si="4"/>
        <v>31.974500000000003</v>
      </c>
      <c r="H84" s="130" t="s">
        <v>29</v>
      </c>
      <c r="I84" s="183">
        <f t="shared" si="6"/>
        <v>1950.85</v>
      </c>
      <c r="J84" s="368">
        <f t="shared" si="7"/>
        <v>19404.150000000001</v>
      </c>
      <c r="K84" s="502"/>
      <c r="L84" s="145"/>
      <c r="M84" s="629"/>
      <c r="N84" s="630"/>
      <c r="O84" s="143"/>
      <c r="P84" s="28"/>
      <c r="Q84" s="28"/>
      <c r="R84" s="28"/>
      <c r="S84" s="28"/>
      <c r="T84" s="28"/>
      <c r="U84" s="28"/>
      <c r="V84" s="28"/>
      <c r="W84" s="28"/>
      <c r="X84" s="28"/>
      <c r="Y84" s="29"/>
      <c r="Z84" s="29"/>
      <c r="AA84" s="29"/>
      <c r="AB84" s="29"/>
      <c r="AC84" s="29"/>
      <c r="AD84" s="29"/>
      <c r="AE84" s="29"/>
      <c r="AF84" s="29"/>
      <c r="AG84" s="29"/>
    </row>
    <row r="85" spans="1:33" s="2" customFormat="1" ht="20.100000000000001" customHeight="1">
      <c r="A85" s="585" t="s">
        <v>115</v>
      </c>
      <c r="B85" s="586"/>
      <c r="C85" s="122">
        <v>2</v>
      </c>
      <c r="D85" s="123" t="s">
        <v>31</v>
      </c>
      <c r="E85" s="320">
        <f>'DECK TALLY'!B61</f>
        <v>56</v>
      </c>
      <c r="F85" s="376">
        <f>VLOOKUP(E85,'DECK TALLY'!$B$6:$C$316,2,FALSE)</f>
        <v>32.54</v>
      </c>
      <c r="G85" s="377">
        <f t="shared" si="4"/>
        <v>32.134500000000003</v>
      </c>
      <c r="H85" s="130" t="s">
        <v>29</v>
      </c>
      <c r="I85" s="183">
        <f t="shared" si="6"/>
        <v>1982.9845</v>
      </c>
      <c r="J85" s="368">
        <f t="shared" si="7"/>
        <v>19372.015500000001</v>
      </c>
      <c r="K85" s="502"/>
      <c r="L85" s="145"/>
      <c r="M85" s="629"/>
      <c r="N85" s="630"/>
      <c r="O85" s="143"/>
      <c r="P85" s="28"/>
      <c r="Q85" s="28"/>
      <c r="R85" s="28"/>
      <c r="S85" s="28"/>
      <c r="T85" s="28"/>
      <c r="U85" s="28"/>
      <c r="V85" s="28"/>
      <c r="W85" s="28"/>
      <c r="X85" s="28"/>
      <c r="Y85" s="29"/>
      <c r="Z85" s="29"/>
      <c r="AA85" s="29"/>
      <c r="AB85" s="29"/>
      <c r="AC85" s="29"/>
      <c r="AD85" s="29"/>
      <c r="AE85" s="29"/>
      <c r="AF85" s="29"/>
      <c r="AG85" s="29"/>
    </row>
    <row r="86" spans="1:33" s="2" customFormat="1" ht="20.100000000000001" customHeight="1">
      <c r="A86" s="585" t="s">
        <v>115</v>
      </c>
      <c r="B86" s="586"/>
      <c r="C86" s="122">
        <v>2</v>
      </c>
      <c r="D86" s="123" t="s">
        <v>31</v>
      </c>
      <c r="E86" s="320">
        <f>'DECK TALLY'!B62</f>
        <v>57</v>
      </c>
      <c r="F86" s="368">
        <f>VLOOKUP(E86,'DECK TALLY'!$B$6:$C$316,2,FALSE)</f>
        <v>33.26</v>
      </c>
      <c r="G86" s="377">
        <f t="shared" si="4"/>
        <v>32.854500000000002</v>
      </c>
      <c r="H86" s="130" t="s">
        <v>29</v>
      </c>
      <c r="I86" s="183">
        <f t="shared" si="6"/>
        <v>2015.8389999999999</v>
      </c>
      <c r="J86" s="368">
        <f t="shared" si="7"/>
        <v>19339.161</v>
      </c>
      <c r="K86" s="502"/>
      <c r="L86" s="145"/>
      <c r="M86" s="629"/>
      <c r="N86" s="630"/>
      <c r="O86" s="143"/>
      <c r="P86" s="28"/>
      <c r="Q86" s="28"/>
      <c r="R86" s="28"/>
      <c r="S86" s="28"/>
      <c r="T86" s="28"/>
      <c r="U86" s="28"/>
      <c r="V86" s="28"/>
      <c r="W86" s="28"/>
      <c r="X86" s="28"/>
      <c r="Y86" s="29"/>
      <c r="Z86" s="29"/>
      <c r="AA86" s="29"/>
      <c r="AB86" s="29"/>
      <c r="AC86" s="29"/>
      <c r="AD86" s="29"/>
      <c r="AE86" s="29"/>
      <c r="AF86" s="29"/>
      <c r="AG86" s="29"/>
    </row>
    <row r="87" spans="1:33" s="2" customFormat="1" ht="20.100000000000001" customHeight="1">
      <c r="A87" s="585" t="s">
        <v>115</v>
      </c>
      <c r="B87" s="586"/>
      <c r="C87" s="122">
        <v>2</v>
      </c>
      <c r="D87" s="123" t="s">
        <v>31</v>
      </c>
      <c r="E87" s="320">
        <f>'DECK TALLY'!B63</f>
        <v>58</v>
      </c>
      <c r="F87" s="368">
        <f>VLOOKUP(E87,'DECK TALLY'!$B$6:$C$316,2,FALSE)</f>
        <v>32.08</v>
      </c>
      <c r="G87" s="377">
        <f t="shared" si="4"/>
        <v>31.674499999999998</v>
      </c>
      <c r="H87" s="130" t="s">
        <v>29</v>
      </c>
      <c r="I87" s="183">
        <f t="shared" si="6"/>
        <v>2047.5135</v>
      </c>
      <c r="J87" s="368">
        <f t="shared" si="7"/>
        <v>19307.486499999999</v>
      </c>
      <c r="K87" s="502"/>
      <c r="L87" s="145"/>
      <c r="M87" s="629"/>
      <c r="N87" s="630"/>
      <c r="O87" s="143"/>
      <c r="P87" s="28"/>
      <c r="Q87" s="28"/>
      <c r="R87" s="28"/>
      <c r="S87" s="28"/>
      <c r="T87" s="28"/>
      <c r="U87" s="28"/>
      <c r="V87" s="28"/>
      <c r="W87" s="28"/>
      <c r="X87" s="28"/>
      <c r="Y87" s="29"/>
      <c r="Z87" s="29"/>
      <c r="AA87" s="29"/>
      <c r="AB87" s="29"/>
      <c r="AC87" s="29"/>
      <c r="AD87" s="29"/>
      <c r="AE87" s="29"/>
      <c r="AF87" s="29"/>
      <c r="AG87" s="29"/>
    </row>
    <row r="88" spans="1:33" s="2" customFormat="1" ht="20.100000000000001" customHeight="1">
      <c r="A88" s="585" t="s">
        <v>115</v>
      </c>
      <c r="B88" s="586"/>
      <c r="C88" s="122">
        <v>2</v>
      </c>
      <c r="D88" s="123" t="s">
        <v>31</v>
      </c>
      <c r="E88" s="320">
        <f>'DECK TALLY'!B64</f>
        <v>59</v>
      </c>
      <c r="F88" s="368">
        <f>VLOOKUP(E88,'DECK TALLY'!$B$6:$C$316,2,FALSE)</f>
        <v>32.72</v>
      </c>
      <c r="G88" s="377">
        <f t="shared" si="4"/>
        <v>32.314499999999995</v>
      </c>
      <c r="H88" s="130" t="s">
        <v>29</v>
      </c>
      <c r="I88" s="183">
        <f t="shared" si="6"/>
        <v>2079.828</v>
      </c>
      <c r="J88" s="368">
        <f t="shared" si="7"/>
        <v>19275.171999999999</v>
      </c>
      <c r="K88" s="502"/>
      <c r="L88" s="145"/>
      <c r="M88" s="629"/>
      <c r="N88" s="630"/>
      <c r="O88" s="143"/>
      <c r="P88" s="28"/>
      <c r="Q88" s="28"/>
      <c r="R88" s="28"/>
      <c r="S88" s="28"/>
      <c r="T88" s="28"/>
      <c r="U88" s="28"/>
      <c r="V88" s="28"/>
      <c r="W88" s="28"/>
      <c r="X88" s="28"/>
      <c r="Y88" s="29"/>
      <c r="Z88" s="29"/>
      <c r="AA88" s="29"/>
      <c r="AB88" s="29"/>
      <c r="AC88" s="29"/>
      <c r="AD88" s="29"/>
      <c r="AE88" s="29"/>
      <c r="AF88" s="29"/>
      <c r="AG88" s="29"/>
    </row>
    <row r="89" spans="1:33" s="2" customFormat="1" ht="20.100000000000001" customHeight="1">
      <c r="A89" s="585" t="s">
        <v>115</v>
      </c>
      <c r="B89" s="586"/>
      <c r="C89" s="167">
        <v>2</v>
      </c>
      <c r="D89" s="168" t="s">
        <v>31</v>
      </c>
      <c r="E89" s="320">
        <f>'DECK TALLY'!B65</f>
        <v>60</v>
      </c>
      <c r="F89" s="376">
        <f>VLOOKUP(E89,'DECK TALLY'!$B$6:$C$316,2,FALSE)</f>
        <v>33.78</v>
      </c>
      <c r="G89" s="377">
        <f t="shared" si="4"/>
        <v>33.374499999999998</v>
      </c>
      <c r="H89" s="130" t="s">
        <v>29</v>
      </c>
      <c r="I89" s="183">
        <f t="shared" si="6"/>
        <v>2113.2024999999999</v>
      </c>
      <c r="J89" s="368">
        <f t="shared" si="7"/>
        <v>19241.797500000001</v>
      </c>
      <c r="K89" s="502"/>
      <c r="L89" s="145"/>
      <c r="M89" s="629"/>
      <c r="N89" s="630"/>
      <c r="O89" s="143"/>
      <c r="P89" s="28"/>
      <c r="Q89" s="28"/>
      <c r="R89" s="28"/>
      <c r="S89" s="28"/>
      <c r="T89" s="28"/>
      <c r="U89" s="28"/>
      <c r="V89" s="28"/>
      <c r="W89" s="28"/>
      <c r="X89" s="28"/>
      <c r="Y89" s="29"/>
      <c r="Z89" s="29"/>
      <c r="AA89" s="29"/>
      <c r="AB89" s="29"/>
      <c r="AC89" s="29"/>
      <c r="AD89" s="29"/>
      <c r="AE89" s="29"/>
      <c r="AF89" s="29"/>
      <c r="AG89" s="29"/>
    </row>
    <row r="90" spans="1:33" s="2" customFormat="1" ht="20.100000000000001" customHeight="1">
      <c r="A90" s="585" t="s">
        <v>115</v>
      </c>
      <c r="B90" s="586"/>
      <c r="C90" s="122">
        <v>2</v>
      </c>
      <c r="D90" s="123" t="s">
        <v>31</v>
      </c>
      <c r="E90" s="320">
        <f>'DECK TALLY'!B66</f>
        <v>61</v>
      </c>
      <c r="F90" s="368">
        <f>VLOOKUP(E90,'DECK TALLY'!$B$6:$C$316,2,FALSE)</f>
        <v>32.46</v>
      </c>
      <c r="G90" s="377">
        <f t="shared" si="4"/>
        <v>32.054500000000004</v>
      </c>
      <c r="H90" s="130" t="s">
        <v>29</v>
      </c>
      <c r="I90" s="183">
        <f t="shared" si="6"/>
        <v>2145.2570000000001</v>
      </c>
      <c r="J90" s="368">
        <f t="shared" si="7"/>
        <v>19209.742999999999</v>
      </c>
      <c r="K90" s="502"/>
      <c r="L90" s="145"/>
      <c r="M90" s="629"/>
      <c r="N90" s="630"/>
      <c r="O90" s="143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</row>
    <row r="91" spans="1:33" s="2" customFormat="1" ht="20.100000000000001" customHeight="1" thickBot="1">
      <c r="A91" s="585" t="s">
        <v>115</v>
      </c>
      <c r="B91" s="586"/>
      <c r="C91" s="122">
        <v>2</v>
      </c>
      <c r="D91" s="123" t="s">
        <v>31</v>
      </c>
      <c r="E91" s="320">
        <f>'DECK TALLY'!B67</f>
        <v>62</v>
      </c>
      <c r="F91" s="368">
        <f>VLOOKUP(E91,'DECK TALLY'!$B$6:$C$316,2,FALSE)</f>
        <v>33.130000000000003</v>
      </c>
      <c r="G91" s="377">
        <f t="shared" si="4"/>
        <v>32.724500000000006</v>
      </c>
      <c r="H91" s="130" t="s">
        <v>29</v>
      </c>
      <c r="I91" s="183">
        <f t="shared" si="6"/>
        <v>2177.9814999999999</v>
      </c>
      <c r="J91" s="368">
        <f t="shared" si="7"/>
        <v>19177.018499999998</v>
      </c>
      <c r="K91" s="502"/>
      <c r="L91" s="145"/>
      <c r="M91" s="629"/>
      <c r="N91" s="630"/>
      <c r="O91" s="143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</row>
    <row r="92" spans="1:33" s="2" customFormat="1" ht="20.100000000000001" customHeight="1">
      <c r="A92" s="585" t="s">
        <v>115</v>
      </c>
      <c r="B92" s="586"/>
      <c r="C92" s="122">
        <v>2</v>
      </c>
      <c r="D92" s="123" t="s">
        <v>31</v>
      </c>
      <c r="E92" s="320">
        <f>'DECK TALLY'!B68</f>
        <v>63</v>
      </c>
      <c r="F92" s="368">
        <f>VLOOKUP(E92,'DECK TALLY'!$B$6:$C$316,2,FALSE)</f>
        <v>33.97</v>
      </c>
      <c r="G92" s="377">
        <f t="shared" si="4"/>
        <v>33.564499999999995</v>
      </c>
      <c r="H92" s="130" t="s">
        <v>29</v>
      </c>
      <c r="I92" s="183">
        <f t="shared" si="6"/>
        <v>2211.5459999999998</v>
      </c>
      <c r="J92" s="368">
        <f t="shared" si="7"/>
        <v>19143.454000000002</v>
      </c>
      <c r="K92" s="502"/>
      <c r="L92" s="145"/>
      <c r="M92" s="605" t="s">
        <v>360</v>
      </c>
      <c r="N92" s="606"/>
      <c r="O92" s="579" t="s">
        <v>211</v>
      </c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</row>
    <row r="93" spans="1:33" s="2" customFormat="1" ht="20.100000000000001" customHeight="1">
      <c r="A93" s="585" t="s">
        <v>115</v>
      </c>
      <c r="B93" s="586"/>
      <c r="C93" s="122">
        <v>2</v>
      </c>
      <c r="D93" s="123" t="s">
        <v>31</v>
      </c>
      <c r="E93" s="320">
        <f>'DECK TALLY'!B69</f>
        <v>64</v>
      </c>
      <c r="F93" s="368">
        <f>VLOOKUP(E93,'DECK TALLY'!$B$6:$C$316,2,FALSE)</f>
        <v>33.57</v>
      </c>
      <c r="G93" s="377">
        <f t="shared" si="4"/>
        <v>33.164500000000004</v>
      </c>
      <c r="H93" s="130" t="s">
        <v>29</v>
      </c>
      <c r="I93" s="183">
        <f t="shared" si="6"/>
        <v>2244.7104999999997</v>
      </c>
      <c r="J93" s="368">
        <f t="shared" si="7"/>
        <v>19110.289499999999</v>
      </c>
      <c r="K93" s="502" t="s">
        <v>394</v>
      </c>
      <c r="L93" s="145"/>
      <c r="M93" s="583" t="s">
        <v>207</v>
      </c>
      <c r="N93" s="584"/>
      <c r="O93" s="580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</row>
    <row r="94" spans="1:33" s="2" customFormat="1" ht="20.100000000000001" customHeight="1">
      <c r="A94" s="581" t="s">
        <v>312</v>
      </c>
      <c r="B94" s="582"/>
      <c r="C94" s="316">
        <v>1</v>
      </c>
      <c r="D94" s="203" t="s">
        <v>31</v>
      </c>
      <c r="E94" s="318" t="str">
        <f>'DECK TALLY'!F8</f>
        <v>P 3</v>
      </c>
      <c r="F94" s="373">
        <f>'DECK TALLY'!G8</f>
        <v>20.22</v>
      </c>
      <c r="G94" s="373">
        <f t="shared" si="4"/>
        <v>19.814499999999999</v>
      </c>
      <c r="H94" s="180" t="s">
        <v>29</v>
      </c>
      <c r="I94" s="391">
        <f t="shared" si="6"/>
        <v>2264.5249999999996</v>
      </c>
      <c r="J94" s="373">
        <f t="shared" si="7"/>
        <v>19090.474999999999</v>
      </c>
      <c r="K94" s="503"/>
      <c r="L94" s="170"/>
      <c r="M94" s="204" t="s">
        <v>208</v>
      </c>
      <c r="N94" s="205">
        <f>SUM(J94-4)</f>
        <v>19086.474999999999</v>
      </c>
      <c r="O94" s="212">
        <v>19058</v>
      </c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</row>
    <row r="95" spans="1:33" s="2" customFormat="1" ht="20.100000000000001" customHeight="1">
      <c r="A95" s="585" t="s">
        <v>115</v>
      </c>
      <c r="B95" s="586"/>
      <c r="C95" s="122">
        <v>2</v>
      </c>
      <c r="D95" s="123" t="s">
        <v>31</v>
      </c>
      <c r="E95" s="320">
        <f>'DECK TALLY'!B70</f>
        <v>65</v>
      </c>
      <c r="F95" s="368">
        <f>VLOOKUP(E95,'DECK TALLY'!$B$6:$C$316,2,FALSE)</f>
        <v>33.96</v>
      </c>
      <c r="G95" s="368">
        <f>F95-($H$12/12)</f>
        <v>33.554500000000004</v>
      </c>
      <c r="H95" s="130" t="s">
        <v>29</v>
      </c>
      <c r="I95" s="183">
        <f t="shared" si="6"/>
        <v>2298.0794999999998</v>
      </c>
      <c r="J95" s="368">
        <f t="shared" si="7"/>
        <v>19056.9205</v>
      </c>
      <c r="K95" s="502" t="s">
        <v>395</v>
      </c>
      <c r="L95" s="145"/>
      <c r="M95" s="589" t="s">
        <v>334</v>
      </c>
      <c r="N95" s="590"/>
      <c r="O95" s="402">
        <f>N94-O94</f>
        <v>28.474999999998545</v>
      </c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</row>
    <row r="96" spans="1:33" s="2" customFormat="1" ht="20.100000000000001" customHeight="1" thickBot="1">
      <c r="A96" s="631" t="s">
        <v>115</v>
      </c>
      <c r="B96" s="632"/>
      <c r="C96" s="316">
        <v>1</v>
      </c>
      <c r="D96" s="176" t="s">
        <v>31</v>
      </c>
      <c r="E96" s="321">
        <f>'DECK TALLY'!B71</f>
        <v>66</v>
      </c>
      <c r="F96" s="375">
        <f>VLOOKUP(E96,'DECK TALLY'!$B$6:$C$316,2,FALSE)</f>
        <v>33.94</v>
      </c>
      <c r="G96" s="375">
        <f>F96-($H$12/12)</f>
        <v>33.534499999999994</v>
      </c>
      <c r="H96" s="392" t="s">
        <v>29</v>
      </c>
      <c r="I96" s="393">
        <f t="shared" si="6"/>
        <v>2331.614</v>
      </c>
      <c r="J96" s="375">
        <f t="shared" si="7"/>
        <v>19023.385999999999</v>
      </c>
      <c r="K96" s="504"/>
      <c r="L96" s="178"/>
      <c r="M96" s="623" t="s">
        <v>361</v>
      </c>
      <c r="N96" s="624"/>
      <c r="O96" s="251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</row>
    <row r="97" spans="1:33" s="2" customFormat="1" ht="20.100000000000001" customHeight="1">
      <c r="A97" s="585" t="s">
        <v>115</v>
      </c>
      <c r="B97" s="586"/>
      <c r="C97" s="122">
        <v>2</v>
      </c>
      <c r="D97" s="168" t="s">
        <v>31</v>
      </c>
      <c r="E97" s="320">
        <f>'DECK TALLY'!B72</f>
        <v>67</v>
      </c>
      <c r="F97" s="368">
        <f>VLOOKUP(E97,'DECK TALLY'!$B$6:$C$316,2,FALSE)</f>
        <v>33.94</v>
      </c>
      <c r="G97" s="368">
        <f>F97-($H$12/12)</f>
        <v>33.534499999999994</v>
      </c>
      <c r="H97" s="130" t="s">
        <v>29</v>
      </c>
      <c r="I97" s="183">
        <f t="shared" si="6"/>
        <v>2365.1485000000002</v>
      </c>
      <c r="J97" s="368">
        <f t="shared" si="7"/>
        <v>18989.851500000001</v>
      </c>
      <c r="K97" s="502"/>
      <c r="L97" s="145"/>
      <c r="M97" s="629"/>
      <c r="N97" s="630"/>
      <c r="O97" s="121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</row>
    <row r="98" spans="1:33" s="2" customFormat="1" ht="20.100000000000001" customHeight="1">
      <c r="A98" s="585" t="s">
        <v>115</v>
      </c>
      <c r="B98" s="586"/>
      <c r="C98" s="122">
        <v>2</v>
      </c>
      <c r="D98" s="168" t="s">
        <v>31</v>
      </c>
      <c r="E98" s="320">
        <f>'DECK TALLY'!B73</f>
        <v>68</v>
      </c>
      <c r="F98" s="368">
        <f>VLOOKUP(E98,'DECK TALLY'!$B$6:$C$316,2,FALSE)</f>
        <v>33.94</v>
      </c>
      <c r="G98" s="368">
        <f t="shared" ref="G98:G159" si="8">F98-($H$12/12)</f>
        <v>33.534499999999994</v>
      </c>
      <c r="H98" s="130" t="s">
        <v>29</v>
      </c>
      <c r="I98" s="183">
        <f t="shared" si="6"/>
        <v>2398.6830000000004</v>
      </c>
      <c r="J98" s="368">
        <f t="shared" si="7"/>
        <v>18956.316999999999</v>
      </c>
      <c r="K98" s="502"/>
      <c r="L98" s="145"/>
      <c r="M98" s="629"/>
      <c r="N98" s="630"/>
      <c r="O98" s="121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</row>
    <row r="99" spans="1:33" s="2" customFormat="1" ht="20.100000000000001" customHeight="1">
      <c r="A99" s="585" t="s">
        <v>115</v>
      </c>
      <c r="B99" s="586"/>
      <c r="C99" s="122">
        <v>2</v>
      </c>
      <c r="D99" s="123" t="s">
        <v>31</v>
      </c>
      <c r="E99" s="320">
        <f>'DECK TALLY'!B74</f>
        <v>69</v>
      </c>
      <c r="F99" s="368">
        <f>VLOOKUP(E99,'DECK TALLY'!$B$6:$C$316,2,FALSE)</f>
        <v>33.94</v>
      </c>
      <c r="G99" s="368">
        <f t="shared" si="8"/>
        <v>33.534499999999994</v>
      </c>
      <c r="H99" s="130" t="s">
        <v>29</v>
      </c>
      <c r="I99" s="183">
        <f t="shared" si="6"/>
        <v>2432.2175000000007</v>
      </c>
      <c r="J99" s="368">
        <f t="shared" si="7"/>
        <v>18922.782500000001</v>
      </c>
      <c r="K99" s="502"/>
      <c r="L99" s="145"/>
      <c r="M99" s="629"/>
      <c r="N99" s="630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</row>
    <row r="100" spans="1:33" s="2" customFormat="1" ht="20.100000000000001" customHeight="1">
      <c r="A100" s="585" t="s">
        <v>115</v>
      </c>
      <c r="B100" s="586"/>
      <c r="C100" s="122">
        <v>2</v>
      </c>
      <c r="D100" s="123" t="s">
        <v>31</v>
      </c>
      <c r="E100" s="320">
        <f>'DECK TALLY'!B75</f>
        <v>70</v>
      </c>
      <c r="F100" s="368">
        <f>VLOOKUP(E100,'DECK TALLY'!$B$6:$C$316,2,FALSE)</f>
        <v>33.76</v>
      </c>
      <c r="G100" s="368">
        <f t="shared" si="8"/>
        <v>33.354500000000002</v>
      </c>
      <c r="H100" s="130" t="s">
        <v>29</v>
      </c>
      <c r="I100" s="183">
        <f t="shared" si="6"/>
        <v>2465.5720000000006</v>
      </c>
      <c r="J100" s="368">
        <f t="shared" si="7"/>
        <v>18889.428</v>
      </c>
      <c r="K100" s="502"/>
      <c r="L100" s="145"/>
      <c r="M100" s="629"/>
      <c r="N100" s="630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</row>
    <row r="101" spans="1:33" s="2" customFormat="1" ht="20.100000000000001" customHeight="1">
      <c r="A101" s="585" t="s">
        <v>115</v>
      </c>
      <c r="B101" s="586"/>
      <c r="C101" s="122">
        <v>2</v>
      </c>
      <c r="D101" s="123" t="s">
        <v>31</v>
      </c>
      <c r="E101" s="320">
        <f>'DECK TALLY'!B76</f>
        <v>71</v>
      </c>
      <c r="F101" s="368">
        <f>VLOOKUP(E101,'DECK TALLY'!$B$6:$C$316,2,FALSE)</f>
        <v>33.57</v>
      </c>
      <c r="G101" s="368">
        <f t="shared" si="8"/>
        <v>33.164500000000004</v>
      </c>
      <c r="H101" s="131" t="s">
        <v>29</v>
      </c>
      <c r="I101" s="183">
        <f t="shared" si="6"/>
        <v>2498.7365000000004</v>
      </c>
      <c r="J101" s="368">
        <f t="shared" si="7"/>
        <v>18856.263500000001</v>
      </c>
      <c r="K101" s="502"/>
      <c r="L101" s="145"/>
      <c r="M101" s="629"/>
      <c r="N101" s="630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</row>
    <row r="102" spans="1:33" s="2" customFormat="1" ht="20.100000000000001" customHeight="1">
      <c r="A102" s="585" t="s">
        <v>115</v>
      </c>
      <c r="B102" s="586"/>
      <c r="C102" s="122">
        <v>2</v>
      </c>
      <c r="D102" s="123" t="s">
        <v>31</v>
      </c>
      <c r="E102" s="320">
        <f>'DECK TALLY'!B77</f>
        <v>72</v>
      </c>
      <c r="F102" s="368">
        <f>VLOOKUP(E102,'DECK TALLY'!$B$6:$C$316,2,FALSE)</f>
        <v>33.799999999999997</v>
      </c>
      <c r="G102" s="368">
        <f t="shared" si="8"/>
        <v>33.394499999999994</v>
      </c>
      <c r="H102" s="166" t="s">
        <v>29</v>
      </c>
      <c r="I102" s="183">
        <f t="shared" ref="I102:I108" si="9">IF(H102="IN",I101+G102,I101)</f>
        <v>2532.1310000000003</v>
      </c>
      <c r="J102" s="368">
        <f t="shared" si="7"/>
        <v>18822.868999999999</v>
      </c>
      <c r="K102" s="502"/>
      <c r="L102" s="145"/>
      <c r="M102" s="629"/>
      <c r="N102" s="630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</row>
    <row r="103" spans="1:33" s="2" customFormat="1" ht="20.100000000000001" customHeight="1">
      <c r="A103" s="585" t="s">
        <v>115</v>
      </c>
      <c r="B103" s="586"/>
      <c r="C103" s="122">
        <v>2</v>
      </c>
      <c r="D103" s="123" t="s">
        <v>31</v>
      </c>
      <c r="E103" s="320">
        <f>'DECK TALLY'!B78</f>
        <v>73</v>
      </c>
      <c r="F103" s="368">
        <f>VLOOKUP(E103,'DECK TALLY'!$B$6:$C$316,2,FALSE)</f>
        <v>33.58</v>
      </c>
      <c r="G103" s="368">
        <f t="shared" si="8"/>
        <v>33.174499999999995</v>
      </c>
      <c r="H103" s="166" t="s">
        <v>29</v>
      </c>
      <c r="I103" s="183">
        <f t="shared" si="9"/>
        <v>2565.3055000000004</v>
      </c>
      <c r="J103" s="368">
        <f t="shared" si="7"/>
        <v>18789.694499999998</v>
      </c>
      <c r="K103" s="502"/>
      <c r="L103" s="145"/>
      <c r="M103" s="629"/>
      <c r="N103" s="630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</row>
    <row r="104" spans="1:33" s="2" customFormat="1" ht="20.100000000000001" customHeight="1">
      <c r="A104" s="585" t="s">
        <v>115</v>
      </c>
      <c r="B104" s="586"/>
      <c r="C104" s="122">
        <v>2</v>
      </c>
      <c r="D104" s="123" t="s">
        <v>31</v>
      </c>
      <c r="E104" s="320">
        <f>'DECK TALLY'!B79</f>
        <v>74</v>
      </c>
      <c r="F104" s="368">
        <f>VLOOKUP(E104,'DECK TALLY'!$B$6:$C$316,2,FALSE)</f>
        <v>33.94</v>
      </c>
      <c r="G104" s="368">
        <f t="shared" si="8"/>
        <v>33.534499999999994</v>
      </c>
      <c r="H104" s="166" t="s">
        <v>29</v>
      </c>
      <c r="I104" s="183">
        <f t="shared" si="9"/>
        <v>2598.8400000000006</v>
      </c>
      <c r="J104" s="368">
        <f t="shared" si="7"/>
        <v>18756.16</v>
      </c>
      <c r="K104" s="502"/>
      <c r="L104" s="145"/>
      <c r="M104" s="629"/>
      <c r="N104" s="630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</row>
    <row r="105" spans="1:33" s="2" customFormat="1" ht="20.100000000000001" customHeight="1">
      <c r="A105" s="585" t="s">
        <v>115</v>
      </c>
      <c r="B105" s="586"/>
      <c r="C105" s="122">
        <v>2</v>
      </c>
      <c r="D105" s="123" t="s">
        <v>31</v>
      </c>
      <c r="E105" s="320">
        <f>'DECK TALLY'!B80</f>
        <v>75</v>
      </c>
      <c r="F105" s="368">
        <f>VLOOKUP(E105,'DECK TALLY'!$B$6:$C$316,2,FALSE)</f>
        <v>33.67</v>
      </c>
      <c r="G105" s="368">
        <f t="shared" si="8"/>
        <v>33.264499999999998</v>
      </c>
      <c r="H105" s="131" t="s">
        <v>29</v>
      </c>
      <c r="I105" s="183">
        <f t="shared" si="9"/>
        <v>2632.1045000000004</v>
      </c>
      <c r="J105" s="368">
        <f t="shared" si="7"/>
        <v>18722.895499999999</v>
      </c>
      <c r="K105" s="502"/>
      <c r="L105" s="145"/>
      <c r="M105" s="629"/>
      <c r="N105" s="630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</row>
    <row r="106" spans="1:33" s="2" customFormat="1" ht="20.100000000000001" customHeight="1">
      <c r="A106" s="585" t="s">
        <v>115</v>
      </c>
      <c r="B106" s="586"/>
      <c r="C106" s="122">
        <v>2</v>
      </c>
      <c r="D106" s="123" t="s">
        <v>31</v>
      </c>
      <c r="E106" s="320">
        <f>'DECK TALLY'!B81</f>
        <v>76</v>
      </c>
      <c r="F106" s="368">
        <f>VLOOKUP(E106,'DECK TALLY'!$B$6:$C$316,2,FALSE)</f>
        <v>33.5</v>
      </c>
      <c r="G106" s="368">
        <f t="shared" si="8"/>
        <v>33.094499999999996</v>
      </c>
      <c r="H106" s="131" t="s">
        <v>29</v>
      </c>
      <c r="I106" s="183">
        <f t="shared" si="9"/>
        <v>2665.1990000000005</v>
      </c>
      <c r="J106" s="368">
        <f t="shared" si="7"/>
        <v>18689.800999999999</v>
      </c>
      <c r="K106" s="502"/>
      <c r="L106" s="145"/>
      <c r="M106" s="629"/>
      <c r="N106" s="630"/>
      <c r="O106" s="121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</row>
    <row r="107" spans="1:33" s="2" customFormat="1" ht="20.100000000000001" customHeight="1">
      <c r="A107" s="585" t="s">
        <v>115</v>
      </c>
      <c r="B107" s="586"/>
      <c r="C107" s="122">
        <v>2</v>
      </c>
      <c r="D107" s="123" t="s">
        <v>31</v>
      </c>
      <c r="E107" s="320">
        <f>'DECK TALLY'!B82</f>
        <v>77</v>
      </c>
      <c r="F107" s="368">
        <f>VLOOKUP(E107,'DECK TALLY'!$B$6:$C$316,2,FALSE)</f>
        <v>33.94</v>
      </c>
      <c r="G107" s="368">
        <f t="shared" si="8"/>
        <v>33.534499999999994</v>
      </c>
      <c r="H107" s="131" t="s">
        <v>29</v>
      </c>
      <c r="I107" s="183">
        <f t="shared" si="9"/>
        <v>2698.7335000000007</v>
      </c>
      <c r="J107" s="368">
        <f t="shared" si="7"/>
        <v>18656.266499999998</v>
      </c>
      <c r="K107" s="502"/>
      <c r="L107" s="145"/>
      <c r="M107" s="629"/>
      <c r="N107" s="630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</row>
    <row r="108" spans="1:33" s="2" customFormat="1" ht="20.100000000000001" customHeight="1">
      <c r="A108" s="585" t="s">
        <v>115</v>
      </c>
      <c r="B108" s="586"/>
      <c r="C108" s="122">
        <v>2</v>
      </c>
      <c r="D108" s="123" t="s">
        <v>31</v>
      </c>
      <c r="E108" s="320">
        <f>'DECK TALLY'!B83</f>
        <v>78</v>
      </c>
      <c r="F108" s="368">
        <f>VLOOKUP(E108,'DECK TALLY'!$B$6:$C$316,2,FALSE)</f>
        <v>33.21</v>
      </c>
      <c r="G108" s="368">
        <f t="shared" si="8"/>
        <v>32.804500000000004</v>
      </c>
      <c r="H108" s="131" t="s">
        <v>29</v>
      </c>
      <c r="I108" s="183">
        <f t="shared" si="9"/>
        <v>2731.5380000000009</v>
      </c>
      <c r="J108" s="368">
        <f t="shared" si="7"/>
        <v>18623.462</v>
      </c>
      <c r="K108" s="502"/>
      <c r="L108" s="145"/>
      <c r="M108" s="629"/>
      <c r="N108" s="630"/>
      <c r="O108" s="121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</row>
    <row r="109" spans="1:33" s="2" customFormat="1" ht="20.100000000000001" customHeight="1">
      <c r="A109" s="585" t="s">
        <v>115</v>
      </c>
      <c r="B109" s="586"/>
      <c r="C109" s="122">
        <v>2</v>
      </c>
      <c r="D109" s="123" t="s">
        <v>31</v>
      </c>
      <c r="E109" s="320">
        <f>'DECK TALLY'!B84</f>
        <v>79</v>
      </c>
      <c r="F109" s="368">
        <f>VLOOKUP(E109,'DECK TALLY'!$B$6:$C$316,2,FALSE)</f>
        <v>33.94</v>
      </c>
      <c r="G109" s="368">
        <f t="shared" si="8"/>
        <v>33.534499999999994</v>
      </c>
      <c r="H109" s="131" t="s">
        <v>29</v>
      </c>
      <c r="I109" s="183">
        <f t="shared" ref="I109:I136" si="10">IF(H109="IN",I108+G109,I108)</f>
        <v>2765.0725000000011</v>
      </c>
      <c r="J109" s="368">
        <f t="shared" si="7"/>
        <v>18589.927499999998</v>
      </c>
      <c r="K109" s="502"/>
      <c r="L109" s="145"/>
      <c r="M109" s="629"/>
      <c r="N109" s="630"/>
      <c r="O109" s="142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</row>
    <row r="110" spans="1:33" s="2" customFormat="1" ht="20.100000000000001" customHeight="1">
      <c r="A110" s="585" t="s">
        <v>115</v>
      </c>
      <c r="B110" s="586"/>
      <c r="C110" s="122">
        <v>2</v>
      </c>
      <c r="D110" s="123" t="s">
        <v>31</v>
      </c>
      <c r="E110" s="320">
        <f>'DECK TALLY'!B85</f>
        <v>80</v>
      </c>
      <c r="F110" s="368">
        <f>VLOOKUP(E110,'DECK TALLY'!$B$6:$C$316,2,FALSE)</f>
        <v>33.94</v>
      </c>
      <c r="G110" s="368">
        <f t="shared" si="8"/>
        <v>33.534499999999994</v>
      </c>
      <c r="H110" s="131" t="s">
        <v>29</v>
      </c>
      <c r="I110" s="183">
        <f t="shared" si="10"/>
        <v>2798.6070000000013</v>
      </c>
      <c r="J110" s="368">
        <f t="shared" si="7"/>
        <v>18556.393</v>
      </c>
      <c r="K110" s="502"/>
      <c r="L110" s="145"/>
      <c r="M110" s="629"/>
      <c r="N110" s="630"/>
      <c r="O110" s="121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</row>
    <row r="111" spans="1:33" s="2" customFormat="1" ht="20.100000000000001" customHeight="1">
      <c r="A111" s="585" t="s">
        <v>115</v>
      </c>
      <c r="B111" s="586"/>
      <c r="C111" s="122">
        <v>2</v>
      </c>
      <c r="D111" s="123" t="s">
        <v>31</v>
      </c>
      <c r="E111" s="320">
        <f>'DECK TALLY'!B86</f>
        <v>81</v>
      </c>
      <c r="F111" s="368">
        <f>VLOOKUP(E111,'DECK TALLY'!$B$6:$C$316,2,FALSE)</f>
        <v>33.94</v>
      </c>
      <c r="G111" s="368">
        <f t="shared" si="8"/>
        <v>33.534499999999994</v>
      </c>
      <c r="H111" s="131" t="s">
        <v>29</v>
      </c>
      <c r="I111" s="183">
        <f t="shared" si="10"/>
        <v>2832.1415000000015</v>
      </c>
      <c r="J111" s="368">
        <f t="shared" si="7"/>
        <v>18522.858499999998</v>
      </c>
      <c r="K111" s="502"/>
      <c r="L111" s="145"/>
      <c r="M111" s="629"/>
      <c r="N111" s="630"/>
      <c r="O111" s="121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</row>
    <row r="112" spans="1:33" s="2" customFormat="1" ht="20.100000000000001" customHeight="1">
      <c r="A112" s="585" t="s">
        <v>115</v>
      </c>
      <c r="B112" s="586"/>
      <c r="C112" s="122">
        <v>2</v>
      </c>
      <c r="D112" s="123" t="s">
        <v>31</v>
      </c>
      <c r="E112" s="320">
        <f>'DECK TALLY'!B87</f>
        <v>82</v>
      </c>
      <c r="F112" s="368">
        <f>VLOOKUP(E112,'DECK TALLY'!$B$6:$C$316,2,FALSE)</f>
        <v>33.94</v>
      </c>
      <c r="G112" s="368">
        <f t="shared" si="8"/>
        <v>33.534499999999994</v>
      </c>
      <c r="H112" s="131" t="s">
        <v>29</v>
      </c>
      <c r="I112" s="183">
        <f t="shared" si="10"/>
        <v>2865.6760000000017</v>
      </c>
      <c r="J112" s="368">
        <f t="shared" si="7"/>
        <v>18489.323999999997</v>
      </c>
      <c r="K112" s="502"/>
      <c r="L112" s="145"/>
      <c r="M112" s="629"/>
      <c r="N112" s="630"/>
      <c r="O112" s="121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</row>
    <row r="113" spans="1:33" s="2" customFormat="1" ht="20.100000000000001" customHeight="1">
      <c r="A113" s="585" t="s">
        <v>115</v>
      </c>
      <c r="B113" s="586"/>
      <c r="C113" s="122">
        <v>2</v>
      </c>
      <c r="D113" s="123" t="s">
        <v>31</v>
      </c>
      <c r="E113" s="320">
        <f>'DECK TALLY'!B88</f>
        <v>83</v>
      </c>
      <c r="F113" s="368">
        <f>VLOOKUP(E113,'DECK TALLY'!$B$6:$C$316,2,FALSE)</f>
        <v>33.94</v>
      </c>
      <c r="G113" s="368">
        <f t="shared" si="8"/>
        <v>33.534499999999994</v>
      </c>
      <c r="H113" s="131" t="s">
        <v>29</v>
      </c>
      <c r="I113" s="183">
        <f t="shared" si="10"/>
        <v>2899.210500000002</v>
      </c>
      <c r="J113" s="368">
        <f t="shared" si="7"/>
        <v>18455.789499999999</v>
      </c>
      <c r="K113" s="502"/>
      <c r="L113" s="145"/>
      <c r="M113" s="629"/>
      <c r="N113" s="630"/>
      <c r="O113" s="121"/>
      <c r="P113" s="29" t="s">
        <v>299</v>
      </c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</row>
    <row r="114" spans="1:33" s="2" customFormat="1" ht="20.100000000000001" customHeight="1">
      <c r="A114" s="585" t="s">
        <v>115</v>
      </c>
      <c r="B114" s="586"/>
      <c r="C114" s="122">
        <v>2</v>
      </c>
      <c r="D114" s="123" t="s">
        <v>31</v>
      </c>
      <c r="E114" s="320">
        <f>'DECK TALLY'!B89</f>
        <v>84</v>
      </c>
      <c r="F114" s="368">
        <f>VLOOKUP(E114,'DECK TALLY'!$B$6:$C$316,2,FALSE)</f>
        <v>33.950000000000003</v>
      </c>
      <c r="G114" s="368">
        <f t="shared" si="8"/>
        <v>33.544499999999999</v>
      </c>
      <c r="H114" s="131" t="s">
        <v>29</v>
      </c>
      <c r="I114" s="183">
        <f t="shared" si="10"/>
        <v>2932.7550000000019</v>
      </c>
      <c r="J114" s="368">
        <f t="shared" si="7"/>
        <v>18422.244999999999</v>
      </c>
      <c r="K114" s="502"/>
      <c r="L114" s="145"/>
      <c r="M114" s="629"/>
      <c r="N114" s="630"/>
      <c r="O114" s="121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</row>
    <row r="115" spans="1:33" s="2" customFormat="1" ht="20.100000000000001" customHeight="1">
      <c r="A115" s="585" t="s">
        <v>115</v>
      </c>
      <c r="B115" s="586"/>
      <c r="C115" s="122">
        <v>2</v>
      </c>
      <c r="D115" s="123" t="s">
        <v>31</v>
      </c>
      <c r="E115" s="320">
        <f>'DECK TALLY'!B90</f>
        <v>85</v>
      </c>
      <c r="F115" s="368">
        <f>VLOOKUP(E115,'DECK TALLY'!$B$6:$C$316,2,FALSE)</f>
        <v>33.950000000000003</v>
      </c>
      <c r="G115" s="368">
        <f t="shared" si="8"/>
        <v>33.544499999999999</v>
      </c>
      <c r="H115" s="131" t="s">
        <v>29</v>
      </c>
      <c r="I115" s="183">
        <f t="shared" si="10"/>
        <v>2966.2995000000019</v>
      </c>
      <c r="J115" s="368">
        <f t="shared" si="7"/>
        <v>18388.700499999999</v>
      </c>
      <c r="K115" s="502"/>
      <c r="L115" s="145"/>
      <c r="M115" s="629"/>
      <c r="N115" s="630"/>
      <c r="O115" s="121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</row>
    <row r="116" spans="1:33" s="2" customFormat="1" ht="20.100000000000001" customHeight="1">
      <c r="A116" s="585" t="s">
        <v>115</v>
      </c>
      <c r="B116" s="586"/>
      <c r="C116" s="122">
        <v>2</v>
      </c>
      <c r="D116" s="123" t="s">
        <v>31</v>
      </c>
      <c r="E116" s="320">
        <f>'DECK TALLY'!B91</f>
        <v>86</v>
      </c>
      <c r="F116" s="368">
        <f>VLOOKUP(E116,'DECK TALLY'!$B$6:$C$316,2,FALSE)</f>
        <v>33.950000000000003</v>
      </c>
      <c r="G116" s="368">
        <f t="shared" si="8"/>
        <v>33.544499999999999</v>
      </c>
      <c r="H116" s="131" t="s">
        <v>29</v>
      </c>
      <c r="I116" s="183">
        <f t="shared" si="10"/>
        <v>2999.8440000000019</v>
      </c>
      <c r="J116" s="368">
        <f t="shared" si="7"/>
        <v>18355.155999999999</v>
      </c>
      <c r="K116" s="502"/>
      <c r="L116" s="145"/>
      <c r="M116" s="629"/>
      <c r="N116" s="630"/>
      <c r="O116" s="121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</row>
    <row r="117" spans="1:33" s="2" customFormat="1" ht="20.100000000000001" customHeight="1">
      <c r="A117" s="585" t="s">
        <v>115</v>
      </c>
      <c r="B117" s="586"/>
      <c r="C117" s="122">
        <v>2</v>
      </c>
      <c r="D117" s="123" t="s">
        <v>31</v>
      </c>
      <c r="E117" s="320">
        <f>'DECK TALLY'!B92</f>
        <v>87</v>
      </c>
      <c r="F117" s="368">
        <f>VLOOKUP(E117,'DECK TALLY'!$B$6:$C$316,2,FALSE)</f>
        <v>33.68</v>
      </c>
      <c r="G117" s="368">
        <f t="shared" si="8"/>
        <v>33.274500000000003</v>
      </c>
      <c r="H117" s="131" t="s">
        <v>29</v>
      </c>
      <c r="I117" s="183">
        <f t="shared" si="10"/>
        <v>3033.1185000000019</v>
      </c>
      <c r="J117" s="368">
        <f t="shared" si="7"/>
        <v>18321.8815</v>
      </c>
      <c r="K117" s="502"/>
      <c r="L117" s="145"/>
      <c r="M117" s="629"/>
      <c r="N117" s="630"/>
      <c r="O117" s="121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</row>
    <row r="118" spans="1:33" s="2" customFormat="1" ht="20.100000000000001" customHeight="1">
      <c r="A118" s="585" t="s">
        <v>115</v>
      </c>
      <c r="B118" s="586"/>
      <c r="C118" s="122">
        <v>2</v>
      </c>
      <c r="D118" s="123" t="s">
        <v>31</v>
      </c>
      <c r="E118" s="320">
        <f>'DECK TALLY'!B93</f>
        <v>88</v>
      </c>
      <c r="F118" s="368">
        <f>VLOOKUP(E118,'DECK TALLY'!$B$6:$C$316,2,FALSE)</f>
        <v>33.770000000000003</v>
      </c>
      <c r="G118" s="368">
        <f t="shared" si="8"/>
        <v>33.364500000000007</v>
      </c>
      <c r="H118" s="131" t="s">
        <v>29</v>
      </c>
      <c r="I118" s="183">
        <f t="shared" si="10"/>
        <v>3066.483000000002</v>
      </c>
      <c r="J118" s="368">
        <f t="shared" si="7"/>
        <v>18288.517</v>
      </c>
      <c r="K118" s="502"/>
      <c r="L118" s="145"/>
      <c r="M118" s="629"/>
      <c r="N118" s="630"/>
      <c r="O118" s="121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</row>
    <row r="119" spans="1:33" s="2" customFormat="1" ht="20.100000000000001" customHeight="1">
      <c r="A119" s="585" t="s">
        <v>115</v>
      </c>
      <c r="B119" s="586"/>
      <c r="C119" s="122">
        <v>2</v>
      </c>
      <c r="D119" s="123" t="s">
        <v>31</v>
      </c>
      <c r="E119" s="320">
        <f>'DECK TALLY'!B94</f>
        <v>89</v>
      </c>
      <c r="F119" s="368">
        <f>VLOOKUP(E119,'DECK TALLY'!$B$6:$C$316,2,FALSE)</f>
        <v>32.4</v>
      </c>
      <c r="G119" s="368">
        <f t="shared" si="8"/>
        <v>31.994499999999999</v>
      </c>
      <c r="H119" s="131" t="s">
        <v>29</v>
      </c>
      <c r="I119" s="183">
        <f t="shared" si="10"/>
        <v>3098.4775000000018</v>
      </c>
      <c r="J119" s="368">
        <f t="shared" si="7"/>
        <v>18256.522499999999</v>
      </c>
      <c r="K119" s="502"/>
      <c r="L119" s="145"/>
      <c r="M119" s="629"/>
      <c r="N119" s="630"/>
      <c r="O119" s="121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</row>
    <row r="120" spans="1:33" s="2" customFormat="1" ht="20.100000000000001" customHeight="1">
      <c r="A120" s="585" t="s">
        <v>115</v>
      </c>
      <c r="B120" s="586"/>
      <c r="C120" s="122">
        <v>2</v>
      </c>
      <c r="D120" s="123" t="s">
        <v>31</v>
      </c>
      <c r="E120" s="320">
        <f>'DECK TALLY'!B95</f>
        <v>90</v>
      </c>
      <c r="F120" s="368">
        <f>VLOOKUP(E120,'DECK TALLY'!$B$6:$C$316,2,FALSE)</f>
        <v>33.950000000000003</v>
      </c>
      <c r="G120" s="368">
        <f t="shared" si="8"/>
        <v>33.544499999999999</v>
      </c>
      <c r="H120" s="131" t="s">
        <v>29</v>
      </c>
      <c r="I120" s="183">
        <f t="shared" si="10"/>
        <v>3132.0220000000018</v>
      </c>
      <c r="J120" s="368">
        <f t="shared" si="7"/>
        <v>18222.977999999999</v>
      </c>
      <c r="K120" s="502"/>
      <c r="L120" s="145"/>
      <c r="M120" s="629"/>
      <c r="N120" s="630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</row>
    <row r="121" spans="1:33" s="2" customFormat="1" ht="20.100000000000001" customHeight="1">
      <c r="A121" s="585" t="s">
        <v>115</v>
      </c>
      <c r="B121" s="586"/>
      <c r="C121" s="122">
        <v>2</v>
      </c>
      <c r="D121" s="123" t="s">
        <v>31</v>
      </c>
      <c r="E121" s="320">
        <f>'DECK TALLY'!B96</f>
        <v>91</v>
      </c>
      <c r="F121" s="368">
        <f>VLOOKUP(E121,'DECK TALLY'!$B$6:$C$316,2,FALSE)</f>
        <v>33.81</v>
      </c>
      <c r="G121" s="368">
        <f t="shared" si="8"/>
        <v>33.404499999999999</v>
      </c>
      <c r="H121" s="131" t="s">
        <v>29</v>
      </c>
      <c r="I121" s="183">
        <f t="shared" si="10"/>
        <v>3165.4265000000019</v>
      </c>
      <c r="J121" s="368">
        <f t="shared" si="7"/>
        <v>18189.573499999999</v>
      </c>
      <c r="K121" s="502"/>
      <c r="L121" s="145"/>
      <c r="M121" s="629"/>
      <c r="N121" s="630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</row>
    <row r="122" spans="1:33" s="2" customFormat="1" ht="20.100000000000001" customHeight="1">
      <c r="A122" s="585" t="s">
        <v>115</v>
      </c>
      <c r="B122" s="586"/>
      <c r="C122" s="122">
        <v>2</v>
      </c>
      <c r="D122" s="123" t="s">
        <v>31</v>
      </c>
      <c r="E122" s="320">
        <f>'DECK TALLY'!B97</f>
        <v>92</v>
      </c>
      <c r="F122" s="368">
        <f>VLOOKUP(E122,'DECK TALLY'!$B$6:$C$316,2,FALSE)</f>
        <v>33.950000000000003</v>
      </c>
      <c r="G122" s="368">
        <f t="shared" si="8"/>
        <v>33.544499999999999</v>
      </c>
      <c r="H122" s="131" t="s">
        <v>29</v>
      </c>
      <c r="I122" s="183">
        <f t="shared" si="10"/>
        <v>3198.9710000000018</v>
      </c>
      <c r="J122" s="368">
        <f t="shared" si="7"/>
        <v>18156.028999999999</v>
      </c>
      <c r="K122" s="502"/>
      <c r="L122" s="145"/>
      <c r="M122" s="629"/>
      <c r="N122" s="630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</row>
    <row r="123" spans="1:33" s="2" customFormat="1" ht="20.100000000000001" customHeight="1">
      <c r="A123" s="585" t="s">
        <v>115</v>
      </c>
      <c r="B123" s="586"/>
      <c r="C123" s="122">
        <v>2</v>
      </c>
      <c r="D123" s="123" t="s">
        <v>31</v>
      </c>
      <c r="E123" s="320">
        <f>'DECK TALLY'!B98</f>
        <v>93</v>
      </c>
      <c r="F123" s="368">
        <f>VLOOKUP(E123,'DECK TALLY'!$B$6:$C$316,2,FALSE)</f>
        <v>33.96</v>
      </c>
      <c r="G123" s="368">
        <f t="shared" si="8"/>
        <v>33.554500000000004</v>
      </c>
      <c r="H123" s="131" t="s">
        <v>29</v>
      </c>
      <c r="I123" s="183">
        <f t="shared" si="10"/>
        <v>3232.525500000002</v>
      </c>
      <c r="J123" s="368">
        <f t="shared" si="7"/>
        <v>18122.474499999997</v>
      </c>
      <c r="K123" s="502"/>
      <c r="L123" s="145"/>
      <c r="M123" s="629"/>
      <c r="N123" s="630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</row>
    <row r="124" spans="1:33" s="2" customFormat="1" ht="20.100000000000001" customHeight="1">
      <c r="A124" s="585" t="s">
        <v>115</v>
      </c>
      <c r="B124" s="586"/>
      <c r="C124" s="122">
        <v>2</v>
      </c>
      <c r="D124" s="123" t="s">
        <v>31</v>
      </c>
      <c r="E124" s="320">
        <f>'DECK TALLY'!B99</f>
        <v>94</v>
      </c>
      <c r="F124" s="368">
        <f>VLOOKUP(E124,'DECK TALLY'!$B$6:$C$316,2,FALSE)</f>
        <v>33.340000000000003</v>
      </c>
      <c r="G124" s="368">
        <f t="shared" si="8"/>
        <v>32.9345</v>
      </c>
      <c r="H124" s="131" t="s">
        <v>29</v>
      </c>
      <c r="I124" s="183">
        <f t="shared" si="10"/>
        <v>3265.4600000000019</v>
      </c>
      <c r="J124" s="368">
        <f t="shared" si="7"/>
        <v>18089.539999999997</v>
      </c>
      <c r="K124" s="502"/>
      <c r="L124" s="145"/>
      <c r="M124" s="629"/>
      <c r="N124" s="630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</row>
    <row r="125" spans="1:33" s="2" customFormat="1" ht="20.100000000000001" customHeight="1">
      <c r="A125" s="585" t="s">
        <v>115</v>
      </c>
      <c r="B125" s="586"/>
      <c r="C125" s="122">
        <v>2</v>
      </c>
      <c r="D125" s="123" t="s">
        <v>31</v>
      </c>
      <c r="E125" s="320">
        <f>'DECK TALLY'!B100</f>
        <v>95</v>
      </c>
      <c r="F125" s="368">
        <f>VLOOKUP(E125,'DECK TALLY'!$B$6:$C$316,2,FALSE)</f>
        <v>33.950000000000003</v>
      </c>
      <c r="G125" s="368">
        <f t="shared" si="8"/>
        <v>33.544499999999999</v>
      </c>
      <c r="H125" s="131" t="s">
        <v>29</v>
      </c>
      <c r="I125" s="183">
        <f t="shared" si="10"/>
        <v>3299.0045000000018</v>
      </c>
      <c r="J125" s="368">
        <f t="shared" si="7"/>
        <v>18055.995499999997</v>
      </c>
      <c r="K125" s="502"/>
      <c r="L125" s="145"/>
      <c r="M125" s="629"/>
      <c r="N125" s="630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</row>
    <row r="126" spans="1:33" s="2" customFormat="1" ht="20.100000000000001" customHeight="1">
      <c r="A126" s="585" t="s">
        <v>115</v>
      </c>
      <c r="B126" s="586"/>
      <c r="C126" s="122">
        <v>2</v>
      </c>
      <c r="D126" s="123" t="s">
        <v>31</v>
      </c>
      <c r="E126" s="320">
        <f>'DECK TALLY'!B101</f>
        <v>96</v>
      </c>
      <c r="F126" s="368">
        <f>VLOOKUP(E126,'DECK TALLY'!$B$6:$C$316,2,FALSE)</f>
        <v>33.76</v>
      </c>
      <c r="G126" s="368">
        <f t="shared" si="8"/>
        <v>33.354500000000002</v>
      </c>
      <c r="H126" s="131" t="s">
        <v>29</v>
      </c>
      <c r="I126" s="183">
        <f t="shared" si="10"/>
        <v>3332.3590000000017</v>
      </c>
      <c r="J126" s="368">
        <f t="shared" si="7"/>
        <v>18022.641</v>
      </c>
      <c r="K126" s="502"/>
      <c r="L126" s="145"/>
      <c r="M126" s="629"/>
      <c r="N126" s="630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</row>
    <row r="127" spans="1:33" s="2" customFormat="1" ht="20.100000000000001" customHeight="1">
      <c r="A127" s="585" t="s">
        <v>115</v>
      </c>
      <c r="B127" s="586"/>
      <c r="C127" s="122">
        <v>2</v>
      </c>
      <c r="D127" s="123" t="s">
        <v>31</v>
      </c>
      <c r="E127" s="320">
        <f>'DECK TALLY'!B102</f>
        <v>97</v>
      </c>
      <c r="F127" s="368">
        <f>VLOOKUP(E127,'DECK TALLY'!$B$6:$C$316,2,FALSE)</f>
        <v>33.85</v>
      </c>
      <c r="G127" s="368">
        <f t="shared" si="8"/>
        <v>33.444500000000005</v>
      </c>
      <c r="H127" s="131" t="s">
        <v>29</v>
      </c>
      <c r="I127" s="183">
        <f t="shared" si="10"/>
        <v>3365.8035000000018</v>
      </c>
      <c r="J127" s="368">
        <f t="shared" si="7"/>
        <v>17989.196499999998</v>
      </c>
      <c r="K127" s="502"/>
      <c r="L127" s="145"/>
      <c r="M127" s="629"/>
      <c r="N127" s="630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</row>
    <row r="128" spans="1:33" s="2" customFormat="1" ht="20.100000000000001" customHeight="1">
      <c r="A128" s="585" t="s">
        <v>115</v>
      </c>
      <c r="B128" s="586"/>
      <c r="C128" s="122">
        <v>2</v>
      </c>
      <c r="D128" s="168" t="s">
        <v>31</v>
      </c>
      <c r="E128" s="320">
        <f>'DECK TALLY'!B103</f>
        <v>98</v>
      </c>
      <c r="F128" s="368">
        <f>VLOOKUP(E128,'DECK TALLY'!$B$6:$C$316,2,FALSE)</f>
        <v>33.729999999999997</v>
      </c>
      <c r="G128" s="368">
        <f t="shared" si="8"/>
        <v>33.3245</v>
      </c>
      <c r="H128" s="131" t="s">
        <v>29</v>
      </c>
      <c r="I128" s="183">
        <f t="shared" si="10"/>
        <v>3399.128000000002</v>
      </c>
      <c r="J128" s="368">
        <f t="shared" si="7"/>
        <v>17955.871999999999</v>
      </c>
      <c r="K128" s="502"/>
      <c r="L128" s="145"/>
      <c r="M128" s="629"/>
      <c r="N128" s="630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</row>
    <row r="129" spans="1:33" s="2" customFormat="1" ht="20.100000000000001" customHeight="1">
      <c r="A129" s="585" t="s">
        <v>115</v>
      </c>
      <c r="B129" s="586"/>
      <c r="C129" s="122">
        <v>2</v>
      </c>
      <c r="D129" s="168" t="s">
        <v>31</v>
      </c>
      <c r="E129" s="320">
        <f>'DECK TALLY'!B104</f>
        <v>99</v>
      </c>
      <c r="F129" s="368">
        <f>VLOOKUP(E129,'DECK TALLY'!$B$6:$C$316,2,FALSE)</f>
        <v>33.93</v>
      </c>
      <c r="G129" s="368">
        <f t="shared" si="8"/>
        <v>33.524500000000003</v>
      </c>
      <c r="H129" s="131" t="s">
        <v>29</v>
      </c>
      <c r="I129" s="183">
        <f t="shared" si="10"/>
        <v>3432.652500000002</v>
      </c>
      <c r="J129" s="368">
        <f t="shared" si="7"/>
        <v>17922.347499999996</v>
      </c>
      <c r="K129" s="502"/>
      <c r="L129" s="145"/>
      <c r="M129" s="629"/>
      <c r="N129" s="630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</row>
    <row r="130" spans="1:33" s="2" customFormat="1" ht="20.100000000000001" customHeight="1">
      <c r="A130" s="585" t="s">
        <v>115</v>
      </c>
      <c r="B130" s="586"/>
      <c r="C130" s="122">
        <v>2</v>
      </c>
      <c r="D130" s="123" t="s">
        <v>31</v>
      </c>
      <c r="E130" s="320">
        <f>'DECK TALLY'!B105</f>
        <v>100</v>
      </c>
      <c r="F130" s="376">
        <f>VLOOKUP(E130,'DECK TALLY'!$B$6:$C$316,2,FALSE)</f>
        <v>33.93</v>
      </c>
      <c r="G130" s="368">
        <f t="shared" si="8"/>
        <v>33.524500000000003</v>
      </c>
      <c r="H130" s="131" t="s">
        <v>29</v>
      </c>
      <c r="I130" s="183">
        <f t="shared" si="10"/>
        <v>3466.177000000002</v>
      </c>
      <c r="J130" s="368">
        <f t="shared" si="7"/>
        <v>17888.822999999997</v>
      </c>
      <c r="K130" s="502"/>
      <c r="L130" s="145"/>
      <c r="M130" s="629"/>
      <c r="N130" s="630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</row>
    <row r="131" spans="1:33" s="2" customFormat="1" ht="20.100000000000001" customHeight="1">
      <c r="A131" s="585" t="s">
        <v>115</v>
      </c>
      <c r="B131" s="586"/>
      <c r="C131" s="122">
        <v>2</v>
      </c>
      <c r="D131" s="123" t="s">
        <v>31</v>
      </c>
      <c r="E131" s="320">
        <f>'DECK TALLY'!B106</f>
        <v>101</v>
      </c>
      <c r="F131" s="376">
        <f>VLOOKUP(E131,'DECK TALLY'!$B$6:$C$316,2,FALSE)</f>
        <v>33.93</v>
      </c>
      <c r="G131" s="368">
        <f t="shared" si="8"/>
        <v>33.524500000000003</v>
      </c>
      <c r="H131" s="131" t="s">
        <v>29</v>
      </c>
      <c r="I131" s="183">
        <f t="shared" si="10"/>
        <v>3499.7015000000019</v>
      </c>
      <c r="J131" s="368">
        <f t="shared" si="7"/>
        <v>17855.298499999997</v>
      </c>
      <c r="K131" s="502"/>
      <c r="L131" s="145"/>
      <c r="M131" s="629"/>
      <c r="N131" s="630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</row>
    <row r="132" spans="1:33" s="2" customFormat="1" ht="20.100000000000001" customHeight="1">
      <c r="A132" s="585" t="s">
        <v>115</v>
      </c>
      <c r="B132" s="586"/>
      <c r="C132" s="122">
        <v>2</v>
      </c>
      <c r="D132" s="123" t="s">
        <v>31</v>
      </c>
      <c r="E132" s="320">
        <f>'DECK TALLY'!B107</f>
        <v>102</v>
      </c>
      <c r="F132" s="376">
        <f>VLOOKUP(E132,'DECK TALLY'!$B$6:$C$316,2,FALSE)</f>
        <v>33.369999999999997</v>
      </c>
      <c r="G132" s="368">
        <f t="shared" si="8"/>
        <v>32.964500000000001</v>
      </c>
      <c r="H132" s="131" t="s">
        <v>29</v>
      </c>
      <c r="I132" s="183">
        <f t="shared" si="10"/>
        <v>3532.666000000002</v>
      </c>
      <c r="J132" s="368">
        <f t="shared" si="7"/>
        <v>17822.333999999999</v>
      </c>
      <c r="K132" s="502"/>
      <c r="L132" s="145"/>
      <c r="M132" s="629"/>
      <c r="N132" s="630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</row>
    <row r="133" spans="1:33" s="2" customFormat="1" ht="20.100000000000001" customHeight="1">
      <c r="A133" s="585" t="s">
        <v>115</v>
      </c>
      <c r="B133" s="586"/>
      <c r="C133" s="122">
        <v>2</v>
      </c>
      <c r="D133" s="123" t="s">
        <v>31</v>
      </c>
      <c r="E133" s="320">
        <f>'DECK TALLY'!B108</f>
        <v>103</v>
      </c>
      <c r="F133" s="376">
        <f>VLOOKUP(E133,'DECK TALLY'!$B$6:$C$316,2,FALSE)</f>
        <v>33.96</v>
      </c>
      <c r="G133" s="368">
        <f t="shared" si="8"/>
        <v>33.554500000000004</v>
      </c>
      <c r="H133" s="131" t="s">
        <v>29</v>
      </c>
      <c r="I133" s="183">
        <f t="shared" si="10"/>
        <v>3566.2205000000022</v>
      </c>
      <c r="J133" s="368">
        <f t="shared" si="7"/>
        <v>17788.779499999997</v>
      </c>
      <c r="K133" s="502"/>
      <c r="L133" s="145"/>
      <c r="M133" s="629"/>
      <c r="N133" s="630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</row>
    <row r="134" spans="1:33" s="2" customFormat="1" ht="20.100000000000001" customHeight="1">
      <c r="A134" s="585" t="s">
        <v>115</v>
      </c>
      <c r="B134" s="586"/>
      <c r="C134" s="122">
        <v>2</v>
      </c>
      <c r="D134" s="123" t="s">
        <v>31</v>
      </c>
      <c r="E134" s="320">
        <f>'DECK TALLY'!B109</f>
        <v>104</v>
      </c>
      <c r="F134" s="376">
        <f>VLOOKUP(E134,'DECK TALLY'!$B$6:$C$316,2,FALSE)</f>
        <v>31.93</v>
      </c>
      <c r="G134" s="368">
        <f t="shared" si="8"/>
        <v>31.5245</v>
      </c>
      <c r="H134" s="131" t="s">
        <v>29</v>
      </c>
      <c r="I134" s="183">
        <f t="shared" si="10"/>
        <v>3597.7450000000022</v>
      </c>
      <c r="J134" s="368">
        <f t="shared" si="7"/>
        <v>17757.254999999997</v>
      </c>
      <c r="K134" s="502"/>
      <c r="L134" s="145"/>
      <c r="M134" s="629"/>
      <c r="N134" s="630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</row>
    <row r="135" spans="1:33" s="2" customFormat="1" ht="20.100000000000001" customHeight="1">
      <c r="A135" s="585" t="s">
        <v>115</v>
      </c>
      <c r="B135" s="586"/>
      <c r="C135" s="122">
        <v>2</v>
      </c>
      <c r="D135" s="123" t="s">
        <v>31</v>
      </c>
      <c r="E135" s="320">
        <f>'DECK TALLY'!B110</f>
        <v>105</v>
      </c>
      <c r="F135" s="376">
        <f>VLOOKUP(E135,'DECK TALLY'!$B$6:$C$316,2,FALSE)</f>
        <v>33.950000000000003</v>
      </c>
      <c r="G135" s="368">
        <f t="shared" si="8"/>
        <v>33.544499999999999</v>
      </c>
      <c r="H135" s="131" t="s">
        <v>29</v>
      </c>
      <c r="I135" s="183">
        <f t="shared" si="10"/>
        <v>3631.2895000000021</v>
      </c>
      <c r="J135" s="368">
        <f t="shared" si="7"/>
        <v>17723.710499999997</v>
      </c>
      <c r="K135" s="502"/>
      <c r="L135" s="145"/>
      <c r="M135" s="629"/>
      <c r="N135" s="630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</row>
    <row r="136" spans="1:33" s="2" customFormat="1" ht="20.100000000000001" customHeight="1">
      <c r="A136" s="585" t="s">
        <v>115</v>
      </c>
      <c r="B136" s="586"/>
      <c r="C136" s="122">
        <v>2</v>
      </c>
      <c r="D136" s="123" t="s">
        <v>31</v>
      </c>
      <c r="E136" s="320">
        <f>'DECK TALLY'!B111</f>
        <v>106</v>
      </c>
      <c r="F136" s="376">
        <f>VLOOKUP(E136,'DECK TALLY'!$B$6:$C$316,2,FALSE)</f>
        <v>33.96</v>
      </c>
      <c r="G136" s="368">
        <f t="shared" si="8"/>
        <v>33.554500000000004</v>
      </c>
      <c r="H136" s="131" t="s">
        <v>29</v>
      </c>
      <c r="I136" s="183">
        <f t="shared" si="10"/>
        <v>3664.8440000000023</v>
      </c>
      <c r="J136" s="368">
        <f t="shared" si="7"/>
        <v>17690.155999999999</v>
      </c>
      <c r="K136" s="502"/>
      <c r="L136" s="145"/>
      <c r="M136" s="629"/>
      <c r="N136" s="630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</row>
    <row r="137" spans="1:33" s="2" customFormat="1" ht="20.100000000000001" customHeight="1">
      <c r="A137" s="585" t="s">
        <v>115</v>
      </c>
      <c r="B137" s="586"/>
      <c r="C137" s="122">
        <v>2</v>
      </c>
      <c r="D137" s="123" t="s">
        <v>31</v>
      </c>
      <c r="E137" s="320">
        <f>'DECK TALLY'!B112</f>
        <v>107</v>
      </c>
      <c r="F137" s="376">
        <f>VLOOKUP(E137,'DECK TALLY'!$B$6:$C$316,2,FALSE)</f>
        <v>33.96</v>
      </c>
      <c r="G137" s="368">
        <f t="shared" si="8"/>
        <v>33.554500000000004</v>
      </c>
      <c r="H137" s="131" t="s">
        <v>29</v>
      </c>
      <c r="I137" s="183">
        <f t="shared" ref="I137:I146" si="11">IF(H137="IN",I136+G137,I136)</f>
        <v>3698.3985000000025</v>
      </c>
      <c r="J137" s="368">
        <f t="shared" si="7"/>
        <v>17656.601499999997</v>
      </c>
      <c r="K137" s="502"/>
      <c r="L137" s="145"/>
      <c r="M137" s="629"/>
      <c r="N137" s="630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</row>
    <row r="138" spans="1:33" s="2" customFormat="1" ht="20.100000000000001" customHeight="1">
      <c r="A138" s="585" t="s">
        <v>115</v>
      </c>
      <c r="B138" s="586"/>
      <c r="C138" s="122">
        <v>2</v>
      </c>
      <c r="D138" s="123" t="s">
        <v>31</v>
      </c>
      <c r="E138" s="320">
        <f>'DECK TALLY'!B113</f>
        <v>108</v>
      </c>
      <c r="F138" s="376">
        <f>VLOOKUP(E138,'DECK TALLY'!$B$6:$C$316,2,FALSE)</f>
        <v>33.96</v>
      </c>
      <c r="G138" s="368">
        <f t="shared" si="8"/>
        <v>33.554500000000004</v>
      </c>
      <c r="H138" s="131" t="s">
        <v>29</v>
      </c>
      <c r="I138" s="183">
        <f t="shared" si="11"/>
        <v>3731.9530000000027</v>
      </c>
      <c r="J138" s="368">
        <f t="shared" si="7"/>
        <v>17623.046999999999</v>
      </c>
      <c r="K138" s="502"/>
      <c r="L138" s="145"/>
      <c r="M138" s="629"/>
      <c r="N138" s="630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</row>
    <row r="139" spans="1:33" s="2" customFormat="1" ht="20.100000000000001" customHeight="1">
      <c r="A139" s="585" t="s">
        <v>115</v>
      </c>
      <c r="B139" s="586"/>
      <c r="C139" s="122">
        <v>2</v>
      </c>
      <c r="D139" s="123" t="s">
        <v>31</v>
      </c>
      <c r="E139" s="320">
        <f>'DECK TALLY'!B114</f>
        <v>109</v>
      </c>
      <c r="F139" s="376">
        <f>VLOOKUP(E139,'DECK TALLY'!$B$6:$C$316,2,FALSE)</f>
        <v>33.950000000000003</v>
      </c>
      <c r="G139" s="368">
        <f t="shared" si="8"/>
        <v>33.544499999999999</v>
      </c>
      <c r="H139" s="131" t="s">
        <v>29</v>
      </c>
      <c r="I139" s="183">
        <f t="shared" si="11"/>
        <v>3765.4975000000027</v>
      </c>
      <c r="J139" s="368">
        <f t="shared" si="7"/>
        <v>17589.502499999999</v>
      </c>
      <c r="K139" s="502"/>
      <c r="L139" s="145"/>
      <c r="M139" s="629"/>
      <c r="N139" s="630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</row>
    <row r="140" spans="1:33" s="2" customFormat="1" ht="20.100000000000001" customHeight="1">
      <c r="A140" s="585" t="s">
        <v>115</v>
      </c>
      <c r="B140" s="586"/>
      <c r="C140" s="122">
        <v>2</v>
      </c>
      <c r="D140" s="123" t="s">
        <v>31</v>
      </c>
      <c r="E140" s="320">
        <f>'DECK TALLY'!B115</f>
        <v>110</v>
      </c>
      <c r="F140" s="376">
        <f>VLOOKUP(E140,'DECK TALLY'!$B$6:$C$316,2,FALSE)</f>
        <v>33.96</v>
      </c>
      <c r="G140" s="368">
        <f t="shared" si="8"/>
        <v>33.554500000000004</v>
      </c>
      <c r="H140" s="131" t="s">
        <v>29</v>
      </c>
      <c r="I140" s="183">
        <f t="shared" si="11"/>
        <v>3799.0520000000029</v>
      </c>
      <c r="J140" s="368">
        <f t="shared" si="7"/>
        <v>17555.947999999997</v>
      </c>
      <c r="K140" s="502"/>
      <c r="L140" s="145"/>
      <c r="M140" s="629"/>
      <c r="N140" s="630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</row>
    <row r="141" spans="1:33" s="2" customFormat="1" ht="20.100000000000001" customHeight="1">
      <c r="A141" s="585" t="s">
        <v>115</v>
      </c>
      <c r="B141" s="586"/>
      <c r="C141" s="122">
        <v>2</v>
      </c>
      <c r="D141" s="123" t="s">
        <v>31</v>
      </c>
      <c r="E141" s="320">
        <f>'DECK TALLY'!B116</f>
        <v>111</v>
      </c>
      <c r="F141" s="376">
        <f>VLOOKUP(E141,'DECK TALLY'!$B$6:$C$316,2,FALSE)</f>
        <v>33.96</v>
      </c>
      <c r="G141" s="368">
        <f t="shared" si="8"/>
        <v>33.554500000000004</v>
      </c>
      <c r="H141" s="131" t="s">
        <v>29</v>
      </c>
      <c r="I141" s="183">
        <f t="shared" si="11"/>
        <v>3832.6065000000031</v>
      </c>
      <c r="J141" s="368">
        <f t="shared" si="7"/>
        <v>17522.393499999998</v>
      </c>
      <c r="K141" s="502"/>
      <c r="L141" s="145"/>
      <c r="M141" s="629"/>
      <c r="N141" s="630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</row>
    <row r="142" spans="1:33" s="2" customFormat="1" ht="20.100000000000001" customHeight="1">
      <c r="A142" s="585" t="s">
        <v>115</v>
      </c>
      <c r="B142" s="586"/>
      <c r="C142" s="122">
        <v>2</v>
      </c>
      <c r="D142" s="123" t="s">
        <v>31</v>
      </c>
      <c r="E142" s="320">
        <f>'DECK TALLY'!B117</f>
        <v>112</v>
      </c>
      <c r="F142" s="376">
        <f>VLOOKUP(E142,'DECK TALLY'!$B$6:$C$316,2,FALSE)</f>
        <v>33.909999999999997</v>
      </c>
      <c r="G142" s="368">
        <f t="shared" si="8"/>
        <v>33.504499999999993</v>
      </c>
      <c r="H142" s="131" t="s">
        <v>29</v>
      </c>
      <c r="I142" s="183">
        <f t="shared" si="11"/>
        <v>3866.1110000000031</v>
      </c>
      <c r="J142" s="368">
        <f t="shared" si="7"/>
        <v>17488.888999999996</v>
      </c>
      <c r="K142" s="502"/>
      <c r="L142" s="145"/>
      <c r="M142" s="629"/>
      <c r="N142" s="630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</row>
    <row r="143" spans="1:33" s="2" customFormat="1" ht="20.100000000000001" customHeight="1">
      <c r="A143" s="585" t="s">
        <v>115</v>
      </c>
      <c r="B143" s="586"/>
      <c r="C143" s="122">
        <v>2</v>
      </c>
      <c r="D143" s="123" t="s">
        <v>31</v>
      </c>
      <c r="E143" s="320">
        <f>'DECK TALLY'!B118</f>
        <v>113</v>
      </c>
      <c r="F143" s="376">
        <f>VLOOKUP(E143,'DECK TALLY'!$B$6:$C$316,2,FALSE)</f>
        <v>33.4</v>
      </c>
      <c r="G143" s="368">
        <f t="shared" si="8"/>
        <v>32.994500000000002</v>
      </c>
      <c r="H143" s="131" t="s">
        <v>29</v>
      </c>
      <c r="I143" s="183">
        <f t="shared" si="11"/>
        <v>3899.1055000000028</v>
      </c>
      <c r="J143" s="368">
        <f t="shared" si="7"/>
        <v>17455.894499999999</v>
      </c>
      <c r="K143" s="502"/>
      <c r="L143" s="145"/>
      <c r="M143" s="629"/>
      <c r="N143" s="630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</row>
    <row r="144" spans="1:33" s="2" customFormat="1" ht="20.100000000000001" customHeight="1">
      <c r="A144" s="585" t="s">
        <v>115</v>
      </c>
      <c r="B144" s="586"/>
      <c r="C144" s="122">
        <v>2</v>
      </c>
      <c r="D144" s="123" t="s">
        <v>31</v>
      </c>
      <c r="E144" s="320">
        <f>'DECK TALLY'!B119</f>
        <v>114</v>
      </c>
      <c r="F144" s="376">
        <f>VLOOKUP(E144,'DECK TALLY'!$B$6:$C$316,2,FALSE)</f>
        <v>33.96</v>
      </c>
      <c r="G144" s="368">
        <f t="shared" si="8"/>
        <v>33.554500000000004</v>
      </c>
      <c r="H144" s="131" t="s">
        <v>29</v>
      </c>
      <c r="I144" s="183">
        <f t="shared" si="11"/>
        <v>3932.660000000003</v>
      </c>
      <c r="J144" s="368">
        <f t="shared" si="7"/>
        <v>17422.339999999997</v>
      </c>
      <c r="K144" s="502"/>
      <c r="L144" s="145"/>
      <c r="M144" s="629"/>
      <c r="N144" s="630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</row>
    <row r="145" spans="1:33" s="2" customFormat="1" ht="20.100000000000001" customHeight="1">
      <c r="A145" s="585" t="s">
        <v>115</v>
      </c>
      <c r="B145" s="586"/>
      <c r="C145" s="122">
        <v>2</v>
      </c>
      <c r="D145" s="123" t="s">
        <v>31</v>
      </c>
      <c r="E145" s="320">
        <f>'DECK TALLY'!B120</f>
        <v>115</v>
      </c>
      <c r="F145" s="376">
        <f>VLOOKUP(E145,'DECK TALLY'!$B$6:$C$316,2,FALSE)</f>
        <v>33.96</v>
      </c>
      <c r="G145" s="368">
        <f t="shared" si="8"/>
        <v>33.554500000000004</v>
      </c>
      <c r="H145" s="131" t="s">
        <v>29</v>
      </c>
      <c r="I145" s="183">
        <f t="shared" si="11"/>
        <v>3966.2145000000032</v>
      </c>
      <c r="J145" s="368">
        <f t="shared" si="7"/>
        <v>17388.785499999998</v>
      </c>
      <c r="K145" s="502"/>
      <c r="L145" s="145"/>
      <c r="M145" s="629"/>
      <c r="N145" s="630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</row>
    <row r="146" spans="1:33" s="2" customFormat="1" ht="20.100000000000001" customHeight="1">
      <c r="A146" s="585" t="s">
        <v>115</v>
      </c>
      <c r="B146" s="586"/>
      <c r="C146" s="356">
        <v>2</v>
      </c>
      <c r="D146" s="357" t="s">
        <v>31</v>
      </c>
      <c r="E146" s="320">
        <f>'DECK TALLY'!B121</f>
        <v>116</v>
      </c>
      <c r="F146" s="378">
        <f>VLOOKUP(E146,'DECK TALLY'!$B$6:$C$316,2,FALSE)</f>
        <v>33.22</v>
      </c>
      <c r="G146" s="368">
        <f t="shared" si="8"/>
        <v>32.814499999999995</v>
      </c>
      <c r="H146" s="130" t="s">
        <v>29</v>
      </c>
      <c r="I146" s="246">
        <f t="shared" si="11"/>
        <v>3999.0290000000032</v>
      </c>
      <c r="J146" s="371">
        <f t="shared" si="7"/>
        <v>17355.970999999998</v>
      </c>
      <c r="K146" s="502"/>
      <c r="L146" s="145"/>
      <c r="M146" s="633"/>
      <c r="N146" s="634"/>
      <c r="O146" s="121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</row>
    <row r="147" spans="1:33" s="2" customFormat="1" ht="20.100000000000001" customHeight="1">
      <c r="A147" s="585" t="s">
        <v>115</v>
      </c>
      <c r="B147" s="586"/>
      <c r="C147" s="358">
        <v>2</v>
      </c>
      <c r="D147" s="359" t="s">
        <v>31</v>
      </c>
      <c r="E147" s="320">
        <f>'DECK TALLY'!B122</f>
        <v>117</v>
      </c>
      <c r="F147" s="376">
        <f>VLOOKUP(E147,'DECK TALLY'!$B$6:$C$316,2,FALSE)</f>
        <v>33.97</v>
      </c>
      <c r="G147" s="368">
        <f t="shared" si="8"/>
        <v>33.564499999999995</v>
      </c>
      <c r="H147" s="360" t="s">
        <v>29</v>
      </c>
      <c r="I147" s="246">
        <f t="shared" ref="I147:I211" si="12">IF(H147="IN",I146+G147,I146)</f>
        <v>4032.5935000000031</v>
      </c>
      <c r="J147" s="371">
        <f t="shared" ref="J147:J210" si="13">IF(I147="","",$M$10-I147)</f>
        <v>17322.406499999997</v>
      </c>
      <c r="K147" s="502"/>
      <c r="L147" s="145"/>
      <c r="M147" s="629"/>
      <c r="N147" s="630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</row>
    <row r="148" spans="1:33" s="2" customFormat="1" ht="20.100000000000001" customHeight="1">
      <c r="A148" s="585" t="s">
        <v>115</v>
      </c>
      <c r="B148" s="586"/>
      <c r="C148" s="122">
        <v>2</v>
      </c>
      <c r="D148" s="123" t="s">
        <v>31</v>
      </c>
      <c r="E148" s="320">
        <f>'DECK TALLY'!B123</f>
        <v>118</v>
      </c>
      <c r="F148" s="376">
        <f>VLOOKUP(E148,'DECK TALLY'!$B$6:$C$316,2,FALSE)</f>
        <v>33.96</v>
      </c>
      <c r="G148" s="368">
        <f t="shared" si="8"/>
        <v>33.554500000000004</v>
      </c>
      <c r="H148" s="131" t="s">
        <v>29</v>
      </c>
      <c r="I148" s="246">
        <f t="shared" si="12"/>
        <v>4066.1480000000033</v>
      </c>
      <c r="J148" s="371">
        <f t="shared" si="13"/>
        <v>17288.851999999995</v>
      </c>
      <c r="K148" s="502"/>
      <c r="L148" s="145"/>
      <c r="M148" s="633"/>
      <c r="N148" s="634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</row>
    <row r="149" spans="1:33" s="2" customFormat="1" ht="20.100000000000001" customHeight="1">
      <c r="A149" s="585" t="s">
        <v>115</v>
      </c>
      <c r="B149" s="586"/>
      <c r="C149" s="122">
        <v>2</v>
      </c>
      <c r="D149" s="123" t="s">
        <v>31</v>
      </c>
      <c r="E149" s="320">
        <f>'DECK TALLY'!B124</f>
        <v>119</v>
      </c>
      <c r="F149" s="376">
        <f>VLOOKUP(E149,'DECK TALLY'!$B$6:$C$316,2,FALSE)</f>
        <v>32.51</v>
      </c>
      <c r="G149" s="368">
        <f t="shared" si="8"/>
        <v>32.104500000000002</v>
      </c>
      <c r="H149" s="131" t="s">
        <v>29</v>
      </c>
      <c r="I149" s="246">
        <f t="shared" si="12"/>
        <v>4098.2525000000032</v>
      </c>
      <c r="J149" s="371">
        <f t="shared" si="13"/>
        <v>17256.747499999998</v>
      </c>
      <c r="K149" s="502"/>
      <c r="L149" s="145"/>
      <c r="M149" s="629"/>
      <c r="N149" s="630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</row>
    <row r="150" spans="1:33" s="2" customFormat="1" ht="20.100000000000001" customHeight="1">
      <c r="A150" s="585" t="s">
        <v>115</v>
      </c>
      <c r="B150" s="586"/>
      <c r="C150" s="122">
        <v>2</v>
      </c>
      <c r="D150" s="123" t="s">
        <v>31</v>
      </c>
      <c r="E150" s="320">
        <f>'DECK TALLY'!B125</f>
        <v>120</v>
      </c>
      <c r="F150" s="376">
        <f>VLOOKUP(E150,'DECK TALLY'!$B$6:$C$316,2,FALSE)</f>
        <v>33.94</v>
      </c>
      <c r="G150" s="368">
        <f t="shared" si="8"/>
        <v>33.534499999999994</v>
      </c>
      <c r="H150" s="131" t="s">
        <v>29</v>
      </c>
      <c r="I150" s="246">
        <f t="shared" si="12"/>
        <v>4131.787000000003</v>
      </c>
      <c r="J150" s="371">
        <f t="shared" si="13"/>
        <v>17223.212999999996</v>
      </c>
      <c r="K150" s="502"/>
      <c r="L150" s="145"/>
      <c r="M150" s="640"/>
      <c r="N150" s="641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</row>
    <row r="151" spans="1:33" s="2" customFormat="1" ht="20.100000000000001" customHeight="1">
      <c r="A151" s="585" t="s">
        <v>115</v>
      </c>
      <c r="B151" s="586"/>
      <c r="C151" s="122">
        <v>2</v>
      </c>
      <c r="D151" s="123" t="s">
        <v>31</v>
      </c>
      <c r="E151" s="320">
        <f>'DECK TALLY'!B126</f>
        <v>121</v>
      </c>
      <c r="F151" s="376">
        <f>VLOOKUP(E151,'DECK TALLY'!$B$6:$C$316,2,FALSE)</f>
        <v>32.44</v>
      </c>
      <c r="G151" s="368">
        <f t="shared" si="8"/>
        <v>32.034499999999994</v>
      </c>
      <c r="H151" s="131" t="s">
        <v>29</v>
      </c>
      <c r="I151" s="246">
        <f t="shared" si="12"/>
        <v>4163.8215000000027</v>
      </c>
      <c r="J151" s="371">
        <f t="shared" si="13"/>
        <v>17191.178499999998</v>
      </c>
      <c r="K151" s="502"/>
      <c r="L151" s="145"/>
      <c r="M151" s="633"/>
      <c r="N151" s="634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</row>
    <row r="152" spans="1:33" s="2" customFormat="1" ht="20.100000000000001" customHeight="1">
      <c r="A152" s="585" t="s">
        <v>115</v>
      </c>
      <c r="B152" s="586"/>
      <c r="C152" s="122">
        <v>2</v>
      </c>
      <c r="D152" s="123" t="s">
        <v>31</v>
      </c>
      <c r="E152" s="320">
        <f>'DECK TALLY'!B127</f>
        <v>122</v>
      </c>
      <c r="F152" s="376">
        <f>VLOOKUP(E152,'DECK TALLY'!$B$6:$C$316,2,FALSE)</f>
        <v>33.950000000000003</v>
      </c>
      <c r="G152" s="368">
        <f t="shared" si="8"/>
        <v>33.544499999999999</v>
      </c>
      <c r="H152" s="131" t="s">
        <v>29</v>
      </c>
      <c r="I152" s="246">
        <f t="shared" si="12"/>
        <v>4197.3660000000027</v>
      </c>
      <c r="J152" s="371">
        <f t="shared" si="13"/>
        <v>17157.633999999998</v>
      </c>
      <c r="K152" s="502"/>
      <c r="L152" s="145"/>
      <c r="M152" s="629"/>
      <c r="N152" s="630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</row>
    <row r="153" spans="1:33" s="2" customFormat="1" ht="20.100000000000001" customHeight="1">
      <c r="A153" s="585" t="s">
        <v>115</v>
      </c>
      <c r="B153" s="586"/>
      <c r="C153" s="122">
        <v>2</v>
      </c>
      <c r="D153" s="123" t="s">
        <v>31</v>
      </c>
      <c r="E153" s="320">
        <f>'DECK TALLY'!B128</f>
        <v>123</v>
      </c>
      <c r="F153" s="376">
        <f>VLOOKUP(E153,'DECK TALLY'!$B$6:$C$316,2,FALSE)</f>
        <v>33.950000000000003</v>
      </c>
      <c r="G153" s="368">
        <f t="shared" si="8"/>
        <v>33.544499999999999</v>
      </c>
      <c r="H153" s="131" t="s">
        <v>29</v>
      </c>
      <c r="I153" s="246">
        <f t="shared" si="12"/>
        <v>4230.9105000000027</v>
      </c>
      <c r="J153" s="371">
        <f t="shared" si="13"/>
        <v>17124.089499999998</v>
      </c>
      <c r="K153" s="502"/>
      <c r="L153" s="145"/>
      <c r="M153" s="629"/>
      <c r="N153" s="630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</row>
    <row r="154" spans="1:33" s="2" customFormat="1" ht="20.100000000000001" customHeight="1" thickBot="1">
      <c r="A154" s="585" t="s">
        <v>115</v>
      </c>
      <c r="B154" s="586"/>
      <c r="C154" s="122">
        <v>2</v>
      </c>
      <c r="D154" s="123" t="s">
        <v>31</v>
      </c>
      <c r="E154" s="320">
        <f>'DECK TALLY'!B129</f>
        <v>124</v>
      </c>
      <c r="F154" s="376">
        <f>VLOOKUP(E154,'DECK TALLY'!$B$6:$C$316,2,FALSE)</f>
        <v>33.950000000000003</v>
      </c>
      <c r="G154" s="368">
        <f t="shared" si="8"/>
        <v>33.544499999999999</v>
      </c>
      <c r="H154" s="131" t="s">
        <v>29</v>
      </c>
      <c r="I154" s="246">
        <f t="shared" si="12"/>
        <v>4264.4550000000027</v>
      </c>
      <c r="J154" s="371">
        <f t="shared" si="13"/>
        <v>17090.544999999998</v>
      </c>
      <c r="K154" s="502"/>
      <c r="L154" s="145"/>
      <c r="M154" s="623" t="s">
        <v>363</v>
      </c>
      <c r="N154" s="624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</row>
    <row r="155" spans="1:33" s="2" customFormat="1" ht="20.100000000000001" customHeight="1">
      <c r="A155" s="585" t="s">
        <v>115</v>
      </c>
      <c r="B155" s="586"/>
      <c r="C155" s="122">
        <v>2</v>
      </c>
      <c r="D155" s="168" t="s">
        <v>31</v>
      </c>
      <c r="E155" s="320">
        <f>'DECK TALLY'!B130</f>
        <v>125</v>
      </c>
      <c r="F155" s="376">
        <f>VLOOKUP(E155,'DECK TALLY'!$B$6:$C$316,2,FALSE)</f>
        <v>33.950000000000003</v>
      </c>
      <c r="G155" s="368">
        <f t="shared" si="8"/>
        <v>33.544499999999999</v>
      </c>
      <c r="H155" s="131" t="s">
        <v>29</v>
      </c>
      <c r="I155" s="246">
        <f t="shared" si="12"/>
        <v>4297.9995000000026</v>
      </c>
      <c r="J155" s="371">
        <f t="shared" si="13"/>
        <v>17057.000499999998</v>
      </c>
      <c r="K155" s="502"/>
      <c r="L155" s="145"/>
      <c r="M155" s="605" t="s">
        <v>362</v>
      </c>
      <c r="N155" s="606"/>
      <c r="O155" s="579" t="s">
        <v>211</v>
      </c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</row>
    <row r="156" spans="1:33" s="2" customFormat="1" ht="20.100000000000001" customHeight="1">
      <c r="A156" s="631" t="s">
        <v>115</v>
      </c>
      <c r="B156" s="632"/>
      <c r="C156" s="316">
        <v>1</v>
      </c>
      <c r="D156" s="176" t="s">
        <v>31</v>
      </c>
      <c r="E156" s="321">
        <f>'DECK TALLY'!B131</f>
        <v>126</v>
      </c>
      <c r="F156" s="374">
        <f>VLOOKUP(E156,'DECK TALLY'!$B$6:$C$316,2,FALSE)</f>
        <v>33.950000000000003</v>
      </c>
      <c r="G156" s="375">
        <f t="shared" si="8"/>
        <v>33.544499999999999</v>
      </c>
      <c r="H156" s="177" t="s">
        <v>29</v>
      </c>
      <c r="I156" s="243">
        <f t="shared" si="12"/>
        <v>4331.5440000000026</v>
      </c>
      <c r="J156" s="370">
        <f t="shared" si="13"/>
        <v>17023.455999999998</v>
      </c>
      <c r="K156" s="504"/>
      <c r="L156" s="178"/>
      <c r="M156" s="636" t="s">
        <v>335</v>
      </c>
      <c r="N156" s="637"/>
      <c r="O156" s="635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</row>
    <row r="157" spans="1:33" s="2" customFormat="1" ht="20.100000000000001" customHeight="1">
      <c r="A157" s="585" t="s">
        <v>115</v>
      </c>
      <c r="B157" s="586"/>
      <c r="C157" s="122">
        <v>2</v>
      </c>
      <c r="D157" s="123" t="s">
        <v>31</v>
      </c>
      <c r="E157" s="320">
        <f>'DECK TALLY'!B132</f>
        <v>127</v>
      </c>
      <c r="F157" s="376">
        <f>VLOOKUP(E157,'DECK TALLY'!$B$6:$C$316,2,FALSE)</f>
        <v>33.94</v>
      </c>
      <c r="G157" s="368">
        <f t="shared" si="8"/>
        <v>33.534499999999994</v>
      </c>
      <c r="H157" s="131" t="s">
        <v>29</v>
      </c>
      <c r="I157" s="246">
        <f t="shared" si="12"/>
        <v>4365.0785000000024</v>
      </c>
      <c r="J157" s="371">
        <f t="shared" si="13"/>
        <v>16989.921499999997</v>
      </c>
      <c r="K157" s="502"/>
      <c r="L157" s="145"/>
      <c r="M157" s="204" t="s">
        <v>208</v>
      </c>
      <c r="N157" s="205">
        <f>SUM(J156-4)</f>
        <v>17019.455999999998</v>
      </c>
      <c r="O157" s="212">
        <v>17029</v>
      </c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</row>
    <row r="158" spans="1:33" s="2" customFormat="1" ht="20.100000000000001" customHeight="1" thickBot="1">
      <c r="A158" s="581" t="s">
        <v>329</v>
      </c>
      <c r="B158" s="582"/>
      <c r="C158" s="316">
        <v>1</v>
      </c>
      <c r="D158" s="203" t="s">
        <v>31</v>
      </c>
      <c r="E158" s="318" t="str">
        <f>'DECK TALLY'!F6</f>
        <v>P 1</v>
      </c>
      <c r="F158" s="372">
        <f>'DECK TALLY'!G6</f>
        <v>10.220000000000001</v>
      </c>
      <c r="G158" s="373">
        <f t="shared" si="8"/>
        <v>9.8145000000000007</v>
      </c>
      <c r="H158" s="394" t="s">
        <v>29</v>
      </c>
      <c r="I158" s="242">
        <f t="shared" si="12"/>
        <v>4374.8930000000028</v>
      </c>
      <c r="J158" s="369">
        <f t="shared" si="13"/>
        <v>16980.106999999996</v>
      </c>
      <c r="K158" s="503"/>
      <c r="L158" s="170"/>
      <c r="M158" s="638" t="s">
        <v>232</v>
      </c>
      <c r="N158" s="639"/>
      <c r="O158" s="251">
        <f>SUM(N157-O157)</f>
        <v>-9.544000000001688</v>
      </c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</row>
    <row r="159" spans="1:33" s="2" customFormat="1" ht="20.100000000000001" customHeight="1">
      <c r="A159" s="585" t="s">
        <v>115</v>
      </c>
      <c r="B159" s="586"/>
      <c r="C159" s="122">
        <v>2</v>
      </c>
      <c r="D159" s="123" t="s">
        <v>31</v>
      </c>
      <c r="E159" s="320">
        <f>'DECK TALLY'!B133</f>
        <v>128</v>
      </c>
      <c r="F159" s="376">
        <f>VLOOKUP(E159,'DECK TALLY'!$B$6:$C$316,2,FALSE)</f>
        <v>33.94</v>
      </c>
      <c r="G159" s="368">
        <f t="shared" si="8"/>
        <v>33.534499999999994</v>
      </c>
      <c r="H159" s="131" t="s">
        <v>29</v>
      </c>
      <c r="I159" s="246">
        <f t="shared" si="12"/>
        <v>4408.4275000000025</v>
      </c>
      <c r="J159" s="371">
        <f t="shared" si="13"/>
        <v>16946.572499999998</v>
      </c>
      <c r="K159" s="502"/>
      <c r="L159" s="145"/>
      <c r="M159" s="644"/>
      <c r="N159" s="645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</row>
    <row r="160" spans="1:33" s="2" customFormat="1" ht="20.100000000000001" customHeight="1">
      <c r="A160" s="585" t="s">
        <v>115</v>
      </c>
      <c r="B160" s="586"/>
      <c r="C160" s="122">
        <v>2</v>
      </c>
      <c r="D160" s="123" t="s">
        <v>31</v>
      </c>
      <c r="E160" s="320">
        <f>'DECK TALLY'!B134</f>
        <v>129</v>
      </c>
      <c r="F160" s="376">
        <f>VLOOKUP(E160,'DECK TALLY'!$B$6:$C$316,2,FALSE)</f>
        <v>33.82</v>
      </c>
      <c r="G160" s="377">
        <f t="shared" ref="G160:G202" si="14">F160-($H$12/12)</f>
        <v>33.414500000000004</v>
      </c>
      <c r="H160" s="131" t="s">
        <v>29</v>
      </c>
      <c r="I160" s="246">
        <f t="shared" si="12"/>
        <v>4441.8420000000024</v>
      </c>
      <c r="J160" s="371">
        <f t="shared" si="13"/>
        <v>16913.157999999996</v>
      </c>
      <c r="K160" s="502"/>
      <c r="L160" s="145"/>
      <c r="M160" s="629"/>
      <c r="N160" s="630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</row>
    <row r="161" spans="1:33" s="2" customFormat="1" ht="20.100000000000001" customHeight="1">
      <c r="A161" s="585" t="s">
        <v>115</v>
      </c>
      <c r="B161" s="586"/>
      <c r="C161" s="122">
        <v>2</v>
      </c>
      <c r="D161" s="123" t="s">
        <v>31</v>
      </c>
      <c r="E161" s="320">
        <f>SUM('DECK TALLY'!B135)</f>
        <v>130</v>
      </c>
      <c r="F161" s="376">
        <f>VLOOKUP(E161,'DECK TALLY'!$B$6:$C$316,2,FALSE)</f>
        <v>32</v>
      </c>
      <c r="G161" s="377">
        <f t="shared" si="14"/>
        <v>31.5945</v>
      </c>
      <c r="H161" s="131" t="s">
        <v>29</v>
      </c>
      <c r="I161" s="246">
        <f t="shared" si="12"/>
        <v>4473.4365000000025</v>
      </c>
      <c r="J161" s="371">
        <f t="shared" si="13"/>
        <v>16881.563499999997</v>
      </c>
      <c r="K161" s="502"/>
      <c r="L161" s="145"/>
      <c r="M161" s="629"/>
      <c r="N161" s="630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</row>
    <row r="162" spans="1:33" s="2" customFormat="1" ht="20.100000000000001" customHeight="1">
      <c r="A162" s="585" t="s">
        <v>115</v>
      </c>
      <c r="B162" s="586"/>
      <c r="C162" s="122">
        <v>2</v>
      </c>
      <c r="D162" s="123" t="s">
        <v>31</v>
      </c>
      <c r="E162" s="320">
        <f>SUM('DECK TALLY'!B136)</f>
        <v>131</v>
      </c>
      <c r="F162" s="376">
        <f>VLOOKUP(E162,'DECK TALLY'!$B$6:$C$316,2,FALSE)</f>
        <v>33.96</v>
      </c>
      <c r="G162" s="377">
        <f t="shared" si="14"/>
        <v>33.554500000000004</v>
      </c>
      <c r="H162" s="131" t="s">
        <v>29</v>
      </c>
      <c r="I162" s="246">
        <f t="shared" si="12"/>
        <v>4506.9910000000027</v>
      </c>
      <c r="J162" s="371">
        <f t="shared" si="13"/>
        <v>16848.008999999998</v>
      </c>
      <c r="K162" s="502"/>
      <c r="L162" s="145"/>
      <c r="M162" s="629"/>
      <c r="N162" s="630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</row>
    <row r="163" spans="1:33" s="2" customFormat="1" ht="20.100000000000001" customHeight="1">
      <c r="A163" s="585" t="s">
        <v>115</v>
      </c>
      <c r="B163" s="586"/>
      <c r="C163" s="122">
        <v>2</v>
      </c>
      <c r="D163" s="123" t="s">
        <v>31</v>
      </c>
      <c r="E163" s="320">
        <f>'DECK TALLY'!B137</f>
        <v>132</v>
      </c>
      <c r="F163" s="376">
        <f>VLOOKUP(E163,'DECK TALLY'!$B$6:$C$316,2,FALSE)</f>
        <v>33.96</v>
      </c>
      <c r="G163" s="377">
        <f t="shared" si="14"/>
        <v>33.554500000000004</v>
      </c>
      <c r="H163" s="131" t="s">
        <v>29</v>
      </c>
      <c r="I163" s="246">
        <f t="shared" si="12"/>
        <v>4540.5455000000029</v>
      </c>
      <c r="J163" s="371">
        <f t="shared" si="13"/>
        <v>16814.454499999996</v>
      </c>
      <c r="K163" s="502"/>
      <c r="L163" s="145"/>
      <c r="M163" s="629"/>
      <c r="N163" s="630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</row>
    <row r="164" spans="1:33" s="2" customFormat="1" ht="20.100000000000001" customHeight="1">
      <c r="A164" s="585" t="s">
        <v>115</v>
      </c>
      <c r="B164" s="586"/>
      <c r="C164" s="122">
        <v>2</v>
      </c>
      <c r="D164" s="123" t="s">
        <v>31</v>
      </c>
      <c r="E164" s="320">
        <f>SUM('DECK TALLY'!B138)</f>
        <v>133</v>
      </c>
      <c r="F164" s="376">
        <f>VLOOKUP(E164,'DECK TALLY'!$B$6:$C$316,2,FALSE)</f>
        <v>33.96</v>
      </c>
      <c r="G164" s="377">
        <f t="shared" si="14"/>
        <v>33.554500000000004</v>
      </c>
      <c r="H164" s="131" t="s">
        <v>29</v>
      </c>
      <c r="I164" s="246">
        <f t="shared" si="12"/>
        <v>4574.1000000000031</v>
      </c>
      <c r="J164" s="371">
        <f t="shared" si="13"/>
        <v>16780.899999999998</v>
      </c>
      <c r="K164" s="502"/>
      <c r="L164" s="145"/>
      <c r="M164" s="629"/>
      <c r="N164" s="630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</row>
    <row r="165" spans="1:33" s="2" customFormat="1" ht="20.100000000000001" customHeight="1">
      <c r="A165" s="585" t="s">
        <v>115</v>
      </c>
      <c r="B165" s="586"/>
      <c r="C165" s="122">
        <v>2</v>
      </c>
      <c r="D165" s="123" t="s">
        <v>31</v>
      </c>
      <c r="E165" s="320">
        <f>SUM('DECK TALLY'!B139)</f>
        <v>134</v>
      </c>
      <c r="F165" s="376">
        <f>VLOOKUP(E165,'DECK TALLY'!$B$6:$C$316,2,FALSE)</f>
        <v>33.96</v>
      </c>
      <c r="G165" s="377">
        <f t="shared" si="14"/>
        <v>33.554500000000004</v>
      </c>
      <c r="H165" s="131" t="s">
        <v>29</v>
      </c>
      <c r="I165" s="246">
        <f t="shared" si="12"/>
        <v>4607.6545000000033</v>
      </c>
      <c r="J165" s="371">
        <f t="shared" si="13"/>
        <v>16747.345499999996</v>
      </c>
      <c r="K165" s="502"/>
      <c r="L165" s="145"/>
      <c r="M165" s="629"/>
      <c r="N165" s="630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</row>
    <row r="166" spans="1:33" s="2" customFormat="1" ht="20.100000000000001" customHeight="1">
      <c r="A166" s="642" t="s">
        <v>115</v>
      </c>
      <c r="B166" s="643"/>
      <c r="C166" s="122">
        <v>2</v>
      </c>
      <c r="D166" s="123" t="s">
        <v>31</v>
      </c>
      <c r="E166" s="320">
        <f>'DECK TALLY'!B140</f>
        <v>135</v>
      </c>
      <c r="F166" s="376">
        <f>VLOOKUP(E166,'DECK TALLY'!$B$6:$C$316,2,FALSE)</f>
        <v>33.950000000000003</v>
      </c>
      <c r="G166" s="377">
        <f t="shared" si="14"/>
        <v>33.544499999999999</v>
      </c>
      <c r="H166" s="131" t="s">
        <v>29</v>
      </c>
      <c r="I166" s="246">
        <f t="shared" si="12"/>
        <v>4641.1990000000033</v>
      </c>
      <c r="J166" s="371">
        <f t="shared" si="13"/>
        <v>16713.800999999996</v>
      </c>
      <c r="K166" s="502"/>
      <c r="L166" s="145"/>
      <c r="M166" s="629"/>
      <c r="N166" s="630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</row>
    <row r="167" spans="1:33" s="2" customFormat="1" ht="20.100000000000001" customHeight="1">
      <c r="A167" s="585" t="s">
        <v>115</v>
      </c>
      <c r="B167" s="586"/>
      <c r="C167" s="122">
        <v>2</v>
      </c>
      <c r="D167" s="168" t="s">
        <v>31</v>
      </c>
      <c r="E167" s="320">
        <f>SUM('DECK TALLY'!B141)</f>
        <v>136</v>
      </c>
      <c r="F167" s="376">
        <f>VLOOKUP(E167,'DECK TALLY'!$B$6:$C$316,2,FALSE)</f>
        <v>33.53</v>
      </c>
      <c r="G167" s="377">
        <f t="shared" si="14"/>
        <v>33.124499999999998</v>
      </c>
      <c r="H167" s="131" t="s">
        <v>29</v>
      </c>
      <c r="I167" s="246">
        <f t="shared" si="12"/>
        <v>4674.3235000000032</v>
      </c>
      <c r="J167" s="371">
        <f t="shared" si="13"/>
        <v>16680.676499999998</v>
      </c>
      <c r="K167" s="502"/>
      <c r="L167" s="145"/>
      <c r="M167" s="629"/>
      <c r="N167" s="630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</row>
    <row r="168" spans="1:33" s="2" customFormat="1" ht="20.100000000000001" customHeight="1">
      <c r="A168" s="585" t="s">
        <v>115</v>
      </c>
      <c r="B168" s="586"/>
      <c r="C168" s="122">
        <v>2</v>
      </c>
      <c r="D168" s="123" t="s">
        <v>31</v>
      </c>
      <c r="E168" s="320">
        <f>SUM('DECK TALLY'!B142)</f>
        <v>137</v>
      </c>
      <c r="F168" s="376">
        <f>VLOOKUP(E168,'DECK TALLY'!$B$6:$C$316,2,FALSE)</f>
        <v>33.96</v>
      </c>
      <c r="G168" s="377">
        <f t="shared" si="14"/>
        <v>33.554500000000004</v>
      </c>
      <c r="H168" s="131" t="s">
        <v>29</v>
      </c>
      <c r="I168" s="246">
        <f t="shared" si="12"/>
        <v>4707.8780000000033</v>
      </c>
      <c r="J168" s="371">
        <f t="shared" si="13"/>
        <v>16647.121999999996</v>
      </c>
      <c r="K168" s="502"/>
      <c r="L168" s="145"/>
      <c r="M168" s="629"/>
      <c r="N168" s="630"/>
      <c r="O168" s="29"/>
      <c r="P168" s="29"/>
      <c r="Q168" s="29"/>
      <c r="R168" s="29"/>
      <c r="S168" s="29"/>
      <c r="T168" s="353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</row>
    <row r="169" spans="1:33" s="2" customFormat="1" ht="20.100000000000001" customHeight="1">
      <c r="A169" s="585" t="s">
        <v>115</v>
      </c>
      <c r="B169" s="586"/>
      <c r="C169" s="122">
        <v>2</v>
      </c>
      <c r="D169" s="123" t="s">
        <v>31</v>
      </c>
      <c r="E169" s="320">
        <f>'DECK TALLY'!B143</f>
        <v>138</v>
      </c>
      <c r="F169" s="376">
        <f>VLOOKUP(E169,'DECK TALLY'!$B$6:$C$316,2,FALSE)</f>
        <v>33.96</v>
      </c>
      <c r="G169" s="377">
        <f t="shared" si="14"/>
        <v>33.554500000000004</v>
      </c>
      <c r="H169" s="131" t="s">
        <v>29</v>
      </c>
      <c r="I169" s="246">
        <f t="shared" si="12"/>
        <v>4741.4325000000035</v>
      </c>
      <c r="J169" s="371">
        <f t="shared" si="13"/>
        <v>16613.567499999997</v>
      </c>
      <c r="K169" s="502"/>
      <c r="L169" s="145"/>
      <c r="M169" s="629"/>
      <c r="N169" s="630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</row>
    <row r="170" spans="1:33" s="2" customFormat="1" ht="20.100000000000001" customHeight="1">
      <c r="A170" s="585" t="s">
        <v>115</v>
      </c>
      <c r="B170" s="586"/>
      <c r="C170" s="122">
        <v>2</v>
      </c>
      <c r="D170" s="123" t="s">
        <v>31</v>
      </c>
      <c r="E170" s="320">
        <f>SUM('DECK TALLY'!B144)</f>
        <v>139</v>
      </c>
      <c r="F170" s="376">
        <f>VLOOKUP(E170,'DECK TALLY'!$B$6:$C$316,2,FALSE)</f>
        <v>33.96</v>
      </c>
      <c r="G170" s="377">
        <f t="shared" si="14"/>
        <v>33.554500000000004</v>
      </c>
      <c r="H170" s="131" t="s">
        <v>29</v>
      </c>
      <c r="I170" s="246">
        <f t="shared" si="12"/>
        <v>4774.9870000000037</v>
      </c>
      <c r="J170" s="371">
        <f t="shared" si="13"/>
        <v>16580.012999999995</v>
      </c>
      <c r="K170" s="502"/>
      <c r="L170" s="145"/>
      <c r="M170" s="629"/>
      <c r="N170" s="630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</row>
    <row r="171" spans="1:33" s="2" customFormat="1" ht="20.100000000000001" customHeight="1">
      <c r="A171" s="585" t="s">
        <v>115</v>
      </c>
      <c r="B171" s="586"/>
      <c r="C171" s="122">
        <v>2</v>
      </c>
      <c r="D171" s="123" t="s">
        <v>31</v>
      </c>
      <c r="E171" s="320">
        <f>SUM('DECK TALLY'!B145)</f>
        <v>140</v>
      </c>
      <c r="F171" s="376">
        <f>VLOOKUP(E171,'DECK TALLY'!$B$6:$C$316,2,FALSE)</f>
        <v>33.96</v>
      </c>
      <c r="G171" s="377">
        <f t="shared" si="14"/>
        <v>33.554500000000004</v>
      </c>
      <c r="H171" s="131" t="s">
        <v>29</v>
      </c>
      <c r="I171" s="246">
        <f t="shared" si="12"/>
        <v>4808.5415000000039</v>
      </c>
      <c r="J171" s="371">
        <f t="shared" si="13"/>
        <v>16546.458499999997</v>
      </c>
      <c r="K171" s="502"/>
      <c r="L171" s="145"/>
      <c r="M171" s="629"/>
      <c r="N171" s="630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</row>
    <row r="172" spans="1:33" s="2" customFormat="1" ht="20.100000000000001" customHeight="1">
      <c r="A172" s="585" t="s">
        <v>115</v>
      </c>
      <c r="B172" s="586"/>
      <c r="C172" s="122">
        <v>2</v>
      </c>
      <c r="D172" s="123" t="s">
        <v>31</v>
      </c>
      <c r="E172" s="320">
        <f>'DECK TALLY'!B146</f>
        <v>141</v>
      </c>
      <c r="F172" s="376">
        <f>VLOOKUP(E172,'DECK TALLY'!$B$6:$C$316,2,FALSE)</f>
        <v>33.56</v>
      </c>
      <c r="G172" s="377">
        <f t="shared" si="14"/>
        <v>33.154499999999999</v>
      </c>
      <c r="H172" s="131" t="s">
        <v>29</v>
      </c>
      <c r="I172" s="246">
        <f t="shared" si="12"/>
        <v>4841.6960000000036</v>
      </c>
      <c r="J172" s="371">
        <f t="shared" si="13"/>
        <v>16513.303999999996</v>
      </c>
      <c r="K172" s="502"/>
      <c r="L172" s="145"/>
      <c r="M172" s="629"/>
      <c r="N172" s="630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</row>
    <row r="173" spans="1:33" s="2" customFormat="1" ht="20.100000000000001" customHeight="1">
      <c r="A173" s="585" t="s">
        <v>115</v>
      </c>
      <c r="B173" s="586"/>
      <c r="C173" s="122">
        <v>2</v>
      </c>
      <c r="D173" s="123" t="s">
        <v>31</v>
      </c>
      <c r="E173" s="320">
        <f>SUM('DECK TALLY'!B147)</f>
        <v>142</v>
      </c>
      <c r="F173" s="376">
        <f>VLOOKUP(E173,'DECK TALLY'!$B$6:$C$316,2,FALSE)</f>
        <v>33.549999999999997</v>
      </c>
      <c r="G173" s="377">
        <f t="shared" si="14"/>
        <v>33.144499999999994</v>
      </c>
      <c r="H173" s="131" t="s">
        <v>29</v>
      </c>
      <c r="I173" s="246">
        <f t="shared" si="12"/>
        <v>4874.8405000000039</v>
      </c>
      <c r="J173" s="371">
        <f t="shared" si="13"/>
        <v>16480.159499999994</v>
      </c>
      <c r="K173" s="502"/>
      <c r="L173" s="145"/>
      <c r="M173" s="629"/>
      <c r="N173" s="630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</row>
    <row r="174" spans="1:33" s="2" customFormat="1" ht="20.100000000000001" customHeight="1">
      <c r="A174" s="585" t="s">
        <v>115</v>
      </c>
      <c r="B174" s="586"/>
      <c r="C174" s="122">
        <v>2</v>
      </c>
      <c r="D174" s="123" t="s">
        <v>31</v>
      </c>
      <c r="E174" s="320">
        <f>SUM('DECK TALLY'!B148)</f>
        <v>143</v>
      </c>
      <c r="F174" s="376">
        <f>VLOOKUP(E174,'DECK TALLY'!$B$6:$C$316,2,FALSE)</f>
        <v>33.9</v>
      </c>
      <c r="G174" s="377">
        <f t="shared" si="14"/>
        <v>33.494500000000002</v>
      </c>
      <c r="H174" s="131" t="s">
        <v>29</v>
      </c>
      <c r="I174" s="246">
        <f t="shared" si="12"/>
        <v>4908.3350000000037</v>
      </c>
      <c r="J174" s="371">
        <f t="shared" si="13"/>
        <v>16446.664999999997</v>
      </c>
      <c r="K174" s="502"/>
      <c r="L174" s="145"/>
      <c r="M174" s="629"/>
      <c r="N174" s="630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</row>
    <row r="175" spans="1:33" s="2" customFormat="1" ht="20.100000000000001" customHeight="1">
      <c r="A175" s="585" t="s">
        <v>115</v>
      </c>
      <c r="B175" s="586"/>
      <c r="C175" s="122">
        <v>2</v>
      </c>
      <c r="D175" s="123" t="s">
        <v>31</v>
      </c>
      <c r="E175" s="320">
        <f>'DECK TALLY'!B149</f>
        <v>144</v>
      </c>
      <c r="F175" s="376">
        <f>VLOOKUP(E175,'DECK TALLY'!$B$6:$C$316,2,FALSE)</f>
        <v>33.64</v>
      </c>
      <c r="G175" s="377">
        <f t="shared" si="14"/>
        <v>33.234499999999997</v>
      </c>
      <c r="H175" s="131" t="s">
        <v>29</v>
      </c>
      <c r="I175" s="246">
        <f t="shared" si="12"/>
        <v>4941.5695000000032</v>
      </c>
      <c r="J175" s="371">
        <f t="shared" si="13"/>
        <v>16413.430499999995</v>
      </c>
      <c r="K175" s="502"/>
      <c r="L175" s="145"/>
      <c r="M175" s="629"/>
      <c r="N175" s="630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</row>
    <row r="176" spans="1:33" s="2" customFormat="1" ht="20.100000000000001" customHeight="1">
      <c r="A176" s="585" t="s">
        <v>115</v>
      </c>
      <c r="B176" s="586"/>
      <c r="C176" s="122">
        <v>2</v>
      </c>
      <c r="D176" s="123" t="s">
        <v>31</v>
      </c>
      <c r="E176" s="320">
        <f>SUM('DECK TALLY'!B150)</f>
        <v>145</v>
      </c>
      <c r="F176" s="376">
        <f>VLOOKUP(E176,'DECK TALLY'!$B$6:$C$316,2,FALSE)</f>
        <v>33.380000000000003</v>
      </c>
      <c r="G176" s="377">
        <f t="shared" si="14"/>
        <v>32.974500000000006</v>
      </c>
      <c r="H176" s="131" t="s">
        <v>29</v>
      </c>
      <c r="I176" s="246">
        <f t="shared" si="12"/>
        <v>4974.5440000000035</v>
      </c>
      <c r="J176" s="371">
        <f t="shared" si="13"/>
        <v>16380.455999999996</v>
      </c>
      <c r="K176" s="502"/>
      <c r="L176" s="145"/>
      <c r="M176" s="629"/>
      <c r="N176" s="630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</row>
    <row r="177" spans="1:33" s="2" customFormat="1" ht="20.100000000000001" customHeight="1">
      <c r="A177" s="585" t="s">
        <v>115</v>
      </c>
      <c r="B177" s="586"/>
      <c r="C177" s="122">
        <v>2</v>
      </c>
      <c r="D177" s="123" t="s">
        <v>31</v>
      </c>
      <c r="E177" s="320">
        <f>SUM('DECK TALLY'!B151)</f>
        <v>146</v>
      </c>
      <c r="F177" s="376">
        <f>VLOOKUP(E177,'DECK TALLY'!$B$6:$C$316,2,FALSE)</f>
        <v>33.94</v>
      </c>
      <c r="G177" s="377">
        <f t="shared" si="14"/>
        <v>33.534499999999994</v>
      </c>
      <c r="H177" s="131" t="s">
        <v>29</v>
      </c>
      <c r="I177" s="246">
        <f t="shared" si="12"/>
        <v>5008.0785000000033</v>
      </c>
      <c r="J177" s="371">
        <f t="shared" si="13"/>
        <v>16346.921499999997</v>
      </c>
      <c r="K177" s="502"/>
      <c r="L177" s="145"/>
      <c r="M177" s="629"/>
      <c r="N177" s="630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</row>
    <row r="178" spans="1:33" s="2" customFormat="1" ht="20.100000000000001" customHeight="1">
      <c r="A178" s="585" t="s">
        <v>115</v>
      </c>
      <c r="B178" s="586"/>
      <c r="C178" s="122">
        <v>2</v>
      </c>
      <c r="D178" s="123" t="s">
        <v>31</v>
      </c>
      <c r="E178" s="320">
        <f>'DECK TALLY'!B152</f>
        <v>147</v>
      </c>
      <c r="F178" s="376">
        <f>VLOOKUP(E178,'DECK TALLY'!$B$6:$C$316,2,FALSE)</f>
        <v>33.75</v>
      </c>
      <c r="G178" s="377">
        <f t="shared" si="14"/>
        <v>33.344499999999996</v>
      </c>
      <c r="H178" s="131" t="s">
        <v>29</v>
      </c>
      <c r="I178" s="246">
        <f t="shared" si="12"/>
        <v>5041.4230000000034</v>
      </c>
      <c r="J178" s="371">
        <f t="shared" si="13"/>
        <v>16313.576999999997</v>
      </c>
      <c r="K178" s="502"/>
      <c r="L178" s="145"/>
      <c r="M178" s="629"/>
      <c r="N178" s="630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</row>
    <row r="179" spans="1:33" s="2" customFormat="1" ht="20.100000000000001" customHeight="1">
      <c r="A179" s="585" t="s">
        <v>115</v>
      </c>
      <c r="B179" s="586"/>
      <c r="C179" s="122">
        <v>2</v>
      </c>
      <c r="D179" s="123" t="s">
        <v>31</v>
      </c>
      <c r="E179" s="320">
        <f>SUM('DECK TALLY'!B153)</f>
        <v>148</v>
      </c>
      <c r="F179" s="376">
        <f>VLOOKUP(E179,'DECK TALLY'!$B$6:$C$316,2,FALSE)</f>
        <v>33.94</v>
      </c>
      <c r="G179" s="377">
        <f t="shared" si="14"/>
        <v>33.534499999999994</v>
      </c>
      <c r="H179" s="131" t="s">
        <v>29</v>
      </c>
      <c r="I179" s="246">
        <f t="shared" si="12"/>
        <v>5074.9575000000032</v>
      </c>
      <c r="J179" s="371">
        <f t="shared" si="13"/>
        <v>16280.042499999996</v>
      </c>
      <c r="K179" s="502"/>
      <c r="L179" s="145"/>
      <c r="M179" s="629"/>
      <c r="N179" s="630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</row>
    <row r="180" spans="1:33" s="2" customFormat="1" ht="20.100000000000001" customHeight="1">
      <c r="A180" s="585" t="s">
        <v>115</v>
      </c>
      <c r="B180" s="586"/>
      <c r="C180" s="122">
        <v>2</v>
      </c>
      <c r="D180" s="123" t="s">
        <v>31</v>
      </c>
      <c r="E180" s="320">
        <f>SUM('DECK TALLY'!B154)</f>
        <v>149</v>
      </c>
      <c r="F180" s="376">
        <f>VLOOKUP(E180,'DECK TALLY'!$B$6:$C$316,2,FALSE)</f>
        <v>33.94</v>
      </c>
      <c r="G180" s="377">
        <f t="shared" si="14"/>
        <v>33.534499999999994</v>
      </c>
      <c r="H180" s="131" t="s">
        <v>29</v>
      </c>
      <c r="I180" s="246">
        <f t="shared" si="12"/>
        <v>5108.4920000000029</v>
      </c>
      <c r="J180" s="371">
        <f t="shared" si="13"/>
        <v>16246.507999999998</v>
      </c>
      <c r="K180" s="502"/>
      <c r="L180" s="145"/>
      <c r="M180" s="629"/>
      <c r="N180" s="630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</row>
    <row r="181" spans="1:33" s="2" customFormat="1" ht="20.100000000000001" customHeight="1">
      <c r="A181" s="585" t="s">
        <v>115</v>
      </c>
      <c r="B181" s="586"/>
      <c r="C181" s="122">
        <v>2</v>
      </c>
      <c r="D181" s="123" t="s">
        <v>31</v>
      </c>
      <c r="E181" s="320">
        <f>'DECK TALLY'!B155</f>
        <v>150</v>
      </c>
      <c r="F181" s="376">
        <f>VLOOKUP(E181,'DECK TALLY'!$B$6:$C$316,2,FALSE)</f>
        <v>33.81</v>
      </c>
      <c r="G181" s="377">
        <f t="shared" si="14"/>
        <v>33.404499999999999</v>
      </c>
      <c r="H181" s="131" t="s">
        <v>29</v>
      </c>
      <c r="I181" s="246">
        <f t="shared" si="12"/>
        <v>5141.8965000000026</v>
      </c>
      <c r="J181" s="371">
        <f t="shared" si="13"/>
        <v>16213.103499999997</v>
      </c>
      <c r="K181" s="502"/>
      <c r="L181" s="145"/>
      <c r="M181" s="629"/>
      <c r="N181" s="630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</row>
    <row r="182" spans="1:33" s="2" customFormat="1" ht="20.100000000000001" customHeight="1">
      <c r="A182" s="585" t="s">
        <v>115</v>
      </c>
      <c r="B182" s="586"/>
      <c r="C182" s="122">
        <v>2</v>
      </c>
      <c r="D182" s="123" t="s">
        <v>31</v>
      </c>
      <c r="E182" s="320">
        <f>SUM('DECK TALLY'!B156)</f>
        <v>151</v>
      </c>
      <c r="F182" s="376">
        <f>VLOOKUP(E182,'DECK TALLY'!$B$6:$C$316,2,FALSE)</f>
        <v>33.83</v>
      </c>
      <c r="G182" s="377">
        <f t="shared" si="14"/>
        <v>33.424499999999995</v>
      </c>
      <c r="H182" s="131" t="s">
        <v>29</v>
      </c>
      <c r="I182" s="246">
        <f t="shared" si="12"/>
        <v>5175.3210000000026</v>
      </c>
      <c r="J182" s="371">
        <f t="shared" si="13"/>
        <v>16179.678999999996</v>
      </c>
      <c r="K182" s="502"/>
      <c r="L182" s="145"/>
      <c r="M182" s="629" t="s">
        <v>396</v>
      </c>
      <c r="N182" s="630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</row>
    <row r="183" spans="1:33" s="2" customFormat="1" ht="20.100000000000001" customHeight="1">
      <c r="A183" s="585" t="s">
        <v>115</v>
      </c>
      <c r="B183" s="586"/>
      <c r="C183" s="122">
        <v>2</v>
      </c>
      <c r="D183" s="123" t="s">
        <v>31</v>
      </c>
      <c r="E183" s="320">
        <f>SUM('DECK TALLY'!B157)</f>
        <v>152</v>
      </c>
      <c r="F183" s="376">
        <f>VLOOKUP(E183,'DECK TALLY'!$B$6:$C$316,2,FALSE)</f>
        <v>32.03</v>
      </c>
      <c r="G183" s="377">
        <f t="shared" si="14"/>
        <v>31.624500000000001</v>
      </c>
      <c r="H183" s="131" t="s">
        <v>29</v>
      </c>
      <c r="I183" s="246">
        <f t="shared" si="12"/>
        <v>5206.9455000000025</v>
      </c>
      <c r="J183" s="371">
        <f t="shared" si="13"/>
        <v>16148.054499999998</v>
      </c>
      <c r="K183" s="502"/>
      <c r="L183" s="145"/>
      <c r="M183" s="629"/>
      <c r="N183" s="630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</row>
    <row r="184" spans="1:33" s="2" customFormat="1" ht="20.100000000000001" customHeight="1">
      <c r="A184" s="585" t="s">
        <v>115</v>
      </c>
      <c r="B184" s="586"/>
      <c r="C184" s="122">
        <v>2</v>
      </c>
      <c r="D184" s="123" t="s">
        <v>31</v>
      </c>
      <c r="E184" s="320">
        <f>'DECK TALLY'!B158</f>
        <v>153</v>
      </c>
      <c r="F184" s="376">
        <f>VLOOKUP(E184,'DECK TALLY'!$B$6:$C$316,2,FALSE)</f>
        <v>33.94</v>
      </c>
      <c r="G184" s="377">
        <f t="shared" si="14"/>
        <v>33.534499999999994</v>
      </c>
      <c r="H184" s="131" t="s">
        <v>29</v>
      </c>
      <c r="I184" s="246">
        <f t="shared" si="12"/>
        <v>5240.4800000000023</v>
      </c>
      <c r="J184" s="371">
        <f t="shared" si="13"/>
        <v>16114.519999999997</v>
      </c>
      <c r="K184" s="502"/>
      <c r="L184" s="145"/>
      <c r="M184" s="629"/>
      <c r="N184" s="630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</row>
    <row r="185" spans="1:33" s="2" customFormat="1" ht="20.100000000000001" customHeight="1">
      <c r="A185" s="585" t="s">
        <v>115</v>
      </c>
      <c r="B185" s="586"/>
      <c r="C185" s="122">
        <v>2</v>
      </c>
      <c r="D185" s="123" t="s">
        <v>31</v>
      </c>
      <c r="E185" s="320">
        <f>SUM('DECK TALLY'!B159)</f>
        <v>154</v>
      </c>
      <c r="F185" s="376">
        <f>VLOOKUP(E185,'DECK TALLY'!$B$6:$C$316,2,FALSE)</f>
        <v>33.94</v>
      </c>
      <c r="G185" s="377">
        <f t="shared" si="14"/>
        <v>33.534499999999994</v>
      </c>
      <c r="H185" s="131" t="s">
        <v>29</v>
      </c>
      <c r="I185" s="246">
        <f t="shared" si="12"/>
        <v>5274.014500000002</v>
      </c>
      <c r="J185" s="371">
        <f t="shared" si="13"/>
        <v>16080.985499999999</v>
      </c>
      <c r="K185" s="502"/>
      <c r="L185" s="145"/>
      <c r="M185" s="629"/>
      <c r="N185" s="630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</row>
    <row r="186" spans="1:33" s="2" customFormat="1" ht="20.100000000000001" customHeight="1" thickBot="1">
      <c r="A186" s="585" t="s">
        <v>115</v>
      </c>
      <c r="B186" s="586"/>
      <c r="C186" s="122">
        <v>2</v>
      </c>
      <c r="D186" s="123" t="s">
        <v>31</v>
      </c>
      <c r="E186" s="320">
        <f>SUM('DECK TALLY'!B160)</f>
        <v>155</v>
      </c>
      <c r="F186" s="376">
        <f>VLOOKUP(E186,'DECK TALLY'!$B$6:$C$316,2,FALSE)</f>
        <v>33.6</v>
      </c>
      <c r="G186" s="377">
        <f t="shared" si="14"/>
        <v>33.194500000000005</v>
      </c>
      <c r="H186" s="131" t="s">
        <v>29</v>
      </c>
      <c r="I186" s="246">
        <f t="shared" si="12"/>
        <v>5307.2090000000017</v>
      </c>
      <c r="J186" s="371">
        <f t="shared" si="13"/>
        <v>16047.790999999997</v>
      </c>
      <c r="K186" s="502"/>
      <c r="L186" s="145"/>
      <c r="M186" s="623" t="s">
        <v>371</v>
      </c>
      <c r="N186" s="624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</row>
    <row r="187" spans="1:33" s="2" customFormat="1" ht="20.100000000000001" customHeight="1">
      <c r="A187" s="581" t="s">
        <v>206</v>
      </c>
      <c r="B187" s="582"/>
      <c r="C187" s="316">
        <v>1</v>
      </c>
      <c r="D187" s="203" t="s">
        <v>31</v>
      </c>
      <c r="E187" s="318" t="str">
        <f>'DECK TALLY'!F9</f>
        <v>P 4</v>
      </c>
      <c r="F187" s="372">
        <f>'DECK TALLY'!G9</f>
        <v>20.239999999999998</v>
      </c>
      <c r="G187" s="373">
        <f t="shared" si="14"/>
        <v>19.834499999999998</v>
      </c>
      <c r="H187" s="394" t="s">
        <v>29</v>
      </c>
      <c r="I187" s="242">
        <f t="shared" si="12"/>
        <v>5327.0435000000016</v>
      </c>
      <c r="J187" s="369">
        <f t="shared" si="13"/>
        <v>16027.956499999998</v>
      </c>
      <c r="K187" s="503"/>
      <c r="L187" s="170"/>
      <c r="M187" s="605" t="s">
        <v>370</v>
      </c>
      <c r="N187" s="606"/>
      <c r="O187" s="579" t="s">
        <v>211</v>
      </c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</row>
    <row r="188" spans="1:33" s="2" customFormat="1" ht="20.100000000000001" customHeight="1">
      <c r="A188" s="585" t="s">
        <v>115</v>
      </c>
      <c r="B188" s="586"/>
      <c r="C188" s="122">
        <v>2</v>
      </c>
      <c r="D188" s="123" t="s">
        <v>31</v>
      </c>
      <c r="E188" s="320">
        <f>SUM('DECK TALLY'!B161)</f>
        <v>156</v>
      </c>
      <c r="F188" s="376">
        <f>VLOOKUP(E188,'DECK TALLY'!$B$6:$C$316,2,FALSE)</f>
        <v>33.950000000000003</v>
      </c>
      <c r="G188" s="377">
        <f t="shared" si="14"/>
        <v>33.544499999999999</v>
      </c>
      <c r="H188" s="131" t="s">
        <v>29</v>
      </c>
      <c r="I188" s="246">
        <f t="shared" si="12"/>
        <v>5360.5880000000016</v>
      </c>
      <c r="J188" s="371">
        <f t="shared" si="13"/>
        <v>15994.411999999998</v>
      </c>
      <c r="K188" s="502"/>
      <c r="L188" s="145"/>
      <c r="M188" s="636" t="s">
        <v>336</v>
      </c>
      <c r="N188" s="637"/>
      <c r="O188" s="635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</row>
    <row r="189" spans="1:33" s="2" customFormat="1" ht="20.100000000000001" customHeight="1">
      <c r="A189" s="631" t="s">
        <v>115</v>
      </c>
      <c r="B189" s="632"/>
      <c r="C189" s="316">
        <v>1</v>
      </c>
      <c r="D189" s="176" t="s">
        <v>31</v>
      </c>
      <c r="E189" s="321">
        <f>'DECK TALLY'!B162</f>
        <v>157</v>
      </c>
      <c r="F189" s="374">
        <f>VLOOKUP(E189,'DECK TALLY'!$B$6:$C$316,2,FALSE)</f>
        <v>33.729999999999997</v>
      </c>
      <c r="G189" s="375">
        <f t="shared" si="14"/>
        <v>33.3245</v>
      </c>
      <c r="H189" s="177" t="s">
        <v>29</v>
      </c>
      <c r="I189" s="243">
        <f t="shared" si="12"/>
        <v>5393.9125000000013</v>
      </c>
      <c r="J189" s="370">
        <f t="shared" si="13"/>
        <v>15961.087499999998</v>
      </c>
      <c r="K189" s="504"/>
      <c r="L189" s="178"/>
      <c r="M189" s="204" t="s">
        <v>208</v>
      </c>
      <c r="N189" s="205">
        <f>SUM(J187-4)</f>
        <v>16023.956499999998</v>
      </c>
      <c r="O189" s="212">
        <v>16000</v>
      </c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</row>
    <row r="190" spans="1:33" s="2" customFormat="1" ht="20.100000000000001" customHeight="1">
      <c r="A190" s="646" t="s">
        <v>115</v>
      </c>
      <c r="B190" s="647"/>
      <c r="C190" s="122">
        <v>2</v>
      </c>
      <c r="D190" s="123" t="s">
        <v>31</v>
      </c>
      <c r="E190" s="395">
        <f>'DECK TALLY'!B163</f>
        <v>158</v>
      </c>
      <c r="F190" s="376">
        <f>VLOOKUP(E190,'DECK TALLY'!$B$6:$C$316,2,FALSE)</f>
        <v>33.94</v>
      </c>
      <c r="G190" s="377">
        <f t="shared" si="14"/>
        <v>33.534499999999994</v>
      </c>
      <c r="H190" s="131" t="s">
        <v>29</v>
      </c>
      <c r="I190" s="246">
        <f t="shared" si="12"/>
        <v>5427.447000000001</v>
      </c>
      <c r="J190" s="371">
        <f t="shared" si="13"/>
        <v>15927.553</v>
      </c>
      <c r="K190" s="502"/>
      <c r="L190" s="145"/>
      <c r="M190" s="638" t="s">
        <v>337</v>
      </c>
      <c r="N190" s="639"/>
      <c r="O190" s="251">
        <f>SUM(N189-O189)</f>
        <v>23.956499999998414</v>
      </c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</row>
    <row r="191" spans="1:33" s="2" customFormat="1" ht="20.100000000000001" customHeight="1" thickBot="1">
      <c r="A191" s="585" t="s">
        <v>115</v>
      </c>
      <c r="B191" s="586"/>
      <c r="C191" s="122">
        <v>2</v>
      </c>
      <c r="D191" s="123" t="s">
        <v>31</v>
      </c>
      <c r="E191" s="320">
        <f>'DECK TALLY'!B164</f>
        <v>159</v>
      </c>
      <c r="F191" s="368">
        <f>VLOOKUP(E191,'DECK TALLY'!$B$6:$C$316,2,FALSE)</f>
        <v>33.94</v>
      </c>
      <c r="G191" s="377">
        <f t="shared" si="14"/>
        <v>33.534499999999994</v>
      </c>
      <c r="H191" s="131" t="s">
        <v>29</v>
      </c>
      <c r="I191" s="246">
        <f t="shared" si="12"/>
        <v>5460.9815000000008</v>
      </c>
      <c r="J191" s="371">
        <f t="shared" si="13"/>
        <v>15894.018499999998</v>
      </c>
      <c r="K191" s="502"/>
      <c r="L191" s="145"/>
      <c r="M191" s="623"/>
      <c r="N191" s="624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</row>
    <row r="192" spans="1:33" s="2" customFormat="1" ht="20.100000000000001" customHeight="1">
      <c r="A192" s="646" t="s">
        <v>115</v>
      </c>
      <c r="B192" s="647"/>
      <c r="C192" s="122">
        <v>2</v>
      </c>
      <c r="D192" s="123" t="s">
        <v>31</v>
      </c>
      <c r="E192" s="395">
        <f>'DECK TALLY'!B165</f>
        <v>160</v>
      </c>
      <c r="F192" s="376">
        <f>VLOOKUP(E192,'DECK TALLY'!$B$6:$C$316,2,FALSE)</f>
        <v>33.950000000000003</v>
      </c>
      <c r="G192" s="377">
        <f t="shared" si="14"/>
        <v>33.544499999999999</v>
      </c>
      <c r="H192" s="131" t="s">
        <v>29</v>
      </c>
      <c r="I192" s="246">
        <f t="shared" si="12"/>
        <v>5494.5260000000007</v>
      </c>
      <c r="J192" s="371">
        <f t="shared" si="13"/>
        <v>15860.473999999998</v>
      </c>
      <c r="K192" s="502"/>
      <c r="L192" s="145"/>
      <c r="M192" s="629"/>
      <c r="N192" s="630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</row>
    <row r="193" spans="1:33" s="2" customFormat="1" ht="20.100000000000001" customHeight="1">
      <c r="A193" s="585" t="s">
        <v>115</v>
      </c>
      <c r="B193" s="586"/>
      <c r="C193" s="122">
        <v>2</v>
      </c>
      <c r="D193" s="123" t="s">
        <v>31</v>
      </c>
      <c r="E193" s="320">
        <f>'DECK TALLY'!B166</f>
        <v>161</v>
      </c>
      <c r="F193" s="376">
        <f>VLOOKUP(E193,'DECK TALLY'!$B$6:$C$316,2,FALSE)</f>
        <v>33.93</v>
      </c>
      <c r="G193" s="377">
        <f t="shared" si="14"/>
        <v>33.524500000000003</v>
      </c>
      <c r="H193" s="131" t="s">
        <v>29</v>
      </c>
      <c r="I193" s="246">
        <f t="shared" si="12"/>
        <v>5528.0505000000012</v>
      </c>
      <c r="J193" s="371">
        <f t="shared" si="13"/>
        <v>15826.949499999999</v>
      </c>
      <c r="K193" s="502"/>
      <c r="L193" s="145"/>
      <c r="M193" s="629"/>
      <c r="N193" s="630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</row>
    <row r="194" spans="1:33" s="2" customFormat="1" ht="20.100000000000001" customHeight="1">
      <c r="A194" s="585" t="s">
        <v>115</v>
      </c>
      <c r="B194" s="586"/>
      <c r="C194" s="122">
        <v>2</v>
      </c>
      <c r="D194" s="123" t="s">
        <v>31</v>
      </c>
      <c r="E194" s="320">
        <f>'DECK TALLY'!B167</f>
        <v>162</v>
      </c>
      <c r="F194" s="376">
        <f>VLOOKUP(E194,'DECK TALLY'!$B$6:$C$316,2,FALSE)</f>
        <v>33.94</v>
      </c>
      <c r="G194" s="377">
        <f t="shared" si="14"/>
        <v>33.534499999999994</v>
      </c>
      <c r="H194" s="131" t="s">
        <v>29</v>
      </c>
      <c r="I194" s="246">
        <f t="shared" si="12"/>
        <v>5561.5850000000009</v>
      </c>
      <c r="J194" s="371">
        <f t="shared" si="13"/>
        <v>15793.414999999999</v>
      </c>
      <c r="K194" s="502"/>
      <c r="L194" s="145"/>
      <c r="M194" s="629"/>
      <c r="N194" s="630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</row>
    <row r="195" spans="1:33" s="2" customFormat="1" ht="20.100000000000001" customHeight="1">
      <c r="A195" s="585" t="s">
        <v>115</v>
      </c>
      <c r="B195" s="586"/>
      <c r="C195" s="122">
        <v>2</v>
      </c>
      <c r="D195" s="123" t="s">
        <v>31</v>
      </c>
      <c r="E195" s="395">
        <f>'DECK TALLY'!B168</f>
        <v>163</v>
      </c>
      <c r="F195" s="376">
        <f>VLOOKUP(E195,'DECK TALLY'!$B$6:$C$316,2,FALSE)</f>
        <v>33.200000000000003</v>
      </c>
      <c r="G195" s="377">
        <f t="shared" si="14"/>
        <v>32.794499999999999</v>
      </c>
      <c r="H195" s="131" t="s">
        <v>29</v>
      </c>
      <c r="I195" s="246">
        <f t="shared" si="12"/>
        <v>5594.3795000000009</v>
      </c>
      <c r="J195" s="371">
        <f t="shared" si="13"/>
        <v>15760.620499999999</v>
      </c>
      <c r="K195" s="502"/>
      <c r="L195" s="145"/>
      <c r="M195" s="629"/>
      <c r="N195" s="630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</row>
    <row r="196" spans="1:33" s="2" customFormat="1" ht="20.100000000000001" customHeight="1">
      <c r="A196" s="585" t="s">
        <v>115</v>
      </c>
      <c r="B196" s="586"/>
      <c r="C196" s="122">
        <v>2</v>
      </c>
      <c r="D196" s="123" t="s">
        <v>31</v>
      </c>
      <c r="E196" s="320">
        <f>'DECK TALLY'!B169</f>
        <v>164</v>
      </c>
      <c r="F196" s="376">
        <f>VLOOKUP(E196,'DECK TALLY'!$B$6:$C$316,2,FALSE)</f>
        <v>33.94</v>
      </c>
      <c r="G196" s="377">
        <f t="shared" si="14"/>
        <v>33.534499999999994</v>
      </c>
      <c r="H196" s="131" t="s">
        <v>29</v>
      </c>
      <c r="I196" s="246">
        <f t="shared" si="12"/>
        <v>5627.9140000000007</v>
      </c>
      <c r="J196" s="371">
        <f t="shared" si="13"/>
        <v>15727.085999999999</v>
      </c>
      <c r="K196" s="502"/>
      <c r="L196" s="145"/>
      <c r="M196" s="629"/>
      <c r="N196" s="630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</row>
    <row r="197" spans="1:33" s="2" customFormat="1" ht="20.100000000000001" customHeight="1">
      <c r="A197" s="585" t="s">
        <v>115</v>
      </c>
      <c r="B197" s="586"/>
      <c r="C197" s="122">
        <v>2</v>
      </c>
      <c r="D197" s="123" t="s">
        <v>31</v>
      </c>
      <c r="E197" s="320">
        <f>'DECK TALLY'!B170</f>
        <v>165</v>
      </c>
      <c r="F197" s="376">
        <f>VLOOKUP(E197,'DECK TALLY'!$B$6:$C$316,2,FALSE)</f>
        <v>33.96</v>
      </c>
      <c r="G197" s="377">
        <f t="shared" si="14"/>
        <v>33.554500000000004</v>
      </c>
      <c r="H197" s="131" t="s">
        <v>29</v>
      </c>
      <c r="I197" s="246">
        <f t="shared" si="12"/>
        <v>5661.4685000000009</v>
      </c>
      <c r="J197" s="371">
        <f t="shared" si="13"/>
        <v>15693.531499999999</v>
      </c>
      <c r="K197" s="502"/>
      <c r="L197" s="145"/>
      <c r="M197" s="629"/>
      <c r="N197" s="630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</row>
    <row r="198" spans="1:33" s="2" customFormat="1" ht="20.100000000000001" customHeight="1">
      <c r="A198" s="585" t="s">
        <v>115</v>
      </c>
      <c r="B198" s="586"/>
      <c r="C198" s="122">
        <v>2</v>
      </c>
      <c r="D198" s="123" t="s">
        <v>31</v>
      </c>
      <c r="E198" s="395">
        <f>'DECK TALLY'!B171</f>
        <v>166</v>
      </c>
      <c r="F198" s="376">
        <f>VLOOKUP(E198,'DECK TALLY'!$B$6:$C$316,2,FALSE)</f>
        <v>33.96</v>
      </c>
      <c r="G198" s="377">
        <f t="shared" si="14"/>
        <v>33.554500000000004</v>
      </c>
      <c r="H198" s="131" t="s">
        <v>29</v>
      </c>
      <c r="I198" s="246">
        <f t="shared" si="12"/>
        <v>5695.023000000001</v>
      </c>
      <c r="J198" s="371">
        <f t="shared" si="13"/>
        <v>15659.976999999999</v>
      </c>
      <c r="K198" s="502"/>
      <c r="L198" s="145"/>
      <c r="M198" s="629"/>
      <c r="N198" s="630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</row>
    <row r="199" spans="1:33" s="2" customFormat="1" ht="20.100000000000001" customHeight="1">
      <c r="A199" s="585" t="s">
        <v>115</v>
      </c>
      <c r="B199" s="586"/>
      <c r="C199" s="122">
        <v>2</v>
      </c>
      <c r="D199" s="123" t="s">
        <v>31</v>
      </c>
      <c r="E199" s="320">
        <f>'DECK TALLY'!B172</f>
        <v>167</v>
      </c>
      <c r="F199" s="376">
        <f>VLOOKUP(E199,'DECK TALLY'!$B$6:$C$316,2,FALSE)</f>
        <v>33.96</v>
      </c>
      <c r="G199" s="377">
        <f t="shared" si="14"/>
        <v>33.554500000000004</v>
      </c>
      <c r="H199" s="131" t="s">
        <v>29</v>
      </c>
      <c r="I199" s="246">
        <f t="shared" si="12"/>
        <v>5728.5775000000012</v>
      </c>
      <c r="J199" s="371">
        <f t="shared" si="13"/>
        <v>15626.422499999999</v>
      </c>
      <c r="K199" s="502"/>
      <c r="L199" s="145"/>
      <c r="M199" s="629"/>
      <c r="N199" s="630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</row>
    <row r="200" spans="1:33" s="2" customFormat="1" ht="20.100000000000001" customHeight="1">
      <c r="A200" s="585" t="s">
        <v>115</v>
      </c>
      <c r="B200" s="586"/>
      <c r="C200" s="122">
        <v>2</v>
      </c>
      <c r="D200" s="123" t="s">
        <v>31</v>
      </c>
      <c r="E200" s="320">
        <f>'DECK TALLY'!B173</f>
        <v>168</v>
      </c>
      <c r="F200" s="376">
        <f>VLOOKUP(E200,'DECK TALLY'!$B$6:$C$316,2,FALSE)</f>
        <v>33.950000000000003</v>
      </c>
      <c r="G200" s="377">
        <f t="shared" si="14"/>
        <v>33.544499999999999</v>
      </c>
      <c r="H200" s="131" t="s">
        <v>29</v>
      </c>
      <c r="I200" s="246">
        <f t="shared" si="12"/>
        <v>5762.1220000000012</v>
      </c>
      <c r="J200" s="371">
        <f t="shared" si="13"/>
        <v>15592.877999999999</v>
      </c>
      <c r="K200" s="502"/>
      <c r="L200" s="145"/>
      <c r="M200" s="629"/>
      <c r="N200" s="630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</row>
    <row r="201" spans="1:33" s="2" customFormat="1" ht="20.100000000000001" customHeight="1">
      <c r="A201" s="585" t="s">
        <v>115</v>
      </c>
      <c r="B201" s="586"/>
      <c r="C201" s="122">
        <v>2</v>
      </c>
      <c r="D201" s="123" t="s">
        <v>31</v>
      </c>
      <c r="E201" s="395">
        <f>'DECK TALLY'!B174</f>
        <v>169</v>
      </c>
      <c r="F201" s="376">
        <f>VLOOKUP(E201,'DECK TALLY'!$B$6:$C$316,2,FALSE)</f>
        <v>33.950000000000003</v>
      </c>
      <c r="G201" s="377">
        <f t="shared" si="14"/>
        <v>33.544499999999999</v>
      </c>
      <c r="H201" s="131" t="s">
        <v>29</v>
      </c>
      <c r="I201" s="246">
        <f t="shared" si="12"/>
        <v>5795.6665000000012</v>
      </c>
      <c r="J201" s="371">
        <f t="shared" si="13"/>
        <v>15559.333499999999</v>
      </c>
      <c r="K201" s="502"/>
      <c r="L201" s="145"/>
      <c r="M201" s="629"/>
      <c r="N201" s="630"/>
      <c r="O201" s="29"/>
      <c r="P201" s="29" t="s">
        <v>299</v>
      </c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</row>
    <row r="202" spans="1:33" s="2" customFormat="1" ht="20.100000000000001" customHeight="1">
      <c r="A202" s="585" t="s">
        <v>115</v>
      </c>
      <c r="B202" s="586"/>
      <c r="C202" s="122">
        <v>2</v>
      </c>
      <c r="D202" s="123" t="s">
        <v>31</v>
      </c>
      <c r="E202" s="320">
        <f>'DECK TALLY'!B175</f>
        <v>170</v>
      </c>
      <c r="F202" s="376">
        <f>VLOOKUP(E202,'DECK TALLY'!$B$6:$C$316,2,FALSE)</f>
        <v>32.42</v>
      </c>
      <c r="G202" s="377">
        <f t="shared" si="14"/>
        <v>32.014499999999998</v>
      </c>
      <c r="H202" s="131" t="s">
        <v>29</v>
      </c>
      <c r="I202" s="246">
        <f t="shared" si="12"/>
        <v>5827.6810000000014</v>
      </c>
      <c r="J202" s="371">
        <f t="shared" si="13"/>
        <v>15527.319</v>
      </c>
      <c r="K202" s="502"/>
      <c r="L202" s="145"/>
      <c r="M202" s="629"/>
      <c r="N202" s="630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</row>
    <row r="203" spans="1:33" s="2" customFormat="1" ht="20.100000000000001" customHeight="1">
      <c r="A203" s="585" t="s">
        <v>115</v>
      </c>
      <c r="B203" s="586"/>
      <c r="C203" s="122">
        <v>2</v>
      </c>
      <c r="D203" s="123" t="s">
        <v>31</v>
      </c>
      <c r="E203" s="320">
        <f>'DECK TALLY'!B176</f>
        <v>171</v>
      </c>
      <c r="F203" s="376">
        <f>VLOOKUP(E203,'DECK TALLY'!$B$6:$C$316,2,FALSE)</f>
        <v>33.950000000000003</v>
      </c>
      <c r="G203" s="377">
        <f t="shared" ref="G203:G216" si="15">F203-($H$12/12)</f>
        <v>33.544499999999999</v>
      </c>
      <c r="H203" s="131" t="s">
        <v>29</v>
      </c>
      <c r="I203" s="246">
        <f t="shared" si="12"/>
        <v>5861.2255000000014</v>
      </c>
      <c r="J203" s="371">
        <f t="shared" si="13"/>
        <v>15493.7745</v>
      </c>
      <c r="K203" s="502"/>
      <c r="L203" s="145"/>
      <c r="M203" s="629"/>
      <c r="N203" s="630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</row>
    <row r="204" spans="1:33" s="2" customFormat="1" ht="20.100000000000001" customHeight="1">
      <c r="A204" s="585" t="s">
        <v>115</v>
      </c>
      <c r="B204" s="586"/>
      <c r="C204" s="122">
        <v>2</v>
      </c>
      <c r="D204" s="123" t="s">
        <v>31</v>
      </c>
      <c r="E204" s="395">
        <f>'DECK TALLY'!B177</f>
        <v>172</v>
      </c>
      <c r="F204" s="376">
        <f>VLOOKUP(E204,'DECK TALLY'!$B$6:$C$316,2,FALSE)</f>
        <v>33.03</v>
      </c>
      <c r="G204" s="377">
        <f t="shared" si="15"/>
        <v>32.624499999999998</v>
      </c>
      <c r="H204" s="131" t="s">
        <v>29</v>
      </c>
      <c r="I204" s="246">
        <f t="shared" si="12"/>
        <v>5893.8500000000013</v>
      </c>
      <c r="J204" s="371">
        <f t="shared" si="13"/>
        <v>15461.149999999998</v>
      </c>
      <c r="K204" s="502"/>
      <c r="L204" s="145"/>
      <c r="M204" s="629"/>
      <c r="N204" s="630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</row>
    <row r="205" spans="1:33" s="2" customFormat="1" ht="20.100000000000001" customHeight="1">
      <c r="A205" s="585" t="s">
        <v>115</v>
      </c>
      <c r="B205" s="586"/>
      <c r="C205" s="122">
        <v>2</v>
      </c>
      <c r="D205" s="123" t="s">
        <v>31</v>
      </c>
      <c r="E205" s="320">
        <f>'DECK TALLY'!B178</f>
        <v>173</v>
      </c>
      <c r="F205" s="376">
        <f>VLOOKUP(E205,'DECK TALLY'!$B$6:$C$316,2,FALSE)</f>
        <v>33.950000000000003</v>
      </c>
      <c r="G205" s="377">
        <f t="shared" si="15"/>
        <v>33.544499999999999</v>
      </c>
      <c r="H205" s="131" t="s">
        <v>29</v>
      </c>
      <c r="I205" s="246">
        <f t="shared" si="12"/>
        <v>5927.3945000000012</v>
      </c>
      <c r="J205" s="371">
        <f t="shared" si="13"/>
        <v>15427.605499999998</v>
      </c>
      <c r="K205" s="502"/>
      <c r="L205" s="145"/>
      <c r="M205" s="629"/>
      <c r="N205" s="630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</row>
    <row r="206" spans="1:33" s="2" customFormat="1" ht="20.100000000000001" customHeight="1">
      <c r="A206" s="585" t="s">
        <v>115</v>
      </c>
      <c r="B206" s="586"/>
      <c r="C206" s="122">
        <v>2</v>
      </c>
      <c r="D206" s="123" t="s">
        <v>31</v>
      </c>
      <c r="E206" s="320">
        <f>'DECK TALLY'!B179</f>
        <v>174</v>
      </c>
      <c r="F206" s="376">
        <f>VLOOKUP(E206,'DECK TALLY'!$B$6:$C$316,2,FALSE)</f>
        <v>33.74</v>
      </c>
      <c r="G206" s="377">
        <f t="shared" si="15"/>
        <v>33.334500000000006</v>
      </c>
      <c r="H206" s="131" t="s">
        <v>29</v>
      </c>
      <c r="I206" s="246">
        <f t="shared" si="12"/>
        <v>5960.7290000000012</v>
      </c>
      <c r="J206" s="371">
        <f t="shared" si="13"/>
        <v>15394.270999999999</v>
      </c>
      <c r="K206" s="502"/>
      <c r="L206" s="145"/>
      <c r="M206" s="629"/>
      <c r="N206" s="630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</row>
    <row r="207" spans="1:33" s="2" customFormat="1" ht="20.100000000000001" customHeight="1">
      <c r="A207" s="585" t="s">
        <v>115</v>
      </c>
      <c r="B207" s="586"/>
      <c r="C207" s="122">
        <v>2</v>
      </c>
      <c r="D207" s="123" t="s">
        <v>31</v>
      </c>
      <c r="E207" s="395">
        <f>'DECK TALLY'!B180</f>
        <v>175</v>
      </c>
      <c r="F207" s="376">
        <f>VLOOKUP(E207,'DECK TALLY'!$B$6:$C$316,2,FALSE)</f>
        <v>33.94</v>
      </c>
      <c r="G207" s="377">
        <f t="shared" si="15"/>
        <v>33.534499999999994</v>
      </c>
      <c r="H207" s="131" t="s">
        <v>29</v>
      </c>
      <c r="I207" s="246">
        <f t="shared" si="12"/>
        <v>5994.2635000000009</v>
      </c>
      <c r="J207" s="371">
        <f t="shared" si="13"/>
        <v>15360.736499999999</v>
      </c>
      <c r="K207" s="502"/>
      <c r="L207" s="145"/>
      <c r="M207" s="629"/>
      <c r="N207" s="630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</row>
    <row r="208" spans="1:33" s="2" customFormat="1" ht="20.100000000000001" customHeight="1">
      <c r="A208" s="585" t="s">
        <v>115</v>
      </c>
      <c r="B208" s="586"/>
      <c r="C208" s="122">
        <v>2</v>
      </c>
      <c r="D208" s="123" t="s">
        <v>31</v>
      </c>
      <c r="E208" s="320">
        <f>'DECK TALLY'!B181</f>
        <v>176</v>
      </c>
      <c r="F208" s="376">
        <f>VLOOKUP(E208,'DECK TALLY'!$B$6:$C$316,2,FALSE)</f>
        <v>33.94</v>
      </c>
      <c r="G208" s="377">
        <f t="shared" si="15"/>
        <v>33.534499999999994</v>
      </c>
      <c r="H208" s="131" t="s">
        <v>29</v>
      </c>
      <c r="I208" s="246">
        <f t="shared" si="12"/>
        <v>6027.7980000000007</v>
      </c>
      <c r="J208" s="371">
        <f t="shared" si="13"/>
        <v>15327.201999999999</v>
      </c>
      <c r="K208" s="502"/>
      <c r="L208" s="145"/>
      <c r="M208" s="629"/>
      <c r="N208" s="630"/>
      <c r="O208" s="121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</row>
    <row r="209" spans="1:33" s="2" customFormat="1" ht="20.100000000000001" customHeight="1">
      <c r="A209" s="585" t="s">
        <v>115</v>
      </c>
      <c r="B209" s="586"/>
      <c r="C209" s="122">
        <v>2</v>
      </c>
      <c r="D209" s="123" t="s">
        <v>31</v>
      </c>
      <c r="E209" s="320">
        <f>'DECK TALLY'!B182</f>
        <v>177</v>
      </c>
      <c r="F209" s="376">
        <f>VLOOKUP(E209,'DECK TALLY'!$B$6:$C$316,2,FALSE)</f>
        <v>33.770000000000003</v>
      </c>
      <c r="G209" s="377">
        <f t="shared" si="15"/>
        <v>33.364500000000007</v>
      </c>
      <c r="H209" s="131" t="s">
        <v>29</v>
      </c>
      <c r="I209" s="246">
        <f t="shared" si="12"/>
        <v>6061.1625000000004</v>
      </c>
      <c r="J209" s="371">
        <f t="shared" si="13"/>
        <v>15293.8375</v>
      </c>
      <c r="K209" s="502"/>
      <c r="L209" s="145"/>
      <c r="M209" s="629"/>
      <c r="N209" s="630"/>
      <c r="O209" s="142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</row>
    <row r="210" spans="1:33" s="2" customFormat="1" ht="20.100000000000001" customHeight="1">
      <c r="A210" s="585" t="s">
        <v>115</v>
      </c>
      <c r="B210" s="586"/>
      <c r="C210" s="122">
        <v>2</v>
      </c>
      <c r="D210" s="123" t="s">
        <v>31</v>
      </c>
      <c r="E210" s="395">
        <f>'DECK TALLY'!B183</f>
        <v>178</v>
      </c>
      <c r="F210" s="376">
        <f>VLOOKUP(E210,'DECK TALLY'!$B$6:$C$316,2,FALSE)</f>
        <v>33.94</v>
      </c>
      <c r="G210" s="377">
        <f t="shared" si="15"/>
        <v>33.534499999999994</v>
      </c>
      <c r="H210" s="131" t="s">
        <v>29</v>
      </c>
      <c r="I210" s="246">
        <f t="shared" si="12"/>
        <v>6094.6970000000001</v>
      </c>
      <c r="J210" s="371">
        <f t="shared" si="13"/>
        <v>15260.303</v>
      </c>
      <c r="K210" s="502"/>
      <c r="L210" s="145"/>
      <c r="M210" s="629"/>
      <c r="N210" s="630"/>
      <c r="O210" s="143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</row>
    <row r="211" spans="1:33" s="2" customFormat="1" ht="20.100000000000001" customHeight="1">
      <c r="A211" s="585" t="s">
        <v>115</v>
      </c>
      <c r="B211" s="586"/>
      <c r="C211" s="122">
        <v>2</v>
      </c>
      <c r="D211" s="123" t="s">
        <v>31</v>
      </c>
      <c r="E211" s="320">
        <f>'DECK TALLY'!B184</f>
        <v>179</v>
      </c>
      <c r="F211" s="376">
        <f>VLOOKUP(E211,'DECK TALLY'!$B$6:$C$316,2,FALSE)</f>
        <v>33.770000000000003</v>
      </c>
      <c r="G211" s="377">
        <f t="shared" si="15"/>
        <v>33.364500000000007</v>
      </c>
      <c r="H211" s="131" t="s">
        <v>29</v>
      </c>
      <c r="I211" s="246">
        <f t="shared" si="12"/>
        <v>6128.0614999999998</v>
      </c>
      <c r="J211" s="371">
        <f t="shared" ref="J211:J274" si="16">IF(I211="","",$M$10-I211)</f>
        <v>15226.9385</v>
      </c>
      <c r="K211" s="502"/>
      <c r="L211" s="145"/>
      <c r="M211" s="629"/>
      <c r="N211" s="630"/>
      <c r="O211" s="143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</row>
    <row r="212" spans="1:33" s="2" customFormat="1" ht="20.100000000000001" customHeight="1">
      <c r="A212" s="585" t="s">
        <v>115</v>
      </c>
      <c r="B212" s="586"/>
      <c r="C212" s="122">
        <v>2</v>
      </c>
      <c r="D212" s="123" t="s">
        <v>31</v>
      </c>
      <c r="E212" s="320">
        <f>'DECK TALLY'!B185</f>
        <v>180</v>
      </c>
      <c r="F212" s="376">
        <f>VLOOKUP(E212,'DECK TALLY'!$B$6:$C$316,2,FALSE)</f>
        <v>33.93</v>
      </c>
      <c r="G212" s="377">
        <f t="shared" si="15"/>
        <v>33.524500000000003</v>
      </c>
      <c r="H212" s="166" t="s">
        <v>29</v>
      </c>
      <c r="I212" s="246">
        <f t="shared" ref="I212:I275" si="17">IF(H212="IN",I211+G212,I211)</f>
        <v>6161.5860000000002</v>
      </c>
      <c r="J212" s="371">
        <f t="shared" si="16"/>
        <v>15193.414000000001</v>
      </c>
      <c r="K212" s="502"/>
      <c r="L212" s="145"/>
      <c r="M212" s="629"/>
      <c r="N212" s="630"/>
      <c r="O212" s="143"/>
      <c r="P212" s="244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</row>
    <row r="213" spans="1:33" s="2" customFormat="1" ht="20.100000000000001" customHeight="1">
      <c r="A213" s="585" t="s">
        <v>115</v>
      </c>
      <c r="B213" s="586"/>
      <c r="C213" s="122">
        <v>2</v>
      </c>
      <c r="D213" s="123" t="s">
        <v>31</v>
      </c>
      <c r="E213" s="395">
        <f>'DECK TALLY'!B186</f>
        <v>181</v>
      </c>
      <c r="F213" s="376">
        <f>VLOOKUP(E213,'DECK TALLY'!$B$6:$C$316,2,FALSE)</f>
        <v>33.9</v>
      </c>
      <c r="G213" s="377">
        <f t="shared" si="15"/>
        <v>33.494500000000002</v>
      </c>
      <c r="H213" s="131" t="s">
        <v>29</v>
      </c>
      <c r="I213" s="246">
        <f t="shared" si="17"/>
        <v>6195.0805</v>
      </c>
      <c r="J213" s="371">
        <f t="shared" si="16"/>
        <v>15159.9195</v>
      </c>
      <c r="K213" s="502"/>
      <c r="L213" s="145"/>
      <c r="M213" s="629"/>
      <c r="N213" s="630"/>
      <c r="O213" s="143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</row>
    <row r="214" spans="1:33" s="2" customFormat="1" ht="20.100000000000001" customHeight="1">
      <c r="A214" s="585" t="s">
        <v>115</v>
      </c>
      <c r="B214" s="586"/>
      <c r="C214" s="122">
        <v>2</v>
      </c>
      <c r="D214" s="123" t="s">
        <v>31</v>
      </c>
      <c r="E214" s="320">
        <f>'DECK TALLY'!B187</f>
        <v>182</v>
      </c>
      <c r="F214" s="376">
        <f>VLOOKUP(E214,'DECK TALLY'!$B$6:$C$316,2,FALSE)</f>
        <v>33.93</v>
      </c>
      <c r="G214" s="377">
        <f t="shared" si="15"/>
        <v>33.524500000000003</v>
      </c>
      <c r="H214" s="131" t="s">
        <v>29</v>
      </c>
      <c r="I214" s="246">
        <f t="shared" si="17"/>
        <v>6228.6050000000005</v>
      </c>
      <c r="J214" s="371">
        <f t="shared" si="16"/>
        <v>15126.395</v>
      </c>
      <c r="K214" s="502"/>
      <c r="L214" s="145"/>
      <c r="M214" s="629"/>
      <c r="N214" s="630"/>
      <c r="O214" s="143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</row>
    <row r="215" spans="1:33" s="2" customFormat="1" ht="20.100000000000001" customHeight="1">
      <c r="A215" s="585" t="s">
        <v>115</v>
      </c>
      <c r="B215" s="586"/>
      <c r="C215" s="167">
        <v>2</v>
      </c>
      <c r="D215" s="123" t="s">
        <v>31</v>
      </c>
      <c r="E215" s="320">
        <f>'DECK TALLY'!B188</f>
        <v>183</v>
      </c>
      <c r="F215" s="376">
        <f>VLOOKUP(E215,'DECK TALLY'!$B$6:$C$316,2,FALSE)</f>
        <v>33.950000000000003</v>
      </c>
      <c r="G215" s="377">
        <f t="shared" si="15"/>
        <v>33.544499999999999</v>
      </c>
      <c r="H215" s="131" t="s">
        <v>29</v>
      </c>
      <c r="I215" s="246">
        <f t="shared" si="17"/>
        <v>6262.1495000000004</v>
      </c>
      <c r="J215" s="371">
        <f t="shared" si="16"/>
        <v>15092.8505</v>
      </c>
      <c r="K215" s="502"/>
      <c r="L215" s="145"/>
      <c r="M215" s="629"/>
      <c r="N215" s="630"/>
      <c r="O215" s="143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</row>
    <row r="216" spans="1:33" s="2" customFormat="1" ht="20.100000000000001" customHeight="1">
      <c r="A216" s="585" t="s">
        <v>115</v>
      </c>
      <c r="B216" s="586"/>
      <c r="C216" s="122">
        <v>2</v>
      </c>
      <c r="D216" s="123" t="s">
        <v>31</v>
      </c>
      <c r="E216" s="395">
        <f>'DECK TALLY'!B189</f>
        <v>184</v>
      </c>
      <c r="F216" s="376">
        <f>VLOOKUP(E216,'DECK TALLY'!$B$6:$C$316,2,FALSE)</f>
        <v>33.94</v>
      </c>
      <c r="G216" s="377">
        <f t="shared" si="15"/>
        <v>33.534499999999994</v>
      </c>
      <c r="H216" s="131" t="s">
        <v>29</v>
      </c>
      <c r="I216" s="246">
        <f t="shared" si="17"/>
        <v>6295.6840000000002</v>
      </c>
      <c r="J216" s="371">
        <f t="shared" si="16"/>
        <v>15059.315999999999</v>
      </c>
      <c r="K216" s="502"/>
      <c r="L216" s="145"/>
      <c r="M216" s="629"/>
      <c r="N216" s="630"/>
      <c r="O216" s="143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</row>
    <row r="217" spans="1:33" s="2" customFormat="1" ht="20.100000000000001" customHeight="1">
      <c r="A217" s="585" t="s">
        <v>115</v>
      </c>
      <c r="B217" s="586"/>
      <c r="C217" s="122">
        <v>2</v>
      </c>
      <c r="D217" s="123" t="s">
        <v>31</v>
      </c>
      <c r="E217" s="320">
        <f>'DECK TALLY'!B190</f>
        <v>185</v>
      </c>
      <c r="F217" s="376">
        <f>VLOOKUP(E217,'DECK TALLY'!$B$6:$C$316,2,FALSE)</f>
        <v>33.94</v>
      </c>
      <c r="G217" s="377">
        <f t="shared" ref="G217:G282" si="18">F217-($H$12/12)</f>
        <v>33.534499999999994</v>
      </c>
      <c r="H217" s="131" t="s">
        <v>29</v>
      </c>
      <c r="I217" s="246">
        <f t="shared" si="17"/>
        <v>6329.2184999999999</v>
      </c>
      <c r="J217" s="371">
        <f t="shared" si="16"/>
        <v>15025.781500000001</v>
      </c>
      <c r="K217" s="502"/>
      <c r="L217" s="145"/>
      <c r="M217" s="629"/>
      <c r="N217" s="630"/>
      <c r="O217" s="143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</row>
    <row r="218" spans="1:33" s="2" customFormat="1" ht="20.100000000000001" customHeight="1">
      <c r="A218" s="585" t="s">
        <v>115</v>
      </c>
      <c r="B218" s="586"/>
      <c r="C218" s="122">
        <v>2</v>
      </c>
      <c r="D218" s="123" t="s">
        <v>31</v>
      </c>
      <c r="E218" s="320">
        <f>'DECK TALLY'!B191</f>
        <v>186</v>
      </c>
      <c r="F218" s="376">
        <f>VLOOKUP(E218,'DECK TALLY'!$B$6:$C$316,2,FALSE)</f>
        <v>33.950000000000003</v>
      </c>
      <c r="G218" s="377">
        <f t="shared" si="18"/>
        <v>33.544499999999999</v>
      </c>
      <c r="H218" s="131" t="s">
        <v>29</v>
      </c>
      <c r="I218" s="246">
        <f t="shared" si="17"/>
        <v>6362.7629999999999</v>
      </c>
      <c r="J218" s="371">
        <f t="shared" si="16"/>
        <v>14992.237000000001</v>
      </c>
      <c r="K218" s="502"/>
      <c r="L218" s="145"/>
      <c r="M218" s="629"/>
      <c r="N218" s="630"/>
      <c r="O218" s="143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</row>
    <row r="219" spans="1:33" s="2" customFormat="1" ht="20.100000000000001" customHeight="1">
      <c r="A219" s="585" t="s">
        <v>115</v>
      </c>
      <c r="B219" s="586"/>
      <c r="C219" s="122">
        <v>2</v>
      </c>
      <c r="D219" s="123" t="s">
        <v>31</v>
      </c>
      <c r="E219" s="395">
        <f>'DECK TALLY'!B192</f>
        <v>187</v>
      </c>
      <c r="F219" s="376">
        <f>VLOOKUP(E219,'DECK TALLY'!$B$6:$C$316,2,FALSE)</f>
        <v>33.950000000000003</v>
      </c>
      <c r="G219" s="377">
        <f t="shared" si="18"/>
        <v>33.544499999999999</v>
      </c>
      <c r="H219" s="131" t="s">
        <v>29</v>
      </c>
      <c r="I219" s="246">
        <f t="shared" si="17"/>
        <v>6396.3074999999999</v>
      </c>
      <c r="J219" s="371">
        <f t="shared" si="16"/>
        <v>14958.692500000001</v>
      </c>
      <c r="K219" s="502"/>
      <c r="L219" s="145"/>
      <c r="M219" s="629"/>
      <c r="N219" s="630"/>
      <c r="O219" s="143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</row>
    <row r="220" spans="1:33" s="2" customFormat="1" ht="20.100000000000001" customHeight="1">
      <c r="A220" s="585" t="s">
        <v>115</v>
      </c>
      <c r="B220" s="586"/>
      <c r="C220" s="122">
        <v>2</v>
      </c>
      <c r="D220" s="123" t="s">
        <v>31</v>
      </c>
      <c r="E220" s="320">
        <f>'DECK TALLY'!B193</f>
        <v>188</v>
      </c>
      <c r="F220" s="376">
        <f>VLOOKUP(E220,'DECK TALLY'!$B$6:$C$316,2,FALSE)</f>
        <v>33.950000000000003</v>
      </c>
      <c r="G220" s="377">
        <f t="shared" si="18"/>
        <v>33.544499999999999</v>
      </c>
      <c r="H220" s="131" t="s">
        <v>29</v>
      </c>
      <c r="I220" s="246">
        <f t="shared" si="17"/>
        <v>6429.8519999999999</v>
      </c>
      <c r="J220" s="371">
        <f t="shared" si="16"/>
        <v>14925.148000000001</v>
      </c>
      <c r="K220" s="502"/>
      <c r="L220" s="145"/>
      <c r="M220" s="629"/>
      <c r="N220" s="630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</row>
    <row r="221" spans="1:33" s="2" customFormat="1" ht="20.100000000000001" customHeight="1">
      <c r="A221" s="585" t="s">
        <v>115</v>
      </c>
      <c r="B221" s="586"/>
      <c r="C221" s="122">
        <v>2</v>
      </c>
      <c r="D221" s="123" t="s">
        <v>31</v>
      </c>
      <c r="E221" s="320">
        <f>'DECK TALLY'!B194</f>
        <v>189</v>
      </c>
      <c r="F221" s="376">
        <f>VLOOKUP(E221,'DECK TALLY'!$B$6:$C$316,2,FALSE)</f>
        <v>33.94</v>
      </c>
      <c r="G221" s="377">
        <f t="shared" si="18"/>
        <v>33.534499999999994</v>
      </c>
      <c r="H221" s="131" t="s">
        <v>29</v>
      </c>
      <c r="I221" s="246">
        <f t="shared" si="17"/>
        <v>6463.3864999999996</v>
      </c>
      <c r="J221" s="371">
        <f t="shared" si="16"/>
        <v>14891.613499999999</v>
      </c>
      <c r="K221" s="502"/>
      <c r="L221" s="145"/>
      <c r="M221" s="629"/>
      <c r="N221" s="630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</row>
    <row r="222" spans="1:33" s="2" customFormat="1" ht="20.100000000000001" customHeight="1">
      <c r="A222" s="585" t="s">
        <v>115</v>
      </c>
      <c r="B222" s="586"/>
      <c r="C222" s="122">
        <v>2</v>
      </c>
      <c r="D222" s="123" t="s">
        <v>31</v>
      </c>
      <c r="E222" s="395">
        <f>'DECK TALLY'!B195</f>
        <v>190</v>
      </c>
      <c r="F222" s="376">
        <f>VLOOKUP(E222,'DECK TALLY'!$B$6:$C$316,2,FALSE)</f>
        <v>33.950000000000003</v>
      </c>
      <c r="G222" s="377">
        <f t="shared" si="18"/>
        <v>33.544499999999999</v>
      </c>
      <c r="H222" s="131" t="s">
        <v>29</v>
      </c>
      <c r="I222" s="246">
        <f t="shared" si="17"/>
        <v>6496.9309999999996</v>
      </c>
      <c r="J222" s="371">
        <f t="shared" si="16"/>
        <v>14858.069</v>
      </c>
      <c r="K222" s="502"/>
      <c r="L222" s="145"/>
      <c r="M222" s="629"/>
      <c r="N222" s="630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</row>
    <row r="223" spans="1:33" s="2" customFormat="1" ht="20.100000000000001" customHeight="1">
      <c r="A223" s="585" t="s">
        <v>115</v>
      </c>
      <c r="B223" s="586"/>
      <c r="C223" s="122">
        <v>2</v>
      </c>
      <c r="D223" s="123" t="s">
        <v>31</v>
      </c>
      <c r="E223" s="320">
        <f>'DECK TALLY'!B196</f>
        <v>191</v>
      </c>
      <c r="F223" s="376">
        <f>VLOOKUP(E223,'DECK TALLY'!$B$6:$C$316,2,FALSE)</f>
        <v>33.9</v>
      </c>
      <c r="G223" s="377">
        <f t="shared" si="18"/>
        <v>33.494500000000002</v>
      </c>
      <c r="H223" s="131" t="s">
        <v>29</v>
      </c>
      <c r="I223" s="246">
        <f t="shared" si="17"/>
        <v>6530.4254999999994</v>
      </c>
      <c r="J223" s="371">
        <f t="shared" si="16"/>
        <v>14824.574500000001</v>
      </c>
      <c r="K223" s="502"/>
      <c r="L223" s="145"/>
      <c r="M223" s="629"/>
      <c r="N223" s="630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</row>
    <row r="224" spans="1:33" s="2" customFormat="1" ht="20.100000000000001" customHeight="1">
      <c r="A224" s="585" t="s">
        <v>115</v>
      </c>
      <c r="B224" s="586"/>
      <c r="C224" s="122">
        <v>2</v>
      </c>
      <c r="D224" s="123" t="s">
        <v>31</v>
      </c>
      <c r="E224" s="320">
        <f>'DECK TALLY'!B197</f>
        <v>192</v>
      </c>
      <c r="F224" s="376">
        <f>VLOOKUP(E224,'DECK TALLY'!$B$6:$C$316,2,FALSE)</f>
        <v>33.69</v>
      </c>
      <c r="G224" s="377">
        <f t="shared" si="18"/>
        <v>33.284499999999994</v>
      </c>
      <c r="H224" s="131" t="s">
        <v>29</v>
      </c>
      <c r="I224" s="246">
        <f t="shared" si="17"/>
        <v>6563.7099999999991</v>
      </c>
      <c r="J224" s="371">
        <f t="shared" si="16"/>
        <v>14791.29</v>
      </c>
      <c r="K224" s="502"/>
      <c r="L224" s="145"/>
      <c r="M224" s="629"/>
      <c r="N224" s="630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</row>
    <row r="225" spans="1:33" s="2" customFormat="1" ht="20.100000000000001" customHeight="1">
      <c r="A225" s="585" t="s">
        <v>115</v>
      </c>
      <c r="B225" s="586"/>
      <c r="C225" s="122">
        <v>2</v>
      </c>
      <c r="D225" s="123" t="s">
        <v>31</v>
      </c>
      <c r="E225" s="395">
        <f>'DECK TALLY'!B198</f>
        <v>193</v>
      </c>
      <c r="F225" s="376">
        <f>VLOOKUP(E225,'DECK TALLY'!$B$6:$C$316,2,FALSE)</f>
        <v>33.47</v>
      </c>
      <c r="G225" s="377">
        <f t="shared" si="18"/>
        <v>33.064499999999995</v>
      </c>
      <c r="H225" s="131" t="s">
        <v>29</v>
      </c>
      <c r="I225" s="246">
        <f t="shared" si="17"/>
        <v>6596.7744999999995</v>
      </c>
      <c r="J225" s="371">
        <f t="shared" si="16"/>
        <v>14758.2255</v>
      </c>
      <c r="K225" s="502"/>
      <c r="L225" s="145"/>
      <c r="M225" s="629"/>
      <c r="N225" s="630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</row>
    <row r="226" spans="1:33" s="2" customFormat="1" ht="20.100000000000001" customHeight="1">
      <c r="A226" s="585" t="s">
        <v>115</v>
      </c>
      <c r="B226" s="586"/>
      <c r="C226" s="122">
        <v>2</v>
      </c>
      <c r="D226" s="123" t="s">
        <v>31</v>
      </c>
      <c r="E226" s="320">
        <f>'DECK TALLY'!B199</f>
        <v>194</v>
      </c>
      <c r="F226" s="376">
        <f>VLOOKUP(E226,'DECK TALLY'!$B$6:$C$316,2,FALSE)</f>
        <v>33.72</v>
      </c>
      <c r="G226" s="377">
        <f t="shared" si="18"/>
        <v>33.314499999999995</v>
      </c>
      <c r="H226" s="131" t="s">
        <v>29</v>
      </c>
      <c r="I226" s="246">
        <f t="shared" si="17"/>
        <v>6630.0889999999999</v>
      </c>
      <c r="J226" s="371">
        <f t="shared" si="16"/>
        <v>14724.911</v>
      </c>
      <c r="K226" s="502"/>
      <c r="L226" s="145"/>
      <c r="M226" s="629"/>
      <c r="N226" s="630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</row>
    <row r="227" spans="1:33" s="2" customFormat="1" ht="20.100000000000001" customHeight="1">
      <c r="A227" s="585" t="s">
        <v>115</v>
      </c>
      <c r="B227" s="586"/>
      <c r="C227" s="122">
        <v>2</v>
      </c>
      <c r="D227" s="123" t="s">
        <v>31</v>
      </c>
      <c r="E227" s="320">
        <f>'DECK TALLY'!B200</f>
        <v>195</v>
      </c>
      <c r="F227" s="376">
        <f>VLOOKUP(E227,'DECK TALLY'!$B$6:$C$316,2,FALSE)</f>
        <v>33.97</v>
      </c>
      <c r="G227" s="377">
        <f t="shared" si="18"/>
        <v>33.564499999999995</v>
      </c>
      <c r="H227" s="131" t="s">
        <v>29</v>
      </c>
      <c r="I227" s="246">
        <f t="shared" si="17"/>
        <v>6663.6535000000003</v>
      </c>
      <c r="J227" s="371">
        <f t="shared" si="16"/>
        <v>14691.3465</v>
      </c>
      <c r="K227" s="502"/>
      <c r="L227" s="145"/>
      <c r="M227" s="629"/>
      <c r="N227" s="630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</row>
    <row r="228" spans="1:33" s="2" customFormat="1" ht="20.100000000000001" customHeight="1">
      <c r="A228" s="585" t="s">
        <v>115</v>
      </c>
      <c r="B228" s="586"/>
      <c r="C228" s="122">
        <v>2</v>
      </c>
      <c r="D228" s="123" t="s">
        <v>31</v>
      </c>
      <c r="E228" s="395">
        <f>'DECK TALLY'!B201</f>
        <v>196</v>
      </c>
      <c r="F228" s="376">
        <f>VLOOKUP(E228,'DECK TALLY'!$B$6:$C$316,2,FALSE)</f>
        <v>33.96</v>
      </c>
      <c r="G228" s="377">
        <f t="shared" si="18"/>
        <v>33.554500000000004</v>
      </c>
      <c r="H228" s="131" t="s">
        <v>29</v>
      </c>
      <c r="I228" s="246">
        <f t="shared" si="17"/>
        <v>6697.2080000000005</v>
      </c>
      <c r="J228" s="371">
        <f t="shared" si="16"/>
        <v>14657.791999999999</v>
      </c>
      <c r="K228" s="502"/>
      <c r="L228" s="145"/>
      <c r="M228" s="629"/>
      <c r="N228" s="630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</row>
    <row r="229" spans="1:33" s="2" customFormat="1" ht="20.100000000000001" customHeight="1">
      <c r="A229" s="585" t="s">
        <v>115</v>
      </c>
      <c r="B229" s="586"/>
      <c r="C229" s="122">
        <v>2</v>
      </c>
      <c r="D229" s="123" t="s">
        <v>31</v>
      </c>
      <c r="E229" s="320">
        <f>'DECK TALLY'!B202</f>
        <v>197</v>
      </c>
      <c r="F229" s="376">
        <f>VLOOKUP(E229,'DECK TALLY'!$B$6:$C$316,2,FALSE)</f>
        <v>31.92</v>
      </c>
      <c r="G229" s="377">
        <f t="shared" si="18"/>
        <v>31.514500000000002</v>
      </c>
      <c r="H229" s="131" t="s">
        <v>29</v>
      </c>
      <c r="I229" s="246">
        <f t="shared" si="17"/>
        <v>6728.7225000000008</v>
      </c>
      <c r="J229" s="371">
        <f t="shared" si="16"/>
        <v>14626.2775</v>
      </c>
      <c r="K229" s="502"/>
      <c r="L229" s="145"/>
      <c r="M229" s="629"/>
      <c r="N229" s="630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</row>
    <row r="230" spans="1:33" s="2" customFormat="1" ht="20.100000000000001" customHeight="1">
      <c r="A230" s="585" t="s">
        <v>115</v>
      </c>
      <c r="B230" s="586"/>
      <c r="C230" s="122">
        <v>2</v>
      </c>
      <c r="D230" s="123" t="s">
        <v>31</v>
      </c>
      <c r="E230" s="320">
        <f>'DECK TALLY'!B203</f>
        <v>198</v>
      </c>
      <c r="F230" s="376">
        <f>VLOOKUP(E230,'DECK TALLY'!$B$6:$C$316,2,FALSE)</f>
        <v>33.96</v>
      </c>
      <c r="G230" s="377">
        <f t="shared" si="18"/>
        <v>33.554500000000004</v>
      </c>
      <c r="H230" s="131" t="s">
        <v>29</v>
      </c>
      <c r="I230" s="246">
        <f t="shared" si="17"/>
        <v>6762.277000000001</v>
      </c>
      <c r="J230" s="371">
        <f t="shared" si="16"/>
        <v>14592.722999999998</v>
      </c>
      <c r="K230" s="502"/>
      <c r="L230" s="145"/>
      <c r="M230" s="629"/>
      <c r="N230" s="630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</row>
    <row r="231" spans="1:33" s="2" customFormat="1" ht="20.100000000000001" customHeight="1">
      <c r="A231" s="585" t="s">
        <v>115</v>
      </c>
      <c r="B231" s="586"/>
      <c r="C231" s="122">
        <v>2</v>
      </c>
      <c r="D231" s="123" t="s">
        <v>31</v>
      </c>
      <c r="E231" s="395">
        <f>'DECK TALLY'!B204</f>
        <v>199</v>
      </c>
      <c r="F231" s="376">
        <f>VLOOKUP(E231,'DECK TALLY'!$B$6:$C$316,2,FALSE)</f>
        <v>33.880000000000003</v>
      </c>
      <c r="G231" s="377">
        <f t="shared" si="18"/>
        <v>33.474500000000006</v>
      </c>
      <c r="H231" s="131" t="s">
        <v>29</v>
      </c>
      <c r="I231" s="246">
        <f t="shared" si="17"/>
        <v>6795.7515000000012</v>
      </c>
      <c r="J231" s="371">
        <f t="shared" si="16"/>
        <v>14559.248499999998</v>
      </c>
      <c r="K231" s="502"/>
      <c r="L231" s="145"/>
      <c r="M231" s="629"/>
      <c r="N231" s="630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</row>
    <row r="232" spans="1:33" s="2" customFormat="1" ht="20.100000000000001" customHeight="1">
      <c r="A232" s="585" t="s">
        <v>115</v>
      </c>
      <c r="B232" s="586"/>
      <c r="C232" s="122">
        <v>2</v>
      </c>
      <c r="D232" s="123" t="s">
        <v>31</v>
      </c>
      <c r="E232" s="320">
        <f>'DECK TALLY'!B205</f>
        <v>200</v>
      </c>
      <c r="F232" s="376">
        <f>VLOOKUP(E232,'DECK TALLY'!$B$6:$C$316,2,FALSE)</f>
        <v>33.96</v>
      </c>
      <c r="G232" s="377">
        <f t="shared" si="18"/>
        <v>33.554500000000004</v>
      </c>
      <c r="H232" s="131" t="s">
        <v>29</v>
      </c>
      <c r="I232" s="246">
        <f t="shared" si="17"/>
        <v>6829.3060000000014</v>
      </c>
      <c r="J232" s="371">
        <f t="shared" si="16"/>
        <v>14525.694</v>
      </c>
      <c r="K232" s="502"/>
      <c r="L232" s="145"/>
      <c r="M232" s="629"/>
      <c r="N232" s="630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</row>
    <row r="233" spans="1:33" s="2" customFormat="1" ht="20.100000000000001" customHeight="1">
      <c r="A233" s="585" t="s">
        <v>115</v>
      </c>
      <c r="B233" s="586"/>
      <c r="C233" s="122">
        <v>2</v>
      </c>
      <c r="D233" s="123" t="s">
        <v>31</v>
      </c>
      <c r="E233" s="320">
        <f>'DECK TALLY'!B206</f>
        <v>201</v>
      </c>
      <c r="F233" s="376">
        <f>VLOOKUP(E233,'DECK TALLY'!$B$6:$C$316,2,FALSE)</f>
        <v>33.950000000000003</v>
      </c>
      <c r="G233" s="377">
        <f t="shared" si="18"/>
        <v>33.544499999999999</v>
      </c>
      <c r="H233" s="131" t="s">
        <v>29</v>
      </c>
      <c r="I233" s="246">
        <f t="shared" si="17"/>
        <v>6862.8505000000014</v>
      </c>
      <c r="J233" s="371">
        <f t="shared" si="16"/>
        <v>14492.1495</v>
      </c>
      <c r="K233" s="502"/>
      <c r="L233" s="145"/>
      <c r="M233" s="629"/>
      <c r="N233" s="630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</row>
    <row r="234" spans="1:33" s="2" customFormat="1" ht="20.100000000000001" customHeight="1">
      <c r="A234" s="585" t="s">
        <v>115</v>
      </c>
      <c r="B234" s="586"/>
      <c r="C234" s="122">
        <v>2</v>
      </c>
      <c r="D234" s="123" t="s">
        <v>31</v>
      </c>
      <c r="E234" s="395">
        <f>'DECK TALLY'!B207</f>
        <v>202</v>
      </c>
      <c r="F234" s="376">
        <f>VLOOKUP(E234,'DECK TALLY'!$B$6:$C$316,2,FALSE)</f>
        <v>33.950000000000003</v>
      </c>
      <c r="G234" s="377">
        <f t="shared" si="18"/>
        <v>33.544499999999999</v>
      </c>
      <c r="H234" s="131" t="s">
        <v>29</v>
      </c>
      <c r="I234" s="246">
        <f t="shared" si="17"/>
        <v>6896.3950000000013</v>
      </c>
      <c r="J234" s="371">
        <f t="shared" si="16"/>
        <v>14458.605</v>
      </c>
      <c r="K234" s="502"/>
      <c r="L234" s="145"/>
      <c r="M234" s="629"/>
      <c r="N234" s="630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</row>
    <row r="235" spans="1:33" s="2" customFormat="1" ht="20.100000000000001" customHeight="1">
      <c r="A235" s="585" t="s">
        <v>115</v>
      </c>
      <c r="B235" s="586"/>
      <c r="C235" s="122">
        <v>2</v>
      </c>
      <c r="D235" s="123" t="s">
        <v>31</v>
      </c>
      <c r="E235" s="320">
        <f>'DECK TALLY'!B208</f>
        <v>203</v>
      </c>
      <c r="F235" s="376">
        <f>VLOOKUP(E235,'DECK TALLY'!$B$6:$C$316,2,FALSE)</f>
        <v>33.94</v>
      </c>
      <c r="G235" s="377">
        <f t="shared" si="18"/>
        <v>33.534499999999994</v>
      </c>
      <c r="H235" s="131" t="s">
        <v>29</v>
      </c>
      <c r="I235" s="246">
        <f t="shared" si="17"/>
        <v>6929.9295000000011</v>
      </c>
      <c r="J235" s="371">
        <f t="shared" si="16"/>
        <v>14425.070499999998</v>
      </c>
      <c r="K235" s="502"/>
      <c r="L235" s="145"/>
      <c r="M235" s="629"/>
      <c r="N235" s="630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</row>
    <row r="236" spans="1:33" s="2" customFormat="1" ht="20.100000000000001" customHeight="1">
      <c r="A236" s="585" t="s">
        <v>115</v>
      </c>
      <c r="B236" s="586"/>
      <c r="C236" s="167">
        <v>2</v>
      </c>
      <c r="D236" s="123" t="s">
        <v>31</v>
      </c>
      <c r="E236" s="320">
        <f>'DECK TALLY'!B209</f>
        <v>204</v>
      </c>
      <c r="F236" s="376">
        <f>VLOOKUP(E236,'DECK TALLY'!$B$6:$C$316,2,FALSE)</f>
        <v>33.950000000000003</v>
      </c>
      <c r="G236" s="377">
        <f t="shared" si="18"/>
        <v>33.544499999999999</v>
      </c>
      <c r="H236" s="131" t="s">
        <v>29</v>
      </c>
      <c r="I236" s="246">
        <f t="shared" si="17"/>
        <v>6963.4740000000011</v>
      </c>
      <c r="J236" s="371">
        <f t="shared" si="16"/>
        <v>14391.525999999998</v>
      </c>
      <c r="K236" s="502"/>
      <c r="L236" s="145"/>
      <c r="M236" s="629"/>
      <c r="N236" s="630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</row>
    <row r="237" spans="1:33" s="2" customFormat="1" ht="20.100000000000001" customHeight="1">
      <c r="A237" s="585" t="s">
        <v>115</v>
      </c>
      <c r="B237" s="586"/>
      <c r="C237" s="167">
        <v>2</v>
      </c>
      <c r="D237" s="123" t="s">
        <v>31</v>
      </c>
      <c r="E237" s="395">
        <f>'DECK TALLY'!B210</f>
        <v>205</v>
      </c>
      <c r="F237" s="376">
        <f>VLOOKUP(E237,'DECK TALLY'!$B$6:$C$316,2,FALSE)</f>
        <v>33.94</v>
      </c>
      <c r="G237" s="377">
        <f t="shared" si="18"/>
        <v>33.534499999999994</v>
      </c>
      <c r="H237" s="131" t="s">
        <v>29</v>
      </c>
      <c r="I237" s="246">
        <f t="shared" si="17"/>
        <v>6997.0085000000008</v>
      </c>
      <c r="J237" s="371">
        <f t="shared" si="16"/>
        <v>14357.9915</v>
      </c>
      <c r="K237" s="502"/>
      <c r="L237" s="145"/>
      <c r="M237" s="629"/>
      <c r="N237" s="630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</row>
    <row r="238" spans="1:33" s="2" customFormat="1" ht="20.100000000000001" customHeight="1">
      <c r="A238" s="585" t="s">
        <v>115</v>
      </c>
      <c r="B238" s="586"/>
      <c r="C238" s="122">
        <v>2</v>
      </c>
      <c r="D238" s="123" t="s">
        <v>31</v>
      </c>
      <c r="E238" s="320">
        <f>'DECK TALLY'!B211</f>
        <v>206</v>
      </c>
      <c r="F238" s="376">
        <f>VLOOKUP(E238,'DECK TALLY'!$B$6:$C$316,2,FALSE)</f>
        <v>33.94</v>
      </c>
      <c r="G238" s="377">
        <f t="shared" si="18"/>
        <v>33.534499999999994</v>
      </c>
      <c r="H238" s="131" t="s">
        <v>29</v>
      </c>
      <c r="I238" s="246">
        <f t="shared" si="17"/>
        <v>7030.5430000000006</v>
      </c>
      <c r="J238" s="371">
        <f t="shared" si="16"/>
        <v>14324.456999999999</v>
      </c>
      <c r="K238" s="502"/>
      <c r="L238" s="145"/>
      <c r="M238" s="629"/>
      <c r="N238" s="630"/>
      <c r="O238" s="29"/>
      <c r="P238" s="245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</row>
    <row r="239" spans="1:33" s="2" customFormat="1" ht="20.100000000000001" customHeight="1">
      <c r="A239" s="585" t="s">
        <v>115</v>
      </c>
      <c r="B239" s="586"/>
      <c r="C239" s="122">
        <v>2</v>
      </c>
      <c r="D239" s="123" t="s">
        <v>31</v>
      </c>
      <c r="E239" s="320">
        <f>'DECK TALLY'!B212</f>
        <v>207</v>
      </c>
      <c r="F239" s="376">
        <f>VLOOKUP(E239,'DECK TALLY'!$B$6:$C$316,2,FALSE)</f>
        <v>33.950000000000003</v>
      </c>
      <c r="G239" s="377">
        <f t="shared" si="18"/>
        <v>33.544499999999999</v>
      </c>
      <c r="H239" s="131" t="s">
        <v>29</v>
      </c>
      <c r="I239" s="246">
        <f t="shared" si="17"/>
        <v>7064.0875000000005</v>
      </c>
      <c r="J239" s="371">
        <f t="shared" si="16"/>
        <v>14290.912499999999</v>
      </c>
      <c r="K239" s="502"/>
      <c r="L239" s="145"/>
      <c r="M239" s="629"/>
      <c r="N239" s="630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</row>
    <row r="240" spans="1:33" s="2" customFormat="1" ht="20.100000000000001" customHeight="1">
      <c r="A240" s="585" t="s">
        <v>115</v>
      </c>
      <c r="B240" s="586"/>
      <c r="C240" s="122">
        <v>2</v>
      </c>
      <c r="D240" s="123" t="s">
        <v>31</v>
      </c>
      <c r="E240" s="395">
        <f>'DECK TALLY'!B213</f>
        <v>208</v>
      </c>
      <c r="F240" s="376">
        <f>VLOOKUP(E240,'DECK TALLY'!$B$6:$C$316,2,FALSE)</f>
        <v>33.950000000000003</v>
      </c>
      <c r="G240" s="377">
        <f t="shared" si="18"/>
        <v>33.544499999999999</v>
      </c>
      <c r="H240" s="131" t="s">
        <v>29</v>
      </c>
      <c r="I240" s="246">
        <f t="shared" si="17"/>
        <v>7097.6320000000005</v>
      </c>
      <c r="J240" s="371">
        <f t="shared" si="16"/>
        <v>14257.367999999999</v>
      </c>
      <c r="K240" s="502"/>
      <c r="L240" s="145"/>
      <c r="M240" s="629"/>
      <c r="N240" s="630"/>
      <c r="O240" s="143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</row>
    <row r="241" spans="1:33" s="2" customFormat="1" ht="20.100000000000001" customHeight="1">
      <c r="A241" s="585" t="s">
        <v>115</v>
      </c>
      <c r="B241" s="586"/>
      <c r="C241" s="122">
        <v>2</v>
      </c>
      <c r="D241" s="123" t="s">
        <v>31</v>
      </c>
      <c r="E241" s="320">
        <f>'DECK TALLY'!B214</f>
        <v>209</v>
      </c>
      <c r="F241" s="376">
        <f>VLOOKUP(E241,'DECK TALLY'!$B$6:$C$316,2,FALSE)</f>
        <v>33.94</v>
      </c>
      <c r="G241" s="377">
        <f t="shared" si="18"/>
        <v>33.534499999999994</v>
      </c>
      <c r="H241" s="131" t="s">
        <v>29</v>
      </c>
      <c r="I241" s="246">
        <f t="shared" si="17"/>
        <v>7131.1665000000003</v>
      </c>
      <c r="J241" s="371">
        <f t="shared" si="16"/>
        <v>14223.833500000001</v>
      </c>
      <c r="K241" s="502"/>
      <c r="L241" s="145"/>
      <c r="M241" s="629"/>
      <c r="N241" s="630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</row>
    <row r="242" spans="1:33" s="2" customFormat="1" ht="20.100000000000001" customHeight="1">
      <c r="A242" s="585" t="s">
        <v>115</v>
      </c>
      <c r="B242" s="586"/>
      <c r="C242" s="122">
        <v>2</v>
      </c>
      <c r="D242" s="123" t="s">
        <v>31</v>
      </c>
      <c r="E242" s="320">
        <f>'DECK TALLY'!B215</f>
        <v>210</v>
      </c>
      <c r="F242" s="376">
        <f>VLOOKUP(E242,'DECK TALLY'!$B$6:$C$316,2,FALSE)</f>
        <v>33.94</v>
      </c>
      <c r="G242" s="377">
        <f t="shared" si="18"/>
        <v>33.534499999999994</v>
      </c>
      <c r="H242" s="131" t="s">
        <v>29</v>
      </c>
      <c r="I242" s="246">
        <f t="shared" si="17"/>
        <v>7164.701</v>
      </c>
      <c r="J242" s="371">
        <f t="shared" si="16"/>
        <v>14190.298999999999</v>
      </c>
      <c r="K242" s="502"/>
      <c r="L242" s="145"/>
      <c r="M242" s="629"/>
      <c r="N242" s="630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</row>
    <row r="243" spans="1:33" s="2" customFormat="1" ht="20.100000000000001" customHeight="1">
      <c r="A243" s="585" t="s">
        <v>115</v>
      </c>
      <c r="B243" s="586"/>
      <c r="C243" s="122">
        <v>2</v>
      </c>
      <c r="D243" s="123" t="s">
        <v>31</v>
      </c>
      <c r="E243" s="395">
        <f>'DECK TALLY'!B216</f>
        <v>211</v>
      </c>
      <c r="F243" s="376">
        <f>VLOOKUP(E243,'DECK TALLY'!$B$6:$C$316,2,FALSE)</f>
        <v>33.94</v>
      </c>
      <c r="G243" s="377">
        <f t="shared" si="18"/>
        <v>33.534499999999994</v>
      </c>
      <c r="H243" s="131" t="s">
        <v>29</v>
      </c>
      <c r="I243" s="246">
        <f t="shared" si="17"/>
        <v>7198.2354999999998</v>
      </c>
      <c r="J243" s="371">
        <f t="shared" si="16"/>
        <v>14156.764500000001</v>
      </c>
      <c r="K243" s="502"/>
      <c r="L243" s="145"/>
      <c r="M243" s="629"/>
      <c r="N243" s="630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</row>
    <row r="244" spans="1:33" s="2" customFormat="1" ht="20.100000000000001" customHeight="1">
      <c r="A244" s="585" t="s">
        <v>115</v>
      </c>
      <c r="B244" s="586"/>
      <c r="C244" s="122">
        <v>2</v>
      </c>
      <c r="D244" s="123" t="s">
        <v>31</v>
      </c>
      <c r="E244" s="320">
        <f>'DECK TALLY'!B217</f>
        <v>212</v>
      </c>
      <c r="F244" s="376">
        <f>VLOOKUP(E244,'DECK TALLY'!$B$6:$C$316,2,FALSE)</f>
        <v>33.93</v>
      </c>
      <c r="G244" s="377">
        <f t="shared" si="18"/>
        <v>33.524500000000003</v>
      </c>
      <c r="H244" s="131" t="s">
        <v>29</v>
      </c>
      <c r="I244" s="246">
        <f t="shared" si="17"/>
        <v>7231.76</v>
      </c>
      <c r="J244" s="371">
        <f t="shared" si="16"/>
        <v>14123.24</v>
      </c>
      <c r="K244" s="502"/>
      <c r="L244" s="145"/>
      <c r="M244" s="629"/>
      <c r="N244" s="630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</row>
    <row r="245" spans="1:33" s="2" customFormat="1" ht="20.100000000000001" customHeight="1">
      <c r="A245" s="585" t="s">
        <v>115</v>
      </c>
      <c r="B245" s="586"/>
      <c r="C245" s="122">
        <v>2</v>
      </c>
      <c r="D245" s="123" t="s">
        <v>31</v>
      </c>
      <c r="E245" s="320">
        <f>'DECK TALLY'!B218</f>
        <v>213</v>
      </c>
      <c r="F245" s="376">
        <f>VLOOKUP(E245,'DECK TALLY'!$B$6:$C$316,2,FALSE)</f>
        <v>30.91</v>
      </c>
      <c r="G245" s="377">
        <f t="shared" si="18"/>
        <v>30.5045</v>
      </c>
      <c r="H245" s="131" t="s">
        <v>29</v>
      </c>
      <c r="I245" s="246">
        <f t="shared" si="17"/>
        <v>7262.2645000000002</v>
      </c>
      <c r="J245" s="371">
        <f t="shared" si="16"/>
        <v>14092.735499999999</v>
      </c>
      <c r="K245" s="502"/>
      <c r="L245" s="145"/>
      <c r="M245" s="629"/>
      <c r="N245" s="630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</row>
    <row r="246" spans="1:33" s="2" customFormat="1" ht="20.100000000000001" customHeight="1">
      <c r="A246" s="585" t="s">
        <v>115</v>
      </c>
      <c r="B246" s="586"/>
      <c r="C246" s="122">
        <v>2</v>
      </c>
      <c r="D246" s="123" t="s">
        <v>31</v>
      </c>
      <c r="E246" s="395">
        <f>'DECK TALLY'!B219</f>
        <v>214</v>
      </c>
      <c r="F246" s="376">
        <f>VLOOKUP(E246,'DECK TALLY'!$B$6:$C$316,2,FALSE)</f>
        <v>33.94</v>
      </c>
      <c r="G246" s="377">
        <f t="shared" si="18"/>
        <v>33.534499999999994</v>
      </c>
      <c r="H246" s="131" t="s">
        <v>29</v>
      </c>
      <c r="I246" s="246">
        <f t="shared" si="17"/>
        <v>7295.799</v>
      </c>
      <c r="J246" s="371">
        <f t="shared" si="16"/>
        <v>14059.201000000001</v>
      </c>
      <c r="K246" s="502"/>
      <c r="L246" s="145"/>
      <c r="M246" s="629"/>
      <c r="N246" s="630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</row>
    <row r="247" spans="1:33" s="2" customFormat="1" ht="20.100000000000001" customHeight="1">
      <c r="A247" s="585" t="s">
        <v>115</v>
      </c>
      <c r="B247" s="586"/>
      <c r="C247" s="122">
        <v>2</v>
      </c>
      <c r="D247" s="123" t="s">
        <v>31</v>
      </c>
      <c r="E247" s="320">
        <f>'DECK TALLY'!B220</f>
        <v>215</v>
      </c>
      <c r="F247" s="376">
        <f>VLOOKUP(E247,'DECK TALLY'!$B$6:$C$316,2,FALSE)</f>
        <v>33.94</v>
      </c>
      <c r="G247" s="377">
        <f t="shared" si="18"/>
        <v>33.534499999999994</v>
      </c>
      <c r="H247" s="131" t="s">
        <v>29</v>
      </c>
      <c r="I247" s="246">
        <f t="shared" si="17"/>
        <v>7329.3334999999997</v>
      </c>
      <c r="J247" s="371">
        <f t="shared" si="16"/>
        <v>14025.666499999999</v>
      </c>
      <c r="K247" s="502"/>
      <c r="L247" s="145"/>
      <c r="M247" s="629"/>
      <c r="N247" s="630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</row>
    <row r="248" spans="1:33" s="2" customFormat="1" ht="20.100000000000001" customHeight="1">
      <c r="A248" s="585" t="s">
        <v>115</v>
      </c>
      <c r="B248" s="586"/>
      <c r="C248" s="122">
        <v>2</v>
      </c>
      <c r="D248" s="123" t="s">
        <v>31</v>
      </c>
      <c r="E248" s="320">
        <f>'DECK TALLY'!B221</f>
        <v>216</v>
      </c>
      <c r="F248" s="376">
        <f>VLOOKUP(E248,'DECK TALLY'!$B$6:$C$316,2,FALSE)</f>
        <v>33.58</v>
      </c>
      <c r="G248" s="377">
        <f t="shared" si="18"/>
        <v>33.174499999999995</v>
      </c>
      <c r="H248" s="131" t="s">
        <v>29</v>
      </c>
      <c r="I248" s="246">
        <f t="shared" si="17"/>
        <v>7362.5079999999998</v>
      </c>
      <c r="J248" s="371">
        <f t="shared" si="16"/>
        <v>13992.492</v>
      </c>
      <c r="K248" s="502"/>
      <c r="L248" s="145"/>
      <c r="M248" s="629"/>
      <c r="N248" s="630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</row>
    <row r="249" spans="1:33" s="2" customFormat="1" ht="20.100000000000001" customHeight="1">
      <c r="A249" s="585" t="s">
        <v>115</v>
      </c>
      <c r="B249" s="586"/>
      <c r="C249" s="122">
        <v>2</v>
      </c>
      <c r="D249" s="123" t="s">
        <v>31</v>
      </c>
      <c r="E249" s="395">
        <f>'DECK TALLY'!B222</f>
        <v>217</v>
      </c>
      <c r="F249" s="376">
        <f>VLOOKUP(E249,'DECK TALLY'!$B$6:$C$316,2,FALSE)</f>
        <v>33.93</v>
      </c>
      <c r="G249" s="377">
        <f t="shared" si="18"/>
        <v>33.524500000000003</v>
      </c>
      <c r="H249" s="131" t="s">
        <v>29</v>
      </c>
      <c r="I249" s="246">
        <f t="shared" si="17"/>
        <v>7396.0325000000003</v>
      </c>
      <c r="J249" s="371">
        <f t="shared" si="16"/>
        <v>13958.967499999999</v>
      </c>
      <c r="K249" s="502"/>
      <c r="L249" s="145"/>
      <c r="M249" s="629"/>
      <c r="N249" s="630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</row>
    <row r="250" spans="1:33" s="2" customFormat="1" ht="20.100000000000001" customHeight="1">
      <c r="A250" s="585" t="s">
        <v>115</v>
      </c>
      <c r="B250" s="586"/>
      <c r="C250" s="122">
        <v>2</v>
      </c>
      <c r="D250" s="123" t="s">
        <v>31</v>
      </c>
      <c r="E250" s="320">
        <f>'DECK TALLY'!B223</f>
        <v>218</v>
      </c>
      <c r="F250" s="376">
        <f>VLOOKUP(E250,'DECK TALLY'!$B$6:$C$316,2,FALSE)</f>
        <v>33.94</v>
      </c>
      <c r="G250" s="377">
        <f t="shared" si="18"/>
        <v>33.534499999999994</v>
      </c>
      <c r="H250" s="131" t="s">
        <v>29</v>
      </c>
      <c r="I250" s="246">
        <f t="shared" si="17"/>
        <v>7429.567</v>
      </c>
      <c r="J250" s="371">
        <f t="shared" si="16"/>
        <v>13925.433000000001</v>
      </c>
      <c r="K250" s="502"/>
      <c r="L250" s="145"/>
      <c r="M250" s="629"/>
      <c r="N250" s="630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</row>
    <row r="251" spans="1:33" s="2" customFormat="1" ht="20.100000000000001" customHeight="1">
      <c r="A251" s="585" t="s">
        <v>115</v>
      </c>
      <c r="B251" s="586"/>
      <c r="C251" s="122">
        <v>2</v>
      </c>
      <c r="D251" s="123" t="s">
        <v>31</v>
      </c>
      <c r="E251" s="320">
        <f>'DECK TALLY'!B224</f>
        <v>219</v>
      </c>
      <c r="F251" s="376">
        <f>VLOOKUP(E251,'DECK TALLY'!$B$6:$C$316,2,FALSE)</f>
        <v>33.94</v>
      </c>
      <c r="G251" s="377">
        <f t="shared" si="18"/>
        <v>33.534499999999994</v>
      </c>
      <c r="H251" s="131" t="s">
        <v>29</v>
      </c>
      <c r="I251" s="246">
        <f t="shared" si="17"/>
        <v>7463.1014999999998</v>
      </c>
      <c r="J251" s="371">
        <f t="shared" si="16"/>
        <v>13891.898499999999</v>
      </c>
      <c r="K251" s="502"/>
      <c r="L251" s="145"/>
      <c r="M251" s="629"/>
      <c r="N251" s="630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</row>
    <row r="252" spans="1:33" s="2" customFormat="1" ht="20.100000000000001" customHeight="1">
      <c r="A252" s="585" t="s">
        <v>115</v>
      </c>
      <c r="B252" s="586"/>
      <c r="C252" s="122">
        <v>2</v>
      </c>
      <c r="D252" s="123" t="s">
        <v>31</v>
      </c>
      <c r="E252" s="395">
        <f>'DECK TALLY'!B225</f>
        <v>220</v>
      </c>
      <c r="F252" s="376">
        <f>VLOOKUP(E252,'DECK TALLY'!$B$6:$C$316,2,FALSE)</f>
        <v>33.93</v>
      </c>
      <c r="G252" s="377">
        <f t="shared" si="18"/>
        <v>33.524500000000003</v>
      </c>
      <c r="H252" s="131" t="s">
        <v>29</v>
      </c>
      <c r="I252" s="246">
        <f t="shared" si="17"/>
        <v>7496.6260000000002</v>
      </c>
      <c r="J252" s="371">
        <f t="shared" si="16"/>
        <v>13858.374</v>
      </c>
      <c r="K252" s="502"/>
      <c r="L252" s="145"/>
      <c r="M252" s="629"/>
      <c r="N252" s="630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</row>
    <row r="253" spans="1:33" s="2" customFormat="1" ht="20.100000000000001" customHeight="1" thickBot="1">
      <c r="A253" s="585" t="s">
        <v>115</v>
      </c>
      <c r="B253" s="586"/>
      <c r="C253" s="122">
        <v>2</v>
      </c>
      <c r="D253" s="123" t="s">
        <v>31</v>
      </c>
      <c r="E253" s="320">
        <f>'DECK TALLY'!B226</f>
        <v>221</v>
      </c>
      <c r="F253" s="376">
        <f>VLOOKUP(E253,'DECK TALLY'!$B$6:$C$316,2,FALSE)</f>
        <v>33.94</v>
      </c>
      <c r="G253" s="377">
        <f t="shared" si="18"/>
        <v>33.534499999999994</v>
      </c>
      <c r="H253" s="131" t="s">
        <v>29</v>
      </c>
      <c r="I253" s="246">
        <f t="shared" si="17"/>
        <v>7530.1605</v>
      </c>
      <c r="J253" s="371">
        <f t="shared" si="16"/>
        <v>13824.8395</v>
      </c>
      <c r="K253" s="502"/>
      <c r="L253" s="145"/>
      <c r="M253" s="629"/>
      <c r="N253" s="630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</row>
    <row r="254" spans="1:33" s="2" customFormat="1" ht="20.100000000000001" customHeight="1">
      <c r="A254" s="585" t="s">
        <v>115</v>
      </c>
      <c r="B254" s="586"/>
      <c r="C254" s="122">
        <v>2</v>
      </c>
      <c r="D254" s="123" t="s">
        <v>31</v>
      </c>
      <c r="E254" s="320">
        <f>'DECK TALLY'!B227</f>
        <v>222</v>
      </c>
      <c r="F254" s="376">
        <f>VLOOKUP(E254,'DECK TALLY'!$B$6:$C$316,2,FALSE)</f>
        <v>33.94</v>
      </c>
      <c r="G254" s="377">
        <f t="shared" si="18"/>
        <v>33.534499999999994</v>
      </c>
      <c r="H254" s="131" t="s">
        <v>29</v>
      </c>
      <c r="I254" s="246">
        <f t="shared" si="17"/>
        <v>7563.6949999999997</v>
      </c>
      <c r="J254" s="371">
        <f t="shared" si="16"/>
        <v>13791.305</v>
      </c>
      <c r="K254" s="502"/>
      <c r="L254" s="145"/>
      <c r="M254" s="605" t="s">
        <v>369</v>
      </c>
      <c r="N254" s="606"/>
      <c r="O254" s="579" t="s">
        <v>211</v>
      </c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</row>
    <row r="255" spans="1:33" s="2" customFormat="1" ht="20.100000000000001" customHeight="1">
      <c r="A255" s="631" t="s">
        <v>115</v>
      </c>
      <c r="B255" s="632"/>
      <c r="C255" s="396">
        <v>2</v>
      </c>
      <c r="D255" s="176" t="s">
        <v>31</v>
      </c>
      <c r="E255" s="321">
        <f>'DECK TALLY'!B228</f>
        <v>223</v>
      </c>
      <c r="F255" s="374">
        <f>VLOOKUP(E255,'DECK TALLY'!$B$6:$C$316,2,FALSE)</f>
        <v>33.94</v>
      </c>
      <c r="G255" s="375">
        <f t="shared" si="18"/>
        <v>33.534499999999994</v>
      </c>
      <c r="H255" s="177" t="s">
        <v>29</v>
      </c>
      <c r="I255" s="243">
        <f t="shared" si="17"/>
        <v>7597.2294999999995</v>
      </c>
      <c r="J255" s="370">
        <f t="shared" si="16"/>
        <v>13757.770500000001</v>
      </c>
      <c r="K255" s="504"/>
      <c r="L255" s="178"/>
      <c r="M255" s="636" t="s">
        <v>364</v>
      </c>
      <c r="N255" s="637"/>
      <c r="O255" s="635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</row>
    <row r="256" spans="1:33" s="2" customFormat="1" ht="20.100000000000001" customHeight="1">
      <c r="A256" s="585" t="s">
        <v>115</v>
      </c>
      <c r="B256" s="586"/>
      <c r="C256" s="122">
        <v>2</v>
      </c>
      <c r="D256" s="123" t="s">
        <v>31</v>
      </c>
      <c r="E256" s="320">
        <f>'DECK TALLY'!B229</f>
        <v>224</v>
      </c>
      <c r="F256" s="376">
        <f>VLOOKUP(E256,'DECK TALLY'!$B$6:$C$316,2,FALSE)</f>
        <v>33.94</v>
      </c>
      <c r="G256" s="377">
        <f t="shared" si="18"/>
        <v>33.534499999999994</v>
      </c>
      <c r="H256" s="131" t="s">
        <v>29</v>
      </c>
      <c r="I256" s="246">
        <f t="shared" si="17"/>
        <v>7630.7639999999992</v>
      </c>
      <c r="J256" s="371">
        <f t="shared" si="16"/>
        <v>13724.236000000001</v>
      </c>
      <c r="K256" s="502"/>
      <c r="L256" s="145"/>
      <c r="M256" s="204" t="s">
        <v>208</v>
      </c>
      <c r="N256" s="205">
        <f>SUM(J254-4)</f>
        <v>13787.305</v>
      </c>
      <c r="O256" s="212">
        <v>13800</v>
      </c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</row>
    <row r="257" spans="1:33" s="2" customFormat="1" ht="20.100000000000001" customHeight="1">
      <c r="A257" s="585" t="s">
        <v>115</v>
      </c>
      <c r="B257" s="586"/>
      <c r="C257" s="122">
        <v>2</v>
      </c>
      <c r="D257" s="123" t="s">
        <v>31</v>
      </c>
      <c r="E257" s="320">
        <f>'DECK TALLY'!B230</f>
        <v>225</v>
      </c>
      <c r="F257" s="376">
        <f>VLOOKUP(E257,'DECK TALLY'!$B$6:$C$316,2,FALSE)</f>
        <v>33.94</v>
      </c>
      <c r="G257" s="377">
        <f t="shared" si="18"/>
        <v>33.534499999999994</v>
      </c>
      <c r="H257" s="131" t="s">
        <v>29</v>
      </c>
      <c r="I257" s="246">
        <f t="shared" si="17"/>
        <v>7664.298499999999</v>
      </c>
      <c r="J257" s="371">
        <f t="shared" si="16"/>
        <v>13690.701500000001</v>
      </c>
      <c r="K257" s="502"/>
      <c r="L257" s="145"/>
      <c r="M257" s="648" t="s">
        <v>215</v>
      </c>
      <c r="N257" s="649"/>
      <c r="O257" s="251">
        <f t="shared" ref="O257" si="19">SUM(N256-O256)</f>
        <v>-12.694999999999709</v>
      </c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</row>
    <row r="258" spans="1:33" s="2" customFormat="1" ht="20.100000000000001" customHeight="1">
      <c r="A258" s="585" t="s">
        <v>115</v>
      </c>
      <c r="B258" s="586"/>
      <c r="C258" s="122">
        <v>2</v>
      </c>
      <c r="D258" s="123" t="s">
        <v>31</v>
      </c>
      <c r="E258" s="395">
        <f>'DECK TALLY'!B231</f>
        <v>226</v>
      </c>
      <c r="F258" s="376">
        <f>VLOOKUP(E258,'DECK TALLY'!$B$6:$C$316,2,FALSE)</f>
        <v>33.93</v>
      </c>
      <c r="G258" s="368">
        <f t="shared" si="18"/>
        <v>33.524500000000003</v>
      </c>
      <c r="H258" s="166" t="s">
        <v>29</v>
      </c>
      <c r="I258" s="246">
        <f t="shared" si="17"/>
        <v>7697.8229999999994</v>
      </c>
      <c r="J258" s="371">
        <f t="shared" si="16"/>
        <v>13657.177</v>
      </c>
      <c r="K258" s="502"/>
      <c r="L258" s="145"/>
      <c r="M258" s="629"/>
      <c r="N258" s="630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</row>
    <row r="259" spans="1:33" s="2" customFormat="1" ht="20.100000000000001" customHeight="1">
      <c r="A259" s="585" t="s">
        <v>115</v>
      </c>
      <c r="B259" s="586"/>
      <c r="C259" s="122">
        <v>2</v>
      </c>
      <c r="D259" s="123" t="s">
        <v>31</v>
      </c>
      <c r="E259" s="320">
        <f>'DECK TALLY'!B232</f>
        <v>227</v>
      </c>
      <c r="F259" s="376">
        <f>VLOOKUP(E259,'DECK TALLY'!$B$6:$C$316,2,FALSE)</f>
        <v>33.96</v>
      </c>
      <c r="G259" s="377">
        <f t="shared" si="18"/>
        <v>33.554500000000004</v>
      </c>
      <c r="H259" s="131" t="s">
        <v>29</v>
      </c>
      <c r="I259" s="246">
        <f t="shared" si="17"/>
        <v>7731.3774999999996</v>
      </c>
      <c r="J259" s="371">
        <f t="shared" si="16"/>
        <v>13623.622500000001</v>
      </c>
      <c r="K259" s="502"/>
      <c r="L259" s="145"/>
      <c r="M259" s="629"/>
      <c r="N259" s="630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</row>
    <row r="260" spans="1:33" s="2" customFormat="1" ht="20.100000000000001" customHeight="1">
      <c r="A260" s="585" t="s">
        <v>115</v>
      </c>
      <c r="B260" s="586"/>
      <c r="C260" s="167">
        <v>2</v>
      </c>
      <c r="D260" s="123" t="s">
        <v>31</v>
      </c>
      <c r="E260" s="320">
        <f>'DECK TALLY'!B233</f>
        <v>228</v>
      </c>
      <c r="F260" s="376">
        <f>VLOOKUP(E260,'DECK TALLY'!$B$6:$C$316,2,FALSE)</f>
        <v>33.94</v>
      </c>
      <c r="G260" s="368">
        <f t="shared" si="18"/>
        <v>33.534499999999994</v>
      </c>
      <c r="H260" s="166" t="s">
        <v>29</v>
      </c>
      <c r="I260" s="246">
        <f t="shared" si="17"/>
        <v>7764.9119999999994</v>
      </c>
      <c r="J260" s="371">
        <f t="shared" si="16"/>
        <v>13590.088</v>
      </c>
      <c r="K260" s="502"/>
      <c r="L260" s="145"/>
      <c r="M260" s="629"/>
      <c r="N260" s="630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</row>
    <row r="261" spans="1:33" s="2" customFormat="1" ht="20.100000000000001" customHeight="1">
      <c r="A261" s="585" t="s">
        <v>115</v>
      </c>
      <c r="B261" s="586"/>
      <c r="C261" s="122">
        <v>2</v>
      </c>
      <c r="D261" s="123" t="s">
        <v>31</v>
      </c>
      <c r="E261" s="395">
        <f>'DECK TALLY'!B234</f>
        <v>229</v>
      </c>
      <c r="F261" s="376">
        <f>VLOOKUP(E261,'DECK TALLY'!$B$6:$C$316,2,FALSE)</f>
        <v>33.93</v>
      </c>
      <c r="G261" s="377">
        <f t="shared" si="18"/>
        <v>33.524500000000003</v>
      </c>
      <c r="H261" s="131" t="s">
        <v>29</v>
      </c>
      <c r="I261" s="246">
        <f t="shared" si="17"/>
        <v>7798.4364999999998</v>
      </c>
      <c r="J261" s="371">
        <f t="shared" si="16"/>
        <v>13556.5635</v>
      </c>
      <c r="K261" s="502"/>
      <c r="L261" s="145"/>
      <c r="M261" s="629"/>
      <c r="N261" s="630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</row>
    <row r="262" spans="1:33" s="2" customFormat="1" ht="20.100000000000001" customHeight="1">
      <c r="A262" s="585" t="s">
        <v>115</v>
      </c>
      <c r="B262" s="586"/>
      <c r="C262" s="122">
        <v>2</v>
      </c>
      <c r="D262" s="123" t="s">
        <v>31</v>
      </c>
      <c r="E262" s="320">
        <f>'DECK TALLY'!B235</f>
        <v>230</v>
      </c>
      <c r="F262" s="376">
        <f>VLOOKUP(E262,'DECK TALLY'!$B$6:$C$316,2,FALSE)</f>
        <v>33.869999999999997</v>
      </c>
      <c r="G262" s="377">
        <f t="shared" si="18"/>
        <v>33.464500000000001</v>
      </c>
      <c r="H262" s="131" t="s">
        <v>29</v>
      </c>
      <c r="I262" s="246">
        <f t="shared" si="17"/>
        <v>7831.9009999999998</v>
      </c>
      <c r="J262" s="371">
        <f t="shared" si="16"/>
        <v>13523.099</v>
      </c>
      <c r="K262" s="502"/>
      <c r="L262" s="145"/>
      <c r="M262" s="629"/>
      <c r="N262" s="630"/>
      <c r="O262" s="16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</row>
    <row r="263" spans="1:33" s="2" customFormat="1" ht="20.100000000000001" customHeight="1">
      <c r="A263" s="585" t="s">
        <v>115</v>
      </c>
      <c r="B263" s="586"/>
      <c r="C263" s="122">
        <v>2</v>
      </c>
      <c r="D263" s="123" t="s">
        <v>31</v>
      </c>
      <c r="E263" s="320">
        <f>'DECK TALLY'!B236</f>
        <v>231</v>
      </c>
      <c r="F263" s="376">
        <f>VLOOKUP(E263,'DECK TALLY'!$B$6:$C$316,2,FALSE)</f>
        <v>33.979999999999997</v>
      </c>
      <c r="G263" s="377">
        <f t="shared" si="18"/>
        <v>33.5745</v>
      </c>
      <c r="H263" s="131" t="s">
        <v>29</v>
      </c>
      <c r="I263" s="246">
        <f t="shared" si="17"/>
        <v>7865.4754999999996</v>
      </c>
      <c r="J263" s="371">
        <f t="shared" si="16"/>
        <v>13489.5245</v>
      </c>
      <c r="K263" s="502"/>
      <c r="L263" s="145"/>
      <c r="M263" s="629"/>
      <c r="N263" s="630"/>
      <c r="O263" s="147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</row>
    <row r="264" spans="1:33" s="2" customFormat="1" ht="20.100000000000001" customHeight="1">
      <c r="A264" s="585" t="s">
        <v>115</v>
      </c>
      <c r="B264" s="586"/>
      <c r="C264" s="122">
        <v>2</v>
      </c>
      <c r="D264" s="123" t="s">
        <v>31</v>
      </c>
      <c r="E264" s="395">
        <f>'DECK TALLY'!B237</f>
        <v>232</v>
      </c>
      <c r="F264" s="376">
        <f>VLOOKUP(E264,'DECK TALLY'!$B$6:$C$316,2,FALSE)</f>
        <v>33.42</v>
      </c>
      <c r="G264" s="377">
        <f t="shared" si="18"/>
        <v>33.014499999999998</v>
      </c>
      <c r="H264" s="131" t="s">
        <v>29</v>
      </c>
      <c r="I264" s="246">
        <f t="shared" si="17"/>
        <v>7898.49</v>
      </c>
      <c r="J264" s="371">
        <f t="shared" si="16"/>
        <v>13456.51</v>
      </c>
      <c r="K264" s="502"/>
      <c r="L264" s="145"/>
      <c r="M264" s="629"/>
      <c r="N264" s="630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</row>
    <row r="265" spans="1:33" s="2" customFormat="1" ht="20.100000000000001" customHeight="1">
      <c r="A265" s="585" t="s">
        <v>115</v>
      </c>
      <c r="B265" s="586"/>
      <c r="C265" s="122">
        <v>2</v>
      </c>
      <c r="D265" s="123" t="s">
        <v>31</v>
      </c>
      <c r="E265" s="320">
        <f>'DECK TALLY'!B238</f>
        <v>233</v>
      </c>
      <c r="F265" s="376">
        <f>VLOOKUP(E265,'DECK TALLY'!$B$6:$C$316,2,FALSE)</f>
        <v>33.950000000000003</v>
      </c>
      <c r="G265" s="377">
        <f t="shared" si="18"/>
        <v>33.544499999999999</v>
      </c>
      <c r="H265" s="131" t="s">
        <v>29</v>
      </c>
      <c r="I265" s="246">
        <f t="shared" si="17"/>
        <v>7932.0344999999998</v>
      </c>
      <c r="J265" s="371">
        <f t="shared" si="16"/>
        <v>13422.9655</v>
      </c>
      <c r="K265" s="502"/>
      <c r="L265" s="145"/>
      <c r="M265" s="629"/>
      <c r="N265" s="630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</row>
    <row r="266" spans="1:33" s="2" customFormat="1" ht="20.100000000000001" customHeight="1">
      <c r="A266" s="585" t="s">
        <v>115</v>
      </c>
      <c r="B266" s="586"/>
      <c r="C266" s="122">
        <v>2</v>
      </c>
      <c r="D266" s="123" t="s">
        <v>31</v>
      </c>
      <c r="E266" s="320">
        <f>'DECK TALLY'!B239</f>
        <v>234</v>
      </c>
      <c r="F266" s="376">
        <f>VLOOKUP(E266,'DECK TALLY'!$B$6:$C$316,2,FALSE)</f>
        <v>33.94</v>
      </c>
      <c r="G266" s="377">
        <f t="shared" si="18"/>
        <v>33.534499999999994</v>
      </c>
      <c r="H266" s="131" t="s">
        <v>29</v>
      </c>
      <c r="I266" s="246">
        <f t="shared" si="17"/>
        <v>7965.5689999999995</v>
      </c>
      <c r="J266" s="371">
        <f t="shared" si="16"/>
        <v>13389.431</v>
      </c>
      <c r="K266" s="502"/>
      <c r="L266" s="145"/>
      <c r="M266" s="629"/>
      <c r="N266" s="630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</row>
    <row r="267" spans="1:33" s="2" customFormat="1" ht="20.100000000000001" customHeight="1">
      <c r="A267" s="585" t="s">
        <v>115</v>
      </c>
      <c r="B267" s="586"/>
      <c r="C267" s="122">
        <v>2</v>
      </c>
      <c r="D267" s="123" t="s">
        <v>31</v>
      </c>
      <c r="E267" s="395">
        <f>'DECK TALLY'!B240</f>
        <v>235</v>
      </c>
      <c r="F267" s="376">
        <f>VLOOKUP(E267,'DECK TALLY'!$B$6:$C$316,2,FALSE)</f>
        <v>33.58</v>
      </c>
      <c r="G267" s="377">
        <f t="shared" si="18"/>
        <v>33.174499999999995</v>
      </c>
      <c r="H267" s="131" t="s">
        <v>29</v>
      </c>
      <c r="I267" s="246">
        <f t="shared" si="17"/>
        <v>7998.7434999999996</v>
      </c>
      <c r="J267" s="371">
        <f t="shared" si="16"/>
        <v>13356.2565</v>
      </c>
      <c r="K267" s="502"/>
      <c r="L267" s="145"/>
      <c r="M267" s="629"/>
      <c r="N267" s="630"/>
      <c r="O267" s="121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</row>
    <row r="268" spans="1:33" s="2" customFormat="1" ht="20.100000000000001" customHeight="1">
      <c r="A268" s="585" t="s">
        <v>115</v>
      </c>
      <c r="B268" s="586"/>
      <c r="C268" s="122">
        <v>2</v>
      </c>
      <c r="D268" s="123" t="s">
        <v>31</v>
      </c>
      <c r="E268" s="320">
        <f>'DECK TALLY'!B241</f>
        <v>236</v>
      </c>
      <c r="F268" s="376">
        <f>VLOOKUP(E268,'DECK TALLY'!$B$6:$C$316,2,FALSE)</f>
        <v>33.96</v>
      </c>
      <c r="G268" s="377">
        <f t="shared" si="18"/>
        <v>33.554500000000004</v>
      </c>
      <c r="H268" s="131" t="s">
        <v>29</v>
      </c>
      <c r="I268" s="246">
        <f t="shared" si="17"/>
        <v>8032.2979999999998</v>
      </c>
      <c r="J268" s="371">
        <f t="shared" si="16"/>
        <v>13322.702000000001</v>
      </c>
      <c r="K268" s="502"/>
      <c r="L268" s="145"/>
      <c r="M268" s="629"/>
      <c r="N268" s="630"/>
      <c r="O268" s="142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</row>
    <row r="269" spans="1:33" s="2" customFormat="1" ht="20.100000000000001" customHeight="1">
      <c r="A269" s="585" t="s">
        <v>115</v>
      </c>
      <c r="B269" s="586"/>
      <c r="C269" s="122">
        <v>2</v>
      </c>
      <c r="D269" s="123" t="s">
        <v>31</v>
      </c>
      <c r="E269" s="320">
        <f>'DECK TALLY'!B242</f>
        <v>237</v>
      </c>
      <c r="F269" s="376">
        <f>VLOOKUP(E269,'DECK TALLY'!$B$6:$C$316,2,FALSE)</f>
        <v>33.94</v>
      </c>
      <c r="G269" s="377">
        <f t="shared" si="18"/>
        <v>33.534499999999994</v>
      </c>
      <c r="H269" s="131" t="s">
        <v>29</v>
      </c>
      <c r="I269" s="246">
        <f t="shared" si="17"/>
        <v>8065.8324999999995</v>
      </c>
      <c r="J269" s="371">
        <f t="shared" si="16"/>
        <v>13289.1675</v>
      </c>
      <c r="K269" s="502"/>
      <c r="L269" s="145"/>
      <c r="M269" s="629"/>
      <c r="N269" s="630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</row>
    <row r="270" spans="1:33" s="2" customFormat="1" ht="20.100000000000001" customHeight="1">
      <c r="A270" s="585" t="s">
        <v>115</v>
      </c>
      <c r="B270" s="586"/>
      <c r="C270" s="122">
        <v>2</v>
      </c>
      <c r="D270" s="123" t="s">
        <v>31</v>
      </c>
      <c r="E270" s="395">
        <f>'DECK TALLY'!B243</f>
        <v>238</v>
      </c>
      <c r="F270" s="376">
        <f>VLOOKUP(E270,'DECK TALLY'!$B$6:$C$316,2,FALSE)</f>
        <v>33.950000000000003</v>
      </c>
      <c r="G270" s="377">
        <f t="shared" si="18"/>
        <v>33.544499999999999</v>
      </c>
      <c r="H270" s="131" t="s">
        <v>29</v>
      </c>
      <c r="I270" s="246">
        <f t="shared" si="17"/>
        <v>8099.3769999999995</v>
      </c>
      <c r="J270" s="371">
        <f t="shared" si="16"/>
        <v>13255.623</v>
      </c>
      <c r="K270" s="502"/>
      <c r="L270" s="145"/>
      <c r="M270" s="629"/>
      <c r="N270" s="630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</row>
    <row r="271" spans="1:33" s="2" customFormat="1" ht="20.100000000000001" customHeight="1">
      <c r="A271" s="585" t="s">
        <v>115</v>
      </c>
      <c r="B271" s="586"/>
      <c r="C271" s="122">
        <v>2</v>
      </c>
      <c r="D271" s="123" t="s">
        <v>31</v>
      </c>
      <c r="E271" s="320">
        <f>'DECK TALLY'!B244</f>
        <v>239</v>
      </c>
      <c r="F271" s="376">
        <f>VLOOKUP(E271,'DECK TALLY'!$B$6:$C$316,2,FALSE)</f>
        <v>33.950000000000003</v>
      </c>
      <c r="G271" s="377">
        <f t="shared" si="18"/>
        <v>33.544499999999999</v>
      </c>
      <c r="H271" s="131" t="s">
        <v>29</v>
      </c>
      <c r="I271" s="246">
        <f t="shared" si="17"/>
        <v>8132.9214999999995</v>
      </c>
      <c r="J271" s="371">
        <f t="shared" si="16"/>
        <v>13222.0785</v>
      </c>
      <c r="K271" s="502"/>
      <c r="L271" s="145"/>
      <c r="M271" s="629"/>
      <c r="N271" s="630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</row>
    <row r="272" spans="1:33" s="2" customFormat="1" ht="20.100000000000001" customHeight="1">
      <c r="A272" s="585" t="s">
        <v>115</v>
      </c>
      <c r="B272" s="586"/>
      <c r="C272" s="122">
        <v>2</v>
      </c>
      <c r="D272" s="123" t="s">
        <v>31</v>
      </c>
      <c r="E272" s="320">
        <f>'DECK TALLY'!B245</f>
        <v>240</v>
      </c>
      <c r="F272" s="376">
        <f>VLOOKUP(E272,'DECK TALLY'!$B$6:$C$316,2,FALSE)</f>
        <v>33.25</v>
      </c>
      <c r="G272" s="377">
        <f t="shared" si="18"/>
        <v>32.844499999999996</v>
      </c>
      <c r="H272" s="131" t="s">
        <v>29</v>
      </c>
      <c r="I272" s="246">
        <f t="shared" si="17"/>
        <v>8165.7659999999996</v>
      </c>
      <c r="J272" s="371">
        <f t="shared" si="16"/>
        <v>13189.234</v>
      </c>
      <c r="K272" s="502"/>
      <c r="L272" s="145"/>
      <c r="M272" s="629"/>
      <c r="N272" s="630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</row>
    <row r="273" spans="1:33" s="2" customFormat="1" ht="20.100000000000001" customHeight="1">
      <c r="A273" s="585" t="s">
        <v>115</v>
      </c>
      <c r="B273" s="586"/>
      <c r="C273" s="122">
        <v>2</v>
      </c>
      <c r="D273" s="123" t="s">
        <v>31</v>
      </c>
      <c r="E273" s="395">
        <f>'DECK TALLY'!B246</f>
        <v>241</v>
      </c>
      <c r="F273" s="376">
        <f>VLOOKUP(E273,'DECK TALLY'!$B$6:$C$316,2,FALSE)</f>
        <v>33.950000000000003</v>
      </c>
      <c r="G273" s="377">
        <f t="shared" si="18"/>
        <v>33.544499999999999</v>
      </c>
      <c r="H273" s="131" t="s">
        <v>29</v>
      </c>
      <c r="I273" s="246">
        <f t="shared" si="17"/>
        <v>8199.3104999999996</v>
      </c>
      <c r="J273" s="371">
        <f t="shared" si="16"/>
        <v>13155.6895</v>
      </c>
      <c r="K273" s="502"/>
      <c r="L273" s="145"/>
      <c r="M273" s="629"/>
      <c r="N273" s="630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</row>
    <row r="274" spans="1:33" s="2" customFormat="1" ht="20.100000000000001" customHeight="1">
      <c r="A274" s="585" t="s">
        <v>115</v>
      </c>
      <c r="B274" s="586"/>
      <c r="C274" s="122">
        <v>2</v>
      </c>
      <c r="D274" s="123" t="s">
        <v>31</v>
      </c>
      <c r="E274" s="320">
        <f>'DECK TALLY'!B247</f>
        <v>242</v>
      </c>
      <c r="F274" s="376">
        <f>VLOOKUP(E274,'DECK TALLY'!$B$6:$C$316,2,FALSE)</f>
        <v>33.950000000000003</v>
      </c>
      <c r="G274" s="377">
        <f t="shared" si="18"/>
        <v>33.544499999999999</v>
      </c>
      <c r="H274" s="131" t="s">
        <v>29</v>
      </c>
      <c r="I274" s="246">
        <f t="shared" si="17"/>
        <v>8232.8549999999996</v>
      </c>
      <c r="J274" s="371">
        <f t="shared" si="16"/>
        <v>13122.145</v>
      </c>
      <c r="K274" s="502"/>
      <c r="L274" s="145"/>
      <c r="M274" s="629"/>
      <c r="N274" s="630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</row>
    <row r="275" spans="1:33" s="2" customFormat="1" ht="20.100000000000001" customHeight="1">
      <c r="A275" s="585" t="s">
        <v>115</v>
      </c>
      <c r="B275" s="586"/>
      <c r="C275" s="122">
        <v>2</v>
      </c>
      <c r="D275" s="123" t="s">
        <v>31</v>
      </c>
      <c r="E275" s="320">
        <f>'DECK TALLY'!B248</f>
        <v>243</v>
      </c>
      <c r="F275" s="376">
        <f>VLOOKUP(E275,'DECK TALLY'!$B$6:$C$316,2,FALSE)</f>
        <v>33.96</v>
      </c>
      <c r="G275" s="377">
        <f t="shared" si="18"/>
        <v>33.554500000000004</v>
      </c>
      <c r="H275" s="131" t="s">
        <v>29</v>
      </c>
      <c r="I275" s="246">
        <f t="shared" si="17"/>
        <v>8266.4094999999998</v>
      </c>
      <c r="J275" s="371">
        <f t="shared" ref="J275" si="20">IF(I275="","",$M$10-I275)</f>
        <v>13088.5905</v>
      </c>
      <c r="K275" s="502"/>
      <c r="L275" s="145"/>
      <c r="M275" s="629"/>
      <c r="N275" s="630"/>
      <c r="O275" s="16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</row>
    <row r="276" spans="1:33" s="2" customFormat="1" ht="20.100000000000001" customHeight="1">
      <c r="A276" s="585" t="s">
        <v>115</v>
      </c>
      <c r="B276" s="586"/>
      <c r="C276" s="122">
        <v>2</v>
      </c>
      <c r="D276" s="123" t="s">
        <v>31</v>
      </c>
      <c r="E276" s="395">
        <f>'DECK TALLY'!B249</f>
        <v>244</v>
      </c>
      <c r="F276" s="376">
        <f>VLOOKUP(E276,'DECK TALLY'!$B$6:$C$316,2,FALSE)</f>
        <v>33.96</v>
      </c>
      <c r="G276" s="377">
        <f t="shared" si="18"/>
        <v>33.554500000000004</v>
      </c>
      <c r="H276" s="131" t="s">
        <v>29</v>
      </c>
      <c r="I276" s="246">
        <f t="shared" ref="I276:I347" si="21">IF(H276="IN",I275+G276,I275)</f>
        <v>8299.9639999999999</v>
      </c>
      <c r="J276" s="371">
        <f t="shared" ref="J276:J347" si="22">IF(I276="","",$M$10-I276)</f>
        <v>13055.036</v>
      </c>
      <c r="K276" s="502"/>
      <c r="L276" s="145"/>
      <c r="M276" s="629"/>
      <c r="N276" s="630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</row>
    <row r="277" spans="1:33" s="2" customFormat="1" ht="20.100000000000001" customHeight="1">
      <c r="A277" s="585" t="s">
        <v>115</v>
      </c>
      <c r="B277" s="586"/>
      <c r="C277" s="122">
        <v>2</v>
      </c>
      <c r="D277" s="123" t="s">
        <v>31</v>
      </c>
      <c r="E277" s="320">
        <f>'DECK TALLY'!B250</f>
        <v>245</v>
      </c>
      <c r="F277" s="376">
        <f>VLOOKUP(E277,'DECK TALLY'!$B$6:$C$316,2,FALSE)</f>
        <v>33.619999999999997</v>
      </c>
      <c r="G277" s="377">
        <f t="shared" si="18"/>
        <v>33.214500000000001</v>
      </c>
      <c r="H277" s="131" t="s">
        <v>29</v>
      </c>
      <c r="I277" s="246">
        <f t="shared" si="21"/>
        <v>8333.1785</v>
      </c>
      <c r="J277" s="371">
        <f t="shared" si="22"/>
        <v>13021.8215</v>
      </c>
      <c r="K277" s="502"/>
      <c r="L277" s="145"/>
      <c r="M277" s="629"/>
      <c r="N277" s="630"/>
      <c r="O277" s="16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</row>
    <row r="278" spans="1:33" s="2" customFormat="1" ht="20.100000000000001" customHeight="1">
      <c r="A278" s="585" t="s">
        <v>115</v>
      </c>
      <c r="B278" s="586"/>
      <c r="C278" s="122">
        <v>2</v>
      </c>
      <c r="D278" s="123" t="s">
        <v>31</v>
      </c>
      <c r="E278" s="320">
        <f>'DECK TALLY'!B251</f>
        <v>246</v>
      </c>
      <c r="F278" s="376">
        <f>VLOOKUP(E278,'DECK TALLY'!$B$6:$C$316,2,FALSE)</f>
        <v>33.86</v>
      </c>
      <c r="G278" s="377">
        <f t="shared" si="18"/>
        <v>33.454499999999996</v>
      </c>
      <c r="H278" s="131" t="s">
        <v>29</v>
      </c>
      <c r="I278" s="246">
        <f t="shared" si="21"/>
        <v>8366.6329999999998</v>
      </c>
      <c r="J278" s="371">
        <f t="shared" si="22"/>
        <v>12988.367</v>
      </c>
      <c r="K278" s="502"/>
      <c r="L278" s="145"/>
      <c r="M278" s="629"/>
      <c r="N278" s="630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</row>
    <row r="279" spans="1:33" s="2" customFormat="1" ht="20.100000000000001" customHeight="1">
      <c r="A279" s="585" t="s">
        <v>115</v>
      </c>
      <c r="B279" s="586"/>
      <c r="C279" s="122">
        <v>2</v>
      </c>
      <c r="D279" s="123" t="s">
        <v>31</v>
      </c>
      <c r="E279" s="395">
        <f>'DECK TALLY'!B252</f>
        <v>247</v>
      </c>
      <c r="F279" s="376">
        <f>VLOOKUP(E279,'DECK TALLY'!$B$6:$C$316,2,FALSE)</f>
        <v>33.909999999999997</v>
      </c>
      <c r="G279" s="377">
        <f t="shared" si="18"/>
        <v>33.504499999999993</v>
      </c>
      <c r="H279" s="131" t="s">
        <v>29</v>
      </c>
      <c r="I279" s="246">
        <f t="shared" si="21"/>
        <v>8400.1374999999989</v>
      </c>
      <c r="J279" s="371">
        <f t="shared" si="22"/>
        <v>12954.862500000001</v>
      </c>
      <c r="K279" s="502"/>
      <c r="L279" s="145"/>
      <c r="M279" s="629"/>
      <c r="N279" s="630"/>
      <c r="O279" s="16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</row>
    <row r="280" spans="1:33" s="2" customFormat="1" ht="20.100000000000001" customHeight="1">
      <c r="A280" s="585" t="s">
        <v>115</v>
      </c>
      <c r="B280" s="586"/>
      <c r="C280" s="122">
        <v>2</v>
      </c>
      <c r="D280" s="123" t="s">
        <v>31</v>
      </c>
      <c r="E280" s="320">
        <f>'DECK TALLY'!B253</f>
        <v>248</v>
      </c>
      <c r="F280" s="376">
        <f>VLOOKUP(E280,'DECK TALLY'!$B$6:$C$316,2,FALSE)</f>
        <v>33.68</v>
      </c>
      <c r="G280" s="377">
        <f t="shared" si="18"/>
        <v>33.274500000000003</v>
      </c>
      <c r="H280" s="131" t="s">
        <v>29</v>
      </c>
      <c r="I280" s="246">
        <f t="shared" si="21"/>
        <v>8433.4119999999984</v>
      </c>
      <c r="J280" s="371">
        <f t="shared" si="22"/>
        <v>12921.588000000002</v>
      </c>
      <c r="K280" s="502"/>
      <c r="L280" s="145"/>
      <c r="M280" s="629"/>
      <c r="N280" s="630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</row>
    <row r="281" spans="1:33" s="2" customFormat="1" ht="20.100000000000001" customHeight="1">
      <c r="A281" s="585" t="s">
        <v>115</v>
      </c>
      <c r="B281" s="586"/>
      <c r="C281" s="122">
        <v>2</v>
      </c>
      <c r="D281" s="123" t="s">
        <v>31</v>
      </c>
      <c r="E281" s="320">
        <f>'DECK TALLY'!B254</f>
        <v>249</v>
      </c>
      <c r="F281" s="376">
        <f>VLOOKUP(E281,'DECK TALLY'!$B$6:$C$316,2,FALSE)</f>
        <v>33.96</v>
      </c>
      <c r="G281" s="377">
        <f t="shared" ref="G281:G306" si="23">F281-($H$12/12)</f>
        <v>33.554500000000004</v>
      </c>
      <c r="H281" s="131" t="s">
        <v>29</v>
      </c>
      <c r="I281" s="246">
        <f t="shared" si="21"/>
        <v>8466.9664999999986</v>
      </c>
      <c r="J281" s="371">
        <f t="shared" si="22"/>
        <v>12888.033500000001</v>
      </c>
      <c r="K281" s="502"/>
      <c r="L281" s="145"/>
      <c r="M281" s="629"/>
      <c r="N281" s="630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</row>
    <row r="282" spans="1:33" s="2" customFormat="1" ht="20.100000000000001" customHeight="1">
      <c r="A282" s="585" t="s">
        <v>115</v>
      </c>
      <c r="B282" s="586"/>
      <c r="C282" s="122">
        <v>2</v>
      </c>
      <c r="D282" s="123" t="s">
        <v>31</v>
      </c>
      <c r="E282" s="395">
        <f>'DECK TALLY'!B255</f>
        <v>250</v>
      </c>
      <c r="F282" s="376">
        <f>VLOOKUP(E282,'DECK TALLY'!$B$6:$C$316,2,FALSE)</f>
        <v>33.659999999999997</v>
      </c>
      <c r="G282" s="377">
        <f t="shared" si="18"/>
        <v>33.254499999999993</v>
      </c>
      <c r="H282" s="131" t="s">
        <v>29</v>
      </c>
      <c r="I282" s="246">
        <f t="shared" si="21"/>
        <v>8500.2209999999977</v>
      </c>
      <c r="J282" s="371">
        <f t="shared" si="22"/>
        <v>12854.779000000002</v>
      </c>
      <c r="K282" s="502"/>
      <c r="L282" s="145"/>
      <c r="M282" s="629"/>
      <c r="N282" s="630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</row>
    <row r="283" spans="1:33" s="2" customFormat="1" ht="20.100000000000001" customHeight="1">
      <c r="A283" s="585" t="s">
        <v>115</v>
      </c>
      <c r="B283" s="586"/>
      <c r="C283" s="122">
        <v>2</v>
      </c>
      <c r="D283" s="123" t="s">
        <v>31</v>
      </c>
      <c r="E283" s="320">
        <f>'DECK TALLY'!B256</f>
        <v>251</v>
      </c>
      <c r="F283" s="376">
        <f>VLOOKUP(E283,'DECK TALLY'!$B$6:$C$316,2,FALSE)</f>
        <v>33.51</v>
      </c>
      <c r="G283" s="377">
        <f t="shared" ref="G283:G290" si="24">F283-($H$12/12)</f>
        <v>33.104500000000002</v>
      </c>
      <c r="H283" s="131" t="s">
        <v>29</v>
      </c>
      <c r="I283" s="246">
        <f t="shared" si="21"/>
        <v>8533.3254999999972</v>
      </c>
      <c r="J283" s="371">
        <f t="shared" si="22"/>
        <v>12821.674500000003</v>
      </c>
      <c r="K283" s="502"/>
      <c r="L283" s="145"/>
      <c r="M283" s="629"/>
      <c r="N283" s="630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</row>
    <row r="284" spans="1:33" s="2" customFormat="1" ht="20.100000000000001" customHeight="1">
      <c r="A284" s="585" t="s">
        <v>115</v>
      </c>
      <c r="B284" s="586"/>
      <c r="C284" s="122">
        <v>2</v>
      </c>
      <c r="D284" s="123" t="s">
        <v>31</v>
      </c>
      <c r="E284" s="320">
        <f>'DECK TALLY'!B257</f>
        <v>252</v>
      </c>
      <c r="F284" s="376">
        <f>VLOOKUP(E284,'DECK TALLY'!$B$6:$C$316,2,FALSE)</f>
        <v>33.590000000000003</v>
      </c>
      <c r="G284" s="377">
        <f t="shared" si="24"/>
        <v>33.1845</v>
      </c>
      <c r="H284" s="131" t="s">
        <v>29</v>
      </c>
      <c r="I284" s="246">
        <f t="shared" si="21"/>
        <v>8566.5099999999966</v>
      </c>
      <c r="J284" s="371">
        <f t="shared" si="22"/>
        <v>12788.490000000003</v>
      </c>
      <c r="K284" s="502"/>
      <c r="L284" s="145"/>
      <c r="M284" s="629"/>
      <c r="N284" s="630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</row>
    <row r="285" spans="1:33" s="2" customFormat="1" ht="20.100000000000001" customHeight="1">
      <c r="A285" s="585" t="s">
        <v>115</v>
      </c>
      <c r="B285" s="586"/>
      <c r="C285" s="122">
        <v>2</v>
      </c>
      <c r="D285" s="123" t="s">
        <v>31</v>
      </c>
      <c r="E285" s="395">
        <f>'DECK TALLY'!B258</f>
        <v>253</v>
      </c>
      <c r="F285" s="376">
        <f>VLOOKUP(E285,'DECK TALLY'!$B$6:$C$316,2,FALSE)</f>
        <v>33.57</v>
      </c>
      <c r="G285" s="377">
        <f t="shared" si="23"/>
        <v>33.164500000000004</v>
      </c>
      <c r="H285" s="131" t="s">
        <v>29</v>
      </c>
      <c r="I285" s="246">
        <f t="shared" si="21"/>
        <v>8599.6744999999974</v>
      </c>
      <c r="J285" s="371">
        <f t="shared" si="22"/>
        <v>12755.325500000003</v>
      </c>
      <c r="K285" s="502"/>
      <c r="L285" s="145"/>
      <c r="M285" s="629"/>
      <c r="N285" s="630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</row>
    <row r="286" spans="1:33" s="2" customFormat="1" ht="20.100000000000001" customHeight="1">
      <c r="A286" s="585" t="s">
        <v>115</v>
      </c>
      <c r="B286" s="586"/>
      <c r="C286" s="122">
        <v>2</v>
      </c>
      <c r="D286" s="123" t="s">
        <v>31</v>
      </c>
      <c r="E286" s="320">
        <f>'DECK TALLY'!B259</f>
        <v>254</v>
      </c>
      <c r="F286" s="376">
        <f>VLOOKUP(E286,'DECK TALLY'!$B$6:$C$316,2,FALSE)</f>
        <v>33.93</v>
      </c>
      <c r="G286" s="377">
        <f t="shared" si="24"/>
        <v>33.524500000000003</v>
      </c>
      <c r="H286" s="131" t="s">
        <v>29</v>
      </c>
      <c r="I286" s="246">
        <f t="shared" si="21"/>
        <v>8633.1989999999969</v>
      </c>
      <c r="J286" s="371">
        <f t="shared" si="22"/>
        <v>12721.801000000003</v>
      </c>
      <c r="K286" s="502"/>
      <c r="L286" s="145"/>
      <c r="M286" s="629"/>
      <c r="N286" s="630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</row>
    <row r="287" spans="1:33" s="2" customFormat="1" ht="20.100000000000001" customHeight="1">
      <c r="A287" s="585" t="s">
        <v>115</v>
      </c>
      <c r="B287" s="586"/>
      <c r="C287" s="122">
        <v>2</v>
      </c>
      <c r="D287" s="123" t="s">
        <v>31</v>
      </c>
      <c r="E287" s="320">
        <f>'DECK TALLY'!B260</f>
        <v>255</v>
      </c>
      <c r="F287" s="376">
        <f>VLOOKUP(E287,'DECK TALLY'!$B$6:$C$316,2,FALSE)</f>
        <v>33.75</v>
      </c>
      <c r="G287" s="377">
        <f t="shared" si="24"/>
        <v>33.344499999999996</v>
      </c>
      <c r="H287" s="131" t="s">
        <v>29</v>
      </c>
      <c r="I287" s="246">
        <f t="shared" si="21"/>
        <v>8666.5434999999961</v>
      </c>
      <c r="J287" s="371">
        <f t="shared" si="22"/>
        <v>12688.456500000004</v>
      </c>
      <c r="K287" s="502"/>
      <c r="L287" s="145"/>
      <c r="M287" s="629"/>
      <c r="N287" s="630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</row>
    <row r="288" spans="1:33" s="2" customFormat="1" ht="20.100000000000001" customHeight="1">
      <c r="A288" s="585" t="s">
        <v>115</v>
      </c>
      <c r="B288" s="586"/>
      <c r="C288" s="122">
        <v>2</v>
      </c>
      <c r="D288" s="123" t="s">
        <v>31</v>
      </c>
      <c r="E288" s="395">
        <f>'DECK TALLY'!B261</f>
        <v>256</v>
      </c>
      <c r="F288" s="376">
        <f>VLOOKUP(E288,'DECK TALLY'!$B$6:$C$316,2,FALSE)</f>
        <v>33.799999999999997</v>
      </c>
      <c r="G288" s="377">
        <f t="shared" si="24"/>
        <v>33.394499999999994</v>
      </c>
      <c r="H288" s="131" t="s">
        <v>29</v>
      </c>
      <c r="I288" s="246">
        <f t="shared" si="21"/>
        <v>8699.9379999999965</v>
      </c>
      <c r="J288" s="371">
        <f t="shared" si="22"/>
        <v>12655.062000000004</v>
      </c>
      <c r="K288" s="502"/>
      <c r="L288" s="145"/>
      <c r="M288" s="629"/>
      <c r="N288" s="630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</row>
    <row r="289" spans="1:33" s="2" customFormat="1" ht="20.100000000000001" customHeight="1">
      <c r="A289" s="585" t="s">
        <v>115</v>
      </c>
      <c r="B289" s="586"/>
      <c r="C289" s="122">
        <v>2</v>
      </c>
      <c r="D289" s="123" t="s">
        <v>31</v>
      </c>
      <c r="E289" s="320">
        <f>'DECK TALLY'!B262</f>
        <v>257</v>
      </c>
      <c r="F289" s="376">
        <f>VLOOKUP(E289,'DECK TALLY'!$B$6:$C$316,2,FALSE)</f>
        <v>33.93</v>
      </c>
      <c r="G289" s="377">
        <f t="shared" si="23"/>
        <v>33.524500000000003</v>
      </c>
      <c r="H289" s="131" t="s">
        <v>29</v>
      </c>
      <c r="I289" s="246">
        <f t="shared" si="21"/>
        <v>8733.462499999996</v>
      </c>
      <c r="J289" s="371">
        <f t="shared" si="22"/>
        <v>12621.537500000004</v>
      </c>
      <c r="K289" s="502"/>
      <c r="L289" s="145"/>
      <c r="M289" s="629"/>
      <c r="N289" s="630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</row>
    <row r="290" spans="1:33" s="2" customFormat="1" ht="20.100000000000001" customHeight="1">
      <c r="A290" s="585" t="s">
        <v>115</v>
      </c>
      <c r="B290" s="586"/>
      <c r="C290" s="122">
        <v>2</v>
      </c>
      <c r="D290" s="123" t="s">
        <v>31</v>
      </c>
      <c r="E290" s="320">
        <f>'DECK TALLY'!B263</f>
        <v>258</v>
      </c>
      <c r="F290" s="376">
        <f>VLOOKUP(E290,'DECK TALLY'!$B$6:$C$316,2,FALSE)</f>
        <v>33.53</v>
      </c>
      <c r="G290" s="377">
        <f t="shared" si="24"/>
        <v>33.124499999999998</v>
      </c>
      <c r="H290" s="131" t="s">
        <v>29</v>
      </c>
      <c r="I290" s="246">
        <f t="shared" si="21"/>
        <v>8766.5869999999959</v>
      </c>
      <c r="J290" s="371">
        <f t="shared" si="22"/>
        <v>12588.413000000004</v>
      </c>
      <c r="K290" s="502"/>
      <c r="L290" s="145"/>
      <c r="M290" s="629"/>
      <c r="N290" s="630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</row>
    <row r="291" spans="1:33" s="2" customFormat="1" ht="20.100000000000001" customHeight="1">
      <c r="A291" s="585" t="s">
        <v>115</v>
      </c>
      <c r="B291" s="586"/>
      <c r="C291" s="122">
        <v>2</v>
      </c>
      <c r="D291" s="123" t="s">
        <v>31</v>
      </c>
      <c r="E291" s="395">
        <f>'DECK TALLY'!B264</f>
        <v>259</v>
      </c>
      <c r="F291" s="376">
        <f>VLOOKUP(E291,'DECK TALLY'!$B$6:$C$316,2,FALSE)</f>
        <v>33.86</v>
      </c>
      <c r="G291" s="377">
        <f t="shared" si="23"/>
        <v>33.454499999999996</v>
      </c>
      <c r="H291" s="131" t="s">
        <v>29</v>
      </c>
      <c r="I291" s="246">
        <f t="shared" si="21"/>
        <v>8800.0414999999957</v>
      </c>
      <c r="J291" s="371">
        <f t="shared" si="22"/>
        <v>12554.958500000004</v>
      </c>
      <c r="K291" s="502"/>
      <c r="L291" s="145"/>
      <c r="M291" s="629"/>
      <c r="N291" s="630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</row>
    <row r="292" spans="1:33" s="2" customFormat="1" ht="20.100000000000001" customHeight="1">
      <c r="A292" s="585" t="s">
        <v>115</v>
      </c>
      <c r="B292" s="586"/>
      <c r="C292" s="122">
        <v>2</v>
      </c>
      <c r="D292" s="123" t="s">
        <v>31</v>
      </c>
      <c r="E292" s="320">
        <f>'DECK TALLY'!B265</f>
        <v>260</v>
      </c>
      <c r="F292" s="376">
        <f>VLOOKUP(E292,'DECK TALLY'!$B$6:$C$316,2,FALSE)</f>
        <v>33.54</v>
      </c>
      <c r="G292" s="377">
        <f t="shared" si="23"/>
        <v>33.134500000000003</v>
      </c>
      <c r="H292" s="131" t="s">
        <v>29</v>
      </c>
      <c r="I292" s="246">
        <f t="shared" si="21"/>
        <v>8833.1759999999958</v>
      </c>
      <c r="J292" s="371">
        <f t="shared" si="22"/>
        <v>12521.824000000004</v>
      </c>
      <c r="K292" s="502"/>
      <c r="L292" s="145"/>
      <c r="M292" s="629"/>
      <c r="N292" s="630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</row>
    <row r="293" spans="1:33" s="2" customFormat="1" ht="20.100000000000001" customHeight="1">
      <c r="A293" s="585" t="s">
        <v>115</v>
      </c>
      <c r="B293" s="586"/>
      <c r="C293" s="122">
        <v>2</v>
      </c>
      <c r="D293" s="123" t="s">
        <v>31</v>
      </c>
      <c r="E293" s="320">
        <f>'DECK TALLY'!B266</f>
        <v>261</v>
      </c>
      <c r="F293" s="376">
        <f>VLOOKUP(E293,'DECK TALLY'!$B$6:$C$316,2,FALSE)</f>
        <v>33.35</v>
      </c>
      <c r="G293" s="377">
        <f t="shared" si="23"/>
        <v>32.944500000000005</v>
      </c>
      <c r="H293" s="131" t="s">
        <v>29</v>
      </c>
      <c r="I293" s="246">
        <f t="shared" si="21"/>
        <v>8866.1204999999954</v>
      </c>
      <c r="J293" s="371">
        <f t="shared" si="22"/>
        <v>12488.879500000005</v>
      </c>
      <c r="K293" s="502"/>
      <c r="L293" s="145"/>
      <c r="M293" s="629"/>
      <c r="N293" s="630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</row>
    <row r="294" spans="1:33" s="2" customFormat="1" ht="20.100000000000001" customHeight="1">
      <c r="A294" s="585" t="s">
        <v>115</v>
      </c>
      <c r="B294" s="586"/>
      <c r="C294" s="122">
        <v>2</v>
      </c>
      <c r="D294" s="123" t="s">
        <v>31</v>
      </c>
      <c r="E294" s="395">
        <f>'DECK TALLY'!B267</f>
        <v>262</v>
      </c>
      <c r="F294" s="376">
        <f>VLOOKUP(E294,'DECK TALLY'!$B$6:$C$316,2,FALSE)</f>
        <v>33.93</v>
      </c>
      <c r="G294" s="377">
        <f t="shared" si="23"/>
        <v>33.524500000000003</v>
      </c>
      <c r="H294" s="131" t="s">
        <v>29</v>
      </c>
      <c r="I294" s="246">
        <f t="shared" si="21"/>
        <v>8899.644999999995</v>
      </c>
      <c r="J294" s="371">
        <f t="shared" si="22"/>
        <v>12455.355000000005</v>
      </c>
      <c r="K294" s="502"/>
      <c r="L294" s="145"/>
      <c r="M294" s="629"/>
      <c r="N294" s="630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</row>
    <row r="295" spans="1:33" s="2" customFormat="1" ht="20.100000000000001" customHeight="1">
      <c r="A295" s="585" t="s">
        <v>115</v>
      </c>
      <c r="B295" s="586"/>
      <c r="C295" s="167">
        <v>2</v>
      </c>
      <c r="D295" s="123" t="s">
        <v>31</v>
      </c>
      <c r="E295" s="320">
        <f>'DECK TALLY'!B268</f>
        <v>263</v>
      </c>
      <c r="F295" s="376">
        <f>VLOOKUP(E295,'DECK TALLY'!$B$6:$C$316,2,FALSE)</f>
        <v>33.950000000000003</v>
      </c>
      <c r="G295" s="377">
        <f t="shared" si="23"/>
        <v>33.544499999999999</v>
      </c>
      <c r="H295" s="131" t="s">
        <v>29</v>
      </c>
      <c r="I295" s="246">
        <f t="shared" si="21"/>
        <v>8933.189499999995</v>
      </c>
      <c r="J295" s="371">
        <f t="shared" si="22"/>
        <v>12421.810500000005</v>
      </c>
      <c r="K295" s="502"/>
      <c r="L295" s="145"/>
      <c r="M295" s="629"/>
      <c r="N295" s="630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</row>
    <row r="296" spans="1:33" s="2" customFormat="1" ht="20.100000000000001" customHeight="1" thickBot="1">
      <c r="A296" s="585" t="s">
        <v>115</v>
      </c>
      <c r="B296" s="586"/>
      <c r="C296" s="122">
        <v>2</v>
      </c>
      <c r="D296" s="123" t="s">
        <v>31</v>
      </c>
      <c r="E296" s="320">
        <f>'DECK TALLY'!B269</f>
        <v>264</v>
      </c>
      <c r="F296" s="376">
        <f>VLOOKUP(E296,'DECK TALLY'!$B$6:$C$316,2,FALSE)</f>
        <v>33.950000000000003</v>
      </c>
      <c r="G296" s="377">
        <f t="shared" si="23"/>
        <v>33.544499999999999</v>
      </c>
      <c r="H296" s="131" t="s">
        <v>29</v>
      </c>
      <c r="I296" s="246">
        <f t="shared" si="21"/>
        <v>8966.7339999999949</v>
      </c>
      <c r="J296" s="371">
        <f t="shared" si="22"/>
        <v>12388.266000000005</v>
      </c>
      <c r="K296" s="502"/>
      <c r="L296" s="145"/>
      <c r="M296" s="623" t="s">
        <v>367</v>
      </c>
      <c r="N296" s="624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</row>
    <row r="297" spans="1:33" s="2" customFormat="1" ht="20.100000000000001" customHeight="1">
      <c r="A297" s="585" t="s">
        <v>115</v>
      </c>
      <c r="B297" s="586"/>
      <c r="C297" s="122">
        <v>2</v>
      </c>
      <c r="D297" s="123" t="s">
        <v>31</v>
      </c>
      <c r="E297" s="395">
        <f>'DECK TALLY'!B270</f>
        <v>265</v>
      </c>
      <c r="F297" s="376">
        <f>VLOOKUP(E297,'DECK TALLY'!$B$6:$C$316,2,FALSE)</f>
        <v>33.950000000000003</v>
      </c>
      <c r="G297" s="377">
        <f t="shared" si="23"/>
        <v>33.544499999999999</v>
      </c>
      <c r="H297" s="131" t="s">
        <v>29</v>
      </c>
      <c r="I297" s="246">
        <f t="shared" si="21"/>
        <v>9000.2784999999949</v>
      </c>
      <c r="J297" s="371">
        <f t="shared" si="22"/>
        <v>12354.721500000005</v>
      </c>
      <c r="K297" s="502"/>
      <c r="L297" s="145"/>
      <c r="M297" s="605" t="s">
        <v>368</v>
      </c>
      <c r="N297" s="606"/>
      <c r="O297" s="579" t="s">
        <v>211</v>
      </c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</row>
    <row r="298" spans="1:33" s="2" customFormat="1" ht="20.100000000000001" customHeight="1">
      <c r="A298" s="631" t="s">
        <v>115</v>
      </c>
      <c r="B298" s="632"/>
      <c r="C298" s="316">
        <v>1</v>
      </c>
      <c r="D298" s="176" t="s">
        <v>31</v>
      </c>
      <c r="E298" s="321">
        <f>'DECK TALLY'!B271</f>
        <v>266</v>
      </c>
      <c r="F298" s="374">
        <f>VLOOKUP(E298,'DECK TALLY'!$B$6:$C$316,2,FALSE)</f>
        <v>33.950000000000003</v>
      </c>
      <c r="G298" s="375">
        <f t="shared" si="23"/>
        <v>33.544499999999999</v>
      </c>
      <c r="H298" s="177" t="s">
        <v>29</v>
      </c>
      <c r="I298" s="243">
        <f t="shared" si="21"/>
        <v>9033.8229999999949</v>
      </c>
      <c r="J298" s="370">
        <f t="shared" si="22"/>
        <v>12321.177000000005</v>
      </c>
      <c r="K298" s="504"/>
      <c r="L298" s="178"/>
      <c r="M298" s="636" t="s">
        <v>366</v>
      </c>
      <c r="N298" s="637"/>
      <c r="O298" s="635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</row>
    <row r="299" spans="1:33" s="2" customFormat="1" ht="20.100000000000001" customHeight="1">
      <c r="A299" s="642" t="s">
        <v>115</v>
      </c>
      <c r="B299" s="643"/>
      <c r="C299" s="122">
        <v>2</v>
      </c>
      <c r="D299" s="123" t="s">
        <v>31</v>
      </c>
      <c r="E299" s="320">
        <f>'DECK TALLY'!B272</f>
        <v>267</v>
      </c>
      <c r="F299" s="376">
        <f>VLOOKUP(E299,'DECK TALLY'!$B$6:$C$316,2,FALSE)</f>
        <v>33.96</v>
      </c>
      <c r="G299" s="377">
        <f t="shared" si="23"/>
        <v>33.554500000000004</v>
      </c>
      <c r="H299" s="131" t="s">
        <v>29</v>
      </c>
      <c r="I299" s="246">
        <f t="shared" si="21"/>
        <v>9067.3774999999951</v>
      </c>
      <c r="J299" s="371">
        <f t="shared" si="22"/>
        <v>12287.622500000005</v>
      </c>
      <c r="K299" s="502"/>
      <c r="L299" s="145"/>
      <c r="M299" s="204" t="s">
        <v>208</v>
      </c>
      <c r="N299" s="205">
        <f>SUM(J298-4)</f>
        <v>12317.177000000005</v>
      </c>
      <c r="O299" s="212">
        <v>12328</v>
      </c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</row>
    <row r="300" spans="1:33" s="2" customFormat="1" ht="20.100000000000001" customHeight="1" thickBot="1">
      <c r="A300" s="581" t="s">
        <v>329</v>
      </c>
      <c r="B300" s="582"/>
      <c r="C300" s="316">
        <v>1</v>
      </c>
      <c r="D300" s="203" t="s">
        <v>31</v>
      </c>
      <c r="E300" s="318" t="str">
        <f>'DECK TALLY'!F10</f>
        <v>P 5</v>
      </c>
      <c r="F300" s="372">
        <f>'DECK TALLY'!G10</f>
        <v>10.220000000000001</v>
      </c>
      <c r="G300" s="373">
        <f t="shared" si="23"/>
        <v>9.8145000000000007</v>
      </c>
      <c r="H300" s="394" t="s">
        <v>29</v>
      </c>
      <c r="I300" s="242">
        <f t="shared" si="21"/>
        <v>9077.1919999999955</v>
      </c>
      <c r="J300" s="369">
        <f t="shared" si="22"/>
        <v>12277.808000000005</v>
      </c>
      <c r="K300" s="503"/>
      <c r="L300" s="170"/>
      <c r="M300" s="650" t="s">
        <v>233</v>
      </c>
      <c r="N300" s="651"/>
      <c r="O300" s="251">
        <f>SUM(N299-O299)</f>
        <v>-10.822999999994863</v>
      </c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</row>
    <row r="301" spans="1:33" s="2" customFormat="1" ht="20.100000000000001" customHeight="1">
      <c r="A301" s="585" t="s">
        <v>115</v>
      </c>
      <c r="B301" s="586"/>
      <c r="C301" s="167">
        <v>2</v>
      </c>
      <c r="D301" s="123" t="s">
        <v>31</v>
      </c>
      <c r="E301" s="320">
        <f>'DECK TALLY'!B273</f>
        <v>268</v>
      </c>
      <c r="F301" s="376">
        <f>VLOOKUP(E301,'DECK TALLY'!$B$6:$C$316,2,FALSE)</f>
        <v>33.950000000000003</v>
      </c>
      <c r="G301" s="377">
        <f t="shared" si="23"/>
        <v>33.544499999999999</v>
      </c>
      <c r="H301" s="131" t="s">
        <v>29</v>
      </c>
      <c r="I301" s="246">
        <f t="shared" si="21"/>
        <v>9110.7364999999954</v>
      </c>
      <c r="J301" s="371">
        <f t="shared" si="22"/>
        <v>12244.263500000005</v>
      </c>
      <c r="K301" s="502"/>
      <c r="L301" s="145"/>
      <c r="M301" s="629"/>
      <c r="N301" s="630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</row>
    <row r="302" spans="1:33" s="2" customFormat="1" ht="20.100000000000001" customHeight="1">
      <c r="A302" s="585" t="s">
        <v>115</v>
      </c>
      <c r="B302" s="586"/>
      <c r="C302" s="167">
        <v>2</v>
      </c>
      <c r="D302" s="123" t="s">
        <v>31</v>
      </c>
      <c r="E302" s="320">
        <f>'DECK TALLY'!B274</f>
        <v>269</v>
      </c>
      <c r="F302" s="376">
        <f>VLOOKUP(E302,'DECK TALLY'!$B$6:$C$316,2,FALSE)</f>
        <v>33.950000000000003</v>
      </c>
      <c r="G302" s="377">
        <f t="shared" si="23"/>
        <v>33.544499999999999</v>
      </c>
      <c r="H302" s="131" t="s">
        <v>29</v>
      </c>
      <c r="I302" s="246">
        <f t="shared" si="21"/>
        <v>9144.2809999999954</v>
      </c>
      <c r="J302" s="371">
        <f t="shared" si="22"/>
        <v>12210.719000000005</v>
      </c>
      <c r="K302" s="502"/>
      <c r="L302" s="145"/>
      <c r="M302" s="629"/>
      <c r="N302" s="630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</row>
    <row r="303" spans="1:33" s="2" customFormat="1" ht="20.100000000000001" customHeight="1">
      <c r="A303" s="585" t="s">
        <v>115</v>
      </c>
      <c r="B303" s="586"/>
      <c r="C303" s="167">
        <v>2</v>
      </c>
      <c r="D303" s="123" t="s">
        <v>31</v>
      </c>
      <c r="E303" s="320">
        <f>'DECK TALLY'!B275</f>
        <v>270</v>
      </c>
      <c r="F303" s="376">
        <f>VLOOKUP(E303,'DECK TALLY'!$B$6:$C$316,2,FALSE)</f>
        <v>33.950000000000003</v>
      </c>
      <c r="G303" s="377">
        <f t="shared" si="23"/>
        <v>33.544499999999999</v>
      </c>
      <c r="H303" s="131" t="s">
        <v>29</v>
      </c>
      <c r="I303" s="246">
        <f t="shared" si="21"/>
        <v>9177.8254999999954</v>
      </c>
      <c r="J303" s="371">
        <f t="shared" si="22"/>
        <v>12177.174500000005</v>
      </c>
      <c r="K303" s="502"/>
      <c r="L303" s="145"/>
      <c r="M303" s="629"/>
      <c r="N303" s="630"/>
      <c r="O303" s="143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</row>
    <row r="304" spans="1:33" s="2" customFormat="1" ht="20.100000000000001" customHeight="1">
      <c r="A304" s="585" t="s">
        <v>115</v>
      </c>
      <c r="B304" s="586"/>
      <c r="C304" s="122">
        <v>2</v>
      </c>
      <c r="D304" s="123" t="s">
        <v>31</v>
      </c>
      <c r="E304" s="320">
        <f>'DECK TALLY'!B276</f>
        <v>271</v>
      </c>
      <c r="F304" s="376">
        <f>VLOOKUP(E304,'DECK TALLY'!$B$6:$C$316,2,FALSE)</f>
        <v>33.94</v>
      </c>
      <c r="G304" s="377">
        <f t="shared" si="23"/>
        <v>33.534499999999994</v>
      </c>
      <c r="H304" s="131" t="s">
        <v>29</v>
      </c>
      <c r="I304" s="246">
        <f t="shared" si="21"/>
        <v>9211.3599999999951</v>
      </c>
      <c r="J304" s="371">
        <f t="shared" si="22"/>
        <v>12143.640000000005</v>
      </c>
      <c r="K304" s="502"/>
      <c r="L304" s="145"/>
      <c r="M304" s="629"/>
      <c r="N304" s="630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</row>
    <row r="305" spans="1:33" s="2" customFormat="1" ht="20.100000000000001" customHeight="1">
      <c r="A305" s="585" t="s">
        <v>115</v>
      </c>
      <c r="B305" s="586"/>
      <c r="C305" s="122">
        <v>2</v>
      </c>
      <c r="D305" s="123" t="s">
        <v>31</v>
      </c>
      <c r="E305" s="320">
        <f>'DECK TALLY'!B277</f>
        <v>272</v>
      </c>
      <c r="F305" s="376">
        <f>VLOOKUP(E305,'DECK TALLY'!$B$6:$C$316,2,FALSE)</f>
        <v>33.799999999999997</v>
      </c>
      <c r="G305" s="377">
        <f t="shared" si="23"/>
        <v>33.394499999999994</v>
      </c>
      <c r="H305" s="131" t="s">
        <v>29</v>
      </c>
      <c r="I305" s="246">
        <f t="shared" si="21"/>
        <v>9244.7544999999955</v>
      </c>
      <c r="J305" s="371">
        <f t="shared" si="22"/>
        <v>12110.245500000005</v>
      </c>
      <c r="K305" s="502"/>
      <c r="L305" s="145"/>
      <c r="M305" s="629"/>
      <c r="N305" s="630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</row>
    <row r="306" spans="1:33" s="2" customFormat="1" ht="20.100000000000001" customHeight="1">
      <c r="A306" s="585" t="s">
        <v>115</v>
      </c>
      <c r="B306" s="586"/>
      <c r="C306" s="122">
        <v>2</v>
      </c>
      <c r="D306" s="123" t="s">
        <v>31</v>
      </c>
      <c r="E306" s="320">
        <f>'DECK TALLY'!B278</f>
        <v>273</v>
      </c>
      <c r="F306" s="376">
        <f>VLOOKUP(E306,'DECK TALLY'!$B$6:$C$316,2,FALSE)</f>
        <v>33.94</v>
      </c>
      <c r="G306" s="377">
        <f t="shared" si="23"/>
        <v>33.534499999999994</v>
      </c>
      <c r="H306" s="131" t="s">
        <v>29</v>
      </c>
      <c r="I306" s="246">
        <f t="shared" si="21"/>
        <v>9278.2889999999952</v>
      </c>
      <c r="J306" s="371">
        <f t="shared" si="22"/>
        <v>12076.711000000005</v>
      </c>
      <c r="K306" s="502"/>
      <c r="L306" s="145"/>
      <c r="M306" s="629"/>
      <c r="N306" s="630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</row>
    <row r="307" spans="1:33" s="2" customFormat="1" ht="20.100000000000001" customHeight="1">
      <c r="A307" s="585" t="s">
        <v>115</v>
      </c>
      <c r="B307" s="586"/>
      <c r="C307" s="122">
        <v>2</v>
      </c>
      <c r="D307" s="123" t="s">
        <v>31</v>
      </c>
      <c r="E307" s="320">
        <f>'DECK TALLY'!B279</f>
        <v>274</v>
      </c>
      <c r="F307" s="376">
        <f>VLOOKUP(E307,'DECK TALLY'!$B$6:$C$316,2,FALSE)</f>
        <v>33.94</v>
      </c>
      <c r="G307" s="377">
        <f t="shared" ref="G307:G311" si="25">F307-($H$12/12)</f>
        <v>33.534499999999994</v>
      </c>
      <c r="H307" s="131" t="s">
        <v>29</v>
      </c>
      <c r="I307" s="246">
        <f t="shared" si="21"/>
        <v>9311.823499999995</v>
      </c>
      <c r="J307" s="371">
        <f t="shared" si="22"/>
        <v>12043.176500000005</v>
      </c>
      <c r="K307" s="502"/>
      <c r="L307" s="145"/>
      <c r="M307" s="629"/>
      <c r="N307" s="630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</row>
    <row r="308" spans="1:33" s="2" customFormat="1" ht="20.100000000000001" customHeight="1" thickBot="1">
      <c r="A308" s="585" t="s">
        <v>115</v>
      </c>
      <c r="B308" s="586"/>
      <c r="C308" s="122">
        <v>2</v>
      </c>
      <c r="D308" s="123" t="s">
        <v>31</v>
      </c>
      <c r="E308" s="320">
        <f>'DECK TALLY'!B280</f>
        <v>275</v>
      </c>
      <c r="F308" s="376">
        <f>VLOOKUP(E308,'DECK TALLY'!$B$6:$C$316,2,FALSE)</f>
        <v>33.94</v>
      </c>
      <c r="G308" s="377">
        <f t="shared" si="25"/>
        <v>33.534499999999994</v>
      </c>
      <c r="H308" s="131" t="s">
        <v>29</v>
      </c>
      <c r="I308" s="246">
        <f t="shared" si="21"/>
        <v>9345.3579999999947</v>
      </c>
      <c r="J308" s="371">
        <f t="shared" si="22"/>
        <v>12009.642000000005</v>
      </c>
      <c r="K308" s="502"/>
      <c r="L308" s="145"/>
      <c r="M308" s="629"/>
      <c r="N308" s="630"/>
      <c r="O308" s="121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</row>
    <row r="309" spans="1:33" s="2" customFormat="1" ht="20.100000000000001" customHeight="1">
      <c r="A309" s="585" t="s">
        <v>115</v>
      </c>
      <c r="B309" s="586"/>
      <c r="C309" s="122">
        <v>2</v>
      </c>
      <c r="D309" s="123" t="s">
        <v>31</v>
      </c>
      <c r="E309" s="320">
        <f>'DECK TALLY'!B281</f>
        <v>276</v>
      </c>
      <c r="F309" s="376">
        <f>VLOOKUP(E309,'DECK TALLY'!$B$6:$C$316,2,FALSE)</f>
        <v>33.94</v>
      </c>
      <c r="G309" s="377">
        <f t="shared" si="25"/>
        <v>33.534499999999994</v>
      </c>
      <c r="H309" s="131" t="s">
        <v>29</v>
      </c>
      <c r="I309" s="246">
        <f t="shared" si="21"/>
        <v>9378.8924999999945</v>
      </c>
      <c r="J309" s="371">
        <f t="shared" si="22"/>
        <v>11976.107500000006</v>
      </c>
      <c r="K309" s="502"/>
      <c r="L309" s="145"/>
      <c r="M309" s="247" t="s">
        <v>243</v>
      </c>
      <c r="N309" s="334">
        <v>306</v>
      </c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</row>
    <row r="310" spans="1:33" s="2" customFormat="1" ht="20.100000000000001" customHeight="1">
      <c r="A310" s="585" t="s">
        <v>115</v>
      </c>
      <c r="B310" s="586"/>
      <c r="C310" s="122">
        <v>2</v>
      </c>
      <c r="D310" s="123" t="s">
        <v>31</v>
      </c>
      <c r="E310" s="320">
        <f>'DECK TALLY'!B282</f>
        <v>277</v>
      </c>
      <c r="F310" s="376">
        <f>VLOOKUP(E310,'DECK TALLY'!$B$6:$C$316,2,FALSE)</f>
        <v>33.94</v>
      </c>
      <c r="G310" s="377">
        <f t="shared" si="25"/>
        <v>33.534499999999994</v>
      </c>
      <c r="H310" s="131" t="s">
        <v>29</v>
      </c>
      <c r="I310" s="246">
        <f t="shared" si="21"/>
        <v>9412.4269999999942</v>
      </c>
      <c r="J310" s="371">
        <f t="shared" si="22"/>
        <v>11942.573000000006</v>
      </c>
      <c r="K310" s="502"/>
      <c r="L310" s="145"/>
      <c r="M310" s="209" t="s">
        <v>244</v>
      </c>
      <c r="N310" s="335">
        <v>285</v>
      </c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</row>
    <row r="311" spans="1:33" s="2" customFormat="1" ht="20.100000000000001" customHeight="1" thickBot="1">
      <c r="A311" s="585" t="s">
        <v>115</v>
      </c>
      <c r="B311" s="586"/>
      <c r="C311" s="122">
        <v>2</v>
      </c>
      <c r="D311" s="123" t="s">
        <v>31</v>
      </c>
      <c r="E311" s="320">
        <f>'DECK TALLY'!B283</f>
        <v>278</v>
      </c>
      <c r="F311" s="376">
        <f>VLOOKUP(E311,'DECK TALLY'!$B$6:$C$316,2,FALSE)</f>
        <v>33.950000000000003</v>
      </c>
      <c r="G311" s="377">
        <f t="shared" si="25"/>
        <v>33.544499999999999</v>
      </c>
      <c r="H311" s="131" t="s">
        <v>29</v>
      </c>
      <c r="I311" s="246">
        <f t="shared" si="21"/>
        <v>9445.9714999999942</v>
      </c>
      <c r="J311" s="371">
        <f t="shared" si="22"/>
        <v>11909.028500000006</v>
      </c>
      <c r="K311" s="502"/>
      <c r="L311" s="145"/>
      <c r="M311" s="248" t="s">
        <v>245</v>
      </c>
      <c r="N311" s="337">
        <f>N309-N310</f>
        <v>21</v>
      </c>
      <c r="O311" s="477" t="s">
        <v>372</v>
      </c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</row>
    <row r="312" spans="1:33" s="2" customFormat="1" ht="20.100000000000001" customHeight="1">
      <c r="A312" s="585" t="s">
        <v>115</v>
      </c>
      <c r="B312" s="586"/>
      <c r="C312" s="122">
        <v>2</v>
      </c>
      <c r="D312" s="123" t="s">
        <v>31</v>
      </c>
      <c r="E312" s="320">
        <f>'DECK TALLY'!B284</f>
        <v>279</v>
      </c>
      <c r="F312" s="376">
        <f>VLOOKUP(E312,'DECK TALLY'!$B$6:$C$316,2,FALSE)</f>
        <v>33.94</v>
      </c>
      <c r="G312" s="377">
        <f t="shared" ref="G312:G321" si="26">F312-($H$12/12)</f>
        <v>33.534499999999994</v>
      </c>
      <c r="H312" s="131" t="s">
        <v>29</v>
      </c>
      <c r="I312" s="246">
        <f t="shared" ref="I312:I315" si="27">IF(H312="IN",I311+G312,I311)</f>
        <v>9479.5059999999939</v>
      </c>
      <c r="J312" s="371">
        <f t="shared" ref="J312:J315" si="28">IF(I312="","",$M$10-I312)</f>
        <v>11875.494000000006</v>
      </c>
      <c r="K312" s="502"/>
      <c r="L312" s="145"/>
      <c r="M312" s="336" t="s">
        <v>246</v>
      </c>
      <c r="N312" s="334">
        <v>7</v>
      </c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</row>
    <row r="313" spans="1:33" s="2" customFormat="1" ht="20.100000000000001" customHeight="1">
      <c r="A313" s="585" t="s">
        <v>115</v>
      </c>
      <c r="B313" s="586"/>
      <c r="C313" s="122">
        <v>2</v>
      </c>
      <c r="D313" s="123" t="s">
        <v>31</v>
      </c>
      <c r="E313" s="320">
        <f>'DECK TALLY'!B285</f>
        <v>280</v>
      </c>
      <c r="F313" s="376">
        <f>VLOOKUP(E313,'DECK TALLY'!$B$6:$C$316,2,FALSE)</f>
        <v>33.950000000000003</v>
      </c>
      <c r="G313" s="377">
        <f t="shared" si="26"/>
        <v>33.544499999999999</v>
      </c>
      <c r="H313" s="131" t="s">
        <v>29</v>
      </c>
      <c r="I313" s="246">
        <f t="shared" si="27"/>
        <v>9513.0504999999939</v>
      </c>
      <c r="J313" s="371">
        <f t="shared" si="28"/>
        <v>11841.949500000006</v>
      </c>
      <c r="K313" s="502"/>
      <c r="L313" s="145"/>
      <c r="M313" s="333" t="s">
        <v>247</v>
      </c>
      <c r="N313" s="335">
        <v>5</v>
      </c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</row>
    <row r="314" spans="1:33" s="2" customFormat="1" ht="20.100000000000001" customHeight="1" thickBot="1">
      <c r="A314" s="585" t="s">
        <v>115</v>
      </c>
      <c r="B314" s="586"/>
      <c r="C314" s="122">
        <v>2</v>
      </c>
      <c r="D314" s="123" t="s">
        <v>31</v>
      </c>
      <c r="E314" s="320">
        <f>'DECK TALLY'!B286</f>
        <v>281</v>
      </c>
      <c r="F314" s="376">
        <f>VLOOKUP(E314,'DECK TALLY'!$B$6:$C$316,2,FALSE)</f>
        <v>33.83</v>
      </c>
      <c r="G314" s="377">
        <f t="shared" si="26"/>
        <v>33.424499999999995</v>
      </c>
      <c r="H314" s="131" t="s">
        <v>29</v>
      </c>
      <c r="I314" s="246">
        <f t="shared" si="27"/>
        <v>9546.4749999999931</v>
      </c>
      <c r="J314" s="371">
        <f t="shared" si="28"/>
        <v>11808.525000000007</v>
      </c>
      <c r="K314" s="502"/>
      <c r="L314" s="145"/>
      <c r="M314" s="248" t="s">
        <v>245</v>
      </c>
      <c r="N314" s="337">
        <f>SUM(N312-N313)</f>
        <v>2</v>
      </c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</row>
    <row r="315" spans="1:33" s="2" customFormat="1" ht="20.100000000000001" customHeight="1" thickBot="1">
      <c r="A315" s="585" t="s">
        <v>115</v>
      </c>
      <c r="B315" s="586"/>
      <c r="C315" s="122">
        <v>2</v>
      </c>
      <c r="D315" s="123" t="s">
        <v>31</v>
      </c>
      <c r="E315" s="320">
        <f>'DECK TALLY'!B287</f>
        <v>282</v>
      </c>
      <c r="F315" s="376">
        <f>VLOOKUP(E315,'DECK TALLY'!$B$6:$C$316,2,FALSE)</f>
        <v>33.950000000000003</v>
      </c>
      <c r="G315" s="377">
        <f t="shared" si="26"/>
        <v>33.544499999999999</v>
      </c>
      <c r="H315" s="131" t="s">
        <v>29</v>
      </c>
      <c r="I315" s="246">
        <f t="shared" si="27"/>
        <v>9580.0194999999931</v>
      </c>
      <c r="J315" s="371">
        <f t="shared" si="28"/>
        <v>11774.980500000007</v>
      </c>
      <c r="K315" s="502"/>
      <c r="L315" s="145"/>
      <c r="M315" s="652"/>
      <c r="N315" s="653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</row>
    <row r="316" spans="1:33" s="2" customFormat="1" ht="20.100000000000001" customHeight="1">
      <c r="A316" s="585" t="s">
        <v>115</v>
      </c>
      <c r="B316" s="586"/>
      <c r="C316" s="122">
        <v>2</v>
      </c>
      <c r="D316" s="123" t="s">
        <v>31</v>
      </c>
      <c r="E316" s="320">
        <f>'DECK TALLY'!B288</f>
        <v>283</v>
      </c>
      <c r="F316" s="376">
        <f>VLOOKUP(E316,'DECK TALLY'!$B$6:$C$316,2,FALSE)</f>
        <v>33.950000000000003</v>
      </c>
      <c r="G316" s="377">
        <f t="shared" ref="G316:G318" si="29">F316-($H$12/12)</f>
        <v>33.544499999999999</v>
      </c>
      <c r="H316" s="131" t="s">
        <v>29</v>
      </c>
      <c r="I316" s="246">
        <f t="shared" ref="I316:I318" si="30">IF(H316="IN",I315+G316,I315)</f>
        <v>9613.563999999993</v>
      </c>
      <c r="J316" s="371">
        <f t="shared" ref="J316:J318" si="31">IF(I316="","",$M$10-I316)</f>
        <v>11741.436000000007</v>
      </c>
      <c r="K316" s="502"/>
      <c r="L316" s="145"/>
      <c r="M316" s="605" t="s">
        <v>365</v>
      </c>
      <c r="N316" s="654"/>
      <c r="O316" s="579" t="s">
        <v>211</v>
      </c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</row>
    <row r="317" spans="1:33" s="2" customFormat="1" ht="20.100000000000001" customHeight="1">
      <c r="A317" s="585" t="s">
        <v>115</v>
      </c>
      <c r="B317" s="586"/>
      <c r="C317" s="122">
        <v>2</v>
      </c>
      <c r="D317" s="123" t="s">
        <v>31</v>
      </c>
      <c r="E317" s="320">
        <f>'DECK TALLY'!B289</f>
        <v>284</v>
      </c>
      <c r="F317" s="376">
        <f>VLOOKUP(E317,'DECK TALLY'!$B$6:$C$316,2,FALSE)</f>
        <v>33.94</v>
      </c>
      <c r="G317" s="377">
        <f t="shared" si="29"/>
        <v>33.534499999999994</v>
      </c>
      <c r="H317" s="131" t="s">
        <v>29</v>
      </c>
      <c r="I317" s="246">
        <f t="shared" si="30"/>
        <v>9647.0984999999928</v>
      </c>
      <c r="J317" s="371">
        <f t="shared" si="31"/>
        <v>11707.901500000007</v>
      </c>
      <c r="K317" s="502"/>
      <c r="L317" s="145"/>
      <c r="M317" s="583" t="s">
        <v>242</v>
      </c>
      <c r="N317" s="584"/>
      <c r="O317" s="580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</row>
    <row r="318" spans="1:33" s="2" customFormat="1" ht="20.100000000000001" customHeight="1">
      <c r="A318" s="585" t="s">
        <v>115</v>
      </c>
      <c r="B318" s="586"/>
      <c r="C318" s="122">
        <v>2</v>
      </c>
      <c r="D318" s="123" t="s">
        <v>31</v>
      </c>
      <c r="E318" s="320">
        <f>'DECK TALLY'!B290</f>
        <v>285</v>
      </c>
      <c r="F318" s="376">
        <f>VLOOKUP(E318,'DECK TALLY'!$B$6:$C$316,2,FALSE)</f>
        <v>33.950000000000003</v>
      </c>
      <c r="G318" s="377">
        <f t="shared" si="29"/>
        <v>33.544499999999999</v>
      </c>
      <c r="H318" s="131" t="s">
        <v>29</v>
      </c>
      <c r="I318" s="246">
        <f t="shared" si="30"/>
        <v>9680.6429999999928</v>
      </c>
      <c r="J318" s="371">
        <f t="shared" si="31"/>
        <v>11674.357000000007</v>
      </c>
      <c r="K318" s="502"/>
      <c r="L318" s="145"/>
      <c r="M318" s="204" t="s">
        <v>208</v>
      </c>
      <c r="N318" s="205">
        <f>J318-4</f>
        <v>11670.357000000007</v>
      </c>
      <c r="O318" s="419">
        <f>J327</f>
        <v>11572.423500000006</v>
      </c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</row>
    <row r="319" spans="1:33" s="2" customFormat="1" ht="20.100000000000001" customHeight="1" thickBot="1">
      <c r="A319" s="631" t="s">
        <v>115</v>
      </c>
      <c r="B319" s="632"/>
      <c r="C319" s="396">
        <v>2</v>
      </c>
      <c r="D319" s="176" t="s">
        <v>31</v>
      </c>
      <c r="E319" s="321">
        <f>'DECK TALLY'!B291</f>
        <v>286</v>
      </c>
      <c r="F319" s="374">
        <f>VLOOKUP(E319,'DECK TALLY'!$B$6:$C$316,2,FALSE)</f>
        <v>33.94</v>
      </c>
      <c r="G319" s="375">
        <f t="shared" ref="G319:G320" si="32">F319-($H$12/12)</f>
        <v>33.534499999999994</v>
      </c>
      <c r="H319" s="177" t="s">
        <v>29</v>
      </c>
      <c r="I319" s="243">
        <f t="shared" ref="I319:I324" si="33">IF(H319="IN",I318+G319,I318)</f>
        <v>9714.1774999999925</v>
      </c>
      <c r="J319" s="370">
        <f t="shared" ref="J319:J325" si="34">IF(I319="","",$M$10-I319)</f>
        <v>11640.822500000007</v>
      </c>
      <c r="K319" s="504"/>
      <c r="L319" s="178"/>
      <c r="M319" s="675" t="s">
        <v>373</v>
      </c>
      <c r="N319" s="676"/>
      <c r="O319" s="251">
        <f>SUM(O318-N318)</f>
        <v>-97.933500000001004</v>
      </c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</row>
    <row r="320" spans="1:33" s="2" customFormat="1" ht="20.100000000000001" customHeight="1">
      <c r="A320" s="585" t="s">
        <v>115</v>
      </c>
      <c r="B320" s="586"/>
      <c r="C320" s="122">
        <v>2</v>
      </c>
      <c r="D320" s="123" t="s">
        <v>31</v>
      </c>
      <c r="E320" s="320">
        <f>'DECK TALLY'!B292</f>
        <v>287</v>
      </c>
      <c r="F320" s="376">
        <f>VLOOKUP(E320,'DECK TALLY'!$B$6:$C$316,2,FALSE)</f>
        <v>31.21</v>
      </c>
      <c r="G320" s="377">
        <f t="shared" si="32"/>
        <v>30.804500000000001</v>
      </c>
      <c r="H320" s="131" t="s">
        <v>29</v>
      </c>
      <c r="I320" s="246">
        <f t="shared" si="33"/>
        <v>9744.9819999999927</v>
      </c>
      <c r="J320" s="371">
        <f t="shared" si="34"/>
        <v>11610.018000000007</v>
      </c>
      <c r="K320" s="502"/>
      <c r="L320" s="145"/>
      <c r="M320" s="677"/>
      <c r="N320" s="678"/>
      <c r="O320" s="398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</row>
    <row r="321" spans="1:33" s="2" customFormat="1" ht="20.100000000000001" hidden="1" customHeight="1">
      <c r="A321" s="585" t="s">
        <v>115</v>
      </c>
      <c r="B321" s="586"/>
      <c r="C321" s="122">
        <v>7</v>
      </c>
      <c r="D321" s="123" t="s">
        <v>31</v>
      </c>
      <c r="E321" s="320">
        <v>284</v>
      </c>
      <c r="F321" s="376">
        <f>VLOOKUP(E321,'DECK TALLY'!$B$6:$C$316,2,FALSE)</f>
        <v>33.94</v>
      </c>
      <c r="G321" s="377">
        <f t="shared" si="26"/>
        <v>33.534499999999994</v>
      </c>
      <c r="H321" s="131" t="s">
        <v>32</v>
      </c>
      <c r="I321" s="246">
        <f t="shared" si="33"/>
        <v>9744.9819999999927</v>
      </c>
      <c r="J321" s="371">
        <f t="shared" si="34"/>
        <v>11610.018000000007</v>
      </c>
      <c r="K321" s="502"/>
      <c r="L321" s="145"/>
      <c r="M321" s="679"/>
      <c r="N321" s="680"/>
      <c r="O321" s="39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</row>
    <row r="322" spans="1:33" s="2" customFormat="1" ht="20.100000000000001" hidden="1" customHeight="1">
      <c r="A322" s="585" t="s">
        <v>115</v>
      </c>
      <c r="B322" s="586"/>
      <c r="C322" s="167">
        <v>2</v>
      </c>
      <c r="D322" s="123" t="s">
        <v>31</v>
      </c>
      <c r="E322" s="320">
        <v>285</v>
      </c>
      <c r="F322" s="376">
        <f>VLOOKUP(E322,'DECK TALLY'!$B$6:$C$316,2,FALSE)</f>
        <v>33.950000000000003</v>
      </c>
      <c r="G322" s="377">
        <f t="shared" ref="G322:G325" si="35">F322-($H$12/12)</f>
        <v>33.544499999999999</v>
      </c>
      <c r="H322" s="131" t="s">
        <v>32</v>
      </c>
      <c r="I322" s="246">
        <f t="shared" si="33"/>
        <v>9744.9819999999927</v>
      </c>
      <c r="J322" s="371">
        <f t="shared" si="34"/>
        <v>11610.018000000007</v>
      </c>
      <c r="K322" s="502"/>
      <c r="L322" s="145"/>
      <c r="M322" s="669"/>
      <c r="N322" s="670"/>
      <c r="O322" s="397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</row>
    <row r="323" spans="1:33" s="2" customFormat="1" ht="20.100000000000001" hidden="1" customHeight="1">
      <c r="A323" s="585" t="s">
        <v>115</v>
      </c>
      <c r="B323" s="586"/>
      <c r="C323" s="122">
        <v>2</v>
      </c>
      <c r="D323" s="123" t="s">
        <v>31</v>
      </c>
      <c r="E323" s="320">
        <v>286</v>
      </c>
      <c r="F323" s="376">
        <f>VLOOKUP(E323,'DECK TALLY'!$B$6:$C$316,2,FALSE)</f>
        <v>33.94</v>
      </c>
      <c r="G323" s="377">
        <f t="shared" si="35"/>
        <v>33.534499999999994</v>
      </c>
      <c r="H323" s="131" t="s">
        <v>32</v>
      </c>
      <c r="I323" s="246">
        <f t="shared" si="33"/>
        <v>9744.9819999999927</v>
      </c>
      <c r="J323" s="371">
        <f t="shared" si="34"/>
        <v>11610.018000000007</v>
      </c>
      <c r="K323" s="502"/>
      <c r="L323" s="145"/>
      <c r="M323" s="671"/>
      <c r="N323" s="672"/>
      <c r="O323" s="397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</row>
    <row r="324" spans="1:33" s="2" customFormat="1" ht="20.100000000000001" hidden="1" customHeight="1" thickBot="1">
      <c r="A324" s="673" t="s">
        <v>115</v>
      </c>
      <c r="B324" s="674"/>
      <c r="C324" s="356">
        <v>2</v>
      </c>
      <c r="D324" s="357" t="s">
        <v>31</v>
      </c>
      <c r="E324" s="449">
        <v>287</v>
      </c>
      <c r="F324" s="378">
        <f>VLOOKUP(E324,'DECK TALLY'!$B$6:$C$316,2,FALSE)</f>
        <v>31.21</v>
      </c>
      <c r="G324" s="379">
        <f t="shared" si="35"/>
        <v>30.804500000000001</v>
      </c>
      <c r="H324" s="130" t="s">
        <v>32</v>
      </c>
      <c r="I324" s="246">
        <f t="shared" si="33"/>
        <v>9744.9819999999927</v>
      </c>
      <c r="J324" s="371">
        <f t="shared" si="34"/>
        <v>11610.018000000007</v>
      </c>
      <c r="K324" s="502"/>
      <c r="L324" s="145"/>
      <c r="M324" s="671"/>
      <c r="N324" s="672"/>
      <c r="O324" s="397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</row>
    <row r="325" spans="1:33" s="2" customFormat="1" ht="20.100000000000001" hidden="1" customHeight="1" thickBot="1">
      <c r="A325" s="655" t="s">
        <v>358</v>
      </c>
      <c r="B325" s="656"/>
      <c r="C325" s="361">
        <v>1</v>
      </c>
      <c r="D325" s="453" t="s">
        <v>31</v>
      </c>
      <c r="E325" s="446" t="s">
        <v>235</v>
      </c>
      <c r="F325" s="447">
        <f>VLOOKUP(E325,'DECK TALLY'!F6:G18,2,FALSE)</f>
        <v>10.220000000000001</v>
      </c>
      <c r="G325" s="448">
        <f t="shared" si="35"/>
        <v>9.8145000000000007</v>
      </c>
      <c r="H325" s="448" t="s">
        <v>32</v>
      </c>
      <c r="I325" s="454">
        <f>IF(H325="IN",I324+G325,I324)</f>
        <v>9744.9819999999927</v>
      </c>
      <c r="J325" s="455">
        <f t="shared" si="34"/>
        <v>11610.018000000007</v>
      </c>
      <c r="K325" s="506"/>
      <c r="L325" s="456"/>
      <c r="M325" s="657"/>
      <c r="N325" s="658"/>
      <c r="O325" s="397"/>
      <c r="P325" s="29"/>
      <c r="Q325" s="29" t="s">
        <v>299</v>
      </c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</row>
    <row r="326" spans="1:33" s="2" customFormat="1" ht="21" customHeight="1">
      <c r="A326" s="591" t="s">
        <v>321</v>
      </c>
      <c r="B326" s="592"/>
      <c r="C326" s="659" t="s">
        <v>230</v>
      </c>
      <c r="D326" s="660"/>
      <c r="E326" s="661"/>
      <c r="F326" s="400">
        <f>SUM('DECK TALLY'!K20)</f>
        <v>33.97</v>
      </c>
      <c r="G326" s="386">
        <f>F326-($H$12/12)</f>
        <v>33.564499999999995</v>
      </c>
      <c r="H326" s="386" t="s">
        <v>29</v>
      </c>
      <c r="I326" s="450">
        <f t="shared" ref="I326:I327" si="36">IF(H326="IN",I325+G326,I325)</f>
        <v>9778.5464999999931</v>
      </c>
      <c r="J326" s="451">
        <f t="shared" ref="J326:J327" si="37">IF(I326="","",$M$10-I326)</f>
        <v>11576.453500000007</v>
      </c>
      <c r="K326" s="507"/>
      <c r="L326" s="452"/>
      <c r="M326" s="662"/>
      <c r="N326" s="663"/>
      <c r="O326" s="397"/>
      <c r="P326" s="29"/>
      <c r="Q326" s="182"/>
      <c r="R326" s="27"/>
      <c r="S326" s="27"/>
      <c r="T326" s="362"/>
      <c r="U326" s="27"/>
      <c r="V326" s="27"/>
      <c r="W326" s="27"/>
      <c r="X326" s="27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s="2" customFormat="1" ht="29.65" customHeight="1" thickBot="1">
      <c r="A327" s="593"/>
      <c r="B327" s="594"/>
      <c r="C327" s="664" t="s">
        <v>338</v>
      </c>
      <c r="D327" s="665"/>
      <c r="E327" s="666"/>
      <c r="F327" s="401">
        <f>SUM('DECK TALLY'!K21)</f>
        <v>4.03</v>
      </c>
      <c r="G327" s="390">
        <f>F327</f>
        <v>4.03</v>
      </c>
      <c r="H327" s="390" t="s">
        <v>29</v>
      </c>
      <c r="I327" s="387">
        <f t="shared" si="36"/>
        <v>9782.5764999999938</v>
      </c>
      <c r="J327" s="388">
        <f t="shared" si="37"/>
        <v>11572.423500000006</v>
      </c>
      <c r="K327" s="508"/>
      <c r="L327" s="389"/>
      <c r="M327" s="667"/>
      <c r="N327" s="668"/>
      <c r="P327" s="29"/>
      <c r="Q327" s="29"/>
      <c r="R327" s="27"/>
      <c r="S327" s="27"/>
      <c r="T327" s="27"/>
      <c r="U327" s="27"/>
      <c r="V327" s="27"/>
      <c r="W327" s="27"/>
      <c r="X327" s="27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s="2" customFormat="1" ht="32.1" customHeight="1">
      <c r="A328" s="722" t="s">
        <v>234</v>
      </c>
      <c r="B328" s="723"/>
      <c r="C328" s="724" t="s">
        <v>196</v>
      </c>
      <c r="D328" s="725"/>
      <c r="E328" s="725"/>
      <c r="F328" s="164">
        <v>6.25</v>
      </c>
      <c r="G328" s="164">
        <f>F328-($B$12/12)</f>
        <v>5.9124999999999996</v>
      </c>
      <c r="H328" s="164" t="s">
        <v>29</v>
      </c>
      <c r="I328" s="409">
        <f t="shared" ref="I328:I335" si="38">IF(H328="IN",I327+G328,I327)</f>
        <v>9788.4889999999941</v>
      </c>
      <c r="J328" s="410">
        <f t="shared" ref="J328:J335" si="39">IF(I328="","",$M$10-I328)</f>
        <v>11566.511000000006</v>
      </c>
      <c r="K328" s="509"/>
      <c r="L328" s="411"/>
      <c r="M328" s="726" t="s">
        <v>113</v>
      </c>
      <c r="N328" s="727"/>
      <c r="P328" s="27"/>
      <c r="Q328" s="27"/>
      <c r="R328" s="28"/>
      <c r="S328" s="28"/>
      <c r="T328" s="28"/>
      <c r="U328" s="28"/>
      <c r="V328" s="28"/>
      <c r="W328" s="28"/>
      <c r="X328" s="28"/>
      <c r="Y328" s="32"/>
      <c r="Z328" s="4"/>
      <c r="AA328" s="4"/>
      <c r="AB328" s="4"/>
      <c r="AC328" s="4"/>
      <c r="AD328" s="4"/>
      <c r="AE328" s="4"/>
      <c r="AF328" s="4"/>
      <c r="AG328" s="4"/>
    </row>
    <row r="329" spans="1:33" s="2" customFormat="1" ht="20.100000000000001" customHeight="1" thickBot="1">
      <c r="A329" s="591"/>
      <c r="B329" s="592"/>
      <c r="C329" s="715" t="s">
        <v>308</v>
      </c>
      <c r="D329" s="716"/>
      <c r="E329" s="716"/>
      <c r="F329" s="194">
        <v>8.85</v>
      </c>
      <c r="G329" s="194">
        <f t="shared" ref="G329:G338" si="40">F329</f>
        <v>8.85</v>
      </c>
      <c r="H329" s="194" t="s">
        <v>29</v>
      </c>
      <c r="I329" s="412">
        <f t="shared" si="38"/>
        <v>9797.3389999999945</v>
      </c>
      <c r="J329" s="413">
        <f t="shared" si="39"/>
        <v>11557.661000000006</v>
      </c>
      <c r="K329" s="510"/>
      <c r="L329" s="414"/>
      <c r="M329" s="728" t="s">
        <v>339</v>
      </c>
      <c r="N329" s="729"/>
      <c r="R329" s="101"/>
      <c r="S329" s="101"/>
      <c r="T329" s="101"/>
      <c r="U329" s="101"/>
      <c r="V329" s="101"/>
      <c r="W329" s="101"/>
      <c r="X329" s="101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s="2" customFormat="1" ht="20.100000000000001" customHeight="1" thickBot="1">
      <c r="A330" s="591"/>
      <c r="B330" s="592"/>
      <c r="C330" s="715" t="s">
        <v>95</v>
      </c>
      <c r="D330" s="716"/>
      <c r="E330" s="716"/>
      <c r="F330" s="194">
        <v>1.73</v>
      </c>
      <c r="G330" s="194">
        <f t="shared" si="40"/>
        <v>1.73</v>
      </c>
      <c r="H330" s="194" t="s">
        <v>29</v>
      </c>
      <c r="I330" s="412">
        <f t="shared" si="38"/>
        <v>9799.068999999994</v>
      </c>
      <c r="J330" s="413">
        <f t="shared" si="39"/>
        <v>11555.931000000006</v>
      </c>
      <c r="K330" s="510"/>
      <c r="L330" s="414"/>
      <c r="M330" s="730"/>
      <c r="N330" s="731"/>
      <c r="O330" s="28"/>
      <c r="P330" s="711" t="s">
        <v>88</v>
      </c>
      <c r="Q330" s="713">
        <v>11670</v>
      </c>
      <c r="R330" s="101"/>
      <c r="S330" s="101"/>
      <c r="T330" s="101"/>
      <c r="U330" s="101"/>
      <c r="V330" s="101"/>
      <c r="W330" s="101"/>
      <c r="X330" s="101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s="2" customFormat="1" ht="20.100000000000001" customHeight="1" thickBot="1">
      <c r="A331" s="591"/>
      <c r="B331" s="592"/>
      <c r="C331" s="715" t="s">
        <v>309</v>
      </c>
      <c r="D331" s="716"/>
      <c r="E331" s="716"/>
      <c r="F331" s="194">
        <v>1.91</v>
      </c>
      <c r="G331" s="194">
        <f t="shared" si="40"/>
        <v>1.91</v>
      </c>
      <c r="H331" s="194" t="s">
        <v>29</v>
      </c>
      <c r="I331" s="412">
        <f t="shared" si="38"/>
        <v>9800.9789999999939</v>
      </c>
      <c r="J331" s="413">
        <f t="shared" si="39"/>
        <v>11554.021000000006</v>
      </c>
      <c r="K331" s="510"/>
      <c r="L331" s="414"/>
      <c r="M331" s="427" t="s">
        <v>78</v>
      </c>
      <c r="N331" s="213">
        <f>I333</f>
        <v>9826.5789999999943</v>
      </c>
      <c r="O331" s="101"/>
      <c r="P331" s="712"/>
      <c r="Q331" s="714"/>
      <c r="R331" s="29"/>
      <c r="S331" s="29"/>
      <c r="T331" s="29"/>
      <c r="U331" s="29"/>
      <c r="V331" s="29"/>
      <c r="W331" s="29"/>
      <c r="X331" s="29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s="2" customFormat="1" ht="20.100000000000001" customHeight="1" thickBot="1">
      <c r="A332" s="591"/>
      <c r="B332" s="592"/>
      <c r="C332" s="715" t="s">
        <v>116</v>
      </c>
      <c r="D332" s="716"/>
      <c r="E332" s="716"/>
      <c r="F332" s="194">
        <v>4.7300000000000004</v>
      </c>
      <c r="G332" s="194">
        <f t="shared" si="40"/>
        <v>4.7300000000000004</v>
      </c>
      <c r="H332" s="194" t="s">
        <v>29</v>
      </c>
      <c r="I332" s="412">
        <f t="shared" si="38"/>
        <v>9805.7089999999935</v>
      </c>
      <c r="J332" s="413">
        <f t="shared" si="39"/>
        <v>11549.291000000007</v>
      </c>
      <c r="K332" s="510"/>
      <c r="L332" s="414"/>
      <c r="M332" s="428" t="s">
        <v>79</v>
      </c>
      <c r="N332" s="214">
        <f>M14-J333</f>
        <v>331.57899999999427</v>
      </c>
      <c r="O332" s="101"/>
      <c r="P332" s="134" t="s">
        <v>313</v>
      </c>
      <c r="Q332" s="135">
        <f>SUM(Q330-J333)</f>
        <v>141.57899999999427</v>
      </c>
      <c r="R332" s="102"/>
      <c r="S332" s="104"/>
      <c r="T332" s="102"/>
      <c r="U332" s="102"/>
      <c r="V332" s="102"/>
      <c r="W332" s="102"/>
      <c r="X332" s="102"/>
      <c r="Z332" s="4"/>
      <c r="AA332" s="4"/>
      <c r="AB332" s="4"/>
      <c r="AC332" s="4"/>
      <c r="AD332" s="4"/>
      <c r="AE332" s="4"/>
      <c r="AF332" s="4"/>
      <c r="AG332" s="4"/>
    </row>
    <row r="333" spans="1:33" s="2" customFormat="1" ht="20.100000000000001" customHeight="1" thickBot="1">
      <c r="A333" s="591"/>
      <c r="B333" s="592"/>
      <c r="C333" s="717" t="s">
        <v>310</v>
      </c>
      <c r="D333" s="718"/>
      <c r="E333" s="718"/>
      <c r="F333" s="195">
        <v>20.87</v>
      </c>
      <c r="G333" s="195">
        <f t="shared" si="40"/>
        <v>20.87</v>
      </c>
      <c r="H333" s="195" t="s">
        <v>29</v>
      </c>
      <c r="I333" s="415">
        <f t="shared" si="38"/>
        <v>9826.5789999999943</v>
      </c>
      <c r="J333" s="416">
        <f t="shared" si="39"/>
        <v>11528.421000000006</v>
      </c>
      <c r="K333" s="511"/>
      <c r="L333" s="417"/>
      <c r="M333" s="428" t="s">
        <v>80</v>
      </c>
      <c r="N333" s="214">
        <f>J333</f>
        <v>11528.421000000006</v>
      </c>
      <c r="O333" s="160"/>
      <c r="P333" s="29"/>
      <c r="Q333" s="29"/>
      <c r="R333" s="99"/>
      <c r="S333" s="144"/>
      <c r="T333" s="99"/>
      <c r="U333" s="99"/>
      <c r="V333" s="99"/>
      <c r="W333" s="99"/>
      <c r="X333" s="99"/>
      <c r="Z333" s="4"/>
      <c r="AA333" s="4"/>
      <c r="AB333" s="4"/>
      <c r="AC333" s="4"/>
      <c r="AD333" s="4"/>
      <c r="AE333" s="4"/>
      <c r="AF333" s="4"/>
      <c r="AG333" s="4"/>
    </row>
    <row r="334" spans="1:33" s="2" customFormat="1" ht="20.100000000000001" customHeight="1" thickBot="1">
      <c r="A334" s="593"/>
      <c r="B334" s="594"/>
      <c r="C334" s="719" t="s">
        <v>340</v>
      </c>
      <c r="D334" s="720"/>
      <c r="E334" s="721"/>
      <c r="F334" s="165">
        <v>8.14</v>
      </c>
      <c r="G334" s="165">
        <f t="shared" si="40"/>
        <v>8.14</v>
      </c>
      <c r="H334" s="165" t="s">
        <v>29</v>
      </c>
      <c r="I334" s="403">
        <f t="shared" si="38"/>
        <v>9834.7189999999937</v>
      </c>
      <c r="J334" s="404">
        <f t="shared" si="39"/>
        <v>11520.281000000006</v>
      </c>
      <c r="K334" s="512"/>
      <c r="L334" s="405"/>
      <c r="M334" s="429" t="s">
        <v>104</v>
      </c>
      <c r="N334" s="215">
        <v>11665</v>
      </c>
      <c r="O334" s="332"/>
      <c r="P334" s="29"/>
      <c r="Q334" s="133"/>
      <c r="R334" s="103"/>
      <c r="S334" s="103"/>
      <c r="T334" s="103"/>
      <c r="U334" s="103"/>
      <c r="V334" s="103"/>
      <c r="W334" s="103"/>
      <c r="X334" s="103"/>
      <c r="Z334" s="4"/>
      <c r="AA334" s="4"/>
      <c r="AB334" s="4"/>
      <c r="AC334" s="4"/>
      <c r="AD334" s="4"/>
      <c r="AE334" s="4"/>
      <c r="AF334" s="4"/>
      <c r="AG334" s="4"/>
    </row>
    <row r="335" spans="1:33" s="2" customFormat="1" ht="40.15" customHeight="1" thickBot="1">
      <c r="A335" s="688" t="s">
        <v>77</v>
      </c>
      <c r="B335" s="689"/>
      <c r="C335" s="690" t="s">
        <v>194</v>
      </c>
      <c r="D335" s="691"/>
      <c r="E335" s="692"/>
      <c r="F335" s="249">
        <v>2.82</v>
      </c>
      <c r="G335" s="249">
        <f t="shared" si="40"/>
        <v>2.82</v>
      </c>
      <c r="H335" s="146" t="s">
        <v>29</v>
      </c>
      <c r="I335" s="406">
        <f t="shared" si="38"/>
        <v>9837.5389999999934</v>
      </c>
      <c r="J335" s="407">
        <f t="shared" si="39"/>
        <v>11517.461000000007</v>
      </c>
      <c r="K335" s="513"/>
      <c r="L335" s="408"/>
      <c r="M335" s="693" t="s">
        <v>341</v>
      </c>
      <c r="N335" s="694"/>
      <c r="O335" s="99"/>
      <c r="P335" s="695" t="s">
        <v>60</v>
      </c>
      <c r="Q335" s="697" t="s">
        <v>61</v>
      </c>
      <c r="R335" s="103"/>
      <c r="S335" s="103"/>
      <c r="T335" s="103"/>
      <c r="U335" s="103"/>
      <c r="V335" s="103"/>
      <c r="W335" s="103"/>
      <c r="X335" s="103"/>
      <c r="Z335" s="4"/>
      <c r="AA335" s="4"/>
      <c r="AB335" s="4"/>
      <c r="AC335" s="4"/>
      <c r="AD335" s="4"/>
      <c r="AE335" s="4"/>
      <c r="AF335" s="4"/>
      <c r="AG335" s="4"/>
    </row>
    <row r="336" spans="1:33" s="2" customFormat="1" ht="20.100000000000001" customHeight="1">
      <c r="A336" s="699" t="s">
        <v>97</v>
      </c>
      <c r="B336" s="700"/>
      <c r="C336" s="703" t="s">
        <v>195</v>
      </c>
      <c r="D336" s="704"/>
      <c r="E336" s="705"/>
      <c r="F336" s="235">
        <v>30.15</v>
      </c>
      <c r="G336" s="206">
        <f t="shared" si="40"/>
        <v>30.15</v>
      </c>
      <c r="H336" s="207" t="s">
        <v>29</v>
      </c>
      <c r="I336" s="457">
        <f t="shared" si="21"/>
        <v>9867.688999999993</v>
      </c>
      <c r="J336" s="458">
        <f t="shared" si="22"/>
        <v>11487.311000000007</v>
      </c>
      <c r="K336" s="514"/>
      <c r="L336" s="459"/>
      <c r="M336" s="706" t="s">
        <v>50</v>
      </c>
      <c r="N336" s="707"/>
      <c r="O336" s="103"/>
      <c r="P336" s="696"/>
      <c r="Q336" s="698"/>
      <c r="R336" s="103"/>
      <c r="S336" s="103"/>
      <c r="T336" s="103"/>
      <c r="U336" s="103"/>
      <c r="V336" s="103"/>
      <c r="W336" s="103"/>
      <c r="X336" s="103"/>
      <c r="Z336" s="4"/>
      <c r="AA336" s="4"/>
      <c r="AB336" s="4"/>
      <c r="AC336" s="4"/>
      <c r="AD336" s="4"/>
      <c r="AE336" s="4"/>
      <c r="AF336" s="4"/>
      <c r="AG336" s="4"/>
    </row>
    <row r="337" spans="1:33" s="2" customFormat="1" ht="20.100000000000001" customHeight="1">
      <c r="A337" s="701"/>
      <c r="B337" s="702"/>
      <c r="C337" s="708" t="s">
        <v>195</v>
      </c>
      <c r="D337" s="709"/>
      <c r="E337" s="710"/>
      <c r="F337" s="255">
        <v>30.03</v>
      </c>
      <c r="G337" s="217">
        <f t="shared" si="40"/>
        <v>30.03</v>
      </c>
      <c r="H337" s="218" t="s">
        <v>29</v>
      </c>
      <c r="I337" s="460">
        <f t="shared" si="21"/>
        <v>9897.7189999999937</v>
      </c>
      <c r="J337" s="461">
        <f t="shared" si="22"/>
        <v>11457.281000000006</v>
      </c>
      <c r="K337" s="515"/>
      <c r="L337" s="462"/>
      <c r="M337" s="418" t="s">
        <v>34</v>
      </c>
      <c r="N337" s="250">
        <f>J329</f>
        <v>11557.661000000006</v>
      </c>
      <c r="O337" s="103"/>
      <c r="P337" s="351">
        <f>N337-M345</f>
        <v>-23.398999999993976</v>
      </c>
      <c r="Q337" s="352">
        <f>N337-M346</f>
        <v>23.501000000005661</v>
      </c>
      <c r="R337" s="99"/>
      <c r="S337" s="99"/>
      <c r="T337" s="99"/>
      <c r="U337" s="99"/>
      <c r="V337" s="99"/>
      <c r="W337" s="99"/>
      <c r="X337" s="99"/>
      <c r="Y337" s="25"/>
      <c r="Z337" s="4"/>
      <c r="AA337" s="4"/>
      <c r="AB337" s="4"/>
      <c r="AC337" s="4"/>
      <c r="AD337" s="4"/>
      <c r="AE337" s="4"/>
      <c r="AF337" s="4"/>
      <c r="AG337" s="4"/>
    </row>
    <row r="338" spans="1:33" s="2" customFormat="1" ht="20.100000000000001" customHeight="1">
      <c r="A338" s="701"/>
      <c r="B338" s="702"/>
      <c r="C338" s="708" t="s">
        <v>195</v>
      </c>
      <c r="D338" s="709"/>
      <c r="E338" s="710"/>
      <c r="F338" s="256">
        <v>30.18</v>
      </c>
      <c r="G338" s="217">
        <f t="shared" si="40"/>
        <v>30.18</v>
      </c>
      <c r="H338" s="218" t="s">
        <v>29</v>
      </c>
      <c r="I338" s="460">
        <f t="shared" si="21"/>
        <v>9927.898999999994</v>
      </c>
      <c r="J338" s="461">
        <f t="shared" si="22"/>
        <v>11427.101000000006</v>
      </c>
      <c r="K338" s="515"/>
      <c r="L338" s="462"/>
      <c r="M338" s="418" t="s">
        <v>33</v>
      </c>
      <c r="N338" s="250">
        <f>J331</f>
        <v>11554.021000000006</v>
      </c>
      <c r="O338" s="103"/>
      <c r="P338" s="351">
        <f>N338-M345</f>
        <v>-27.038999999993393</v>
      </c>
      <c r="Q338" s="352">
        <f>N338-M346</f>
        <v>19.861000000006243</v>
      </c>
      <c r="R338" s="103"/>
      <c r="S338" s="103"/>
      <c r="T338" s="103"/>
      <c r="U338" s="103"/>
      <c r="V338" s="103"/>
      <c r="W338" s="103"/>
      <c r="X338" s="103"/>
      <c r="Y338" s="25"/>
      <c r="Z338" s="4"/>
      <c r="AA338" s="4"/>
      <c r="AB338" s="4"/>
      <c r="AC338" s="4"/>
      <c r="AD338" s="4"/>
      <c r="AE338" s="4"/>
      <c r="AF338" s="4"/>
      <c r="AG338" s="4"/>
    </row>
    <row r="339" spans="1:33" s="2" customFormat="1" ht="20.100000000000001" customHeight="1">
      <c r="A339" s="681" t="s">
        <v>96</v>
      </c>
      <c r="B339" s="682"/>
      <c r="C339" s="683" t="s">
        <v>64</v>
      </c>
      <c r="D339" s="683"/>
      <c r="E339" s="683"/>
      <c r="F339" s="220">
        <v>31.03</v>
      </c>
      <c r="G339" s="220">
        <f t="shared" ref="G339:G383" si="41">F339</f>
        <v>31.03</v>
      </c>
      <c r="H339" s="221" t="s">
        <v>29</v>
      </c>
      <c r="I339" s="464">
        <f t="shared" si="21"/>
        <v>9958.9289999999946</v>
      </c>
      <c r="J339" s="465">
        <f t="shared" si="22"/>
        <v>11396.071000000005</v>
      </c>
      <c r="K339" s="516"/>
      <c r="L339" s="466"/>
      <c r="M339" s="684" t="s">
        <v>300</v>
      </c>
      <c r="N339" s="685"/>
      <c r="O339" s="103"/>
      <c r="P339" s="686" t="s">
        <v>63</v>
      </c>
      <c r="Q339" s="687"/>
      <c r="R339" s="99"/>
      <c r="S339" s="99"/>
      <c r="T339" s="99"/>
      <c r="U339" s="99"/>
      <c r="V339" s="99"/>
      <c r="W339" s="99"/>
      <c r="X339" s="99"/>
      <c r="Y339" s="25"/>
      <c r="Z339" s="4"/>
      <c r="AA339" s="4"/>
      <c r="AB339" s="4"/>
      <c r="AC339" s="4"/>
      <c r="AD339" s="4"/>
      <c r="AE339" s="4"/>
      <c r="AF339" s="4"/>
      <c r="AG339" s="4"/>
    </row>
    <row r="340" spans="1:33" s="2" customFormat="1" ht="20.100000000000001" customHeight="1">
      <c r="A340" s="681"/>
      <c r="B340" s="682"/>
      <c r="C340" s="683" t="s">
        <v>64</v>
      </c>
      <c r="D340" s="683"/>
      <c r="E340" s="683"/>
      <c r="F340" s="220">
        <v>31.04</v>
      </c>
      <c r="G340" s="220">
        <f t="shared" si="41"/>
        <v>31.04</v>
      </c>
      <c r="H340" s="221" t="s">
        <v>29</v>
      </c>
      <c r="I340" s="464">
        <f t="shared" si="21"/>
        <v>9989.9689999999955</v>
      </c>
      <c r="J340" s="465">
        <f t="shared" si="22"/>
        <v>11365.031000000004</v>
      </c>
      <c r="K340" s="516"/>
      <c r="L340" s="466"/>
      <c r="M340" s="418" t="s">
        <v>33</v>
      </c>
      <c r="N340" s="250">
        <f>$J$333-(3.37+4.07)</f>
        <v>11520.981000000005</v>
      </c>
      <c r="O340" s="103"/>
      <c r="P340" s="351">
        <f>N340-M346</f>
        <v>-13.17899999999463</v>
      </c>
      <c r="Q340" s="352">
        <f>N340-M347</f>
        <v>33.531000000004497</v>
      </c>
      <c r="R340" s="103"/>
      <c r="S340" s="103"/>
      <c r="T340" s="103"/>
      <c r="U340" s="103"/>
      <c r="V340" s="103"/>
      <c r="W340" s="103"/>
      <c r="X340" s="103"/>
      <c r="Y340" s="25"/>
      <c r="Z340" s="4"/>
      <c r="AA340" s="4"/>
      <c r="AB340" s="4"/>
      <c r="AC340" s="4"/>
      <c r="AD340" s="4"/>
      <c r="AE340" s="4"/>
      <c r="AF340" s="4"/>
      <c r="AG340" s="4"/>
    </row>
    <row r="341" spans="1:33" s="2" customFormat="1" ht="20.100000000000001" customHeight="1">
      <c r="A341" s="681"/>
      <c r="B341" s="682"/>
      <c r="C341" s="683" t="s">
        <v>64</v>
      </c>
      <c r="D341" s="683"/>
      <c r="E341" s="683"/>
      <c r="F341" s="220">
        <v>31.07</v>
      </c>
      <c r="G341" s="220">
        <f t="shared" si="41"/>
        <v>31.07</v>
      </c>
      <c r="H341" s="221" t="s">
        <v>29</v>
      </c>
      <c r="I341" s="464">
        <f t="shared" si="21"/>
        <v>10021.038999999995</v>
      </c>
      <c r="J341" s="465">
        <f t="shared" si="22"/>
        <v>11333.961000000005</v>
      </c>
      <c r="K341" s="516"/>
      <c r="L341" s="466"/>
      <c r="M341" s="418" t="s">
        <v>296</v>
      </c>
      <c r="N341" s="250">
        <f>J333-(3.37+2.22)</f>
        <v>11522.831000000006</v>
      </c>
      <c r="O341" s="99"/>
      <c r="P341" s="351">
        <f>N341-M346</f>
        <v>-11.328999999994267</v>
      </c>
      <c r="Q341" s="352">
        <f>N341-M347</f>
        <v>35.38100000000486</v>
      </c>
      <c r="R341" s="103"/>
      <c r="S341" s="103"/>
      <c r="T341" s="103"/>
      <c r="U341" s="103"/>
      <c r="V341" s="103"/>
      <c r="W341" s="103"/>
      <c r="X341" s="103"/>
      <c r="Y341" s="25"/>
      <c r="Z341" s="25"/>
      <c r="AA341" s="25"/>
      <c r="AB341" s="25"/>
      <c r="AC341" s="25"/>
      <c r="AD341" s="25"/>
      <c r="AE341" s="25"/>
      <c r="AF341" s="25"/>
      <c r="AG341" s="25"/>
    </row>
    <row r="342" spans="1:33" s="2" customFormat="1" ht="20.100000000000001" customHeight="1">
      <c r="A342" s="732" t="s">
        <v>117</v>
      </c>
      <c r="B342" s="733"/>
      <c r="C342" s="734" t="s">
        <v>64</v>
      </c>
      <c r="D342" s="734"/>
      <c r="E342" s="734"/>
      <c r="F342" s="223">
        <v>31.27</v>
      </c>
      <c r="G342" s="223">
        <f t="shared" si="41"/>
        <v>31.27</v>
      </c>
      <c r="H342" s="224" t="s">
        <v>29</v>
      </c>
      <c r="I342" s="246">
        <f t="shared" si="21"/>
        <v>10052.308999999996</v>
      </c>
      <c r="J342" s="371">
        <f t="shared" si="22"/>
        <v>11302.691000000004</v>
      </c>
      <c r="K342" s="502"/>
      <c r="L342" s="145"/>
      <c r="M342" s="740"/>
      <c r="N342" s="741"/>
      <c r="O342" s="103"/>
      <c r="R342" s="103"/>
      <c r="S342" s="103"/>
      <c r="T342" s="103"/>
      <c r="U342" s="103"/>
      <c r="V342" s="103"/>
      <c r="W342" s="103"/>
      <c r="X342" s="103"/>
      <c r="Y342" s="25"/>
      <c r="Z342" s="25"/>
      <c r="AA342" s="25"/>
      <c r="AB342" s="25"/>
      <c r="AC342" s="25"/>
      <c r="AD342" s="25"/>
      <c r="AE342" s="25"/>
      <c r="AF342" s="25"/>
      <c r="AG342" s="25"/>
    </row>
    <row r="343" spans="1:33" s="2" customFormat="1" ht="20.100000000000001" customHeight="1">
      <c r="A343" s="732"/>
      <c r="B343" s="733"/>
      <c r="C343" s="734" t="s">
        <v>64</v>
      </c>
      <c r="D343" s="734"/>
      <c r="E343" s="734"/>
      <c r="F343" s="223">
        <v>30.9</v>
      </c>
      <c r="G343" s="223">
        <f t="shared" si="41"/>
        <v>30.9</v>
      </c>
      <c r="H343" s="224" t="s">
        <v>29</v>
      </c>
      <c r="I343" s="246">
        <f t="shared" si="21"/>
        <v>10083.208999999995</v>
      </c>
      <c r="J343" s="371">
        <f t="shared" si="22"/>
        <v>11271.791000000005</v>
      </c>
      <c r="K343" s="502"/>
      <c r="L343" s="145"/>
      <c r="M343" s="742" t="s">
        <v>297</v>
      </c>
      <c r="N343" s="743"/>
      <c r="O343" s="103"/>
      <c r="P343" s="103"/>
      <c r="Q343" s="29"/>
      <c r="R343" s="103"/>
      <c r="S343" s="103"/>
      <c r="T343" s="103"/>
      <c r="U343" s="103"/>
      <c r="V343" s="103"/>
      <c r="W343" s="103"/>
      <c r="X343" s="103"/>
      <c r="Y343" s="25"/>
      <c r="Z343" s="25"/>
      <c r="AA343" s="25"/>
      <c r="AB343" s="25"/>
      <c r="AC343" s="25"/>
      <c r="AD343" s="25"/>
      <c r="AE343" s="25"/>
      <c r="AF343" s="25"/>
      <c r="AG343" s="25"/>
    </row>
    <row r="344" spans="1:33" s="2" customFormat="1" ht="20.100000000000001" customHeight="1">
      <c r="A344" s="732"/>
      <c r="B344" s="733"/>
      <c r="C344" s="734" t="s">
        <v>64</v>
      </c>
      <c r="D344" s="734"/>
      <c r="E344" s="734"/>
      <c r="F344" s="223">
        <v>31.13</v>
      </c>
      <c r="G344" s="223">
        <f t="shared" si="41"/>
        <v>31.13</v>
      </c>
      <c r="H344" s="224" t="s">
        <v>29</v>
      </c>
      <c r="I344" s="246">
        <f t="shared" si="21"/>
        <v>10114.338999999994</v>
      </c>
      <c r="J344" s="371">
        <f t="shared" si="22"/>
        <v>11240.661000000006</v>
      </c>
      <c r="K344" s="502"/>
      <c r="L344" s="145"/>
      <c r="M344" s="740"/>
      <c r="N344" s="741"/>
      <c r="O344" s="103"/>
      <c r="P344" s="103"/>
      <c r="Q344" s="29"/>
      <c r="R344" s="103"/>
      <c r="S344" s="103"/>
      <c r="T344" s="103"/>
      <c r="U344" s="103"/>
      <c r="V344" s="103"/>
      <c r="W344" s="103"/>
      <c r="X344" s="103"/>
      <c r="Y344" s="25"/>
      <c r="Z344" s="25"/>
      <c r="AA344" s="25"/>
      <c r="AB344" s="25"/>
      <c r="AC344" s="25"/>
      <c r="AD344" s="25"/>
      <c r="AE344" s="25"/>
      <c r="AF344" s="25"/>
      <c r="AG344" s="25"/>
    </row>
    <row r="345" spans="1:33" s="2" customFormat="1" ht="20.100000000000001" customHeight="1">
      <c r="A345" s="681" t="s">
        <v>118</v>
      </c>
      <c r="B345" s="682"/>
      <c r="C345" s="683" t="s">
        <v>64</v>
      </c>
      <c r="D345" s="683"/>
      <c r="E345" s="683"/>
      <c r="F345" s="220">
        <v>30.5</v>
      </c>
      <c r="G345" s="220">
        <f t="shared" si="41"/>
        <v>30.5</v>
      </c>
      <c r="H345" s="221" t="s">
        <v>29</v>
      </c>
      <c r="I345" s="464">
        <f t="shared" si="21"/>
        <v>10144.838999999994</v>
      </c>
      <c r="J345" s="465">
        <f t="shared" si="22"/>
        <v>11210.161000000006</v>
      </c>
      <c r="K345" s="516"/>
      <c r="L345" s="466"/>
      <c r="M345" s="739">
        <v>11581.06</v>
      </c>
      <c r="N345" s="738"/>
      <c r="O345" s="103"/>
      <c r="P345" s="103" t="s">
        <v>299</v>
      </c>
      <c r="Q345" s="29"/>
      <c r="R345" s="103"/>
      <c r="S345" s="103"/>
      <c r="T345" s="103"/>
      <c r="U345" s="103"/>
      <c r="V345" s="103"/>
      <c r="W345" s="103"/>
      <c r="X345" s="103"/>
      <c r="Y345" s="25"/>
      <c r="Z345" s="25"/>
      <c r="AA345" s="25"/>
      <c r="AB345" s="25"/>
      <c r="AC345" s="25"/>
      <c r="AD345" s="25"/>
      <c r="AE345" s="25"/>
      <c r="AF345" s="25"/>
      <c r="AG345" s="25"/>
    </row>
    <row r="346" spans="1:33" s="2" customFormat="1" ht="20.100000000000001" customHeight="1">
      <c r="A346" s="681"/>
      <c r="B346" s="682"/>
      <c r="C346" s="683" t="s">
        <v>64</v>
      </c>
      <c r="D346" s="683"/>
      <c r="E346" s="683"/>
      <c r="F346" s="220">
        <v>31.14</v>
      </c>
      <c r="G346" s="220">
        <f t="shared" si="41"/>
        <v>31.14</v>
      </c>
      <c r="H346" s="221" t="s">
        <v>29</v>
      </c>
      <c r="I346" s="464">
        <f t="shared" si="21"/>
        <v>10175.978999999994</v>
      </c>
      <c r="J346" s="465">
        <f t="shared" si="22"/>
        <v>11179.021000000006</v>
      </c>
      <c r="K346" s="516"/>
      <c r="L346" s="466"/>
      <c r="M346" s="739">
        <v>11534.16</v>
      </c>
      <c r="N346" s="738"/>
      <c r="O346" s="103"/>
      <c r="P346" s="103"/>
      <c r="Q346" s="29"/>
      <c r="R346" s="103"/>
      <c r="S346" s="103"/>
      <c r="T346" s="103"/>
      <c r="U346" s="103"/>
      <c r="V346" s="103"/>
      <c r="W346" s="103"/>
      <c r="X346" s="103"/>
      <c r="Y346" s="25"/>
      <c r="Z346" s="25"/>
      <c r="AA346" s="25"/>
      <c r="AB346" s="25"/>
      <c r="AC346" s="25"/>
      <c r="AD346" s="25"/>
      <c r="AE346" s="25"/>
      <c r="AF346" s="25"/>
      <c r="AG346" s="25"/>
    </row>
    <row r="347" spans="1:33" s="2" customFormat="1" ht="19.899999999999999" customHeight="1">
      <c r="A347" s="681"/>
      <c r="B347" s="682"/>
      <c r="C347" s="683" t="s">
        <v>64</v>
      </c>
      <c r="D347" s="683"/>
      <c r="E347" s="683"/>
      <c r="F347" s="220">
        <v>31.2</v>
      </c>
      <c r="G347" s="220">
        <f t="shared" si="41"/>
        <v>31.2</v>
      </c>
      <c r="H347" s="221" t="s">
        <v>29</v>
      </c>
      <c r="I347" s="467">
        <f t="shared" si="21"/>
        <v>10207.178999999995</v>
      </c>
      <c r="J347" s="468">
        <f t="shared" si="22"/>
        <v>11147.821000000005</v>
      </c>
      <c r="K347" s="517"/>
      <c r="L347" s="469"/>
      <c r="M347" s="739">
        <v>11487.45</v>
      </c>
      <c r="N347" s="738"/>
      <c r="O347" s="103"/>
      <c r="P347" s="103"/>
      <c r="Q347" s="29"/>
      <c r="R347" s="103"/>
      <c r="S347" s="103"/>
      <c r="T347" s="103"/>
      <c r="U347" s="103"/>
      <c r="V347" s="103"/>
      <c r="W347" s="103"/>
      <c r="X347" s="103"/>
      <c r="Y347" s="25"/>
      <c r="Z347" s="25"/>
      <c r="AA347" s="25"/>
      <c r="AB347" s="25"/>
      <c r="AC347" s="25"/>
      <c r="AD347" s="25"/>
      <c r="AE347" s="25"/>
      <c r="AF347" s="25"/>
      <c r="AG347" s="25"/>
    </row>
    <row r="348" spans="1:33" s="2" customFormat="1" ht="20.100000000000001" customHeight="1">
      <c r="A348" s="732" t="s">
        <v>119</v>
      </c>
      <c r="B348" s="733"/>
      <c r="C348" s="734" t="s">
        <v>64</v>
      </c>
      <c r="D348" s="734"/>
      <c r="E348" s="734"/>
      <c r="F348" s="223">
        <v>30.77</v>
      </c>
      <c r="G348" s="223">
        <f t="shared" si="41"/>
        <v>30.77</v>
      </c>
      <c r="H348" s="224" t="s">
        <v>29</v>
      </c>
      <c r="I348" s="225">
        <f t="shared" ref="I348:I350" si="42">IF(H348="IN",I347+G348,I347)</f>
        <v>10237.948999999995</v>
      </c>
      <c r="J348" s="223">
        <f t="shared" ref="J348:J350" si="43">IF(I348="","",$M$10-I348)</f>
        <v>11117.051000000005</v>
      </c>
      <c r="K348" s="518"/>
      <c r="L348" s="232"/>
      <c r="M348" s="735"/>
      <c r="N348" s="736"/>
      <c r="O348" s="103"/>
      <c r="P348" s="103"/>
      <c r="Q348" s="29"/>
      <c r="R348" s="103"/>
      <c r="S348" s="103"/>
      <c r="T348" s="103"/>
      <c r="U348" s="103"/>
      <c r="V348" s="103"/>
      <c r="W348" s="103"/>
      <c r="X348" s="103"/>
      <c r="Y348" s="25"/>
      <c r="Z348" s="25"/>
      <c r="AA348" s="25"/>
      <c r="AB348" s="25"/>
      <c r="AC348" s="25"/>
      <c r="AD348" s="25"/>
      <c r="AE348" s="25"/>
      <c r="AF348" s="25"/>
      <c r="AG348" s="25"/>
    </row>
    <row r="349" spans="1:33" s="2" customFormat="1" ht="20.100000000000001" customHeight="1">
      <c r="A349" s="732"/>
      <c r="B349" s="733"/>
      <c r="C349" s="734" t="s">
        <v>64</v>
      </c>
      <c r="D349" s="734"/>
      <c r="E349" s="734"/>
      <c r="F349" s="223">
        <v>30.85</v>
      </c>
      <c r="G349" s="223">
        <f t="shared" si="41"/>
        <v>30.85</v>
      </c>
      <c r="H349" s="224" t="s">
        <v>29</v>
      </c>
      <c r="I349" s="225">
        <f t="shared" si="42"/>
        <v>10268.798999999995</v>
      </c>
      <c r="J349" s="223">
        <f t="shared" si="43"/>
        <v>11086.201000000005</v>
      </c>
      <c r="K349" s="518"/>
      <c r="L349" s="232"/>
      <c r="M349" s="735"/>
      <c r="N349" s="736"/>
      <c r="O349" s="103"/>
      <c r="P349" s="103"/>
      <c r="Q349" s="29"/>
      <c r="R349" s="103"/>
      <c r="S349" s="103"/>
      <c r="T349" s="103"/>
      <c r="U349" s="103"/>
      <c r="V349" s="103"/>
      <c r="W349" s="103"/>
      <c r="X349" s="103"/>
      <c r="Y349" s="25"/>
      <c r="Z349" s="25"/>
      <c r="AA349" s="25"/>
      <c r="AB349" s="25"/>
      <c r="AC349" s="25"/>
      <c r="AD349" s="25"/>
      <c r="AE349" s="25"/>
      <c r="AF349" s="25"/>
      <c r="AG349" s="25"/>
    </row>
    <row r="350" spans="1:33" s="2" customFormat="1" ht="20.100000000000001" customHeight="1">
      <c r="A350" s="732"/>
      <c r="B350" s="733"/>
      <c r="C350" s="734" t="s">
        <v>64</v>
      </c>
      <c r="D350" s="734"/>
      <c r="E350" s="734"/>
      <c r="F350" s="223">
        <v>30.86</v>
      </c>
      <c r="G350" s="223">
        <f t="shared" si="41"/>
        <v>30.86</v>
      </c>
      <c r="H350" s="224" t="s">
        <v>29</v>
      </c>
      <c r="I350" s="225">
        <f t="shared" si="42"/>
        <v>10299.658999999996</v>
      </c>
      <c r="J350" s="223">
        <f t="shared" si="43"/>
        <v>11055.341000000004</v>
      </c>
      <c r="K350" s="518"/>
      <c r="L350" s="232"/>
      <c r="M350" s="737"/>
      <c r="N350" s="738"/>
      <c r="O350" s="103"/>
      <c r="P350" s="103"/>
      <c r="Q350" s="29"/>
      <c r="R350" s="103"/>
      <c r="S350" s="103"/>
      <c r="T350" s="103"/>
      <c r="U350" s="103"/>
      <c r="V350" s="103"/>
      <c r="W350" s="103"/>
      <c r="X350" s="103"/>
      <c r="Y350" s="25"/>
      <c r="Z350" s="25"/>
      <c r="AA350" s="25"/>
      <c r="AB350" s="25"/>
      <c r="AC350" s="25"/>
      <c r="AD350" s="25"/>
      <c r="AE350" s="25"/>
      <c r="AF350" s="25"/>
      <c r="AG350" s="25"/>
    </row>
    <row r="351" spans="1:33" s="2" customFormat="1" ht="20.100000000000001" customHeight="1">
      <c r="A351" s="681" t="s">
        <v>112</v>
      </c>
      <c r="B351" s="682"/>
      <c r="C351" s="683" t="s">
        <v>64</v>
      </c>
      <c r="D351" s="683"/>
      <c r="E351" s="683"/>
      <c r="F351" s="220">
        <v>30.75</v>
      </c>
      <c r="G351" s="220">
        <f t="shared" si="41"/>
        <v>30.75</v>
      </c>
      <c r="H351" s="221" t="s">
        <v>29</v>
      </c>
      <c r="I351" s="222">
        <f t="shared" ref="I351:I356" si="44">IF(H351="IN",I350+G351,I350)</f>
        <v>10330.408999999996</v>
      </c>
      <c r="J351" s="220">
        <f t="shared" ref="J351:J356" si="45">IF(I351="","",$M$10-I351)</f>
        <v>11024.591000000004</v>
      </c>
      <c r="K351" s="519"/>
      <c r="L351" s="231"/>
      <c r="M351" s="744" t="s">
        <v>298</v>
      </c>
      <c r="N351" s="745"/>
      <c r="O351" s="103"/>
      <c r="P351" s="103"/>
      <c r="Q351" s="29"/>
      <c r="R351" s="103"/>
      <c r="S351" s="103"/>
      <c r="T351" s="103"/>
      <c r="U351" s="103"/>
      <c r="V351" s="103"/>
      <c r="W351" s="103"/>
      <c r="X351" s="103"/>
      <c r="Y351" s="25"/>
      <c r="Z351" s="25"/>
      <c r="AA351" s="25"/>
      <c r="AB351" s="25"/>
      <c r="AC351" s="25"/>
      <c r="AD351" s="25"/>
      <c r="AE351" s="25"/>
      <c r="AF351" s="25"/>
      <c r="AG351" s="25"/>
    </row>
    <row r="352" spans="1:33" s="2" customFormat="1" ht="20.100000000000001" customHeight="1">
      <c r="A352" s="681"/>
      <c r="B352" s="682"/>
      <c r="C352" s="683" t="s">
        <v>64</v>
      </c>
      <c r="D352" s="683"/>
      <c r="E352" s="683"/>
      <c r="F352" s="220">
        <v>31.2</v>
      </c>
      <c r="G352" s="220">
        <f t="shared" si="41"/>
        <v>31.2</v>
      </c>
      <c r="H352" s="221" t="s">
        <v>29</v>
      </c>
      <c r="I352" s="222">
        <f t="shared" si="44"/>
        <v>10361.608999999997</v>
      </c>
      <c r="J352" s="220">
        <f t="shared" si="45"/>
        <v>10993.391000000003</v>
      </c>
      <c r="K352" s="519"/>
      <c r="L352" s="231"/>
      <c r="M352" s="735"/>
      <c r="N352" s="736"/>
      <c r="O352" s="103"/>
      <c r="P352" s="103"/>
      <c r="Q352" s="29"/>
      <c r="R352" s="103"/>
      <c r="S352" s="103"/>
      <c r="T352" s="103"/>
      <c r="U352" s="103"/>
      <c r="V352" s="103"/>
      <c r="W352" s="103"/>
      <c r="X352" s="103"/>
      <c r="Y352" s="25"/>
      <c r="Z352" s="25"/>
      <c r="AA352" s="25"/>
      <c r="AB352" s="25"/>
      <c r="AC352" s="25"/>
      <c r="AD352" s="25"/>
      <c r="AE352" s="25"/>
      <c r="AF352" s="25"/>
      <c r="AG352" s="25"/>
    </row>
    <row r="353" spans="1:33" s="2" customFormat="1" ht="20.100000000000001" customHeight="1">
      <c r="A353" s="681"/>
      <c r="B353" s="682"/>
      <c r="C353" s="683" t="s">
        <v>64</v>
      </c>
      <c r="D353" s="683"/>
      <c r="E353" s="683"/>
      <c r="F353" s="220">
        <v>31.2</v>
      </c>
      <c r="G353" s="220">
        <f t="shared" si="41"/>
        <v>31.2</v>
      </c>
      <c r="H353" s="221" t="s">
        <v>29</v>
      </c>
      <c r="I353" s="222">
        <f t="shared" si="44"/>
        <v>10392.808999999997</v>
      </c>
      <c r="J353" s="220">
        <f t="shared" si="45"/>
        <v>10962.191000000003</v>
      </c>
      <c r="K353" s="519"/>
      <c r="L353" s="231"/>
      <c r="M353" s="735"/>
      <c r="N353" s="736"/>
      <c r="O353" s="103"/>
      <c r="P353" s="103"/>
      <c r="Q353" s="29"/>
      <c r="R353" s="103"/>
      <c r="S353" s="103"/>
      <c r="T353" s="103"/>
      <c r="U353" s="103"/>
      <c r="V353" s="103"/>
      <c r="W353" s="103"/>
      <c r="X353" s="103"/>
      <c r="Y353" s="25"/>
      <c r="Z353" s="25"/>
      <c r="AA353" s="25"/>
      <c r="AB353" s="25"/>
      <c r="AC353" s="25"/>
      <c r="AD353" s="25"/>
      <c r="AE353" s="25"/>
      <c r="AF353" s="25"/>
      <c r="AG353" s="25"/>
    </row>
    <row r="354" spans="1:33" s="2" customFormat="1" ht="20.100000000000001" customHeight="1">
      <c r="A354" s="732" t="s">
        <v>120</v>
      </c>
      <c r="B354" s="733"/>
      <c r="C354" s="734" t="s">
        <v>64</v>
      </c>
      <c r="D354" s="734"/>
      <c r="E354" s="734"/>
      <c r="F354" s="223">
        <v>30.93</v>
      </c>
      <c r="G354" s="223">
        <f t="shared" si="41"/>
        <v>30.93</v>
      </c>
      <c r="H354" s="224" t="s">
        <v>29</v>
      </c>
      <c r="I354" s="225">
        <f t="shared" si="44"/>
        <v>10423.738999999998</v>
      </c>
      <c r="J354" s="223">
        <f t="shared" si="45"/>
        <v>10931.261000000002</v>
      </c>
      <c r="K354" s="518"/>
      <c r="L354" s="232"/>
      <c r="M354" s="735"/>
      <c r="N354" s="736"/>
      <c r="O354" s="103"/>
      <c r="P354" s="103"/>
      <c r="Q354" s="29"/>
      <c r="R354" s="103"/>
      <c r="S354" s="103"/>
      <c r="T354" s="103"/>
      <c r="U354" s="103"/>
      <c r="V354" s="103"/>
      <c r="W354" s="103"/>
      <c r="X354" s="103"/>
      <c r="Y354" s="25"/>
      <c r="Z354" s="25"/>
      <c r="AA354" s="25"/>
      <c r="AB354" s="25"/>
      <c r="AC354" s="25"/>
      <c r="AD354" s="25"/>
      <c r="AE354" s="25"/>
      <c r="AF354" s="25"/>
      <c r="AG354" s="25"/>
    </row>
    <row r="355" spans="1:33" s="2" customFormat="1" ht="20.100000000000001" customHeight="1">
      <c r="A355" s="732"/>
      <c r="B355" s="733"/>
      <c r="C355" s="734" t="s">
        <v>64</v>
      </c>
      <c r="D355" s="734"/>
      <c r="E355" s="734"/>
      <c r="F355" s="223">
        <v>31.08</v>
      </c>
      <c r="G355" s="223">
        <f t="shared" si="41"/>
        <v>31.08</v>
      </c>
      <c r="H355" s="224" t="s">
        <v>29</v>
      </c>
      <c r="I355" s="225">
        <f t="shared" si="44"/>
        <v>10454.818999999998</v>
      </c>
      <c r="J355" s="223">
        <f t="shared" si="45"/>
        <v>10900.181000000002</v>
      </c>
      <c r="K355" s="518"/>
      <c r="L355" s="232"/>
      <c r="M355" s="735"/>
      <c r="N355" s="736"/>
      <c r="O355" s="103"/>
      <c r="P355" s="137"/>
      <c r="Q355" s="29"/>
      <c r="R355" s="103"/>
      <c r="S355" s="103"/>
      <c r="T355" s="103"/>
      <c r="U355" s="103"/>
      <c r="V355" s="103"/>
      <c r="W355" s="103"/>
      <c r="X355" s="103"/>
      <c r="Y355" s="25"/>
      <c r="Z355" s="25"/>
      <c r="AA355" s="25"/>
      <c r="AB355" s="25"/>
      <c r="AC355" s="25"/>
      <c r="AD355" s="25"/>
      <c r="AE355" s="25"/>
      <c r="AF355" s="25"/>
      <c r="AG355" s="25"/>
    </row>
    <row r="356" spans="1:33" s="2" customFormat="1" ht="20.100000000000001" customHeight="1">
      <c r="A356" s="732"/>
      <c r="B356" s="733"/>
      <c r="C356" s="734" t="s">
        <v>64</v>
      </c>
      <c r="D356" s="734"/>
      <c r="E356" s="734"/>
      <c r="F356" s="223">
        <v>31.11</v>
      </c>
      <c r="G356" s="223">
        <f t="shared" si="41"/>
        <v>31.11</v>
      </c>
      <c r="H356" s="224" t="s">
        <v>29</v>
      </c>
      <c r="I356" s="225">
        <f t="shared" si="44"/>
        <v>10485.928999999998</v>
      </c>
      <c r="J356" s="223">
        <f t="shared" si="45"/>
        <v>10869.071000000002</v>
      </c>
      <c r="K356" s="518"/>
      <c r="L356" s="232"/>
      <c r="M356" s="735"/>
      <c r="N356" s="736"/>
      <c r="O356" s="137"/>
      <c r="P356" s="138"/>
      <c r="Q356" s="29"/>
      <c r="R356" s="103"/>
      <c r="S356" s="103"/>
      <c r="T356" s="103"/>
      <c r="U356" s="103"/>
      <c r="V356" s="103"/>
      <c r="W356" s="103"/>
      <c r="X356" s="103"/>
      <c r="Y356" s="25"/>
      <c r="Z356" s="25"/>
      <c r="AA356" s="25"/>
      <c r="AB356" s="25"/>
      <c r="AC356" s="25"/>
      <c r="AD356" s="25"/>
      <c r="AE356" s="25"/>
      <c r="AF356" s="25"/>
      <c r="AG356" s="25"/>
    </row>
    <row r="357" spans="1:33" s="2" customFormat="1" ht="20.100000000000001" customHeight="1">
      <c r="A357" s="681" t="s">
        <v>121</v>
      </c>
      <c r="B357" s="682"/>
      <c r="C357" s="683" t="s">
        <v>64</v>
      </c>
      <c r="D357" s="683"/>
      <c r="E357" s="683"/>
      <c r="F357" s="220">
        <v>31.15</v>
      </c>
      <c r="G357" s="220">
        <f t="shared" si="41"/>
        <v>31.15</v>
      </c>
      <c r="H357" s="221" t="s">
        <v>29</v>
      </c>
      <c r="I357" s="222">
        <f t="shared" ref="I357:I361" si="46">IF(H357="IN",I356+G357,I356)</f>
        <v>10517.078999999998</v>
      </c>
      <c r="J357" s="220">
        <f t="shared" ref="J357:J361" si="47">IF(I357="","",$M$10-I357)</f>
        <v>10837.921000000002</v>
      </c>
      <c r="K357" s="519"/>
      <c r="L357" s="231"/>
      <c r="M357" s="735"/>
      <c r="N357" s="736"/>
      <c r="O357" s="138"/>
      <c r="P357" s="137"/>
      <c r="Q357" s="29"/>
      <c r="R357" s="103"/>
      <c r="S357" s="103"/>
      <c r="T357" s="103"/>
      <c r="U357" s="103"/>
      <c r="V357" s="103"/>
      <c r="W357" s="103"/>
      <c r="X357" s="103"/>
      <c r="Y357" s="25"/>
      <c r="Z357" s="25"/>
      <c r="AA357" s="25"/>
      <c r="AB357" s="25"/>
      <c r="AC357" s="25"/>
      <c r="AD357" s="25"/>
      <c r="AE357" s="25"/>
      <c r="AF357" s="25"/>
      <c r="AG357" s="25"/>
    </row>
    <row r="358" spans="1:33" s="2" customFormat="1" ht="20.100000000000001" customHeight="1">
      <c r="A358" s="681"/>
      <c r="B358" s="682"/>
      <c r="C358" s="683" t="s">
        <v>64</v>
      </c>
      <c r="D358" s="683"/>
      <c r="E358" s="683"/>
      <c r="F358" s="220">
        <v>31.13</v>
      </c>
      <c r="G358" s="220">
        <f t="shared" si="41"/>
        <v>31.13</v>
      </c>
      <c r="H358" s="221" t="s">
        <v>29</v>
      </c>
      <c r="I358" s="222">
        <f t="shared" si="46"/>
        <v>10548.208999999997</v>
      </c>
      <c r="J358" s="220">
        <f t="shared" si="47"/>
        <v>10806.791000000003</v>
      </c>
      <c r="K358" s="519"/>
      <c r="L358" s="231"/>
      <c r="M358" s="735"/>
      <c r="N358" s="736"/>
      <c r="O358" s="137"/>
      <c r="P358" s="137"/>
      <c r="Q358" s="29"/>
      <c r="R358" s="103"/>
      <c r="S358" s="103"/>
      <c r="T358" s="103"/>
      <c r="U358" s="103"/>
      <c r="V358" s="103"/>
      <c r="W358" s="103"/>
      <c r="X358" s="103"/>
      <c r="Y358" s="25"/>
      <c r="Z358" s="25"/>
      <c r="AA358" s="25"/>
      <c r="AB358" s="25"/>
      <c r="AC358" s="25"/>
      <c r="AD358" s="25"/>
      <c r="AE358" s="25"/>
      <c r="AF358" s="25"/>
      <c r="AG358" s="25"/>
    </row>
    <row r="359" spans="1:33" s="2" customFormat="1" ht="20.100000000000001" customHeight="1">
      <c r="A359" s="681"/>
      <c r="B359" s="682"/>
      <c r="C359" s="683" t="s">
        <v>64</v>
      </c>
      <c r="D359" s="683"/>
      <c r="E359" s="683"/>
      <c r="F359" s="220">
        <v>30.95</v>
      </c>
      <c r="G359" s="220">
        <f t="shared" si="41"/>
        <v>30.95</v>
      </c>
      <c r="H359" s="221" t="s">
        <v>29</v>
      </c>
      <c r="I359" s="222">
        <f t="shared" si="46"/>
        <v>10579.158999999998</v>
      </c>
      <c r="J359" s="220">
        <f t="shared" si="47"/>
        <v>10775.841000000002</v>
      </c>
      <c r="K359" s="519"/>
      <c r="L359" s="231"/>
      <c r="M359" s="735"/>
      <c r="N359" s="736"/>
      <c r="O359" s="137"/>
      <c r="P359" s="103"/>
      <c r="Q359" s="29"/>
      <c r="R359" s="103"/>
      <c r="S359" s="103"/>
      <c r="T359" s="103"/>
      <c r="U359" s="103"/>
      <c r="V359" s="103"/>
      <c r="W359" s="103"/>
      <c r="X359" s="103"/>
      <c r="Y359" s="25"/>
      <c r="Z359" s="25"/>
      <c r="AA359" s="25"/>
      <c r="AB359" s="25"/>
      <c r="AC359" s="25"/>
      <c r="AD359" s="25"/>
      <c r="AE359" s="25"/>
      <c r="AF359" s="25"/>
      <c r="AG359" s="25"/>
    </row>
    <row r="360" spans="1:33" s="2" customFormat="1" ht="20.100000000000001" customHeight="1">
      <c r="A360" s="732" t="s">
        <v>122</v>
      </c>
      <c r="B360" s="733"/>
      <c r="C360" s="734" t="s">
        <v>64</v>
      </c>
      <c r="D360" s="734"/>
      <c r="E360" s="734"/>
      <c r="F360" s="223">
        <v>31.16</v>
      </c>
      <c r="G360" s="223">
        <f t="shared" si="41"/>
        <v>31.16</v>
      </c>
      <c r="H360" s="224" t="s">
        <v>29</v>
      </c>
      <c r="I360" s="225">
        <f>IF(H360="IN",I359+G360,I359)</f>
        <v>10610.318999999998</v>
      </c>
      <c r="J360" s="223">
        <f t="shared" si="47"/>
        <v>10744.681000000002</v>
      </c>
      <c r="K360" s="518"/>
      <c r="L360" s="232"/>
      <c r="M360" s="735"/>
      <c r="N360" s="736"/>
      <c r="O360" s="103"/>
      <c r="P360" s="103"/>
      <c r="Q360" s="29"/>
      <c r="R360" s="103"/>
      <c r="S360" s="103"/>
      <c r="T360" s="103"/>
      <c r="U360" s="103"/>
      <c r="V360" s="103"/>
      <c r="W360" s="103"/>
      <c r="X360" s="103"/>
      <c r="Y360" s="25"/>
      <c r="Z360" s="25"/>
      <c r="AA360" s="25"/>
      <c r="AB360" s="25"/>
      <c r="AC360" s="25"/>
      <c r="AD360" s="25"/>
      <c r="AE360" s="25"/>
      <c r="AF360" s="25"/>
      <c r="AG360" s="25"/>
    </row>
    <row r="361" spans="1:33" s="2" customFormat="1" ht="20.100000000000001" customHeight="1">
      <c r="A361" s="732"/>
      <c r="B361" s="733"/>
      <c r="C361" s="734" t="s">
        <v>64</v>
      </c>
      <c r="D361" s="734"/>
      <c r="E361" s="734"/>
      <c r="F361" s="223">
        <v>31.29</v>
      </c>
      <c r="G361" s="223">
        <f t="shared" si="41"/>
        <v>31.29</v>
      </c>
      <c r="H361" s="224" t="s">
        <v>29</v>
      </c>
      <c r="I361" s="225">
        <f t="shared" si="46"/>
        <v>10641.608999999999</v>
      </c>
      <c r="J361" s="223">
        <f t="shared" si="47"/>
        <v>10713.391000000001</v>
      </c>
      <c r="K361" s="518"/>
      <c r="L361" s="232"/>
      <c r="M361" s="735"/>
      <c r="N361" s="736"/>
      <c r="O361" s="103"/>
      <c r="P361" s="103"/>
      <c r="Q361" s="29"/>
      <c r="R361" s="103"/>
      <c r="S361" s="103"/>
      <c r="T361" s="103"/>
      <c r="U361" s="103"/>
      <c r="V361" s="103"/>
      <c r="W361" s="103"/>
      <c r="X361" s="103"/>
      <c r="Y361" s="25"/>
      <c r="Z361" s="25"/>
      <c r="AA361" s="25"/>
      <c r="AB361" s="25"/>
      <c r="AC361" s="25"/>
      <c r="AD361" s="25"/>
      <c r="AE361" s="25"/>
      <c r="AF361" s="25"/>
      <c r="AG361" s="25"/>
    </row>
    <row r="362" spans="1:33" s="2" customFormat="1" ht="20.100000000000001" customHeight="1">
      <c r="A362" s="732"/>
      <c r="B362" s="733"/>
      <c r="C362" s="734" t="s">
        <v>64</v>
      </c>
      <c r="D362" s="734"/>
      <c r="E362" s="734"/>
      <c r="F362" s="223">
        <v>31.13</v>
      </c>
      <c r="G362" s="223">
        <f t="shared" si="41"/>
        <v>31.13</v>
      </c>
      <c r="H362" s="224" t="s">
        <v>29</v>
      </c>
      <c r="I362" s="225">
        <f t="shared" ref="I362:I383" si="48">IF(H362="IN",I361+G362,I361)</f>
        <v>10672.738999999998</v>
      </c>
      <c r="J362" s="223">
        <f t="shared" ref="J362:J383" si="49">IF(I362="","",$M$10-I362)</f>
        <v>10682.261000000002</v>
      </c>
      <c r="K362" s="518"/>
      <c r="L362" s="232"/>
      <c r="M362" s="735"/>
      <c r="N362" s="736"/>
      <c r="O362" s="103"/>
      <c r="P362" s="103"/>
      <c r="Q362" s="29"/>
      <c r="R362" s="103"/>
      <c r="S362" s="103"/>
      <c r="T362" s="103"/>
      <c r="U362" s="103"/>
      <c r="V362" s="103"/>
      <c r="W362" s="103"/>
      <c r="X362" s="103"/>
      <c r="Y362" s="25"/>
      <c r="Z362" s="4"/>
      <c r="AA362" s="4"/>
      <c r="AB362" s="4"/>
      <c r="AC362" s="4"/>
      <c r="AD362" s="4"/>
      <c r="AE362" s="4"/>
      <c r="AF362" s="4"/>
      <c r="AG362" s="4"/>
    </row>
    <row r="363" spans="1:33" s="2" customFormat="1" ht="20.100000000000001" customHeight="1">
      <c r="A363" s="681" t="s">
        <v>202</v>
      </c>
      <c r="B363" s="682"/>
      <c r="C363" s="683" t="s">
        <v>64</v>
      </c>
      <c r="D363" s="683"/>
      <c r="E363" s="683"/>
      <c r="F363" s="220">
        <v>30.93</v>
      </c>
      <c r="G363" s="220">
        <f t="shared" si="41"/>
        <v>30.93</v>
      </c>
      <c r="H363" s="221" t="s">
        <v>29</v>
      </c>
      <c r="I363" s="222">
        <f t="shared" si="48"/>
        <v>10703.668999999998</v>
      </c>
      <c r="J363" s="220">
        <f t="shared" si="49"/>
        <v>10651.331000000002</v>
      </c>
      <c r="K363" s="519"/>
      <c r="L363" s="231"/>
      <c r="M363" s="735"/>
      <c r="N363" s="736"/>
      <c r="O363" s="103"/>
      <c r="P363" s="103"/>
      <c r="Q363" s="29"/>
      <c r="R363" s="99"/>
      <c r="S363" s="99"/>
      <c r="T363" s="99"/>
      <c r="U363" s="99"/>
      <c r="V363" s="99"/>
      <c r="W363" s="99"/>
      <c r="X363" s="99"/>
      <c r="Y363" s="25"/>
      <c r="Z363" s="4"/>
      <c r="AA363" s="4"/>
      <c r="AB363" s="4"/>
      <c r="AC363" s="4"/>
      <c r="AD363" s="4"/>
      <c r="AE363" s="4"/>
      <c r="AF363" s="4"/>
      <c r="AG363" s="4"/>
    </row>
    <row r="364" spans="1:33" s="2" customFormat="1" ht="20.100000000000001" customHeight="1">
      <c r="A364" s="681"/>
      <c r="B364" s="682"/>
      <c r="C364" s="683" t="s">
        <v>64</v>
      </c>
      <c r="D364" s="683"/>
      <c r="E364" s="683"/>
      <c r="F364" s="220">
        <v>30.77</v>
      </c>
      <c r="G364" s="220">
        <f t="shared" si="41"/>
        <v>30.77</v>
      </c>
      <c r="H364" s="221" t="s">
        <v>29</v>
      </c>
      <c r="I364" s="222">
        <f t="shared" si="48"/>
        <v>10734.438999999998</v>
      </c>
      <c r="J364" s="220">
        <f t="shared" si="49"/>
        <v>10620.561000000002</v>
      </c>
      <c r="K364" s="519"/>
      <c r="L364" s="231"/>
      <c r="M364" s="735"/>
      <c r="N364" s="736"/>
      <c r="O364" s="103"/>
      <c r="P364" s="103"/>
      <c r="Q364" s="29"/>
      <c r="R364" s="103"/>
      <c r="S364" s="103"/>
      <c r="T364" s="103"/>
      <c r="U364" s="103"/>
      <c r="V364" s="103"/>
      <c r="W364" s="103"/>
      <c r="X364" s="103"/>
      <c r="Y364" s="25"/>
      <c r="Z364" s="4"/>
      <c r="AA364" s="4"/>
      <c r="AB364" s="4"/>
      <c r="AC364" s="4"/>
      <c r="AD364" s="4"/>
      <c r="AE364" s="4"/>
      <c r="AF364" s="4"/>
      <c r="AG364" s="4"/>
    </row>
    <row r="365" spans="1:33" s="2" customFormat="1" ht="20.100000000000001" customHeight="1">
      <c r="A365" s="681"/>
      <c r="B365" s="682"/>
      <c r="C365" s="683" t="s">
        <v>64</v>
      </c>
      <c r="D365" s="683"/>
      <c r="E365" s="683"/>
      <c r="F365" s="220">
        <v>30.98</v>
      </c>
      <c r="G365" s="220">
        <f t="shared" si="41"/>
        <v>30.98</v>
      </c>
      <c r="H365" s="221" t="s">
        <v>29</v>
      </c>
      <c r="I365" s="222">
        <f t="shared" si="48"/>
        <v>10765.418999999998</v>
      </c>
      <c r="J365" s="220">
        <f t="shared" si="49"/>
        <v>10589.581000000002</v>
      </c>
      <c r="K365" s="519"/>
      <c r="L365" s="231"/>
      <c r="M365" s="735"/>
      <c r="N365" s="736"/>
      <c r="O365" s="99"/>
      <c r="P365" s="99"/>
      <c r="Q365" s="99"/>
      <c r="R365" s="103"/>
      <c r="S365" s="103"/>
      <c r="T365" s="103"/>
      <c r="U365" s="103"/>
      <c r="V365" s="103"/>
      <c r="W365" s="103"/>
      <c r="X365" s="103"/>
      <c r="Y365" s="25"/>
      <c r="Z365" s="25"/>
      <c r="AA365" s="25"/>
      <c r="AB365" s="25"/>
      <c r="AC365" s="25"/>
      <c r="AD365" s="25"/>
      <c r="AE365" s="25"/>
      <c r="AF365" s="25"/>
      <c r="AG365" s="25"/>
    </row>
    <row r="366" spans="1:33" s="2" customFormat="1" ht="20.100000000000001" customHeight="1">
      <c r="A366" s="732" t="s">
        <v>203</v>
      </c>
      <c r="B366" s="733"/>
      <c r="C366" s="734" t="s">
        <v>64</v>
      </c>
      <c r="D366" s="734"/>
      <c r="E366" s="734"/>
      <c r="F366" s="223">
        <v>31.17</v>
      </c>
      <c r="G366" s="223">
        <f t="shared" si="41"/>
        <v>31.17</v>
      </c>
      <c r="H366" s="224" t="s">
        <v>29</v>
      </c>
      <c r="I366" s="225">
        <f t="shared" si="48"/>
        <v>10796.588999999998</v>
      </c>
      <c r="J366" s="223">
        <f t="shared" si="49"/>
        <v>10558.411000000002</v>
      </c>
      <c r="K366" s="518"/>
      <c r="L366" s="232"/>
      <c r="M366" s="735"/>
      <c r="N366" s="736"/>
      <c r="O366" s="103"/>
      <c r="P366" s="103"/>
      <c r="Q366" s="29"/>
      <c r="R366" s="103"/>
      <c r="S366" s="103"/>
      <c r="T366" s="103"/>
      <c r="U366" s="103"/>
      <c r="V366" s="103"/>
      <c r="W366" s="103"/>
      <c r="X366" s="103"/>
      <c r="Y366" s="25"/>
      <c r="Z366" s="25"/>
      <c r="AA366" s="25"/>
      <c r="AB366" s="25"/>
      <c r="AC366" s="25"/>
      <c r="AD366" s="25"/>
      <c r="AE366" s="25"/>
      <c r="AF366" s="25"/>
      <c r="AG366" s="25"/>
    </row>
    <row r="367" spans="1:33" s="2" customFormat="1" ht="20.100000000000001" customHeight="1">
      <c r="A367" s="732"/>
      <c r="B367" s="733"/>
      <c r="C367" s="734" t="s">
        <v>64</v>
      </c>
      <c r="D367" s="734"/>
      <c r="E367" s="734"/>
      <c r="F367" s="223">
        <v>30.9</v>
      </c>
      <c r="G367" s="223">
        <f t="shared" si="41"/>
        <v>30.9</v>
      </c>
      <c r="H367" s="224" t="s">
        <v>29</v>
      </c>
      <c r="I367" s="225">
        <f t="shared" si="48"/>
        <v>10827.488999999998</v>
      </c>
      <c r="J367" s="223">
        <f t="shared" si="49"/>
        <v>10527.511000000002</v>
      </c>
      <c r="K367" s="518"/>
      <c r="L367" s="232"/>
      <c r="M367" s="735"/>
      <c r="N367" s="736"/>
      <c r="O367" s="103"/>
      <c r="P367" s="103"/>
      <c r="Q367" s="29"/>
      <c r="R367" s="103"/>
      <c r="S367" s="103"/>
      <c r="T367" s="103"/>
      <c r="U367" s="103"/>
      <c r="V367" s="103"/>
      <c r="W367" s="103"/>
      <c r="X367" s="103"/>
      <c r="Y367" s="25"/>
      <c r="Z367" s="25"/>
      <c r="AA367" s="25"/>
      <c r="AB367" s="25"/>
      <c r="AC367" s="25"/>
      <c r="AD367" s="25"/>
      <c r="AE367" s="25"/>
      <c r="AF367" s="25"/>
      <c r="AG367" s="25"/>
    </row>
    <row r="368" spans="1:33" s="2" customFormat="1" ht="20.100000000000001" customHeight="1">
      <c r="A368" s="732"/>
      <c r="B368" s="733"/>
      <c r="C368" s="734" t="s">
        <v>64</v>
      </c>
      <c r="D368" s="734"/>
      <c r="E368" s="734"/>
      <c r="F368" s="223">
        <v>31.17</v>
      </c>
      <c r="G368" s="223">
        <f t="shared" si="41"/>
        <v>31.17</v>
      </c>
      <c r="H368" s="224" t="s">
        <v>29</v>
      </c>
      <c r="I368" s="225">
        <f t="shared" si="48"/>
        <v>10858.658999999998</v>
      </c>
      <c r="J368" s="223">
        <f t="shared" si="49"/>
        <v>10496.341000000002</v>
      </c>
      <c r="K368" s="518"/>
      <c r="L368" s="232"/>
      <c r="M368" s="735"/>
      <c r="N368" s="736"/>
      <c r="O368" s="103"/>
      <c r="P368" s="103"/>
      <c r="Q368" s="29"/>
      <c r="R368" s="103"/>
      <c r="S368" s="103"/>
      <c r="T368" s="103"/>
      <c r="U368" s="103"/>
      <c r="V368" s="103"/>
      <c r="W368" s="103"/>
      <c r="X368" s="103"/>
      <c r="Y368" s="25"/>
      <c r="Z368" s="25"/>
      <c r="AA368" s="25"/>
      <c r="AB368" s="25"/>
      <c r="AC368" s="25"/>
      <c r="AD368" s="25"/>
      <c r="AE368" s="25"/>
      <c r="AF368" s="25"/>
      <c r="AG368" s="25"/>
    </row>
    <row r="369" spans="1:33" s="2" customFormat="1" ht="20.100000000000001" customHeight="1">
      <c r="A369" s="681" t="s">
        <v>204</v>
      </c>
      <c r="B369" s="682"/>
      <c r="C369" s="683" t="s">
        <v>64</v>
      </c>
      <c r="D369" s="683"/>
      <c r="E369" s="683"/>
      <c r="F369" s="220">
        <v>30.98</v>
      </c>
      <c r="G369" s="220">
        <f t="shared" si="41"/>
        <v>30.98</v>
      </c>
      <c r="H369" s="221" t="s">
        <v>29</v>
      </c>
      <c r="I369" s="222">
        <f t="shared" si="48"/>
        <v>10889.638999999997</v>
      </c>
      <c r="J369" s="220">
        <f t="shared" si="49"/>
        <v>10465.361000000003</v>
      </c>
      <c r="K369" s="519"/>
      <c r="L369" s="231"/>
      <c r="M369" s="735"/>
      <c r="N369" s="736"/>
      <c r="O369" s="103"/>
      <c r="P369" s="103"/>
      <c r="Q369" s="29"/>
      <c r="R369" s="103"/>
      <c r="S369" s="103"/>
      <c r="T369" s="103"/>
      <c r="U369" s="103"/>
      <c r="V369" s="103"/>
      <c r="W369" s="103"/>
      <c r="X369" s="103"/>
      <c r="Y369" s="25"/>
      <c r="Z369" s="25"/>
      <c r="AA369" s="25"/>
      <c r="AB369" s="25"/>
      <c r="AC369" s="25"/>
      <c r="AD369" s="25"/>
      <c r="AE369" s="25"/>
      <c r="AF369" s="25"/>
      <c r="AG369" s="25"/>
    </row>
    <row r="370" spans="1:33" s="2" customFormat="1" ht="20.100000000000001" customHeight="1">
      <c r="A370" s="681"/>
      <c r="B370" s="682"/>
      <c r="C370" s="683" t="s">
        <v>64</v>
      </c>
      <c r="D370" s="683"/>
      <c r="E370" s="683"/>
      <c r="F370" s="220">
        <v>30.92</v>
      </c>
      <c r="G370" s="220">
        <f t="shared" si="41"/>
        <v>30.92</v>
      </c>
      <c r="H370" s="221" t="s">
        <v>29</v>
      </c>
      <c r="I370" s="222">
        <f t="shared" si="48"/>
        <v>10920.558999999997</v>
      </c>
      <c r="J370" s="220">
        <f t="shared" si="49"/>
        <v>10434.441000000003</v>
      </c>
      <c r="K370" s="519"/>
      <c r="L370" s="231"/>
      <c r="M370" s="735"/>
      <c r="N370" s="736"/>
      <c r="O370" s="103"/>
      <c r="P370" s="103"/>
      <c r="Q370" s="29"/>
      <c r="R370" s="103"/>
      <c r="S370" s="103"/>
      <c r="T370" s="103"/>
      <c r="U370" s="103"/>
      <c r="V370" s="103"/>
      <c r="W370" s="103"/>
      <c r="X370" s="103"/>
      <c r="Y370" s="25"/>
      <c r="Z370" s="25"/>
      <c r="AA370" s="25"/>
      <c r="AB370" s="25"/>
      <c r="AC370" s="25"/>
      <c r="AD370" s="25"/>
      <c r="AE370" s="25"/>
      <c r="AF370" s="25"/>
      <c r="AG370" s="25"/>
    </row>
    <row r="371" spans="1:33" s="2" customFormat="1" ht="20.100000000000001" customHeight="1">
      <c r="A371" s="681"/>
      <c r="B371" s="682"/>
      <c r="C371" s="683" t="s">
        <v>64</v>
      </c>
      <c r="D371" s="683"/>
      <c r="E371" s="683"/>
      <c r="F371" s="220">
        <v>30.5</v>
      </c>
      <c r="G371" s="220">
        <f t="shared" si="41"/>
        <v>30.5</v>
      </c>
      <c r="H371" s="221" t="s">
        <v>29</v>
      </c>
      <c r="I371" s="222">
        <f t="shared" si="48"/>
        <v>10951.058999999997</v>
      </c>
      <c r="J371" s="220">
        <f t="shared" si="49"/>
        <v>10403.941000000003</v>
      </c>
      <c r="K371" s="519"/>
      <c r="L371" s="231"/>
      <c r="M371" s="735"/>
      <c r="N371" s="736"/>
      <c r="O371" s="103"/>
      <c r="P371" s="103"/>
      <c r="Q371" s="29"/>
      <c r="R371" s="103"/>
      <c r="S371" s="103"/>
      <c r="T371" s="103"/>
      <c r="U371" s="103"/>
      <c r="V371" s="103"/>
      <c r="W371" s="103"/>
      <c r="X371" s="103"/>
      <c r="Y371" s="25"/>
      <c r="Z371" s="25"/>
      <c r="AA371" s="25"/>
      <c r="AB371" s="25"/>
      <c r="AC371" s="25"/>
      <c r="AD371" s="25"/>
      <c r="AE371" s="25"/>
      <c r="AF371" s="25"/>
      <c r="AG371" s="25"/>
    </row>
    <row r="372" spans="1:33" s="2" customFormat="1" ht="20.100000000000001" customHeight="1">
      <c r="A372" s="732" t="s">
        <v>125</v>
      </c>
      <c r="B372" s="733"/>
      <c r="C372" s="734" t="s">
        <v>64</v>
      </c>
      <c r="D372" s="734"/>
      <c r="E372" s="734"/>
      <c r="F372" s="223">
        <v>30.05</v>
      </c>
      <c r="G372" s="223">
        <f t="shared" si="41"/>
        <v>30.05</v>
      </c>
      <c r="H372" s="224" t="s">
        <v>29</v>
      </c>
      <c r="I372" s="225">
        <f t="shared" si="48"/>
        <v>10981.108999999997</v>
      </c>
      <c r="J372" s="223">
        <f t="shared" si="49"/>
        <v>10373.891000000003</v>
      </c>
      <c r="K372" s="518"/>
      <c r="L372" s="232"/>
      <c r="M372" s="735"/>
      <c r="N372" s="736"/>
      <c r="O372" s="103"/>
      <c r="P372" s="103"/>
      <c r="Q372" s="29"/>
      <c r="R372" s="103"/>
      <c r="S372" s="103"/>
      <c r="T372" s="103"/>
      <c r="U372" s="103"/>
      <c r="V372" s="103"/>
      <c r="W372" s="103"/>
      <c r="X372" s="103"/>
      <c r="Y372" s="25"/>
      <c r="Z372" s="25"/>
      <c r="AA372" s="25"/>
      <c r="AB372" s="25"/>
      <c r="AC372" s="25"/>
      <c r="AD372" s="25"/>
      <c r="AE372" s="25"/>
      <c r="AF372" s="25"/>
      <c r="AG372" s="25"/>
    </row>
    <row r="373" spans="1:33" s="2" customFormat="1" ht="20.100000000000001" customHeight="1">
      <c r="A373" s="732"/>
      <c r="B373" s="733"/>
      <c r="C373" s="734" t="s">
        <v>64</v>
      </c>
      <c r="D373" s="734"/>
      <c r="E373" s="734"/>
      <c r="F373" s="223">
        <v>31</v>
      </c>
      <c r="G373" s="223">
        <f t="shared" si="41"/>
        <v>31</v>
      </c>
      <c r="H373" s="224" t="s">
        <v>29</v>
      </c>
      <c r="I373" s="225">
        <f t="shared" si="48"/>
        <v>11012.108999999997</v>
      </c>
      <c r="J373" s="223">
        <f t="shared" si="49"/>
        <v>10342.891000000003</v>
      </c>
      <c r="K373" s="518"/>
      <c r="L373" s="232"/>
      <c r="M373" s="735"/>
      <c r="N373" s="736"/>
      <c r="O373" s="103"/>
      <c r="P373" s="103"/>
      <c r="Q373" s="29"/>
      <c r="R373" s="103"/>
      <c r="S373" s="103"/>
      <c r="T373" s="103"/>
      <c r="U373" s="103"/>
      <c r="V373" s="103"/>
      <c r="W373" s="103"/>
      <c r="X373" s="103"/>
      <c r="Y373" s="25"/>
      <c r="Z373" s="25"/>
      <c r="AA373" s="25"/>
      <c r="AB373" s="25"/>
      <c r="AC373" s="25"/>
      <c r="AD373" s="25"/>
      <c r="AE373" s="25"/>
      <c r="AF373" s="25"/>
      <c r="AG373" s="25"/>
    </row>
    <row r="374" spans="1:33" s="2" customFormat="1" ht="20.100000000000001" customHeight="1">
      <c r="A374" s="732"/>
      <c r="B374" s="733"/>
      <c r="C374" s="734" t="s">
        <v>64</v>
      </c>
      <c r="D374" s="734"/>
      <c r="E374" s="734"/>
      <c r="F374" s="223">
        <v>31</v>
      </c>
      <c r="G374" s="223">
        <f t="shared" si="41"/>
        <v>31</v>
      </c>
      <c r="H374" s="224" t="s">
        <v>29</v>
      </c>
      <c r="I374" s="225">
        <f t="shared" si="48"/>
        <v>11043.108999999997</v>
      </c>
      <c r="J374" s="223">
        <f t="shared" si="49"/>
        <v>10311.891000000003</v>
      </c>
      <c r="K374" s="518"/>
      <c r="L374" s="232"/>
      <c r="M374" s="735"/>
      <c r="N374" s="736"/>
      <c r="O374" s="103"/>
      <c r="P374" s="103"/>
      <c r="Q374" s="29"/>
      <c r="R374" s="103"/>
      <c r="S374" s="103"/>
      <c r="T374" s="103"/>
      <c r="U374" s="103"/>
      <c r="V374" s="103"/>
      <c r="W374" s="103"/>
      <c r="X374" s="103"/>
      <c r="Y374" s="25"/>
      <c r="Z374" s="25"/>
      <c r="AA374" s="25"/>
      <c r="AB374" s="25"/>
      <c r="AC374" s="25"/>
      <c r="AD374" s="25"/>
      <c r="AE374" s="25"/>
      <c r="AF374" s="25"/>
      <c r="AG374" s="25"/>
    </row>
    <row r="375" spans="1:33" s="2" customFormat="1" ht="20.100000000000001" customHeight="1">
      <c r="A375" s="681" t="s">
        <v>126</v>
      </c>
      <c r="B375" s="682"/>
      <c r="C375" s="683" t="s">
        <v>64</v>
      </c>
      <c r="D375" s="683"/>
      <c r="E375" s="683"/>
      <c r="F375" s="220">
        <v>31</v>
      </c>
      <c r="G375" s="220">
        <f t="shared" si="41"/>
        <v>31</v>
      </c>
      <c r="H375" s="221" t="s">
        <v>29</v>
      </c>
      <c r="I375" s="222">
        <f t="shared" si="48"/>
        <v>11074.108999999997</v>
      </c>
      <c r="J375" s="220">
        <f t="shared" si="49"/>
        <v>10280.891000000003</v>
      </c>
      <c r="K375" s="519"/>
      <c r="L375" s="231"/>
      <c r="M375" s="735"/>
      <c r="N375" s="736"/>
      <c r="O375" s="103"/>
      <c r="P375" s="103"/>
      <c r="Q375" s="29"/>
      <c r="R375" s="103"/>
      <c r="S375" s="103"/>
      <c r="T375" s="103"/>
      <c r="U375" s="103"/>
      <c r="V375" s="103"/>
      <c r="W375" s="103"/>
      <c r="X375" s="103"/>
      <c r="Y375" s="25"/>
      <c r="Z375" s="25"/>
      <c r="AA375" s="25"/>
      <c r="AB375" s="25"/>
      <c r="AC375" s="25"/>
      <c r="AD375" s="25"/>
      <c r="AE375" s="25"/>
      <c r="AF375" s="25"/>
      <c r="AG375" s="25"/>
    </row>
    <row r="376" spans="1:33" s="2" customFormat="1" ht="20.100000000000001" customHeight="1">
      <c r="A376" s="681"/>
      <c r="B376" s="682"/>
      <c r="C376" s="683" t="s">
        <v>64</v>
      </c>
      <c r="D376" s="683"/>
      <c r="E376" s="683"/>
      <c r="F376" s="220">
        <v>30.67</v>
      </c>
      <c r="G376" s="220">
        <f t="shared" si="41"/>
        <v>30.67</v>
      </c>
      <c r="H376" s="221" t="s">
        <v>29</v>
      </c>
      <c r="I376" s="222">
        <f t="shared" si="48"/>
        <v>11104.778999999997</v>
      </c>
      <c r="J376" s="220">
        <f t="shared" si="49"/>
        <v>10250.221000000003</v>
      </c>
      <c r="K376" s="519"/>
      <c r="L376" s="231"/>
      <c r="M376" s="735"/>
      <c r="N376" s="736"/>
      <c r="O376" s="103"/>
      <c r="P376" s="103"/>
      <c r="Q376" s="29"/>
      <c r="R376" s="103"/>
      <c r="S376" s="103"/>
      <c r="T376" s="103"/>
      <c r="U376" s="103"/>
      <c r="V376" s="103"/>
      <c r="W376" s="103"/>
      <c r="X376" s="103"/>
      <c r="Y376" s="25"/>
      <c r="Z376" s="25"/>
      <c r="AA376" s="25"/>
      <c r="AB376" s="25"/>
      <c r="AC376" s="25"/>
      <c r="AD376" s="25"/>
      <c r="AE376" s="25"/>
      <c r="AF376" s="25"/>
      <c r="AG376" s="25"/>
    </row>
    <row r="377" spans="1:33" s="2" customFormat="1" ht="20.100000000000001" customHeight="1">
      <c r="A377" s="681"/>
      <c r="B377" s="682"/>
      <c r="C377" s="683" t="s">
        <v>64</v>
      </c>
      <c r="D377" s="683"/>
      <c r="E377" s="683"/>
      <c r="F377" s="220">
        <v>31.2</v>
      </c>
      <c r="G377" s="220">
        <f t="shared" si="41"/>
        <v>31.2</v>
      </c>
      <c r="H377" s="221" t="s">
        <v>29</v>
      </c>
      <c r="I377" s="222">
        <f t="shared" si="48"/>
        <v>11135.978999999998</v>
      </c>
      <c r="J377" s="220">
        <f t="shared" si="49"/>
        <v>10219.021000000002</v>
      </c>
      <c r="K377" s="519"/>
      <c r="L377" s="231"/>
      <c r="M377" s="735"/>
      <c r="N377" s="736"/>
      <c r="O377" s="103"/>
      <c r="P377" s="103"/>
      <c r="Q377" s="29"/>
      <c r="R377" s="103"/>
      <c r="S377" s="103"/>
      <c r="T377" s="103"/>
      <c r="U377" s="103"/>
      <c r="V377" s="103"/>
      <c r="W377" s="103"/>
      <c r="X377" s="103"/>
      <c r="Y377" s="25"/>
      <c r="Z377" s="25"/>
      <c r="AA377" s="25"/>
      <c r="AB377" s="25"/>
      <c r="AC377" s="25"/>
      <c r="AD377" s="25"/>
      <c r="AE377" s="25"/>
      <c r="AF377" s="25"/>
      <c r="AG377" s="25"/>
    </row>
    <row r="378" spans="1:33" s="2" customFormat="1" ht="20.100000000000001" customHeight="1">
      <c r="A378" s="732" t="s">
        <v>127</v>
      </c>
      <c r="B378" s="733"/>
      <c r="C378" s="734" t="s">
        <v>64</v>
      </c>
      <c r="D378" s="734"/>
      <c r="E378" s="734"/>
      <c r="F378" s="223">
        <v>30.88</v>
      </c>
      <c r="G378" s="223">
        <f t="shared" si="41"/>
        <v>30.88</v>
      </c>
      <c r="H378" s="224" t="s">
        <v>29</v>
      </c>
      <c r="I378" s="225">
        <f t="shared" si="48"/>
        <v>11166.858999999997</v>
      </c>
      <c r="J378" s="223">
        <f t="shared" si="49"/>
        <v>10188.141000000003</v>
      </c>
      <c r="K378" s="518"/>
      <c r="L378" s="232"/>
      <c r="M378" s="735"/>
      <c r="N378" s="736"/>
      <c r="O378" s="103"/>
      <c r="P378" s="103"/>
      <c r="Q378" s="29"/>
      <c r="R378" s="103"/>
      <c r="S378" s="103"/>
      <c r="T378" s="103"/>
      <c r="U378" s="103"/>
      <c r="V378" s="103"/>
      <c r="W378" s="103"/>
      <c r="X378" s="103"/>
      <c r="Y378" s="25"/>
      <c r="Z378" s="25"/>
      <c r="AA378" s="25"/>
      <c r="AB378" s="25"/>
      <c r="AC378" s="25"/>
      <c r="AD378" s="25"/>
      <c r="AE378" s="25"/>
      <c r="AF378" s="25"/>
      <c r="AG378" s="25"/>
    </row>
    <row r="379" spans="1:33" s="2" customFormat="1" ht="20.100000000000001" customHeight="1">
      <c r="A379" s="732"/>
      <c r="B379" s="733"/>
      <c r="C379" s="734" t="s">
        <v>64</v>
      </c>
      <c r="D379" s="734"/>
      <c r="E379" s="734"/>
      <c r="F379" s="223">
        <v>31.08</v>
      </c>
      <c r="G379" s="223">
        <f t="shared" si="41"/>
        <v>31.08</v>
      </c>
      <c r="H379" s="224" t="s">
        <v>29</v>
      </c>
      <c r="I379" s="225">
        <f t="shared" si="48"/>
        <v>11197.938999999997</v>
      </c>
      <c r="J379" s="223">
        <f t="shared" si="49"/>
        <v>10157.061000000003</v>
      </c>
      <c r="K379" s="518"/>
      <c r="L379" s="232"/>
      <c r="M379" s="735"/>
      <c r="N379" s="736"/>
      <c r="O379" s="103"/>
      <c r="P379" s="137"/>
      <c r="Q379" s="29"/>
      <c r="R379" s="103"/>
      <c r="S379" s="103"/>
      <c r="T379" s="103"/>
      <c r="U379" s="103"/>
      <c r="V379" s="103"/>
      <c r="W379" s="103"/>
      <c r="X379" s="103"/>
      <c r="Y379" s="25"/>
      <c r="Z379" s="25"/>
      <c r="AA379" s="25"/>
      <c r="AB379" s="25"/>
      <c r="AC379" s="25"/>
      <c r="AD379" s="25"/>
      <c r="AE379" s="25"/>
      <c r="AF379" s="25"/>
      <c r="AG379" s="25"/>
    </row>
    <row r="380" spans="1:33" s="2" customFormat="1" ht="20.100000000000001" customHeight="1">
      <c r="A380" s="732"/>
      <c r="B380" s="733"/>
      <c r="C380" s="734" t="s">
        <v>64</v>
      </c>
      <c r="D380" s="734"/>
      <c r="E380" s="734"/>
      <c r="F380" s="223">
        <v>31.25</v>
      </c>
      <c r="G380" s="223">
        <f t="shared" si="41"/>
        <v>31.25</v>
      </c>
      <c r="H380" s="224" t="s">
        <v>29</v>
      </c>
      <c r="I380" s="225">
        <f t="shared" si="48"/>
        <v>11229.188999999997</v>
      </c>
      <c r="J380" s="223">
        <f t="shared" si="49"/>
        <v>10125.811000000003</v>
      </c>
      <c r="K380" s="518"/>
      <c r="L380" s="232"/>
      <c r="M380" s="735"/>
      <c r="N380" s="736"/>
      <c r="O380" s="137"/>
      <c r="P380" s="138"/>
      <c r="Q380" s="29"/>
      <c r="R380" s="103"/>
      <c r="S380" s="103"/>
      <c r="T380" s="103"/>
      <c r="U380" s="103"/>
      <c r="V380" s="103"/>
      <c r="W380" s="103"/>
      <c r="X380" s="103"/>
      <c r="Y380" s="25"/>
      <c r="Z380" s="25"/>
      <c r="AA380" s="25"/>
      <c r="AB380" s="25"/>
      <c r="AC380" s="25"/>
      <c r="AD380" s="25"/>
      <c r="AE380" s="25"/>
      <c r="AF380" s="25"/>
      <c r="AG380" s="25"/>
    </row>
    <row r="381" spans="1:33" s="2" customFormat="1" ht="20.100000000000001" customHeight="1">
      <c r="A381" s="681" t="s">
        <v>128</v>
      </c>
      <c r="B381" s="682"/>
      <c r="C381" s="683" t="s">
        <v>64</v>
      </c>
      <c r="D381" s="683"/>
      <c r="E381" s="683"/>
      <c r="F381" s="220">
        <v>31.03</v>
      </c>
      <c r="G381" s="220">
        <f t="shared" si="41"/>
        <v>31.03</v>
      </c>
      <c r="H381" s="221" t="s">
        <v>29</v>
      </c>
      <c r="I381" s="222">
        <f t="shared" si="48"/>
        <v>11260.218999999997</v>
      </c>
      <c r="J381" s="220">
        <f t="shared" si="49"/>
        <v>10094.781000000003</v>
      </c>
      <c r="K381" s="519"/>
      <c r="L381" s="231"/>
      <c r="M381" s="735"/>
      <c r="N381" s="736"/>
      <c r="O381" s="138"/>
      <c r="P381" s="137"/>
      <c r="Q381" s="29"/>
      <c r="R381" s="103"/>
      <c r="S381" s="103"/>
      <c r="T381" s="103"/>
      <c r="U381" s="103"/>
      <c r="V381" s="103"/>
      <c r="W381" s="103"/>
      <c r="X381" s="103"/>
      <c r="Y381" s="25"/>
      <c r="Z381" s="25"/>
      <c r="AA381" s="25"/>
      <c r="AB381" s="25"/>
      <c r="AC381" s="25"/>
      <c r="AD381" s="25"/>
      <c r="AE381" s="25"/>
      <c r="AF381" s="25"/>
      <c r="AG381" s="25"/>
    </row>
    <row r="382" spans="1:33" s="2" customFormat="1" ht="20.100000000000001" customHeight="1">
      <c r="A382" s="681"/>
      <c r="B382" s="682"/>
      <c r="C382" s="683" t="s">
        <v>64</v>
      </c>
      <c r="D382" s="683"/>
      <c r="E382" s="683"/>
      <c r="F382" s="220">
        <v>30.84</v>
      </c>
      <c r="G382" s="220">
        <f t="shared" si="41"/>
        <v>30.84</v>
      </c>
      <c r="H382" s="221" t="s">
        <v>29</v>
      </c>
      <c r="I382" s="222">
        <f t="shared" si="48"/>
        <v>11291.058999999997</v>
      </c>
      <c r="J382" s="220">
        <f t="shared" si="49"/>
        <v>10063.941000000003</v>
      </c>
      <c r="K382" s="519"/>
      <c r="L382" s="231"/>
      <c r="M382" s="735"/>
      <c r="N382" s="736"/>
      <c r="O382" s="137"/>
      <c r="P382" s="137"/>
      <c r="Q382" s="29"/>
      <c r="R382" s="103"/>
      <c r="S382" s="103"/>
      <c r="T382" s="103"/>
      <c r="U382" s="103"/>
      <c r="V382" s="103"/>
      <c r="W382" s="103"/>
      <c r="X382" s="103"/>
      <c r="Y382" s="25"/>
      <c r="Z382" s="25"/>
      <c r="AA382" s="25"/>
      <c r="AB382" s="25"/>
      <c r="AC382" s="25"/>
      <c r="AD382" s="25"/>
      <c r="AE382" s="25"/>
      <c r="AF382" s="25"/>
      <c r="AG382" s="25"/>
    </row>
    <row r="383" spans="1:33" ht="20.100000000000001" customHeight="1">
      <c r="A383" s="681"/>
      <c r="B383" s="682"/>
      <c r="C383" s="683" t="s">
        <v>64</v>
      </c>
      <c r="D383" s="683"/>
      <c r="E383" s="683"/>
      <c r="F383" s="220">
        <v>30.92</v>
      </c>
      <c r="G383" s="220">
        <f t="shared" si="41"/>
        <v>30.92</v>
      </c>
      <c r="H383" s="221" t="s">
        <v>29</v>
      </c>
      <c r="I383" s="222">
        <f t="shared" si="48"/>
        <v>11321.978999999998</v>
      </c>
      <c r="J383" s="220">
        <f t="shared" si="49"/>
        <v>10033.021000000002</v>
      </c>
      <c r="K383" s="519"/>
      <c r="L383" s="231"/>
      <c r="M383" s="748"/>
      <c r="N383" s="749"/>
      <c r="O383" s="137"/>
      <c r="P383" s="103"/>
      <c r="Q383" s="29"/>
      <c r="R383" s="29"/>
      <c r="S383" s="29"/>
      <c r="T383" s="29"/>
      <c r="U383" s="29"/>
      <c r="V383" s="29"/>
      <c r="W383" s="29"/>
      <c r="X383" s="29"/>
    </row>
    <row r="384" spans="1:33" ht="20.100000000000001" customHeight="1">
      <c r="A384" s="732" t="s">
        <v>129</v>
      </c>
      <c r="B384" s="733"/>
      <c r="C384" s="734" t="s">
        <v>64</v>
      </c>
      <c r="D384" s="734"/>
      <c r="E384" s="734"/>
      <c r="F384" s="223">
        <v>31.27</v>
      </c>
      <c r="G384" s="223">
        <f t="shared" ref="G384:G436" si="50">F384</f>
        <v>31.27</v>
      </c>
      <c r="H384" s="224" t="s">
        <v>29</v>
      </c>
      <c r="I384" s="225">
        <f t="shared" ref="I384:I386" si="51">IF(H384="IN",I383+G384,I383)</f>
        <v>11353.248999999998</v>
      </c>
      <c r="J384" s="223">
        <f t="shared" ref="J384:J386" si="52">IF(I384="","",$M$10-I384)</f>
        <v>10001.751000000002</v>
      </c>
      <c r="K384" s="518"/>
      <c r="L384" s="232"/>
      <c r="M384" s="735"/>
      <c r="N384" s="736"/>
      <c r="O384" s="136"/>
      <c r="P384" s="29"/>
      <c r="Q384" s="29"/>
      <c r="R384" s="29"/>
      <c r="S384" s="29"/>
      <c r="T384" s="29"/>
      <c r="U384" s="29"/>
      <c r="V384" s="29"/>
      <c r="W384" s="29"/>
      <c r="X384" s="29"/>
    </row>
    <row r="385" spans="1:24" ht="20.100000000000001" customHeight="1">
      <c r="A385" s="732"/>
      <c r="B385" s="733"/>
      <c r="C385" s="734" t="s">
        <v>64</v>
      </c>
      <c r="D385" s="734"/>
      <c r="E385" s="734"/>
      <c r="F385" s="223">
        <v>31</v>
      </c>
      <c r="G385" s="223">
        <f t="shared" si="50"/>
        <v>31</v>
      </c>
      <c r="H385" s="224" t="s">
        <v>29</v>
      </c>
      <c r="I385" s="225">
        <f t="shared" si="51"/>
        <v>11384.248999999998</v>
      </c>
      <c r="J385" s="223">
        <f t="shared" si="52"/>
        <v>9970.751000000002</v>
      </c>
      <c r="K385" s="518"/>
      <c r="L385" s="232"/>
      <c r="M385" s="735"/>
      <c r="N385" s="736"/>
      <c r="O385" s="136"/>
      <c r="P385" s="29"/>
      <c r="Q385" s="29"/>
      <c r="R385" s="29"/>
      <c r="S385" s="29"/>
      <c r="T385" s="29"/>
      <c r="U385" s="29"/>
      <c r="V385" s="29"/>
      <c r="W385" s="29"/>
      <c r="X385" s="29"/>
    </row>
    <row r="386" spans="1:24" ht="20.100000000000001" customHeight="1">
      <c r="A386" s="732"/>
      <c r="B386" s="733"/>
      <c r="C386" s="734" t="s">
        <v>64</v>
      </c>
      <c r="D386" s="734"/>
      <c r="E386" s="734"/>
      <c r="F386" s="223">
        <v>31.05</v>
      </c>
      <c r="G386" s="223">
        <f t="shared" si="50"/>
        <v>31.05</v>
      </c>
      <c r="H386" s="224" t="s">
        <v>29</v>
      </c>
      <c r="I386" s="225">
        <f t="shared" si="51"/>
        <v>11415.298999999997</v>
      </c>
      <c r="J386" s="223">
        <f t="shared" si="52"/>
        <v>9939.7010000000028</v>
      </c>
      <c r="K386" s="518"/>
      <c r="L386" s="232"/>
      <c r="M386" s="746"/>
      <c r="N386" s="747"/>
      <c r="O386" s="29"/>
      <c r="P386" s="29"/>
      <c r="Q386" s="29"/>
      <c r="R386" s="29"/>
      <c r="S386" s="29"/>
      <c r="T386" s="29"/>
      <c r="U386" s="29"/>
      <c r="V386" s="29"/>
      <c r="W386" s="29"/>
      <c r="X386" s="29"/>
    </row>
    <row r="387" spans="1:24" ht="20.100000000000001" customHeight="1">
      <c r="A387" s="681" t="s">
        <v>130</v>
      </c>
      <c r="B387" s="682"/>
      <c r="C387" s="683" t="s">
        <v>64</v>
      </c>
      <c r="D387" s="683"/>
      <c r="E387" s="683"/>
      <c r="F387" s="220">
        <v>31.05</v>
      </c>
      <c r="G387" s="220">
        <f t="shared" si="50"/>
        <v>31.05</v>
      </c>
      <c r="H387" s="221" t="s">
        <v>29</v>
      </c>
      <c r="I387" s="222">
        <f t="shared" ref="I387:I432" si="53">IF(H387="IN",I386+G387,I386)</f>
        <v>11446.348999999997</v>
      </c>
      <c r="J387" s="220">
        <f t="shared" ref="J387:J408" si="54">IF(I387="","",$M$10-I387)</f>
        <v>9908.6510000000035</v>
      </c>
      <c r="K387" s="519"/>
      <c r="L387" s="231"/>
      <c r="M387" s="750"/>
      <c r="N387" s="751"/>
      <c r="O387" s="29"/>
      <c r="P387" s="29"/>
      <c r="Q387" s="29"/>
      <c r="R387" s="29"/>
      <c r="S387" s="29"/>
      <c r="T387" s="29"/>
      <c r="U387" s="29"/>
      <c r="V387" s="29"/>
      <c r="W387" s="29"/>
      <c r="X387" s="29"/>
    </row>
    <row r="388" spans="1:24" ht="20.100000000000001" customHeight="1">
      <c r="A388" s="681"/>
      <c r="B388" s="682"/>
      <c r="C388" s="683" t="s">
        <v>64</v>
      </c>
      <c r="D388" s="683"/>
      <c r="E388" s="683"/>
      <c r="F388" s="220">
        <v>30.9</v>
      </c>
      <c r="G388" s="220">
        <f t="shared" si="50"/>
        <v>30.9</v>
      </c>
      <c r="H388" s="221" t="s">
        <v>29</v>
      </c>
      <c r="I388" s="222">
        <f t="shared" si="53"/>
        <v>11477.248999999996</v>
      </c>
      <c r="J388" s="220">
        <f t="shared" si="54"/>
        <v>9877.7510000000038</v>
      </c>
      <c r="K388" s="519"/>
      <c r="L388" s="231"/>
      <c r="M388" s="750"/>
      <c r="N388" s="751"/>
      <c r="O388" s="29"/>
      <c r="P388" s="29"/>
      <c r="Q388" s="29"/>
      <c r="R388" s="29"/>
      <c r="S388" s="29"/>
      <c r="T388" s="29"/>
      <c r="U388" s="29"/>
      <c r="V388" s="29"/>
      <c r="W388" s="29"/>
      <c r="X388" s="29"/>
    </row>
    <row r="389" spans="1:24" ht="20.100000000000001" customHeight="1">
      <c r="A389" s="681"/>
      <c r="B389" s="682"/>
      <c r="C389" s="683" t="s">
        <v>64</v>
      </c>
      <c r="D389" s="683"/>
      <c r="E389" s="683"/>
      <c r="F389" s="220">
        <v>31.09</v>
      </c>
      <c r="G389" s="220">
        <f t="shared" si="50"/>
        <v>31.09</v>
      </c>
      <c r="H389" s="221" t="s">
        <v>29</v>
      </c>
      <c r="I389" s="222">
        <f t="shared" si="53"/>
        <v>11508.338999999996</v>
      </c>
      <c r="J389" s="220">
        <f t="shared" si="54"/>
        <v>9846.6610000000037</v>
      </c>
      <c r="K389" s="519"/>
      <c r="L389" s="231"/>
      <c r="M389" s="750"/>
      <c r="N389" s="751"/>
      <c r="O389" s="29"/>
      <c r="P389" s="29"/>
      <c r="Q389" s="29"/>
      <c r="R389" s="29"/>
      <c r="S389" s="29"/>
      <c r="T389" s="29"/>
      <c r="U389" s="29"/>
      <c r="V389" s="29"/>
      <c r="W389" s="29"/>
      <c r="X389" s="29"/>
    </row>
    <row r="390" spans="1:24" ht="20.100000000000001" customHeight="1">
      <c r="A390" s="732" t="s">
        <v>131</v>
      </c>
      <c r="B390" s="733"/>
      <c r="C390" s="734" t="s">
        <v>64</v>
      </c>
      <c r="D390" s="734"/>
      <c r="E390" s="734"/>
      <c r="F390" s="223">
        <v>30.57</v>
      </c>
      <c r="G390" s="223">
        <f t="shared" si="50"/>
        <v>30.57</v>
      </c>
      <c r="H390" s="224" t="s">
        <v>29</v>
      </c>
      <c r="I390" s="225">
        <f t="shared" si="53"/>
        <v>11538.908999999996</v>
      </c>
      <c r="J390" s="223">
        <f t="shared" si="54"/>
        <v>9816.091000000004</v>
      </c>
      <c r="K390" s="518"/>
      <c r="L390" s="233"/>
      <c r="M390" s="750"/>
      <c r="N390" s="751"/>
      <c r="O390" s="29"/>
      <c r="P390" s="29"/>
      <c r="Q390" s="29"/>
      <c r="R390" s="29"/>
      <c r="S390" s="29"/>
      <c r="T390" s="29"/>
      <c r="U390" s="29"/>
      <c r="V390" s="29"/>
      <c r="W390" s="29"/>
      <c r="X390" s="29"/>
    </row>
    <row r="391" spans="1:24" ht="20.100000000000001" customHeight="1">
      <c r="A391" s="732"/>
      <c r="B391" s="733"/>
      <c r="C391" s="734" t="s">
        <v>64</v>
      </c>
      <c r="D391" s="734"/>
      <c r="E391" s="734"/>
      <c r="F391" s="223">
        <v>31.14</v>
      </c>
      <c r="G391" s="223">
        <f t="shared" si="50"/>
        <v>31.14</v>
      </c>
      <c r="H391" s="224" t="s">
        <v>29</v>
      </c>
      <c r="I391" s="225">
        <f t="shared" si="53"/>
        <v>11570.048999999995</v>
      </c>
      <c r="J391" s="223">
        <f t="shared" si="54"/>
        <v>9784.9510000000046</v>
      </c>
      <c r="K391" s="518"/>
      <c r="L391" s="233"/>
      <c r="M391" s="750"/>
      <c r="N391" s="751"/>
      <c r="O391" s="29"/>
      <c r="P391" s="29"/>
      <c r="Q391" s="29"/>
      <c r="R391" s="29"/>
      <c r="S391" s="29"/>
      <c r="T391" s="29"/>
      <c r="U391" s="29"/>
      <c r="V391" s="29"/>
      <c r="W391" s="29"/>
      <c r="X391" s="29"/>
    </row>
    <row r="392" spans="1:24" ht="20.100000000000001" customHeight="1">
      <c r="A392" s="732"/>
      <c r="B392" s="733"/>
      <c r="C392" s="734" t="s">
        <v>64</v>
      </c>
      <c r="D392" s="734"/>
      <c r="E392" s="734"/>
      <c r="F392" s="223">
        <v>30.87</v>
      </c>
      <c r="G392" s="223">
        <f t="shared" si="50"/>
        <v>30.87</v>
      </c>
      <c r="H392" s="224" t="s">
        <v>29</v>
      </c>
      <c r="I392" s="225">
        <f t="shared" si="53"/>
        <v>11600.918999999996</v>
      </c>
      <c r="J392" s="223">
        <f t="shared" si="54"/>
        <v>9754.0810000000038</v>
      </c>
      <c r="K392" s="518"/>
      <c r="L392" s="233"/>
      <c r="M392" s="750"/>
      <c r="N392" s="751"/>
      <c r="O392" s="29"/>
      <c r="P392" s="29"/>
      <c r="Q392" s="29"/>
      <c r="R392" s="29"/>
      <c r="S392" s="29"/>
      <c r="T392" s="29"/>
      <c r="U392" s="29"/>
      <c r="V392" s="29"/>
      <c r="W392" s="29"/>
      <c r="X392" s="29"/>
    </row>
    <row r="393" spans="1:24" ht="20.100000000000001" customHeight="1">
      <c r="A393" s="681" t="s">
        <v>132</v>
      </c>
      <c r="B393" s="682"/>
      <c r="C393" s="683" t="s">
        <v>64</v>
      </c>
      <c r="D393" s="683"/>
      <c r="E393" s="683"/>
      <c r="F393" s="220">
        <v>30.85</v>
      </c>
      <c r="G393" s="220">
        <f t="shared" si="50"/>
        <v>30.85</v>
      </c>
      <c r="H393" s="221" t="s">
        <v>29</v>
      </c>
      <c r="I393" s="222">
        <f t="shared" si="53"/>
        <v>11631.768999999997</v>
      </c>
      <c r="J393" s="220">
        <f t="shared" si="54"/>
        <v>9723.2310000000034</v>
      </c>
      <c r="K393" s="519"/>
      <c r="L393" s="231"/>
      <c r="M393" s="750"/>
      <c r="N393" s="751"/>
      <c r="O393" s="29"/>
      <c r="P393" s="29"/>
      <c r="Q393" s="29"/>
      <c r="R393" s="29"/>
      <c r="S393" s="29"/>
      <c r="T393" s="29"/>
      <c r="U393" s="29"/>
      <c r="V393" s="29"/>
      <c r="W393" s="29"/>
      <c r="X393" s="29"/>
    </row>
    <row r="394" spans="1:24" ht="20.100000000000001" customHeight="1">
      <c r="A394" s="681"/>
      <c r="B394" s="682"/>
      <c r="C394" s="683" t="s">
        <v>64</v>
      </c>
      <c r="D394" s="683"/>
      <c r="E394" s="683"/>
      <c r="F394" s="220">
        <v>31.15</v>
      </c>
      <c r="G394" s="220">
        <f t="shared" si="50"/>
        <v>31.15</v>
      </c>
      <c r="H394" s="221" t="s">
        <v>29</v>
      </c>
      <c r="I394" s="222">
        <f t="shared" si="53"/>
        <v>11662.918999999996</v>
      </c>
      <c r="J394" s="220">
        <f t="shared" si="54"/>
        <v>9692.0810000000038</v>
      </c>
      <c r="K394" s="519"/>
      <c r="L394" s="231"/>
      <c r="M394" s="750"/>
      <c r="N394" s="751"/>
      <c r="O394" s="29"/>
      <c r="P394" s="29"/>
      <c r="Q394" s="29"/>
      <c r="R394" s="29"/>
      <c r="S394" s="29"/>
      <c r="T394" s="29"/>
      <c r="U394" s="29"/>
      <c r="V394" s="29"/>
      <c r="W394" s="29"/>
      <c r="X394" s="29"/>
    </row>
    <row r="395" spans="1:24" ht="20.100000000000001" customHeight="1">
      <c r="A395" s="681"/>
      <c r="B395" s="682"/>
      <c r="C395" s="683" t="s">
        <v>64</v>
      </c>
      <c r="D395" s="683"/>
      <c r="E395" s="683"/>
      <c r="F395" s="220">
        <v>30.9</v>
      </c>
      <c r="G395" s="220">
        <f t="shared" si="50"/>
        <v>30.9</v>
      </c>
      <c r="H395" s="221" t="s">
        <v>29</v>
      </c>
      <c r="I395" s="222">
        <f t="shared" si="53"/>
        <v>11693.818999999996</v>
      </c>
      <c r="J395" s="220">
        <f t="shared" si="54"/>
        <v>9661.1810000000041</v>
      </c>
      <c r="K395" s="519"/>
      <c r="L395" s="231"/>
      <c r="M395" s="750"/>
      <c r="N395" s="751"/>
      <c r="O395" s="29"/>
      <c r="P395" s="29"/>
      <c r="Q395" s="29"/>
      <c r="R395" s="29"/>
      <c r="S395" s="29"/>
      <c r="T395" s="29"/>
      <c r="U395" s="29"/>
      <c r="V395" s="29"/>
      <c r="W395" s="29"/>
      <c r="X395" s="29"/>
    </row>
    <row r="396" spans="1:24" ht="20.100000000000001" customHeight="1">
      <c r="A396" s="732" t="s">
        <v>133</v>
      </c>
      <c r="B396" s="733"/>
      <c r="C396" s="734" t="s">
        <v>64</v>
      </c>
      <c r="D396" s="734"/>
      <c r="E396" s="734"/>
      <c r="F396" s="223">
        <v>31.15</v>
      </c>
      <c r="G396" s="223">
        <f t="shared" si="50"/>
        <v>31.15</v>
      </c>
      <c r="H396" s="224" t="s">
        <v>29</v>
      </c>
      <c r="I396" s="225">
        <f t="shared" si="53"/>
        <v>11724.968999999996</v>
      </c>
      <c r="J396" s="223">
        <f t="shared" si="54"/>
        <v>9630.0310000000045</v>
      </c>
      <c r="K396" s="518"/>
      <c r="L396" s="233"/>
      <c r="M396" s="750"/>
      <c r="N396" s="751"/>
      <c r="O396" s="29"/>
      <c r="P396" s="29"/>
      <c r="Q396" s="29"/>
      <c r="R396" s="29"/>
      <c r="S396" s="29"/>
      <c r="T396" s="29"/>
      <c r="U396" s="29"/>
      <c r="V396" s="29"/>
      <c r="W396" s="29"/>
      <c r="X396" s="29"/>
    </row>
    <row r="397" spans="1:24" ht="20.100000000000001" customHeight="1">
      <c r="A397" s="732"/>
      <c r="B397" s="733"/>
      <c r="C397" s="734" t="s">
        <v>64</v>
      </c>
      <c r="D397" s="734"/>
      <c r="E397" s="734"/>
      <c r="F397" s="223">
        <v>31.08</v>
      </c>
      <c r="G397" s="223">
        <f t="shared" si="50"/>
        <v>31.08</v>
      </c>
      <c r="H397" s="224" t="s">
        <v>29</v>
      </c>
      <c r="I397" s="225">
        <f t="shared" si="53"/>
        <v>11756.048999999995</v>
      </c>
      <c r="J397" s="223">
        <f t="shared" si="54"/>
        <v>9598.9510000000046</v>
      </c>
      <c r="K397" s="518"/>
      <c r="L397" s="233"/>
      <c r="M397" s="750"/>
      <c r="N397" s="751"/>
      <c r="O397" s="29"/>
      <c r="P397" s="29"/>
      <c r="Q397" s="29"/>
      <c r="R397" s="29"/>
      <c r="S397" s="29"/>
      <c r="T397" s="29"/>
      <c r="U397" s="29"/>
      <c r="V397" s="29"/>
      <c r="W397" s="29"/>
      <c r="X397" s="29"/>
    </row>
    <row r="398" spans="1:24" ht="20.100000000000001" customHeight="1">
      <c r="A398" s="732"/>
      <c r="B398" s="733"/>
      <c r="C398" s="734" t="s">
        <v>64</v>
      </c>
      <c r="D398" s="734"/>
      <c r="E398" s="734"/>
      <c r="F398" s="223">
        <v>30.88</v>
      </c>
      <c r="G398" s="223">
        <f t="shared" si="50"/>
        <v>30.88</v>
      </c>
      <c r="H398" s="224" t="s">
        <v>29</v>
      </c>
      <c r="I398" s="225">
        <f t="shared" si="53"/>
        <v>11786.928999999995</v>
      </c>
      <c r="J398" s="223">
        <f t="shared" si="54"/>
        <v>9568.0710000000054</v>
      </c>
      <c r="K398" s="518"/>
      <c r="L398" s="233"/>
      <c r="M398" s="750"/>
      <c r="N398" s="751"/>
      <c r="O398" s="29"/>
      <c r="P398" s="29"/>
      <c r="Q398" s="29"/>
      <c r="R398" s="29"/>
      <c r="S398" s="29"/>
      <c r="T398" s="29"/>
      <c r="U398" s="29"/>
      <c r="V398" s="29"/>
      <c r="W398" s="29"/>
      <c r="X398" s="29"/>
    </row>
    <row r="399" spans="1:24" ht="20.100000000000001" customHeight="1">
      <c r="A399" s="681" t="s">
        <v>134</v>
      </c>
      <c r="B399" s="682"/>
      <c r="C399" s="683" t="s">
        <v>64</v>
      </c>
      <c r="D399" s="683"/>
      <c r="E399" s="683"/>
      <c r="F399" s="220">
        <v>31.13</v>
      </c>
      <c r="G399" s="220">
        <f t="shared" si="50"/>
        <v>31.13</v>
      </c>
      <c r="H399" s="221" t="s">
        <v>29</v>
      </c>
      <c r="I399" s="222">
        <f t="shared" si="53"/>
        <v>11818.058999999994</v>
      </c>
      <c r="J399" s="220">
        <f t="shared" si="54"/>
        <v>9536.9410000000062</v>
      </c>
      <c r="K399" s="519"/>
      <c r="L399" s="231"/>
      <c r="M399" s="752" t="s">
        <v>344</v>
      </c>
      <c r="N399" s="753"/>
      <c r="O399" s="29"/>
      <c r="P399" s="29"/>
      <c r="Q399" s="29"/>
      <c r="R399" s="29"/>
      <c r="S399" s="29"/>
      <c r="T399" s="29"/>
      <c r="U399" s="29"/>
      <c r="V399" s="29"/>
      <c r="W399" s="29"/>
      <c r="X399" s="29"/>
    </row>
    <row r="400" spans="1:24" ht="20.100000000000001" customHeight="1">
      <c r="A400" s="681"/>
      <c r="B400" s="682"/>
      <c r="C400" s="683" t="s">
        <v>64</v>
      </c>
      <c r="D400" s="683"/>
      <c r="E400" s="683"/>
      <c r="F400" s="220">
        <v>30.95</v>
      </c>
      <c r="G400" s="220">
        <f t="shared" si="50"/>
        <v>30.95</v>
      </c>
      <c r="H400" s="221" t="s">
        <v>29</v>
      </c>
      <c r="I400" s="222">
        <f t="shared" si="53"/>
        <v>11849.008999999995</v>
      </c>
      <c r="J400" s="220">
        <f t="shared" si="54"/>
        <v>9505.9910000000054</v>
      </c>
      <c r="K400" s="519"/>
      <c r="L400" s="231"/>
      <c r="M400" s="754"/>
      <c r="N400" s="755"/>
      <c r="O400" s="29"/>
      <c r="P400" s="29"/>
      <c r="Q400" s="29"/>
      <c r="R400" s="29"/>
      <c r="S400" s="29"/>
      <c r="T400" s="29"/>
      <c r="U400" s="29"/>
      <c r="V400" s="29"/>
      <c r="W400" s="29"/>
      <c r="X400" s="29"/>
    </row>
    <row r="401" spans="1:24" ht="20.100000000000001" customHeight="1">
      <c r="A401" s="681"/>
      <c r="B401" s="682"/>
      <c r="C401" s="683" t="s">
        <v>64</v>
      </c>
      <c r="D401" s="683"/>
      <c r="E401" s="683"/>
      <c r="F401" s="220">
        <v>30.93</v>
      </c>
      <c r="G401" s="220">
        <f t="shared" si="50"/>
        <v>30.93</v>
      </c>
      <c r="H401" s="221" t="s">
        <v>29</v>
      </c>
      <c r="I401" s="222">
        <f t="shared" si="53"/>
        <v>11879.938999999995</v>
      </c>
      <c r="J401" s="220">
        <f t="shared" si="54"/>
        <v>9475.0610000000052</v>
      </c>
      <c r="K401" s="519"/>
      <c r="L401" s="231"/>
      <c r="M401" s="756"/>
      <c r="N401" s="757"/>
      <c r="O401" s="29"/>
      <c r="P401" s="29"/>
      <c r="Q401" s="29"/>
      <c r="R401" s="29"/>
      <c r="S401" s="29"/>
      <c r="T401" s="29"/>
      <c r="U401" s="29"/>
      <c r="V401" s="29"/>
      <c r="W401" s="29"/>
      <c r="X401" s="29"/>
    </row>
    <row r="402" spans="1:24" ht="20.100000000000001" customHeight="1">
      <c r="A402" s="732" t="s">
        <v>135</v>
      </c>
      <c r="B402" s="733"/>
      <c r="C402" s="734" t="s">
        <v>64</v>
      </c>
      <c r="D402" s="734"/>
      <c r="E402" s="734"/>
      <c r="F402" s="223">
        <v>30.7</v>
      </c>
      <c r="G402" s="223">
        <f t="shared" si="50"/>
        <v>30.7</v>
      </c>
      <c r="H402" s="224" t="s">
        <v>29</v>
      </c>
      <c r="I402" s="225">
        <f t="shared" si="53"/>
        <v>11910.638999999996</v>
      </c>
      <c r="J402" s="223">
        <f t="shared" si="54"/>
        <v>9444.3610000000044</v>
      </c>
      <c r="K402" s="518"/>
      <c r="L402" s="233"/>
      <c r="M402" s="758"/>
      <c r="N402" s="759"/>
      <c r="O402" s="29"/>
      <c r="P402" s="29"/>
      <c r="Q402" s="29"/>
      <c r="R402" s="29"/>
      <c r="S402" s="29"/>
      <c r="T402" s="29"/>
      <c r="U402" s="29"/>
      <c r="V402" s="29"/>
      <c r="W402" s="29"/>
      <c r="X402" s="29"/>
    </row>
    <row r="403" spans="1:24" ht="20.100000000000001" customHeight="1">
      <c r="A403" s="732"/>
      <c r="B403" s="733"/>
      <c r="C403" s="734" t="s">
        <v>64</v>
      </c>
      <c r="D403" s="734"/>
      <c r="E403" s="734"/>
      <c r="F403" s="223">
        <v>30.85</v>
      </c>
      <c r="G403" s="223">
        <f t="shared" si="50"/>
        <v>30.85</v>
      </c>
      <c r="H403" s="224" t="s">
        <v>29</v>
      </c>
      <c r="I403" s="225">
        <f t="shared" si="53"/>
        <v>11941.488999999996</v>
      </c>
      <c r="J403" s="223">
        <f t="shared" si="54"/>
        <v>9413.5110000000041</v>
      </c>
      <c r="K403" s="518"/>
      <c r="L403" s="233"/>
      <c r="M403" s="750"/>
      <c r="N403" s="751"/>
      <c r="O403" s="29"/>
      <c r="P403" s="29"/>
      <c r="Q403" s="29"/>
      <c r="R403" s="29"/>
      <c r="S403" s="29"/>
      <c r="T403" s="29"/>
      <c r="U403" s="29"/>
      <c r="V403" s="29"/>
      <c r="W403" s="29"/>
      <c r="X403" s="29"/>
    </row>
    <row r="404" spans="1:24" ht="20.100000000000001" customHeight="1">
      <c r="A404" s="732"/>
      <c r="B404" s="733"/>
      <c r="C404" s="734" t="s">
        <v>64</v>
      </c>
      <c r="D404" s="734"/>
      <c r="E404" s="734"/>
      <c r="F404" s="223">
        <v>30.9</v>
      </c>
      <c r="G404" s="223">
        <f t="shared" si="50"/>
        <v>30.9</v>
      </c>
      <c r="H404" s="224" t="s">
        <v>29</v>
      </c>
      <c r="I404" s="225">
        <f t="shared" si="53"/>
        <v>11972.388999999996</v>
      </c>
      <c r="J404" s="223">
        <f t="shared" si="54"/>
        <v>9382.6110000000044</v>
      </c>
      <c r="K404" s="518"/>
      <c r="L404" s="233"/>
      <c r="M404" s="750"/>
      <c r="N404" s="751"/>
      <c r="O404" s="29"/>
      <c r="P404" s="29"/>
      <c r="Q404" s="29"/>
      <c r="R404" s="29"/>
      <c r="S404" s="29"/>
      <c r="T404" s="29"/>
      <c r="U404" s="29"/>
      <c r="V404" s="29"/>
      <c r="W404" s="29"/>
      <c r="X404" s="29"/>
    </row>
    <row r="405" spans="1:24" ht="20.100000000000001" customHeight="1">
      <c r="A405" s="681" t="s">
        <v>136</v>
      </c>
      <c r="B405" s="682"/>
      <c r="C405" s="683" t="s">
        <v>64</v>
      </c>
      <c r="D405" s="683"/>
      <c r="E405" s="683"/>
      <c r="F405" s="220">
        <v>30.98</v>
      </c>
      <c r="G405" s="220">
        <f t="shared" si="50"/>
        <v>30.98</v>
      </c>
      <c r="H405" s="221" t="s">
        <v>29</v>
      </c>
      <c r="I405" s="222">
        <f t="shared" si="53"/>
        <v>12003.368999999995</v>
      </c>
      <c r="J405" s="220">
        <f t="shared" si="54"/>
        <v>9351.6310000000049</v>
      </c>
      <c r="K405" s="519"/>
      <c r="L405" s="231"/>
      <c r="M405" s="750"/>
      <c r="N405" s="751"/>
      <c r="O405" s="29"/>
      <c r="P405" s="29"/>
      <c r="Q405" s="29"/>
      <c r="R405" s="29"/>
      <c r="S405" s="29"/>
      <c r="T405" s="29"/>
      <c r="U405" s="29"/>
      <c r="V405" s="29"/>
      <c r="W405" s="29"/>
      <c r="X405" s="29"/>
    </row>
    <row r="406" spans="1:24" ht="20.100000000000001" customHeight="1">
      <c r="A406" s="681"/>
      <c r="B406" s="682"/>
      <c r="C406" s="683" t="s">
        <v>64</v>
      </c>
      <c r="D406" s="683"/>
      <c r="E406" s="683"/>
      <c r="F406" s="220">
        <v>30.76</v>
      </c>
      <c r="G406" s="220">
        <f t="shared" si="50"/>
        <v>30.76</v>
      </c>
      <c r="H406" s="221" t="s">
        <v>29</v>
      </c>
      <c r="I406" s="222">
        <f t="shared" si="53"/>
        <v>12034.128999999995</v>
      </c>
      <c r="J406" s="220">
        <f t="shared" si="54"/>
        <v>9320.8710000000046</v>
      </c>
      <c r="K406" s="519"/>
      <c r="L406" s="231"/>
      <c r="M406" s="750"/>
      <c r="N406" s="751"/>
      <c r="O406" s="29"/>
      <c r="P406" s="29"/>
      <c r="Q406" s="29"/>
      <c r="R406" s="29"/>
      <c r="S406" s="29"/>
      <c r="T406" s="29"/>
      <c r="U406" s="29"/>
      <c r="V406" s="29"/>
      <c r="W406" s="29"/>
      <c r="X406" s="29"/>
    </row>
    <row r="407" spans="1:24" ht="20.100000000000001" customHeight="1">
      <c r="A407" s="681"/>
      <c r="B407" s="682"/>
      <c r="C407" s="683" t="s">
        <v>64</v>
      </c>
      <c r="D407" s="683"/>
      <c r="E407" s="683"/>
      <c r="F407" s="220">
        <v>31.23</v>
      </c>
      <c r="G407" s="220">
        <f t="shared" si="50"/>
        <v>31.23</v>
      </c>
      <c r="H407" s="221" t="s">
        <v>29</v>
      </c>
      <c r="I407" s="222">
        <f t="shared" si="53"/>
        <v>12065.358999999995</v>
      </c>
      <c r="J407" s="220">
        <f t="shared" si="54"/>
        <v>9289.6410000000051</v>
      </c>
      <c r="K407" s="519"/>
      <c r="L407" s="231"/>
      <c r="M407" s="750"/>
      <c r="N407" s="751"/>
      <c r="O407" s="29"/>
      <c r="P407" s="29"/>
      <c r="Q407" s="29"/>
      <c r="R407" s="29"/>
      <c r="S407" s="29"/>
      <c r="T407" s="29"/>
      <c r="U407" s="29"/>
      <c r="V407" s="29"/>
      <c r="W407" s="29"/>
      <c r="X407" s="29"/>
    </row>
    <row r="408" spans="1:24" ht="20.100000000000001" customHeight="1">
      <c r="A408" s="732" t="s">
        <v>137</v>
      </c>
      <c r="B408" s="733"/>
      <c r="C408" s="734" t="s">
        <v>64</v>
      </c>
      <c r="D408" s="734"/>
      <c r="E408" s="734"/>
      <c r="F408" s="223">
        <v>30.89</v>
      </c>
      <c r="G408" s="223">
        <f t="shared" si="50"/>
        <v>30.89</v>
      </c>
      <c r="H408" s="224" t="s">
        <v>29</v>
      </c>
      <c r="I408" s="225">
        <f t="shared" si="53"/>
        <v>12096.248999999994</v>
      </c>
      <c r="J408" s="223">
        <f t="shared" si="54"/>
        <v>9258.7510000000057</v>
      </c>
      <c r="K408" s="518"/>
      <c r="L408" s="233"/>
      <c r="M408" s="750"/>
      <c r="N408" s="751"/>
      <c r="O408" s="29"/>
      <c r="P408" s="29"/>
      <c r="Q408" s="29"/>
      <c r="R408" s="29"/>
      <c r="S408" s="29"/>
      <c r="T408" s="29"/>
      <c r="U408" s="29"/>
      <c r="V408" s="29"/>
      <c r="W408" s="29"/>
      <c r="X408" s="29"/>
    </row>
    <row r="409" spans="1:24" ht="20.100000000000001" customHeight="1">
      <c r="A409" s="732"/>
      <c r="B409" s="733"/>
      <c r="C409" s="734" t="s">
        <v>64</v>
      </c>
      <c r="D409" s="734"/>
      <c r="E409" s="734"/>
      <c r="F409" s="223">
        <v>31.15</v>
      </c>
      <c r="G409" s="223">
        <f t="shared" si="50"/>
        <v>31.15</v>
      </c>
      <c r="H409" s="224" t="s">
        <v>29</v>
      </c>
      <c r="I409" s="225">
        <f t="shared" si="53"/>
        <v>12127.398999999994</v>
      </c>
      <c r="J409" s="223">
        <f t="shared" ref="J409:J440" si="55">IF(I409="","",$M$10-I409)</f>
        <v>9227.601000000006</v>
      </c>
      <c r="K409" s="518"/>
      <c r="L409" s="233"/>
      <c r="M409" s="750"/>
      <c r="N409" s="751"/>
      <c r="O409" s="29"/>
      <c r="P409" s="29"/>
      <c r="Q409" s="29"/>
      <c r="R409" s="29"/>
      <c r="S409" s="29"/>
      <c r="T409" s="29"/>
      <c r="U409" s="29"/>
      <c r="V409" s="29"/>
      <c r="W409" s="29"/>
      <c r="X409" s="29"/>
    </row>
    <row r="410" spans="1:24" ht="20.100000000000001" customHeight="1">
      <c r="A410" s="732"/>
      <c r="B410" s="733"/>
      <c r="C410" s="734" t="s">
        <v>64</v>
      </c>
      <c r="D410" s="734"/>
      <c r="E410" s="734"/>
      <c r="F410" s="223">
        <v>30.9</v>
      </c>
      <c r="G410" s="223">
        <f t="shared" si="50"/>
        <v>30.9</v>
      </c>
      <c r="H410" s="224" t="s">
        <v>29</v>
      </c>
      <c r="I410" s="225">
        <f t="shared" si="53"/>
        <v>12158.298999999994</v>
      </c>
      <c r="J410" s="223">
        <f t="shared" si="55"/>
        <v>9196.7010000000064</v>
      </c>
      <c r="K410" s="518"/>
      <c r="L410" s="233"/>
      <c r="M410" s="750"/>
      <c r="N410" s="751"/>
      <c r="O410" s="29"/>
      <c r="P410" s="29"/>
      <c r="Q410" s="29"/>
      <c r="R410" s="29"/>
      <c r="S410" s="29"/>
      <c r="T410" s="29"/>
      <c r="U410" s="29"/>
      <c r="V410" s="29"/>
      <c r="W410" s="29"/>
      <c r="X410" s="29"/>
    </row>
    <row r="411" spans="1:24" ht="20.100000000000001" customHeight="1">
      <c r="A411" s="681" t="s">
        <v>138</v>
      </c>
      <c r="B411" s="682"/>
      <c r="C411" s="683" t="s">
        <v>64</v>
      </c>
      <c r="D411" s="683"/>
      <c r="E411" s="683"/>
      <c r="F411" s="220">
        <v>30.94</v>
      </c>
      <c r="G411" s="220">
        <f t="shared" si="50"/>
        <v>30.94</v>
      </c>
      <c r="H411" s="221" t="s">
        <v>29</v>
      </c>
      <c r="I411" s="222">
        <f t="shared" si="53"/>
        <v>12189.238999999994</v>
      </c>
      <c r="J411" s="220">
        <f t="shared" si="55"/>
        <v>9165.7610000000059</v>
      </c>
      <c r="K411" s="519"/>
      <c r="L411" s="231"/>
      <c r="M411" s="750"/>
      <c r="N411" s="751"/>
      <c r="O411" s="29"/>
      <c r="P411" s="29"/>
      <c r="Q411" s="29"/>
      <c r="R411" s="29"/>
      <c r="S411" s="29"/>
      <c r="T411" s="29"/>
      <c r="U411" s="29"/>
      <c r="V411" s="29"/>
      <c r="W411" s="29"/>
      <c r="X411" s="29"/>
    </row>
    <row r="412" spans="1:24" ht="20.100000000000001" customHeight="1">
      <c r="A412" s="681"/>
      <c r="B412" s="682"/>
      <c r="C412" s="683" t="s">
        <v>64</v>
      </c>
      <c r="D412" s="683"/>
      <c r="E412" s="683"/>
      <c r="F412" s="220">
        <v>31</v>
      </c>
      <c r="G412" s="220">
        <f t="shared" si="50"/>
        <v>31</v>
      </c>
      <c r="H412" s="221" t="s">
        <v>29</v>
      </c>
      <c r="I412" s="222">
        <f t="shared" si="53"/>
        <v>12220.238999999994</v>
      </c>
      <c r="J412" s="220">
        <f t="shared" si="55"/>
        <v>9134.7610000000059</v>
      </c>
      <c r="K412" s="519"/>
      <c r="L412" s="231"/>
      <c r="M412" s="750"/>
      <c r="N412" s="751"/>
      <c r="O412" s="29"/>
      <c r="P412" s="29"/>
      <c r="Q412" s="29"/>
      <c r="R412" s="29"/>
      <c r="S412" s="29"/>
      <c r="T412" s="29"/>
      <c r="U412" s="29"/>
      <c r="V412" s="29"/>
      <c r="W412" s="29"/>
      <c r="X412" s="29"/>
    </row>
    <row r="413" spans="1:24" ht="20.100000000000001" customHeight="1">
      <c r="A413" s="681"/>
      <c r="B413" s="682"/>
      <c r="C413" s="683" t="s">
        <v>64</v>
      </c>
      <c r="D413" s="683"/>
      <c r="E413" s="683"/>
      <c r="F413" s="220">
        <v>30.84</v>
      </c>
      <c r="G413" s="220">
        <f t="shared" si="50"/>
        <v>30.84</v>
      </c>
      <c r="H413" s="221" t="s">
        <v>29</v>
      </c>
      <c r="I413" s="222">
        <f t="shared" si="53"/>
        <v>12251.078999999994</v>
      </c>
      <c r="J413" s="220">
        <f t="shared" si="55"/>
        <v>9103.9210000000057</v>
      </c>
      <c r="K413" s="519"/>
      <c r="L413" s="231"/>
      <c r="M413" s="750"/>
      <c r="N413" s="751"/>
      <c r="O413" s="29"/>
      <c r="P413" s="29"/>
      <c r="Q413" s="29"/>
      <c r="R413" s="29"/>
      <c r="S413" s="29"/>
      <c r="T413" s="29"/>
      <c r="U413" s="29"/>
      <c r="V413" s="29"/>
      <c r="W413" s="29"/>
      <c r="X413" s="29"/>
    </row>
    <row r="414" spans="1:24" ht="20.100000000000001" customHeight="1">
      <c r="A414" s="732" t="s">
        <v>139</v>
      </c>
      <c r="B414" s="733"/>
      <c r="C414" s="734" t="s">
        <v>64</v>
      </c>
      <c r="D414" s="734"/>
      <c r="E414" s="734"/>
      <c r="F414" s="223">
        <v>31.09</v>
      </c>
      <c r="G414" s="223">
        <f t="shared" si="50"/>
        <v>31.09</v>
      </c>
      <c r="H414" s="224" t="s">
        <v>29</v>
      </c>
      <c r="I414" s="225">
        <f t="shared" si="53"/>
        <v>12282.168999999994</v>
      </c>
      <c r="J414" s="223">
        <f t="shared" si="55"/>
        <v>9072.8310000000056</v>
      </c>
      <c r="K414" s="518"/>
      <c r="L414" s="233"/>
      <c r="M414" s="750"/>
      <c r="N414" s="751"/>
      <c r="O414" s="29"/>
      <c r="P414" s="29"/>
      <c r="Q414" s="29"/>
      <c r="R414" s="29"/>
      <c r="S414" s="29"/>
      <c r="T414" s="29"/>
      <c r="U414" s="29"/>
      <c r="V414" s="29"/>
      <c r="W414" s="29"/>
      <c r="X414" s="29"/>
    </row>
    <row r="415" spans="1:24" ht="20.100000000000001" customHeight="1">
      <c r="A415" s="732"/>
      <c r="B415" s="733"/>
      <c r="C415" s="734" t="s">
        <v>64</v>
      </c>
      <c r="D415" s="734"/>
      <c r="E415" s="734"/>
      <c r="F415" s="223">
        <v>31.04</v>
      </c>
      <c r="G415" s="223">
        <f t="shared" si="50"/>
        <v>31.04</v>
      </c>
      <c r="H415" s="224" t="s">
        <v>29</v>
      </c>
      <c r="I415" s="225">
        <f t="shared" si="53"/>
        <v>12313.208999999995</v>
      </c>
      <c r="J415" s="223">
        <f t="shared" si="55"/>
        <v>9041.7910000000047</v>
      </c>
      <c r="K415" s="518"/>
      <c r="L415" s="233"/>
      <c r="M415" s="750"/>
      <c r="N415" s="751"/>
      <c r="O415" s="29"/>
      <c r="P415" s="29"/>
      <c r="Q415" s="29"/>
      <c r="R415" s="29"/>
      <c r="S415" s="29"/>
      <c r="T415" s="29"/>
      <c r="U415" s="29"/>
      <c r="V415" s="29"/>
      <c r="W415" s="29"/>
      <c r="X415" s="29"/>
    </row>
    <row r="416" spans="1:24" ht="20.100000000000001" customHeight="1">
      <c r="A416" s="732"/>
      <c r="B416" s="733"/>
      <c r="C416" s="734" t="s">
        <v>64</v>
      </c>
      <c r="D416" s="734"/>
      <c r="E416" s="734"/>
      <c r="F416" s="223">
        <v>30.92</v>
      </c>
      <c r="G416" s="223">
        <f t="shared" si="50"/>
        <v>30.92</v>
      </c>
      <c r="H416" s="224" t="s">
        <v>29</v>
      </c>
      <c r="I416" s="225">
        <f t="shared" si="53"/>
        <v>12344.128999999995</v>
      </c>
      <c r="J416" s="223">
        <f t="shared" si="55"/>
        <v>9010.8710000000046</v>
      </c>
      <c r="K416" s="518"/>
      <c r="L416" s="233"/>
      <c r="M416" s="750"/>
      <c r="N416" s="751"/>
      <c r="O416" s="29"/>
      <c r="P416" s="29"/>
      <c r="Q416" s="29"/>
      <c r="R416" s="29"/>
      <c r="S416" s="29"/>
      <c r="T416" s="29"/>
      <c r="U416" s="29"/>
      <c r="V416" s="29"/>
      <c r="W416" s="29"/>
      <c r="X416" s="29"/>
    </row>
    <row r="417" spans="1:24" ht="20.100000000000001" customHeight="1">
      <c r="A417" s="681" t="s">
        <v>140</v>
      </c>
      <c r="B417" s="682"/>
      <c r="C417" s="683" t="s">
        <v>64</v>
      </c>
      <c r="D417" s="683"/>
      <c r="E417" s="683"/>
      <c r="F417" s="220">
        <v>31.04</v>
      </c>
      <c r="G417" s="220">
        <f t="shared" si="50"/>
        <v>31.04</v>
      </c>
      <c r="H417" s="221" t="s">
        <v>29</v>
      </c>
      <c r="I417" s="222">
        <f t="shared" si="53"/>
        <v>12375.168999999996</v>
      </c>
      <c r="J417" s="220">
        <f t="shared" si="55"/>
        <v>8979.8310000000038</v>
      </c>
      <c r="K417" s="519"/>
      <c r="L417" s="231"/>
      <c r="M417" s="750"/>
      <c r="N417" s="751"/>
      <c r="O417" s="29"/>
      <c r="P417" s="29"/>
      <c r="Q417" s="29"/>
      <c r="R417" s="29"/>
      <c r="S417" s="29"/>
      <c r="T417" s="29"/>
      <c r="U417" s="29"/>
      <c r="V417" s="29"/>
      <c r="W417" s="29"/>
      <c r="X417" s="29"/>
    </row>
    <row r="418" spans="1:24" ht="20.100000000000001" customHeight="1">
      <c r="A418" s="681"/>
      <c r="B418" s="682"/>
      <c r="C418" s="683" t="s">
        <v>64</v>
      </c>
      <c r="D418" s="683"/>
      <c r="E418" s="683"/>
      <c r="F418" s="220">
        <v>30.93</v>
      </c>
      <c r="G418" s="220">
        <f t="shared" si="50"/>
        <v>30.93</v>
      </c>
      <c r="H418" s="221" t="s">
        <v>29</v>
      </c>
      <c r="I418" s="222">
        <f t="shared" si="53"/>
        <v>12406.098999999997</v>
      </c>
      <c r="J418" s="220">
        <f t="shared" si="55"/>
        <v>8948.9010000000035</v>
      </c>
      <c r="K418" s="519"/>
      <c r="L418" s="231"/>
      <c r="M418" s="750"/>
      <c r="N418" s="751"/>
      <c r="O418" s="29"/>
      <c r="P418" s="29"/>
      <c r="Q418" s="29"/>
      <c r="R418" s="29"/>
      <c r="S418" s="29"/>
      <c r="T418" s="29"/>
      <c r="U418" s="29"/>
      <c r="V418" s="29"/>
      <c r="W418" s="29"/>
      <c r="X418" s="29"/>
    </row>
    <row r="419" spans="1:24" ht="20.100000000000001" customHeight="1">
      <c r="A419" s="681"/>
      <c r="B419" s="682"/>
      <c r="C419" s="683" t="s">
        <v>64</v>
      </c>
      <c r="D419" s="683"/>
      <c r="E419" s="683"/>
      <c r="F419" s="220">
        <v>31.04</v>
      </c>
      <c r="G419" s="220">
        <f t="shared" si="50"/>
        <v>31.04</v>
      </c>
      <c r="H419" s="221" t="s">
        <v>29</v>
      </c>
      <c r="I419" s="222">
        <f t="shared" si="53"/>
        <v>12437.138999999997</v>
      </c>
      <c r="J419" s="220">
        <f t="shared" si="55"/>
        <v>8917.8610000000026</v>
      </c>
      <c r="K419" s="519"/>
      <c r="L419" s="231"/>
      <c r="M419" s="750"/>
      <c r="N419" s="751"/>
      <c r="O419" s="29"/>
      <c r="P419" s="29"/>
      <c r="Q419" s="29"/>
      <c r="R419" s="29"/>
      <c r="S419" s="29"/>
      <c r="T419" s="29"/>
      <c r="U419" s="29"/>
      <c r="V419" s="29"/>
      <c r="W419" s="29"/>
      <c r="X419" s="29"/>
    </row>
    <row r="420" spans="1:24" ht="20.100000000000001" customHeight="1">
      <c r="A420" s="732" t="s">
        <v>141</v>
      </c>
      <c r="B420" s="733"/>
      <c r="C420" s="734" t="s">
        <v>64</v>
      </c>
      <c r="D420" s="734"/>
      <c r="E420" s="734"/>
      <c r="F420" s="223">
        <v>30.93</v>
      </c>
      <c r="G420" s="223">
        <f t="shared" si="50"/>
        <v>30.93</v>
      </c>
      <c r="H420" s="224" t="s">
        <v>29</v>
      </c>
      <c r="I420" s="225">
        <f t="shared" si="53"/>
        <v>12468.068999999998</v>
      </c>
      <c r="J420" s="223">
        <f t="shared" si="55"/>
        <v>8886.9310000000023</v>
      </c>
      <c r="K420" s="518"/>
      <c r="L420" s="233"/>
      <c r="M420" s="750"/>
      <c r="N420" s="751"/>
      <c r="O420" s="29"/>
      <c r="P420" s="29"/>
      <c r="Q420" s="29"/>
      <c r="R420" s="29"/>
      <c r="S420" s="29"/>
      <c r="T420" s="29"/>
      <c r="U420" s="29"/>
      <c r="V420" s="29"/>
      <c r="W420" s="29"/>
      <c r="X420" s="29"/>
    </row>
    <row r="421" spans="1:24" ht="20.100000000000001" customHeight="1">
      <c r="A421" s="732"/>
      <c r="B421" s="733"/>
      <c r="C421" s="734" t="s">
        <v>64</v>
      </c>
      <c r="D421" s="734"/>
      <c r="E421" s="734"/>
      <c r="F421" s="223">
        <v>30.96</v>
      </c>
      <c r="G421" s="223">
        <f t="shared" si="50"/>
        <v>30.96</v>
      </c>
      <c r="H421" s="224" t="s">
        <v>29</v>
      </c>
      <c r="I421" s="225">
        <f t="shared" si="53"/>
        <v>12499.028999999997</v>
      </c>
      <c r="J421" s="223">
        <f t="shared" si="55"/>
        <v>8855.9710000000032</v>
      </c>
      <c r="K421" s="518"/>
      <c r="L421" s="233"/>
      <c r="M421" s="750"/>
      <c r="N421" s="751"/>
      <c r="O421" s="29"/>
      <c r="P421" s="29"/>
      <c r="Q421" s="29"/>
      <c r="R421" s="29"/>
      <c r="S421" s="29"/>
      <c r="T421" s="29"/>
      <c r="U421" s="29"/>
      <c r="V421" s="29"/>
      <c r="W421" s="29"/>
      <c r="X421" s="29"/>
    </row>
    <row r="422" spans="1:24" ht="20.100000000000001" customHeight="1">
      <c r="A422" s="732"/>
      <c r="B422" s="733"/>
      <c r="C422" s="734" t="s">
        <v>64</v>
      </c>
      <c r="D422" s="734"/>
      <c r="E422" s="734"/>
      <c r="F422" s="223">
        <v>31.03</v>
      </c>
      <c r="G422" s="223">
        <f t="shared" si="50"/>
        <v>31.03</v>
      </c>
      <c r="H422" s="224" t="s">
        <v>29</v>
      </c>
      <c r="I422" s="225">
        <f t="shared" si="53"/>
        <v>12530.058999999997</v>
      </c>
      <c r="J422" s="223">
        <f t="shared" si="55"/>
        <v>8824.9410000000025</v>
      </c>
      <c r="K422" s="518"/>
      <c r="L422" s="233"/>
      <c r="M422" s="750"/>
      <c r="N422" s="751"/>
      <c r="O422" s="29"/>
      <c r="P422" s="29"/>
      <c r="Q422" s="29"/>
      <c r="R422" s="29"/>
      <c r="S422" s="29"/>
      <c r="T422" s="29"/>
      <c r="U422" s="29"/>
      <c r="V422" s="29"/>
      <c r="W422" s="29"/>
      <c r="X422" s="29"/>
    </row>
    <row r="423" spans="1:24" ht="20.100000000000001" customHeight="1">
      <c r="A423" s="681" t="s">
        <v>142</v>
      </c>
      <c r="B423" s="682"/>
      <c r="C423" s="683" t="s">
        <v>64</v>
      </c>
      <c r="D423" s="683"/>
      <c r="E423" s="683"/>
      <c r="F423" s="220">
        <v>30.66</v>
      </c>
      <c r="G423" s="220">
        <f t="shared" si="50"/>
        <v>30.66</v>
      </c>
      <c r="H423" s="221" t="s">
        <v>29</v>
      </c>
      <c r="I423" s="222">
        <f t="shared" si="53"/>
        <v>12560.718999999997</v>
      </c>
      <c r="J423" s="220">
        <f t="shared" si="55"/>
        <v>8794.2810000000027</v>
      </c>
      <c r="K423" s="519"/>
      <c r="L423" s="231"/>
      <c r="M423" s="750"/>
      <c r="N423" s="751"/>
      <c r="O423" s="29"/>
      <c r="P423" s="29"/>
      <c r="Q423" s="29"/>
      <c r="R423" s="29"/>
      <c r="S423" s="29"/>
      <c r="T423" s="29"/>
      <c r="U423" s="29"/>
      <c r="V423" s="29"/>
      <c r="W423" s="29"/>
      <c r="X423" s="29"/>
    </row>
    <row r="424" spans="1:24" ht="20.100000000000001" customHeight="1">
      <c r="A424" s="681"/>
      <c r="B424" s="682"/>
      <c r="C424" s="683" t="s">
        <v>64</v>
      </c>
      <c r="D424" s="683"/>
      <c r="E424" s="683"/>
      <c r="F424" s="220">
        <v>30.96</v>
      </c>
      <c r="G424" s="220">
        <f t="shared" si="50"/>
        <v>30.96</v>
      </c>
      <c r="H424" s="221" t="s">
        <v>29</v>
      </c>
      <c r="I424" s="222">
        <f t="shared" si="53"/>
        <v>12591.678999999996</v>
      </c>
      <c r="J424" s="220">
        <f t="shared" si="55"/>
        <v>8763.3210000000036</v>
      </c>
      <c r="K424" s="519"/>
      <c r="L424" s="231"/>
      <c r="M424" s="750"/>
      <c r="N424" s="751"/>
      <c r="O424" s="29"/>
      <c r="P424" s="29"/>
      <c r="Q424" s="29"/>
      <c r="R424" s="29"/>
      <c r="S424" s="29"/>
      <c r="T424" s="29"/>
      <c r="U424" s="29"/>
      <c r="V424" s="29"/>
      <c r="W424" s="29"/>
      <c r="X424" s="29"/>
    </row>
    <row r="425" spans="1:24" ht="20.100000000000001" customHeight="1">
      <c r="A425" s="681"/>
      <c r="B425" s="682"/>
      <c r="C425" s="683" t="s">
        <v>64</v>
      </c>
      <c r="D425" s="683"/>
      <c r="E425" s="683"/>
      <c r="F425" s="220">
        <v>31.25</v>
      </c>
      <c r="G425" s="220">
        <f t="shared" si="50"/>
        <v>31.25</v>
      </c>
      <c r="H425" s="221" t="s">
        <v>29</v>
      </c>
      <c r="I425" s="222">
        <f t="shared" si="53"/>
        <v>12622.928999999996</v>
      </c>
      <c r="J425" s="220">
        <f t="shared" si="55"/>
        <v>8732.0710000000036</v>
      </c>
      <c r="K425" s="519"/>
      <c r="L425" s="231"/>
      <c r="M425" s="750"/>
      <c r="N425" s="751"/>
      <c r="O425" s="29"/>
      <c r="P425" s="29"/>
      <c r="Q425" s="29"/>
      <c r="R425" s="29"/>
      <c r="S425" s="29"/>
      <c r="T425" s="29"/>
      <c r="U425" s="29"/>
      <c r="V425" s="29"/>
      <c r="W425" s="29"/>
      <c r="X425" s="29"/>
    </row>
    <row r="426" spans="1:24" ht="20.100000000000001" customHeight="1">
      <c r="A426" s="732" t="s">
        <v>143</v>
      </c>
      <c r="B426" s="733"/>
      <c r="C426" s="734" t="s">
        <v>64</v>
      </c>
      <c r="D426" s="734"/>
      <c r="E426" s="734"/>
      <c r="F426" s="223">
        <v>31.08</v>
      </c>
      <c r="G426" s="223">
        <f t="shared" si="50"/>
        <v>31.08</v>
      </c>
      <c r="H426" s="224" t="s">
        <v>29</v>
      </c>
      <c r="I426" s="225">
        <f t="shared" si="53"/>
        <v>12654.008999999996</v>
      </c>
      <c r="J426" s="223">
        <f t="shared" si="55"/>
        <v>8700.9910000000036</v>
      </c>
      <c r="K426" s="518"/>
      <c r="L426" s="233"/>
      <c r="M426" s="750"/>
      <c r="N426" s="751"/>
      <c r="O426" s="29"/>
      <c r="P426" s="29"/>
      <c r="Q426" s="29"/>
      <c r="R426" s="29"/>
      <c r="S426" s="29"/>
      <c r="T426" s="29"/>
      <c r="U426" s="29"/>
      <c r="V426" s="29"/>
      <c r="W426" s="29"/>
      <c r="X426" s="29"/>
    </row>
    <row r="427" spans="1:24" ht="20.100000000000001" customHeight="1">
      <c r="A427" s="732"/>
      <c r="B427" s="733"/>
      <c r="C427" s="734" t="s">
        <v>64</v>
      </c>
      <c r="D427" s="734"/>
      <c r="E427" s="734"/>
      <c r="F427" s="223">
        <v>31.08</v>
      </c>
      <c r="G427" s="223">
        <f t="shared" si="50"/>
        <v>31.08</v>
      </c>
      <c r="H427" s="224" t="s">
        <v>29</v>
      </c>
      <c r="I427" s="225">
        <f t="shared" si="53"/>
        <v>12685.088999999996</v>
      </c>
      <c r="J427" s="223">
        <f t="shared" si="55"/>
        <v>8669.9110000000037</v>
      </c>
      <c r="K427" s="518"/>
      <c r="L427" s="233"/>
      <c r="M427" s="750"/>
      <c r="N427" s="751"/>
      <c r="O427" s="29"/>
      <c r="P427" s="29"/>
      <c r="Q427" s="29"/>
      <c r="R427" s="29"/>
      <c r="S427" s="29"/>
      <c r="T427" s="29"/>
      <c r="U427" s="29"/>
      <c r="V427" s="29"/>
      <c r="W427" s="29"/>
      <c r="X427" s="29"/>
    </row>
    <row r="428" spans="1:24" ht="20.100000000000001" customHeight="1">
      <c r="A428" s="732"/>
      <c r="B428" s="733"/>
      <c r="C428" s="734" t="s">
        <v>64</v>
      </c>
      <c r="D428" s="734"/>
      <c r="E428" s="734"/>
      <c r="F428" s="223">
        <v>31.22</v>
      </c>
      <c r="G428" s="223">
        <f t="shared" si="50"/>
        <v>31.22</v>
      </c>
      <c r="H428" s="224" t="s">
        <v>29</v>
      </c>
      <c r="I428" s="225">
        <f t="shared" si="53"/>
        <v>12716.308999999996</v>
      </c>
      <c r="J428" s="223">
        <f t="shared" si="55"/>
        <v>8638.6910000000044</v>
      </c>
      <c r="K428" s="518"/>
      <c r="L428" s="233"/>
      <c r="M428" s="750"/>
      <c r="N428" s="751"/>
      <c r="O428" s="29"/>
      <c r="P428" s="29"/>
      <c r="Q428" s="29"/>
      <c r="R428" s="29"/>
      <c r="S428" s="29"/>
      <c r="T428" s="29"/>
      <c r="U428" s="29"/>
      <c r="V428" s="29"/>
      <c r="W428" s="29"/>
      <c r="X428" s="29"/>
    </row>
    <row r="429" spans="1:24" ht="20.100000000000001" customHeight="1">
      <c r="A429" s="681" t="s">
        <v>144</v>
      </c>
      <c r="B429" s="682"/>
      <c r="C429" s="683" t="s">
        <v>64</v>
      </c>
      <c r="D429" s="683"/>
      <c r="E429" s="683"/>
      <c r="F429" s="220">
        <v>31.23</v>
      </c>
      <c r="G429" s="220">
        <f t="shared" si="50"/>
        <v>31.23</v>
      </c>
      <c r="H429" s="221" t="s">
        <v>29</v>
      </c>
      <c r="I429" s="222">
        <f t="shared" si="53"/>
        <v>12747.538999999995</v>
      </c>
      <c r="J429" s="220">
        <f t="shared" si="55"/>
        <v>8607.4610000000048</v>
      </c>
      <c r="K429" s="519"/>
      <c r="L429" s="231"/>
      <c r="M429" s="750"/>
      <c r="N429" s="751"/>
      <c r="O429" s="29"/>
      <c r="P429" s="29"/>
      <c r="Q429" s="29"/>
      <c r="R429" s="29"/>
      <c r="S429" s="29"/>
      <c r="T429" s="29"/>
      <c r="U429" s="29"/>
      <c r="V429" s="29"/>
      <c r="W429" s="29"/>
      <c r="X429" s="29"/>
    </row>
    <row r="430" spans="1:24" ht="20.100000000000001" customHeight="1">
      <c r="A430" s="681"/>
      <c r="B430" s="682"/>
      <c r="C430" s="683" t="s">
        <v>64</v>
      </c>
      <c r="D430" s="683"/>
      <c r="E430" s="683"/>
      <c r="F430" s="220">
        <v>30.97</v>
      </c>
      <c r="G430" s="220">
        <f t="shared" si="50"/>
        <v>30.97</v>
      </c>
      <c r="H430" s="221" t="s">
        <v>29</v>
      </c>
      <c r="I430" s="222">
        <f t="shared" si="53"/>
        <v>12778.508999999995</v>
      </c>
      <c r="J430" s="220">
        <f t="shared" si="55"/>
        <v>8576.4910000000054</v>
      </c>
      <c r="K430" s="519"/>
      <c r="L430" s="231"/>
      <c r="M430" s="750"/>
      <c r="N430" s="751"/>
      <c r="O430" s="29"/>
      <c r="P430" s="29"/>
      <c r="Q430" s="29"/>
      <c r="R430" s="29"/>
      <c r="S430" s="29"/>
      <c r="T430" s="29"/>
      <c r="U430" s="29"/>
      <c r="V430" s="29"/>
      <c r="W430" s="29"/>
      <c r="X430" s="29"/>
    </row>
    <row r="431" spans="1:24" ht="20.100000000000001" customHeight="1">
      <c r="A431" s="681"/>
      <c r="B431" s="682"/>
      <c r="C431" s="683" t="s">
        <v>64</v>
      </c>
      <c r="D431" s="683"/>
      <c r="E431" s="683"/>
      <c r="F431" s="220">
        <v>31.24</v>
      </c>
      <c r="G431" s="220">
        <f t="shared" si="50"/>
        <v>31.24</v>
      </c>
      <c r="H431" s="221" t="s">
        <v>29</v>
      </c>
      <c r="I431" s="222">
        <f t="shared" si="53"/>
        <v>12809.748999999994</v>
      </c>
      <c r="J431" s="220">
        <f t="shared" si="55"/>
        <v>8545.2510000000057</v>
      </c>
      <c r="K431" s="519"/>
      <c r="L431" s="231"/>
      <c r="M431" s="750"/>
      <c r="N431" s="751"/>
      <c r="O431" s="29"/>
      <c r="P431" s="29"/>
      <c r="Q431" s="29"/>
      <c r="R431" s="29"/>
      <c r="S431" s="29"/>
      <c r="T431" s="29"/>
      <c r="U431" s="29"/>
      <c r="V431" s="29"/>
      <c r="W431" s="29"/>
      <c r="X431" s="29"/>
    </row>
    <row r="432" spans="1:24" ht="20.100000000000001" customHeight="1">
      <c r="A432" s="732" t="s">
        <v>145</v>
      </c>
      <c r="B432" s="733"/>
      <c r="C432" s="734" t="s">
        <v>64</v>
      </c>
      <c r="D432" s="734"/>
      <c r="E432" s="734"/>
      <c r="F432" s="223">
        <v>31.07</v>
      </c>
      <c r="G432" s="223">
        <f t="shared" si="50"/>
        <v>31.07</v>
      </c>
      <c r="H432" s="224" t="s">
        <v>29</v>
      </c>
      <c r="I432" s="225">
        <f t="shared" si="53"/>
        <v>12840.818999999994</v>
      </c>
      <c r="J432" s="223">
        <f t="shared" si="55"/>
        <v>8514.181000000006</v>
      </c>
      <c r="K432" s="518"/>
      <c r="L432" s="233"/>
      <c r="M432" s="750"/>
      <c r="N432" s="751"/>
      <c r="O432" s="29"/>
      <c r="P432" s="29"/>
      <c r="Q432" s="29"/>
      <c r="R432" s="29"/>
      <c r="S432" s="29"/>
      <c r="T432" s="29"/>
      <c r="U432" s="29"/>
      <c r="V432" s="29"/>
      <c r="W432" s="29"/>
      <c r="X432" s="29"/>
    </row>
    <row r="433" spans="1:24" ht="20.100000000000001" customHeight="1">
      <c r="A433" s="732"/>
      <c r="B433" s="733"/>
      <c r="C433" s="734" t="s">
        <v>64</v>
      </c>
      <c r="D433" s="734"/>
      <c r="E433" s="734"/>
      <c r="F433" s="223">
        <v>30.96</v>
      </c>
      <c r="G433" s="223">
        <f t="shared" si="50"/>
        <v>30.96</v>
      </c>
      <c r="H433" s="224" t="s">
        <v>29</v>
      </c>
      <c r="I433" s="225">
        <f t="shared" ref="I433:I526" si="56">IF(H433="IN",I432+G433,I432)</f>
        <v>12871.778999999993</v>
      </c>
      <c r="J433" s="223">
        <f t="shared" si="55"/>
        <v>8483.2210000000068</v>
      </c>
      <c r="K433" s="518"/>
      <c r="L433" s="233"/>
      <c r="M433" s="750"/>
      <c r="N433" s="751"/>
      <c r="O433" s="29"/>
      <c r="P433" s="29"/>
      <c r="Q433" s="29"/>
      <c r="R433" s="29"/>
      <c r="S433" s="29"/>
      <c r="T433" s="29"/>
      <c r="U433" s="29"/>
      <c r="V433" s="29"/>
      <c r="W433" s="29"/>
      <c r="X433" s="29"/>
    </row>
    <row r="434" spans="1:24" ht="20.100000000000001" customHeight="1">
      <c r="A434" s="732"/>
      <c r="B434" s="733"/>
      <c r="C434" s="734" t="s">
        <v>64</v>
      </c>
      <c r="D434" s="734"/>
      <c r="E434" s="734"/>
      <c r="F434" s="223">
        <v>30.74</v>
      </c>
      <c r="G434" s="223">
        <f t="shared" si="50"/>
        <v>30.74</v>
      </c>
      <c r="H434" s="224" t="s">
        <v>29</v>
      </c>
      <c r="I434" s="225">
        <f t="shared" si="56"/>
        <v>12902.518999999993</v>
      </c>
      <c r="J434" s="223">
        <f t="shared" si="55"/>
        <v>8452.481000000007</v>
      </c>
      <c r="K434" s="518"/>
      <c r="L434" s="233"/>
      <c r="M434" s="750"/>
      <c r="N434" s="751"/>
      <c r="O434" s="29"/>
      <c r="P434" s="29"/>
      <c r="Q434" s="29"/>
      <c r="R434" s="29"/>
      <c r="S434" s="29"/>
      <c r="T434" s="29"/>
      <c r="U434" s="29"/>
      <c r="V434" s="29"/>
      <c r="W434" s="29"/>
      <c r="X434" s="29"/>
    </row>
    <row r="435" spans="1:24" ht="20.100000000000001" customHeight="1">
      <c r="A435" s="681" t="s">
        <v>146</v>
      </c>
      <c r="B435" s="682"/>
      <c r="C435" s="683" t="s">
        <v>64</v>
      </c>
      <c r="D435" s="683"/>
      <c r="E435" s="683"/>
      <c r="F435" s="220">
        <v>30.95</v>
      </c>
      <c r="G435" s="220">
        <f t="shared" si="50"/>
        <v>30.95</v>
      </c>
      <c r="H435" s="221" t="s">
        <v>29</v>
      </c>
      <c r="I435" s="222">
        <f t="shared" si="56"/>
        <v>12933.468999999994</v>
      </c>
      <c r="J435" s="220">
        <f t="shared" si="55"/>
        <v>8421.5310000000063</v>
      </c>
      <c r="K435" s="519"/>
      <c r="L435" s="231"/>
      <c r="M435" s="750"/>
      <c r="N435" s="751"/>
      <c r="O435" s="29"/>
      <c r="P435" s="29"/>
      <c r="Q435" s="29"/>
      <c r="R435" s="29"/>
      <c r="S435" s="29"/>
      <c r="T435" s="29"/>
      <c r="U435" s="29"/>
      <c r="V435" s="29"/>
      <c r="W435" s="29"/>
      <c r="X435" s="29"/>
    </row>
    <row r="436" spans="1:24" ht="20.100000000000001" customHeight="1">
      <c r="A436" s="681"/>
      <c r="B436" s="682"/>
      <c r="C436" s="683" t="s">
        <v>64</v>
      </c>
      <c r="D436" s="683"/>
      <c r="E436" s="683"/>
      <c r="F436" s="220">
        <v>31.09</v>
      </c>
      <c r="G436" s="220">
        <f t="shared" si="50"/>
        <v>31.09</v>
      </c>
      <c r="H436" s="221" t="s">
        <v>29</v>
      </c>
      <c r="I436" s="222">
        <f t="shared" si="56"/>
        <v>12964.558999999994</v>
      </c>
      <c r="J436" s="220">
        <f t="shared" si="55"/>
        <v>8390.4410000000062</v>
      </c>
      <c r="K436" s="519"/>
      <c r="L436" s="231"/>
      <c r="M436" s="750"/>
      <c r="N436" s="751"/>
      <c r="O436" s="29"/>
      <c r="P436" s="29"/>
      <c r="Q436" s="29"/>
      <c r="R436" s="29"/>
      <c r="S436" s="29"/>
      <c r="T436" s="29"/>
      <c r="U436" s="29"/>
      <c r="V436" s="29"/>
      <c r="W436" s="29"/>
      <c r="X436" s="29"/>
    </row>
    <row r="437" spans="1:24" ht="20.100000000000001" customHeight="1">
      <c r="A437" s="681"/>
      <c r="B437" s="682"/>
      <c r="C437" s="683" t="s">
        <v>64</v>
      </c>
      <c r="D437" s="683"/>
      <c r="E437" s="683"/>
      <c r="F437" s="220">
        <v>31.2</v>
      </c>
      <c r="G437" s="220">
        <f t="shared" ref="G437:G530" si="57">F437</f>
        <v>31.2</v>
      </c>
      <c r="H437" s="221" t="s">
        <v>29</v>
      </c>
      <c r="I437" s="222">
        <f t="shared" si="56"/>
        <v>12995.758999999995</v>
      </c>
      <c r="J437" s="220">
        <f t="shared" si="55"/>
        <v>8359.2410000000054</v>
      </c>
      <c r="K437" s="519"/>
      <c r="L437" s="231"/>
      <c r="M437" s="750"/>
      <c r="N437" s="751"/>
      <c r="O437" s="29"/>
      <c r="P437" s="29"/>
      <c r="Q437" s="29"/>
      <c r="R437" s="29"/>
      <c r="S437" s="29"/>
      <c r="T437" s="29"/>
      <c r="U437" s="29"/>
      <c r="V437" s="29"/>
      <c r="W437" s="29"/>
      <c r="X437" s="29"/>
    </row>
    <row r="438" spans="1:24" ht="20.100000000000001" customHeight="1">
      <c r="A438" s="732" t="s">
        <v>147</v>
      </c>
      <c r="B438" s="733"/>
      <c r="C438" s="734" t="s">
        <v>64</v>
      </c>
      <c r="D438" s="734"/>
      <c r="E438" s="734"/>
      <c r="F438" s="223">
        <v>31.31</v>
      </c>
      <c r="G438" s="223">
        <f t="shared" si="57"/>
        <v>31.31</v>
      </c>
      <c r="H438" s="224" t="s">
        <v>29</v>
      </c>
      <c r="I438" s="225">
        <f t="shared" si="56"/>
        <v>13027.068999999994</v>
      </c>
      <c r="J438" s="223">
        <f t="shared" si="55"/>
        <v>8327.931000000006</v>
      </c>
      <c r="K438" s="518"/>
      <c r="L438" s="233"/>
      <c r="M438" s="750"/>
      <c r="N438" s="751"/>
      <c r="O438" s="29"/>
      <c r="P438" s="29"/>
      <c r="Q438" s="29"/>
      <c r="R438" s="29"/>
      <c r="S438" s="29"/>
      <c r="T438" s="29"/>
      <c r="U438" s="29"/>
      <c r="V438" s="29"/>
      <c r="W438" s="29"/>
      <c r="X438" s="29"/>
    </row>
    <row r="439" spans="1:24" ht="20.100000000000001" customHeight="1">
      <c r="A439" s="732"/>
      <c r="B439" s="733"/>
      <c r="C439" s="734" t="s">
        <v>64</v>
      </c>
      <c r="D439" s="734"/>
      <c r="E439" s="734"/>
      <c r="F439" s="223">
        <v>31.25</v>
      </c>
      <c r="G439" s="223">
        <f t="shared" si="57"/>
        <v>31.25</v>
      </c>
      <c r="H439" s="224" t="s">
        <v>29</v>
      </c>
      <c r="I439" s="225">
        <f t="shared" si="56"/>
        <v>13058.318999999994</v>
      </c>
      <c r="J439" s="223">
        <f t="shared" si="55"/>
        <v>8296.681000000006</v>
      </c>
      <c r="K439" s="518"/>
      <c r="L439" s="233"/>
      <c r="M439" s="750"/>
      <c r="N439" s="751"/>
      <c r="O439" s="29"/>
      <c r="P439" s="29"/>
      <c r="Q439" s="29"/>
      <c r="R439" s="29"/>
      <c r="S439" s="29"/>
      <c r="T439" s="29"/>
      <c r="U439" s="29"/>
      <c r="V439" s="29"/>
      <c r="W439" s="29"/>
      <c r="X439" s="29"/>
    </row>
    <row r="440" spans="1:24" ht="20.100000000000001" customHeight="1">
      <c r="A440" s="732"/>
      <c r="B440" s="733"/>
      <c r="C440" s="734" t="s">
        <v>64</v>
      </c>
      <c r="D440" s="734"/>
      <c r="E440" s="734"/>
      <c r="F440" s="223">
        <v>30.83</v>
      </c>
      <c r="G440" s="223">
        <f t="shared" si="57"/>
        <v>30.83</v>
      </c>
      <c r="H440" s="224" t="s">
        <v>29</v>
      </c>
      <c r="I440" s="225">
        <f t="shared" si="56"/>
        <v>13089.148999999994</v>
      </c>
      <c r="J440" s="223">
        <f t="shared" si="55"/>
        <v>8265.851000000006</v>
      </c>
      <c r="K440" s="518"/>
      <c r="L440" s="233"/>
      <c r="M440" s="750"/>
      <c r="N440" s="751"/>
      <c r="O440" s="29"/>
      <c r="P440" s="29"/>
      <c r="Q440" s="29"/>
      <c r="R440" s="29"/>
      <c r="S440" s="29"/>
      <c r="T440" s="29"/>
      <c r="U440" s="29"/>
      <c r="V440" s="29"/>
      <c r="W440" s="29"/>
      <c r="X440" s="29"/>
    </row>
    <row r="441" spans="1:24" ht="20.100000000000001" customHeight="1">
      <c r="A441" s="681" t="s">
        <v>148</v>
      </c>
      <c r="B441" s="682"/>
      <c r="C441" s="683" t="s">
        <v>64</v>
      </c>
      <c r="D441" s="683"/>
      <c r="E441" s="683"/>
      <c r="F441" s="220">
        <v>31.24</v>
      </c>
      <c r="G441" s="220">
        <f t="shared" si="57"/>
        <v>31.24</v>
      </c>
      <c r="H441" s="221" t="s">
        <v>29</v>
      </c>
      <c r="I441" s="222">
        <f t="shared" si="56"/>
        <v>13120.388999999994</v>
      </c>
      <c r="J441" s="220">
        <f t="shared" ref="J441:J502" si="58">IF(I441="","",$M$10-I441)</f>
        <v>8234.6110000000062</v>
      </c>
      <c r="K441" s="519"/>
      <c r="L441" s="231"/>
      <c r="M441" s="750"/>
      <c r="N441" s="751"/>
      <c r="O441" s="29"/>
      <c r="P441" s="29"/>
      <c r="Q441" s="29"/>
      <c r="R441" s="29"/>
      <c r="S441" s="29"/>
      <c r="T441" s="29"/>
      <c r="U441" s="29"/>
      <c r="V441" s="29"/>
      <c r="W441" s="29"/>
      <c r="X441" s="29"/>
    </row>
    <row r="442" spans="1:24" ht="20.100000000000001" customHeight="1">
      <c r="A442" s="681"/>
      <c r="B442" s="682"/>
      <c r="C442" s="683" t="s">
        <v>64</v>
      </c>
      <c r="D442" s="683"/>
      <c r="E442" s="683"/>
      <c r="F442" s="220">
        <v>31.15</v>
      </c>
      <c r="G442" s="220">
        <f t="shared" si="57"/>
        <v>31.15</v>
      </c>
      <c r="H442" s="221" t="s">
        <v>29</v>
      </c>
      <c r="I442" s="222">
        <f t="shared" si="56"/>
        <v>13151.538999999993</v>
      </c>
      <c r="J442" s="220">
        <f t="shared" si="58"/>
        <v>8203.4610000000066</v>
      </c>
      <c r="K442" s="519"/>
      <c r="L442" s="231"/>
      <c r="M442" s="750"/>
      <c r="N442" s="751"/>
      <c r="O442" s="29"/>
      <c r="P442" s="29"/>
      <c r="Q442" s="29"/>
      <c r="R442" s="29"/>
      <c r="S442" s="29"/>
      <c r="T442" s="29"/>
      <c r="U442" s="29"/>
      <c r="V442" s="29"/>
      <c r="W442" s="29"/>
      <c r="X442" s="29"/>
    </row>
    <row r="443" spans="1:24" ht="20.100000000000001" customHeight="1">
      <c r="A443" s="681"/>
      <c r="B443" s="682"/>
      <c r="C443" s="683" t="s">
        <v>64</v>
      </c>
      <c r="D443" s="683"/>
      <c r="E443" s="683"/>
      <c r="F443" s="220">
        <v>31.39</v>
      </c>
      <c r="G443" s="220">
        <f t="shared" si="57"/>
        <v>31.39</v>
      </c>
      <c r="H443" s="221" t="s">
        <v>29</v>
      </c>
      <c r="I443" s="222">
        <f t="shared" si="56"/>
        <v>13182.928999999993</v>
      </c>
      <c r="J443" s="220">
        <f t="shared" si="58"/>
        <v>8172.0710000000072</v>
      </c>
      <c r="K443" s="519"/>
      <c r="L443" s="231"/>
      <c r="M443" s="750"/>
      <c r="N443" s="751"/>
      <c r="O443" s="29"/>
      <c r="P443" s="29"/>
      <c r="Q443" s="29"/>
      <c r="R443" s="29"/>
      <c r="S443" s="29"/>
      <c r="T443" s="29"/>
      <c r="U443" s="29"/>
      <c r="V443" s="29"/>
      <c r="W443" s="29"/>
      <c r="X443" s="29"/>
    </row>
    <row r="444" spans="1:24" ht="20.100000000000001" customHeight="1">
      <c r="A444" s="732" t="s">
        <v>149</v>
      </c>
      <c r="B444" s="733"/>
      <c r="C444" s="734" t="s">
        <v>64</v>
      </c>
      <c r="D444" s="734"/>
      <c r="E444" s="734"/>
      <c r="F444" s="223">
        <v>31.33</v>
      </c>
      <c r="G444" s="223">
        <f t="shared" si="57"/>
        <v>31.33</v>
      </c>
      <c r="H444" s="224" t="s">
        <v>29</v>
      </c>
      <c r="I444" s="225">
        <f t="shared" si="56"/>
        <v>13214.258999999993</v>
      </c>
      <c r="J444" s="223">
        <f t="shared" si="58"/>
        <v>8140.7410000000073</v>
      </c>
      <c r="K444" s="518"/>
      <c r="L444" s="233"/>
      <c r="M444" s="750"/>
      <c r="N444" s="751"/>
      <c r="O444" s="29"/>
      <c r="P444" s="29"/>
      <c r="Q444" s="29"/>
      <c r="R444" s="29"/>
      <c r="S444" s="29"/>
      <c r="T444" s="29"/>
      <c r="U444" s="29"/>
      <c r="V444" s="29"/>
      <c r="W444" s="29"/>
      <c r="X444" s="29"/>
    </row>
    <row r="445" spans="1:24" ht="20.100000000000001" customHeight="1">
      <c r="A445" s="732"/>
      <c r="B445" s="733"/>
      <c r="C445" s="734" t="s">
        <v>64</v>
      </c>
      <c r="D445" s="734"/>
      <c r="E445" s="734"/>
      <c r="F445" s="223">
        <v>31</v>
      </c>
      <c r="G445" s="223">
        <f t="shared" si="57"/>
        <v>31</v>
      </c>
      <c r="H445" s="224" t="s">
        <v>29</v>
      </c>
      <c r="I445" s="225">
        <f t="shared" si="56"/>
        <v>13245.258999999993</v>
      </c>
      <c r="J445" s="223">
        <f t="shared" si="58"/>
        <v>8109.7410000000073</v>
      </c>
      <c r="K445" s="518"/>
      <c r="L445" s="233"/>
      <c r="M445" s="750"/>
      <c r="N445" s="751"/>
      <c r="O445" s="29"/>
      <c r="P445" s="29"/>
      <c r="Q445" s="29"/>
      <c r="R445" s="29"/>
      <c r="S445" s="29"/>
      <c r="T445" s="29"/>
      <c r="U445" s="29"/>
      <c r="V445" s="29"/>
      <c r="W445" s="29"/>
      <c r="X445" s="29"/>
    </row>
    <row r="446" spans="1:24" ht="20.100000000000001" customHeight="1">
      <c r="A446" s="732"/>
      <c r="B446" s="733"/>
      <c r="C446" s="734" t="s">
        <v>64</v>
      </c>
      <c r="D446" s="734"/>
      <c r="E446" s="734"/>
      <c r="F446" s="223">
        <v>31.25</v>
      </c>
      <c r="G446" s="223">
        <f t="shared" si="57"/>
        <v>31.25</v>
      </c>
      <c r="H446" s="224" t="s">
        <v>29</v>
      </c>
      <c r="I446" s="225">
        <f t="shared" si="56"/>
        <v>13276.508999999993</v>
      </c>
      <c r="J446" s="223">
        <f t="shared" si="58"/>
        <v>8078.4910000000073</v>
      </c>
      <c r="K446" s="518"/>
      <c r="L446" s="233"/>
      <c r="M446" s="750"/>
      <c r="N446" s="751"/>
      <c r="O446" s="29"/>
      <c r="P446" s="29"/>
      <c r="Q446" s="29"/>
      <c r="R446" s="29"/>
      <c r="S446" s="29"/>
      <c r="T446" s="29"/>
      <c r="U446" s="29"/>
      <c r="V446" s="29"/>
      <c r="W446" s="29"/>
      <c r="X446" s="29"/>
    </row>
    <row r="447" spans="1:24" ht="20.100000000000001" customHeight="1">
      <c r="A447" s="681" t="s">
        <v>150</v>
      </c>
      <c r="B447" s="682"/>
      <c r="C447" s="683" t="s">
        <v>64</v>
      </c>
      <c r="D447" s="683"/>
      <c r="E447" s="683"/>
      <c r="F447" s="220">
        <v>31.18</v>
      </c>
      <c r="G447" s="220">
        <f t="shared" si="57"/>
        <v>31.18</v>
      </c>
      <c r="H447" s="221" t="s">
        <v>29</v>
      </c>
      <c r="I447" s="222">
        <f t="shared" si="56"/>
        <v>13307.688999999993</v>
      </c>
      <c r="J447" s="220">
        <f t="shared" si="58"/>
        <v>8047.311000000007</v>
      </c>
      <c r="K447" s="519"/>
      <c r="L447" s="231"/>
      <c r="M447" s="750"/>
      <c r="N447" s="751"/>
      <c r="O447" s="29"/>
      <c r="P447" s="29"/>
      <c r="Q447" s="29"/>
      <c r="R447" s="29"/>
      <c r="S447" s="29"/>
      <c r="T447" s="29"/>
      <c r="U447" s="29"/>
      <c r="V447" s="29"/>
      <c r="W447" s="29"/>
      <c r="X447" s="29"/>
    </row>
    <row r="448" spans="1:24" ht="20.100000000000001" customHeight="1">
      <c r="A448" s="681"/>
      <c r="B448" s="682"/>
      <c r="C448" s="683" t="s">
        <v>64</v>
      </c>
      <c r="D448" s="683"/>
      <c r="E448" s="683"/>
      <c r="F448" s="220">
        <v>31.14</v>
      </c>
      <c r="G448" s="220">
        <f t="shared" si="57"/>
        <v>31.14</v>
      </c>
      <c r="H448" s="221" t="s">
        <v>29</v>
      </c>
      <c r="I448" s="222">
        <f t="shared" si="56"/>
        <v>13338.828999999992</v>
      </c>
      <c r="J448" s="220">
        <f t="shared" si="58"/>
        <v>8016.1710000000076</v>
      </c>
      <c r="K448" s="519"/>
      <c r="L448" s="231"/>
      <c r="M448" s="750"/>
      <c r="N448" s="751"/>
      <c r="O448" s="29"/>
      <c r="P448" s="29"/>
      <c r="Q448" s="29"/>
      <c r="R448" s="29"/>
      <c r="S448" s="29"/>
      <c r="T448" s="29"/>
      <c r="U448" s="29"/>
      <c r="V448" s="29"/>
      <c r="W448" s="29"/>
      <c r="X448" s="29"/>
    </row>
    <row r="449" spans="1:24" ht="20.100000000000001" customHeight="1">
      <c r="A449" s="681"/>
      <c r="B449" s="682"/>
      <c r="C449" s="683" t="s">
        <v>64</v>
      </c>
      <c r="D449" s="683"/>
      <c r="E449" s="683"/>
      <c r="F449" s="220">
        <v>31.07</v>
      </c>
      <c r="G449" s="220">
        <f t="shared" si="57"/>
        <v>31.07</v>
      </c>
      <c r="H449" s="221" t="s">
        <v>29</v>
      </c>
      <c r="I449" s="222">
        <f t="shared" si="56"/>
        <v>13369.898999999992</v>
      </c>
      <c r="J449" s="220">
        <f t="shared" si="58"/>
        <v>7985.1010000000078</v>
      </c>
      <c r="K449" s="519"/>
      <c r="L449" s="231"/>
      <c r="M449" s="750"/>
      <c r="N449" s="751"/>
      <c r="O449" s="29"/>
      <c r="P449" s="29"/>
      <c r="Q449" s="29"/>
      <c r="R449" s="29"/>
      <c r="S449" s="29"/>
      <c r="T449" s="29"/>
      <c r="U449" s="29"/>
      <c r="V449" s="29"/>
      <c r="W449" s="29"/>
      <c r="X449" s="29"/>
    </row>
    <row r="450" spans="1:24" ht="20.100000000000001" customHeight="1">
      <c r="A450" s="732" t="s">
        <v>151</v>
      </c>
      <c r="B450" s="733"/>
      <c r="C450" s="734" t="s">
        <v>64</v>
      </c>
      <c r="D450" s="734"/>
      <c r="E450" s="734"/>
      <c r="F450" s="223">
        <v>31.22</v>
      </c>
      <c r="G450" s="223">
        <f t="shared" si="57"/>
        <v>31.22</v>
      </c>
      <c r="H450" s="224" t="s">
        <v>29</v>
      </c>
      <c r="I450" s="225">
        <f t="shared" si="56"/>
        <v>13401.118999999992</v>
      </c>
      <c r="J450" s="223">
        <f t="shared" si="58"/>
        <v>7953.8810000000085</v>
      </c>
      <c r="K450" s="518"/>
      <c r="L450" s="233"/>
      <c r="M450" s="750"/>
      <c r="N450" s="751"/>
      <c r="O450" s="29"/>
      <c r="P450" s="29"/>
      <c r="Q450" s="29"/>
      <c r="R450" s="29"/>
      <c r="S450" s="29"/>
      <c r="T450" s="29"/>
      <c r="U450" s="29"/>
      <c r="V450" s="29"/>
      <c r="W450" s="29"/>
      <c r="X450" s="29"/>
    </row>
    <row r="451" spans="1:24" ht="20.100000000000001" customHeight="1">
      <c r="A451" s="732"/>
      <c r="B451" s="733"/>
      <c r="C451" s="734" t="s">
        <v>64</v>
      </c>
      <c r="D451" s="734"/>
      <c r="E451" s="734"/>
      <c r="F451" s="223">
        <v>31.12</v>
      </c>
      <c r="G451" s="223">
        <f t="shared" si="57"/>
        <v>31.12</v>
      </c>
      <c r="H451" s="224" t="s">
        <v>29</v>
      </c>
      <c r="I451" s="225">
        <f t="shared" si="56"/>
        <v>13432.238999999992</v>
      </c>
      <c r="J451" s="223">
        <f t="shared" si="58"/>
        <v>7922.7610000000077</v>
      </c>
      <c r="K451" s="518"/>
      <c r="L451" s="233"/>
      <c r="M451" s="750"/>
      <c r="N451" s="751"/>
      <c r="O451" s="29"/>
      <c r="P451" s="29"/>
      <c r="Q451" s="29"/>
      <c r="R451" s="29"/>
      <c r="S451" s="29"/>
      <c r="T451" s="29"/>
      <c r="U451" s="29"/>
      <c r="V451" s="29"/>
      <c r="W451" s="29"/>
      <c r="X451" s="29"/>
    </row>
    <row r="452" spans="1:24" ht="20.100000000000001" customHeight="1">
      <c r="A452" s="732"/>
      <c r="B452" s="733"/>
      <c r="C452" s="734" t="s">
        <v>64</v>
      </c>
      <c r="D452" s="734"/>
      <c r="E452" s="734"/>
      <c r="F452" s="223">
        <v>31.14</v>
      </c>
      <c r="G452" s="223">
        <f t="shared" si="57"/>
        <v>31.14</v>
      </c>
      <c r="H452" s="224" t="s">
        <v>29</v>
      </c>
      <c r="I452" s="225">
        <f t="shared" si="56"/>
        <v>13463.378999999992</v>
      </c>
      <c r="J452" s="223">
        <f t="shared" si="58"/>
        <v>7891.6210000000083</v>
      </c>
      <c r="K452" s="518"/>
      <c r="L452" s="233"/>
      <c r="M452" s="750"/>
      <c r="N452" s="751"/>
      <c r="O452" s="29"/>
      <c r="P452" s="29"/>
      <c r="Q452" s="29"/>
      <c r="R452" s="29"/>
      <c r="S452" s="29"/>
      <c r="T452" s="29"/>
      <c r="U452" s="29"/>
      <c r="V452" s="29"/>
      <c r="W452" s="29"/>
      <c r="X452" s="29"/>
    </row>
    <row r="453" spans="1:24" ht="20.100000000000001" customHeight="1">
      <c r="A453" s="681" t="s">
        <v>152</v>
      </c>
      <c r="B453" s="682"/>
      <c r="C453" s="683" t="s">
        <v>64</v>
      </c>
      <c r="D453" s="683"/>
      <c r="E453" s="683"/>
      <c r="F453" s="220">
        <v>31.27</v>
      </c>
      <c r="G453" s="220">
        <f t="shared" si="57"/>
        <v>31.27</v>
      </c>
      <c r="H453" s="221" t="s">
        <v>29</v>
      </c>
      <c r="I453" s="222">
        <f t="shared" si="56"/>
        <v>13494.648999999992</v>
      </c>
      <c r="J453" s="220">
        <f t="shared" si="58"/>
        <v>7860.3510000000078</v>
      </c>
      <c r="K453" s="519"/>
      <c r="L453" s="231"/>
      <c r="M453" s="750"/>
      <c r="N453" s="751"/>
      <c r="O453" s="29"/>
      <c r="P453" s="29"/>
      <c r="Q453" s="29"/>
      <c r="R453" s="29"/>
      <c r="S453" s="29"/>
      <c r="T453" s="29"/>
      <c r="U453" s="29"/>
      <c r="V453" s="29"/>
      <c r="W453" s="29"/>
      <c r="X453" s="29"/>
    </row>
    <row r="454" spans="1:24" ht="20.100000000000001" customHeight="1">
      <c r="A454" s="681"/>
      <c r="B454" s="682"/>
      <c r="C454" s="683" t="s">
        <v>64</v>
      </c>
      <c r="D454" s="683"/>
      <c r="E454" s="683"/>
      <c r="F454" s="220">
        <v>31.31</v>
      </c>
      <c r="G454" s="220">
        <f t="shared" si="57"/>
        <v>31.31</v>
      </c>
      <c r="H454" s="221" t="s">
        <v>29</v>
      </c>
      <c r="I454" s="222">
        <f t="shared" si="56"/>
        <v>13525.958999999992</v>
      </c>
      <c r="J454" s="220">
        <f t="shared" si="58"/>
        <v>7829.0410000000084</v>
      </c>
      <c r="K454" s="519"/>
      <c r="L454" s="231"/>
      <c r="M454" s="750"/>
      <c r="N454" s="751"/>
      <c r="O454" s="29"/>
      <c r="P454" s="29"/>
      <c r="Q454" s="29"/>
      <c r="R454" s="29"/>
      <c r="S454" s="29"/>
      <c r="T454" s="29"/>
      <c r="U454" s="29"/>
      <c r="V454" s="29"/>
      <c r="W454" s="29"/>
      <c r="X454" s="29"/>
    </row>
    <row r="455" spans="1:24" ht="20.100000000000001" customHeight="1">
      <c r="A455" s="681"/>
      <c r="B455" s="682"/>
      <c r="C455" s="683" t="s">
        <v>64</v>
      </c>
      <c r="D455" s="683"/>
      <c r="E455" s="683"/>
      <c r="F455" s="220">
        <v>31.31</v>
      </c>
      <c r="G455" s="220">
        <f t="shared" si="57"/>
        <v>31.31</v>
      </c>
      <c r="H455" s="221" t="s">
        <v>29</v>
      </c>
      <c r="I455" s="222">
        <f t="shared" si="56"/>
        <v>13557.268999999991</v>
      </c>
      <c r="J455" s="220">
        <f t="shared" si="58"/>
        <v>7797.7310000000089</v>
      </c>
      <c r="K455" s="519"/>
      <c r="L455" s="231"/>
      <c r="M455" s="750"/>
      <c r="N455" s="751"/>
      <c r="O455" s="29"/>
      <c r="P455" s="29"/>
      <c r="Q455" s="29"/>
      <c r="R455" s="29"/>
      <c r="S455" s="29"/>
      <c r="T455" s="29"/>
      <c r="U455" s="29"/>
      <c r="V455" s="29"/>
      <c r="W455" s="29"/>
      <c r="X455" s="29"/>
    </row>
    <row r="456" spans="1:24" ht="20.100000000000001" customHeight="1">
      <c r="A456" s="732" t="s">
        <v>153</v>
      </c>
      <c r="B456" s="733"/>
      <c r="C456" s="734" t="s">
        <v>64</v>
      </c>
      <c r="D456" s="734"/>
      <c r="E456" s="734"/>
      <c r="F456" s="223">
        <v>31.26</v>
      </c>
      <c r="G456" s="223">
        <f t="shared" si="57"/>
        <v>31.26</v>
      </c>
      <c r="H456" s="224" t="s">
        <v>29</v>
      </c>
      <c r="I456" s="225">
        <f t="shared" si="56"/>
        <v>13588.528999999991</v>
      </c>
      <c r="J456" s="223">
        <f t="shared" si="58"/>
        <v>7766.4710000000086</v>
      </c>
      <c r="K456" s="518"/>
      <c r="L456" s="233"/>
      <c r="M456" s="750"/>
      <c r="N456" s="751"/>
      <c r="O456" s="29"/>
      <c r="P456" s="29"/>
      <c r="Q456" s="29"/>
      <c r="R456" s="29"/>
      <c r="S456" s="29"/>
      <c r="T456" s="29"/>
      <c r="U456" s="29"/>
      <c r="V456" s="29"/>
      <c r="W456" s="29"/>
      <c r="X456" s="29"/>
    </row>
    <row r="457" spans="1:24" ht="20.100000000000001" customHeight="1">
      <c r="A457" s="732"/>
      <c r="B457" s="733"/>
      <c r="C457" s="734" t="s">
        <v>64</v>
      </c>
      <c r="D457" s="734"/>
      <c r="E457" s="734"/>
      <c r="F457" s="223">
        <v>31.23</v>
      </c>
      <c r="G457" s="223">
        <f t="shared" si="57"/>
        <v>31.23</v>
      </c>
      <c r="H457" s="224" t="s">
        <v>29</v>
      </c>
      <c r="I457" s="225">
        <f t="shared" si="56"/>
        <v>13619.758999999991</v>
      </c>
      <c r="J457" s="223">
        <f t="shared" si="58"/>
        <v>7735.2410000000091</v>
      </c>
      <c r="K457" s="518"/>
      <c r="L457" s="233"/>
      <c r="M457" s="750"/>
      <c r="N457" s="751"/>
      <c r="O457" s="29"/>
      <c r="P457" s="29"/>
      <c r="Q457" s="29"/>
      <c r="R457" s="29"/>
      <c r="S457" s="29"/>
      <c r="T457" s="29"/>
      <c r="U457" s="29"/>
      <c r="V457" s="29"/>
      <c r="W457" s="29"/>
      <c r="X457" s="29"/>
    </row>
    <row r="458" spans="1:24" ht="20.100000000000001" customHeight="1">
      <c r="A458" s="732"/>
      <c r="B458" s="733"/>
      <c r="C458" s="734" t="s">
        <v>64</v>
      </c>
      <c r="D458" s="734"/>
      <c r="E458" s="734"/>
      <c r="F458" s="223">
        <v>31.85</v>
      </c>
      <c r="G458" s="223">
        <f t="shared" si="57"/>
        <v>31.85</v>
      </c>
      <c r="H458" s="224" t="s">
        <v>29</v>
      </c>
      <c r="I458" s="225">
        <f t="shared" si="56"/>
        <v>13651.608999999991</v>
      </c>
      <c r="J458" s="223">
        <f t="shared" si="58"/>
        <v>7703.3910000000087</v>
      </c>
      <c r="K458" s="518"/>
      <c r="L458" s="233"/>
      <c r="M458" s="750"/>
      <c r="N458" s="751"/>
      <c r="O458" s="29"/>
      <c r="P458" s="29"/>
      <c r="Q458" s="29"/>
      <c r="R458" s="29"/>
      <c r="S458" s="29"/>
      <c r="T458" s="29"/>
      <c r="U458" s="29"/>
      <c r="V458" s="29"/>
      <c r="W458" s="29"/>
      <c r="X458" s="29"/>
    </row>
    <row r="459" spans="1:24" ht="20.100000000000001" customHeight="1">
      <c r="A459" s="681" t="s">
        <v>154</v>
      </c>
      <c r="B459" s="682"/>
      <c r="C459" s="683" t="s">
        <v>64</v>
      </c>
      <c r="D459" s="683"/>
      <c r="E459" s="683"/>
      <c r="F459" s="220">
        <v>31.31</v>
      </c>
      <c r="G459" s="220">
        <f t="shared" si="57"/>
        <v>31.31</v>
      </c>
      <c r="H459" s="221" t="s">
        <v>29</v>
      </c>
      <c r="I459" s="222">
        <f t="shared" ref="I459:I465" si="59">IF(H459="IN",I458+G459,I458)</f>
        <v>13682.918999999991</v>
      </c>
      <c r="J459" s="220">
        <f t="shared" ref="J459:J465" si="60">IF(I459="","",$M$10-I459)</f>
        <v>7672.0810000000092</v>
      </c>
      <c r="K459" s="519"/>
      <c r="L459" s="231"/>
      <c r="M459" s="421"/>
      <c r="N459" s="422"/>
      <c r="O459" s="29"/>
      <c r="P459" s="29"/>
      <c r="Q459" s="29"/>
      <c r="R459" s="29"/>
      <c r="S459" s="29"/>
      <c r="T459" s="29"/>
      <c r="U459" s="29"/>
      <c r="V459" s="29"/>
      <c r="W459" s="29"/>
      <c r="X459" s="29"/>
    </row>
    <row r="460" spans="1:24" ht="20.100000000000001" customHeight="1">
      <c r="A460" s="681"/>
      <c r="B460" s="682"/>
      <c r="C460" s="683" t="s">
        <v>64</v>
      </c>
      <c r="D460" s="683"/>
      <c r="E460" s="683"/>
      <c r="F460" s="220">
        <v>31.06</v>
      </c>
      <c r="G460" s="220">
        <f t="shared" si="57"/>
        <v>31.06</v>
      </c>
      <c r="H460" s="221" t="s">
        <v>29</v>
      </c>
      <c r="I460" s="222">
        <f t="shared" si="59"/>
        <v>13713.97899999999</v>
      </c>
      <c r="J460" s="220">
        <f t="shared" si="60"/>
        <v>7641.0210000000097</v>
      </c>
      <c r="K460" s="519"/>
      <c r="L460" s="231"/>
      <c r="M460" s="421"/>
      <c r="N460" s="422"/>
      <c r="O460" s="29"/>
      <c r="P460" s="29"/>
      <c r="Q460" s="29"/>
      <c r="R460" s="29"/>
      <c r="S460" s="29"/>
      <c r="T460" s="29"/>
      <c r="U460" s="29"/>
      <c r="V460" s="29"/>
      <c r="W460" s="29"/>
      <c r="X460" s="29"/>
    </row>
    <row r="461" spans="1:24" ht="20.100000000000001" customHeight="1">
      <c r="A461" s="681"/>
      <c r="B461" s="682"/>
      <c r="C461" s="683" t="s">
        <v>64</v>
      </c>
      <c r="D461" s="683"/>
      <c r="E461" s="683"/>
      <c r="F461" s="220">
        <v>31.03</v>
      </c>
      <c r="G461" s="220">
        <f t="shared" si="57"/>
        <v>31.03</v>
      </c>
      <c r="H461" s="221" t="s">
        <v>29</v>
      </c>
      <c r="I461" s="222">
        <f t="shared" si="59"/>
        <v>13745.008999999991</v>
      </c>
      <c r="J461" s="220">
        <f t="shared" si="60"/>
        <v>7609.9910000000091</v>
      </c>
      <c r="K461" s="519"/>
      <c r="L461" s="231"/>
      <c r="M461" s="421"/>
      <c r="N461" s="422"/>
      <c r="O461" s="29"/>
      <c r="P461" s="29"/>
      <c r="Q461" s="29"/>
      <c r="R461" s="29"/>
      <c r="S461" s="29"/>
      <c r="T461" s="29"/>
      <c r="U461" s="29"/>
      <c r="V461" s="29"/>
      <c r="W461" s="29"/>
      <c r="X461" s="29"/>
    </row>
    <row r="462" spans="1:24" ht="20.100000000000001" customHeight="1">
      <c r="A462" s="732" t="s">
        <v>155</v>
      </c>
      <c r="B462" s="733"/>
      <c r="C462" s="734" t="s">
        <v>64</v>
      </c>
      <c r="D462" s="734"/>
      <c r="E462" s="734"/>
      <c r="F462" s="223">
        <v>31.3</v>
      </c>
      <c r="G462" s="223">
        <f t="shared" si="57"/>
        <v>31.3</v>
      </c>
      <c r="H462" s="224" t="s">
        <v>29</v>
      </c>
      <c r="I462" s="225">
        <f t="shared" si="59"/>
        <v>13776.30899999999</v>
      </c>
      <c r="J462" s="223">
        <f t="shared" si="60"/>
        <v>7578.6910000000098</v>
      </c>
      <c r="K462" s="518"/>
      <c r="L462" s="233"/>
      <c r="M462" s="421"/>
      <c r="N462" s="422"/>
      <c r="O462" s="29"/>
      <c r="P462" s="29"/>
      <c r="Q462" s="29"/>
      <c r="R462" s="29"/>
      <c r="S462" s="29"/>
      <c r="T462" s="29"/>
      <c r="U462" s="29"/>
      <c r="V462" s="29"/>
      <c r="W462" s="29"/>
      <c r="X462" s="29"/>
    </row>
    <row r="463" spans="1:24" ht="20.100000000000001" customHeight="1">
      <c r="A463" s="732"/>
      <c r="B463" s="733"/>
      <c r="C463" s="734" t="s">
        <v>64</v>
      </c>
      <c r="D463" s="734"/>
      <c r="E463" s="734"/>
      <c r="F463" s="223">
        <v>31.3</v>
      </c>
      <c r="G463" s="223">
        <f t="shared" si="57"/>
        <v>31.3</v>
      </c>
      <c r="H463" s="224" t="s">
        <v>29</v>
      </c>
      <c r="I463" s="225">
        <f t="shared" si="59"/>
        <v>13807.608999999989</v>
      </c>
      <c r="J463" s="223">
        <f t="shared" si="60"/>
        <v>7547.3910000000105</v>
      </c>
      <c r="K463" s="518"/>
      <c r="L463" s="233"/>
      <c r="M463" s="421"/>
      <c r="N463" s="422"/>
      <c r="O463" s="29"/>
      <c r="P463" s="29"/>
      <c r="Q463" s="29"/>
      <c r="R463" s="29"/>
      <c r="S463" s="29"/>
      <c r="T463" s="29"/>
      <c r="U463" s="29"/>
      <c r="V463" s="29"/>
      <c r="W463" s="29"/>
      <c r="X463" s="29"/>
    </row>
    <row r="464" spans="1:24" ht="20.100000000000001" customHeight="1" thickBot="1">
      <c r="A464" s="732"/>
      <c r="B464" s="733"/>
      <c r="C464" s="734" t="s">
        <v>64</v>
      </c>
      <c r="D464" s="734"/>
      <c r="E464" s="734"/>
      <c r="F464" s="223">
        <v>30.92</v>
      </c>
      <c r="G464" s="423">
        <f t="shared" si="57"/>
        <v>30.92</v>
      </c>
      <c r="H464" s="424" t="s">
        <v>29</v>
      </c>
      <c r="I464" s="425">
        <f t="shared" si="59"/>
        <v>13838.52899999999</v>
      </c>
      <c r="J464" s="423">
        <f t="shared" si="60"/>
        <v>7516.4710000000105</v>
      </c>
      <c r="K464" s="520"/>
      <c r="L464" s="426"/>
      <c r="M464" s="421"/>
      <c r="N464" s="422"/>
      <c r="O464" s="29"/>
      <c r="P464" s="29"/>
      <c r="Q464" s="29"/>
      <c r="R464" s="29"/>
      <c r="S464" s="29"/>
      <c r="T464" s="29"/>
      <c r="U464" s="29"/>
      <c r="V464" s="29"/>
      <c r="W464" s="29"/>
      <c r="X464" s="29"/>
    </row>
    <row r="465" spans="1:24" ht="20.100000000000001" customHeight="1">
      <c r="A465" s="699" t="s">
        <v>248</v>
      </c>
      <c r="B465" s="700"/>
      <c r="C465" s="703" t="s">
        <v>195</v>
      </c>
      <c r="D465" s="704"/>
      <c r="E465" s="705"/>
      <c r="F465" s="235">
        <v>30.22</v>
      </c>
      <c r="G465" s="206">
        <f t="shared" si="57"/>
        <v>30.22</v>
      </c>
      <c r="H465" s="207" t="s">
        <v>29</v>
      </c>
      <c r="I465" s="208">
        <f t="shared" si="59"/>
        <v>13868.748999999989</v>
      </c>
      <c r="J465" s="206">
        <f t="shared" si="60"/>
        <v>7486.2510000000111</v>
      </c>
      <c r="K465" s="521"/>
      <c r="L465" s="229"/>
      <c r="M465" s="750"/>
      <c r="N465" s="751"/>
      <c r="O465" s="29"/>
      <c r="P465" s="29"/>
      <c r="Q465" s="29"/>
      <c r="R465" s="29"/>
      <c r="S465" s="29"/>
      <c r="T465" s="29"/>
      <c r="U465" s="29"/>
      <c r="V465" s="29"/>
      <c r="W465" s="29"/>
      <c r="X465" s="29"/>
    </row>
    <row r="466" spans="1:24" ht="20.100000000000001" customHeight="1">
      <c r="A466" s="701"/>
      <c r="B466" s="702"/>
      <c r="C466" s="708" t="s">
        <v>195</v>
      </c>
      <c r="D466" s="709"/>
      <c r="E466" s="710"/>
      <c r="F466" s="255">
        <v>30.28</v>
      </c>
      <c r="G466" s="217">
        <f t="shared" si="57"/>
        <v>30.28</v>
      </c>
      <c r="H466" s="218" t="s">
        <v>29</v>
      </c>
      <c r="I466" s="219">
        <f t="shared" ref="I466" si="61">IF(H466="IN",I465+G466,I465)</f>
        <v>13899.02899999999</v>
      </c>
      <c r="J466" s="217">
        <f t="shared" si="58"/>
        <v>7455.9710000000105</v>
      </c>
      <c r="K466" s="522"/>
      <c r="L466" s="230"/>
      <c r="M466" s="750"/>
      <c r="N466" s="751"/>
      <c r="O466" s="29"/>
      <c r="P466" s="29"/>
      <c r="Q466" s="29"/>
      <c r="R466" s="29"/>
      <c r="S466" s="29"/>
      <c r="T466" s="29"/>
      <c r="U466" s="29"/>
      <c r="V466" s="29"/>
      <c r="W466" s="29"/>
      <c r="X466" s="29"/>
    </row>
    <row r="467" spans="1:24" ht="20.100000000000001" customHeight="1" thickBot="1">
      <c r="A467" s="701"/>
      <c r="B467" s="702"/>
      <c r="C467" s="708" t="s">
        <v>195</v>
      </c>
      <c r="D467" s="709"/>
      <c r="E467" s="710"/>
      <c r="F467" s="257">
        <v>29.99</v>
      </c>
      <c r="G467" s="217">
        <f t="shared" si="57"/>
        <v>29.99</v>
      </c>
      <c r="H467" s="218" t="s">
        <v>29</v>
      </c>
      <c r="I467" s="219">
        <f>IF(H467="IN",I466+G467,I466)</f>
        <v>13929.018999999989</v>
      </c>
      <c r="J467" s="217">
        <f t="shared" si="58"/>
        <v>7425.9810000000107</v>
      </c>
      <c r="K467" s="522"/>
      <c r="L467" s="230"/>
      <c r="M467" s="750"/>
      <c r="N467" s="751"/>
      <c r="O467" s="29"/>
      <c r="P467" s="29"/>
      <c r="Q467" s="29"/>
      <c r="R467" s="29"/>
      <c r="S467" s="29"/>
      <c r="T467" s="29"/>
      <c r="U467" s="29"/>
      <c r="V467" s="29"/>
      <c r="W467" s="29"/>
      <c r="X467" s="29"/>
    </row>
    <row r="468" spans="1:24" ht="20.100000000000001" customHeight="1">
      <c r="A468" s="699" t="s">
        <v>249</v>
      </c>
      <c r="B468" s="700"/>
      <c r="C468" s="703" t="s">
        <v>195</v>
      </c>
      <c r="D468" s="704"/>
      <c r="E468" s="705"/>
      <c r="F468" s="235">
        <v>30.11</v>
      </c>
      <c r="G468" s="206">
        <f t="shared" ref="G468:G470" si="62">F468</f>
        <v>30.11</v>
      </c>
      <c r="H468" s="207" t="s">
        <v>29</v>
      </c>
      <c r="I468" s="208">
        <f>IF(H468="IN",I467+G468,I467)</f>
        <v>13959.12899999999</v>
      </c>
      <c r="J468" s="206">
        <f t="shared" ref="J468:J470" si="63">IF(I468="","",$M$10-I468)</f>
        <v>7395.8710000000101</v>
      </c>
      <c r="K468" s="521"/>
      <c r="L468" s="229"/>
      <c r="M468" s="750"/>
      <c r="N468" s="751"/>
      <c r="O468" s="29"/>
      <c r="P468" s="29"/>
      <c r="Q468" s="29"/>
      <c r="R468" s="29"/>
      <c r="S468" s="29"/>
      <c r="T468" s="29"/>
      <c r="U468" s="29"/>
      <c r="V468" s="29"/>
      <c r="W468" s="29"/>
      <c r="X468" s="29"/>
    </row>
    <row r="469" spans="1:24" ht="20.100000000000001" customHeight="1">
      <c r="A469" s="701"/>
      <c r="B469" s="702"/>
      <c r="C469" s="708" t="s">
        <v>195</v>
      </c>
      <c r="D469" s="709"/>
      <c r="E469" s="710"/>
      <c r="F469" s="255">
        <v>29.79</v>
      </c>
      <c r="G469" s="217">
        <f t="shared" si="62"/>
        <v>29.79</v>
      </c>
      <c r="H469" s="218" t="s">
        <v>29</v>
      </c>
      <c r="I469" s="219">
        <f t="shared" ref="I469" si="64">IF(H469="IN",I468+G469,I468)</f>
        <v>13988.918999999991</v>
      </c>
      <c r="J469" s="217">
        <f t="shared" si="63"/>
        <v>7366.0810000000092</v>
      </c>
      <c r="K469" s="522"/>
      <c r="L469" s="230"/>
      <c r="M469" s="750"/>
      <c r="N469" s="751"/>
      <c r="O469" s="29"/>
      <c r="P469" s="29"/>
      <c r="Q469" s="29"/>
      <c r="R469" s="29"/>
      <c r="S469" s="29"/>
      <c r="T469" s="29"/>
      <c r="U469" s="29"/>
      <c r="V469" s="29"/>
      <c r="W469" s="29"/>
      <c r="X469" s="29"/>
    </row>
    <row r="470" spans="1:24" ht="20.100000000000001" customHeight="1" thickBot="1">
      <c r="A470" s="701"/>
      <c r="B470" s="702"/>
      <c r="C470" s="708" t="s">
        <v>195</v>
      </c>
      <c r="D470" s="709"/>
      <c r="E470" s="710"/>
      <c r="F470" s="257">
        <v>30.19</v>
      </c>
      <c r="G470" s="217">
        <f t="shared" si="62"/>
        <v>30.19</v>
      </c>
      <c r="H470" s="218" t="s">
        <v>29</v>
      </c>
      <c r="I470" s="219">
        <f>IF(H470="IN",I469+G470,I469)</f>
        <v>14019.108999999991</v>
      </c>
      <c r="J470" s="217">
        <f t="shared" si="63"/>
        <v>7335.8910000000087</v>
      </c>
      <c r="K470" s="522"/>
      <c r="L470" s="230"/>
      <c r="M470" s="750"/>
      <c r="N470" s="751"/>
      <c r="O470" s="29"/>
      <c r="P470" s="29"/>
      <c r="Q470" s="29"/>
      <c r="R470" s="29"/>
      <c r="S470" s="29"/>
      <c r="T470" s="29"/>
      <c r="U470" s="29"/>
      <c r="V470" s="29"/>
      <c r="W470" s="29"/>
      <c r="X470" s="29"/>
    </row>
    <row r="471" spans="1:24" ht="20.100000000000001" customHeight="1">
      <c r="A471" s="699" t="s">
        <v>212</v>
      </c>
      <c r="B471" s="700"/>
      <c r="C471" s="703" t="s">
        <v>195</v>
      </c>
      <c r="D471" s="704"/>
      <c r="E471" s="705"/>
      <c r="F471" s="235">
        <v>30.18</v>
      </c>
      <c r="G471" s="206">
        <f t="shared" ref="G471:G479" si="65">F471</f>
        <v>30.18</v>
      </c>
      <c r="H471" s="207" t="s">
        <v>29</v>
      </c>
      <c r="I471" s="208">
        <f>IF(H471="IN",I470+G471,I470)</f>
        <v>14049.288999999992</v>
      </c>
      <c r="J471" s="206">
        <f t="shared" ref="J471:J479" si="66">IF(I471="","",$M$10-I471)</f>
        <v>7305.7110000000084</v>
      </c>
      <c r="K471" s="521"/>
      <c r="L471" s="229"/>
      <c r="M471" s="750"/>
      <c r="N471" s="751"/>
      <c r="O471" s="29"/>
      <c r="P471" s="29"/>
      <c r="Q471" s="29"/>
      <c r="R471" s="29"/>
      <c r="S471" s="29"/>
      <c r="T471" s="29"/>
      <c r="U471" s="29"/>
      <c r="V471" s="29"/>
      <c r="W471" s="29"/>
      <c r="X471" s="29"/>
    </row>
    <row r="472" spans="1:24" ht="20.100000000000001" customHeight="1">
      <c r="A472" s="701"/>
      <c r="B472" s="702"/>
      <c r="C472" s="708" t="s">
        <v>195</v>
      </c>
      <c r="D472" s="709"/>
      <c r="E472" s="710"/>
      <c r="F472" s="255">
        <v>29.98</v>
      </c>
      <c r="G472" s="217">
        <f t="shared" si="65"/>
        <v>29.98</v>
      </c>
      <c r="H472" s="218" t="s">
        <v>29</v>
      </c>
      <c r="I472" s="219">
        <f t="shared" ref="I472" si="67">IF(H472="IN",I471+G472,I471)</f>
        <v>14079.268999999991</v>
      </c>
      <c r="J472" s="217">
        <f t="shared" si="66"/>
        <v>7275.7310000000089</v>
      </c>
      <c r="K472" s="522"/>
      <c r="L472" s="230"/>
      <c r="M472" s="750"/>
      <c r="N472" s="751"/>
      <c r="O472" s="29"/>
      <c r="P472" s="29"/>
      <c r="Q472" s="29"/>
      <c r="R472" s="29"/>
      <c r="S472" s="29"/>
      <c r="T472" s="29"/>
      <c r="U472" s="29"/>
      <c r="V472" s="29"/>
      <c r="W472" s="29"/>
      <c r="X472" s="29"/>
    </row>
    <row r="473" spans="1:24" ht="20.100000000000001" customHeight="1" thickBot="1">
      <c r="A473" s="701"/>
      <c r="B473" s="702"/>
      <c r="C473" s="708" t="s">
        <v>195</v>
      </c>
      <c r="D473" s="709"/>
      <c r="E473" s="710"/>
      <c r="F473" s="257">
        <v>31.1</v>
      </c>
      <c r="G473" s="217">
        <f t="shared" si="65"/>
        <v>31.1</v>
      </c>
      <c r="H473" s="218" t="s">
        <v>29</v>
      </c>
      <c r="I473" s="219">
        <f>IF(H473="IN",I472+G473,I472)</f>
        <v>14110.368999999992</v>
      </c>
      <c r="J473" s="217">
        <f t="shared" si="66"/>
        <v>7244.6310000000085</v>
      </c>
      <c r="K473" s="522"/>
      <c r="L473" s="230"/>
      <c r="M473" s="750"/>
      <c r="N473" s="751"/>
      <c r="O473" s="29"/>
      <c r="P473" s="29"/>
      <c r="Q473" s="29"/>
      <c r="R473" s="29"/>
      <c r="S473" s="29"/>
      <c r="T473" s="29"/>
      <c r="U473" s="29"/>
      <c r="V473" s="29"/>
      <c r="W473" s="29"/>
      <c r="X473" s="29"/>
    </row>
    <row r="474" spans="1:24" ht="20.100000000000001" customHeight="1">
      <c r="A474" s="699" t="s">
        <v>250</v>
      </c>
      <c r="B474" s="700"/>
      <c r="C474" s="703" t="s">
        <v>195</v>
      </c>
      <c r="D474" s="704"/>
      <c r="E474" s="705"/>
      <c r="F474" s="235">
        <v>30.39</v>
      </c>
      <c r="G474" s="206">
        <f t="shared" si="65"/>
        <v>30.39</v>
      </c>
      <c r="H474" s="207" t="s">
        <v>29</v>
      </c>
      <c r="I474" s="208">
        <f>IF(H474="IN",I473+G474,I473)</f>
        <v>14140.758999999991</v>
      </c>
      <c r="J474" s="206">
        <f t="shared" si="66"/>
        <v>7214.2410000000091</v>
      </c>
      <c r="K474" s="521"/>
      <c r="L474" s="229"/>
      <c r="M474" s="750"/>
      <c r="N474" s="751"/>
      <c r="O474" s="29"/>
      <c r="P474" s="29"/>
      <c r="Q474" s="29"/>
      <c r="R474" s="29"/>
      <c r="S474" s="29"/>
      <c r="T474" s="29"/>
      <c r="U474" s="29"/>
      <c r="V474" s="29"/>
      <c r="W474" s="29"/>
      <c r="X474" s="29"/>
    </row>
    <row r="475" spans="1:24" ht="20.100000000000001" customHeight="1">
      <c r="A475" s="701"/>
      <c r="B475" s="702"/>
      <c r="C475" s="708" t="s">
        <v>195</v>
      </c>
      <c r="D475" s="709"/>
      <c r="E475" s="710"/>
      <c r="F475" s="255">
        <v>30.54</v>
      </c>
      <c r="G475" s="217">
        <f t="shared" si="65"/>
        <v>30.54</v>
      </c>
      <c r="H475" s="218" t="s">
        <v>29</v>
      </c>
      <c r="I475" s="219">
        <f t="shared" ref="I475" si="68">IF(H475="IN",I474+G475,I474)</f>
        <v>14171.298999999992</v>
      </c>
      <c r="J475" s="217">
        <f t="shared" si="66"/>
        <v>7183.7010000000082</v>
      </c>
      <c r="K475" s="522"/>
      <c r="L475" s="230"/>
      <c r="M475" s="750"/>
      <c r="N475" s="751"/>
      <c r="O475" s="29"/>
      <c r="P475" s="29"/>
      <c r="Q475" s="29"/>
      <c r="R475" s="29"/>
      <c r="S475" s="29"/>
      <c r="T475" s="29"/>
      <c r="U475" s="29"/>
      <c r="V475" s="29"/>
      <c r="W475" s="29"/>
      <c r="X475" s="29"/>
    </row>
    <row r="476" spans="1:24" ht="20.100000000000001" customHeight="1" thickBot="1">
      <c r="A476" s="701"/>
      <c r="B476" s="702"/>
      <c r="C476" s="708" t="s">
        <v>195</v>
      </c>
      <c r="D476" s="709"/>
      <c r="E476" s="710"/>
      <c r="F476" s="257">
        <v>30.17</v>
      </c>
      <c r="G476" s="217">
        <f t="shared" si="65"/>
        <v>30.17</v>
      </c>
      <c r="H476" s="218" t="s">
        <v>29</v>
      </c>
      <c r="I476" s="219">
        <f>IF(H476="IN",I475+G476,I475)</f>
        <v>14201.468999999992</v>
      </c>
      <c r="J476" s="217">
        <f t="shared" si="66"/>
        <v>7153.5310000000081</v>
      </c>
      <c r="K476" s="522"/>
      <c r="L476" s="230"/>
      <c r="M476" s="750"/>
      <c r="N476" s="751"/>
      <c r="O476" s="29"/>
      <c r="P476" s="29"/>
      <c r="Q476" s="29"/>
      <c r="R476" s="29"/>
      <c r="S476" s="29"/>
      <c r="T476" s="29"/>
      <c r="U476" s="29"/>
      <c r="V476" s="29"/>
      <c r="W476" s="29"/>
      <c r="X476" s="29"/>
    </row>
    <row r="477" spans="1:24" ht="20.100000000000001" customHeight="1">
      <c r="A477" s="699" t="s">
        <v>213</v>
      </c>
      <c r="B477" s="700"/>
      <c r="C477" s="703" t="s">
        <v>195</v>
      </c>
      <c r="D477" s="704"/>
      <c r="E477" s="705"/>
      <c r="F477" s="235">
        <v>30.27</v>
      </c>
      <c r="G477" s="206">
        <f t="shared" si="65"/>
        <v>30.27</v>
      </c>
      <c r="H477" s="207" t="s">
        <v>29</v>
      </c>
      <c r="I477" s="208">
        <f>IF(H477="IN",I476+G477,I476)</f>
        <v>14231.738999999992</v>
      </c>
      <c r="J477" s="206">
        <f t="shared" si="66"/>
        <v>7123.2610000000077</v>
      </c>
      <c r="K477" s="521"/>
      <c r="L477" s="229"/>
      <c r="M477" s="750"/>
      <c r="N477" s="751"/>
      <c r="O477" s="29"/>
      <c r="P477" s="29"/>
      <c r="Q477" s="29"/>
      <c r="R477" s="29"/>
      <c r="S477" s="29"/>
      <c r="T477" s="29"/>
      <c r="U477" s="29"/>
      <c r="V477" s="29"/>
      <c r="W477" s="29"/>
      <c r="X477" s="29"/>
    </row>
    <row r="478" spans="1:24" ht="20.100000000000001" customHeight="1">
      <c r="A478" s="701"/>
      <c r="B478" s="702"/>
      <c r="C478" s="708" t="s">
        <v>195</v>
      </c>
      <c r="D478" s="709"/>
      <c r="E478" s="710"/>
      <c r="F478" s="255">
        <v>31.25</v>
      </c>
      <c r="G478" s="217">
        <f t="shared" si="65"/>
        <v>31.25</v>
      </c>
      <c r="H478" s="218" t="s">
        <v>29</v>
      </c>
      <c r="I478" s="219">
        <f t="shared" ref="I478" si="69">IF(H478="IN",I477+G478,I477)</f>
        <v>14262.988999999992</v>
      </c>
      <c r="J478" s="217">
        <f t="shared" si="66"/>
        <v>7092.0110000000077</v>
      </c>
      <c r="K478" s="522"/>
      <c r="L478" s="230"/>
      <c r="M478" s="750"/>
      <c r="N478" s="751"/>
      <c r="O478" s="29"/>
      <c r="P478" s="29"/>
      <c r="Q478" s="29"/>
      <c r="R478" s="29"/>
      <c r="S478" s="29"/>
      <c r="T478" s="29"/>
      <c r="U478" s="29"/>
      <c r="V478" s="29"/>
      <c r="W478" s="29"/>
      <c r="X478" s="29"/>
    </row>
    <row r="479" spans="1:24" ht="20.100000000000001" customHeight="1" thickBot="1">
      <c r="A479" s="701"/>
      <c r="B479" s="702"/>
      <c r="C479" s="708" t="s">
        <v>195</v>
      </c>
      <c r="D479" s="709"/>
      <c r="E479" s="710"/>
      <c r="F479" s="257">
        <v>31.16</v>
      </c>
      <c r="G479" s="217">
        <f t="shared" si="65"/>
        <v>31.16</v>
      </c>
      <c r="H479" s="218" t="s">
        <v>29</v>
      </c>
      <c r="I479" s="219">
        <f>IF(H479="IN",I478+G479,I478)</f>
        <v>14294.148999999992</v>
      </c>
      <c r="J479" s="217">
        <f t="shared" si="66"/>
        <v>7060.8510000000078</v>
      </c>
      <c r="K479" s="522"/>
      <c r="L479" s="230"/>
      <c r="M479" s="750"/>
      <c r="N479" s="751"/>
      <c r="O479" s="29"/>
      <c r="P479" s="29"/>
      <c r="Q479" s="29"/>
      <c r="R479" s="29"/>
      <c r="S479" s="29"/>
      <c r="T479" s="29"/>
      <c r="U479" s="29"/>
      <c r="V479" s="29"/>
      <c r="W479" s="29"/>
      <c r="X479" s="29"/>
    </row>
    <row r="480" spans="1:24" ht="20.100000000000001" customHeight="1">
      <c r="A480" s="699" t="s">
        <v>214</v>
      </c>
      <c r="B480" s="700"/>
      <c r="C480" s="703" t="s">
        <v>195</v>
      </c>
      <c r="D480" s="704"/>
      <c r="E480" s="705"/>
      <c r="F480" s="235">
        <v>31.15</v>
      </c>
      <c r="G480" s="206">
        <f t="shared" ref="G480:G488" si="70">F480</f>
        <v>31.15</v>
      </c>
      <c r="H480" s="207" t="s">
        <v>29</v>
      </c>
      <c r="I480" s="208">
        <f>IF(H480="IN",I479+G480,I479)</f>
        <v>14325.298999999992</v>
      </c>
      <c r="J480" s="206">
        <f t="shared" ref="J480:J488" si="71">IF(I480="","",$M$10-I480)</f>
        <v>7029.7010000000082</v>
      </c>
      <c r="K480" s="521"/>
      <c r="L480" s="229"/>
      <c r="M480" s="750"/>
      <c r="N480" s="751"/>
      <c r="O480" s="29"/>
      <c r="P480" s="29"/>
      <c r="Q480" s="29"/>
      <c r="R480" s="29"/>
      <c r="S480" s="29"/>
      <c r="T480" s="29"/>
      <c r="U480" s="29"/>
      <c r="V480" s="29"/>
      <c r="W480" s="29"/>
      <c r="X480" s="29"/>
    </row>
    <row r="481" spans="1:24" ht="20.100000000000001" customHeight="1">
      <c r="A481" s="701"/>
      <c r="B481" s="702"/>
      <c r="C481" s="708" t="s">
        <v>195</v>
      </c>
      <c r="D481" s="709"/>
      <c r="E481" s="710"/>
      <c r="F481" s="255">
        <v>30.8</v>
      </c>
      <c r="G481" s="217">
        <f t="shared" si="70"/>
        <v>30.8</v>
      </c>
      <c r="H481" s="218" t="s">
        <v>29</v>
      </c>
      <c r="I481" s="219">
        <f t="shared" ref="I481" si="72">IF(H481="IN",I480+G481,I480)</f>
        <v>14356.098999999991</v>
      </c>
      <c r="J481" s="217">
        <f t="shared" si="71"/>
        <v>6998.9010000000089</v>
      </c>
      <c r="K481" s="522"/>
      <c r="L481" s="230"/>
      <c r="M481" s="750"/>
      <c r="N481" s="751"/>
      <c r="O481" s="29"/>
      <c r="P481" s="29"/>
      <c r="Q481" s="29"/>
      <c r="R481" s="29"/>
      <c r="S481" s="29"/>
      <c r="T481" s="29"/>
      <c r="U481" s="29"/>
      <c r="V481" s="29"/>
      <c r="W481" s="29"/>
      <c r="X481" s="29"/>
    </row>
    <row r="482" spans="1:24" ht="20.100000000000001" customHeight="1" thickBot="1">
      <c r="A482" s="701"/>
      <c r="B482" s="702"/>
      <c r="C482" s="708" t="s">
        <v>195</v>
      </c>
      <c r="D482" s="709"/>
      <c r="E482" s="710"/>
      <c r="F482" s="257">
        <v>30.51</v>
      </c>
      <c r="G482" s="217">
        <f t="shared" si="70"/>
        <v>30.51</v>
      </c>
      <c r="H482" s="218" t="s">
        <v>29</v>
      </c>
      <c r="I482" s="219">
        <f>IF(H482="IN",I481+G482,I481)</f>
        <v>14386.608999999991</v>
      </c>
      <c r="J482" s="217">
        <f t="shared" si="71"/>
        <v>6968.3910000000087</v>
      </c>
      <c r="K482" s="522"/>
      <c r="L482" s="230"/>
      <c r="M482" s="750"/>
      <c r="N482" s="751"/>
      <c r="O482" s="29"/>
      <c r="P482" s="29"/>
      <c r="Q482" s="29"/>
      <c r="R482" s="29"/>
      <c r="S482" s="29"/>
      <c r="T482" s="29"/>
      <c r="U482" s="29"/>
      <c r="V482" s="29"/>
      <c r="W482" s="29"/>
      <c r="X482" s="29"/>
    </row>
    <row r="483" spans="1:24" ht="20.100000000000001" customHeight="1">
      <c r="A483" s="699" t="s">
        <v>251</v>
      </c>
      <c r="B483" s="700"/>
      <c r="C483" s="703" t="s">
        <v>195</v>
      </c>
      <c r="D483" s="704"/>
      <c r="E483" s="705"/>
      <c r="F483" s="235">
        <v>29.9</v>
      </c>
      <c r="G483" s="206">
        <f t="shared" si="70"/>
        <v>29.9</v>
      </c>
      <c r="H483" s="207" t="s">
        <v>29</v>
      </c>
      <c r="I483" s="208">
        <f>IF(H483="IN",I482+G483,I482)</f>
        <v>14416.508999999991</v>
      </c>
      <c r="J483" s="206">
        <f t="shared" si="71"/>
        <v>6938.4910000000091</v>
      </c>
      <c r="K483" s="521"/>
      <c r="L483" s="229"/>
      <c r="M483" s="750"/>
      <c r="N483" s="751"/>
      <c r="O483" s="29"/>
      <c r="P483" s="29"/>
      <c r="Q483" s="29"/>
      <c r="R483" s="29"/>
      <c r="S483" s="29"/>
      <c r="T483" s="29"/>
      <c r="U483" s="29"/>
      <c r="V483" s="29"/>
      <c r="W483" s="29"/>
      <c r="X483" s="29"/>
    </row>
    <row r="484" spans="1:24" ht="20.100000000000001" customHeight="1">
      <c r="A484" s="701"/>
      <c r="B484" s="702"/>
      <c r="C484" s="708" t="s">
        <v>195</v>
      </c>
      <c r="D484" s="709"/>
      <c r="E484" s="710"/>
      <c r="F484" s="255">
        <v>30.2</v>
      </c>
      <c r="G484" s="217">
        <f t="shared" si="70"/>
        <v>30.2</v>
      </c>
      <c r="H484" s="218" t="s">
        <v>29</v>
      </c>
      <c r="I484" s="219">
        <f t="shared" ref="I484" si="73">IF(H484="IN",I483+G484,I483)</f>
        <v>14446.708999999992</v>
      </c>
      <c r="J484" s="217">
        <f t="shared" si="71"/>
        <v>6908.2910000000084</v>
      </c>
      <c r="K484" s="522"/>
      <c r="L484" s="230"/>
      <c r="M484" s="750"/>
      <c r="N484" s="751"/>
      <c r="O484" s="29"/>
      <c r="P484" s="29"/>
      <c r="Q484" s="29"/>
      <c r="R484" s="29"/>
      <c r="S484" s="29"/>
      <c r="T484" s="29"/>
      <c r="U484" s="29"/>
      <c r="V484" s="29"/>
      <c r="W484" s="29"/>
      <c r="X484" s="29"/>
    </row>
    <row r="485" spans="1:24" ht="20.100000000000001" customHeight="1" thickBot="1">
      <c r="A485" s="701"/>
      <c r="B485" s="702"/>
      <c r="C485" s="708" t="s">
        <v>195</v>
      </c>
      <c r="D485" s="709"/>
      <c r="E485" s="710"/>
      <c r="F485" s="257">
        <v>30.35</v>
      </c>
      <c r="G485" s="217">
        <f t="shared" si="70"/>
        <v>30.35</v>
      </c>
      <c r="H485" s="218" t="s">
        <v>29</v>
      </c>
      <c r="I485" s="219">
        <f>IF(H485="IN",I484+G485,I484)</f>
        <v>14477.058999999992</v>
      </c>
      <c r="J485" s="217">
        <f t="shared" si="71"/>
        <v>6877.941000000008</v>
      </c>
      <c r="K485" s="522"/>
      <c r="L485" s="230"/>
      <c r="M485" s="750"/>
      <c r="N485" s="751"/>
      <c r="O485" s="29"/>
      <c r="P485" s="29"/>
      <c r="Q485" s="29"/>
      <c r="R485" s="29"/>
      <c r="S485" s="29"/>
      <c r="T485" s="29"/>
      <c r="U485" s="29"/>
      <c r="V485" s="29"/>
      <c r="W485" s="29"/>
      <c r="X485" s="29"/>
    </row>
    <row r="486" spans="1:24" ht="20.100000000000001" customHeight="1">
      <c r="A486" s="699" t="s">
        <v>252</v>
      </c>
      <c r="B486" s="700"/>
      <c r="C486" s="703" t="s">
        <v>195</v>
      </c>
      <c r="D486" s="704"/>
      <c r="E486" s="705"/>
      <c r="F486" s="235">
        <v>30.18</v>
      </c>
      <c r="G486" s="206">
        <f t="shared" si="70"/>
        <v>30.18</v>
      </c>
      <c r="H486" s="207" t="s">
        <v>29</v>
      </c>
      <c r="I486" s="208">
        <f>IF(H486="IN",I485+G486,I485)</f>
        <v>14507.238999999992</v>
      </c>
      <c r="J486" s="206">
        <f t="shared" si="71"/>
        <v>6847.7610000000077</v>
      </c>
      <c r="K486" s="521"/>
      <c r="L486" s="229"/>
      <c r="M486" s="750"/>
      <c r="N486" s="751"/>
      <c r="O486" s="29"/>
      <c r="P486" s="29"/>
      <c r="Q486" s="29"/>
      <c r="R486" s="29"/>
      <c r="S486" s="29"/>
      <c r="T486" s="29"/>
      <c r="U486" s="29"/>
      <c r="V486" s="29"/>
      <c r="W486" s="29"/>
      <c r="X486" s="29"/>
    </row>
    <row r="487" spans="1:24" ht="20.100000000000001" customHeight="1">
      <c r="A487" s="701"/>
      <c r="B487" s="702"/>
      <c r="C487" s="708" t="s">
        <v>195</v>
      </c>
      <c r="D487" s="709"/>
      <c r="E487" s="710"/>
      <c r="F487" s="255">
        <v>31.02</v>
      </c>
      <c r="G487" s="217">
        <f t="shared" si="70"/>
        <v>31.02</v>
      </c>
      <c r="H487" s="218" t="s">
        <v>29</v>
      </c>
      <c r="I487" s="219">
        <f t="shared" ref="I487" si="74">IF(H487="IN",I486+G487,I486)</f>
        <v>14538.258999999993</v>
      </c>
      <c r="J487" s="217">
        <f t="shared" si="71"/>
        <v>6816.7410000000073</v>
      </c>
      <c r="K487" s="522"/>
      <c r="L487" s="230"/>
      <c r="M487" s="750"/>
      <c r="N487" s="751"/>
      <c r="O487" s="29"/>
      <c r="P487" s="29"/>
      <c r="Q487" s="29"/>
      <c r="R487" s="29"/>
      <c r="S487" s="29"/>
      <c r="T487" s="29"/>
      <c r="U487" s="29"/>
      <c r="V487" s="29"/>
      <c r="W487" s="29"/>
      <c r="X487" s="29"/>
    </row>
    <row r="488" spans="1:24" ht="20.100000000000001" customHeight="1" thickBot="1">
      <c r="A488" s="701"/>
      <c r="B488" s="702"/>
      <c r="C488" s="708" t="s">
        <v>195</v>
      </c>
      <c r="D488" s="709"/>
      <c r="E488" s="710"/>
      <c r="F488" s="257">
        <v>31.18</v>
      </c>
      <c r="G488" s="217">
        <f t="shared" si="70"/>
        <v>31.18</v>
      </c>
      <c r="H488" s="218" t="s">
        <v>29</v>
      </c>
      <c r="I488" s="219">
        <f>IF(H488="IN",I487+G488,I487)</f>
        <v>14569.438999999993</v>
      </c>
      <c r="J488" s="217">
        <f t="shared" si="71"/>
        <v>6785.561000000007</v>
      </c>
      <c r="K488" s="522"/>
      <c r="L488" s="230"/>
      <c r="M488" s="750"/>
      <c r="N488" s="751"/>
      <c r="O488" s="29"/>
      <c r="P488" s="29"/>
      <c r="Q488" s="29"/>
      <c r="R488" s="29"/>
      <c r="S488" s="29"/>
      <c r="T488" s="29"/>
      <c r="U488" s="29"/>
      <c r="V488" s="29"/>
      <c r="W488" s="29"/>
      <c r="X488" s="29"/>
    </row>
    <row r="489" spans="1:24" ht="20.100000000000001" customHeight="1">
      <c r="A489" s="699" t="s">
        <v>253</v>
      </c>
      <c r="B489" s="700"/>
      <c r="C489" s="703" t="s">
        <v>195</v>
      </c>
      <c r="D489" s="704"/>
      <c r="E489" s="705"/>
      <c r="F489" s="235">
        <v>29.98</v>
      </c>
      <c r="G489" s="206">
        <f t="shared" ref="G489:G491" si="75">F489</f>
        <v>29.98</v>
      </c>
      <c r="H489" s="207" t="s">
        <v>29</v>
      </c>
      <c r="I489" s="208">
        <f>IF(H489="IN",I488+G489,I488)</f>
        <v>14599.418999999993</v>
      </c>
      <c r="J489" s="206">
        <f t="shared" ref="J489:J491" si="76">IF(I489="","",$M$10-I489)</f>
        <v>6755.5810000000074</v>
      </c>
      <c r="K489" s="521"/>
      <c r="L489" s="229"/>
      <c r="M489" s="750"/>
      <c r="N489" s="751"/>
      <c r="O489" s="29"/>
      <c r="P489" s="29"/>
      <c r="Q489" s="29"/>
      <c r="R489" s="29"/>
      <c r="S489" s="29"/>
      <c r="T489" s="29"/>
      <c r="U489" s="29"/>
      <c r="V489" s="29"/>
      <c r="W489" s="29"/>
      <c r="X489" s="29"/>
    </row>
    <row r="490" spans="1:24" ht="20.100000000000001" customHeight="1">
      <c r="A490" s="701"/>
      <c r="B490" s="702"/>
      <c r="C490" s="708" t="s">
        <v>195</v>
      </c>
      <c r="D490" s="709"/>
      <c r="E490" s="710"/>
      <c r="F490" s="255">
        <v>30.21</v>
      </c>
      <c r="G490" s="217">
        <f t="shared" si="75"/>
        <v>30.21</v>
      </c>
      <c r="H490" s="218" t="s">
        <v>29</v>
      </c>
      <c r="I490" s="219">
        <f t="shared" ref="I490" si="77">IF(H490="IN",I489+G490,I489)</f>
        <v>14629.628999999992</v>
      </c>
      <c r="J490" s="217">
        <f t="shared" si="76"/>
        <v>6725.3710000000083</v>
      </c>
      <c r="K490" s="522"/>
      <c r="L490" s="230"/>
      <c r="M490" s="750"/>
      <c r="N490" s="751"/>
      <c r="O490" s="29"/>
      <c r="P490" s="29"/>
      <c r="Q490" s="29"/>
      <c r="R490" s="29"/>
      <c r="S490" s="29"/>
      <c r="T490" s="29"/>
      <c r="U490" s="29"/>
      <c r="V490" s="29"/>
      <c r="W490" s="29"/>
      <c r="X490" s="29"/>
    </row>
    <row r="491" spans="1:24" ht="20.100000000000001" customHeight="1" thickBot="1">
      <c r="A491" s="701"/>
      <c r="B491" s="702"/>
      <c r="C491" s="708" t="s">
        <v>195</v>
      </c>
      <c r="D491" s="709"/>
      <c r="E491" s="710"/>
      <c r="F491" s="257">
        <v>30.24</v>
      </c>
      <c r="G491" s="217">
        <f t="shared" si="75"/>
        <v>30.24</v>
      </c>
      <c r="H491" s="218" t="s">
        <v>29</v>
      </c>
      <c r="I491" s="219">
        <f>IF(H491="IN",I490+G491,I490)</f>
        <v>14659.868999999992</v>
      </c>
      <c r="J491" s="217">
        <f t="shared" si="76"/>
        <v>6695.1310000000085</v>
      </c>
      <c r="K491" s="522"/>
      <c r="L491" s="230"/>
      <c r="M491" s="750"/>
      <c r="N491" s="751"/>
      <c r="O491" s="29"/>
      <c r="P491" s="29"/>
      <c r="Q491" s="29"/>
      <c r="R491" s="29"/>
      <c r="S491" s="29"/>
      <c r="T491" s="29"/>
      <c r="U491" s="29"/>
      <c r="V491" s="29"/>
      <c r="W491" s="29"/>
      <c r="X491" s="29"/>
    </row>
    <row r="492" spans="1:24" ht="20.100000000000001" customHeight="1">
      <c r="A492" s="699" t="s">
        <v>288</v>
      </c>
      <c r="B492" s="700"/>
      <c r="C492" s="703" t="s">
        <v>195</v>
      </c>
      <c r="D492" s="704"/>
      <c r="E492" s="705"/>
      <c r="F492" s="235">
        <v>30.25</v>
      </c>
      <c r="G492" s="206">
        <f t="shared" ref="G492:G494" si="78">F492</f>
        <v>30.25</v>
      </c>
      <c r="H492" s="207" t="s">
        <v>29</v>
      </c>
      <c r="I492" s="208">
        <f>IF(H492="IN",I491+G492,I491)</f>
        <v>14690.118999999992</v>
      </c>
      <c r="J492" s="206">
        <f t="shared" ref="J492:J494" si="79">IF(I492="","",$M$10-I492)</f>
        <v>6664.8810000000085</v>
      </c>
      <c r="K492" s="521"/>
      <c r="L492" s="229"/>
      <c r="M492" s="750"/>
      <c r="N492" s="751"/>
      <c r="O492" s="29"/>
      <c r="P492" s="29"/>
      <c r="Q492" s="29"/>
      <c r="R492" s="29"/>
      <c r="S492" s="29"/>
      <c r="T492" s="29"/>
      <c r="U492" s="29"/>
      <c r="V492" s="29"/>
      <c r="W492" s="29"/>
      <c r="X492" s="29"/>
    </row>
    <row r="493" spans="1:24" ht="20.100000000000001" customHeight="1">
      <c r="A493" s="701"/>
      <c r="B493" s="702"/>
      <c r="C493" s="708" t="s">
        <v>195</v>
      </c>
      <c r="D493" s="709"/>
      <c r="E493" s="710"/>
      <c r="F493" s="255">
        <v>29.87</v>
      </c>
      <c r="G493" s="217">
        <f t="shared" si="78"/>
        <v>29.87</v>
      </c>
      <c r="H493" s="218" t="s">
        <v>29</v>
      </c>
      <c r="I493" s="219">
        <f t="shared" ref="I493" si="80">IF(H493="IN",I492+G493,I492)</f>
        <v>14719.988999999992</v>
      </c>
      <c r="J493" s="217">
        <f t="shared" si="79"/>
        <v>6635.0110000000077</v>
      </c>
      <c r="K493" s="522"/>
      <c r="L493" s="230"/>
      <c r="M493" s="750"/>
      <c r="N493" s="751"/>
      <c r="O493" s="29"/>
      <c r="P493" s="29"/>
      <c r="Q493" s="29"/>
      <c r="R493" s="29"/>
      <c r="S493" s="29"/>
      <c r="T493" s="29"/>
      <c r="U493" s="29"/>
      <c r="V493" s="29"/>
      <c r="W493" s="29"/>
      <c r="X493" s="29"/>
    </row>
    <row r="494" spans="1:24" ht="20.100000000000001" customHeight="1">
      <c r="A494" s="701"/>
      <c r="B494" s="702"/>
      <c r="C494" s="708" t="s">
        <v>195</v>
      </c>
      <c r="D494" s="709"/>
      <c r="E494" s="710"/>
      <c r="F494" s="257">
        <v>30.17</v>
      </c>
      <c r="G494" s="217">
        <f t="shared" si="78"/>
        <v>30.17</v>
      </c>
      <c r="H494" s="218" t="s">
        <v>29</v>
      </c>
      <c r="I494" s="219">
        <f>IF(H494="IN",I493+G494,I493)</f>
        <v>14750.158999999992</v>
      </c>
      <c r="J494" s="217">
        <f t="shared" si="79"/>
        <v>6604.8410000000076</v>
      </c>
      <c r="K494" s="522"/>
      <c r="L494" s="230"/>
      <c r="M494" s="750"/>
      <c r="N494" s="751"/>
      <c r="O494" s="29"/>
      <c r="P494" s="29"/>
      <c r="Q494" s="29"/>
      <c r="R494" s="29"/>
      <c r="S494" s="29"/>
      <c r="T494" s="29"/>
      <c r="U494" s="29"/>
      <c r="V494" s="29"/>
      <c r="W494" s="29"/>
      <c r="X494" s="29"/>
    </row>
    <row r="495" spans="1:24" ht="20.100000000000001" customHeight="1">
      <c r="A495" s="681" t="s">
        <v>156</v>
      </c>
      <c r="B495" s="682"/>
      <c r="C495" s="683" t="s">
        <v>64</v>
      </c>
      <c r="D495" s="683"/>
      <c r="E495" s="683"/>
      <c r="F495" s="220">
        <v>31.08</v>
      </c>
      <c r="G495" s="220">
        <f t="shared" ref="G495" si="81">F495</f>
        <v>31.08</v>
      </c>
      <c r="H495" s="221" t="s">
        <v>29</v>
      </c>
      <c r="I495" s="222">
        <f>IF(H495="IN",I494+G495,I494)</f>
        <v>14781.238999999992</v>
      </c>
      <c r="J495" s="220">
        <f t="shared" ref="J495" si="82">IF(I495="","",$M$10-I495)</f>
        <v>6573.7610000000077</v>
      </c>
      <c r="K495" s="519"/>
      <c r="L495" s="231"/>
      <c r="M495" s="760"/>
      <c r="N495" s="761"/>
      <c r="O495" s="29"/>
      <c r="P495" s="29"/>
      <c r="Q495" s="29"/>
      <c r="R495" s="29"/>
      <c r="S495" s="29"/>
      <c r="T495" s="29"/>
      <c r="U495" s="29"/>
      <c r="V495" s="29"/>
      <c r="W495" s="29"/>
      <c r="X495" s="29"/>
    </row>
    <row r="496" spans="1:24" ht="20.100000000000001" customHeight="1">
      <c r="A496" s="681"/>
      <c r="B496" s="682"/>
      <c r="C496" s="683" t="s">
        <v>64</v>
      </c>
      <c r="D496" s="683"/>
      <c r="E496" s="683"/>
      <c r="F496" s="220">
        <v>31.11</v>
      </c>
      <c r="G496" s="220">
        <f t="shared" si="57"/>
        <v>31.11</v>
      </c>
      <c r="H496" s="221" t="s">
        <v>29</v>
      </c>
      <c r="I496" s="222">
        <f t="shared" si="56"/>
        <v>14812.348999999993</v>
      </c>
      <c r="J496" s="220">
        <f t="shared" si="58"/>
        <v>6542.6510000000071</v>
      </c>
      <c r="K496" s="519"/>
      <c r="L496" s="231"/>
      <c r="M496" s="760"/>
      <c r="N496" s="761"/>
      <c r="O496" s="29"/>
      <c r="P496" s="29"/>
      <c r="Q496" s="29"/>
      <c r="R496" s="29"/>
      <c r="S496" s="29"/>
      <c r="T496" s="29"/>
      <c r="U496" s="29"/>
      <c r="V496" s="29"/>
      <c r="W496" s="29"/>
      <c r="X496" s="29"/>
    </row>
    <row r="497" spans="1:24" ht="20.100000000000001" customHeight="1">
      <c r="A497" s="681"/>
      <c r="B497" s="682"/>
      <c r="C497" s="683" t="s">
        <v>64</v>
      </c>
      <c r="D497" s="683"/>
      <c r="E497" s="683"/>
      <c r="F497" s="220">
        <v>30.86</v>
      </c>
      <c r="G497" s="220">
        <f t="shared" si="57"/>
        <v>30.86</v>
      </c>
      <c r="H497" s="221" t="s">
        <v>29</v>
      </c>
      <c r="I497" s="222">
        <f t="shared" si="56"/>
        <v>14843.208999999993</v>
      </c>
      <c r="J497" s="220">
        <f t="shared" si="58"/>
        <v>6511.7910000000065</v>
      </c>
      <c r="K497" s="519"/>
      <c r="L497" s="231"/>
      <c r="M497" s="760"/>
      <c r="N497" s="761"/>
      <c r="O497" s="29"/>
      <c r="P497" s="29"/>
      <c r="Q497" s="29"/>
      <c r="R497" s="29"/>
      <c r="S497" s="29"/>
      <c r="T497" s="29"/>
      <c r="U497" s="29"/>
      <c r="V497" s="29"/>
      <c r="W497" s="29"/>
      <c r="X497" s="29"/>
    </row>
    <row r="498" spans="1:24" ht="20.100000000000001" customHeight="1">
      <c r="A498" s="732" t="s">
        <v>157</v>
      </c>
      <c r="B498" s="733"/>
      <c r="C498" s="734" t="s">
        <v>64</v>
      </c>
      <c r="D498" s="734"/>
      <c r="E498" s="734"/>
      <c r="F498" s="223">
        <v>31.13</v>
      </c>
      <c r="G498" s="223">
        <f t="shared" si="57"/>
        <v>31.13</v>
      </c>
      <c r="H498" s="224" t="s">
        <v>29</v>
      </c>
      <c r="I498" s="225">
        <f t="shared" si="56"/>
        <v>14874.338999999993</v>
      </c>
      <c r="J498" s="223">
        <f t="shared" si="58"/>
        <v>6480.6610000000073</v>
      </c>
      <c r="K498" s="518"/>
      <c r="L498" s="233"/>
      <c r="M498" s="760"/>
      <c r="N498" s="761"/>
      <c r="O498" s="29"/>
      <c r="P498" s="29"/>
      <c r="Q498" s="29"/>
      <c r="R498" s="29"/>
      <c r="S498" s="29"/>
      <c r="T498" s="29"/>
      <c r="U498" s="29"/>
      <c r="V498" s="29"/>
      <c r="W498" s="29"/>
      <c r="X498" s="29"/>
    </row>
    <row r="499" spans="1:24" ht="20.100000000000001" customHeight="1">
      <c r="A499" s="732"/>
      <c r="B499" s="733"/>
      <c r="C499" s="734" t="s">
        <v>64</v>
      </c>
      <c r="D499" s="734"/>
      <c r="E499" s="734"/>
      <c r="F499" s="223">
        <v>31.01</v>
      </c>
      <c r="G499" s="223">
        <f t="shared" si="57"/>
        <v>31.01</v>
      </c>
      <c r="H499" s="224" t="s">
        <v>29</v>
      </c>
      <c r="I499" s="225">
        <f t="shared" si="56"/>
        <v>14905.348999999993</v>
      </c>
      <c r="J499" s="223">
        <f t="shared" si="58"/>
        <v>6449.6510000000071</v>
      </c>
      <c r="K499" s="518"/>
      <c r="L499" s="233"/>
      <c r="M499" s="760"/>
      <c r="N499" s="761"/>
      <c r="O499" s="29"/>
      <c r="P499" s="29"/>
      <c r="Q499" s="29"/>
      <c r="R499" s="29"/>
      <c r="S499" s="29"/>
      <c r="T499" s="29"/>
      <c r="U499" s="29"/>
      <c r="V499" s="29"/>
      <c r="W499" s="29"/>
      <c r="X499" s="29"/>
    </row>
    <row r="500" spans="1:24" ht="20.100000000000001" customHeight="1">
      <c r="A500" s="732"/>
      <c r="B500" s="733"/>
      <c r="C500" s="734" t="s">
        <v>64</v>
      </c>
      <c r="D500" s="734"/>
      <c r="E500" s="734"/>
      <c r="F500" s="223">
        <v>31.11</v>
      </c>
      <c r="G500" s="223">
        <f t="shared" si="57"/>
        <v>31.11</v>
      </c>
      <c r="H500" s="224" t="s">
        <v>29</v>
      </c>
      <c r="I500" s="225">
        <f t="shared" si="56"/>
        <v>14936.458999999993</v>
      </c>
      <c r="J500" s="223">
        <f t="shared" si="58"/>
        <v>6418.5410000000065</v>
      </c>
      <c r="K500" s="518"/>
      <c r="L500" s="233"/>
      <c r="M500" s="760"/>
      <c r="N500" s="761"/>
      <c r="O500" s="29"/>
      <c r="P500" s="29"/>
      <c r="Q500" s="29"/>
      <c r="R500" s="29"/>
      <c r="S500" s="29"/>
      <c r="T500" s="29"/>
      <c r="U500" s="29"/>
      <c r="V500" s="29"/>
      <c r="W500" s="29"/>
      <c r="X500" s="29"/>
    </row>
    <row r="501" spans="1:24" ht="20.100000000000001" customHeight="1">
      <c r="A501" s="681" t="s">
        <v>158</v>
      </c>
      <c r="B501" s="682"/>
      <c r="C501" s="683" t="s">
        <v>64</v>
      </c>
      <c r="D501" s="683"/>
      <c r="E501" s="683"/>
      <c r="F501" s="220">
        <v>31.17</v>
      </c>
      <c r="G501" s="220">
        <f t="shared" si="57"/>
        <v>31.17</v>
      </c>
      <c r="H501" s="221" t="s">
        <v>29</v>
      </c>
      <c r="I501" s="222">
        <f t="shared" si="56"/>
        <v>14967.628999999994</v>
      </c>
      <c r="J501" s="220">
        <f t="shared" si="58"/>
        <v>6387.3710000000065</v>
      </c>
      <c r="K501" s="519"/>
      <c r="L501" s="231"/>
      <c r="M501" s="760"/>
      <c r="N501" s="761"/>
      <c r="O501" s="29"/>
      <c r="P501" s="29"/>
      <c r="Q501" s="29"/>
      <c r="R501" s="29"/>
      <c r="S501" s="29"/>
      <c r="T501" s="29"/>
      <c r="U501" s="29"/>
      <c r="V501" s="29"/>
      <c r="W501" s="29"/>
      <c r="X501" s="29"/>
    </row>
    <row r="502" spans="1:24" ht="20.100000000000001" customHeight="1">
      <c r="A502" s="681"/>
      <c r="B502" s="682"/>
      <c r="C502" s="683" t="s">
        <v>64</v>
      </c>
      <c r="D502" s="683"/>
      <c r="E502" s="683"/>
      <c r="F502" s="220">
        <v>31.21</v>
      </c>
      <c r="G502" s="220">
        <f t="shared" si="57"/>
        <v>31.21</v>
      </c>
      <c r="H502" s="221" t="s">
        <v>29</v>
      </c>
      <c r="I502" s="222">
        <f t="shared" si="56"/>
        <v>14998.838999999993</v>
      </c>
      <c r="J502" s="220">
        <f t="shared" si="58"/>
        <v>6356.1610000000073</v>
      </c>
      <c r="K502" s="519"/>
      <c r="L502" s="231"/>
      <c r="M502" s="760"/>
      <c r="N502" s="761"/>
      <c r="O502" s="29"/>
      <c r="P502" s="29"/>
      <c r="Q502" s="29"/>
      <c r="R502" s="29"/>
      <c r="S502" s="29"/>
      <c r="T502" s="29"/>
      <c r="U502" s="29"/>
      <c r="V502" s="29"/>
      <c r="W502" s="29"/>
      <c r="X502" s="29"/>
    </row>
    <row r="503" spans="1:24" ht="20.100000000000001" customHeight="1">
      <c r="A503" s="681"/>
      <c r="B503" s="682"/>
      <c r="C503" s="683" t="s">
        <v>64</v>
      </c>
      <c r="D503" s="683"/>
      <c r="E503" s="683"/>
      <c r="F503" s="220">
        <v>30.61</v>
      </c>
      <c r="G503" s="220">
        <f t="shared" si="57"/>
        <v>30.61</v>
      </c>
      <c r="H503" s="221" t="s">
        <v>29</v>
      </c>
      <c r="I503" s="222">
        <f t="shared" si="56"/>
        <v>15029.448999999993</v>
      </c>
      <c r="J503" s="220">
        <f t="shared" ref="J503:J534" si="83">IF(I503="","",$M$10-I503)</f>
        <v>6325.5510000000068</v>
      </c>
      <c r="K503" s="519"/>
      <c r="L503" s="231"/>
      <c r="M503" s="760"/>
      <c r="N503" s="761"/>
      <c r="O503" s="29"/>
      <c r="P503" s="29"/>
      <c r="Q503" s="29"/>
      <c r="R503" s="29"/>
      <c r="S503" s="29"/>
      <c r="T503" s="29"/>
      <c r="U503" s="29"/>
      <c r="V503" s="29"/>
      <c r="W503" s="29"/>
      <c r="X503" s="29"/>
    </row>
    <row r="504" spans="1:24" ht="20.100000000000001" customHeight="1">
      <c r="A504" s="732" t="s">
        <v>159</v>
      </c>
      <c r="B504" s="733"/>
      <c r="C504" s="734" t="s">
        <v>64</v>
      </c>
      <c r="D504" s="734"/>
      <c r="E504" s="734"/>
      <c r="F504" s="223">
        <v>31.24</v>
      </c>
      <c r="G504" s="223">
        <f t="shared" si="57"/>
        <v>31.24</v>
      </c>
      <c r="H504" s="224" t="s">
        <v>29</v>
      </c>
      <c r="I504" s="225">
        <f t="shared" si="56"/>
        <v>15060.688999999993</v>
      </c>
      <c r="J504" s="223">
        <f t="shared" si="83"/>
        <v>6294.311000000007</v>
      </c>
      <c r="K504" s="518"/>
      <c r="L504" s="233"/>
      <c r="M504" s="760"/>
      <c r="N504" s="761"/>
      <c r="O504" s="29"/>
      <c r="P504" s="29"/>
      <c r="Q504" s="29"/>
      <c r="R504" s="29"/>
      <c r="S504" s="29"/>
      <c r="T504" s="29"/>
      <c r="U504" s="29"/>
      <c r="V504" s="29"/>
      <c r="W504" s="29"/>
      <c r="X504" s="29"/>
    </row>
    <row r="505" spans="1:24" ht="20.100000000000001" customHeight="1">
      <c r="A505" s="732"/>
      <c r="B505" s="733"/>
      <c r="C505" s="734" t="s">
        <v>64</v>
      </c>
      <c r="D505" s="734"/>
      <c r="E505" s="734"/>
      <c r="F505" s="223">
        <v>31.02</v>
      </c>
      <c r="G505" s="223">
        <f t="shared" si="57"/>
        <v>31.02</v>
      </c>
      <c r="H505" s="224" t="s">
        <v>29</v>
      </c>
      <c r="I505" s="225">
        <f t="shared" si="56"/>
        <v>15091.708999999993</v>
      </c>
      <c r="J505" s="223">
        <f t="shared" si="83"/>
        <v>6263.2910000000065</v>
      </c>
      <c r="K505" s="518"/>
      <c r="L505" s="233"/>
      <c r="M505" s="760"/>
      <c r="N505" s="761"/>
      <c r="O505" s="29"/>
      <c r="P505" s="29"/>
      <c r="Q505" s="29"/>
      <c r="R505" s="29"/>
      <c r="S505" s="29"/>
      <c r="T505" s="29"/>
      <c r="U505" s="29"/>
      <c r="V505" s="29"/>
      <c r="W505" s="29"/>
      <c r="X505" s="29"/>
    </row>
    <row r="506" spans="1:24" ht="20.100000000000001" customHeight="1">
      <c r="A506" s="732"/>
      <c r="B506" s="733"/>
      <c r="C506" s="734" t="s">
        <v>64</v>
      </c>
      <c r="D506" s="734"/>
      <c r="E506" s="734"/>
      <c r="F506" s="223">
        <v>31.01</v>
      </c>
      <c r="G506" s="223">
        <f t="shared" si="57"/>
        <v>31.01</v>
      </c>
      <c r="H506" s="224" t="s">
        <v>29</v>
      </c>
      <c r="I506" s="225">
        <f t="shared" si="56"/>
        <v>15122.718999999994</v>
      </c>
      <c r="J506" s="223">
        <f t="shared" si="83"/>
        <v>6232.2810000000063</v>
      </c>
      <c r="K506" s="518"/>
      <c r="L506" s="233"/>
      <c r="M506" s="760"/>
      <c r="N506" s="761"/>
      <c r="O506" s="29"/>
      <c r="P506" s="29"/>
      <c r="Q506" s="29"/>
      <c r="R506" s="29"/>
      <c r="S506" s="29"/>
      <c r="T506" s="29"/>
      <c r="U506" s="29"/>
      <c r="V506" s="29"/>
      <c r="W506" s="29"/>
      <c r="X506" s="29"/>
    </row>
    <row r="507" spans="1:24" ht="20.100000000000001" customHeight="1">
      <c r="A507" s="681" t="s">
        <v>160</v>
      </c>
      <c r="B507" s="682"/>
      <c r="C507" s="683" t="s">
        <v>64</v>
      </c>
      <c r="D507" s="683"/>
      <c r="E507" s="683"/>
      <c r="F507" s="220">
        <v>31.21</v>
      </c>
      <c r="G507" s="220">
        <f t="shared" si="57"/>
        <v>31.21</v>
      </c>
      <c r="H507" s="221" t="s">
        <v>29</v>
      </c>
      <c r="I507" s="222">
        <f t="shared" si="56"/>
        <v>15153.928999999993</v>
      </c>
      <c r="J507" s="220">
        <f t="shared" si="83"/>
        <v>6201.0710000000072</v>
      </c>
      <c r="K507" s="519"/>
      <c r="L507" s="231"/>
      <c r="M507" s="760"/>
      <c r="N507" s="761"/>
      <c r="O507" s="29"/>
      <c r="P507" s="29"/>
      <c r="Q507" s="29"/>
      <c r="R507" s="29"/>
      <c r="S507" s="29"/>
      <c r="T507" s="29"/>
      <c r="U507" s="29"/>
      <c r="V507" s="29"/>
      <c r="W507" s="29"/>
      <c r="X507" s="29"/>
    </row>
    <row r="508" spans="1:24" ht="20.100000000000001" customHeight="1">
      <c r="A508" s="681"/>
      <c r="B508" s="682"/>
      <c r="C508" s="683" t="s">
        <v>64</v>
      </c>
      <c r="D508" s="683"/>
      <c r="E508" s="683"/>
      <c r="F508" s="220">
        <v>31.23</v>
      </c>
      <c r="G508" s="220">
        <f t="shared" si="57"/>
        <v>31.23</v>
      </c>
      <c r="H508" s="221" t="s">
        <v>29</v>
      </c>
      <c r="I508" s="222">
        <f t="shared" si="56"/>
        <v>15185.158999999992</v>
      </c>
      <c r="J508" s="220">
        <f t="shared" si="83"/>
        <v>6169.8410000000076</v>
      </c>
      <c r="K508" s="519"/>
      <c r="L508" s="231"/>
      <c r="M508" s="760"/>
      <c r="N508" s="761"/>
      <c r="O508" s="29"/>
      <c r="P508" s="29"/>
      <c r="Q508" s="29"/>
      <c r="R508" s="29"/>
      <c r="S508" s="29"/>
      <c r="T508" s="29"/>
      <c r="U508" s="29"/>
      <c r="V508" s="29"/>
      <c r="W508" s="29"/>
      <c r="X508" s="29"/>
    </row>
    <row r="509" spans="1:24" ht="20.100000000000001" customHeight="1">
      <c r="A509" s="681"/>
      <c r="B509" s="682"/>
      <c r="C509" s="683" t="s">
        <v>64</v>
      </c>
      <c r="D509" s="683"/>
      <c r="E509" s="683"/>
      <c r="F509" s="220">
        <v>31.17</v>
      </c>
      <c r="G509" s="220">
        <f t="shared" si="57"/>
        <v>31.17</v>
      </c>
      <c r="H509" s="221" t="s">
        <v>29</v>
      </c>
      <c r="I509" s="222">
        <f t="shared" si="56"/>
        <v>15216.328999999992</v>
      </c>
      <c r="J509" s="220">
        <f t="shared" si="83"/>
        <v>6138.6710000000076</v>
      </c>
      <c r="K509" s="519"/>
      <c r="L509" s="231"/>
      <c r="M509" s="760"/>
      <c r="N509" s="761"/>
      <c r="O509" s="29"/>
      <c r="P509" s="29"/>
      <c r="Q509" s="29"/>
      <c r="R509" s="29"/>
      <c r="S509" s="29"/>
      <c r="T509" s="29"/>
      <c r="U509" s="29"/>
      <c r="V509" s="29"/>
      <c r="W509" s="29"/>
      <c r="X509" s="29"/>
    </row>
    <row r="510" spans="1:24" ht="20.100000000000001" customHeight="1">
      <c r="A510" s="732" t="s">
        <v>161</v>
      </c>
      <c r="B510" s="733"/>
      <c r="C510" s="734" t="s">
        <v>64</v>
      </c>
      <c r="D510" s="734"/>
      <c r="E510" s="734"/>
      <c r="F510" s="223">
        <v>31.28</v>
      </c>
      <c r="G510" s="223">
        <f t="shared" si="57"/>
        <v>31.28</v>
      </c>
      <c r="H510" s="224" t="s">
        <v>29</v>
      </c>
      <c r="I510" s="225">
        <f t="shared" si="56"/>
        <v>15247.608999999993</v>
      </c>
      <c r="J510" s="223">
        <f t="shared" si="83"/>
        <v>6107.3910000000069</v>
      </c>
      <c r="K510" s="518"/>
      <c r="L510" s="233"/>
      <c r="M510" s="760"/>
      <c r="N510" s="761"/>
      <c r="O510" s="29"/>
      <c r="P510" s="29"/>
      <c r="Q510" s="29"/>
      <c r="R510" s="29"/>
      <c r="S510" s="29"/>
      <c r="T510" s="29"/>
      <c r="U510" s="29"/>
      <c r="V510" s="29"/>
      <c r="W510" s="29"/>
      <c r="X510" s="29"/>
    </row>
    <row r="511" spans="1:24" ht="20.100000000000001" customHeight="1">
      <c r="A511" s="732"/>
      <c r="B511" s="733"/>
      <c r="C511" s="734" t="s">
        <v>64</v>
      </c>
      <c r="D511" s="734"/>
      <c r="E511" s="734"/>
      <c r="F511" s="223">
        <v>31.09</v>
      </c>
      <c r="G511" s="223">
        <f t="shared" si="57"/>
        <v>31.09</v>
      </c>
      <c r="H511" s="224" t="s">
        <v>29</v>
      </c>
      <c r="I511" s="225">
        <f t="shared" si="56"/>
        <v>15278.698999999993</v>
      </c>
      <c r="J511" s="223">
        <f t="shared" si="83"/>
        <v>6076.3010000000068</v>
      </c>
      <c r="K511" s="518"/>
      <c r="L511" s="233"/>
      <c r="M511" s="760"/>
      <c r="N511" s="761"/>
      <c r="O511" s="29"/>
      <c r="P511" s="29"/>
      <c r="Q511" s="29"/>
      <c r="R511" s="29"/>
      <c r="S511" s="29"/>
      <c r="T511" s="29"/>
      <c r="U511" s="29"/>
      <c r="V511" s="29"/>
      <c r="W511" s="29"/>
      <c r="X511" s="29"/>
    </row>
    <row r="512" spans="1:24" ht="20.100000000000001" customHeight="1">
      <c r="A512" s="732"/>
      <c r="B512" s="733"/>
      <c r="C512" s="734" t="s">
        <v>64</v>
      </c>
      <c r="D512" s="734"/>
      <c r="E512" s="734"/>
      <c r="F512" s="223">
        <v>31.03</v>
      </c>
      <c r="G512" s="223">
        <f t="shared" si="57"/>
        <v>31.03</v>
      </c>
      <c r="H512" s="224" t="s">
        <v>29</v>
      </c>
      <c r="I512" s="225">
        <f t="shared" si="56"/>
        <v>15309.728999999994</v>
      </c>
      <c r="J512" s="223">
        <f t="shared" si="83"/>
        <v>6045.2710000000061</v>
      </c>
      <c r="K512" s="518"/>
      <c r="L512" s="233"/>
      <c r="M512" s="760"/>
      <c r="N512" s="761"/>
      <c r="O512" s="29"/>
      <c r="P512" s="29"/>
      <c r="Q512" s="29"/>
      <c r="R512" s="29"/>
      <c r="S512" s="29"/>
      <c r="T512" s="29"/>
      <c r="U512" s="29"/>
      <c r="V512" s="29"/>
      <c r="W512" s="29"/>
      <c r="X512" s="29"/>
    </row>
    <row r="513" spans="1:24" ht="20.100000000000001" customHeight="1">
      <c r="A513" s="681" t="s">
        <v>162</v>
      </c>
      <c r="B513" s="682"/>
      <c r="C513" s="683" t="s">
        <v>64</v>
      </c>
      <c r="D513" s="683"/>
      <c r="E513" s="683"/>
      <c r="F513" s="220">
        <v>31.16</v>
      </c>
      <c r="G513" s="220">
        <f t="shared" si="57"/>
        <v>31.16</v>
      </c>
      <c r="H513" s="221" t="s">
        <v>29</v>
      </c>
      <c r="I513" s="222">
        <f t="shared" si="56"/>
        <v>15340.888999999994</v>
      </c>
      <c r="J513" s="220">
        <f t="shared" si="83"/>
        <v>6014.1110000000062</v>
      </c>
      <c r="K513" s="519"/>
      <c r="L513" s="231"/>
      <c r="M513" s="760"/>
      <c r="N513" s="761"/>
      <c r="O513" s="29"/>
      <c r="P513" s="29"/>
      <c r="Q513" s="29"/>
      <c r="R513" s="29"/>
      <c r="S513" s="29"/>
      <c r="T513" s="29"/>
      <c r="U513" s="29"/>
      <c r="V513" s="29"/>
      <c r="W513" s="29"/>
      <c r="X513" s="29"/>
    </row>
    <row r="514" spans="1:24" ht="20.100000000000001" customHeight="1">
      <c r="A514" s="681"/>
      <c r="B514" s="682"/>
      <c r="C514" s="683" t="s">
        <v>64</v>
      </c>
      <c r="D514" s="683"/>
      <c r="E514" s="683"/>
      <c r="F514" s="220">
        <v>31.28</v>
      </c>
      <c r="G514" s="220">
        <f t="shared" si="57"/>
        <v>31.28</v>
      </c>
      <c r="H514" s="221" t="s">
        <v>29</v>
      </c>
      <c r="I514" s="222">
        <f t="shared" si="56"/>
        <v>15372.168999999994</v>
      </c>
      <c r="J514" s="220">
        <f t="shared" si="83"/>
        <v>5982.8310000000056</v>
      </c>
      <c r="K514" s="519"/>
      <c r="L514" s="231"/>
      <c r="M514" s="760"/>
      <c r="N514" s="761"/>
      <c r="O514" s="29"/>
      <c r="P514" s="29"/>
      <c r="Q514" s="29"/>
      <c r="R514" s="29"/>
      <c r="S514" s="29"/>
      <c r="T514" s="29"/>
      <c r="U514" s="29"/>
      <c r="V514" s="29"/>
      <c r="W514" s="29"/>
      <c r="X514" s="29"/>
    </row>
    <row r="515" spans="1:24" ht="20.100000000000001" customHeight="1">
      <c r="A515" s="681"/>
      <c r="B515" s="682"/>
      <c r="C515" s="683" t="s">
        <v>64</v>
      </c>
      <c r="D515" s="683"/>
      <c r="E515" s="683"/>
      <c r="F515" s="220">
        <v>30.92</v>
      </c>
      <c r="G515" s="220">
        <f t="shared" si="57"/>
        <v>30.92</v>
      </c>
      <c r="H515" s="221" t="s">
        <v>29</v>
      </c>
      <c r="I515" s="222">
        <f t="shared" si="56"/>
        <v>15403.088999999994</v>
      </c>
      <c r="J515" s="220">
        <f t="shared" si="83"/>
        <v>5951.9110000000055</v>
      </c>
      <c r="K515" s="519"/>
      <c r="L515" s="231"/>
      <c r="M515" s="760"/>
      <c r="N515" s="761"/>
      <c r="O515" s="29"/>
      <c r="P515" s="29"/>
      <c r="Q515" s="29"/>
      <c r="R515" s="29"/>
      <c r="S515" s="29"/>
      <c r="T515" s="29"/>
      <c r="U515" s="29"/>
      <c r="V515" s="29"/>
      <c r="W515" s="29"/>
      <c r="X515" s="29"/>
    </row>
    <row r="516" spans="1:24" ht="20.100000000000001" customHeight="1">
      <c r="A516" s="732" t="s">
        <v>163</v>
      </c>
      <c r="B516" s="733"/>
      <c r="C516" s="734" t="s">
        <v>64</v>
      </c>
      <c r="D516" s="734"/>
      <c r="E516" s="734"/>
      <c r="F516" s="223">
        <v>31.18</v>
      </c>
      <c r="G516" s="223">
        <f t="shared" si="57"/>
        <v>31.18</v>
      </c>
      <c r="H516" s="224" t="s">
        <v>29</v>
      </c>
      <c r="I516" s="225">
        <f t="shared" si="56"/>
        <v>15434.268999999995</v>
      </c>
      <c r="J516" s="223">
        <f t="shared" si="83"/>
        <v>5920.7310000000052</v>
      </c>
      <c r="K516" s="518"/>
      <c r="L516" s="233"/>
      <c r="M516" s="760"/>
      <c r="N516" s="761"/>
      <c r="O516" s="29"/>
      <c r="P516" s="29"/>
      <c r="Q516" s="29"/>
      <c r="R516" s="29"/>
      <c r="S516" s="29"/>
      <c r="T516" s="29"/>
      <c r="U516" s="29"/>
      <c r="V516" s="29"/>
      <c r="W516" s="29"/>
      <c r="X516" s="29"/>
    </row>
    <row r="517" spans="1:24" ht="20.100000000000001" customHeight="1">
      <c r="A517" s="732"/>
      <c r="B517" s="733"/>
      <c r="C517" s="734" t="s">
        <v>64</v>
      </c>
      <c r="D517" s="734"/>
      <c r="E517" s="734"/>
      <c r="F517" s="223">
        <v>31.28</v>
      </c>
      <c r="G517" s="223">
        <f t="shared" si="57"/>
        <v>31.28</v>
      </c>
      <c r="H517" s="224" t="s">
        <v>29</v>
      </c>
      <c r="I517" s="225">
        <f t="shared" si="56"/>
        <v>15465.548999999995</v>
      </c>
      <c r="J517" s="223">
        <f t="shared" si="83"/>
        <v>5889.4510000000046</v>
      </c>
      <c r="K517" s="518"/>
      <c r="L517" s="233"/>
      <c r="M517" s="760"/>
      <c r="N517" s="761"/>
      <c r="O517" s="29"/>
      <c r="P517" s="29"/>
      <c r="Q517" s="29"/>
      <c r="R517" s="29"/>
      <c r="S517" s="29"/>
      <c r="T517" s="29"/>
      <c r="U517" s="29"/>
      <c r="V517" s="29"/>
      <c r="W517" s="29"/>
      <c r="X517" s="29"/>
    </row>
    <row r="518" spans="1:24" ht="20.100000000000001" customHeight="1">
      <c r="A518" s="732"/>
      <c r="B518" s="733"/>
      <c r="C518" s="734" t="s">
        <v>64</v>
      </c>
      <c r="D518" s="734"/>
      <c r="E518" s="734"/>
      <c r="F518" s="223">
        <v>31.02</v>
      </c>
      <c r="G518" s="223">
        <f t="shared" si="57"/>
        <v>31.02</v>
      </c>
      <c r="H518" s="224" t="s">
        <v>29</v>
      </c>
      <c r="I518" s="225">
        <f t="shared" si="56"/>
        <v>15496.568999999996</v>
      </c>
      <c r="J518" s="223">
        <f t="shared" si="83"/>
        <v>5858.4310000000041</v>
      </c>
      <c r="K518" s="518"/>
      <c r="L518" s="233"/>
      <c r="M518" s="760"/>
      <c r="N518" s="761"/>
      <c r="O518" s="29"/>
      <c r="P518" s="29"/>
      <c r="Q518" s="29"/>
      <c r="R518" s="29"/>
      <c r="S518" s="29"/>
      <c r="T518" s="29"/>
      <c r="U518" s="29"/>
      <c r="V518" s="29"/>
      <c r="W518" s="29"/>
      <c r="X518" s="29"/>
    </row>
    <row r="519" spans="1:24" ht="20.100000000000001" customHeight="1">
      <c r="A519" s="681" t="s">
        <v>164</v>
      </c>
      <c r="B519" s="682"/>
      <c r="C519" s="683" t="s">
        <v>64</v>
      </c>
      <c r="D519" s="683"/>
      <c r="E519" s="683"/>
      <c r="F519" s="220">
        <v>30.9</v>
      </c>
      <c r="G519" s="220">
        <f t="shared" si="57"/>
        <v>30.9</v>
      </c>
      <c r="H519" s="221" t="s">
        <v>29</v>
      </c>
      <c r="I519" s="222">
        <f t="shared" si="56"/>
        <v>15527.468999999996</v>
      </c>
      <c r="J519" s="220">
        <f t="shared" si="83"/>
        <v>5827.5310000000045</v>
      </c>
      <c r="K519" s="519"/>
      <c r="L519" s="231"/>
      <c r="M519" s="760"/>
      <c r="N519" s="761"/>
      <c r="O519" s="29"/>
      <c r="P519" s="29"/>
      <c r="Q519" s="29"/>
      <c r="R519" s="29"/>
      <c r="S519" s="29"/>
      <c r="T519" s="29"/>
      <c r="U519" s="29"/>
      <c r="V519" s="29"/>
      <c r="W519" s="29"/>
      <c r="X519" s="29"/>
    </row>
    <row r="520" spans="1:24" ht="20.100000000000001" customHeight="1">
      <c r="A520" s="681"/>
      <c r="B520" s="682"/>
      <c r="C520" s="683" t="s">
        <v>64</v>
      </c>
      <c r="D520" s="683"/>
      <c r="E520" s="683"/>
      <c r="F520" s="220">
        <v>30.96</v>
      </c>
      <c r="G520" s="220">
        <f t="shared" si="57"/>
        <v>30.96</v>
      </c>
      <c r="H520" s="221" t="s">
        <v>29</v>
      </c>
      <c r="I520" s="222">
        <f t="shared" si="56"/>
        <v>15558.428999999995</v>
      </c>
      <c r="J520" s="220">
        <f t="shared" si="83"/>
        <v>5796.5710000000054</v>
      </c>
      <c r="K520" s="519"/>
      <c r="L520" s="231"/>
      <c r="M520" s="760"/>
      <c r="N520" s="761"/>
      <c r="O520" s="29"/>
      <c r="P520" s="29"/>
      <c r="Q520" s="29"/>
      <c r="R520" s="29"/>
      <c r="S520" s="29"/>
      <c r="T520" s="29"/>
      <c r="U520" s="29"/>
      <c r="V520" s="29"/>
      <c r="W520" s="29"/>
      <c r="X520" s="29"/>
    </row>
    <row r="521" spans="1:24" ht="20.100000000000001" customHeight="1">
      <c r="A521" s="681"/>
      <c r="B521" s="682"/>
      <c r="C521" s="683" t="s">
        <v>64</v>
      </c>
      <c r="D521" s="683"/>
      <c r="E521" s="683"/>
      <c r="F521" s="220">
        <v>31</v>
      </c>
      <c r="G521" s="220">
        <f t="shared" si="57"/>
        <v>31</v>
      </c>
      <c r="H521" s="221" t="s">
        <v>29</v>
      </c>
      <c r="I521" s="222">
        <f t="shared" si="56"/>
        <v>15589.428999999995</v>
      </c>
      <c r="J521" s="220">
        <f t="shared" si="83"/>
        <v>5765.5710000000054</v>
      </c>
      <c r="K521" s="519"/>
      <c r="L521" s="231"/>
      <c r="M521" s="760"/>
      <c r="N521" s="761"/>
      <c r="O521" s="29"/>
      <c r="P521" s="29"/>
      <c r="Q521" s="29"/>
      <c r="R521" s="29"/>
      <c r="S521" s="29"/>
      <c r="T521" s="29"/>
      <c r="U521" s="29"/>
      <c r="V521" s="29"/>
      <c r="W521" s="29"/>
      <c r="X521" s="29"/>
    </row>
    <row r="522" spans="1:24" ht="20.100000000000001" customHeight="1">
      <c r="A522" s="732" t="s">
        <v>165</v>
      </c>
      <c r="B522" s="733"/>
      <c r="C522" s="734" t="s">
        <v>64</v>
      </c>
      <c r="D522" s="734"/>
      <c r="E522" s="734"/>
      <c r="F522" s="223">
        <v>31.33</v>
      </c>
      <c r="G522" s="223">
        <f t="shared" si="57"/>
        <v>31.33</v>
      </c>
      <c r="H522" s="224" t="s">
        <v>29</v>
      </c>
      <c r="I522" s="225">
        <f t="shared" si="56"/>
        <v>15620.758999999995</v>
      </c>
      <c r="J522" s="223">
        <f t="shared" si="83"/>
        <v>5734.2410000000054</v>
      </c>
      <c r="K522" s="518"/>
      <c r="L522" s="233"/>
      <c r="M522" s="760"/>
      <c r="N522" s="761"/>
      <c r="O522" s="29"/>
      <c r="P522" s="29"/>
      <c r="Q522" s="29"/>
      <c r="R522" s="29"/>
      <c r="S522" s="29"/>
      <c r="T522" s="29"/>
      <c r="U522" s="29"/>
      <c r="V522" s="29"/>
      <c r="W522" s="29"/>
      <c r="X522" s="29"/>
    </row>
    <row r="523" spans="1:24" ht="20.100000000000001" customHeight="1">
      <c r="A523" s="732"/>
      <c r="B523" s="733"/>
      <c r="C523" s="734" t="s">
        <v>64</v>
      </c>
      <c r="D523" s="734"/>
      <c r="E523" s="734"/>
      <c r="F523" s="223">
        <v>30.9</v>
      </c>
      <c r="G523" s="223">
        <f t="shared" si="57"/>
        <v>30.9</v>
      </c>
      <c r="H523" s="224" t="s">
        <v>29</v>
      </c>
      <c r="I523" s="225">
        <f t="shared" si="56"/>
        <v>15651.658999999994</v>
      </c>
      <c r="J523" s="223">
        <f t="shared" si="83"/>
        <v>5703.3410000000058</v>
      </c>
      <c r="K523" s="518"/>
      <c r="L523" s="233"/>
      <c r="M523" s="760"/>
      <c r="N523" s="761"/>
      <c r="O523" s="29"/>
      <c r="P523" s="29"/>
      <c r="Q523" s="29"/>
      <c r="R523" s="29"/>
      <c r="S523" s="29"/>
      <c r="T523" s="29"/>
      <c r="U523" s="29"/>
      <c r="V523" s="29"/>
      <c r="W523" s="29"/>
      <c r="X523" s="29"/>
    </row>
    <row r="524" spans="1:24" ht="20.100000000000001" customHeight="1">
      <c r="A524" s="732"/>
      <c r="B524" s="733"/>
      <c r="C524" s="734" t="s">
        <v>64</v>
      </c>
      <c r="D524" s="734"/>
      <c r="E524" s="734"/>
      <c r="F524" s="223">
        <v>30.95</v>
      </c>
      <c r="G524" s="223">
        <f t="shared" si="57"/>
        <v>30.95</v>
      </c>
      <c r="H524" s="224" t="s">
        <v>29</v>
      </c>
      <c r="I524" s="225">
        <f t="shared" si="56"/>
        <v>15682.608999999995</v>
      </c>
      <c r="J524" s="223">
        <f t="shared" si="83"/>
        <v>5672.3910000000051</v>
      </c>
      <c r="K524" s="518"/>
      <c r="L524" s="233"/>
      <c r="M524" s="760"/>
      <c r="N524" s="761"/>
      <c r="O524" s="29"/>
      <c r="P524" s="29"/>
      <c r="Q524" s="29"/>
      <c r="R524" s="29"/>
      <c r="S524" s="29"/>
      <c r="T524" s="29"/>
      <c r="U524" s="29"/>
      <c r="V524" s="29"/>
      <c r="W524" s="29"/>
      <c r="X524" s="29"/>
    </row>
    <row r="525" spans="1:24" ht="20.100000000000001" customHeight="1">
      <c r="A525" s="681" t="s">
        <v>166</v>
      </c>
      <c r="B525" s="682"/>
      <c r="C525" s="683" t="s">
        <v>64</v>
      </c>
      <c r="D525" s="683"/>
      <c r="E525" s="683"/>
      <c r="F525" s="220">
        <v>31.22</v>
      </c>
      <c r="G525" s="220">
        <f t="shared" si="57"/>
        <v>31.22</v>
      </c>
      <c r="H525" s="221" t="s">
        <v>29</v>
      </c>
      <c r="I525" s="222">
        <f t="shared" si="56"/>
        <v>15713.828999999994</v>
      </c>
      <c r="J525" s="220">
        <f t="shared" si="83"/>
        <v>5641.1710000000057</v>
      </c>
      <c r="K525" s="519"/>
      <c r="L525" s="231"/>
      <c r="M525" s="760"/>
      <c r="N525" s="761"/>
      <c r="O525" s="29"/>
      <c r="P525" s="29"/>
      <c r="Q525" s="29"/>
      <c r="R525" s="29"/>
      <c r="S525" s="29"/>
      <c r="T525" s="29"/>
      <c r="U525" s="29"/>
      <c r="V525" s="29"/>
      <c r="W525" s="29"/>
      <c r="X525" s="29"/>
    </row>
    <row r="526" spans="1:24" ht="20.100000000000001" customHeight="1">
      <c r="A526" s="681"/>
      <c r="B526" s="682"/>
      <c r="C526" s="683" t="s">
        <v>64</v>
      </c>
      <c r="D526" s="683"/>
      <c r="E526" s="683"/>
      <c r="F526" s="220">
        <v>31.13</v>
      </c>
      <c r="G526" s="220">
        <f t="shared" si="57"/>
        <v>31.13</v>
      </c>
      <c r="H526" s="221" t="s">
        <v>29</v>
      </c>
      <c r="I526" s="222">
        <f t="shared" si="56"/>
        <v>15744.958999999993</v>
      </c>
      <c r="J526" s="220">
        <f t="shared" si="83"/>
        <v>5610.0410000000065</v>
      </c>
      <c r="K526" s="519"/>
      <c r="L526" s="231"/>
      <c r="M526" s="760"/>
      <c r="N526" s="761"/>
      <c r="O526" s="29"/>
      <c r="P526" s="29"/>
      <c r="Q526" s="29"/>
      <c r="R526" s="29"/>
      <c r="S526" s="29"/>
      <c r="T526" s="29"/>
      <c r="U526" s="29"/>
      <c r="V526" s="29"/>
      <c r="W526" s="29"/>
      <c r="X526" s="29"/>
    </row>
    <row r="527" spans="1:24" ht="20.100000000000001" customHeight="1">
      <c r="A527" s="681"/>
      <c r="B527" s="682"/>
      <c r="C527" s="683" t="s">
        <v>64</v>
      </c>
      <c r="D527" s="683"/>
      <c r="E527" s="683"/>
      <c r="F527" s="220">
        <v>31.01</v>
      </c>
      <c r="G527" s="220">
        <f t="shared" si="57"/>
        <v>31.01</v>
      </c>
      <c r="H527" s="221" t="s">
        <v>29</v>
      </c>
      <c r="I527" s="222">
        <f t="shared" ref="I527:I536" si="84">IF(H527="IN",I526+G527,I526)</f>
        <v>15775.968999999994</v>
      </c>
      <c r="J527" s="220">
        <f t="shared" si="83"/>
        <v>5579.0310000000063</v>
      </c>
      <c r="K527" s="519"/>
      <c r="L527" s="231"/>
      <c r="M527" s="760"/>
      <c r="N527" s="761"/>
      <c r="O527" s="29"/>
      <c r="P527" s="29"/>
      <c r="Q527" s="29"/>
      <c r="R527" s="29"/>
      <c r="S527" s="29"/>
      <c r="T527" s="29"/>
      <c r="U527" s="29"/>
      <c r="V527" s="29"/>
      <c r="W527" s="29"/>
      <c r="X527" s="29"/>
    </row>
    <row r="528" spans="1:24" ht="20.100000000000001" customHeight="1">
      <c r="A528" s="732" t="s">
        <v>167</v>
      </c>
      <c r="B528" s="733"/>
      <c r="C528" s="734" t="s">
        <v>64</v>
      </c>
      <c r="D528" s="734"/>
      <c r="E528" s="734"/>
      <c r="F528" s="223">
        <v>31.18</v>
      </c>
      <c r="G528" s="223">
        <f t="shared" si="57"/>
        <v>31.18</v>
      </c>
      <c r="H528" s="224" t="s">
        <v>29</v>
      </c>
      <c r="I528" s="225">
        <f t="shared" si="84"/>
        <v>15807.148999999994</v>
      </c>
      <c r="J528" s="223">
        <f t="shared" si="83"/>
        <v>5547.851000000006</v>
      </c>
      <c r="K528" s="518"/>
      <c r="L528" s="233"/>
      <c r="M528" s="760"/>
      <c r="N528" s="761"/>
      <c r="O528" s="29"/>
      <c r="P528" s="29"/>
      <c r="Q528" s="29"/>
      <c r="R528" s="29"/>
      <c r="S528" s="29"/>
      <c r="T528" s="29"/>
      <c r="U528" s="29"/>
      <c r="V528" s="29"/>
      <c r="W528" s="29"/>
      <c r="X528" s="29"/>
    </row>
    <row r="529" spans="1:24" ht="20.100000000000001" customHeight="1">
      <c r="A529" s="732"/>
      <c r="B529" s="733"/>
      <c r="C529" s="734" t="s">
        <v>64</v>
      </c>
      <c r="D529" s="734"/>
      <c r="E529" s="734"/>
      <c r="F529" s="223">
        <v>31.09</v>
      </c>
      <c r="G529" s="223">
        <f t="shared" si="57"/>
        <v>31.09</v>
      </c>
      <c r="H529" s="224" t="s">
        <v>29</v>
      </c>
      <c r="I529" s="225">
        <f t="shared" si="84"/>
        <v>15838.238999999994</v>
      </c>
      <c r="J529" s="223">
        <f t="shared" si="83"/>
        <v>5516.7610000000059</v>
      </c>
      <c r="K529" s="518"/>
      <c r="L529" s="233"/>
      <c r="M529" s="760"/>
      <c r="N529" s="761"/>
      <c r="O529" s="29"/>
      <c r="P529" s="29"/>
      <c r="Q529" s="29"/>
      <c r="R529" s="29"/>
      <c r="S529" s="29"/>
      <c r="T529" s="29"/>
      <c r="U529" s="29"/>
      <c r="V529" s="29"/>
      <c r="W529" s="29"/>
      <c r="X529" s="29"/>
    </row>
    <row r="530" spans="1:24" ht="20.100000000000001" customHeight="1">
      <c r="A530" s="732"/>
      <c r="B530" s="733"/>
      <c r="C530" s="734" t="s">
        <v>64</v>
      </c>
      <c r="D530" s="734"/>
      <c r="E530" s="734"/>
      <c r="F530" s="223">
        <v>31</v>
      </c>
      <c r="G530" s="223">
        <f t="shared" si="57"/>
        <v>31</v>
      </c>
      <c r="H530" s="224" t="s">
        <v>29</v>
      </c>
      <c r="I530" s="225">
        <f t="shared" si="84"/>
        <v>15869.238999999994</v>
      </c>
      <c r="J530" s="223">
        <f t="shared" si="83"/>
        <v>5485.7610000000059</v>
      </c>
      <c r="K530" s="518"/>
      <c r="L530" s="233"/>
      <c r="M530" s="760"/>
      <c r="N530" s="761"/>
      <c r="O530" s="29"/>
      <c r="P530" s="29"/>
      <c r="Q530" s="29"/>
      <c r="R530" s="29"/>
      <c r="S530" s="29"/>
      <c r="T530" s="29"/>
      <c r="U530" s="29"/>
      <c r="V530" s="29"/>
      <c r="W530" s="29"/>
      <c r="X530" s="29"/>
    </row>
    <row r="531" spans="1:24" ht="20.100000000000001" customHeight="1">
      <c r="A531" s="681" t="s">
        <v>168</v>
      </c>
      <c r="B531" s="682"/>
      <c r="C531" s="683" t="s">
        <v>64</v>
      </c>
      <c r="D531" s="683"/>
      <c r="E531" s="683"/>
      <c r="F531" s="220">
        <v>31.88</v>
      </c>
      <c r="G531" s="220">
        <f t="shared" ref="G531:G594" si="85">F531</f>
        <v>31.88</v>
      </c>
      <c r="H531" s="221" t="s">
        <v>29</v>
      </c>
      <c r="I531" s="222">
        <f t="shared" si="84"/>
        <v>15901.118999999993</v>
      </c>
      <c r="J531" s="220">
        <f t="shared" si="83"/>
        <v>5453.8810000000067</v>
      </c>
      <c r="K531" s="519"/>
      <c r="L531" s="231"/>
      <c r="M531" s="760"/>
      <c r="N531" s="761"/>
      <c r="O531" s="29"/>
      <c r="P531" s="29"/>
      <c r="Q531" s="29"/>
      <c r="R531" s="29"/>
      <c r="S531" s="29"/>
      <c r="T531" s="29"/>
      <c r="U531" s="29"/>
      <c r="V531" s="29"/>
      <c r="W531" s="29"/>
      <c r="X531" s="29"/>
    </row>
    <row r="532" spans="1:24" ht="20.100000000000001" customHeight="1">
      <c r="A532" s="681"/>
      <c r="B532" s="682"/>
      <c r="C532" s="683" t="s">
        <v>64</v>
      </c>
      <c r="D532" s="683"/>
      <c r="E532" s="683"/>
      <c r="F532" s="220">
        <v>31.04</v>
      </c>
      <c r="G532" s="220">
        <f t="shared" si="85"/>
        <v>31.04</v>
      </c>
      <c r="H532" s="221" t="s">
        <v>29</v>
      </c>
      <c r="I532" s="222">
        <f t="shared" si="84"/>
        <v>15932.158999999994</v>
      </c>
      <c r="J532" s="220">
        <f t="shared" si="83"/>
        <v>5422.8410000000058</v>
      </c>
      <c r="K532" s="519"/>
      <c r="L532" s="231"/>
      <c r="M532" s="760"/>
      <c r="N532" s="761"/>
      <c r="O532" s="29"/>
      <c r="P532" s="29"/>
      <c r="Q532" s="29"/>
      <c r="R532" s="29"/>
      <c r="S532" s="29"/>
      <c r="T532" s="29"/>
      <c r="U532" s="29"/>
      <c r="V532" s="29"/>
      <c r="W532" s="29"/>
      <c r="X532" s="29"/>
    </row>
    <row r="533" spans="1:24" ht="20.100000000000001" customHeight="1">
      <c r="A533" s="681"/>
      <c r="B533" s="682"/>
      <c r="C533" s="683" t="s">
        <v>64</v>
      </c>
      <c r="D533" s="683"/>
      <c r="E533" s="683"/>
      <c r="F533" s="220">
        <v>31.23</v>
      </c>
      <c r="G533" s="220">
        <f t="shared" si="85"/>
        <v>31.23</v>
      </c>
      <c r="H533" s="221" t="s">
        <v>29</v>
      </c>
      <c r="I533" s="222">
        <f t="shared" si="84"/>
        <v>15963.388999999994</v>
      </c>
      <c r="J533" s="220">
        <f t="shared" si="83"/>
        <v>5391.6110000000062</v>
      </c>
      <c r="K533" s="519"/>
      <c r="L533" s="231"/>
      <c r="M533" s="760"/>
      <c r="N533" s="761"/>
      <c r="O533" s="29"/>
      <c r="P533" s="29"/>
      <c r="Q533" s="29"/>
      <c r="R533" s="29"/>
      <c r="S533" s="29"/>
      <c r="T533" s="29"/>
      <c r="U533" s="29"/>
      <c r="V533" s="29"/>
      <c r="W533" s="29"/>
      <c r="X533" s="29"/>
    </row>
    <row r="534" spans="1:24" ht="20.100000000000001" customHeight="1">
      <c r="A534" s="732" t="s">
        <v>169</v>
      </c>
      <c r="B534" s="733"/>
      <c r="C534" s="734" t="s">
        <v>64</v>
      </c>
      <c r="D534" s="734"/>
      <c r="E534" s="734"/>
      <c r="F534" s="223">
        <v>30.91</v>
      </c>
      <c r="G534" s="223">
        <f t="shared" si="85"/>
        <v>30.91</v>
      </c>
      <c r="H534" s="224" t="s">
        <v>29</v>
      </c>
      <c r="I534" s="225">
        <f t="shared" si="84"/>
        <v>15994.298999999994</v>
      </c>
      <c r="J534" s="223">
        <f t="shared" si="83"/>
        <v>5360.7010000000064</v>
      </c>
      <c r="K534" s="518"/>
      <c r="L534" s="233"/>
      <c r="M534" s="760"/>
      <c r="N534" s="761"/>
      <c r="O534" s="29"/>
      <c r="P534" s="29"/>
      <c r="Q534" s="29"/>
      <c r="R534" s="29"/>
      <c r="S534" s="29"/>
      <c r="T534" s="29"/>
      <c r="U534" s="29"/>
      <c r="V534" s="29"/>
      <c r="W534" s="29"/>
      <c r="X534" s="29"/>
    </row>
    <row r="535" spans="1:24" ht="20.100000000000001" customHeight="1">
      <c r="A535" s="732"/>
      <c r="B535" s="733"/>
      <c r="C535" s="734" t="s">
        <v>64</v>
      </c>
      <c r="D535" s="734"/>
      <c r="E535" s="734"/>
      <c r="F535" s="223">
        <v>31.1</v>
      </c>
      <c r="G535" s="223">
        <f t="shared" si="85"/>
        <v>31.1</v>
      </c>
      <c r="H535" s="224" t="s">
        <v>29</v>
      </c>
      <c r="I535" s="225">
        <f t="shared" si="84"/>
        <v>16025.398999999994</v>
      </c>
      <c r="J535" s="223">
        <f t="shared" ref="J535:J538" si="86">IF(I535="","",$M$10-I535)</f>
        <v>5329.601000000006</v>
      </c>
      <c r="K535" s="518"/>
      <c r="L535" s="233"/>
      <c r="M535" s="760"/>
      <c r="N535" s="761"/>
      <c r="O535" s="29"/>
      <c r="P535" s="29"/>
      <c r="Q535" s="29"/>
      <c r="R535" s="29"/>
      <c r="S535" s="29"/>
      <c r="T535" s="29"/>
      <c r="U535" s="29"/>
      <c r="V535" s="29"/>
      <c r="W535" s="29"/>
      <c r="X535" s="29"/>
    </row>
    <row r="536" spans="1:24" ht="20.100000000000001" customHeight="1">
      <c r="A536" s="732"/>
      <c r="B536" s="733"/>
      <c r="C536" s="734" t="s">
        <v>64</v>
      </c>
      <c r="D536" s="734"/>
      <c r="E536" s="734"/>
      <c r="F536" s="223">
        <v>31.06</v>
      </c>
      <c r="G536" s="223">
        <f t="shared" si="85"/>
        <v>31.06</v>
      </c>
      <c r="H536" s="224" t="s">
        <v>29</v>
      </c>
      <c r="I536" s="225">
        <f t="shared" si="84"/>
        <v>16056.458999999993</v>
      </c>
      <c r="J536" s="223">
        <f t="shared" si="86"/>
        <v>5298.5410000000065</v>
      </c>
      <c r="K536" s="518"/>
      <c r="L536" s="233"/>
      <c r="M536" s="760"/>
      <c r="N536" s="761"/>
      <c r="O536" s="29"/>
      <c r="P536" s="29"/>
      <c r="Q536" s="29"/>
      <c r="R536" s="29"/>
      <c r="S536" s="29"/>
      <c r="T536" s="29"/>
      <c r="U536" s="29"/>
      <c r="V536" s="29"/>
      <c r="W536" s="29"/>
      <c r="X536" s="29"/>
    </row>
    <row r="537" spans="1:24" ht="20.100000000000001" customHeight="1">
      <c r="A537" s="681" t="s">
        <v>170</v>
      </c>
      <c r="B537" s="682"/>
      <c r="C537" s="683" t="s">
        <v>64</v>
      </c>
      <c r="D537" s="683"/>
      <c r="E537" s="683"/>
      <c r="F537" s="220">
        <v>31.19</v>
      </c>
      <c r="G537" s="220">
        <f t="shared" si="85"/>
        <v>31.19</v>
      </c>
      <c r="H537" s="221" t="s">
        <v>29</v>
      </c>
      <c r="I537" s="222">
        <f t="shared" ref="I537:I540" si="87">IF(H537="IN",I536+G537,I536)</f>
        <v>16087.648999999994</v>
      </c>
      <c r="J537" s="220">
        <f t="shared" si="86"/>
        <v>5267.351000000006</v>
      </c>
      <c r="K537" s="519"/>
      <c r="L537" s="231"/>
      <c r="M537" s="760" t="s">
        <v>292</v>
      </c>
      <c r="N537" s="761"/>
      <c r="O537" s="29"/>
      <c r="P537" s="29"/>
      <c r="Q537" s="29"/>
      <c r="R537" s="29"/>
      <c r="S537" s="29"/>
      <c r="T537" s="29"/>
      <c r="U537" s="29"/>
      <c r="V537" s="29"/>
      <c r="W537" s="29"/>
      <c r="X537" s="29"/>
    </row>
    <row r="538" spans="1:24" ht="20.100000000000001" customHeight="1">
      <c r="A538" s="681"/>
      <c r="B538" s="682"/>
      <c r="C538" s="683" t="s">
        <v>64</v>
      </c>
      <c r="D538" s="683"/>
      <c r="E538" s="683"/>
      <c r="F538" s="220">
        <v>31.13</v>
      </c>
      <c r="G538" s="220">
        <f t="shared" si="85"/>
        <v>31.13</v>
      </c>
      <c r="H538" s="221" t="s">
        <v>29</v>
      </c>
      <c r="I538" s="222">
        <f t="shared" si="87"/>
        <v>16118.778999999993</v>
      </c>
      <c r="J538" s="220">
        <f t="shared" si="86"/>
        <v>5236.2210000000068</v>
      </c>
      <c r="K538" s="519"/>
      <c r="L538" s="231"/>
      <c r="M538" s="760" t="s">
        <v>292</v>
      </c>
      <c r="N538" s="761"/>
      <c r="O538" s="29"/>
      <c r="P538" s="29"/>
      <c r="Q538" s="29"/>
      <c r="R538" s="29"/>
      <c r="S538" s="29"/>
      <c r="T538" s="29"/>
      <c r="U538" s="29"/>
      <c r="V538" s="29"/>
      <c r="W538" s="29"/>
      <c r="X538" s="29"/>
    </row>
    <row r="539" spans="1:24" ht="20.100000000000001" customHeight="1">
      <c r="A539" s="681"/>
      <c r="B539" s="682"/>
      <c r="C539" s="683" t="s">
        <v>64</v>
      </c>
      <c r="D539" s="683"/>
      <c r="E539" s="683"/>
      <c r="F539" s="220">
        <v>31.23</v>
      </c>
      <c r="G539" s="220">
        <f t="shared" si="85"/>
        <v>31.23</v>
      </c>
      <c r="H539" s="221" t="s">
        <v>29</v>
      </c>
      <c r="I539" s="222">
        <f t="shared" si="87"/>
        <v>16150.008999999993</v>
      </c>
      <c r="J539" s="220">
        <f t="shared" ref="J539:J550" si="88">IF(I539="","",$M$10-I539)</f>
        <v>5204.9910000000073</v>
      </c>
      <c r="K539" s="519"/>
      <c r="L539" s="231"/>
      <c r="M539" s="760" t="s">
        <v>292</v>
      </c>
      <c r="N539" s="761"/>
      <c r="O539" s="29"/>
      <c r="P539" s="29"/>
      <c r="Q539" s="29"/>
      <c r="R539" s="29"/>
      <c r="S539" s="29"/>
      <c r="T539" s="29"/>
      <c r="U539" s="29"/>
      <c r="V539" s="29"/>
      <c r="W539" s="29"/>
      <c r="X539" s="29"/>
    </row>
    <row r="540" spans="1:24" ht="20.100000000000001" customHeight="1">
      <c r="A540" s="732" t="s">
        <v>171</v>
      </c>
      <c r="B540" s="733"/>
      <c r="C540" s="734" t="s">
        <v>64</v>
      </c>
      <c r="D540" s="734"/>
      <c r="E540" s="734"/>
      <c r="F540" s="223">
        <v>31.21</v>
      </c>
      <c r="G540" s="223">
        <f t="shared" si="85"/>
        <v>31.21</v>
      </c>
      <c r="H540" s="224" t="s">
        <v>29</v>
      </c>
      <c r="I540" s="225">
        <f t="shared" si="87"/>
        <v>16181.218999999992</v>
      </c>
      <c r="J540" s="223">
        <f t="shared" si="88"/>
        <v>5173.7810000000081</v>
      </c>
      <c r="K540" s="518"/>
      <c r="L540" s="233"/>
      <c r="M540" s="760" t="s">
        <v>292</v>
      </c>
      <c r="N540" s="761"/>
      <c r="O540" s="29"/>
      <c r="P540" s="29"/>
      <c r="Q540" s="29"/>
      <c r="R540" s="29"/>
      <c r="S540" s="29"/>
      <c r="T540" s="29"/>
      <c r="U540" s="29"/>
      <c r="V540" s="29"/>
      <c r="W540" s="29"/>
      <c r="X540" s="29"/>
    </row>
    <row r="541" spans="1:24" ht="20.100000000000001" customHeight="1">
      <c r="A541" s="732"/>
      <c r="B541" s="733"/>
      <c r="C541" s="734" t="s">
        <v>64</v>
      </c>
      <c r="D541" s="734"/>
      <c r="E541" s="734"/>
      <c r="F541" s="223">
        <v>31.03</v>
      </c>
      <c r="G541" s="223">
        <f t="shared" si="85"/>
        <v>31.03</v>
      </c>
      <c r="H541" s="224" t="s">
        <v>29</v>
      </c>
      <c r="I541" s="225">
        <f t="shared" ref="I541:I552" si="89">IF(H541="IN",I540+G541,I540)</f>
        <v>16212.248999999993</v>
      </c>
      <c r="J541" s="223">
        <f t="shared" si="88"/>
        <v>5142.7510000000075</v>
      </c>
      <c r="K541" s="518"/>
      <c r="L541" s="233"/>
      <c r="M541" s="760" t="s">
        <v>292</v>
      </c>
      <c r="N541" s="761"/>
      <c r="O541" s="29"/>
      <c r="P541" s="29"/>
      <c r="Q541" s="29"/>
      <c r="R541" s="29"/>
      <c r="S541" s="29"/>
      <c r="T541" s="29"/>
      <c r="U541" s="29"/>
      <c r="V541" s="29"/>
      <c r="W541" s="29"/>
      <c r="X541" s="29"/>
    </row>
    <row r="542" spans="1:24" ht="20.100000000000001" customHeight="1">
      <c r="A542" s="732"/>
      <c r="B542" s="733"/>
      <c r="C542" s="734" t="s">
        <v>64</v>
      </c>
      <c r="D542" s="734"/>
      <c r="E542" s="734"/>
      <c r="F542" s="223">
        <v>31.26</v>
      </c>
      <c r="G542" s="223">
        <f t="shared" si="85"/>
        <v>31.26</v>
      </c>
      <c r="H542" s="224" t="s">
        <v>29</v>
      </c>
      <c r="I542" s="225">
        <f t="shared" si="89"/>
        <v>16243.508999999993</v>
      </c>
      <c r="J542" s="223">
        <f t="shared" si="88"/>
        <v>5111.4910000000073</v>
      </c>
      <c r="K542" s="518"/>
      <c r="L542" s="233"/>
      <c r="M542" s="760" t="s">
        <v>292</v>
      </c>
      <c r="N542" s="761"/>
      <c r="O542" s="29"/>
      <c r="P542" s="29"/>
      <c r="Q542" s="29"/>
      <c r="R542" s="29"/>
      <c r="S542" s="29"/>
      <c r="T542" s="29"/>
      <c r="U542" s="29"/>
      <c r="V542" s="29"/>
      <c r="W542" s="29"/>
      <c r="X542" s="29"/>
    </row>
    <row r="543" spans="1:24" ht="20.100000000000001" customHeight="1">
      <c r="A543" s="681" t="s">
        <v>172</v>
      </c>
      <c r="B543" s="682"/>
      <c r="C543" s="683" t="s">
        <v>64</v>
      </c>
      <c r="D543" s="683"/>
      <c r="E543" s="683"/>
      <c r="F543" s="220">
        <v>30.85</v>
      </c>
      <c r="G543" s="220">
        <f t="shared" si="85"/>
        <v>30.85</v>
      </c>
      <c r="H543" s="221" t="s">
        <v>29</v>
      </c>
      <c r="I543" s="222">
        <f t="shared" si="89"/>
        <v>16274.358999999993</v>
      </c>
      <c r="J543" s="220">
        <f t="shared" si="88"/>
        <v>5080.6410000000069</v>
      </c>
      <c r="K543" s="519"/>
      <c r="L543" s="231"/>
      <c r="M543" s="760" t="s">
        <v>292</v>
      </c>
      <c r="N543" s="761"/>
      <c r="O543" s="29"/>
      <c r="P543" s="29"/>
      <c r="Q543" s="29"/>
      <c r="R543" s="29"/>
      <c r="S543" s="29"/>
      <c r="T543" s="29"/>
      <c r="U543" s="29"/>
      <c r="V543" s="29"/>
      <c r="W543" s="29"/>
      <c r="X543" s="29"/>
    </row>
    <row r="544" spans="1:24" ht="20.100000000000001" customHeight="1">
      <c r="A544" s="681"/>
      <c r="B544" s="682"/>
      <c r="C544" s="683" t="s">
        <v>64</v>
      </c>
      <c r="D544" s="683"/>
      <c r="E544" s="683"/>
      <c r="F544" s="220">
        <v>31.03</v>
      </c>
      <c r="G544" s="220">
        <f t="shared" si="85"/>
        <v>31.03</v>
      </c>
      <c r="H544" s="221" t="s">
        <v>29</v>
      </c>
      <c r="I544" s="222">
        <f t="shared" si="89"/>
        <v>16305.388999999994</v>
      </c>
      <c r="J544" s="220">
        <f t="shared" si="88"/>
        <v>5049.6110000000062</v>
      </c>
      <c r="K544" s="519"/>
      <c r="L544" s="231"/>
      <c r="M544" s="760" t="s">
        <v>292</v>
      </c>
      <c r="N544" s="761"/>
      <c r="O544" s="29"/>
      <c r="P544" s="29"/>
      <c r="Q544" s="29"/>
      <c r="R544" s="29"/>
      <c r="S544" s="29"/>
      <c r="T544" s="29"/>
      <c r="U544" s="29"/>
      <c r="V544" s="29"/>
      <c r="W544" s="29"/>
      <c r="X544" s="29"/>
    </row>
    <row r="545" spans="1:24" ht="20.100000000000001" customHeight="1">
      <c r="A545" s="681"/>
      <c r="B545" s="682"/>
      <c r="C545" s="683" t="s">
        <v>64</v>
      </c>
      <c r="D545" s="683"/>
      <c r="E545" s="683"/>
      <c r="F545" s="220">
        <v>31.08</v>
      </c>
      <c r="G545" s="220">
        <f t="shared" si="85"/>
        <v>31.08</v>
      </c>
      <c r="H545" s="221" t="s">
        <v>29</v>
      </c>
      <c r="I545" s="222">
        <f t="shared" si="89"/>
        <v>16336.468999999994</v>
      </c>
      <c r="J545" s="220">
        <f t="shared" si="88"/>
        <v>5018.5310000000063</v>
      </c>
      <c r="K545" s="519"/>
      <c r="L545" s="231"/>
      <c r="M545" s="760" t="s">
        <v>292</v>
      </c>
      <c r="N545" s="761"/>
      <c r="O545" s="29"/>
      <c r="P545" s="29"/>
      <c r="Q545" s="29"/>
      <c r="R545" s="29"/>
      <c r="S545" s="29"/>
      <c r="T545" s="29"/>
      <c r="U545" s="29"/>
      <c r="V545" s="29"/>
      <c r="W545" s="29"/>
      <c r="X545" s="29"/>
    </row>
    <row r="546" spans="1:24" ht="20.100000000000001" customHeight="1">
      <c r="A546" s="732" t="s">
        <v>173</v>
      </c>
      <c r="B546" s="733"/>
      <c r="C546" s="734" t="s">
        <v>64</v>
      </c>
      <c r="D546" s="734"/>
      <c r="E546" s="734"/>
      <c r="F546" s="223">
        <v>30.94</v>
      </c>
      <c r="G546" s="223">
        <f t="shared" si="85"/>
        <v>30.94</v>
      </c>
      <c r="H546" s="224" t="s">
        <v>29</v>
      </c>
      <c r="I546" s="225">
        <f t="shared" si="89"/>
        <v>16367.408999999994</v>
      </c>
      <c r="J546" s="223">
        <f t="shared" si="88"/>
        <v>4987.5910000000058</v>
      </c>
      <c r="K546" s="518"/>
      <c r="L546" s="233"/>
      <c r="M546" s="760" t="s">
        <v>292</v>
      </c>
      <c r="N546" s="761"/>
      <c r="O546" s="29"/>
      <c r="P546" s="29"/>
      <c r="Q546" s="29"/>
      <c r="R546" s="29"/>
      <c r="S546" s="29"/>
      <c r="T546" s="29"/>
      <c r="U546" s="29"/>
      <c r="V546" s="29"/>
      <c r="W546" s="29"/>
      <c r="X546" s="29"/>
    </row>
    <row r="547" spans="1:24" ht="20.100000000000001" customHeight="1">
      <c r="A547" s="732"/>
      <c r="B547" s="733"/>
      <c r="C547" s="734" t="s">
        <v>64</v>
      </c>
      <c r="D547" s="734"/>
      <c r="E547" s="734"/>
      <c r="F547" s="223">
        <v>31.14</v>
      </c>
      <c r="G547" s="223">
        <f t="shared" si="85"/>
        <v>31.14</v>
      </c>
      <c r="H547" s="224" t="s">
        <v>29</v>
      </c>
      <c r="I547" s="225">
        <f t="shared" si="89"/>
        <v>16398.548999999995</v>
      </c>
      <c r="J547" s="223">
        <f t="shared" si="88"/>
        <v>4956.4510000000046</v>
      </c>
      <c r="K547" s="518"/>
      <c r="L547" s="233"/>
      <c r="M547" s="760" t="s">
        <v>292</v>
      </c>
      <c r="N547" s="761"/>
      <c r="O547" s="29"/>
      <c r="P547" s="29"/>
      <c r="Q547" s="29"/>
      <c r="R547" s="29"/>
      <c r="S547" s="29"/>
      <c r="T547" s="29"/>
      <c r="U547" s="29"/>
      <c r="V547" s="29"/>
      <c r="W547" s="29"/>
      <c r="X547" s="29"/>
    </row>
    <row r="548" spans="1:24" ht="20.100000000000001" customHeight="1">
      <c r="A548" s="732"/>
      <c r="B548" s="733"/>
      <c r="C548" s="734" t="s">
        <v>64</v>
      </c>
      <c r="D548" s="734"/>
      <c r="E548" s="734"/>
      <c r="F548" s="223">
        <v>31.17</v>
      </c>
      <c r="G548" s="223">
        <f t="shared" si="85"/>
        <v>31.17</v>
      </c>
      <c r="H548" s="224" t="s">
        <v>29</v>
      </c>
      <c r="I548" s="225">
        <f t="shared" si="89"/>
        <v>16429.718999999994</v>
      </c>
      <c r="J548" s="223">
        <f t="shared" si="88"/>
        <v>4925.2810000000063</v>
      </c>
      <c r="K548" s="518"/>
      <c r="L548" s="233"/>
      <c r="M548" s="760" t="s">
        <v>292</v>
      </c>
      <c r="N548" s="761"/>
      <c r="O548" s="29"/>
      <c r="P548" s="29"/>
      <c r="Q548" s="29"/>
      <c r="R548" s="29"/>
      <c r="S548" s="29"/>
      <c r="T548" s="29"/>
      <c r="U548" s="29"/>
      <c r="V548" s="29"/>
      <c r="W548" s="29"/>
      <c r="X548" s="29"/>
    </row>
    <row r="549" spans="1:24" ht="20.100000000000001" customHeight="1">
      <c r="A549" s="681" t="s">
        <v>174</v>
      </c>
      <c r="B549" s="682"/>
      <c r="C549" s="683" t="s">
        <v>64</v>
      </c>
      <c r="D549" s="683"/>
      <c r="E549" s="683"/>
      <c r="F549" s="220">
        <v>31.03</v>
      </c>
      <c r="G549" s="220">
        <f t="shared" si="85"/>
        <v>31.03</v>
      </c>
      <c r="H549" s="221" t="s">
        <v>29</v>
      </c>
      <c r="I549" s="222">
        <f t="shared" si="89"/>
        <v>16460.748999999993</v>
      </c>
      <c r="J549" s="220">
        <f t="shared" si="88"/>
        <v>4894.2510000000075</v>
      </c>
      <c r="K549" s="519"/>
      <c r="L549" s="231"/>
      <c r="M549" s="760" t="s">
        <v>292</v>
      </c>
      <c r="N549" s="761"/>
      <c r="O549" s="29"/>
      <c r="P549" s="29"/>
      <c r="Q549" s="29"/>
      <c r="R549" s="29"/>
      <c r="S549" s="29"/>
      <c r="T549" s="29"/>
      <c r="U549" s="29"/>
      <c r="V549" s="29"/>
      <c r="W549" s="29"/>
      <c r="X549" s="29"/>
    </row>
    <row r="550" spans="1:24" ht="20.100000000000001" customHeight="1">
      <c r="A550" s="681"/>
      <c r="B550" s="682"/>
      <c r="C550" s="683" t="s">
        <v>64</v>
      </c>
      <c r="D550" s="683"/>
      <c r="E550" s="683"/>
      <c r="F550" s="220">
        <v>31.15</v>
      </c>
      <c r="G550" s="220">
        <f t="shared" si="85"/>
        <v>31.15</v>
      </c>
      <c r="H550" s="221" t="s">
        <v>29</v>
      </c>
      <c r="I550" s="222">
        <f t="shared" si="89"/>
        <v>16491.898999999994</v>
      </c>
      <c r="J550" s="220">
        <f t="shared" si="88"/>
        <v>4863.101000000006</v>
      </c>
      <c r="K550" s="519"/>
      <c r="L550" s="231"/>
      <c r="M550" s="760" t="s">
        <v>292</v>
      </c>
      <c r="N550" s="761"/>
      <c r="O550" s="29"/>
      <c r="P550" s="29"/>
      <c r="Q550" s="29"/>
      <c r="R550" s="29"/>
      <c r="S550" s="29"/>
      <c r="T550" s="29"/>
      <c r="U550" s="29"/>
      <c r="V550" s="29"/>
      <c r="W550" s="29"/>
      <c r="X550" s="29"/>
    </row>
    <row r="551" spans="1:24" ht="20.100000000000001" customHeight="1">
      <c r="A551" s="681"/>
      <c r="B551" s="682"/>
      <c r="C551" s="683" t="s">
        <v>64</v>
      </c>
      <c r="D551" s="683"/>
      <c r="E551" s="683"/>
      <c r="F551" s="220">
        <v>31.05</v>
      </c>
      <c r="G551" s="220">
        <f t="shared" si="85"/>
        <v>31.05</v>
      </c>
      <c r="H551" s="221" t="s">
        <v>29</v>
      </c>
      <c r="I551" s="222">
        <f t="shared" si="89"/>
        <v>16522.948999999993</v>
      </c>
      <c r="J551" s="220">
        <f t="shared" ref="J551:J614" si="90">IF(I551="","",$M$10-I551)</f>
        <v>4832.0510000000068</v>
      </c>
      <c r="K551" s="519"/>
      <c r="L551" s="231"/>
      <c r="M551" s="760" t="s">
        <v>292</v>
      </c>
      <c r="N551" s="761"/>
      <c r="O551" s="29"/>
      <c r="P551" s="29"/>
      <c r="Q551" s="29"/>
      <c r="R551" s="29"/>
      <c r="S551" s="29"/>
      <c r="T551" s="29"/>
      <c r="U551" s="29"/>
      <c r="V551" s="29"/>
      <c r="W551" s="29"/>
      <c r="X551" s="29"/>
    </row>
    <row r="552" spans="1:24" ht="20.100000000000001" customHeight="1">
      <c r="A552" s="732" t="s">
        <v>175</v>
      </c>
      <c r="B552" s="733"/>
      <c r="C552" s="734" t="s">
        <v>64</v>
      </c>
      <c r="D552" s="734"/>
      <c r="E552" s="734"/>
      <c r="F552" s="223">
        <v>31.12</v>
      </c>
      <c r="G552" s="223">
        <f t="shared" si="85"/>
        <v>31.12</v>
      </c>
      <c r="H552" s="224" t="s">
        <v>29</v>
      </c>
      <c r="I552" s="225">
        <f t="shared" si="89"/>
        <v>16554.068999999992</v>
      </c>
      <c r="J552" s="223">
        <f t="shared" si="90"/>
        <v>4800.9310000000078</v>
      </c>
      <c r="K552" s="518"/>
      <c r="L552" s="233"/>
      <c r="M552" s="760" t="s">
        <v>292</v>
      </c>
      <c r="N552" s="761"/>
      <c r="O552" s="29"/>
      <c r="P552" s="29"/>
      <c r="Q552" s="29"/>
      <c r="R552" s="29"/>
      <c r="S552" s="29"/>
      <c r="T552" s="29"/>
      <c r="U552" s="29"/>
      <c r="V552" s="29"/>
      <c r="W552" s="29"/>
      <c r="X552" s="29"/>
    </row>
    <row r="553" spans="1:24" ht="20.100000000000001" customHeight="1">
      <c r="A553" s="732"/>
      <c r="B553" s="733"/>
      <c r="C553" s="734" t="s">
        <v>64</v>
      </c>
      <c r="D553" s="734"/>
      <c r="E553" s="734"/>
      <c r="F553" s="223">
        <v>31.24</v>
      </c>
      <c r="G553" s="223">
        <f t="shared" si="85"/>
        <v>31.24</v>
      </c>
      <c r="H553" s="224" t="s">
        <v>29</v>
      </c>
      <c r="I553" s="225">
        <f t="shared" ref="I553:I614" si="91">IF(H553="IN",I552+G553,I552)</f>
        <v>16585.308999999994</v>
      </c>
      <c r="J553" s="223">
        <f t="shared" si="90"/>
        <v>4769.6910000000062</v>
      </c>
      <c r="K553" s="518"/>
      <c r="L553" s="233"/>
      <c r="M553" s="760" t="s">
        <v>292</v>
      </c>
      <c r="N553" s="761"/>
      <c r="O553" s="29"/>
      <c r="P553" s="29"/>
      <c r="Q553" s="29"/>
      <c r="R553" s="29"/>
      <c r="S553" s="29"/>
      <c r="T553" s="29"/>
      <c r="U553" s="29"/>
      <c r="V553" s="29"/>
      <c r="W553" s="29"/>
      <c r="X553" s="29"/>
    </row>
    <row r="554" spans="1:24" ht="20.100000000000001" customHeight="1">
      <c r="A554" s="732"/>
      <c r="B554" s="733"/>
      <c r="C554" s="734" t="s">
        <v>64</v>
      </c>
      <c r="D554" s="734"/>
      <c r="E554" s="734"/>
      <c r="F554" s="223">
        <v>31.01</v>
      </c>
      <c r="G554" s="223">
        <f t="shared" si="85"/>
        <v>31.01</v>
      </c>
      <c r="H554" s="224" t="s">
        <v>29</v>
      </c>
      <c r="I554" s="225">
        <f t="shared" si="91"/>
        <v>16616.318999999992</v>
      </c>
      <c r="J554" s="223">
        <f t="shared" si="90"/>
        <v>4738.6810000000078</v>
      </c>
      <c r="K554" s="518"/>
      <c r="L554" s="233"/>
      <c r="M554" s="760" t="s">
        <v>292</v>
      </c>
      <c r="N554" s="761"/>
      <c r="O554" s="29"/>
      <c r="P554" s="29"/>
      <c r="Q554" s="29"/>
      <c r="R554" s="29"/>
      <c r="S554" s="29"/>
      <c r="T554" s="29"/>
      <c r="U554" s="29"/>
      <c r="V554" s="29"/>
      <c r="W554" s="29"/>
      <c r="X554" s="29"/>
    </row>
    <row r="555" spans="1:24" ht="20.100000000000001" customHeight="1">
      <c r="A555" s="681" t="s">
        <v>176</v>
      </c>
      <c r="B555" s="682"/>
      <c r="C555" s="683" t="s">
        <v>64</v>
      </c>
      <c r="D555" s="683"/>
      <c r="E555" s="683"/>
      <c r="F555" s="220">
        <v>31.16</v>
      </c>
      <c r="G555" s="220">
        <f t="shared" si="85"/>
        <v>31.16</v>
      </c>
      <c r="H555" s="221" t="s">
        <v>29</v>
      </c>
      <c r="I555" s="222">
        <f t="shared" si="91"/>
        <v>16647.478999999992</v>
      </c>
      <c r="J555" s="220">
        <f t="shared" si="90"/>
        <v>4707.5210000000079</v>
      </c>
      <c r="K555" s="519"/>
      <c r="L555" s="231"/>
      <c r="M555" s="760" t="s">
        <v>292</v>
      </c>
      <c r="N555" s="761"/>
      <c r="O555" s="29"/>
      <c r="P555" s="29"/>
      <c r="Q555" s="29"/>
      <c r="R555" s="29"/>
      <c r="S555" s="29"/>
      <c r="T555" s="29"/>
      <c r="U555" s="29"/>
      <c r="V555" s="29"/>
      <c r="W555" s="29"/>
      <c r="X555" s="29"/>
    </row>
    <row r="556" spans="1:24" ht="20.100000000000001" customHeight="1">
      <c r="A556" s="681"/>
      <c r="B556" s="682"/>
      <c r="C556" s="683" t="s">
        <v>64</v>
      </c>
      <c r="D556" s="683"/>
      <c r="E556" s="683"/>
      <c r="F556" s="220">
        <v>30.95</v>
      </c>
      <c r="G556" s="220">
        <f t="shared" si="85"/>
        <v>30.95</v>
      </c>
      <c r="H556" s="221" t="s">
        <v>29</v>
      </c>
      <c r="I556" s="222">
        <f t="shared" si="91"/>
        <v>16678.428999999993</v>
      </c>
      <c r="J556" s="220">
        <f t="shared" si="90"/>
        <v>4676.5710000000072</v>
      </c>
      <c r="K556" s="519"/>
      <c r="L556" s="231"/>
      <c r="M556" s="760" t="s">
        <v>292</v>
      </c>
      <c r="N556" s="761"/>
      <c r="O556" s="29"/>
      <c r="P556" s="29"/>
      <c r="Q556" s="29"/>
      <c r="R556" s="29"/>
      <c r="S556" s="29"/>
      <c r="T556" s="29"/>
      <c r="U556" s="29"/>
      <c r="V556" s="29"/>
      <c r="W556" s="29"/>
      <c r="X556" s="29"/>
    </row>
    <row r="557" spans="1:24" ht="20.100000000000001" customHeight="1">
      <c r="A557" s="681"/>
      <c r="B557" s="682"/>
      <c r="C557" s="683" t="s">
        <v>64</v>
      </c>
      <c r="D557" s="683"/>
      <c r="E557" s="683"/>
      <c r="F557" s="220">
        <v>31.05</v>
      </c>
      <c r="G557" s="220">
        <f t="shared" si="85"/>
        <v>31.05</v>
      </c>
      <c r="H557" s="221" t="s">
        <v>29</v>
      </c>
      <c r="I557" s="222">
        <f t="shared" si="91"/>
        <v>16709.478999999992</v>
      </c>
      <c r="J557" s="220">
        <f t="shared" si="90"/>
        <v>4645.5210000000079</v>
      </c>
      <c r="K557" s="519"/>
      <c r="L557" s="231"/>
      <c r="M557" s="760" t="s">
        <v>292</v>
      </c>
      <c r="N557" s="761"/>
      <c r="O557" s="29"/>
      <c r="P557" s="29"/>
      <c r="Q557" s="29"/>
      <c r="R557" s="29"/>
      <c r="S557" s="29"/>
      <c r="T557" s="29"/>
      <c r="U557" s="29"/>
      <c r="V557" s="29"/>
      <c r="W557" s="29"/>
      <c r="X557" s="29"/>
    </row>
    <row r="558" spans="1:24" ht="20.100000000000001" customHeight="1">
      <c r="A558" s="732" t="s">
        <v>177</v>
      </c>
      <c r="B558" s="733"/>
      <c r="C558" s="734" t="s">
        <v>64</v>
      </c>
      <c r="D558" s="734"/>
      <c r="E558" s="734"/>
      <c r="F558" s="223">
        <v>31.04</v>
      </c>
      <c r="G558" s="223">
        <f t="shared" si="85"/>
        <v>31.04</v>
      </c>
      <c r="H558" s="224" t="s">
        <v>29</v>
      </c>
      <c r="I558" s="225">
        <f t="shared" si="91"/>
        <v>16740.518999999993</v>
      </c>
      <c r="J558" s="223">
        <f t="shared" si="90"/>
        <v>4614.481000000007</v>
      </c>
      <c r="K558" s="518"/>
      <c r="L558" s="233"/>
      <c r="M558" s="760" t="s">
        <v>292</v>
      </c>
      <c r="N558" s="761"/>
      <c r="O558" s="29"/>
      <c r="P558" s="29"/>
      <c r="Q558" s="29"/>
      <c r="R558" s="29"/>
      <c r="S558" s="29"/>
      <c r="T558" s="29"/>
      <c r="U558" s="29"/>
      <c r="V558" s="29"/>
      <c r="W558" s="29"/>
      <c r="X558" s="29"/>
    </row>
    <row r="559" spans="1:24" ht="20.100000000000001" customHeight="1">
      <c r="A559" s="732"/>
      <c r="B559" s="733"/>
      <c r="C559" s="734" t="s">
        <v>64</v>
      </c>
      <c r="D559" s="734"/>
      <c r="E559" s="734"/>
      <c r="F559" s="223">
        <v>31.25</v>
      </c>
      <c r="G559" s="223">
        <f t="shared" si="85"/>
        <v>31.25</v>
      </c>
      <c r="H559" s="224" t="s">
        <v>29</v>
      </c>
      <c r="I559" s="225">
        <f t="shared" si="91"/>
        <v>16771.768999999993</v>
      </c>
      <c r="J559" s="223">
        <f t="shared" si="90"/>
        <v>4583.231000000007</v>
      </c>
      <c r="K559" s="518"/>
      <c r="L559" s="233"/>
      <c r="M559" s="760" t="s">
        <v>292</v>
      </c>
      <c r="N559" s="761"/>
      <c r="O559" s="29"/>
      <c r="P559" s="29"/>
      <c r="Q559" s="29"/>
      <c r="R559" s="29"/>
      <c r="S559" s="29"/>
      <c r="T559" s="29"/>
      <c r="U559" s="29"/>
      <c r="V559" s="29"/>
      <c r="W559" s="29"/>
      <c r="X559" s="29"/>
    </row>
    <row r="560" spans="1:24" ht="20.100000000000001" customHeight="1">
      <c r="A560" s="732"/>
      <c r="B560" s="733"/>
      <c r="C560" s="734" t="s">
        <v>64</v>
      </c>
      <c r="D560" s="734"/>
      <c r="E560" s="734"/>
      <c r="F560" s="223">
        <v>30.98</v>
      </c>
      <c r="G560" s="223">
        <f t="shared" si="85"/>
        <v>30.98</v>
      </c>
      <c r="H560" s="224" t="s">
        <v>29</v>
      </c>
      <c r="I560" s="225">
        <f t="shared" si="91"/>
        <v>16802.748999999993</v>
      </c>
      <c r="J560" s="223">
        <f t="shared" si="90"/>
        <v>4552.2510000000075</v>
      </c>
      <c r="K560" s="518"/>
      <c r="L560" s="233"/>
      <c r="M560" s="760" t="s">
        <v>292</v>
      </c>
      <c r="N560" s="761"/>
      <c r="O560" s="29"/>
      <c r="P560" s="29"/>
      <c r="Q560" s="29"/>
      <c r="R560" s="29"/>
      <c r="S560" s="29"/>
      <c r="T560" s="29"/>
      <c r="U560" s="29"/>
      <c r="V560" s="29"/>
      <c r="W560" s="29"/>
      <c r="X560" s="29"/>
    </row>
    <row r="561" spans="1:24" ht="20.100000000000001" customHeight="1">
      <c r="A561" s="681" t="s">
        <v>178</v>
      </c>
      <c r="B561" s="682"/>
      <c r="C561" s="683" t="s">
        <v>64</v>
      </c>
      <c r="D561" s="683"/>
      <c r="E561" s="683"/>
      <c r="F561" s="220">
        <v>30.84</v>
      </c>
      <c r="G561" s="220">
        <f t="shared" si="85"/>
        <v>30.84</v>
      </c>
      <c r="H561" s="221" t="s">
        <v>29</v>
      </c>
      <c r="I561" s="222">
        <f t="shared" si="91"/>
        <v>16833.588999999993</v>
      </c>
      <c r="J561" s="220">
        <f t="shared" si="90"/>
        <v>4521.4110000000073</v>
      </c>
      <c r="K561" s="519"/>
      <c r="L561" s="231"/>
      <c r="M561" s="760" t="s">
        <v>292</v>
      </c>
      <c r="N561" s="761"/>
      <c r="O561" s="29"/>
      <c r="P561" s="29"/>
      <c r="Q561" s="29"/>
      <c r="R561" s="29"/>
      <c r="S561" s="29"/>
      <c r="T561" s="29"/>
      <c r="U561" s="29"/>
      <c r="V561" s="29"/>
      <c r="W561" s="29"/>
      <c r="X561" s="29"/>
    </row>
    <row r="562" spans="1:24" ht="20.100000000000001" customHeight="1">
      <c r="A562" s="681"/>
      <c r="B562" s="682"/>
      <c r="C562" s="683" t="s">
        <v>64</v>
      </c>
      <c r="D562" s="683"/>
      <c r="E562" s="683"/>
      <c r="F562" s="220">
        <v>31.1</v>
      </c>
      <c r="G562" s="220">
        <f t="shared" si="85"/>
        <v>31.1</v>
      </c>
      <c r="H562" s="221" t="s">
        <v>29</v>
      </c>
      <c r="I562" s="222">
        <f t="shared" si="91"/>
        <v>16864.688999999991</v>
      </c>
      <c r="J562" s="220">
        <f t="shared" si="90"/>
        <v>4490.3110000000088</v>
      </c>
      <c r="K562" s="519"/>
      <c r="L562" s="231"/>
      <c r="M562" s="760" t="s">
        <v>292</v>
      </c>
      <c r="N562" s="761"/>
      <c r="O562" s="29"/>
      <c r="P562" s="29"/>
      <c r="Q562" s="29"/>
      <c r="R562" s="29"/>
      <c r="S562" s="29"/>
      <c r="T562" s="29"/>
      <c r="U562" s="29"/>
      <c r="V562" s="29"/>
      <c r="W562" s="29"/>
      <c r="X562" s="29"/>
    </row>
    <row r="563" spans="1:24" ht="20.100000000000001" customHeight="1">
      <c r="A563" s="681"/>
      <c r="B563" s="682"/>
      <c r="C563" s="683" t="s">
        <v>64</v>
      </c>
      <c r="D563" s="683"/>
      <c r="E563" s="683"/>
      <c r="F563" s="220">
        <v>31.29</v>
      </c>
      <c r="G563" s="220">
        <f t="shared" si="85"/>
        <v>31.29</v>
      </c>
      <c r="H563" s="221" t="s">
        <v>29</v>
      </c>
      <c r="I563" s="222">
        <f t="shared" si="91"/>
        <v>16895.978999999992</v>
      </c>
      <c r="J563" s="220">
        <f t="shared" si="90"/>
        <v>4459.0210000000079</v>
      </c>
      <c r="K563" s="519"/>
      <c r="L563" s="231"/>
      <c r="M563" s="760" t="s">
        <v>292</v>
      </c>
      <c r="N563" s="761"/>
      <c r="O563" s="29"/>
      <c r="P563" s="29"/>
      <c r="Q563" s="29"/>
      <c r="R563" s="29"/>
      <c r="S563" s="29"/>
      <c r="T563" s="29"/>
      <c r="U563" s="29"/>
      <c r="V563" s="29"/>
      <c r="W563" s="29"/>
      <c r="X563" s="29"/>
    </row>
    <row r="564" spans="1:24" ht="20.100000000000001" customHeight="1">
      <c r="A564" s="732" t="s">
        <v>179</v>
      </c>
      <c r="B564" s="733"/>
      <c r="C564" s="734" t="s">
        <v>64</v>
      </c>
      <c r="D564" s="734"/>
      <c r="E564" s="734"/>
      <c r="F564" s="223">
        <v>31.33</v>
      </c>
      <c r="G564" s="223">
        <f t="shared" si="85"/>
        <v>31.33</v>
      </c>
      <c r="H564" s="224" t="s">
        <v>29</v>
      </c>
      <c r="I564" s="225">
        <f t="shared" si="91"/>
        <v>16927.308999999994</v>
      </c>
      <c r="J564" s="223">
        <f t="shared" si="90"/>
        <v>4427.6910000000062</v>
      </c>
      <c r="K564" s="518"/>
      <c r="L564" s="233"/>
      <c r="M564" s="760" t="s">
        <v>292</v>
      </c>
      <c r="N564" s="761"/>
      <c r="O564" s="29"/>
      <c r="P564" s="29"/>
      <c r="Q564" s="29"/>
      <c r="R564" s="29"/>
      <c r="S564" s="29"/>
      <c r="T564" s="29"/>
      <c r="U564" s="29"/>
      <c r="V564" s="29"/>
      <c r="W564" s="29"/>
      <c r="X564" s="29"/>
    </row>
    <row r="565" spans="1:24" ht="20.100000000000001" customHeight="1">
      <c r="A565" s="732"/>
      <c r="B565" s="733"/>
      <c r="C565" s="734" t="s">
        <v>64</v>
      </c>
      <c r="D565" s="734"/>
      <c r="E565" s="734"/>
      <c r="F565" s="223">
        <v>31.18</v>
      </c>
      <c r="G565" s="223">
        <f t="shared" si="85"/>
        <v>31.18</v>
      </c>
      <c r="H565" s="224" t="s">
        <v>29</v>
      </c>
      <c r="I565" s="225">
        <f t="shared" si="91"/>
        <v>16958.488999999994</v>
      </c>
      <c r="J565" s="223">
        <f t="shared" si="90"/>
        <v>4396.5110000000059</v>
      </c>
      <c r="K565" s="518"/>
      <c r="L565" s="233"/>
      <c r="M565" s="760" t="s">
        <v>292</v>
      </c>
      <c r="N565" s="761"/>
      <c r="O565" s="29"/>
      <c r="P565" s="29"/>
      <c r="Q565" s="29"/>
      <c r="R565" s="29"/>
      <c r="S565" s="29"/>
      <c r="T565" s="29"/>
      <c r="U565" s="29"/>
      <c r="V565" s="29"/>
      <c r="W565" s="29"/>
      <c r="X565" s="29"/>
    </row>
    <row r="566" spans="1:24" ht="20.100000000000001" customHeight="1">
      <c r="A566" s="732"/>
      <c r="B566" s="733"/>
      <c r="C566" s="734" t="s">
        <v>64</v>
      </c>
      <c r="D566" s="734"/>
      <c r="E566" s="734"/>
      <c r="F566" s="223">
        <v>31.03</v>
      </c>
      <c r="G566" s="223">
        <f t="shared" si="85"/>
        <v>31.03</v>
      </c>
      <c r="H566" s="224" t="s">
        <v>29</v>
      </c>
      <c r="I566" s="225">
        <f t="shared" si="91"/>
        <v>16989.518999999993</v>
      </c>
      <c r="J566" s="223">
        <f t="shared" si="90"/>
        <v>4365.481000000007</v>
      </c>
      <c r="K566" s="518"/>
      <c r="L566" s="233"/>
      <c r="M566" s="760" t="s">
        <v>292</v>
      </c>
      <c r="N566" s="761"/>
      <c r="O566" s="29"/>
      <c r="P566" s="29"/>
      <c r="Q566" s="29"/>
      <c r="R566" s="29"/>
      <c r="S566" s="29"/>
      <c r="T566" s="29"/>
      <c r="U566" s="29"/>
      <c r="V566" s="29"/>
      <c r="W566" s="29"/>
      <c r="X566" s="29"/>
    </row>
    <row r="567" spans="1:24" ht="20.100000000000001" customHeight="1">
      <c r="A567" s="681" t="s">
        <v>180</v>
      </c>
      <c r="B567" s="682"/>
      <c r="C567" s="683" t="s">
        <v>64</v>
      </c>
      <c r="D567" s="683"/>
      <c r="E567" s="683"/>
      <c r="F567" s="220">
        <v>31.14</v>
      </c>
      <c r="G567" s="220">
        <f t="shared" si="85"/>
        <v>31.14</v>
      </c>
      <c r="H567" s="221" t="s">
        <v>29</v>
      </c>
      <c r="I567" s="222">
        <f t="shared" si="91"/>
        <v>17020.658999999992</v>
      </c>
      <c r="J567" s="220">
        <f t="shared" si="90"/>
        <v>4334.3410000000076</v>
      </c>
      <c r="K567" s="519"/>
      <c r="L567" s="231"/>
      <c r="M567" s="760" t="s">
        <v>292</v>
      </c>
      <c r="N567" s="761"/>
      <c r="O567" s="29"/>
      <c r="P567" s="29"/>
      <c r="Q567" s="29"/>
      <c r="R567" s="29"/>
      <c r="S567" s="29"/>
      <c r="T567" s="29"/>
      <c r="U567" s="29"/>
      <c r="V567" s="29"/>
      <c r="W567" s="29"/>
      <c r="X567" s="29"/>
    </row>
    <row r="568" spans="1:24" ht="20.100000000000001" customHeight="1">
      <c r="A568" s="681"/>
      <c r="B568" s="682"/>
      <c r="C568" s="683" t="s">
        <v>64</v>
      </c>
      <c r="D568" s="683"/>
      <c r="E568" s="683"/>
      <c r="F568" s="220">
        <v>31.09</v>
      </c>
      <c r="G568" s="220">
        <f t="shared" si="85"/>
        <v>31.09</v>
      </c>
      <c r="H568" s="221" t="s">
        <v>29</v>
      </c>
      <c r="I568" s="222">
        <f t="shared" si="91"/>
        <v>17051.748999999993</v>
      </c>
      <c r="J568" s="220">
        <f t="shared" si="90"/>
        <v>4303.2510000000075</v>
      </c>
      <c r="K568" s="519"/>
      <c r="L568" s="231"/>
      <c r="M568" s="760" t="s">
        <v>292</v>
      </c>
      <c r="N568" s="761"/>
      <c r="O568" s="29"/>
      <c r="P568" s="29"/>
      <c r="Q568" s="29"/>
      <c r="R568" s="29"/>
      <c r="S568" s="29"/>
      <c r="T568" s="29"/>
      <c r="U568" s="29"/>
      <c r="V568" s="29"/>
      <c r="W568" s="29"/>
      <c r="X568" s="29"/>
    </row>
    <row r="569" spans="1:24" ht="20.100000000000001" customHeight="1">
      <c r="A569" s="681"/>
      <c r="B569" s="682"/>
      <c r="C569" s="683" t="s">
        <v>64</v>
      </c>
      <c r="D569" s="683"/>
      <c r="E569" s="683"/>
      <c r="F569" s="220">
        <v>31.21</v>
      </c>
      <c r="G569" s="220">
        <f t="shared" si="85"/>
        <v>31.21</v>
      </c>
      <c r="H569" s="221" t="s">
        <v>29</v>
      </c>
      <c r="I569" s="222">
        <f t="shared" si="91"/>
        <v>17082.958999999992</v>
      </c>
      <c r="J569" s="220">
        <f t="shared" si="90"/>
        <v>4272.0410000000084</v>
      </c>
      <c r="K569" s="519"/>
      <c r="L569" s="231"/>
      <c r="M569" s="760" t="s">
        <v>292</v>
      </c>
      <c r="N569" s="761"/>
      <c r="O569" s="29"/>
      <c r="P569" s="29"/>
      <c r="Q569" s="29"/>
      <c r="R569" s="29"/>
      <c r="S569" s="29"/>
      <c r="T569" s="29"/>
      <c r="U569" s="29"/>
      <c r="V569" s="29"/>
      <c r="W569" s="29"/>
      <c r="X569" s="29"/>
    </row>
    <row r="570" spans="1:24" ht="20.100000000000001" customHeight="1">
      <c r="A570" s="732" t="s">
        <v>181</v>
      </c>
      <c r="B570" s="733"/>
      <c r="C570" s="734" t="s">
        <v>64</v>
      </c>
      <c r="D570" s="734"/>
      <c r="E570" s="734"/>
      <c r="F570" s="223">
        <v>30.93</v>
      </c>
      <c r="G570" s="223">
        <f t="shared" si="85"/>
        <v>30.93</v>
      </c>
      <c r="H570" s="224" t="s">
        <v>29</v>
      </c>
      <c r="I570" s="225">
        <f t="shared" si="91"/>
        <v>17113.888999999992</v>
      </c>
      <c r="J570" s="223">
        <f t="shared" si="90"/>
        <v>4241.1110000000081</v>
      </c>
      <c r="K570" s="518"/>
      <c r="L570" s="233"/>
      <c r="M570" s="760" t="s">
        <v>292</v>
      </c>
      <c r="N570" s="761"/>
      <c r="O570" s="29"/>
      <c r="P570" s="29"/>
      <c r="Q570" s="29"/>
      <c r="R570" s="29"/>
      <c r="S570" s="29"/>
      <c r="T570" s="29"/>
      <c r="U570" s="29"/>
      <c r="V570" s="29"/>
      <c r="W570" s="29"/>
      <c r="X570" s="29"/>
    </row>
    <row r="571" spans="1:24" ht="20.100000000000001" customHeight="1">
      <c r="A571" s="732"/>
      <c r="B571" s="733"/>
      <c r="C571" s="734" t="s">
        <v>64</v>
      </c>
      <c r="D571" s="734"/>
      <c r="E571" s="734"/>
      <c r="F571" s="223">
        <v>30.98</v>
      </c>
      <c r="G571" s="223">
        <f t="shared" si="85"/>
        <v>30.98</v>
      </c>
      <c r="H571" s="224" t="s">
        <v>29</v>
      </c>
      <c r="I571" s="225">
        <f t="shared" si="91"/>
        <v>17144.868999999992</v>
      </c>
      <c r="J571" s="223">
        <f t="shared" si="90"/>
        <v>4210.1310000000085</v>
      </c>
      <c r="K571" s="518"/>
      <c r="L571" s="233"/>
      <c r="M571" s="760" t="s">
        <v>292</v>
      </c>
      <c r="N571" s="761"/>
      <c r="O571" s="29"/>
      <c r="P571" s="29"/>
      <c r="Q571" s="29"/>
      <c r="R571" s="29"/>
      <c r="S571" s="29"/>
      <c r="T571" s="29"/>
      <c r="U571" s="29"/>
      <c r="V571" s="29"/>
      <c r="W571" s="29"/>
      <c r="X571" s="29"/>
    </row>
    <row r="572" spans="1:24" ht="20.100000000000001" customHeight="1">
      <c r="A572" s="732"/>
      <c r="B572" s="733"/>
      <c r="C572" s="734" t="s">
        <v>64</v>
      </c>
      <c r="D572" s="734"/>
      <c r="E572" s="734"/>
      <c r="F572" s="223">
        <v>31.1</v>
      </c>
      <c r="G572" s="223">
        <f t="shared" si="85"/>
        <v>31.1</v>
      </c>
      <c r="H572" s="224" t="s">
        <v>29</v>
      </c>
      <c r="I572" s="225">
        <f t="shared" si="91"/>
        <v>17175.96899999999</v>
      </c>
      <c r="J572" s="223">
        <f t="shared" si="90"/>
        <v>4179.03100000001</v>
      </c>
      <c r="K572" s="518"/>
      <c r="L572" s="233"/>
      <c r="M572" s="760" t="s">
        <v>292</v>
      </c>
      <c r="N572" s="761"/>
      <c r="O572" s="29"/>
      <c r="P572" s="29"/>
      <c r="Q572" s="29"/>
      <c r="R572" s="29"/>
      <c r="S572" s="29"/>
      <c r="T572" s="29"/>
      <c r="U572" s="29"/>
      <c r="V572" s="29"/>
      <c r="W572" s="29"/>
      <c r="X572" s="29"/>
    </row>
    <row r="573" spans="1:24" ht="20.100000000000001" customHeight="1">
      <c r="A573" s="681" t="s">
        <v>182</v>
      </c>
      <c r="B573" s="682"/>
      <c r="C573" s="683" t="s">
        <v>64</v>
      </c>
      <c r="D573" s="683"/>
      <c r="E573" s="683"/>
      <c r="F573" s="220">
        <v>31.24</v>
      </c>
      <c r="G573" s="220">
        <f t="shared" si="85"/>
        <v>31.24</v>
      </c>
      <c r="H573" s="221" t="s">
        <v>29</v>
      </c>
      <c r="I573" s="222">
        <f t="shared" si="91"/>
        <v>17207.208999999992</v>
      </c>
      <c r="J573" s="220">
        <f t="shared" si="90"/>
        <v>4147.7910000000084</v>
      </c>
      <c r="K573" s="519"/>
      <c r="L573" s="231"/>
      <c r="M573" s="760" t="s">
        <v>292</v>
      </c>
      <c r="N573" s="761"/>
      <c r="O573" s="29"/>
      <c r="P573" s="29"/>
      <c r="Q573" s="29"/>
      <c r="R573" s="29"/>
      <c r="S573" s="29"/>
      <c r="T573" s="29"/>
      <c r="U573" s="29"/>
      <c r="V573" s="29"/>
      <c r="W573" s="29"/>
      <c r="X573" s="29"/>
    </row>
    <row r="574" spans="1:24" ht="20.100000000000001" customHeight="1">
      <c r="A574" s="681"/>
      <c r="B574" s="682"/>
      <c r="C574" s="683" t="s">
        <v>64</v>
      </c>
      <c r="D574" s="683"/>
      <c r="E574" s="683"/>
      <c r="F574" s="220">
        <v>31.15</v>
      </c>
      <c r="G574" s="220">
        <f t="shared" si="85"/>
        <v>31.15</v>
      </c>
      <c r="H574" s="221" t="s">
        <v>29</v>
      </c>
      <c r="I574" s="222">
        <f t="shared" si="91"/>
        <v>17238.358999999993</v>
      </c>
      <c r="J574" s="220">
        <f t="shared" si="90"/>
        <v>4116.6410000000069</v>
      </c>
      <c r="K574" s="519"/>
      <c r="L574" s="231"/>
      <c r="M574" s="760" t="s">
        <v>292</v>
      </c>
      <c r="N574" s="761"/>
      <c r="O574" s="29"/>
      <c r="P574" s="29"/>
      <c r="Q574" s="29"/>
      <c r="R574" s="29"/>
      <c r="S574" s="29"/>
      <c r="T574" s="29"/>
      <c r="U574" s="29"/>
      <c r="V574" s="29"/>
      <c r="W574" s="29"/>
      <c r="X574" s="29"/>
    </row>
    <row r="575" spans="1:24" ht="20.100000000000001" customHeight="1">
      <c r="A575" s="681"/>
      <c r="B575" s="682"/>
      <c r="C575" s="683" t="s">
        <v>64</v>
      </c>
      <c r="D575" s="683"/>
      <c r="E575" s="683"/>
      <c r="F575" s="220">
        <v>31.28</v>
      </c>
      <c r="G575" s="220">
        <f t="shared" si="85"/>
        <v>31.28</v>
      </c>
      <c r="H575" s="221" t="s">
        <v>29</v>
      </c>
      <c r="I575" s="222">
        <f t="shared" si="91"/>
        <v>17269.638999999992</v>
      </c>
      <c r="J575" s="220">
        <f t="shared" si="90"/>
        <v>4085.3610000000081</v>
      </c>
      <c r="K575" s="519"/>
      <c r="L575" s="231"/>
      <c r="M575" s="760" t="s">
        <v>292</v>
      </c>
      <c r="N575" s="761"/>
      <c r="O575" s="29"/>
      <c r="P575" s="29"/>
      <c r="Q575" s="29"/>
      <c r="R575" s="29"/>
      <c r="S575" s="29"/>
      <c r="T575" s="29"/>
      <c r="U575" s="29"/>
      <c r="V575" s="29"/>
      <c r="W575" s="29"/>
      <c r="X575" s="29"/>
    </row>
    <row r="576" spans="1:24" ht="20.100000000000001" customHeight="1">
      <c r="A576" s="732" t="s">
        <v>183</v>
      </c>
      <c r="B576" s="733"/>
      <c r="C576" s="734" t="s">
        <v>64</v>
      </c>
      <c r="D576" s="734"/>
      <c r="E576" s="734"/>
      <c r="F576" s="223">
        <v>31.11</v>
      </c>
      <c r="G576" s="223">
        <f t="shared" si="85"/>
        <v>31.11</v>
      </c>
      <c r="H576" s="224" t="s">
        <v>29</v>
      </c>
      <c r="I576" s="225">
        <f t="shared" si="91"/>
        <v>17300.748999999993</v>
      </c>
      <c r="J576" s="223">
        <f t="shared" si="90"/>
        <v>4054.2510000000075</v>
      </c>
      <c r="K576" s="518"/>
      <c r="L576" s="233"/>
      <c r="M576" s="760" t="s">
        <v>292</v>
      </c>
      <c r="N576" s="761"/>
      <c r="O576" s="29"/>
      <c r="P576" s="29"/>
      <c r="Q576" s="29"/>
      <c r="R576" s="29"/>
      <c r="S576" s="29"/>
      <c r="T576" s="29"/>
      <c r="U576" s="29"/>
      <c r="V576" s="29"/>
      <c r="W576" s="29"/>
      <c r="X576" s="29"/>
    </row>
    <row r="577" spans="1:24" ht="20.100000000000001" customHeight="1">
      <c r="A577" s="732"/>
      <c r="B577" s="733"/>
      <c r="C577" s="734" t="s">
        <v>64</v>
      </c>
      <c r="D577" s="734"/>
      <c r="E577" s="734"/>
      <c r="F577" s="223">
        <v>30.85</v>
      </c>
      <c r="G577" s="223">
        <f t="shared" si="85"/>
        <v>30.85</v>
      </c>
      <c r="H577" s="224" t="s">
        <v>29</v>
      </c>
      <c r="I577" s="225">
        <f t="shared" si="91"/>
        <v>17331.598999999991</v>
      </c>
      <c r="J577" s="223">
        <f t="shared" si="90"/>
        <v>4023.4010000000089</v>
      </c>
      <c r="K577" s="518"/>
      <c r="L577" s="233"/>
      <c r="M577" s="760" t="s">
        <v>292</v>
      </c>
      <c r="N577" s="761"/>
      <c r="O577" s="29"/>
      <c r="P577" s="29"/>
      <c r="Q577" s="29"/>
      <c r="R577" s="29"/>
      <c r="S577" s="29"/>
      <c r="T577" s="29"/>
      <c r="U577" s="29"/>
      <c r="V577" s="29"/>
      <c r="W577" s="29"/>
      <c r="X577" s="29"/>
    </row>
    <row r="578" spans="1:24" ht="20.100000000000001" customHeight="1">
      <c r="A578" s="732"/>
      <c r="B578" s="733"/>
      <c r="C578" s="734" t="s">
        <v>64</v>
      </c>
      <c r="D578" s="734"/>
      <c r="E578" s="734"/>
      <c r="F578" s="223">
        <v>31.31</v>
      </c>
      <c r="G578" s="223">
        <f t="shared" si="85"/>
        <v>31.31</v>
      </c>
      <c r="H578" s="224" t="s">
        <v>29</v>
      </c>
      <c r="I578" s="225">
        <f t="shared" si="91"/>
        <v>17362.908999999992</v>
      </c>
      <c r="J578" s="223">
        <f t="shared" si="90"/>
        <v>3992.0910000000076</v>
      </c>
      <c r="K578" s="518"/>
      <c r="L578" s="233"/>
      <c r="M578" s="760" t="s">
        <v>292</v>
      </c>
      <c r="N578" s="761"/>
      <c r="O578" s="29"/>
      <c r="P578" s="29"/>
      <c r="Q578" s="29"/>
      <c r="R578" s="29"/>
      <c r="S578" s="29"/>
      <c r="T578" s="29"/>
      <c r="U578" s="29"/>
      <c r="V578" s="29"/>
      <c r="W578" s="29"/>
      <c r="X578" s="29"/>
    </row>
    <row r="579" spans="1:24" ht="20.100000000000001" customHeight="1">
      <c r="A579" s="681" t="s">
        <v>184</v>
      </c>
      <c r="B579" s="682"/>
      <c r="C579" s="683" t="s">
        <v>64</v>
      </c>
      <c r="D579" s="683"/>
      <c r="E579" s="683"/>
      <c r="F579" s="220">
        <v>31.11</v>
      </c>
      <c r="G579" s="220">
        <f t="shared" si="85"/>
        <v>31.11</v>
      </c>
      <c r="H579" s="221" t="s">
        <v>29</v>
      </c>
      <c r="I579" s="222">
        <f t="shared" si="91"/>
        <v>17394.018999999993</v>
      </c>
      <c r="J579" s="220">
        <f t="shared" si="90"/>
        <v>3960.981000000007</v>
      </c>
      <c r="K579" s="519"/>
      <c r="L579" s="231"/>
      <c r="M579" s="760" t="s">
        <v>292</v>
      </c>
      <c r="N579" s="761"/>
      <c r="O579" s="29"/>
      <c r="P579" s="29"/>
      <c r="Q579" s="29"/>
      <c r="R579" s="29"/>
      <c r="S579" s="29"/>
      <c r="T579" s="29"/>
      <c r="U579" s="29"/>
      <c r="V579" s="29"/>
      <c r="W579" s="29"/>
      <c r="X579" s="29"/>
    </row>
    <row r="580" spans="1:24" ht="20.100000000000001" customHeight="1">
      <c r="A580" s="681"/>
      <c r="B580" s="682"/>
      <c r="C580" s="683" t="s">
        <v>64</v>
      </c>
      <c r="D580" s="683"/>
      <c r="E580" s="683"/>
      <c r="F580" s="220">
        <v>31.23</v>
      </c>
      <c r="G580" s="220">
        <f t="shared" si="85"/>
        <v>31.23</v>
      </c>
      <c r="H580" s="221" t="s">
        <v>29</v>
      </c>
      <c r="I580" s="222">
        <f t="shared" si="91"/>
        <v>17425.248999999993</v>
      </c>
      <c r="J580" s="220">
        <f t="shared" si="90"/>
        <v>3929.7510000000075</v>
      </c>
      <c r="K580" s="519"/>
      <c r="L580" s="231"/>
      <c r="M580" s="760" t="s">
        <v>292</v>
      </c>
      <c r="N580" s="761"/>
      <c r="O580" s="29"/>
      <c r="P580" s="29"/>
      <c r="Q580" s="29"/>
      <c r="R580" s="29"/>
      <c r="S580" s="29"/>
      <c r="T580" s="29"/>
      <c r="U580" s="29"/>
      <c r="V580" s="29"/>
      <c r="W580" s="29"/>
      <c r="X580" s="29"/>
    </row>
    <row r="581" spans="1:24" ht="20.100000000000001" customHeight="1">
      <c r="A581" s="681"/>
      <c r="B581" s="682"/>
      <c r="C581" s="683" t="s">
        <v>64</v>
      </c>
      <c r="D581" s="683"/>
      <c r="E581" s="683"/>
      <c r="F581" s="220">
        <v>31.14</v>
      </c>
      <c r="G581" s="220">
        <f t="shared" si="85"/>
        <v>31.14</v>
      </c>
      <c r="H581" s="221" t="s">
        <v>29</v>
      </c>
      <c r="I581" s="222">
        <f t="shared" si="91"/>
        <v>17456.388999999992</v>
      </c>
      <c r="J581" s="220">
        <f t="shared" si="90"/>
        <v>3898.6110000000081</v>
      </c>
      <c r="K581" s="519"/>
      <c r="L581" s="231"/>
      <c r="M581" s="760" t="s">
        <v>292</v>
      </c>
      <c r="N581" s="761"/>
      <c r="O581" s="29"/>
      <c r="P581" s="29"/>
      <c r="Q581" s="29"/>
      <c r="R581" s="29"/>
      <c r="S581" s="29"/>
      <c r="T581" s="29"/>
      <c r="U581" s="29"/>
      <c r="V581" s="29"/>
      <c r="W581" s="29"/>
      <c r="X581" s="29"/>
    </row>
    <row r="582" spans="1:24" ht="20.100000000000001" customHeight="1">
      <c r="A582" s="732" t="s">
        <v>185</v>
      </c>
      <c r="B582" s="733"/>
      <c r="C582" s="734" t="s">
        <v>64</v>
      </c>
      <c r="D582" s="734"/>
      <c r="E582" s="734"/>
      <c r="F582" s="223">
        <v>30.71</v>
      </c>
      <c r="G582" s="223">
        <f t="shared" si="85"/>
        <v>30.71</v>
      </c>
      <c r="H582" s="224" t="s">
        <v>29</v>
      </c>
      <c r="I582" s="225">
        <f t="shared" si="91"/>
        <v>17487.098999999991</v>
      </c>
      <c r="J582" s="223">
        <f t="shared" si="90"/>
        <v>3867.9010000000089</v>
      </c>
      <c r="K582" s="518"/>
      <c r="L582" s="233"/>
      <c r="M582" s="760" t="s">
        <v>292</v>
      </c>
      <c r="N582" s="761"/>
      <c r="O582" s="29"/>
      <c r="P582" s="29"/>
      <c r="Q582" s="29"/>
      <c r="R582" s="29"/>
      <c r="S582" s="29"/>
      <c r="T582" s="29"/>
      <c r="U582" s="29"/>
      <c r="V582" s="29"/>
      <c r="W582" s="29"/>
      <c r="X582" s="29"/>
    </row>
    <row r="583" spans="1:24" ht="20.100000000000001" customHeight="1">
      <c r="A583" s="732"/>
      <c r="B583" s="733"/>
      <c r="C583" s="734" t="s">
        <v>64</v>
      </c>
      <c r="D583" s="734"/>
      <c r="E583" s="734"/>
      <c r="F583" s="223">
        <v>31.25</v>
      </c>
      <c r="G583" s="223">
        <f t="shared" si="85"/>
        <v>31.25</v>
      </c>
      <c r="H583" s="224" t="s">
        <v>29</v>
      </c>
      <c r="I583" s="225">
        <f t="shared" si="91"/>
        <v>17518.348999999991</v>
      </c>
      <c r="J583" s="223">
        <f t="shared" si="90"/>
        <v>3836.6510000000089</v>
      </c>
      <c r="K583" s="518"/>
      <c r="L583" s="233"/>
      <c r="M583" s="760" t="s">
        <v>292</v>
      </c>
      <c r="N583" s="761"/>
      <c r="O583" s="29"/>
      <c r="P583" s="29"/>
      <c r="Q583" s="29"/>
      <c r="R583" s="29"/>
      <c r="S583" s="29"/>
      <c r="T583" s="29"/>
      <c r="U583" s="29"/>
      <c r="V583" s="29"/>
      <c r="W583" s="29"/>
      <c r="X583" s="29"/>
    </row>
    <row r="584" spans="1:24" ht="20.100000000000001" customHeight="1">
      <c r="A584" s="732"/>
      <c r="B584" s="733"/>
      <c r="C584" s="734" t="s">
        <v>64</v>
      </c>
      <c r="D584" s="734"/>
      <c r="E584" s="734"/>
      <c r="F584" s="223">
        <v>30.84</v>
      </c>
      <c r="G584" s="223">
        <f t="shared" si="85"/>
        <v>30.84</v>
      </c>
      <c r="H584" s="224" t="s">
        <v>29</v>
      </c>
      <c r="I584" s="225">
        <f t="shared" si="91"/>
        <v>17549.188999999991</v>
      </c>
      <c r="J584" s="223">
        <f t="shared" si="90"/>
        <v>3805.8110000000088</v>
      </c>
      <c r="K584" s="518"/>
      <c r="L584" s="233"/>
      <c r="M584" s="760" t="s">
        <v>292</v>
      </c>
      <c r="N584" s="761"/>
      <c r="O584" s="29"/>
      <c r="P584" s="29"/>
      <c r="Q584" s="29"/>
      <c r="R584" s="29"/>
      <c r="S584" s="29"/>
      <c r="T584" s="29"/>
      <c r="U584" s="29"/>
      <c r="V584" s="29"/>
      <c r="W584" s="29"/>
      <c r="X584" s="29"/>
    </row>
    <row r="585" spans="1:24" ht="20.100000000000001" customHeight="1">
      <c r="A585" s="681" t="s">
        <v>186</v>
      </c>
      <c r="B585" s="682"/>
      <c r="C585" s="683" t="s">
        <v>64</v>
      </c>
      <c r="D585" s="683"/>
      <c r="E585" s="683"/>
      <c r="F585" s="220">
        <v>30.65</v>
      </c>
      <c r="G585" s="220">
        <f t="shared" si="85"/>
        <v>30.65</v>
      </c>
      <c r="H585" s="221" t="s">
        <v>29</v>
      </c>
      <c r="I585" s="222">
        <f t="shared" si="91"/>
        <v>17579.838999999993</v>
      </c>
      <c r="J585" s="220">
        <f t="shared" si="90"/>
        <v>3775.1610000000073</v>
      </c>
      <c r="K585" s="519"/>
      <c r="L585" s="231"/>
      <c r="M585" s="760" t="s">
        <v>292</v>
      </c>
      <c r="N585" s="761"/>
      <c r="O585" s="29"/>
      <c r="P585" s="29"/>
      <c r="Q585" s="29"/>
      <c r="R585" s="29"/>
      <c r="S585" s="29"/>
      <c r="T585" s="29"/>
      <c r="U585" s="29"/>
      <c r="V585" s="29"/>
      <c r="W585" s="29"/>
      <c r="X585" s="29"/>
    </row>
    <row r="586" spans="1:24" ht="20.100000000000001" customHeight="1">
      <c r="A586" s="681"/>
      <c r="B586" s="682"/>
      <c r="C586" s="683" t="s">
        <v>64</v>
      </c>
      <c r="D586" s="683"/>
      <c r="E586" s="683"/>
      <c r="F586" s="220">
        <v>30.07</v>
      </c>
      <c r="G586" s="220">
        <f t="shared" si="85"/>
        <v>30.07</v>
      </c>
      <c r="H586" s="221" t="s">
        <v>29</v>
      </c>
      <c r="I586" s="222">
        <f t="shared" si="91"/>
        <v>17609.908999999992</v>
      </c>
      <c r="J586" s="220">
        <f t="shared" si="90"/>
        <v>3745.0910000000076</v>
      </c>
      <c r="K586" s="519"/>
      <c r="L586" s="231"/>
      <c r="M586" s="760" t="s">
        <v>292</v>
      </c>
      <c r="N586" s="761"/>
      <c r="O586" s="29"/>
      <c r="P586" s="29"/>
      <c r="Q586" s="29"/>
      <c r="R586" s="29"/>
      <c r="S586" s="29"/>
      <c r="T586" s="29"/>
      <c r="U586" s="29"/>
      <c r="V586" s="29"/>
      <c r="W586" s="29"/>
      <c r="X586" s="29"/>
    </row>
    <row r="587" spans="1:24" ht="20.100000000000001" customHeight="1">
      <c r="A587" s="681"/>
      <c r="B587" s="682"/>
      <c r="C587" s="683" t="s">
        <v>64</v>
      </c>
      <c r="D587" s="683"/>
      <c r="E587" s="683"/>
      <c r="F587" s="220">
        <v>31.33</v>
      </c>
      <c r="G587" s="220">
        <f t="shared" si="85"/>
        <v>31.33</v>
      </c>
      <c r="H587" s="221" t="s">
        <v>29</v>
      </c>
      <c r="I587" s="222">
        <f t="shared" si="91"/>
        <v>17641.238999999994</v>
      </c>
      <c r="J587" s="220">
        <f t="shared" si="90"/>
        <v>3713.7610000000059</v>
      </c>
      <c r="K587" s="519"/>
      <c r="L587" s="231"/>
      <c r="M587" s="760" t="s">
        <v>292</v>
      </c>
      <c r="N587" s="761"/>
      <c r="O587" s="29"/>
      <c r="P587" s="29"/>
      <c r="Q587" s="29"/>
      <c r="R587" s="29"/>
      <c r="S587" s="29"/>
      <c r="T587" s="29"/>
      <c r="U587" s="29"/>
      <c r="V587" s="29"/>
      <c r="W587" s="29"/>
      <c r="X587" s="29"/>
    </row>
    <row r="588" spans="1:24" ht="20.100000000000001" customHeight="1">
      <c r="A588" s="732" t="s">
        <v>187</v>
      </c>
      <c r="B588" s="733"/>
      <c r="C588" s="734" t="s">
        <v>64</v>
      </c>
      <c r="D588" s="734"/>
      <c r="E588" s="734"/>
      <c r="F588" s="223">
        <v>30.93</v>
      </c>
      <c r="G588" s="223">
        <f t="shared" si="85"/>
        <v>30.93</v>
      </c>
      <c r="H588" s="224" t="s">
        <v>29</v>
      </c>
      <c r="I588" s="225">
        <f t="shared" si="91"/>
        <v>17672.168999999994</v>
      </c>
      <c r="J588" s="223">
        <f t="shared" si="90"/>
        <v>3682.8310000000056</v>
      </c>
      <c r="K588" s="518"/>
      <c r="L588" s="233"/>
      <c r="M588" s="760" t="s">
        <v>292</v>
      </c>
      <c r="N588" s="761"/>
      <c r="O588" s="29"/>
      <c r="P588" s="29"/>
      <c r="Q588" s="29"/>
      <c r="R588" s="29"/>
      <c r="S588" s="29"/>
      <c r="T588" s="29"/>
      <c r="U588" s="29"/>
      <c r="V588" s="29"/>
      <c r="W588" s="29"/>
      <c r="X588" s="29"/>
    </row>
    <row r="589" spans="1:24" ht="20.100000000000001" customHeight="1">
      <c r="A589" s="732"/>
      <c r="B589" s="733"/>
      <c r="C589" s="734" t="s">
        <v>64</v>
      </c>
      <c r="D589" s="734"/>
      <c r="E589" s="734"/>
      <c r="F589" s="223">
        <v>31.2</v>
      </c>
      <c r="G589" s="223">
        <f t="shared" si="85"/>
        <v>31.2</v>
      </c>
      <c r="H589" s="224" t="s">
        <v>29</v>
      </c>
      <c r="I589" s="225">
        <f t="shared" si="91"/>
        <v>17703.368999999995</v>
      </c>
      <c r="J589" s="223">
        <f t="shared" si="90"/>
        <v>3651.6310000000049</v>
      </c>
      <c r="K589" s="518"/>
      <c r="L589" s="233"/>
      <c r="M589" s="760" t="s">
        <v>292</v>
      </c>
      <c r="N589" s="761"/>
      <c r="O589" s="29"/>
      <c r="P589" s="29"/>
      <c r="Q589" s="29"/>
      <c r="R589" s="29"/>
      <c r="S589" s="29"/>
      <c r="T589" s="29"/>
      <c r="U589" s="29"/>
      <c r="V589" s="29"/>
      <c r="W589" s="29"/>
      <c r="X589" s="29"/>
    </row>
    <row r="590" spans="1:24" ht="20.100000000000001" customHeight="1">
      <c r="A590" s="732"/>
      <c r="B590" s="733"/>
      <c r="C590" s="734" t="s">
        <v>64</v>
      </c>
      <c r="D590" s="734"/>
      <c r="E590" s="734"/>
      <c r="F590" s="223">
        <v>31.63</v>
      </c>
      <c r="G590" s="223">
        <f t="shared" si="85"/>
        <v>31.63</v>
      </c>
      <c r="H590" s="224" t="s">
        <v>29</v>
      </c>
      <c r="I590" s="225">
        <f t="shared" si="91"/>
        <v>17734.998999999996</v>
      </c>
      <c r="J590" s="223">
        <f t="shared" si="90"/>
        <v>3620.0010000000038</v>
      </c>
      <c r="K590" s="518"/>
      <c r="L590" s="233"/>
      <c r="M590" s="760" t="s">
        <v>292</v>
      </c>
      <c r="N590" s="761"/>
      <c r="O590" s="29"/>
      <c r="P590" s="29"/>
      <c r="Q590" s="29"/>
      <c r="R590" s="29"/>
      <c r="S590" s="29"/>
      <c r="T590" s="29"/>
      <c r="U590" s="29"/>
      <c r="V590" s="29"/>
      <c r="W590" s="29"/>
      <c r="X590" s="29"/>
    </row>
    <row r="591" spans="1:24" ht="20.100000000000001" customHeight="1">
      <c r="A591" s="681" t="s">
        <v>188</v>
      </c>
      <c r="B591" s="682"/>
      <c r="C591" s="683" t="s">
        <v>64</v>
      </c>
      <c r="D591" s="683"/>
      <c r="E591" s="683"/>
      <c r="F591" s="220">
        <v>31.07</v>
      </c>
      <c r="G591" s="220">
        <f t="shared" si="85"/>
        <v>31.07</v>
      </c>
      <c r="H591" s="221" t="s">
        <v>29</v>
      </c>
      <c r="I591" s="222">
        <f t="shared" si="91"/>
        <v>17766.068999999996</v>
      </c>
      <c r="J591" s="220">
        <f t="shared" si="90"/>
        <v>3588.9310000000041</v>
      </c>
      <c r="K591" s="519"/>
      <c r="L591" s="231"/>
      <c r="M591" s="760" t="s">
        <v>292</v>
      </c>
      <c r="N591" s="761"/>
      <c r="O591" s="29"/>
      <c r="P591" s="29"/>
      <c r="Q591" s="29"/>
      <c r="R591" s="29"/>
      <c r="S591" s="29"/>
      <c r="T591" s="29"/>
      <c r="U591" s="29"/>
      <c r="V591" s="29"/>
      <c r="W591" s="29"/>
      <c r="X591" s="29"/>
    </row>
    <row r="592" spans="1:24" ht="20.100000000000001" customHeight="1">
      <c r="A592" s="681"/>
      <c r="B592" s="682"/>
      <c r="C592" s="683" t="s">
        <v>64</v>
      </c>
      <c r="D592" s="683"/>
      <c r="E592" s="683"/>
      <c r="F592" s="220">
        <v>30.86</v>
      </c>
      <c r="G592" s="220">
        <f t="shared" si="85"/>
        <v>30.86</v>
      </c>
      <c r="H592" s="221" t="s">
        <v>29</v>
      </c>
      <c r="I592" s="222">
        <f t="shared" si="91"/>
        <v>17796.928999999996</v>
      </c>
      <c r="J592" s="220">
        <f t="shared" si="90"/>
        <v>3558.0710000000036</v>
      </c>
      <c r="K592" s="519"/>
      <c r="L592" s="231"/>
      <c r="M592" s="760" t="s">
        <v>292</v>
      </c>
      <c r="N592" s="761"/>
      <c r="O592" s="29"/>
      <c r="P592" s="29"/>
      <c r="Q592" s="29"/>
      <c r="R592" s="29"/>
      <c r="S592" s="29"/>
      <c r="T592" s="29"/>
      <c r="U592" s="29"/>
      <c r="V592" s="29"/>
      <c r="W592" s="29"/>
      <c r="X592" s="29"/>
    </row>
    <row r="593" spans="1:24" ht="20.100000000000001" customHeight="1">
      <c r="A593" s="681"/>
      <c r="B593" s="682"/>
      <c r="C593" s="683" t="s">
        <v>64</v>
      </c>
      <c r="D593" s="683"/>
      <c r="E593" s="683"/>
      <c r="F593" s="220">
        <v>30.84</v>
      </c>
      <c r="G593" s="220">
        <f t="shared" si="85"/>
        <v>30.84</v>
      </c>
      <c r="H593" s="221" t="s">
        <v>29</v>
      </c>
      <c r="I593" s="222">
        <f t="shared" si="91"/>
        <v>17827.768999999997</v>
      </c>
      <c r="J593" s="220">
        <f t="shared" si="90"/>
        <v>3527.2310000000034</v>
      </c>
      <c r="K593" s="519"/>
      <c r="L593" s="231"/>
      <c r="M593" s="760" t="s">
        <v>292</v>
      </c>
      <c r="N593" s="761"/>
      <c r="O593" s="29"/>
      <c r="P593" s="29"/>
      <c r="Q593" s="29"/>
      <c r="R593" s="29"/>
      <c r="S593" s="29"/>
      <c r="T593" s="29"/>
      <c r="U593" s="29"/>
      <c r="V593" s="29"/>
      <c r="W593" s="29"/>
      <c r="X593" s="29"/>
    </row>
    <row r="594" spans="1:24" ht="20.100000000000001" customHeight="1">
      <c r="A594" s="732" t="s">
        <v>189</v>
      </c>
      <c r="B594" s="733"/>
      <c r="C594" s="734" t="s">
        <v>64</v>
      </c>
      <c r="D594" s="734"/>
      <c r="E594" s="734"/>
      <c r="F594" s="223">
        <v>30.88</v>
      </c>
      <c r="G594" s="223">
        <f t="shared" si="85"/>
        <v>30.88</v>
      </c>
      <c r="H594" s="224" t="s">
        <v>29</v>
      </c>
      <c r="I594" s="225">
        <f t="shared" si="91"/>
        <v>17858.648999999998</v>
      </c>
      <c r="J594" s="223">
        <f t="shared" si="90"/>
        <v>3496.3510000000024</v>
      </c>
      <c r="K594" s="518"/>
      <c r="L594" s="233"/>
      <c r="M594" s="760" t="s">
        <v>292</v>
      </c>
      <c r="N594" s="761"/>
      <c r="O594" s="29"/>
      <c r="P594" s="29"/>
      <c r="Q594" s="29"/>
      <c r="R594" s="29"/>
      <c r="S594" s="29"/>
      <c r="T594" s="29"/>
      <c r="U594" s="29"/>
      <c r="V594" s="29"/>
      <c r="W594" s="29"/>
      <c r="X594" s="29"/>
    </row>
    <row r="595" spans="1:24" ht="20.100000000000001" customHeight="1">
      <c r="A595" s="732"/>
      <c r="B595" s="733"/>
      <c r="C595" s="734" t="s">
        <v>64</v>
      </c>
      <c r="D595" s="734"/>
      <c r="E595" s="734"/>
      <c r="F595" s="223">
        <v>31.1</v>
      </c>
      <c r="G595" s="223">
        <f t="shared" ref="G595:G614" si="92">F595</f>
        <v>31.1</v>
      </c>
      <c r="H595" s="224" t="s">
        <v>29</v>
      </c>
      <c r="I595" s="225">
        <f t="shared" si="91"/>
        <v>17889.748999999996</v>
      </c>
      <c r="J595" s="223">
        <f t="shared" si="90"/>
        <v>3465.2510000000038</v>
      </c>
      <c r="K595" s="518"/>
      <c r="L595" s="233"/>
      <c r="M595" s="760" t="s">
        <v>292</v>
      </c>
      <c r="N595" s="761"/>
      <c r="O595" s="29"/>
      <c r="P595" s="29"/>
      <c r="Q595" s="29"/>
      <c r="R595" s="29"/>
      <c r="S595" s="29"/>
      <c r="T595" s="29"/>
      <c r="U595" s="29"/>
      <c r="V595" s="29"/>
      <c r="W595" s="29"/>
      <c r="X595" s="29"/>
    </row>
    <row r="596" spans="1:24" ht="20.100000000000001" customHeight="1">
      <c r="A596" s="732"/>
      <c r="B596" s="733"/>
      <c r="C596" s="734" t="s">
        <v>64</v>
      </c>
      <c r="D596" s="734"/>
      <c r="E596" s="734"/>
      <c r="F596" s="223">
        <v>31.2</v>
      </c>
      <c r="G596" s="223">
        <f t="shared" si="92"/>
        <v>31.2</v>
      </c>
      <c r="H596" s="224" t="s">
        <v>29</v>
      </c>
      <c r="I596" s="225">
        <f t="shared" si="91"/>
        <v>17920.948999999997</v>
      </c>
      <c r="J596" s="223">
        <f t="shared" si="90"/>
        <v>3434.0510000000031</v>
      </c>
      <c r="K596" s="518"/>
      <c r="L596" s="233"/>
      <c r="M596" s="760" t="s">
        <v>292</v>
      </c>
      <c r="N596" s="761"/>
      <c r="O596" s="29"/>
      <c r="P596" s="29"/>
      <c r="Q596" s="29"/>
      <c r="R596" s="29"/>
      <c r="S596" s="29"/>
      <c r="T596" s="29"/>
      <c r="U596" s="29"/>
      <c r="V596" s="29"/>
      <c r="W596" s="29"/>
      <c r="X596" s="29"/>
    </row>
    <row r="597" spans="1:24" ht="20.100000000000001" customHeight="1">
      <c r="A597" s="681" t="s">
        <v>190</v>
      </c>
      <c r="B597" s="682"/>
      <c r="C597" s="683" t="s">
        <v>64</v>
      </c>
      <c r="D597" s="683"/>
      <c r="E597" s="683"/>
      <c r="F597" s="220">
        <v>31.07</v>
      </c>
      <c r="G597" s="220">
        <f t="shared" si="92"/>
        <v>31.07</v>
      </c>
      <c r="H597" s="221" t="s">
        <v>29</v>
      </c>
      <c r="I597" s="222">
        <f t="shared" si="91"/>
        <v>17952.018999999997</v>
      </c>
      <c r="J597" s="220">
        <f t="shared" si="90"/>
        <v>3402.9810000000034</v>
      </c>
      <c r="K597" s="519"/>
      <c r="L597" s="231"/>
      <c r="M597" s="760" t="s">
        <v>292</v>
      </c>
      <c r="N597" s="761"/>
      <c r="O597" s="29"/>
      <c r="P597" s="29"/>
      <c r="Q597" s="29"/>
      <c r="R597" s="29"/>
      <c r="S597" s="29"/>
      <c r="T597" s="29"/>
      <c r="U597" s="29"/>
      <c r="V597" s="29"/>
      <c r="W597" s="29"/>
      <c r="X597" s="29"/>
    </row>
    <row r="598" spans="1:24" ht="20.100000000000001" customHeight="1">
      <c r="A598" s="681"/>
      <c r="B598" s="682"/>
      <c r="C598" s="683" t="s">
        <v>64</v>
      </c>
      <c r="D598" s="683"/>
      <c r="E598" s="683"/>
      <c r="F598" s="220">
        <v>30.97</v>
      </c>
      <c r="G598" s="220">
        <f t="shared" si="92"/>
        <v>30.97</v>
      </c>
      <c r="H598" s="221" t="s">
        <v>29</v>
      </c>
      <c r="I598" s="222">
        <f t="shared" si="91"/>
        <v>17982.988999999998</v>
      </c>
      <c r="J598" s="220">
        <f t="shared" si="90"/>
        <v>3372.0110000000022</v>
      </c>
      <c r="K598" s="519"/>
      <c r="L598" s="231"/>
      <c r="M598" s="760" t="s">
        <v>292</v>
      </c>
      <c r="N598" s="761"/>
      <c r="O598" s="29"/>
      <c r="P598" s="29"/>
      <c r="Q598" s="29"/>
      <c r="R598" s="29"/>
      <c r="S598" s="29"/>
      <c r="T598" s="29"/>
      <c r="U598" s="29"/>
      <c r="V598" s="29"/>
      <c r="W598" s="29"/>
      <c r="X598" s="29"/>
    </row>
    <row r="599" spans="1:24" ht="20.100000000000001" customHeight="1">
      <c r="A599" s="681"/>
      <c r="B599" s="682"/>
      <c r="C599" s="683" t="s">
        <v>64</v>
      </c>
      <c r="D599" s="683"/>
      <c r="E599" s="683"/>
      <c r="F599" s="220">
        <v>30.93</v>
      </c>
      <c r="G599" s="220">
        <f t="shared" si="92"/>
        <v>30.93</v>
      </c>
      <c r="H599" s="221" t="s">
        <v>29</v>
      </c>
      <c r="I599" s="222">
        <f t="shared" si="91"/>
        <v>18013.918999999998</v>
      </c>
      <c r="J599" s="220">
        <f t="shared" si="90"/>
        <v>3341.0810000000019</v>
      </c>
      <c r="K599" s="519"/>
      <c r="L599" s="231"/>
      <c r="M599" s="760" t="s">
        <v>292</v>
      </c>
      <c r="N599" s="761"/>
      <c r="O599" s="29"/>
      <c r="P599" s="29"/>
      <c r="Q599" s="29"/>
      <c r="R599" s="29"/>
      <c r="S599" s="29"/>
      <c r="T599" s="29"/>
      <c r="U599" s="29"/>
      <c r="V599" s="29"/>
      <c r="W599" s="29"/>
      <c r="X599" s="29"/>
    </row>
    <row r="600" spans="1:24" ht="20.100000000000001" customHeight="1">
      <c r="A600" s="732" t="s">
        <v>191</v>
      </c>
      <c r="B600" s="733"/>
      <c r="C600" s="734" t="s">
        <v>64</v>
      </c>
      <c r="D600" s="734"/>
      <c r="E600" s="734"/>
      <c r="F600" s="223">
        <v>31.17</v>
      </c>
      <c r="G600" s="223">
        <f t="shared" si="92"/>
        <v>31.17</v>
      </c>
      <c r="H600" s="224" t="s">
        <v>29</v>
      </c>
      <c r="I600" s="225">
        <f t="shared" si="91"/>
        <v>18045.088999999996</v>
      </c>
      <c r="J600" s="223">
        <f t="shared" si="90"/>
        <v>3309.9110000000037</v>
      </c>
      <c r="K600" s="518"/>
      <c r="L600" s="233"/>
      <c r="M600" s="760" t="s">
        <v>292</v>
      </c>
      <c r="N600" s="761"/>
      <c r="O600" s="29"/>
      <c r="P600" s="29"/>
      <c r="Q600" s="29"/>
      <c r="R600" s="29"/>
      <c r="S600" s="29"/>
      <c r="T600" s="29"/>
      <c r="U600" s="29"/>
      <c r="V600" s="29"/>
      <c r="W600" s="29"/>
      <c r="X600" s="29"/>
    </row>
    <row r="601" spans="1:24" ht="20.100000000000001" customHeight="1">
      <c r="A601" s="732"/>
      <c r="B601" s="733"/>
      <c r="C601" s="734" t="s">
        <v>64</v>
      </c>
      <c r="D601" s="734"/>
      <c r="E601" s="734"/>
      <c r="F601" s="223">
        <v>31.23</v>
      </c>
      <c r="G601" s="223">
        <f t="shared" si="92"/>
        <v>31.23</v>
      </c>
      <c r="H601" s="224" t="s">
        <v>29</v>
      </c>
      <c r="I601" s="225">
        <f t="shared" si="91"/>
        <v>18076.318999999996</v>
      </c>
      <c r="J601" s="223">
        <f t="shared" si="90"/>
        <v>3278.6810000000041</v>
      </c>
      <c r="K601" s="518"/>
      <c r="L601" s="233"/>
      <c r="M601" s="760" t="s">
        <v>292</v>
      </c>
      <c r="N601" s="761"/>
      <c r="O601" s="29"/>
      <c r="P601" s="29"/>
      <c r="Q601" s="29"/>
      <c r="R601" s="29"/>
      <c r="S601" s="29"/>
      <c r="T601" s="29"/>
      <c r="U601" s="29"/>
      <c r="V601" s="29"/>
      <c r="W601" s="29"/>
      <c r="X601" s="29"/>
    </row>
    <row r="602" spans="1:24" ht="20.100000000000001" customHeight="1">
      <c r="A602" s="732"/>
      <c r="B602" s="733"/>
      <c r="C602" s="734" t="s">
        <v>64</v>
      </c>
      <c r="D602" s="734"/>
      <c r="E602" s="734"/>
      <c r="F602" s="223">
        <v>30.39</v>
      </c>
      <c r="G602" s="223">
        <f t="shared" si="92"/>
        <v>30.39</v>
      </c>
      <c r="H602" s="224" t="s">
        <v>29</v>
      </c>
      <c r="I602" s="225">
        <f t="shared" si="91"/>
        <v>18106.708999999995</v>
      </c>
      <c r="J602" s="223">
        <f t="shared" si="90"/>
        <v>3248.2910000000047</v>
      </c>
      <c r="K602" s="518"/>
      <c r="L602" s="233"/>
      <c r="M602" s="760" t="s">
        <v>292</v>
      </c>
      <c r="N602" s="761"/>
      <c r="O602" s="29"/>
      <c r="P602" s="29"/>
      <c r="Q602" s="29"/>
      <c r="R602" s="29"/>
      <c r="S602" s="29"/>
      <c r="T602" s="29"/>
      <c r="U602" s="29"/>
      <c r="V602" s="29"/>
      <c r="W602" s="29"/>
      <c r="X602" s="29"/>
    </row>
    <row r="603" spans="1:24" ht="20.100000000000001" customHeight="1">
      <c r="A603" s="681" t="s">
        <v>192</v>
      </c>
      <c r="B603" s="682"/>
      <c r="C603" s="683" t="s">
        <v>64</v>
      </c>
      <c r="D603" s="683"/>
      <c r="E603" s="683"/>
      <c r="F603" s="220">
        <v>31.24</v>
      </c>
      <c r="G603" s="220">
        <f t="shared" si="92"/>
        <v>31.24</v>
      </c>
      <c r="H603" s="221" t="s">
        <v>29</v>
      </c>
      <c r="I603" s="222">
        <f t="shared" si="91"/>
        <v>18137.948999999997</v>
      </c>
      <c r="J603" s="220">
        <f t="shared" si="90"/>
        <v>3217.0510000000031</v>
      </c>
      <c r="K603" s="519"/>
      <c r="L603" s="231"/>
      <c r="M603" s="760" t="s">
        <v>292</v>
      </c>
      <c r="N603" s="761"/>
      <c r="O603" s="29"/>
      <c r="P603" s="29"/>
      <c r="Q603" s="29"/>
      <c r="R603" s="29"/>
      <c r="S603" s="29"/>
      <c r="T603" s="29"/>
      <c r="U603" s="29"/>
      <c r="V603" s="29"/>
      <c r="W603" s="29"/>
      <c r="X603" s="29"/>
    </row>
    <row r="604" spans="1:24" ht="20.100000000000001" customHeight="1">
      <c r="A604" s="681"/>
      <c r="B604" s="682"/>
      <c r="C604" s="683" t="s">
        <v>64</v>
      </c>
      <c r="D604" s="683"/>
      <c r="E604" s="683"/>
      <c r="F604" s="220">
        <v>31.37</v>
      </c>
      <c r="G604" s="220">
        <f t="shared" si="92"/>
        <v>31.37</v>
      </c>
      <c r="H604" s="221" t="s">
        <v>29</v>
      </c>
      <c r="I604" s="222">
        <f t="shared" si="91"/>
        <v>18169.318999999996</v>
      </c>
      <c r="J604" s="220">
        <f t="shared" si="90"/>
        <v>3185.6810000000041</v>
      </c>
      <c r="K604" s="519"/>
      <c r="L604" s="231"/>
      <c r="M604" s="760" t="s">
        <v>292</v>
      </c>
      <c r="N604" s="761"/>
      <c r="O604" s="29"/>
      <c r="P604" s="29"/>
      <c r="Q604" s="29"/>
      <c r="R604" s="29"/>
      <c r="S604" s="29"/>
      <c r="T604" s="29"/>
      <c r="U604" s="29"/>
      <c r="V604" s="29"/>
      <c r="W604" s="29"/>
      <c r="X604" s="29"/>
    </row>
    <row r="605" spans="1:24" ht="20.100000000000001" customHeight="1">
      <c r="A605" s="681"/>
      <c r="B605" s="682"/>
      <c r="C605" s="683" t="s">
        <v>64</v>
      </c>
      <c r="D605" s="683"/>
      <c r="E605" s="683"/>
      <c r="F605" s="220">
        <v>31.36</v>
      </c>
      <c r="G605" s="220">
        <f t="shared" si="92"/>
        <v>31.36</v>
      </c>
      <c r="H605" s="221" t="s">
        <v>29</v>
      </c>
      <c r="I605" s="222">
        <f t="shared" si="91"/>
        <v>18200.678999999996</v>
      </c>
      <c r="J605" s="220">
        <f t="shared" si="90"/>
        <v>3154.3210000000036</v>
      </c>
      <c r="K605" s="519"/>
      <c r="L605" s="231"/>
      <c r="M605" s="760" t="s">
        <v>292</v>
      </c>
      <c r="N605" s="761"/>
      <c r="O605" s="29"/>
      <c r="P605" s="29"/>
      <c r="Q605" s="29"/>
      <c r="R605" s="29"/>
      <c r="S605" s="29"/>
      <c r="T605" s="29"/>
      <c r="U605" s="29"/>
      <c r="V605" s="29"/>
      <c r="W605" s="29"/>
      <c r="X605" s="29"/>
    </row>
    <row r="606" spans="1:24" ht="20.100000000000001" customHeight="1">
      <c r="A606" s="732" t="s">
        <v>193</v>
      </c>
      <c r="B606" s="733"/>
      <c r="C606" s="734" t="s">
        <v>64</v>
      </c>
      <c r="D606" s="734"/>
      <c r="E606" s="734"/>
      <c r="F606" s="223">
        <v>31.19</v>
      </c>
      <c r="G606" s="223">
        <f t="shared" si="92"/>
        <v>31.19</v>
      </c>
      <c r="H606" s="224" t="s">
        <v>29</v>
      </c>
      <c r="I606" s="225">
        <f t="shared" si="91"/>
        <v>18231.868999999995</v>
      </c>
      <c r="J606" s="223">
        <f t="shared" si="90"/>
        <v>3123.1310000000049</v>
      </c>
      <c r="K606" s="518"/>
      <c r="L606" s="233"/>
      <c r="M606" s="760" t="s">
        <v>292</v>
      </c>
      <c r="N606" s="761"/>
      <c r="O606" s="29"/>
      <c r="P606" s="29"/>
      <c r="Q606" s="29"/>
      <c r="R606" s="29"/>
      <c r="S606" s="29"/>
      <c r="T606" s="29"/>
      <c r="U606" s="29"/>
      <c r="V606" s="29"/>
      <c r="W606" s="29"/>
      <c r="X606" s="29"/>
    </row>
    <row r="607" spans="1:24" ht="20.100000000000001" customHeight="1">
      <c r="A607" s="732"/>
      <c r="B607" s="733"/>
      <c r="C607" s="734" t="s">
        <v>64</v>
      </c>
      <c r="D607" s="734"/>
      <c r="E607" s="734"/>
      <c r="F607" s="223">
        <v>31.04</v>
      </c>
      <c r="G607" s="223">
        <f t="shared" si="92"/>
        <v>31.04</v>
      </c>
      <c r="H607" s="224" t="s">
        <v>29</v>
      </c>
      <c r="I607" s="225">
        <f t="shared" si="91"/>
        <v>18262.908999999996</v>
      </c>
      <c r="J607" s="223">
        <f t="shared" si="90"/>
        <v>3092.091000000004</v>
      </c>
      <c r="K607" s="518"/>
      <c r="L607" s="233"/>
      <c r="M607" s="760" t="s">
        <v>292</v>
      </c>
      <c r="N607" s="761"/>
      <c r="O607" s="29"/>
      <c r="P607" s="29"/>
      <c r="Q607" s="29"/>
      <c r="R607" s="29"/>
      <c r="S607" s="29"/>
      <c r="T607" s="29"/>
      <c r="U607" s="29"/>
      <c r="V607" s="29"/>
      <c r="W607" s="29"/>
      <c r="X607" s="29"/>
    </row>
    <row r="608" spans="1:24" ht="20.100000000000001" customHeight="1">
      <c r="A608" s="732"/>
      <c r="B608" s="733"/>
      <c r="C608" s="734" t="s">
        <v>64</v>
      </c>
      <c r="D608" s="734"/>
      <c r="E608" s="734"/>
      <c r="F608" s="223">
        <v>31</v>
      </c>
      <c r="G608" s="223">
        <f t="shared" si="92"/>
        <v>31</v>
      </c>
      <c r="H608" s="224" t="s">
        <v>29</v>
      </c>
      <c r="I608" s="225">
        <f t="shared" si="91"/>
        <v>18293.908999999996</v>
      </c>
      <c r="J608" s="223">
        <f t="shared" si="90"/>
        <v>3061.091000000004</v>
      </c>
      <c r="K608" s="518"/>
      <c r="L608" s="233"/>
      <c r="M608" s="760" t="s">
        <v>292</v>
      </c>
      <c r="N608" s="761"/>
      <c r="O608" s="29"/>
      <c r="P608" s="29"/>
      <c r="Q608" s="29"/>
      <c r="R608" s="29"/>
      <c r="S608" s="29"/>
      <c r="T608" s="29"/>
      <c r="U608" s="29"/>
      <c r="V608" s="29"/>
      <c r="W608" s="29"/>
      <c r="X608" s="29"/>
    </row>
    <row r="609" spans="1:24" ht="20.100000000000001" customHeight="1">
      <c r="A609" s="681" t="s">
        <v>200</v>
      </c>
      <c r="B609" s="682"/>
      <c r="C609" s="683" t="s">
        <v>64</v>
      </c>
      <c r="D609" s="683"/>
      <c r="E609" s="683"/>
      <c r="F609" s="220">
        <v>31.15</v>
      </c>
      <c r="G609" s="220">
        <f t="shared" si="92"/>
        <v>31.15</v>
      </c>
      <c r="H609" s="221" t="s">
        <v>29</v>
      </c>
      <c r="I609" s="222">
        <f t="shared" si="91"/>
        <v>18325.058999999997</v>
      </c>
      <c r="J609" s="220">
        <f t="shared" si="90"/>
        <v>3029.9410000000025</v>
      </c>
      <c r="K609" s="519"/>
      <c r="L609" s="231"/>
      <c r="M609" s="760" t="s">
        <v>292</v>
      </c>
      <c r="N609" s="761"/>
      <c r="O609" s="29"/>
      <c r="P609" s="29"/>
      <c r="Q609" s="29"/>
      <c r="R609" s="29"/>
      <c r="S609" s="29"/>
      <c r="T609" s="29"/>
      <c r="U609" s="29"/>
      <c r="V609" s="29"/>
      <c r="W609" s="29"/>
      <c r="X609" s="29"/>
    </row>
    <row r="610" spans="1:24" ht="20.100000000000001" customHeight="1">
      <c r="A610" s="681"/>
      <c r="B610" s="682"/>
      <c r="C610" s="683" t="s">
        <v>64</v>
      </c>
      <c r="D610" s="683"/>
      <c r="E610" s="683"/>
      <c r="F610" s="220">
        <v>31.1</v>
      </c>
      <c r="G610" s="220">
        <f t="shared" si="92"/>
        <v>31.1</v>
      </c>
      <c r="H610" s="221" t="s">
        <v>29</v>
      </c>
      <c r="I610" s="222">
        <f t="shared" si="91"/>
        <v>18356.158999999996</v>
      </c>
      <c r="J610" s="220">
        <f t="shared" si="90"/>
        <v>2998.841000000004</v>
      </c>
      <c r="K610" s="519"/>
      <c r="L610" s="231"/>
      <c r="M610" s="760" t="s">
        <v>292</v>
      </c>
      <c r="N610" s="761"/>
      <c r="O610" s="29"/>
      <c r="P610" s="29"/>
      <c r="Q610" s="29"/>
      <c r="R610" s="29"/>
      <c r="S610" s="29"/>
      <c r="T610" s="29"/>
      <c r="U610" s="29"/>
      <c r="V610" s="29"/>
      <c r="W610" s="29"/>
      <c r="X610" s="29"/>
    </row>
    <row r="611" spans="1:24" ht="20.100000000000001" customHeight="1">
      <c r="A611" s="681"/>
      <c r="B611" s="682"/>
      <c r="C611" s="683" t="s">
        <v>64</v>
      </c>
      <c r="D611" s="683"/>
      <c r="E611" s="683"/>
      <c r="F611" s="220">
        <v>31.03</v>
      </c>
      <c r="G611" s="220">
        <f t="shared" si="92"/>
        <v>31.03</v>
      </c>
      <c r="H611" s="221" t="s">
        <v>29</v>
      </c>
      <c r="I611" s="222">
        <f t="shared" si="91"/>
        <v>18387.188999999995</v>
      </c>
      <c r="J611" s="220">
        <f t="shared" si="90"/>
        <v>2967.8110000000052</v>
      </c>
      <c r="K611" s="519"/>
      <c r="L611" s="231"/>
      <c r="M611" s="760" t="s">
        <v>292</v>
      </c>
      <c r="N611" s="761"/>
      <c r="O611" s="29"/>
      <c r="P611" s="29"/>
      <c r="Q611" s="29"/>
      <c r="R611" s="29"/>
      <c r="S611" s="29"/>
      <c r="T611" s="29"/>
      <c r="U611" s="29"/>
      <c r="V611" s="29"/>
      <c r="W611" s="29"/>
      <c r="X611" s="29"/>
    </row>
    <row r="612" spans="1:24" ht="20.100000000000001" customHeight="1">
      <c r="A612" s="732" t="s">
        <v>201</v>
      </c>
      <c r="B612" s="733"/>
      <c r="C612" s="734" t="s">
        <v>64</v>
      </c>
      <c r="D612" s="734"/>
      <c r="E612" s="734"/>
      <c r="F612" s="223">
        <v>31.43</v>
      </c>
      <c r="G612" s="223">
        <f t="shared" si="92"/>
        <v>31.43</v>
      </c>
      <c r="H612" s="224" t="s">
        <v>29</v>
      </c>
      <c r="I612" s="225">
        <f t="shared" si="91"/>
        <v>18418.618999999995</v>
      </c>
      <c r="J612" s="223">
        <f t="shared" si="90"/>
        <v>2936.3810000000049</v>
      </c>
      <c r="K612" s="518"/>
      <c r="L612" s="233"/>
      <c r="M612" s="760" t="s">
        <v>292</v>
      </c>
      <c r="N612" s="761"/>
      <c r="O612" s="29"/>
      <c r="P612" s="29"/>
      <c r="Q612" s="29"/>
      <c r="R612" s="29"/>
      <c r="S612" s="29"/>
      <c r="T612" s="29"/>
      <c r="U612" s="29"/>
      <c r="V612" s="29"/>
      <c r="W612" s="29"/>
      <c r="X612" s="29"/>
    </row>
    <row r="613" spans="1:24" ht="20.100000000000001" customHeight="1">
      <c r="A613" s="732"/>
      <c r="B613" s="733"/>
      <c r="C613" s="734" t="s">
        <v>64</v>
      </c>
      <c r="D613" s="734"/>
      <c r="E613" s="734"/>
      <c r="F613" s="223">
        <v>30.98</v>
      </c>
      <c r="G613" s="223">
        <f t="shared" si="92"/>
        <v>30.98</v>
      </c>
      <c r="H613" s="224" t="s">
        <v>29</v>
      </c>
      <c r="I613" s="225">
        <f t="shared" si="91"/>
        <v>18449.598999999995</v>
      </c>
      <c r="J613" s="223">
        <f t="shared" si="90"/>
        <v>2905.4010000000053</v>
      </c>
      <c r="K613" s="518"/>
      <c r="L613" s="233"/>
      <c r="M613" s="760" t="s">
        <v>292</v>
      </c>
      <c r="N613" s="761"/>
      <c r="O613" s="29"/>
      <c r="P613" s="29"/>
      <c r="Q613" s="29"/>
      <c r="R613" s="29"/>
      <c r="S613" s="29"/>
      <c r="T613" s="29"/>
      <c r="U613" s="29"/>
      <c r="V613" s="29"/>
      <c r="W613" s="29"/>
      <c r="X613" s="29"/>
    </row>
    <row r="614" spans="1:24" ht="20.100000000000001" customHeight="1">
      <c r="A614" s="732"/>
      <c r="B614" s="733"/>
      <c r="C614" s="734" t="s">
        <v>64</v>
      </c>
      <c r="D614" s="734"/>
      <c r="E614" s="734"/>
      <c r="F614" s="223">
        <v>31.03</v>
      </c>
      <c r="G614" s="223">
        <f t="shared" si="92"/>
        <v>31.03</v>
      </c>
      <c r="H614" s="224" t="s">
        <v>29</v>
      </c>
      <c r="I614" s="225">
        <f t="shared" si="91"/>
        <v>18480.628999999994</v>
      </c>
      <c r="J614" s="223">
        <f t="shared" si="90"/>
        <v>2874.3710000000065</v>
      </c>
      <c r="K614" s="518"/>
      <c r="L614" s="233"/>
      <c r="M614" s="760" t="s">
        <v>292</v>
      </c>
      <c r="N614" s="761"/>
      <c r="O614" s="29"/>
      <c r="P614" s="29"/>
      <c r="Q614" s="29"/>
      <c r="R614" s="29"/>
      <c r="S614" s="29"/>
      <c r="T614" s="29"/>
      <c r="U614" s="29"/>
      <c r="V614" s="29"/>
      <c r="W614" s="29"/>
      <c r="X614" s="29"/>
    </row>
    <row r="615" spans="1:24" ht="20.100000000000001" customHeight="1">
      <c r="A615" s="681" t="s">
        <v>205</v>
      </c>
      <c r="B615" s="682"/>
      <c r="C615" s="683" t="s">
        <v>64</v>
      </c>
      <c r="D615" s="683"/>
      <c r="E615" s="683"/>
      <c r="F615" s="220">
        <v>30.67</v>
      </c>
      <c r="G615" s="220">
        <f t="shared" ref="G615:G626" si="93">F615</f>
        <v>30.67</v>
      </c>
      <c r="H615" s="221" t="s">
        <v>29</v>
      </c>
      <c r="I615" s="222">
        <f t="shared" ref="I615:I626" si="94">IF(H615="IN",I614+G615,I614)</f>
        <v>18511.298999999992</v>
      </c>
      <c r="J615" s="220">
        <f t="shared" ref="J615:J626" si="95">IF(I615="","",$M$10-I615)</f>
        <v>2843.7010000000082</v>
      </c>
      <c r="K615" s="519"/>
      <c r="L615" s="231"/>
      <c r="M615" s="760" t="s">
        <v>292</v>
      </c>
      <c r="N615" s="761"/>
      <c r="O615" s="29"/>
      <c r="P615" s="29"/>
      <c r="Q615" s="29"/>
      <c r="R615" s="29"/>
      <c r="S615" s="29"/>
      <c r="T615" s="29"/>
      <c r="U615" s="29"/>
      <c r="V615" s="29"/>
      <c r="W615" s="29"/>
      <c r="X615" s="29"/>
    </row>
    <row r="616" spans="1:24" ht="20.100000000000001" customHeight="1">
      <c r="A616" s="681"/>
      <c r="B616" s="682"/>
      <c r="C616" s="683" t="s">
        <v>64</v>
      </c>
      <c r="D616" s="683"/>
      <c r="E616" s="683"/>
      <c r="F616" s="220">
        <v>31.21</v>
      </c>
      <c r="G616" s="220">
        <f t="shared" si="93"/>
        <v>31.21</v>
      </c>
      <c r="H616" s="221" t="s">
        <v>29</v>
      </c>
      <c r="I616" s="222">
        <f t="shared" si="94"/>
        <v>18542.508999999991</v>
      </c>
      <c r="J616" s="220">
        <f t="shared" si="95"/>
        <v>2812.4910000000091</v>
      </c>
      <c r="K616" s="519"/>
      <c r="L616" s="231"/>
      <c r="M616" s="760" t="s">
        <v>292</v>
      </c>
      <c r="N616" s="761"/>
      <c r="O616" s="29"/>
      <c r="P616" s="29"/>
      <c r="Q616" s="29"/>
      <c r="R616" s="29"/>
      <c r="S616" s="29"/>
      <c r="T616" s="29"/>
      <c r="U616" s="29"/>
      <c r="V616" s="29"/>
      <c r="W616" s="29"/>
      <c r="X616" s="29"/>
    </row>
    <row r="617" spans="1:24" ht="20.100000000000001" customHeight="1">
      <c r="A617" s="681"/>
      <c r="B617" s="682"/>
      <c r="C617" s="683" t="s">
        <v>64</v>
      </c>
      <c r="D617" s="683"/>
      <c r="E617" s="683"/>
      <c r="F617" s="220">
        <v>30.78</v>
      </c>
      <c r="G617" s="220">
        <f t="shared" si="93"/>
        <v>30.78</v>
      </c>
      <c r="H617" s="221" t="s">
        <v>29</v>
      </c>
      <c r="I617" s="222">
        <f t="shared" si="94"/>
        <v>18573.28899999999</v>
      </c>
      <c r="J617" s="220">
        <f t="shared" si="95"/>
        <v>2781.7110000000102</v>
      </c>
      <c r="K617" s="519"/>
      <c r="L617" s="231"/>
      <c r="M617" s="760" t="s">
        <v>292</v>
      </c>
      <c r="N617" s="761"/>
      <c r="O617" s="29"/>
      <c r="P617" s="29"/>
      <c r="Q617" s="29"/>
      <c r="R617" s="29"/>
      <c r="S617" s="29"/>
      <c r="T617" s="29"/>
      <c r="U617" s="29"/>
      <c r="V617" s="29"/>
      <c r="W617" s="29"/>
      <c r="X617" s="29"/>
    </row>
    <row r="618" spans="1:24" ht="20.100000000000001" customHeight="1">
      <c r="A618" s="732" t="s">
        <v>254</v>
      </c>
      <c r="B618" s="733"/>
      <c r="C618" s="734" t="s">
        <v>64</v>
      </c>
      <c r="D618" s="734"/>
      <c r="E618" s="734"/>
      <c r="F618" s="223">
        <v>30.9</v>
      </c>
      <c r="G618" s="223">
        <f t="shared" si="93"/>
        <v>30.9</v>
      </c>
      <c r="H618" s="224" t="s">
        <v>29</v>
      </c>
      <c r="I618" s="225">
        <f t="shared" si="94"/>
        <v>18604.188999999991</v>
      </c>
      <c r="J618" s="223">
        <f t="shared" si="95"/>
        <v>2750.8110000000088</v>
      </c>
      <c r="K618" s="518"/>
      <c r="L618" s="233"/>
      <c r="M618" s="760" t="s">
        <v>292</v>
      </c>
      <c r="N618" s="761"/>
      <c r="O618" s="29"/>
      <c r="P618" s="29"/>
      <c r="Q618" s="29"/>
      <c r="R618" s="29"/>
      <c r="S618" s="29"/>
      <c r="T618" s="29"/>
      <c r="U618" s="29"/>
      <c r="V618" s="29"/>
      <c r="W618" s="29"/>
      <c r="X618" s="29"/>
    </row>
    <row r="619" spans="1:24" ht="20.100000000000001" customHeight="1">
      <c r="A619" s="732"/>
      <c r="B619" s="733"/>
      <c r="C619" s="734" t="s">
        <v>64</v>
      </c>
      <c r="D619" s="734"/>
      <c r="E619" s="734"/>
      <c r="F619" s="223">
        <v>31.22</v>
      </c>
      <c r="G619" s="223">
        <f t="shared" si="93"/>
        <v>31.22</v>
      </c>
      <c r="H619" s="224" t="s">
        <v>29</v>
      </c>
      <c r="I619" s="225">
        <f t="shared" si="94"/>
        <v>18635.408999999992</v>
      </c>
      <c r="J619" s="223">
        <f t="shared" si="95"/>
        <v>2719.5910000000076</v>
      </c>
      <c r="K619" s="518"/>
      <c r="L619" s="233"/>
      <c r="M619" s="760" t="s">
        <v>292</v>
      </c>
      <c r="N619" s="761"/>
      <c r="O619" s="29"/>
      <c r="P619" s="29"/>
      <c r="Q619" s="29"/>
      <c r="R619" s="29"/>
      <c r="S619" s="29"/>
      <c r="T619" s="29"/>
      <c r="U619" s="29"/>
      <c r="V619" s="29"/>
      <c r="W619" s="29"/>
      <c r="X619" s="29"/>
    </row>
    <row r="620" spans="1:24" ht="20.100000000000001" customHeight="1">
      <c r="A620" s="732"/>
      <c r="B620" s="733"/>
      <c r="C620" s="734" t="s">
        <v>64</v>
      </c>
      <c r="D620" s="734"/>
      <c r="E620" s="734"/>
      <c r="F620" s="223">
        <v>31.09</v>
      </c>
      <c r="G620" s="223">
        <f t="shared" si="93"/>
        <v>31.09</v>
      </c>
      <c r="H620" s="224" t="s">
        <v>29</v>
      </c>
      <c r="I620" s="225">
        <f t="shared" si="94"/>
        <v>18666.498999999993</v>
      </c>
      <c r="J620" s="223">
        <f t="shared" si="95"/>
        <v>2688.5010000000075</v>
      </c>
      <c r="K620" s="518"/>
      <c r="L620" s="233"/>
      <c r="M620" s="760" t="s">
        <v>292</v>
      </c>
      <c r="N620" s="761"/>
      <c r="O620" s="29"/>
      <c r="P620" s="29"/>
      <c r="Q620" s="29"/>
      <c r="R620" s="29"/>
      <c r="S620" s="29"/>
      <c r="T620" s="29"/>
      <c r="U620" s="29"/>
      <c r="V620" s="29"/>
      <c r="W620" s="29"/>
      <c r="X620" s="29"/>
    </row>
    <row r="621" spans="1:24" ht="20.100000000000001" customHeight="1">
      <c r="A621" s="681" t="s">
        <v>255</v>
      </c>
      <c r="B621" s="682"/>
      <c r="C621" s="683" t="s">
        <v>64</v>
      </c>
      <c r="D621" s="683"/>
      <c r="E621" s="683"/>
      <c r="F621" s="220">
        <v>31.1</v>
      </c>
      <c r="G621" s="220">
        <f t="shared" si="93"/>
        <v>31.1</v>
      </c>
      <c r="H621" s="221" t="s">
        <v>29</v>
      </c>
      <c r="I621" s="222">
        <f t="shared" si="94"/>
        <v>18697.598999999991</v>
      </c>
      <c r="J621" s="220">
        <f t="shared" si="95"/>
        <v>2657.4010000000089</v>
      </c>
      <c r="K621" s="519"/>
      <c r="L621" s="231"/>
      <c r="M621" s="760" t="s">
        <v>292</v>
      </c>
      <c r="N621" s="761"/>
      <c r="O621" s="29"/>
      <c r="P621" s="29"/>
      <c r="Q621" s="29"/>
      <c r="R621" s="29"/>
      <c r="S621" s="29"/>
      <c r="T621" s="29"/>
      <c r="U621" s="29"/>
      <c r="V621" s="29"/>
      <c r="W621" s="29"/>
      <c r="X621" s="29"/>
    </row>
    <row r="622" spans="1:24" ht="20.100000000000001" customHeight="1">
      <c r="A622" s="681"/>
      <c r="B622" s="682"/>
      <c r="C622" s="683" t="s">
        <v>64</v>
      </c>
      <c r="D622" s="683"/>
      <c r="E622" s="683"/>
      <c r="F622" s="220">
        <v>31.18</v>
      </c>
      <c r="G622" s="220">
        <f t="shared" si="93"/>
        <v>31.18</v>
      </c>
      <c r="H622" s="221" t="s">
        <v>29</v>
      </c>
      <c r="I622" s="222">
        <f t="shared" si="94"/>
        <v>18728.778999999991</v>
      </c>
      <c r="J622" s="220">
        <f t="shared" si="95"/>
        <v>2626.2210000000086</v>
      </c>
      <c r="K622" s="519"/>
      <c r="L622" s="231"/>
      <c r="M622" s="760" t="s">
        <v>292</v>
      </c>
      <c r="N622" s="761"/>
      <c r="O622" s="29"/>
      <c r="P622" s="29"/>
      <c r="Q622" s="29"/>
      <c r="R622" s="29"/>
      <c r="S622" s="29"/>
      <c r="T622" s="29"/>
      <c r="U622" s="29"/>
      <c r="V622" s="29"/>
      <c r="W622" s="29"/>
      <c r="X622" s="29"/>
    </row>
    <row r="623" spans="1:24" ht="20.100000000000001" customHeight="1">
      <c r="A623" s="681"/>
      <c r="B623" s="682"/>
      <c r="C623" s="683" t="s">
        <v>64</v>
      </c>
      <c r="D623" s="683"/>
      <c r="E623" s="683"/>
      <c r="F623" s="220">
        <v>31.07</v>
      </c>
      <c r="G623" s="220">
        <f t="shared" si="93"/>
        <v>31.07</v>
      </c>
      <c r="H623" s="221" t="s">
        <v>29</v>
      </c>
      <c r="I623" s="222">
        <f t="shared" si="94"/>
        <v>18759.848999999991</v>
      </c>
      <c r="J623" s="220">
        <f t="shared" si="95"/>
        <v>2595.1510000000089</v>
      </c>
      <c r="K623" s="519"/>
      <c r="L623" s="231"/>
      <c r="M623" s="760" t="s">
        <v>292</v>
      </c>
      <c r="N623" s="761"/>
      <c r="O623" s="29"/>
      <c r="P623" s="29"/>
      <c r="Q623" s="29"/>
      <c r="R623" s="29"/>
      <c r="S623" s="29"/>
      <c r="T623" s="29"/>
      <c r="U623" s="29"/>
      <c r="V623" s="29"/>
      <c r="W623" s="29"/>
      <c r="X623" s="29"/>
    </row>
    <row r="624" spans="1:24" ht="20.100000000000001" customHeight="1">
      <c r="A624" s="732" t="s">
        <v>256</v>
      </c>
      <c r="B624" s="733"/>
      <c r="C624" s="734" t="s">
        <v>64</v>
      </c>
      <c r="D624" s="734"/>
      <c r="E624" s="734"/>
      <c r="F624" s="223">
        <v>31.16</v>
      </c>
      <c r="G624" s="223">
        <f t="shared" si="93"/>
        <v>31.16</v>
      </c>
      <c r="H624" s="224" t="s">
        <v>29</v>
      </c>
      <c r="I624" s="225">
        <f t="shared" si="94"/>
        <v>18791.008999999991</v>
      </c>
      <c r="J624" s="223">
        <f t="shared" si="95"/>
        <v>2563.9910000000091</v>
      </c>
      <c r="K624" s="518"/>
      <c r="L624" s="233"/>
      <c r="M624" s="760" t="s">
        <v>292</v>
      </c>
      <c r="N624" s="761"/>
      <c r="O624" s="29"/>
      <c r="P624" s="29"/>
      <c r="Q624" s="29"/>
      <c r="R624" s="29"/>
      <c r="S624" s="29"/>
      <c r="T624" s="29"/>
      <c r="U624" s="29"/>
      <c r="V624" s="29"/>
      <c r="W624" s="29"/>
      <c r="X624" s="29"/>
    </row>
    <row r="625" spans="1:24" ht="20.100000000000001" customHeight="1">
      <c r="A625" s="732"/>
      <c r="B625" s="733"/>
      <c r="C625" s="734" t="s">
        <v>64</v>
      </c>
      <c r="D625" s="734"/>
      <c r="E625" s="734"/>
      <c r="F625" s="223">
        <v>31.23</v>
      </c>
      <c r="G625" s="223">
        <f t="shared" si="93"/>
        <v>31.23</v>
      </c>
      <c r="H625" s="224" t="s">
        <v>29</v>
      </c>
      <c r="I625" s="225">
        <f t="shared" si="94"/>
        <v>18822.23899999999</v>
      </c>
      <c r="J625" s="223">
        <f t="shared" si="95"/>
        <v>2532.7610000000095</v>
      </c>
      <c r="K625" s="518"/>
      <c r="L625" s="233"/>
      <c r="M625" s="760" t="s">
        <v>292</v>
      </c>
      <c r="N625" s="761"/>
      <c r="O625" s="29"/>
      <c r="P625" s="29"/>
      <c r="Q625" s="29"/>
      <c r="R625" s="29"/>
      <c r="S625" s="29"/>
      <c r="T625" s="29"/>
      <c r="U625" s="29"/>
      <c r="V625" s="29"/>
      <c r="W625" s="29"/>
      <c r="X625" s="29"/>
    </row>
    <row r="626" spans="1:24" ht="20.100000000000001" customHeight="1">
      <c r="A626" s="732"/>
      <c r="B626" s="733"/>
      <c r="C626" s="734" t="s">
        <v>64</v>
      </c>
      <c r="D626" s="734"/>
      <c r="E626" s="734"/>
      <c r="F626" s="223">
        <v>30.97</v>
      </c>
      <c r="G626" s="223">
        <f t="shared" si="93"/>
        <v>30.97</v>
      </c>
      <c r="H626" s="224" t="s">
        <v>29</v>
      </c>
      <c r="I626" s="225">
        <f t="shared" si="94"/>
        <v>18853.208999999992</v>
      </c>
      <c r="J626" s="223">
        <f t="shared" si="95"/>
        <v>2501.7910000000084</v>
      </c>
      <c r="K626" s="518"/>
      <c r="L626" s="233"/>
      <c r="M626" s="760" t="s">
        <v>292</v>
      </c>
      <c r="N626" s="761"/>
      <c r="O626" s="29"/>
      <c r="P626" s="29"/>
      <c r="Q626" s="29"/>
      <c r="R626" s="29"/>
      <c r="S626" s="29"/>
      <c r="T626" s="29"/>
      <c r="U626" s="29"/>
      <c r="V626" s="29"/>
      <c r="W626" s="29"/>
      <c r="X626" s="29"/>
    </row>
    <row r="627" spans="1:24" ht="20.100000000000001" customHeight="1">
      <c r="A627" s="681" t="s">
        <v>257</v>
      </c>
      <c r="B627" s="682"/>
      <c r="C627" s="683" t="s">
        <v>64</v>
      </c>
      <c r="D627" s="683"/>
      <c r="E627" s="683"/>
      <c r="F627" s="220">
        <v>31.02</v>
      </c>
      <c r="G627" s="220">
        <f t="shared" ref="G627:G638" si="96">F627</f>
        <v>31.02</v>
      </c>
      <c r="H627" s="221" t="s">
        <v>29</v>
      </c>
      <c r="I627" s="222">
        <f t="shared" ref="I627:I638" si="97">IF(H627="IN",I626+G627,I626)</f>
        <v>18884.228999999992</v>
      </c>
      <c r="J627" s="220">
        <f t="shared" ref="J627:J638" si="98">IF(I627="","",$M$10-I627)</f>
        <v>2470.7710000000079</v>
      </c>
      <c r="K627" s="519"/>
      <c r="L627" s="231"/>
      <c r="M627" s="760" t="s">
        <v>292</v>
      </c>
      <c r="N627" s="761"/>
      <c r="O627" s="29"/>
      <c r="P627" s="29"/>
      <c r="Q627" s="29"/>
      <c r="R627" s="29"/>
      <c r="S627" s="29"/>
      <c r="T627" s="29"/>
      <c r="U627" s="29"/>
      <c r="V627" s="29"/>
      <c r="W627" s="29"/>
      <c r="X627" s="29"/>
    </row>
    <row r="628" spans="1:24" ht="20.100000000000001" customHeight="1">
      <c r="A628" s="681"/>
      <c r="B628" s="682"/>
      <c r="C628" s="683" t="s">
        <v>64</v>
      </c>
      <c r="D628" s="683"/>
      <c r="E628" s="683"/>
      <c r="F628" s="220">
        <v>31.12</v>
      </c>
      <c r="G628" s="220">
        <f t="shared" si="96"/>
        <v>31.12</v>
      </c>
      <c r="H628" s="221" t="s">
        <v>29</v>
      </c>
      <c r="I628" s="222">
        <f t="shared" si="97"/>
        <v>18915.348999999991</v>
      </c>
      <c r="J628" s="220">
        <f t="shared" si="98"/>
        <v>2439.6510000000089</v>
      </c>
      <c r="K628" s="519"/>
      <c r="L628" s="231"/>
      <c r="M628" s="760" t="s">
        <v>292</v>
      </c>
      <c r="N628" s="761"/>
      <c r="O628" s="29"/>
      <c r="P628" s="29"/>
      <c r="Q628" s="29"/>
      <c r="R628" s="29"/>
      <c r="S628" s="29"/>
      <c r="T628" s="29"/>
      <c r="U628" s="29"/>
      <c r="V628" s="29"/>
      <c r="W628" s="29"/>
      <c r="X628" s="29"/>
    </row>
    <row r="629" spans="1:24" ht="20.100000000000001" customHeight="1">
      <c r="A629" s="681"/>
      <c r="B629" s="682"/>
      <c r="C629" s="683" t="s">
        <v>64</v>
      </c>
      <c r="D629" s="683"/>
      <c r="E629" s="683"/>
      <c r="F629" s="220">
        <v>31.07</v>
      </c>
      <c r="G629" s="220">
        <f t="shared" si="96"/>
        <v>31.07</v>
      </c>
      <c r="H629" s="221" t="s">
        <v>29</v>
      </c>
      <c r="I629" s="222">
        <f t="shared" si="97"/>
        <v>18946.418999999991</v>
      </c>
      <c r="J629" s="220">
        <f t="shared" si="98"/>
        <v>2408.5810000000092</v>
      </c>
      <c r="K629" s="519"/>
      <c r="L629" s="231"/>
      <c r="M629" s="760" t="s">
        <v>292</v>
      </c>
      <c r="N629" s="761"/>
      <c r="O629" s="29"/>
      <c r="P629" s="29"/>
      <c r="Q629" s="29"/>
      <c r="R629" s="29"/>
      <c r="S629" s="29"/>
      <c r="T629" s="29"/>
      <c r="U629" s="29"/>
      <c r="V629" s="29"/>
      <c r="W629" s="29"/>
      <c r="X629" s="29"/>
    </row>
    <row r="630" spans="1:24" ht="20.100000000000001" customHeight="1">
      <c r="A630" s="732" t="s">
        <v>258</v>
      </c>
      <c r="B630" s="733"/>
      <c r="C630" s="734" t="s">
        <v>64</v>
      </c>
      <c r="D630" s="734"/>
      <c r="E630" s="734"/>
      <c r="F630" s="223">
        <v>31.08</v>
      </c>
      <c r="G630" s="223">
        <f t="shared" si="96"/>
        <v>31.08</v>
      </c>
      <c r="H630" s="224" t="s">
        <v>29</v>
      </c>
      <c r="I630" s="225">
        <f t="shared" si="97"/>
        <v>18977.498999999993</v>
      </c>
      <c r="J630" s="223">
        <f t="shared" si="98"/>
        <v>2377.5010000000075</v>
      </c>
      <c r="K630" s="518"/>
      <c r="L630" s="233"/>
      <c r="M630" s="760" t="s">
        <v>292</v>
      </c>
      <c r="N630" s="761"/>
      <c r="O630" s="29"/>
      <c r="P630" s="29"/>
      <c r="Q630" s="29"/>
      <c r="R630" s="29"/>
      <c r="S630" s="29"/>
      <c r="T630" s="29"/>
      <c r="U630" s="29"/>
      <c r="V630" s="29"/>
      <c r="W630" s="29"/>
      <c r="X630" s="29"/>
    </row>
    <row r="631" spans="1:24" ht="20.100000000000001" customHeight="1">
      <c r="A631" s="732"/>
      <c r="B631" s="733"/>
      <c r="C631" s="734" t="s">
        <v>64</v>
      </c>
      <c r="D631" s="734"/>
      <c r="E631" s="734"/>
      <c r="F631" s="223">
        <v>31.18</v>
      </c>
      <c r="G631" s="223">
        <f t="shared" si="96"/>
        <v>31.18</v>
      </c>
      <c r="H631" s="224" t="s">
        <v>29</v>
      </c>
      <c r="I631" s="225">
        <f t="shared" si="97"/>
        <v>19008.678999999993</v>
      </c>
      <c r="J631" s="223">
        <f t="shared" si="98"/>
        <v>2346.3210000000072</v>
      </c>
      <c r="K631" s="518"/>
      <c r="L631" s="233"/>
      <c r="M631" s="760" t="s">
        <v>292</v>
      </c>
      <c r="N631" s="761"/>
      <c r="O631" s="29"/>
      <c r="P631" s="29"/>
      <c r="Q631" s="29"/>
      <c r="R631" s="29"/>
      <c r="S631" s="29"/>
      <c r="T631" s="29"/>
      <c r="U631" s="29"/>
      <c r="V631" s="29"/>
      <c r="W631" s="29"/>
      <c r="X631" s="29"/>
    </row>
    <row r="632" spans="1:24" ht="20.100000000000001" customHeight="1">
      <c r="A632" s="732"/>
      <c r="B632" s="733"/>
      <c r="C632" s="734" t="s">
        <v>64</v>
      </c>
      <c r="D632" s="734"/>
      <c r="E632" s="734"/>
      <c r="F632" s="223">
        <v>30.96</v>
      </c>
      <c r="G632" s="223">
        <f t="shared" si="96"/>
        <v>30.96</v>
      </c>
      <c r="H632" s="224" t="s">
        <v>29</v>
      </c>
      <c r="I632" s="225">
        <f t="shared" si="97"/>
        <v>19039.638999999992</v>
      </c>
      <c r="J632" s="223">
        <f t="shared" si="98"/>
        <v>2315.3610000000081</v>
      </c>
      <c r="K632" s="518"/>
      <c r="L632" s="233"/>
      <c r="M632" s="760" t="s">
        <v>292</v>
      </c>
      <c r="N632" s="761"/>
      <c r="O632" s="29"/>
      <c r="P632" s="29"/>
      <c r="Q632" s="29"/>
      <c r="R632" s="29"/>
      <c r="S632" s="29"/>
      <c r="T632" s="29"/>
      <c r="U632" s="29"/>
      <c r="V632" s="29"/>
      <c r="W632" s="29"/>
      <c r="X632" s="29"/>
    </row>
    <row r="633" spans="1:24" ht="20.100000000000001" customHeight="1">
      <c r="A633" s="681" t="s">
        <v>259</v>
      </c>
      <c r="B633" s="682"/>
      <c r="C633" s="683" t="s">
        <v>64</v>
      </c>
      <c r="D633" s="683"/>
      <c r="E633" s="683"/>
      <c r="F633" s="220">
        <v>31</v>
      </c>
      <c r="G633" s="220">
        <f t="shared" si="96"/>
        <v>31</v>
      </c>
      <c r="H633" s="221" t="s">
        <v>29</v>
      </c>
      <c r="I633" s="222">
        <f t="shared" si="97"/>
        <v>19070.638999999992</v>
      </c>
      <c r="J633" s="220">
        <f t="shared" si="98"/>
        <v>2284.3610000000081</v>
      </c>
      <c r="K633" s="519"/>
      <c r="L633" s="231"/>
      <c r="M633" s="760" t="s">
        <v>292</v>
      </c>
      <c r="N633" s="761"/>
      <c r="O633" s="29"/>
      <c r="P633" s="29"/>
      <c r="Q633" s="29"/>
      <c r="R633" s="29"/>
      <c r="S633" s="29"/>
      <c r="T633" s="29"/>
      <c r="U633" s="29"/>
      <c r="V633" s="29"/>
      <c r="W633" s="29"/>
      <c r="X633" s="29"/>
    </row>
    <row r="634" spans="1:24" ht="20.100000000000001" customHeight="1">
      <c r="A634" s="681"/>
      <c r="B634" s="682"/>
      <c r="C634" s="683" t="s">
        <v>64</v>
      </c>
      <c r="D634" s="683"/>
      <c r="E634" s="683"/>
      <c r="F634" s="220">
        <v>31.35</v>
      </c>
      <c r="G634" s="220">
        <f t="shared" si="96"/>
        <v>31.35</v>
      </c>
      <c r="H634" s="221" t="s">
        <v>29</v>
      </c>
      <c r="I634" s="222">
        <f t="shared" si="97"/>
        <v>19101.98899999999</v>
      </c>
      <c r="J634" s="220">
        <f t="shared" si="98"/>
        <v>2253.0110000000095</v>
      </c>
      <c r="K634" s="519"/>
      <c r="L634" s="231"/>
      <c r="M634" s="760" t="s">
        <v>292</v>
      </c>
      <c r="N634" s="761"/>
      <c r="O634" s="29"/>
      <c r="P634" s="29"/>
      <c r="Q634" s="29"/>
      <c r="R634" s="29"/>
      <c r="S634" s="29"/>
      <c r="T634" s="29"/>
      <c r="U634" s="29"/>
      <c r="V634" s="29"/>
      <c r="W634" s="29"/>
      <c r="X634" s="29"/>
    </row>
    <row r="635" spans="1:24" ht="20.100000000000001" customHeight="1">
      <c r="A635" s="681"/>
      <c r="B635" s="682"/>
      <c r="C635" s="683" t="s">
        <v>64</v>
      </c>
      <c r="D635" s="683"/>
      <c r="E635" s="683"/>
      <c r="F635" s="220">
        <v>31.04</v>
      </c>
      <c r="G635" s="220">
        <f t="shared" si="96"/>
        <v>31.04</v>
      </c>
      <c r="H635" s="221" t="s">
        <v>29</v>
      </c>
      <c r="I635" s="222">
        <f t="shared" si="97"/>
        <v>19133.028999999991</v>
      </c>
      <c r="J635" s="220">
        <f t="shared" si="98"/>
        <v>2221.9710000000086</v>
      </c>
      <c r="K635" s="519"/>
      <c r="L635" s="231"/>
      <c r="M635" s="760" t="s">
        <v>292</v>
      </c>
      <c r="N635" s="761"/>
      <c r="O635" s="29"/>
      <c r="P635" s="29"/>
      <c r="Q635" s="29"/>
      <c r="R635" s="29"/>
      <c r="S635" s="29"/>
      <c r="T635" s="29"/>
      <c r="U635" s="29"/>
      <c r="V635" s="29"/>
      <c r="W635" s="29"/>
      <c r="X635" s="29"/>
    </row>
    <row r="636" spans="1:24" ht="20.100000000000001" customHeight="1">
      <c r="A636" s="732" t="s">
        <v>260</v>
      </c>
      <c r="B636" s="733"/>
      <c r="C636" s="734" t="s">
        <v>64</v>
      </c>
      <c r="D636" s="734"/>
      <c r="E636" s="734"/>
      <c r="F636" s="223">
        <v>31.24</v>
      </c>
      <c r="G636" s="223">
        <f t="shared" si="96"/>
        <v>31.24</v>
      </c>
      <c r="H636" s="224" t="s">
        <v>29</v>
      </c>
      <c r="I636" s="225">
        <f t="shared" si="97"/>
        <v>19164.268999999993</v>
      </c>
      <c r="J636" s="223">
        <f t="shared" si="98"/>
        <v>2190.731000000007</v>
      </c>
      <c r="K636" s="518"/>
      <c r="L636" s="233"/>
      <c r="M636" s="760" t="s">
        <v>292</v>
      </c>
      <c r="N636" s="761"/>
      <c r="O636" s="29"/>
      <c r="P636" s="29"/>
      <c r="Q636" s="29"/>
      <c r="R636" s="29"/>
      <c r="S636" s="29"/>
      <c r="T636" s="29"/>
      <c r="U636" s="29"/>
      <c r="V636" s="29"/>
      <c r="W636" s="29"/>
      <c r="X636" s="29"/>
    </row>
    <row r="637" spans="1:24" ht="20.100000000000001" customHeight="1">
      <c r="A637" s="732"/>
      <c r="B637" s="733"/>
      <c r="C637" s="734" t="s">
        <v>64</v>
      </c>
      <c r="D637" s="734"/>
      <c r="E637" s="734"/>
      <c r="F637" s="223">
        <v>31.14</v>
      </c>
      <c r="G637" s="223">
        <f t="shared" si="96"/>
        <v>31.14</v>
      </c>
      <c r="H637" s="224" t="s">
        <v>29</v>
      </c>
      <c r="I637" s="225">
        <f t="shared" si="97"/>
        <v>19195.408999999992</v>
      </c>
      <c r="J637" s="223">
        <f t="shared" si="98"/>
        <v>2159.5910000000076</v>
      </c>
      <c r="K637" s="518"/>
      <c r="L637" s="233"/>
      <c r="M637" s="760" t="s">
        <v>292</v>
      </c>
      <c r="N637" s="761"/>
      <c r="O637" s="29"/>
      <c r="P637" s="29"/>
      <c r="Q637" s="29"/>
      <c r="R637" s="29"/>
      <c r="S637" s="29"/>
      <c r="T637" s="29"/>
      <c r="U637" s="29"/>
      <c r="V637" s="29"/>
      <c r="W637" s="29"/>
      <c r="X637" s="29"/>
    </row>
    <row r="638" spans="1:24" ht="20.100000000000001" customHeight="1">
      <c r="A638" s="732"/>
      <c r="B638" s="733"/>
      <c r="C638" s="734" t="s">
        <v>64</v>
      </c>
      <c r="D638" s="734"/>
      <c r="E638" s="734"/>
      <c r="F638" s="223">
        <v>30.95</v>
      </c>
      <c r="G638" s="223">
        <f t="shared" si="96"/>
        <v>30.95</v>
      </c>
      <c r="H638" s="224" t="s">
        <v>29</v>
      </c>
      <c r="I638" s="225">
        <f t="shared" si="97"/>
        <v>19226.358999999993</v>
      </c>
      <c r="J638" s="223">
        <f t="shared" si="98"/>
        <v>2128.6410000000069</v>
      </c>
      <c r="K638" s="518"/>
      <c r="L638" s="233"/>
      <c r="M638" s="760" t="s">
        <v>292</v>
      </c>
      <c r="N638" s="761"/>
      <c r="O638" s="29"/>
      <c r="P638" s="29"/>
      <c r="Q638" s="29"/>
      <c r="R638" s="29"/>
      <c r="S638" s="29"/>
      <c r="T638" s="29"/>
      <c r="U638" s="29"/>
      <c r="V638" s="29"/>
      <c r="W638" s="29"/>
      <c r="X638" s="29"/>
    </row>
    <row r="639" spans="1:24" ht="20.100000000000001" customHeight="1">
      <c r="A639" s="681" t="s">
        <v>261</v>
      </c>
      <c r="B639" s="682"/>
      <c r="C639" s="683" t="s">
        <v>64</v>
      </c>
      <c r="D639" s="683"/>
      <c r="E639" s="683"/>
      <c r="F639" s="220">
        <v>31.12</v>
      </c>
      <c r="G639" s="220">
        <f t="shared" ref="G639:G650" si="99">F639</f>
        <v>31.12</v>
      </c>
      <c r="H639" s="221" t="s">
        <v>29</v>
      </c>
      <c r="I639" s="222">
        <f t="shared" ref="I639:I650" si="100">IF(H639="IN",I638+G639,I638)</f>
        <v>19257.478999999992</v>
      </c>
      <c r="J639" s="220">
        <f t="shared" ref="J639:J650" si="101">IF(I639="","",$M$10-I639)</f>
        <v>2097.5210000000079</v>
      </c>
      <c r="K639" s="519"/>
      <c r="L639" s="231"/>
      <c r="M639" s="760" t="s">
        <v>292</v>
      </c>
      <c r="N639" s="761"/>
      <c r="O639" s="29"/>
      <c r="P639" s="29"/>
      <c r="Q639" s="29"/>
      <c r="R639" s="29"/>
      <c r="S639" s="29"/>
      <c r="T639" s="29"/>
      <c r="U639" s="29"/>
      <c r="V639" s="29"/>
      <c r="W639" s="29"/>
      <c r="X639" s="29"/>
    </row>
    <row r="640" spans="1:24" ht="20.100000000000001" customHeight="1">
      <c r="A640" s="681"/>
      <c r="B640" s="682"/>
      <c r="C640" s="683" t="s">
        <v>64</v>
      </c>
      <c r="D640" s="683"/>
      <c r="E640" s="683"/>
      <c r="F640" s="220">
        <v>30.97</v>
      </c>
      <c r="G640" s="220">
        <f t="shared" si="99"/>
        <v>30.97</v>
      </c>
      <c r="H640" s="221" t="s">
        <v>29</v>
      </c>
      <c r="I640" s="222">
        <f t="shared" si="100"/>
        <v>19288.448999999993</v>
      </c>
      <c r="J640" s="220">
        <f t="shared" si="101"/>
        <v>2066.5510000000068</v>
      </c>
      <c r="K640" s="519"/>
      <c r="L640" s="231"/>
      <c r="M640" s="760" t="s">
        <v>292</v>
      </c>
      <c r="N640" s="761"/>
      <c r="O640" s="29"/>
      <c r="P640" s="29"/>
      <c r="Q640" s="29"/>
      <c r="R640" s="29"/>
      <c r="S640" s="29"/>
      <c r="T640" s="29"/>
      <c r="U640" s="29"/>
      <c r="V640" s="29"/>
      <c r="W640" s="29"/>
      <c r="X640" s="29"/>
    </row>
    <row r="641" spans="1:24" ht="20.100000000000001" customHeight="1">
      <c r="A641" s="681"/>
      <c r="B641" s="682"/>
      <c r="C641" s="683" t="s">
        <v>64</v>
      </c>
      <c r="D641" s="683"/>
      <c r="E641" s="683"/>
      <c r="F641" s="220">
        <v>30.97</v>
      </c>
      <c r="G641" s="220">
        <f t="shared" si="99"/>
        <v>30.97</v>
      </c>
      <c r="H641" s="221" t="s">
        <v>29</v>
      </c>
      <c r="I641" s="222">
        <f t="shared" si="100"/>
        <v>19319.418999999994</v>
      </c>
      <c r="J641" s="220">
        <f t="shared" si="101"/>
        <v>2035.5810000000056</v>
      </c>
      <c r="K641" s="519"/>
      <c r="L641" s="231"/>
      <c r="M641" s="760" t="s">
        <v>292</v>
      </c>
      <c r="N641" s="761"/>
      <c r="O641" s="29"/>
      <c r="P641" s="29"/>
      <c r="Q641" s="29"/>
      <c r="R641" s="29"/>
      <c r="S641" s="29"/>
      <c r="T641" s="29"/>
      <c r="U641" s="29"/>
      <c r="V641" s="29"/>
      <c r="W641" s="29"/>
      <c r="X641" s="29"/>
    </row>
    <row r="642" spans="1:24" ht="20.100000000000001" customHeight="1">
      <c r="A642" s="732" t="s">
        <v>262</v>
      </c>
      <c r="B642" s="733"/>
      <c r="C642" s="734" t="s">
        <v>64</v>
      </c>
      <c r="D642" s="734"/>
      <c r="E642" s="734"/>
      <c r="F642" s="223">
        <v>31.42</v>
      </c>
      <c r="G642" s="223">
        <f t="shared" si="99"/>
        <v>31.42</v>
      </c>
      <c r="H642" s="224" t="s">
        <v>29</v>
      </c>
      <c r="I642" s="225">
        <f t="shared" si="100"/>
        <v>19350.838999999993</v>
      </c>
      <c r="J642" s="223">
        <f t="shared" si="101"/>
        <v>2004.1610000000073</v>
      </c>
      <c r="K642" s="518"/>
      <c r="L642" s="233"/>
      <c r="M642" s="760" t="s">
        <v>292</v>
      </c>
      <c r="N642" s="761"/>
      <c r="O642" s="29"/>
      <c r="P642" s="29"/>
      <c r="Q642" s="29"/>
      <c r="R642" s="29"/>
      <c r="S642" s="29"/>
      <c r="T642" s="29"/>
      <c r="U642" s="29"/>
      <c r="V642" s="29"/>
      <c r="W642" s="29"/>
      <c r="X642" s="29"/>
    </row>
    <row r="643" spans="1:24" ht="20.100000000000001" customHeight="1">
      <c r="A643" s="732"/>
      <c r="B643" s="733"/>
      <c r="C643" s="734" t="s">
        <v>64</v>
      </c>
      <c r="D643" s="734"/>
      <c r="E643" s="734"/>
      <c r="F643" s="223">
        <v>31.05</v>
      </c>
      <c r="G643" s="223">
        <f t="shared" si="99"/>
        <v>31.05</v>
      </c>
      <c r="H643" s="224" t="s">
        <v>29</v>
      </c>
      <c r="I643" s="225">
        <f t="shared" si="100"/>
        <v>19381.888999999992</v>
      </c>
      <c r="J643" s="223">
        <f t="shared" si="101"/>
        <v>1973.1110000000081</v>
      </c>
      <c r="K643" s="518"/>
      <c r="L643" s="233"/>
      <c r="M643" s="760" t="s">
        <v>292</v>
      </c>
      <c r="N643" s="761"/>
      <c r="O643" s="29"/>
      <c r="P643" s="29"/>
      <c r="Q643" s="29"/>
      <c r="R643" s="29"/>
      <c r="S643" s="29"/>
      <c r="T643" s="29"/>
      <c r="U643" s="29"/>
      <c r="V643" s="29"/>
      <c r="W643" s="29"/>
      <c r="X643" s="29"/>
    </row>
    <row r="644" spans="1:24" ht="20.100000000000001" customHeight="1">
      <c r="A644" s="732"/>
      <c r="B644" s="733"/>
      <c r="C644" s="734" t="s">
        <v>64</v>
      </c>
      <c r="D644" s="734"/>
      <c r="E644" s="734"/>
      <c r="F644" s="223">
        <v>31.42</v>
      </c>
      <c r="G644" s="223">
        <f t="shared" si="99"/>
        <v>31.42</v>
      </c>
      <c r="H644" s="224" t="s">
        <v>29</v>
      </c>
      <c r="I644" s="225">
        <f t="shared" si="100"/>
        <v>19413.30899999999</v>
      </c>
      <c r="J644" s="223">
        <f t="shared" si="101"/>
        <v>1941.6910000000098</v>
      </c>
      <c r="K644" s="518"/>
      <c r="L644" s="233"/>
      <c r="M644" s="760" t="s">
        <v>292</v>
      </c>
      <c r="N644" s="761"/>
      <c r="O644" s="29"/>
      <c r="P644" s="29"/>
      <c r="Q644" s="29"/>
      <c r="R644" s="29"/>
      <c r="S644" s="29"/>
      <c r="T644" s="29"/>
      <c r="U644" s="29"/>
      <c r="V644" s="29"/>
      <c r="W644" s="29"/>
      <c r="X644" s="29"/>
    </row>
    <row r="645" spans="1:24" ht="20.100000000000001" customHeight="1">
      <c r="A645" s="681" t="s">
        <v>263</v>
      </c>
      <c r="B645" s="682"/>
      <c r="C645" s="683" t="s">
        <v>64</v>
      </c>
      <c r="D645" s="683"/>
      <c r="E645" s="683"/>
      <c r="F645" s="220">
        <v>31.15</v>
      </c>
      <c r="G645" s="220">
        <f t="shared" si="99"/>
        <v>31.15</v>
      </c>
      <c r="H645" s="221" t="s">
        <v>29</v>
      </c>
      <c r="I645" s="222">
        <f t="shared" si="100"/>
        <v>19444.458999999992</v>
      </c>
      <c r="J645" s="220">
        <f t="shared" si="101"/>
        <v>1910.5410000000084</v>
      </c>
      <c r="K645" s="519"/>
      <c r="L645" s="231"/>
      <c r="M645" s="760" t="s">
        <v>292</v>
      </c>
      <c r="N645" s="761"/>
      <c r="O645" s="29"/>
      <c r="P645" s="29"/>
      <c r="Q645" s="29"/>
      <c r="R645" s="29"/>
      <c r="S645" s="29"/>
      <c r="T645" s="29"/>
      <c r="U645" s="29"/>
      <c r="V645" s="29"/>
      <c r="W645" s="29"/>
      <c r="X645" s="29"/>
    </row>
    <row r="646" spans="1:24" ht="20.100000000000001" customHeight="1">
      <c r="A646" s="681"/>
      <c r="B646" s="682"/>
      <c r="C646" s="683" t="s">
        <v>64</v>
      </c>
      <c r="D646" s="683"/>
      <c r="E646" s="683"/>
      <c r="F646" s="220">
        <v>30.88</v>
      </c>
      <c r="G646" s="220">
        <f t="shared" si="99"/>
        <v>30.88</v>
      </c>
      <c r="H646" s="221" t="s">
        <v>29</v>
      </c>
      <c r="I646" s="222">
        <f t="shared" si="100"/>
        <v>19475.338999999993</v>
      </c>
      <c r="J646" s="220">
        <f t="shared" si="101"/>
        <v>1879.6610000000073</v>
      </c>
      <c r="K646" s="519"/>
      <c r="L646" s="231"/>
      <c r="M646" s="760" t="s">
        <v>292</v>
      </c>
      <c r="N646" s="761"/>
      <c r="O646" s="29"/>
      <c r="P646" s="29"/>
      <c r="Q646" s="29"/>
      <c r="R646" s="29"/>
      <c r="S646" s="29"/>
      <c r="T646" s="29"/>
      <c r="U646" s="29"/>
      <c r="V646" s="29"/>
      <c r="W646" s="29"/>
      <c r="X646" s="29"/>
    </row>
    <row r="647" spans="1:24" ht="20.100000000000001" customHeight="1">
      <c r="A647" s="681"/>
      <c r="B647" s="682"/>
      <c r="C647" s="683" t="s">
        <v>64</v>
      </c>
      <c r="D647" s="683"/>
      <c r="E647" s="683"/>
      <c r="F647" s="220">
        <v>30.84</v>
      </c>
      <c r="G647" s="220">
        <f t="shared" si="99"/>
        <v>30.84</v>
      </c>
      <c r="H647" s="221" t="s">
        <v>29</v>
      </c>
      <c r="I647" s="222">
        <f t="shared" si="100"/>
        <v>19506.178999999993</v>
      </c>
      <c r="J647" s="220">
        <f t="shared" si="101"/>
        <v>1848.8210000000072</v>
      </c>
      <c r="K647" s="519"/>
      <c r="L647" s="231"/>
      <c r="M647" s="760" t="s">
        <v>292</v>
      </c>
      <c r="N647" s="761"/>
      <c r="O647" s="29"/>
      <c r="P647" s="29"/>
      <c r="Q647" s="29"/>
      <c r="R647" s="29"/>
      <c r="S647" s="29"/>
      <c r="T647" s="29"/>
      <c r="U647" s="29"/>
      <c r="V647" s="29"/>
      <c r="W647" s="29"/>
      <c r="X647" s="29"/>
    </row>
    <row r="648" spans="1:24" ht="20.100000000000001" customHeight="1">
      <c r="A648" s="732" t="s">
        <v>264</v>
      </c>
      <c r="B648" s="733"/>
      <c r="C648" s="734" t="s">
        <v>64</v>
      </c>
      <c r="D648" s="734"/>
      <c r="E648" s="734"/>
      <c r="F648" s="223">
        <v>31.21</v>
      </c>
      <c r="G648" s="223">
        <f t="shared" si="99"/>
        <v>31.21</v>
      </c>
      <c r="H648" s="224" t="s">
        <v>29</v>
      </c>
      <c r="I648" s="225">
        <f t="shared" si="100"/>
        <v>19537.388999999992</v>
      </c>
      <c r="J648" s="223">
        <f t="shared" si="101"/>
        <v>1817.6110000000081</v>
      </c>
      <c r="K648" s="518"/>
      <c r="L648" s="233"/>
      <c r="M648" s="760" t="s">
        <v>292</v>
      </c>
      <c r="N648" s="761"/>
      <c r="O648" s="29"/>
      <c r="P648" s="29"/>
      <c r="Q648" s="29"/>
      <c r="R648" s="29"/>
      <c r="S648" s="29"/>
      <c r="T648" s="29"/>
      <c r="U648" s="29"/>
      <c r="V648" s="29"/>
      <c r="W648" s="29"/>
      <c r="X648" s="29"/>
    </row>
    <row r="649" spans="1:24" ht="20.100000000000001" customHeight="1">
      <c r="A649" s="732"/>
      <c r="B649" s="733"/>
      <c r="C649" s="734" t="s">
        <v>64</v>
      </c>
      <c r="D649" s="734"/>
      <c r="E649" s="734"/>
      <c r="F649" s="223">
        <v>31.13</v>
      </c>
      <c r="G649" s="223">
        <f t="shared" si="99"/>
        <v>31.13</v>
      </c>
      <c r="H649" s="224" t="s">
        <v>29</v>
      </c>
      <c r="I649" s="225">
        <f t="shared" si="100"/>
        <v>19568.518999999993</v>
      </c>
      <c r="J649" s="223">
        <f t="shared" si="101"/>
        <v>1786.481000000007</v>
      </c>
      <c r="K649" s="518"/>
      <c r="L649" s="233"/>
      <c r="M649" s="760" t="s">
        <v>292</v>
      </c>
      <c r="N649" s="761"/>
      <c r="O649" s="29"/>
      <c r="P649" s="29"/>
      <c r="Q649" s="29"/>
      <c r="R649" s="29"/>
      <c r="S649" s="29"/>
      <c r="T649" s="29"/>
      <c r="U649" s="29"/>
      <c r="V649" s="29"/>
      <c r="W649" s="29"/>
      <c r="X649" s="29"/>
    </row>
    <row r="650" spans="1:24" ht="20.100000000000001" customHeight="1">
      <c r="A650" s="732"/>
      <c r="B650" s="733"/>
      <c r="C650" s="734" t="s">
        <v>64</v>
      </c>
      <c r="D650" s="734"/>
      <c r="E650" s="734"/>
      <c r="F650" s="223">
        <v>31.17</v>
      </c>
      <c r="G650" s="223">
        <f t="shared" si="99"/>
        <v>31.17</v>
      </c>
      <c r="H650" s="224" t="s">
        <v>29</v>
      </c>
      <c r="I650" s="225">
        <f t="shared" si="100"/>
        <v>19599.688999999991</v>
      </c>
      <c r="J650" s="223">
        <f t="shared" si="101"/>
        <v>1755.3110000000088</v>
      </c>
      <c r="K650" s="518"/>
      <c r="L650" s="233"/>
      <c r="M650" s="760" t="s">
        <v>292</v>
      </c>
      <c r="N650" s="761"/>
      <c r="O650" s="29"/>
      <c r="P650" s="29"/>
      <c r="Q650" s="29"/>
      <c r="R650" s="29"/>
      <c r="S650" s="29"/>
      <c r="T650" s="29"/>
      <c r="U650" s="29"/>
      <c r="V650" s="29"/>
      <c r="W650" s="29"/>
      <c r="X650" s="29"/>
    </row>
    <row r="651" spans="1:24" ht="20.100000000000001" customHeight="1">
      <c r="A651" s="681" t="s">
        <v>265</v>
      </c>
      <c r="B651" s="682"/>
      <c r="C651" s="683" t="s">
        <v>64</v>
      </c>
      <c r="D651" s="683"/>
      <c r="E651" s="683"/>
      <c r="F651" s="220">
        <v>30.95</v>
      </c>
      <c r="G651" s="220">
        <f t="shared" ref="G651:G698" si="102">F651</f>
        <v>30.95</v>
      </c>
      <c r="H651" s="221" t="s">
        <v>29</v>
      </c>
      <c r="I651" s="222">
        <f t="shared" ref="I651:I698" si="103">IF(H651="IN",I650+G651,I650)</f>
        <v>19630.638999999992</v>
      </c>
      <c r="J651" s="220">
        <f t="shared" ref="J651:J698" si="104">IF(I651="","",$M$10-I651)</f>
        <v>1724.3610000000081</v>
      </c>
      <c r="K651" s="519"/>
      <c r="L651" s="231"/>
      <c r="M651" s="760" t="s">
        <v>292</v>
      </c>
      <c r="N651" s="761"/>
      <c r="O651" s="29"/>
      <c r="P651" s="29"/>
      <c r="Q651" s="29"/>
      <c r="R651" s="29"/>
      <c r="S651" s="29"/>
      <c r="T651" s="29"/>
      <c r="U651" s="29"/>
      <c r="V651" s="29"/>
      <c r="W651" s="29"/>
      <c r="X651" s="29"/>
    </row>
    <row r="652" spans="1:24" ht="20.100000000000001" customHeight="1">
      <c r="A652" s="681"/>
      <c r="B652" s="682"/>
      <c r="C652" s="683" t="s">
        <v>64</v>
      </c>
      <c r="D652" s="683"/>
      <c r="E652" s="683"/>
      <c r="F652" s="220">
        <v>31.2</v>
      </c>
      <c r="G652" s="220">
        <f t="shared" si="102"/>
        <v>31.2</v>
      </c>
      <c r="H652" s="221" t="s">
        <v>29</v>
      </c>
      <c r="I652" s="222">
        <f t="shared" si="103"/>
        <v>19661.838999999993</v>
      </c>
      <c r="J652" s="220">
        <f t="shared" si="104"/>
        <v>1693.1610000000073</v>
      </c>
      <c r="K652" s="519"/>
      <c r="L652" s="231"/>
      <c r="M652" s="760" t="s">
        <v>292</v>
      </c>
      <c r="N652" s="761"/>
      <c r="O652" s="29"/>
      <c r="P652" s="29"/>
      <c r="Q652" s="29"/>
      <c r="R652" s="29"/>
      <c r="S652" s="29"/>
      <c r="T652" s="29"/>
      <c r="U652" s="29"/>
      <c r="V652" s="29"/>
      <c r="W652" s="29"/>
      <c r="X652" s="29"/>
    </row>
    <row r="653" spans="1:24" ht="20.100000000000001" customHeight="1">
      <c r="A653" s="681"/>
      <c r="B653" s="682"/>
      <c r="C653" s="683" t="s">
        <v>64</v>
      </c>
      <c r="D653" s="683"/>
      <c r="E653" s="683"/>
      <c r="F653" s="220">
        <v>31.24</v>
      </c>
      <c r="G653" s="220">
        <f t="shared" si="102"/>
        <v>31.24</v>
      </c>
      <c r="H653" s="221" t="s">
        <v>29</v>
      </c>
      <c r="I653" s="222">
        <f t="shared" si="103"/>
        <v>19693.078999999994</v>
      </c>
      <c r="J653" s="220">
        <f t="shared" si="104"/>
        <v>1661.9210000000057</v>
      </c>
      <c r="K653" s="519"/>
      <c r="L653" s="231"/>
      <c r="M653" s="760" t="s">
        <v>292</v>
      </c>
      <c r="N653" s="761"/>
      <c r="O653" s="29"/>
      <c r="P653" s="29"/>
      <c r="Q653" s="29"/>
      <c r="R653" s="29"/>
      <c r="S653" s="29"/>
      <c r="T653" s="29"/>
      <c r="U653" s="29"/>
      <c r="V653" s="29"/>
      <c r="W653" s="29"/>
      <c r="X653" s="29"/>
    </row>
    <row r="654" spans="1:24" ht="20.100000000000001" customHeight="1">
      <c r="A654" s="732" t="s">
        <v>266</v>
      </c>
      <c r="B654" s="733"/>
      <c r="C654" s="734" t="s">
        <v>64</v>
      </c>
      <c r="D654" s="734"/>
      <c r="E654" s="734"/>
      <c r="F654" s="223">
        <v>31.06</v>
      </c>
      <c r="G654" s="223">
        <f t="shared" si="102"/>
        <v>31.06</v>
      </c>
      <c r="H654" s="224" t="s">
        <v>29</v>
      </c>
      <c r="I654" s="225">
        <f t="shared" si="103"/>
        <v>19724.138999999996</v>
      </c>
      <c r="J654" s="223">
        <f t="shared" si="104"/>
        <v>1630.8610000000044</v>
      </c>
      <c r="K654" s="518"/>
      <c r="L654" s="233"/>
      <c r="M654" s="760" t="s">
        <v>292</v>
      </c>
      <c r="N654" s="761"/>
      <c r="O654" s="29"/>
      <c r="P654" s="29"/>
      <c r="Q654" s="29"/>
      <c r="R654" s="29"/>
      <c r="S654" s="29"/>
      <c r="T654" s="29"/>
      <c r="U654" s="29"/>
      <c r="V654" s="29"/>
      <c r="W654" s="29"/>
      <c r="X654" s="29"/>
    </row>
    <row r="655" spans="1:24" ht="20.100000000000001" customHeight="1">
      <c r="A655" s="732"/>
      <c r="B655" s="733"/>
      <c r="C655" s="734" t="s">
        <v>64</v>
      </c>
      <c r="D655" s="734"/>
      <c r="E655" s="734"/>
      <c r="F655" s="223">
        <v>31</v>
      </c>
      <c r="G655" s="223">
        <f t="shared" si="102"/>
        <v>31</v>
      </c>
      <c r="H655" s="224" t="s">
        <v>29</v>
      </c>
      <c r="I655" s="225">
        <f t="shared" si="103"/>
        <v>19755.138999999996</v>
      </c>
      <c r="J655" s="223">
        <f t="shared" si="104"/>
        <v>1599.8610000000044</v>
      </c>
      <c r="K655" s="518"/>
      <c r="L655" s="233"/>
      <c r="M655" s="760" t="s">
        <v>292</v>
      </c>
      <c r="N655" s="761"/>
      <c r="O655" s="29"/>
      <c r="P655" s="29"/>
      <c r="Q655" s="29"/>
      <c r="R655" s="29"/>
      <c r="S655" s="29"/>
      <c r="T655" s="29"/>
      <c r="U655" s="29"/>
      <c r="V655" s="29"/>
      <c r="W655" s="29"/>
      <c r="X655" s="29"/>
    </row>
    <row r="656" spans="1:24" ht="20.100000000000001" customHeight="1">
      <c r="A656" s="732"/>
      <c r="B656" s="733"/>
      <c r="C656" s="734" t="s">
        <v>64</v>
      </c>
      <c r="D656" s="734"/>
      <c r="E656" s="734"/>
      <c r="F656" s="223">
        <v>31.26</v>
      </c>
      <c r="G656" s="223">
        <f t="shared" si="102"/>
        <v>31.26</v>
      </c>
      <c r="H656" s="224" t="s">
        <v>29</v>
      </c>
      <c r="I656" s="225">
        <f t="shared" si="103"/>
        <v>19786.398999999994</v>
      </c>
      <c r="J656" s="223">
        <f t="shared" si="104"/>
        <v>1568.601000000006</v>
      </c>
      <c r="K656" s="518"/>
      <c r="L656" s="233"/>
      <c r="M656" s="760" t="s">
        <v>292</v>
      </c>
      <c r="N656" s="761"/>
      <c r="O656" s="29"/>
      <c r="P656" s="29"/>
      <c r="Q656" s="29"/>
      <c r="R656" s="29"/>
      <c r="S656" s="29"/>
      <c r="T656" s="29"/>
      <c r="U656" s="29"/>
      <c r="V656" s="29"/>
      <c r="W656" s="29"/>
      <c r="X656" s="29"/>
    </row>
    <row r="657" spans="1:24" ht="20.100000000000001" customHeight="1">
      <c r="A657" s="681" t="s">
        <v>267</v>
      </c>
      <c r="B657" s="682"/>
      <c r="C657" s="683" t="s">
        <v>64</v>
      </c>
      <c r="D657" s="683"/>
      <c r="E657" s="683"/>
      <c r="F657" s="220">
        <v>31.4</v>
      </c>
      <c r="G657" s="220">
        <f t="shared" si="102"/>
        <v>31.4</v>
      </c>
      <c r="H657" s="221" t="s">
        <v>29</v>
      </c>
      <c r="I657" s="222">
        <f t="shared" si="103"/>
        <v>19817.798999999995</v>
      </c>
      <c r="J657" s="220">
        <f t="shared" si="104"/>
        <v>1537.2010000000046</v>
      </c>
      <c r="K657" s="519"/>
      <c r="L657" s="231"/>
      <c r="M657" s="760" t="s">
        <v>292</v>
      </c>
      <c r="N657" s="761"/>
      <c r="O657" s="29"/>
      <c r="P657" s="29"/>
      <c r="Q657" s="29"/>
      <c r="R657" s="29"/>
      <c r="S657" s="29"/>
      <c r="T657" s="29"/>
      <c r="U657" s="29"/>
      <c r="V657" s="29"/>
      <c r="W657" s="29"/>
      <c r="X657" s="29"/>
    </row>
    <row r="658" spans="1:24" ht="20.100000000000001" customHeight="1">
      <c r="A658" s="681"/>
      <c r="B658" s="682"/>
      <c r="C658" s="683" t="s">
        <v>64</v>
      </c>
      <c r="D658" s="683"/>
      <c r="E658" s="683"/>
      <c r="F658" s="220">
        <v>30.86</v>
      </c>
      <c r="G658" s="220">
        <f t="shared" si="102"/>
        <v>30.86</v>
      </c>
      <c r="H658" s="221" t="s">
        <v>29</v>
      </c>
      <c r="I658" s="222">
        <f t="shared" si="103"/>
        <v>19848.658999999996</v>
      </c>
      <c r="J658" s="220">
        <f t="shared" si="104"/>
        <v>1506.341000000004</v>
      </c>
      <c r="K658" s="519"/>
      <c r="L658" s="231"/>
      <c r="M658" s="760" t="s">
        <v>292</v>
      </c>
      <c r="N658" s="761"/>
      <c r="O658" s="29"/>
      <c r="P658" s="29"/>
      <c r="Q658" s="29"/>
      <c r="R658" s="29"/>
      <c r="S658" s="29"/>
      <c r="T658" s="29"/>
      <c r="U658" s="29"/>
      <c r="V658" s="29"/>
      <c r="W658" s="29"/>
      <c r="X658" s="29"/>
    </row>
    <row r="659" spans="1:24" ht="20.100000000000001" customHeight="1">
      <c r="A659" s="681"/>
      <c r="B659" s="682"/>
      <c r="C659" s="683" t="s">
        <v>64</v>
      </c>
      <c r="D659" s="683"/>
      <c r="E659" s="683"/>
      <c r="F659" s="220">
        <v>31.21</v>
      </c>
      <c r="G659" s="220">
        <f t="shared" si="102"/>
        <v>31.21</v>
      </c>
      <c r="H659" s="221" t="s">
        <v>29</v>
      </c>
      <c r="I659" s="222">
        <f t="shared" si="103"/>
        <v>19879.868999999995</v>
      </c>
      <c r="J659" s="220">
        <f t="shared" si="104"/>
        <v>1475.1310000000049</v>
      </c>
      <c r="K659" s="519"/>
      <c r="L659" s="231"/>
      <c r="M659" s="760" t="s">
        <v>292</v>
      </c>
      <c r="N659" s="761"/>
      <c r="O659" s="29"/>
      <c r="P659" s="29"/>
      <c r="Q659" s="29"/>
      <c r="R659" s="29"/>
      <c r="S659" s="29"/>
      <c r="T659" s="29"/>
      <c r="U659" s="29"/>
      <c r="V659" s="29"/>
      <c r="W659" s="29"/>
      <c r="X659" s="29"/>
    </row>
    <row r="660" spans="1:24" ht="20.100000000000001" customHeight="1">
      <c r="A660" s="732" t="s">
        <v>268</v>
      </c>
      <c r="B660" s="733"/>
      <c r="C660" s="734" t="s">
        <v>64</v>
      </c>
      <c r="D660" s="734"/>
      <c r="E660" s="734"/>
      <c r="F660" s="223">
        <v>31.16</v>
      </c>
      <c r="G660" s="223">
        <f t="shared" si="102"/>
        <v>31.16</v>
      </c>
      <c r="H660" s="224" t="s">
        <v>29</v>
      </c>
      <c r="I660" s="225">
        <f t="shared" si="103"/>
        <v>19911.028999999995</v>
      </c>
      <c r="J660" s="223">
        <f t="shared" si="104"/>
        <v>1443.971000000005</v>
      </c>
      <c r="K660" s="518"/>
      <c r="L660" s="233"/>
      <c r="M660" s="760" t="s">
        <v>292</v>
      </c>
      <c r="N660" s="761"/>
      <c r="O660" s="29"/>
      <c r="P660" s="29"/>
      <c r="Q660" s="29"/>
      <c r="R660" s="29"/>
      <c r="S660" s="29"/>
      <c r="T660" s="29"/>
      <c r="U660" s="29"/>
      <c r="V660" s="29"/>
      <c r="W660" s="29"/>
      <c r="X660" s="29"/>
    </row>
    <row r="661" spans="1:24" ht="20.100000000000001" customHeight="1">
      <c r="A661" s="732"/>
      <c r="B661" s="733"/>
      <c r="C661" s="734" t="s">
        <v>64</v>
      </c>
      <c r="D661" s="734"/>
      <c r="E661" s="734"/>
      <c r="F661" s="223">
        <v>31</v>
      </c>
      <c r="G661" s="223">
        <f t="shared" si="102"/>
        <v>31</v>
      </c>
      <c r="H661" s="224" t="s">
        <v>29</v>
      </c>
      <c r="I661" s="225">
        <f t="shared" si="103"/>
        <v>19942.028999999995</v>
      </c>
      <c r="J661" s="223">
        <f t="shared" si="104"/>
        <v>1412.971000000005</v>
      </c>
      <c r="K661" s="518"/>
      <c r="L661" s="233"/>
      <c r="M661" s="760" t="s">
        <v>292</v>
      </c>
      <c r="N661" s="761"/>
      <c r="O661" s="29"/>
      <c r="P661" s="29"/>
      <c r="Q661" s="29"/>
      <c r="R661" s="29"/>
      <c r="S661" s="29"/>
      <c r="T661" s="29"/>
      <c r="U661" s="29"/>
      <c r="V661" s="29"/>
      <c r="W661" s="29"/>
      <c r="X661" s="29"/>
    </row>
    <row r="662" spans="1:24" ht="20.100000000000001" customHeight="1">
      <c r="A662" s="732"/>
      <c r="B662" s="733"/>
      <c r="C662" s="734" t="s">
        <v>64</v>
      </c>
      <c r="D662" s="734"/>
      <c r="E662" s="734"/>
      <c r="F662" s="223">
        <v>31.19</v>
      </c>
      <c r="G662" s="223">
        <f t="shared" si="102"/>
        <v>31.19</v>
      </c>
      <c r="H662" s="224" t="s">
        <v>29</v>
      </c>
      <c r="I662" s="225">
        <f t="shared" si="103"/>
        <v>19973.218999999994</v>
      </c>
      <c r="J662" s="223">
        <f t="shared" si="104"/>
        <v>1381.7810000000063</v>
      </c>
      <c r="K662" s="518"/>
      <c r="L662" s="233"/>
      <c r="M662" s="760" t="s">
        <v>292</v>
      </c>
      <c r="N662" s="761"/>
      <c r="O662" s="29"/>
      <c r="P662" s="29"/>
      <c r="Q662" s="29"/>
      <c r="R662" s="29"/>
      <c r="S662" s="29"/>
      <c r="T662" s="29"/>
      <c r="U662" s="29"/>
      <c r="V662" s="29"/>
      <c r="W662" s="29"/>
      <c r="X662" s="29"/>
    </row>
    <row r="663" spans="1:24" ht="20.100000000000001" customHeight="1">
      <c r="A663" s="681" t="s">
        <v>269</v>
      </c>
      <c r="B663" s="682"/>
      <c r="C663" s="683" t="s">
        <v>64</v>
      </c>
      <c r="D663" s="683"/>
      <c r="E663" s="683"/>
      <c r="F663" s="220">
        <v>31.2</v>
      </c>
      <c r="G663" s="220">
        <f t="shared" si="102"/>
        <v>31.2</v>
      </c>
      <c r="H663" s="221" t="s">
        <v>29</v>
      </c>
      <c r="I663" s="222">
        <f t="shared" si="103"/>
        <v>20004.418999999994</v>
      </c>
      <c r="J663" s="220">
        <f t="shared" si="104"/>
        <v>1350.5810000000056</v>
      </c>
      <c r="K663" s="519"/>
      <c r="L663" s="231"/>
      <c r="M663" s="760" t="s">
        <v>292</v>
      </c>
      <c r="N663" s="761"/>
      <c r="O663" s="29"/>
      <c r="P663" s="29"/>
      <c r="Q663" s="29"/>
      <c r="R663" s="29"/>
      <c r="S663" s="29"/>
      <c r="T663" s="29"/>
      <c r="U663" s="29"/>
      <c r="V663" s="29"/>
      <c r="W663" s="29"/>
      <c r="X663" s="29"/>
    </row>
    <row r="664" spans="1:24" ht="20.100000000000001" customHeight="1">
      <c r="A664" s="681"/>
      <c r="B664" s="682"/>
      <c r="C664" s="683" t="s">
        <v>64</v>
      </c>
      <c r="D664" s="683"/>
      <c r="E664" s="683"/>
      <c r="F664" s="220">
        <v>31.34</v>
      </c>
      <c r="G664" s="220">
        <f t="shared" si="102"/>
        <v>31.34</v>
      </c>
      <c r="H664" s="221" t="s">
        <v>29</v>
      </c>
      <c r="I664" s="222">
        <f t="shared" si="103"/>
        <v>20035.758999999995</v>
      </c>
      <c r="J664" s="220">
        <f t="shared" si="104"/>
        <v>1319.2410000000054</v>
      </c>
      <c r="K664" s="519"/>
      <c r="L664" s="231"/>
      <c r="M664" s="760" t="s">
        <v>292</v>
      </c>
      <c r="N664" s="761"/>
      <c r="O664" s="29"/>
      <c r="P664" s="29"/>
      <c r="Q664" s="29"/>
      <c r="R664" s="29"/>
      <c r="S664" s="29"/>
      <c r="T664" s="29"/>
      <c r="U664" s="29"/>
      <c r="V664" s="29"/>
      <c r="W664" s="29"/>
      <c r="X664" s="29"/>
    </row>
    <row r="665" spans="1:24" ht="20.100000000000001" customHeight="1">
      <c r="A665" s="681"/>
      <c r="B665" s="682"/>
      <c r="C665" s="683" t="s">
        <v>64</v>
      </c>
      <c r="D665" s="683"/>
      <c r="E665" s="683"/>
      <c r="F665" s="220">
        <v>30.9</v>
      </c>
      <c r="G665" s="220">
        <f t="shared" si="102"/>
        <v>30.9</v>
      </c>
      <c r="H665" s="221" t="s">
        <v>29</v>
      </c>
      <c r="I665" s="222">
        <f t="shared" si="103"/>
        <v>20066.658999999996</v>
      </c>
      <c r="J665" s="220">
        <f t="shared" si="104"/>
        <v>1288.341000000004</v>
      </c>
      <c r="K665" s="519"/>
      <c r="L665" s="231"/>
      <c r="M665" s="760" t="s">
        <v>292</v>
      </c>
      <c r="N665" s="761"/>
      <c r="O665" s="29"/>
      <c r="P665" s="29"/>
      <c r="Q665" s="29"/>
      <c r="R665" s="29"/>
      <c r="S665" s="29"/>
      <c r="T665" s="29"/>
      <c r="U665" s="29"/>
      <c r="V665" s="29"/>
      <c r="W665" s="29"/>
      <c r="X665" s="29"/>
    </row>
    <row r="666" spans="1:24" ht="20.100000000000001" customHeight="1">
      <c r="A666" s="732" t="s">
        <v>270</v>
      </c>
      <c r="B666" s="733"/>
      <c r="C666" s="734" t="s">
        <v>64</v>
      </c>
      <c r="D666" s="734"/>
      <c r="E666" s="734"/>
      <c r="F666" s="223">
        <v>31.01</v>
      </c>
      <c r="G666" s="223">
        <f t="shared" si="102"/>
        <v>31.01</v>
      </c>
      <c r="H666" s="224" t="s">
        <v>29</v>
      </c>
      <c r="I666" s="225">
        <f t="shared" si="103"/>
        <v>20097.668999999994</v>
      </c>
      <c r="J666" s="223">
        <f t="shared" si="104"/>
        <v>1257.3310000000056</v>
      </c>
      <c r="K666" s="518"/>
      <c r="L666" s="233"/>
      <c r="M666" s="760" t="s">
        <v>292</v>
      </c>
      <c r="N666" s="761"/>
      <c r="O666" s="29"/>
      <c r="P666" s="29"/>
      <c r="Q666" s="29"/>
      <c r="R666" s="29"/>
      <c r="S666" s="29"/>
      <c r="T666" s="29"/>
      <c r="U666" s="29"/>
      <c r="V666" s="29"/>
      <c r="W666" s="29"/>
      <c r="X666" s="29"/>
    </row>
    <row r="667" spans="1:24" ht="20.100000000000001" customHeight="1">
      <c r="A667" s="732"/>
      <c r="B667" s="733"/>
      <c r="C667" s="734" t="s">
        <v>64</v>
      </c>
      <c r="D667" s="734"/>
      <c r="E667" s="734"/>
      <c r="F667" s="223">
        <v>31.23</v>
      </c>
      <c r="G667" s="223">
        <f t="shared" si="102"/>
        <v>31.23</v>
      </c>
      <c r="H667" s="224" t="s">
        <v>29</v>
      </c>
      <c r="I667" s="225">
        <f t="shared" si="103"/>
        <v>20128.898999999994</v>
      </c>
      <c r="J667" s="223">
        <f t="shared" si="104"/>
        <v>1226.101000000006</v>
      </c>
      <c r="K667" s="518"/>
      <c r="L667" s="233"/>
      <c r="M667" s="760" t="s">
        <v>292</v>
      </c>
      <c r="N667" s="761"/>
      <c r="O667" s="29"/>
      <c r="P667" s="29"/>
      <c r="Q667" s="29"/>
      <c r="R667" s="29"/>
      <c r="S667" s="29"/>
      <c r="T667" s="29"/>
      <c r="U667" s="29"/>
      <c r="V667" s="29"/>
      <c r="W667" s="29"/>
      <c r="X667" s="29"/>
    </row>
    <row r="668" spans="1:24" ht="20.100000000000001" customHeight="1">
      <c r="A668" s="732"/>
      <c r="B668" s="733"/>
      <c r="C668" s="734" t="s">
        <v>64</v>
      </c>
      <c r="D668" s="734"/>
      <c r="E668" s="734"/>
      <c r="F668" s="223">
        <v>31.19</v>
      </c>
      <c r="G668" s="223">
        <f t="shared" si="102"/>
        <v>31.19</v>
      </c>
      <c r="H668" s="224" t="s">
        <v>29</v>
      </c>
      <c r="I668" s="225">
        <f t="shared" si="103"/>
        <v>20160.088999999993</v>
      </c>
      <c r="J668" s="223">
        <f t="shared" si="104"/>
        <v>1194.9110000000073</v>
      </c>
      <c r="K668" s="518"/>
      <c r="L668" s="233"/>
      <c r="M668" s="760" t="s">
        <v>292</v>
      </c>
      <c r="N668" s="761"/>
      <c r="O668" s="29"/>
      <c r="P668" s="29"/>
      <c r="Q668" s="29"/>
      <c r="R668" s="29"/>
      <c r="S668" s="29"/>
      <c r="T668" s="29"/>
      <c r="U668" s="29"/>
      <c r="V668" s="29"/>
      <c r="W668" s="29"/>
      <c r="X668" s="29"/>
    </row>
    <row r="669" spans="1:24" ht="20.100000000000001" customHeight="1">
      <c r="A669" s="681" t="s">
        <v>271</v>
      </c>
      <c r="B669" s="682"/>
      <c r="C669" s="683" t="s">
        <v>64</v>
      </c>
      <c r="D669" s="683"/>
      <c r="E669" s="683"/>
      <c r="F669" s="220">
        <v>31.22</v>
      </c>
      <c r="G669" s="220">
        <f t="shared" si="102"/>
        <v>31.22</v>
      </c>
      <c r="H669" s="221" t="s">
        <v>29</v>
      </c>
      <c r="I669" s="222">
        <f t="shared" si="103"/>
        <v>20191.308999999994</v>
      </c>
      <c r="J669" s="220">
        <f t="shared" si="104"/>
        <v>1163.6910000000062</v>
      </c>
      <c r="K669" s="519"/>
      <c r="L669" s="231"/>
      <c r="M669" s="760" t="s">
        <v>292</v>
      </c>
      <c r="N669" s="761"/>
      <c r="O669" s="29"/>
      <c r="P669" s="29"/>
      <c r="Q669" s="29"/>
      <c r="R669" s="29"/>
      <c r="S669" s="29"/>
      <c r="T669" s="29"/>
      <c r="U669" s="29"/>
      <c r="V669" s="29"/>
      <c r="W669" s="29"/>
      <c r="X669" s="29"/>
    </row>
    <row r="670" spans="1:24" ht="20.100000000000001" customHeight="1">
      <c r="A670" s="681"/>
      <c r="B670" s="682"/>
      <c r="C670" s="683" t="s">
        <v>64</v>
      </c>
      <c r="D670" s="683"/>
      <c r="E670" s="683"/>
      <c r="F670" s="220">
        <v>31.06</v>
      </c>
      <c r="G670" s="220">
        <f t="shared" si="102"/>
        <v>31.06</v>
      </c>
      <c r="H670" s="221" t="s">
        <v>29</v>
      </c>
      <c r="I670" s="222">
        <f t="shared" si="103"/>
        <v>20222.368999999995</v>
      </c>
      <c r="J670" s="220">
        <f t="shared" si="104"/>
        <v>1132.6310000000049</v>
      </c>
      <c r="K670" s="519"/>
      <c r="L670" s="231"/>
      <c r="M670" s="760" t="s">
        <v>292</v>
      </c>
      <c r="N670" s="761"/>
      <c r="O670" s="29"/>
      <c r="P670" s="29"/>
      <c r="Q670" s="29"/>
      <c r="R670" s="29"/>
      <c r="S670" s="29"/>
      <c r="T670" s="29"/>
      <c r="U670" s="29"/>
      <c r="V670" s="29"/>
      <c r="W670" s="29"/>
      <c r="X670" s="29"/>
    </row>
    <row r="671" spans="1:24" ht="20.100000000000001" customHeight="1">
      <c r="A671" s="681"/>
      <c r="B671" s="682"/>
      <c r="C671" s="683" t="s">
        <v>64</v>
      </c>
      <c r="D671" s="683"/>
      <c r="E671" s="683"/>
      <c r="F671" s="220">
        <v>31.21</v>
      </c>
      <c r="G671" s="220">
        <f t="shared" si="102"/>
        <v>31.21</v>
      </c>
      <c r="H671" s="221" t="s">
        <v>29</v>
      </c>
      <c r="I671" s="222">
        <f t="shared" si="103"/>
        <v>20253.578999999994</v>
      </c>
      <c r="J671" s="220">
        <f t="shared" si="104"/>
        <v>1101.4210000000057</v>
      </c>
      <c r="K671" s="519"/>
      <c r="L671" s="231"/>
      <c r="M671" s="760" t="s">
        <v>292</v>
      </c>
      <c r="N671" s="761"/>
      <c r="O671" s="29"/>
      <c r="P671" s="29"/>
      <c r="Q671" s="29"/>
      <c r="R671" s="29"/>
      <c r="S671" s="29"/>
      <c r="T671" s="29"/>
      <c r="U671" s="29"/>
      <c r="V671" s="29"/>
      <c r="W671" s="29"/>
      <c r="X671" s="29"/>
    </row>
    <row r="672" spans="1:24" ht="20.100000000000001" customHeight="1">
      <c r="A672" s="732" t="s">
        <v>272</v>
      </c>
      <c r="B672" s="733"/>
      <c r="C672" s="734" t="s">
        <v>64</v>
      </c>
      <c r="D672" s="734"/>
      <c r="E672" s="734"/>
      <c r="F672" s="223">
        <v>31.06</v>
      </c>
      <c r="G672" s="223">
        <f t="shared" si="102"/>
        <v>31.06</v>
      </c>
      <c r="H672" s="224" t="s">
        <v>29</v>
      </c>
      <c r="I672" s="225">
        <f t="shared" si="103"/>
        <v>20284.638999999996</v>
      </c>
      <c r="J672" s="223">
        <f t="shared" si="104"/>
        <v>1070.3610000000044</v>
      </c>
      <c r="K672" s="518"/>
      <c r="L672" s="233"/>
      <c r="M672" s="760" t="s">
        <v>292</v>
      </c>
      <c r="N672" s="761"/>
      <c r="O672" s="29"/>
      <c r="P672" s="29"/>
      <c r="Q672" s="29"/>
      <c r="R672" s="29"/>
      <c r="S672" s="29"/>
      <c r="T672" s="29"/>
      <c r="U672" s="29"/>
      <c r="V672" s="29"/>
      <c r="W672" s="29"/>
      <c r="X672" s="29"/>
    </row>
    <row r="673" spans="1:24" ht="20.100000000000001" customHeight="1">
      <c r="A673" s="732"/>
      <c r="B673" s="733"/>
      <c r="C673" s="734" t="s">
        <v>64</v>
      </c>
      <c r="D673" s="734"/>
      <c r="E673" s="734"/>
      <c r="F673" s="223">
        <v>30.77</v>
      </c>
      <c r="G673" s="223">
        <f t="shared" si="102"/>
        <v>30.77</v>
      </c>
      <c r="H673" s="224" t="s">
        <v>29</v>
      </c>
      <c r="I673" s="225">
        <f t="shared" si="103"/>
        <v>20315.408999999996</v>
      </c>
      <c r="J673" s="223">
        <f t="shared" si="104"/>
        <v>1039.591000000004</v>
      </c>
      <c r="K673" s="518"/>
      <c r="L673" s="233"/>
      <c r="M673" s="760" t="s">
        <v>292</v>
      </c>
      <c r="N673" s="761"/>
      <c r="O673" s="29"/>
      <c r="P673" s="29"/>
      <c r="Q673" s="29"/>
      <c r="R673" s="29"/>
      <c r="S673" s="29"/>
      <c r="T673" s="29"/>
      <c r="U673" s="29"/>
      <c r="V673" s="29"/>
      <c r="W673" s="29"/>
      <c r="X673" s="29"/>
    </row>
    <row r="674" spans="1:24" ht="20.100000000000001" customHeight="1">
      <c r="A674" s="732"/>
      <c r="B674" s="733"/>
      <c r="C674" s="734" t="s">
        <v>64</v>
      </c>
      <c r="D674" s="734"/>
      <c r="E674" s="734"/>
      <c r="F674" s="223">
        <v>30.91</v>
      </c>
      <c r="G674" s="223">
        <f t="shared" si="102"/>
        <v>30.91</v>
      </c>
      <c r="H674" s="224" t="s">
        <v>29</v>
      </c>
      <c r="I674" s="225">
        <f t="shared" si="103"/>
        <v>20346.318999999996</v>
      </c>
      <c r="J674" s="223">
        <f t="shared" si="104"/>
        <v>1008.6810000000041</v>
      </c>
      <c r="K674" s="518"/>
      <c r="L674" s="233"/>
      <c r="M674" s="760" t="s">
        <v>292</v>
      </c>
      <c r="N674" s="761"/>
      <c r="O674" s="29"/>
      <c r="P674" s="29"/>
      <c r="Q674" s="29"/>
      <c r="R674" s="29"/>
      <c r="S674" s="29"/>
      <c r="T674" s="29"/>
      <c r="U674" s="29"/>
      <c r="V674" s="29"/>
      <c r="W674" s="29"/>
      <c r="X674" s="29"/>
    </row>
    <row r="675" spans="1:24" ht="20.100000000000001" customHeight="1">
      <c r="A675" s="681" t="s">
        <v>273</v>
      </c>
      <c r="B675" s="682"/>
      <c r="C675" s="683" t="s">
        <v>64</v>
      </c>
      <c r="D675" s="683"/>
      <c r="E675" s="683"/>
      <c r="F675" s="220">
        <v>30.85</v>
      </c>
      <c r="G675" s="220">
        <f t="shared" si="102"/>
        <v>30.85</v>
      </c>
      <c r="H675" s="221" t="s">
        <v>29</v>
      </c>
      <c r="I675" s="222">
        <f t="shared" si="103"/>
        <v>20377.168999999994</v>
      </c>
      <c r="J675" s="220">
        <f t="shared" si="104"/>
        <v>977.83100000000559</v>
      </c>
      <c r="K675" s="519"/>
      <c r="L675" s="231"/>
      <c r="M675" s="760" t="s">
        <v>292</v>
      </c>
      <c r="N675" s="761"/>
      <c r="O675" s="29"/>
      <c r="P675" s="29"/>
      <c r="Q675" s="29"/>
      <c r="R675" s="29"/>
      <c r="S675" s="29"/>
      <c r="T675" s="29"/>
      <c r="U675" s="29"/>
      <c r="V675" s="29"/>
      <c r="W675" s="29"/>
      <c r="X675" s="29"/>
    </row>
    <row r="676" spans="1:24" ht="20.100000000000001" customHeight="1">
      <c r="A676" s="681"/>
      <c r="B676" s="682"/>
      <c r="C676" s="683" t="s">
        <v>64</v>
      </c>
      <c r="D676" s="683"/>
      <c r="E676" s="683"/>
      <c r="F676" s="220">
        <v>30.77</v>
      </c>
      <c r="G676" s="220">
        <f t="shared" si="102"/>
        <v>30.77</v>
      </c>
      <c r="H676" s="221" t="s">
        <v>29</v>
      </c>
      <c r="I676" s="222">
        <f t="shared" si="103"/>
        <v>20407.938999999995</v>
      </c>
      <c r="J676" s="220">
        <f t="shared" si="104"/>
        <v>947.06100000000515</v>
      </c>
      <c r="K676" s="519"/>
      <c r="L676" s="231"/>
      <c r="M676" s="760" t="s">
        <v>292</v>
      </c>
      <c r="N676" s="761"/>
      <c r="O676" s="29"/>
      <c r="P676" s="29"/>
      <c r="Q676" s="29"/>
      <c r="R676" s="29"/>
      <c r="S676" s="29"/>
      <c r="T676" s="29"/>
      <c r="U676" s="29"/>
      <c r="V676" s="29"/>
      <c r="W676" s="29"/>
      <c r="X676" s="29"/>
    </row>
    <row r="677" spans="1:24" ht="20.100000000000001" customHeight="1">
      <c r="A677" s="681"/>
      <c r="B677" s="682"/>
      <c r="C677" s="683" t="s">
        <v>64</v>
      </c>
      <c r="D677" s="683"/>
      <c r="E677" s="683"/>
      <c r="F677" s="220">
        <v>31.1</v>
      </c>
      <c r="G677" s="220">
        <f t="shared" si="102"/>
        <v>31.1</v>
      </c>
      <c r="H677" s="221" t="s">
        <v>29</v>
      </c>
      <c r="I677" s="222">
        <f t="shared" si="103"/>
        <v>20439.038999999993</v>
      </c>
      <c r="J677" s="220">
        <f t="shared" si="104"/>
        <v>915.96100000000661</v>
      </c>
      <c r="K677" s="519"/>
      <c r="L677" s="231"/>
      <c r="M677" s="760" t="s">
        <v>292</v>
      </c>
      <c r="N677" s="761"/>
      <c r="O677" s="29"/>
      <c r="P677" s="29"/>
      <c r="Q677" s="29"/>
      <c r="R677" s="29"/>
      <c r="S677" s="29"/>
      <c r="T677" s="29"/>
      <c r="U677" s="29"/>
      <c r="V677" s="29"/>
      <c r="W677" s="29"/>
      <c r="X677" s="29"/>
    </row>
    <row r="678" spans="1:24" ht="20.100000000000001" customHeight="1">
      <c r="A678" s="732" t="s">
        <v>274</v>
      </c>
      <c r="B678" s="733"/>
      <c r="C678" s="734" t="s">
        <v>64</v>
      </c>
      <c r="D678" s="734"/>
      <c r="E678" s="734"/>
      <c r="F678" s="223">
        <v>30.78</v>
      </c>
      <c r="G678" s="223">
        <f t="shared" si="102"/>
        <v>30.78</v>
      </c>
      <c r="H678" s="224" t="s">
        <v>29</v>
      </c>
      <c r="I678" s="225">
        <f t="shared" si="103"/>
        <v>20469.818999999992</v>
      </c>
      <c r="J678" s="223">
        <f t="shared" si="104"/>
        <v>885.18100000000777</v>
      </c>
      <c r="K678" s="518"/>
      <c r="L678" s="233"/>
      <c r="M678" s="760" t="s">
        <v>292</v>
      </c>
      <c r="N678" s="761"/>
      <c r="O678" s="29"/>
      <c r="P678" s="29"/>
      <c r="Q678" s="29"/>
      <c r="R678" s="29"/>
      <c r="S678" s="29"/>
      <c r="T678" s="29"/>
      <c r="U678" s="29"/>
      <c r="V678" s="29"/>
      <c r="W678" s="29"/>
      <c r="X678" s="29"/>
    </row>
    <row r="679" spans="1:24" ht="20.100000000000001" customHeight="1">
      <c r="A679" s="732"/>
      <c r="B679" s="733"/>
      <c r="C679" s="734" t="s">
        <v>64</v>
      </c>
      <c r="D679" s="734"/>
      <c r="E679" s="734"/>
      <c r="F679" s="223">
        <v>31.11</v>
      </c>
      <c r="G679" s="223">
        <f t="shared" si="102"/>
        <v>31.11</v>
      </c>
      <c r="H679" s="224" t="s">
        <v>29</v>
      </c>
      <c r="I679" s="225">
        <f t="shared" si="103"/>
        <v>20500.928999999993</v>
      </c>
      <c r="J679" s="223">
        <f t="shared" si="104"/>
        <v>854.07100000000719</v>
      </c>
      <c r="K679" s="518"/>
      <c r="L679" s="233"/>
      <c r="M679" s="760" t="s">
        <v>292</v>
      </c>
      <c r="N679" s="761"/>
      <c r="O679" s="29"/>
      <c r="P679" s="29"/>
      <c r="Q679" s="29"/>
      <c r="R679" s="29"/>
      <c r="S679" s="29"/>
      <c r="T679" s="29"/>
      <c r="U679" s="29"/>
      <c r="V679" s="29"/>
      <c r="W679" s="29"/>
      <c r="X679" s="29"/>
    </row>
    <row r="680" spans="1:24" ht="20.100000000000001" customHeight="1">
      <c r="A680" s="732"/>
      <c r="B680" s="733"/>
      <c r="C680" s="734" t="s">
        <v>64</v>
      </c>
      <c r="D680" s="734"/>
      <c r="E680" s="734"/>
      <c r="F680" s="223">
        <v>31.24</v>
      </c>
      <c r="G680" s="223">
        <f t="shared" si="102"/>
        <v>31.24</v>
      </c>
      <c r="H680" s="224" t="s">
        <v>29</v>
      </c>
      <c r="I680" s="225">
        <f t="shared" si="103"/>
        <v>20532.168999999994</v>
      </c>
      <c r="J680" s="223">
        <f t="shared" si="104"/>
        <v>822.83100000000559</v>
      </c>
      <c r="K680" s="518"/>
      <c r="L680" s="233"/>
      <c r="M680" s="760" t="s">
        <v>292</v>
      </c>
      <c r="N680" s="761"/>
      <c r="O680" s="29"/>
      <c r="P680" s="29"/>
      <c r="Q680" s="29"/>
      <c r="R680" s="29"/>
      <c r="S680" s="29"/>
      <c r="T680" s="29"/>
      <c r="U680" s="29"/>
      <c r="V680" s="29"/>
      <c r="W680" s="29"/>
      <c r="X680" s="29"/>
    </row>
    <row r="681" spans="1:24" ht="20.100000000000001" customHeight="1">
      <c r="A681" s="681" t="s">
        <v>275</v>
      </c>
      <c r="B681" s="682"/>
      <c r="C681" s="683" t="s">
        <v>64</v>
      </c>
      <c r="D681" s="683"/>
      <c r="E681" s="683"/>
      <c r="F681" s="220">
        <v>30.96</v>
      </c>
      <c r="G681" s="220">
        <f t="shared" si="102"/>
        <v>30.96</v>
      </c>
      <c r="H681" s="221" t="s">
        <v>29</v>
      </c>
      <c r="I681" s="222">
        <f t="shared" si="103"/>
        <v>20563.128999999994</v>
      </c>
      <c r="J681" s="220">
        <f t="shared" si="104"/>
        <v>791.87100000000646</v>
      </c>
      <c r="K681" s="519"/>
      <c r="L681" s="231"/>
      <c r="M681" s="760" t="s">
        <v>292</v>
      </c>
      <c r="N681" s="761"/>
      <c r="O681" s="29"/>
      <c r="P681" s="29"/>
      <c r="Q681" s="29"/>
      <c r="R681" s="29"/>
      <c r="S681" s="29"/>
      <c r="T681" s="29"/>
      <c r="U681" s="29"/>
      <c r="V681" s="29"/>
      <c r="W681" s="29"/>
      <c r="X681" s="29"/>
    </row>
    <row r="682" spans="1:24" ht="20.100000000000001" customHeight="1">
      <c r="A682" s="681"/>
      <c r="B682" s="682"/>
      <c r="C682" s="683" t="s">
        <v>64</v>
      </c>
      <c r="D682" s="683"/>
      <c r="E682" s="683"/>
      <c r="F682" s="220">
        <v>31.13</v>
      </c>
      <c r="G682" s="220">
        <f t="shared" si="102"/>
        <v>31.13</v>
      </c>
      <c r="H682" s="221" t="s">
        <v>29</v>
      </c>
      <c r="I682" s="222">
        <f t="shared" si="103"/>
        <v>20594.258999999995</v>
      </c>
      <c r="J682" s="220">
        <f t="shared" si="104"/>
        <v>760.74100000000544</v>
      </c>
      <c r="K682" s="519"/>
      <c r="L682" s="231"/>
      <c r="M682" s="760" t="s">
        <v>292</v>
      </c>
      <c r="N682" s="761"/>
      <c r="O682" s="29"/>
      <c r="P682" s="29"/>
      <c r="Q682" s="29"/>
      <c r="R682" s="29"/>
      <c r="S682" s="29"/>
      <c r="T682" s="29"/>
      <c r="U682" s="29"/>
      <c r="V682" s="29"/>
      <c r="W682" s="29"/>
      <c r="X682" s="29"/>
    </row>
    <row r="683" spans="1:24" ht="20.100000000000001" customHeight="1">
      <c r="A683" s="681"/>
      <c r="B683" s="682"/>
      <c r="C683" s="683" t="s">
        <v>64</v>
      </c>
      <c r="D683" s="683"/>
      <c r="E683" s="683"/>
      <c r="F683" s="220">
        <v>31.12</v>
      </c>
      <c r="G683" s="220">
        <f t="shared" si="102"/>
        <v>31.12</v>
      </c>
      <c r="H683" s="221" t="s">
        <v>29</v>
      </c>
      <c r="I683" s="222">
        <f t="shared" si="103"/>
        <v>20625.378999999994</v>
      </c>
      <c r="J683" s="220">
        <f t="shared" si="104"/>
        <v>729.62100000000646</v>
      </c>
      <c r="K683" s="519"/>
      <c r="L683" s="231"/>
      <c r="M683" s="760" t="s">
        <v>292</v>
      </c>
      <c r="N683" s="761"/>
      <c r="O683" s="29"/>
      <c r="P683" s="29"/>
      <c r="Q683" s="29"/>
      <c r="R683" s="29"/>
      <c r="S683" s="29"/>
      <c r="T683" s="29"/>
      <c r="U683" s="29"/>
      <c r="V683" s="29"/>
      <c r="W683" s="29"/>
      <c r="X683" s="29"/>
    </row>
    <row r="684" spans="1:24" ht="20.100000000000001" customHeight="1">
      <c r="A684" s="732" t="s">
        <v>276</v>
      </c>
      <c r="B684" s="733"/>
      <c r="C684" s="734" t="s">
        <v>64</v>
      </c>
      <c r="D684" s="734"/>
      <c r="E684" s="734"/>
      <c r="F684" s="223">
        <v>31.2</v>
      </c>
      <c r="G684" s="223">
        <f t="shared" si="102"/>
        <v>31.2</v>
      </c>
      <c r="H684" s="224" t="s">
        <v>29</v>
      </c>
      <c r="I684" s="225">
        <f t="shared" si="103"/>
        <v>20656.578999999994</v>
      </c>
      <c r="J684" s="223">
        <f t="shared" si="104"/>
        <v>698.42100000000573</v>
      </c>
      <c r="K684" s="518"/>
      <c r="L684" s="233"/>
      <c r="M684" s="760" t="s">
        <v>292</v>
      </c>
      <c r="N684" s="761"/>
      <c r="O684" s="29"/>
      <c r="P684" s="29"/>
      <c r="Q684" s="29"/>
      <c r="R684" s="29"/>
      <c r="S684" s="29"/>
      <c r="T684" s="29"/>
      <c r="U684" s="29"/>
      <c r="V684" s="29"/>
      <c r="W684" s="29"/>
      <c r="X684" s="29"/>
    </row>
    <row r="685" spans="1:24" ht="20.100000000000001" customHeight="1">
      <c r="A685" s="732"/>
      <c r="B685" s="733"/>
      <c r="C685" s="734" t="s">
        <v>64</v>
      </c>
      <c r="D685" s="734"/>
      <c r="E685" s="734"/>
      <c r="F685" s="223">
        <v>31.08</v>
      </c>
      <c r="G685" s="223">
        <f t="shared" si="102"/>
        <v>31.08</v>
      </c>
      <c r="H685" s="224" t="s">
        <v>29</v>
      </c>
      <c r="I685" s="225">
        <f t="shared" si="103"/>
        <v>20687.658999999996</v>
      </c>
      <c r="J685" s="223">
        <f t="shared" si="104"/>
        <v>667.34100000000399</v>
      </c>
      <c r="K685" s="518"/>
      <c r="L685" s="233"/>
      <c r="M685" s="760" t="s">
        <v>292</v>
      </c>
      <c r="N685" s="761"/>
      <c r="O685" s="29"/>
      <c r="P685" s="29"/>
      <c r="Q685" s="29"/>
      <c r="R685" s="29"/>
      <c r="S685" s="29"/>
      <c r="T685" s="29"/>
      <c r="U685" s="29"/>
      <c r="V685" s="29"/>
      <c r="W685" s="29"/>
      <c r="X685" s="29"/>
    </row>
    <row r="686" spans="1:24" ht="20.100000000000001" customHeight="1">
      <c r="A686" s="732"/>
      <c r="B686" s="733"/>
      <c r="C686" s="734" t="s">
        <v>64</v>
      </c>
      <c r="D686" s="734"/>
      <c r="E686" s="734"/>
      <c r="F686" s="223">
        <v>30.94</v>
      </c>
      <c r="G686" s="223">
        <f t="shared" si="102"/>
        <v>30.94</v>
      </c>
      <c r="H686" s="224" t="s">
        <v>29</v>
      </c>
      <c r="I686" s="225">
        <f t="shared" si="103"/>
        <v>20718.598999999995</v>
      </c>
      <c r="J686" s="223">
        <f t="shared" si="104"/>
        <v>636.4010000000053</v>
      </c>
      <c r="K686" s="518"/>
      <c r="L686" s="233"/>
      <c r="M686" s="760" t="s">
        <v>292</v>
      </c>
      <c r="N686" s="761"/>
      <c r="O686" s="29"/>
      <c r="P686" s="29"/>
      <c r="Q686" s="29"/>
      <c r="R686" s="29"/>
      <c r="S686" s="29"/>
      <c r="T686" s="29"/>
      <c r="U686" s="29"/>
      <c r="V686" s="29"/>
      <c r="W686" s="29"/>
      <c r="X686" s="29"/>
    </row>
    <row r="687" spans="1:24" ht="20.100000000000001" customHeight="1">
      <c r="A687" s="681" t="s">
        <v>277</v>
      </c>
      <c r="B687" s="682"/>
      <c r="C687" s="683" t="s">
        <v>64</v>
      </c>
      <c r="D687" s="683"/>
      <c r="E687" s="683"/>
      <c r="F687" s="220">
        <v>31.21</v>
      </c>
      <c r="G687" s="220">
        <f t="shared" si="102"/>
        <v>31.21</v>
      </c>
      <c r="H687" s="221" t="s">
        <v>29</v>
      </c>
      <c r="I687" s="222">
        <f t="shared" si="103"/>
        <v>20749.808999999994</v>
      </c>
      <c r="J687" s="220">
        <f t="shared" si="104"/>
        <v>605.19100000000617</v>
      </c>
      <c r="K687" s="519"/>
      <c r="L687" s="231"/>
      <c r="M687" s="760" t="s">
        <v>292</v>
      </c>
      <c r="N687" s="761"/>
      <c r="O687" s="29"/>
      <c r="P687" s="29"/>
      <c r="Q687" s="29"/>
      <c r="R687" s="29"/>
      <c r="S687" s="29"/>
      <c r="T687" s="29"/>
      <c r="U687" s="29"/>
      <c r="V687" s="29"/>
      <c r="W687" s="29"/>
      <c r="X687" s="29"/>
    </row>
    <row r="688" spans="1:24" ht="20.100000000000001" customHeight="1">
      <c r="A688" s="681"/>
      <c r="B688" s="682"/>
      <c r="C688" s="683" t="s">
        <v>64</v>
      </c>
      <c r="D688" s="683"/>
      <c r="E688" s="683"/>
      <c r="F688" s="220">
        <v>30.8</v>
      </c>
      <c r="G688" s="220">
        <f t="shared" si="102"/>
        <v>30.8</v>
      </c>
      <c r="H688" s="221" t="s">
        <v>29</v>
      </c>
      <c r="I688" s="222">
        <f t="shared" si="103"/>
        <v>20780.608999999993</v>
      </c>
      <c r="J688" s="220">
        <f t="shared" si="104"/>
        <v>574.3910000000069</v>
      </c>
      <c r="K688" s="519"/>
      <c r="L688" s="231"/>
      <c r="M688" s="760" t="s">
        <v>292</v>
      </c>
      <c r="N688" s="761"/>
      <c r="O688" s="29"/>
      <c r="P688" s="29"/>
      <c r="Q688" s="29"/>
      <c r="R688" s="29"/>
      <c r="S688" s="29"/>
      <c r="T688" s="29"/>
      <c r="U688" s="29"/>
      <c r="V688" s="29"/>
      <c r="W688" s="29"/>
      <c r="X688" s="29"/>
    </row>
    <row r="689" spans="1:24" ht="20.100000000000001" customHeight="1">
      <c r="A689" s="681"/>
      <c r="B689" s="682"/>
      <c r="C689" s="683" t="s">
        <v>64</v>
      </c>
      <c r="D689" s="683"/>
      <c r="E689" s="683"/>
      <c r="F689" s="220">
        <v>31</v>
      </c>
      <c r="G689" s="220">
        <f t="shared" si="102"/>
        <v>31</v>
      </c>
      <c r="H689" s="221" t="s">
        <v>29</v>
      </c>
      <c r="I689" s="222">
        <f t="shared" si="103"/>
        <v>20811.608999999993</v>
      </c>
      <c r="J689" s="220">
        <f t="shared" si="104"/>
        <v>543.3910000000069</v>
      </c>
      <c r="K689" s="519"/>
      <c r="L689" s="231"/>
      <c r="M689" s="760" t="s">
        <v>292</v>
      </c>
      <c r="N689" s="761"/>
      <c r="O689" s="29"/>
      <c r="P689" s="29"/>
      <c r="Q689" s="29"/>
      <c r="R689" s="29"/>
      <c r="S689" s="29"/>
      <c r="T689" s="29"/>
      <c r="U689" s="29"/>
      <c r="V689" s="29"/>
      <c r="W689" s="29"/>
      <c r="X689" s="29"/>
    </row>
    <row r="690" spans="1:24" ht="20.100000000000001" customHeight="1">
      <c r="A690" s="732" t="s">
        <v>278</v>
      </c>
      <c r="B690" s="733"/>
      <c r="C690" s="734" t="s">
        <v>64</v>
      </c>
      <c r="D690" s="734"/>
      <c r="E690" s="734"/>
      <c r="F690" s="223">
        <v>30.94</v>
      </c>
      <c r="G690" s="223">
        <f t="shared" si="102"/>
        <v>30.94</v>
      </c>
      <c r="H690" s="224" t="s">
        <v>29</v>
      </c>
      <c r="I690" s="225">
        <f t="shared" si="103"/>
        <v>20842.548999999992</v>
      </c>
      <c r="J690" s="223">
        <f t="shared" si="104"/>
        <v>512.45100000000821</v>
      </c>
      <c r="K690" s="518"/>
      <c r="L690" s="233"/>
      <c r="M690" s="760" t="s">
        <v>292</v>
      </c>
      <c r="N690" s="761"/>
      <c r="O690" s="29"/>
      <c r="P690" s="29"/>
      <c r="Q690" s="29"/>
      <c r="R690" s="29"/>
      <c r="S690" s="29"/>
      <c r="T690" s="29"/>
      <c r="U690" s="29"/>
      <c r="V690" s="29"/>
      <c r="W690" s="29"/>
      <c r="X690" s="29"/>
    </row>
    <row r="691" spans="1:24" ht="20.100000000000001" customHeight="1">
      <c r="A691" s="732"/>
      <c r="B691" s="733"/>
      <c r="C691" s="734" t="s">
        <v>64</v>
      </c>
      <c r="D691" s="734"/>
      <c r="E691" s="734"/>
      <c r="F691" s="223">
        <v>31.13</v>
      </c>
      <c r="G691" s="223">
        <f t="shared" si="102"/>
        <v>31.13</v>
      </c>
      <c r="H691" s="224" t="s">
        <v>29</v>
      </c>
      <c r="I691" s="225">
        <f t="shared" si="103"/>
        <v>20873.678999999993</v>
      </c>
      <c r="J691" s="223">
        <f t="shared" si="104"/>
        <v>481.32100000000719</v>
      </c>
      <c r="K691" s="518"/>
      <c r="L691" s="233"/>
      <c r="M691" s="760" t="s">
        <v>292</v>
      </c>
      <c r="N691" s="761"/>
      <c r="O691" s="29"/>
      <c r="P691" s="29"/>
      <c r="Q691" s="29"/>
      <c r="R691" s="29"/>
      <c r="S691" s="29"/>
      <c r="T691" s="29"/>
      <c r="U691" s="29"/>
      <c r="V691" s="29"/>
      <c r="W691" s="29"/>
      <c r="X691" s="29"/>
    </row>
    <row r="692" spans="1:24" ht="20.100000000000001" customHeight="1">
      <c r="A692" s="732"/>
      <c r="B692" s="733"/>
      <c r="C692" s="734" t="s">
        <v>64</v>
      </c>
      <c r="D692" s="734"/>
      <c r="E692" s="734"/>
      <c r="F692" s="223">
        <v>31.17</v>
      </c>
      <c r="G692" s="223">
        <f t="shared" si="102"/>
        <v>31.17</v>
      </c>
      <c r="H692" s="224" t="s">
        <v>29</v>
      </c>
      <c r="I692" s="225">
        <f t="shared" si="103"/>
        <v>20904.848999999991</v>
      </c>
      <c r="J692" s="223">
        <f t="shared" si="104"/>
        <v>450.15100000000893</v>
      </c>
      <c r="K692" s="518"/>
      <c r="L692" s="233"/>
      <c r="M692" s="760" t="s">
        <v>292</v>
      </c>
      <c r="N692" s="761"/>
      <c r="O692" s="29"/>
      <c r="P692" s="29"/>
      <c r="Q692" s="29"/>
      <c r="R692" s="29"/>
      <c r="S692" s="29"/>
      <c r="T692" s="29"/>
      <c r="U692" s="29"/>
      <c r="V692" s="29"/>
      <c r="W692" s="29"/>
      <c r="X692" s="29"/>
    </row>
    <row r="693" spans="1:24" ht="20.100000000000001" customHeight="1">
      <c r="A693" s="681" t="s">
        <v>279</v>
      </c>
      <c r="B693" s="682"/>
      <c r="C693" s="683" t="s">
        <v>64</v>
      </c>
      <c r="D693" s="683"/>
      <c r="E693" s="683"/>
      <c r="F693" s="220">
        <v>31.14</v>
      </c>
      <c r="G693" s="220">
        <f t="shared" si="102"/>
        <v>31.14</v>
      </c>
      <c r="H693" s="221" t="s">
        <v>29</v>
      </c>
      <c r="I693" s="222">
        <f t="shared" si="103"/>
        <v>20935.98899999999</v>
      </c>
      <c r="J693" s="220">
        <f t="shared" si="104"/>
        <v>419.01100000000952</v>
      </c>
      <c r="K693" s="519"/>
      <c r="L693" s="231"/>
      <c r="M693" s="760" t="s">
        <v>292</v>
      </c>
      <c r="N693" s="761"/>
      <c r="O693" s="29"/>
      <c r="P693" s="29"/>
      <c r="Q693" s="29"/>
      <c r="R693" s="29"/>
      <c r="S693" s="29"/>
      <c r="T693" s="29"/>
      <c r="U693" s="29"/>
      <c r="V693" s="29"/>
      <c r="W693" s="29"/>
      <c r="X693" s="29"/>
    </row>
    <row r="694" spans="1:24" ht="20.100000000000001" customHeight="1">
      <c r="A694" s="681"/>
      <c r="B694" s="682"/>
      <c r="C694" s="683" t="s">
        <v>64</v>
      </c>
      <c r="D694" s="683"/>
      <c r="E694" s="683"/>
      <c r="F694" s="220">
        <v>30.96</v>
      </c>
      <c r="G694" s="220">
        <f t="shared" si="102"/>
        <v>30.96</v>
      </c>
      <c r="H694" s="221" t="s">
        <v>29</v>
      </c>
      <c r="I694" s="222">
        <f t="shared" si="103"/>
        <v>20966.94899999999</v>
      </c>
      <c r="J694" s="220">
        <f t="shared" si="104"/>
        <v>388.05100000001039</v>
      </c>
      <c r="K694" s="519"/>
      <c r="L694" s="231"/>
      <c r="M694" s="760" t="s">
        <v>292</v>
      </c>
      <c r="N694" s="761"/>
      <c r="O694" s="29"/>
      <c r="P694" s="29"/>
      <c r="Q694" s="29"/>
      <c r="R694" s="29"/>
      <c r="S694" s="29"/>
      <c r="T694" s="29"/>
      <c r="U694" s="29"/>
      <c r="V694" s="29"/>
      <c r="W694" s="29"/>
      <c r="X694" s="29"/>
    </row>
    <row r="695" spans="1:24" ht="20.100000000000001" customHeight="1">
      <c r="A695" s="681"/>
      <c r="B695" s="682"/>
      <c r="C695" s="683" t="s">
        <v>64</v>
      </c>
      <c r="D695" s="683"/>
      <c r="E695" s="683"/>
      <c r="F695" s="220">
        <v>30.94</v>
      </c>
      <c r="G695" s="220">
        <f t="shared" si="102"/>
        <v>30.94</v>
      </c>
      <c r="H695" s="221" t="s">
        <v>29</v>
      </c>
      <c r="I695" s="222">
        <f t="shared" si="103"/>
        <v>20997.888999999988</v>
      </c>
      <c r="J695" s="220">
        <f t="shared" si="104"/>
        <v>357.1110000000117</v>
      </c>
      <c r="K695" s="519"/>
      <c r="L695" s="231"/>
      <c r="M695" s="760" t="s">
        <v>292</v>
      </c>
      <c r="N695" s="761"/>
      <c r="O695" s="29"/>
      <c r="P695" s="29"/>
      <c r="Q695" s="29"/>
      <c r="R695" s="29"/>
      <c r="S695" s="29"/>
      <c r="T695" s="29"/>
      <c r="U695" s="29"/>
      <c r="V695" s="29"/>
      <c r="W695" s="29"/>
      <c r="X695" s="29"/>
    </row>
    <row r="696" spans="1:24" ht="20.100000000000001" customHeight="1">
      <c r="A696" s="732" t="s">
        <v>280</v>
      </c>
      <c r="B696" s="733"/>
      <c r="C696" s="734" t="s">
        <v>64</v>
      </c>
      <c r="D696" s="734"/>
      <c r="E696" s="734"/>
      <c r="F696" s="223">
        <v>31.81</v>
      </c>
      <c r="G696" s="223">
        <f t="shared" si="102"/>
        <v>31.81</v>
      </c>
      <c r="H696" s="224" t="s">
        <v>29</v>
      </c>
      <c r="I696" s="225">
        <f t="shared" si="103"/>
        <v>21029.69899999999</v>
      </c>
      <c r="J696" s="223">
        <f t="shared" si="104"/>
        <v>325.30100000001039</v>
      </c>
      <c r="K696" s="518"/>
      <c r="L696" s="233"/>
      <c r="M696" s="760" t="s">
        <v>292</v>
      </c>
      <c r="N696" s="761"/>
      <c r="O696" s="29"/>
      <c r="P696" s="29"/>
      <c r="Q696" s="29"/>
      <c r="R696" s="29"/>
      <c r="S696" s="29"/>
      <c r="T696" s="29"/>
      <c r="U696" s="29"/>
      <c r="V696" s="29"/>
      <c r="W696" s="29"/>
      <c r="X696" s="29"/>
    </row>
    <row r="697" spans="1:24" ht="20.100000000000001" customHeight="1">
      <c r="A697" s="732"/>
      <c r="B697" s="733"/>
      <c r="C697" s="734" t="s">
        <v>64</v>
      </c>
      <c r="D697" s="734"/>
      <c r="E697" s="734"/>
      <c r="F697" s="223">
        <v>30.78</v>
      </c>
      <c r="G697" s="223">
        <f t="shared" si="102"/>
        <v>30.78</v>
      </c>
      <c r="H697" s="224" t="s">
        <v>29</v>
      </c>
      <c r="I697" s="225">
        <f t="shared" si="103"/>
        <v>21060.478999999988</v>
      </c>
      <c r="J697" s="223">
        <f t="shared" si="104"/>
        <v>294.52100000001155</v>
      </c>
      <c r="K697" s="518"/>
      <c r="L697" s="233"/>
      <c r="M697" s="760" t="s">
        <v>292</v>
      </c>
      <c r="N697" s="761"/>
      <c r="O697" s="29"/>
      <c r="P697" s="29"/>
      <c r="Q697" s="29"/>
      <c r="R697" s="29"/>
      <c r="S697" s="29"/>
      <c r="T697" s="29"/>
      <c r="U697" s="29"/>
      <c r="V697" s="29"/>
      <c r="W697" s="29"/>
      <c r="X697" s="29"/>
    </row>
    <row r="698" spans="1:24" ht="20.100000000000001" customHeight="1">
      <c r="A698" s="732"/>
      <c r="B698" s="733"/>
      <c r="C698" s="734" t="s">
        <v>64</v>
      </c>
      <c r="D698" s="734"/>
      <c r="E698" s="734"/>
      <c r="F698" s="223">
        <v>30.84</v>
      </c>
      <c r="G698" s="223">
        <f t="shared" si="102"/>
        <v>30.84</v>
      </c>
      <c r="H698" s="224" t="s">
        <v>29</v>
      </c>
      <c r="I698" s="225">
        <f t="shared" si="103"/>
        <v>21091.318999999989</v>
      </c>
      <c r="J698" s="223">
        <f t="shared" si="104"/>
        <v>263.68100000001141</v>
      </c>
      <c r="K698" s="518"/>
      <c r="L698" s="233"/>
      <c r="M698" s="760" t="s">
        <v>292</v>
      </c>
      <c r="N698" s="761"/>
      <c r="O698" s="29"/>
      <c r="P698" s="29"/>
      <c r="Q698" s="29"/>
      <c r="R698" s="29"/>
      <c r="S698" s="29"/>
      <c r="T698" s="29"/>
      <c r="U698" s="29"/>
      <c r="V698" s="29"/>
      <c r="W698" s="29"/>
      <c r="X698" s="29"/>
    </row>
    <row r="699" spans="1:24" ht="20.100000000000001" customHeight="1">
      <c r="A699" s="681" t="s">
        <v>281</v>
      </c>
      <c r="B699" s="682"/>
      <c r="C699" s="683" t="s">
        <v>64</v>
      </c>
      <c r="D699" s="683"/>
      <c r="E699" s="683"/>
      <c r="F699" s="220">
        <v>31.22</v>
      </c>
      <c r="G699" s="220">
        <f t="shared" ref="G699:G725" si="105">F699</f>
        <v>31.22</v>
      </c>
      <c r="H699" s="221" t="s">
        <v>29</v>
      </c>
      <c r="I699" s="222">
        <f t="shared" ref="I699:I716" si="106">IF(H699="IN",I698+G699,I698)</f>
        <v>21122.53899999999</v>
      </c>
      <c r="J699" s="220">
        <f t="shared" ref="J699:J725" si="107">IF(I699="","",$M$10-I699)</f>
        <v>232.46100000001024</v>
      </c>
      <c r="K699" s="519"/>
      <c r="L699" s="231"/>
      <c r="M699" s="339" t="s">
        <v>287</v>
      </c>
      <c r="N699" s="196">
        <f>M10</f>
        <v>21355</v>
      </c>
      <c r="O699" s="29"/>
      <c r="P699" s="29"/>
      <c r="Q699" s="29"/>
      <c r="R699" s="29"/>
      <c r="S699" s="29"/>
      <c r="T699" s="29"/>
      <c r="U699" s="29"/>
      <c r="V699" s="29"/>
      <c r="W699" s="29"/>
      <c r="X699" s="29"/>
    </row>
    <row r="700" spans="1:24" ht="20.100000000000001" customHeight="1">
      <c r="A700" s="681"/>
      <c r="B700" s="682"/>
      <c r="C700" s="683" t="s">
        <v>64</v>
      </c>
      <c r="D700" s="683"/>
      <c r="E700" s="683"/>
      <c r="F700" s="220">
        <v>31.13</v>
      </c>
      <c r="G700" s="220">
        <f t="shared" si="105"/>
        <v>31.13</v>
      </c>
      <c r="H700" s="221" t="s">
        <v>29</v>
      </c>
      <c r="I700" s="222">
        <f t="shared" si="106"/>
        <v>21153.668999999991</v>
      </c>
      <c r="J700" s="220">
        <f t="shared" si="107"/>
        <v>201.33100000000923</v>
      </c>
      <c r="K700" s="519"/>
      <c r="L700" s="231"/>
      <c r="M700" s="340" t="s">
        <v>114</v>
      </c>
      <c r="N700" s="341">
        <f>M11</f>
        <v>21365</v>
      </c>
      <c r="O700" s="29"/>
      <c r="P700" s="29"/>
      <c r="Q700" s="29"/>
      <c r="R700" s="29"/>
      <c r="S700" s="29"/>
      <c r="T700" s="29"/>
      <c r="U700" s="29"/>
      <c r="V700" s="29"/>
      <c r="W700" s="29"/>
      <c r="X700" s="29"/>
    </row>
    <row r="701" spans="1:24" ht="20.100000000000001" customHeight="1">
      <c r="A701" s="681"/>
      <c r="B701" s="682"/>
      <c r="C701" s="683" t="s">
        <v>64</v>
      </c>
      <c r="D701" s="683"/>
      <c r="E701" s="683"/>
      <c r="F701" s="220">
        <v>31.09</v>
      </c>
      <c r="G701" s="220">
        <f t="shared" si="105"/>
        <v>31.09</v>
      </c>
      <c r="H701" s="221" t="s">
        <v>29</v>
      </c>
      <c r="I701" s="222">
        <f t="shared" si="106"/>
        <v>21184.758999999991</v>
      </c>
      <c r="J701" s="220">
        <f t="shared" si="107"/>
        <v>170.24100000000908</v>
      </c>
      <c r="K701" s="519"/>
      <c r="L701" s="231"/>
      <c r="M701" s="758"/>
      <c r="N701" s="759"/>
      <c r="O701" s="29"/>
      <c r="P701" s="29"/>
      <c r="Q701" s="29"/>
      <c r="R701" s="29"/>
      <c r="S701" s="29"/>
      <c r="T701" s="29"/>
      <c r="U701" s="29"/>
      <c r="V701" s="29"/>
      <c r="W701" s="29"/>
      <c r="X701" s="29"/>
    </row>
    <row r="702" spans="1:24" ht="20.100000000000001" customHeight="1">
      <c r="A702" s="732" t="s">
        <v>282</v>
      </c>
      <c r="B702" s="733"/>
      <c r="C702" s="734" t="s">
        <v>64</v>
      </c>
      <c r="D702" s="734"/>
      <c r="E702" s="734"/>
      <c r="F702" s="223">
        <v>31.15</v>
      </c>
      <c r="G702" s="223">
        <f t="shared" si="105"/>
        <v>31.15</v>
      </c>
      <c r="H702" s="224" t="s">
        <v>29</v>
      </c>
      <c r="I702" s="225">
        <f t="shared" si="106"/>
        <v>21215.908999999992</v>
      </c>
      <c r="J702" s="223">
        <f t="shared" si="107"/>
        <v>139.09100000000763</v>
      </c>
      <c r="K702" s="518"/>
      <c r="L702" s="233"/>
      <c r="M702" s="758"/>
      <c r="N702" s="759"/>
      <c r="O702" s="29"/>
      <c r="P702" s="29"/>
      <c r="Q702" s="29"/>
      <c r="R702" s="29"/>
      <c r="S702" s="29"/>
      <c r="T702" s="29"/>
      <c r="U702" s="29"/>
      <c r="V702" s="29"/>
      <c r="W702" s="29"/>
      <c r="X702" s="29"/>
    </row>
    <row r="703" spans="1:24" ht="20.100000000000001" customHeight="1">
      <c r="A703" s="732"/>
      <c r="B703" s="733"/>
      <c r="C703" s="734" t="s">
        <v>64</v>
      </c>
      <c r="D703" s="734"/>
      <c r="E703" s="734"/>
      <c r="F703" s="223">
        <v>31.02</v>
      </c>
      <c r="G703" s="223">
        <f t="shared" si="105"/>
        <v>31.02</v>
      </c>
      <c r="H703" s="224" t="s">
        <v>29</v>
      </c>
      <c r="I703" s="225">
        <f t="shared" si="106"/>
        <v>21246.928999999993</v>
      </c>
      <c r="J703" s="223">
        <f t="shared" si="107"/>
        <v>108.07100000000719</v>
      </c>
      <c r="K703" s="518"/>
      <c r="L703" s="233"/>
      <c r="M703" s="762" t="s">
        <v>343</v>
      </c>
      <c r="N703" s="763"/>
      <c r="O703" s="29"/>
      <c r="P703" s="29"/>
      <c r="Q703" s="29"/>
      <c r="R703" s="29"/>
      <c r="S703" s="29"/>
      <c r="T703" s="29"/>
      <c r="U703" s="29"/>
      <c r="V703" s="29"/>
      <c r="W703" s="29"/>
      <c r="X703" s="29"/>
    </row>
    <row r="704" spans="1:24" ht="20.100000000000001" customHeight="1">
      <c r="A704" s="732"/>
      <c r="B704" s="733"/>
      <c r="C704" s="734" t="s">
        <v>64</v>
      </c>
      <c r="D704" s="734"/>
      <c r="E704" s="734"/>
      <c r="F704" s="223">
        <v>31.17</v>
      </c>
      <c r="G704" s="223">
        <f t="shared" si="105"/>
        <v>31.17</v>
      </c>
      <c r="H704" s="224" t="s">
        <v>29</v>
      </c>
      <c r="I704" s="225">
        <f t="shared" si="106"/>
        <v>21278.098999999991</v>
      </c>
      <c r="J704" s="223">
        <f t="shared" si="107"/>
        <v>76.901000000008935</v>
      </c>
      <c r="K704" s="518"/>
      <c r="L704" s="233"/>
      <c r="M704" s="764"/>
      <c r="N704" s="765"/>
      <c r="O704" s="29"/>
      <c r="P704" s="29"/>
      <c r="Q704" s="29"/>
      <c r="R704" s="29"/>
      <c r="S704" s="29"/>
      <c r="T704" s="29"/>
      <c r="U704" s="29"/>
      <c r="V704" s="29"/>
      <c r="W704" s="29"/>
      <c r="X704" s="29"/>
    </row>
    <row r="705" spans="1:33" ht="20.100000000000001" customHeight="1">
      <c r="A705" s="681" t="s">
        <v>283</v>
      </c>
      <c r="B705" s="682"/>
      <c r="C705" s="683" t="s">
        <v>64</v>
      </c>
      <c r="D705" s="683"/>
      <c r="E705" s="683"/>
      <c r="F705" s="220">
        <v>31.27</v>
      </c>
      <c r="G705" s="220">
        <f t="shared" si="105"/>
        <v>31.27</v>
      </c>
      <c r="H705" s="221" t="s">
        <v>29</v>
      </c>
      <c r="I705" s="222">
        <f t="shared" si="106"/>
        <v>21309.368999999992</v>
      </c>
      <c r="J705" s="220">
        <f t="shared" si="107"/>
        <v>45.631000000008498</v>
      </c>
      <c r="K705" s="519"/>
      <c r="L705" s="231"/>
      <c r="M705" s="764"/>
      <c r="N705" s="765"/>
      <c r="O705" s="29"/>
      <c r="P705" s="29"/>
      <c r="Q705" s="29"/>
      <c r="R705" s="29"/>
      <c r="S705" s="29"/>
      <c r="T705" s="29"/>
      <c r="U705" s="29"/>
      <c r="V705" s="29"/>
      <c r="W705" s="29"/>
      <c r="X705" s="29"/>
    </row>
    <row r="706" spans="1:33" ht="20.100000000000001" customHeight="1">
      <c r="A706" s="681"/>
      <c r="B706" s="682"/>
      <c r="C706" s="683" t="s">
        <v>64</v>
      </c>
      <c r="D706" s="683"/>
      <c r="E706" s="683"/>
      <c r="F706" s="220">
        <v>31.22</v>
      </c>
      <c r="G706" s="220">
        <f t="shared" si="105"/>
        <v>31.22</v>
      </c>
      <c r="H706" s="221" t="s">
        <v>29</v>
      </c>
      <c r="I706" s="222">
        <f t="shared" si="106"/>
        <v>21340.588999999993</v>
      </c>
      <c r="J706" s="220">
        <f t="shared" si="107"/>
        <v>14.411000000007334</v>
      </c>
      <c r="K706" s="519"/>
      <c r="L706" s="231"/>
      <c r="M706" s="766"/>
      <c r="N706" s="767"/>
      <c r="O706" s="29"/>
      <c r="P706" s="29"/>
      <c r="Q706" s="29"/>
      <c r="R706" s="29"/>
      <c r="S706" s="29"/>
      <c r="T706" s="29"/>
      <c r="U706" s="29"/>
      <c r="V706" s="29"/>
      <c r="W706" s="29"/>
      <c r="X706" s="29"/>
    </row>
    <row r="707" spans="1:33" ht="20.100000000000001" customHeight="1">
      <c r="A707" s="681"/>
      <c r="B707" s="682"/>
      <c r="C707" s="683" t="s">
        <v>64</v>
      </c>
      <c r="D707" s="683"/>
      <c r="E707" s="683"/>
      <c r="F707" s="220">
        <v>31.27</v>
      </c>
      <c r="G707" s="220">
        <f t="shared" si="105"/>
        <v>31.27</v>
      </c>
      <c r="H707" s="420" t="s">
        <v>32</v>
      </c>
      <c r="I707" s="222">
        <f t="shared" si="106"/>
        <v>21340.588999999993</v>
      </c>
      <c r="J707" s="220">
        <f t="shared" si="107"/>
        <v>14.411000000007334</v>
      </c>
      <c r="K707" s="519"/>
      <c r="L707" s="231"/>
      <c r="M707" s="766"/>
      <c r="N707" s="767"/>
      <c r="O707" s="29"/>
      <c r="P707" s="29"/>
      <c r="Q707" s="29"/>
      <c r="R707" s="29"/>
      <c r="S707" s="29"/>
      <c r="T707" s="29"/>
      <c r="U707" s="29"/>
      <c r="V707" s="29"/>
      <c r="W707" s="29"/>
      <c r="X707" s="29"/>
    </row>
    <row r="708" spans="1:33" ht="20.100000000000001" hidden="1" customHeight="1">
      <c r="A708" s="732" t="s">
        <v>284</v>
      </c>
      <c r="B708" s="733"/>
      <c r="C708" s="734" t="s">
        <v>64</v>
      </c>
      <c r="D708" s="734"/>
      <c r="E708" s="734"/>
      <c r="F708" s="223" t="e">
        <f>SUM(#REF!)</f>
        <v>#REF!</v>
      </c>
      <c r="G708" s="223" t="e">
        <f t="shared" si="105"/>
        <v>#REF!</v>
      </c>
      <c r="H708" s="224" t="s">
        <v>32</v>
      </c>
      <c r="I708" s="225">
        <f t="shared" si="106"/>
        <v>21340.588999999993</v>
      </c>
      <c r="J708" s="223">
        <f t="shared" si="107"/>
        <v>14.411000000007334</v>
      </c>
      <c r="K708" s="518"/>
      <c r="L708" s="233"/>
      <c r="M708" s="766" t="s">
        <v>217</v>
      </c>
      <c r="N708" s="767"/>
      <c r="O708" s="29"/>
      <c r="P708" s="29"/>
      <c r="Q708" s="29"/>
      <c r="R708" s="29"/>
      <c r="S708" s="29"/>
      <c r="T708" s="29"/>
      <c r="U708" s="29"/>
      <c r="V708" s="29"/>
      <c r="W708" s="29"/>
      <c r="X708" s="29"/>
    </row>
    <row r="709" spans="1:33" ht="20.100000000000001" hidden="1" customHeight="1">
      <c r="A709" s="732"/>
      <c r="B709" s="733"/>
      <c r="C709" s="734" t="s">
        <v>64</v>
      </c>
      <c r="D709" s="734"/>
      <c r="E709" s="734"/>
      <c r="F709" s="223" t="e">
        <f>SUM(#REF!)</f>
        <v>#REF!</v>
      </c>
      <c r="G709" s="223" t="e">
        <f t="shared" si="105"/>
        <v>#REF!</v>
      </c>
      <c r="H709" s="224" t="s">
        <v>32</v>
      </c>
      <c r="I709" s="225">
        <f t="shared" si="106"/>
        <v>21340.588999999993</v>
      </c>
      <c r="J709" s="223">
        <f t="shared" si="107"/>
        <v>14.411000000007334</v>
      </c>
      <c r="K709" s="518"/>
      <c r="L709" s="233"/>
      <c r="M709" s="766" t="s">
        <v>217</v>
      </c>
      <c r="N709" s="767"/>
      <c r="O709" s="29"/>
      <c r="P709" s="29"/>
      <c r="Q709" s="29"/>
      <c r="R709" s="29"/>
      <c r="S709" s="29"/>
      <c r="T709" s="29"/>
      <c r="U709" s="29"/>
      <c r="V709" s="29"/>
      <c r="W709" s="29"/>
      <c r="X709" s="29"/>
    </row>
    <row r="710" spans="1:33" ht="20.100000000000001" hidden="1" customHeight="1">
      <c r="A710" s="732"/>
      <c r="B710" s="733"/>
      <c r="C710" s="734" t="s">
        <v>64</v>
      </c>
      <c r="D710" s="734"/>
      <c r="E710" s="734"/>
      <c r="F710" s="223" t="e">
        <f>SUM(#REF!)</f>
        <v>#REF!</v>
      </c>
      <c r="G710" s="223" t="e">
        <f t="shared" si="105"/>
        <v>#REF!</v>
      </c>
      <c r="H710" s="224" t="s">
        <v>32</v>
      </c>
      <c r="I710" s="225">
        <f t="shared" si="106"/>
        <v>21340.588999999993</v>
      </c>
      <c r="J710" s="223">
        <f t="shared" si="107"/>
        <v>14.411000000007334</v>
      </c>
      <c r="K710" s="518"/>
      <c r="L710" s="233"/>
      <c r="M710" s="766" t="s">
        <v>217</v>
      </c>
      <c r="N710" s="767"/>
      <c r="O710" s="29"/>
      <c r="P710" s="29"/>
      <c r="Q710" s="29"/>
      <c r="R710" s="29"/>
      <c r="S710" s="29"/>
      <c r="T710" s="29"/>
      <c r="U710" s="29"/>
      <c r="V710" s="29"/>
      <c r="W710" s="29"/>
      <c r="X710" s="29"/>
    </row>
    <row r="711" spans="1:33" ht="20.100000000000001" hidden="1" customHeight="1">
      <c r="A711" s="681" t="s">
        <v>285</v>
      </c>
      <c r="B711" s="682"/>
      <c r="C711" s="683" t="s">
        <v>64</v>
      </c>
      <c r="D711" s="683"/>
      <c r="E711" s="683"/>
      <c r="F711" s="220" t="e">
        <f>SUM(#REF!)</f>
        <v>#REF!</v>
      </c>
      <c r="G711" s="220" t="e">
        <f t="shared" si="105"/>
        <v>#REF!</v>
      </c>
      <c r="H711" s="224" t="s">
        <v>32</v>
      </c>
      <c r="I711" s="222">
        <f t="shared" si="106"/>
        <v>21340.588999999993</v>
      </c>
      <c r="J711" s="220">
        <f t="shared" si="107"/>
        <v>14.411000000007334</v>
      </c>
      <c r="K711" s="519"/>
      <c r="L711" s="231"/>
      <c r="M711" s="766" t="s">
        <v>217</v>
      </c>
      <c r="N711" s="767"/>
      <c r="O711" s="29"/>
      <c r="P711" s="29"/>
      <c r="Q711" s="29"/>
      <c r="R711" s="29"/>
      <c r="S711" s="29"/>
      <c r="T711" s="29"/>
      <c r="U711" s="29"/>
      <c r="V711" s="29"/>
      <c r="W711" s="29"/>
      <c r="X711" s="29"/>
    </row>
    <row r="712" spans="1:33" ht="20.100000000000001" hidden="1" customHeight="1">
      <c r="A712" s="681"/>
      <c r="B712" s="682"/>
      <c r="C712" s="683" t="s">
        <v>64</v>
      </c>
      <c r="D712" s="683"/>
      <c r="E712" s="683"/>
      <c r="F712" s="220" t="e">
        <f>SUM(#REF!)</f>
        <v>#REF!</v>
      </c>
      <c r="G712" s="220" t="e">
        <f t="shared" si="105"/>
        <v>#REF!</v>
      </c>
      <c r="H712" s="224" t="s">
        <v>32</v>
      </c>
      <c r="I712" s="222">
        <f t="shared" si="106"/>
        <v>21340.588999999993</v>
      </c>
      <c r="J712" s="220">
        <f t="shared" si="107"/>
        <v>14.411000000007334</v>
      </c>
      <c r="K712" s="519"/>
      <c r="L712" s="231"/>
      <c r="M712" s="766" t="s">
        <v>217</v>
      </c>
      <c r="N712" s="767"/>
      <c r="O712" s="29"/>
      <c r="P712" s="29"/>
      <c r="Q712" s="29"/>
      <c r="R712" s="29"/>
      <c r="S712" s="29"/>
      <c r="T712" s="29"/>
      <c r="U712" s="29"/>
      <c r="V712" s="29"/>
      <c r="W712" s="29"/>
      <c r="X712" s="29"/>
    </row>
    <row r="713" spans="1:33" ht="20.100000000000001" hidden="1" customHeight="1">
      <c r="A713" s="681"/>
      <c r="B713" s="682"/>
      <c r="C713" s="683" t="s">
        <v>64</v>
      </c>
      <c r="D713" s="683"/>
      <c r="E713" s="683"/>
      <c r="F713" s="220" t="e">
        <f>SUM(#REF!)</f>
        <v>#REF!</v>
      </c>
      <c r="G713" s="220" t="e">
        <f t="shared" si="105"/>
        <v>#REF!</v>
      </c>
      <c r="H713" s="224" t="s">
        <v>32</v>
      </c>
      <c r="I713" s="222">
        <f t="shared" si="106"/>
        <v>21340.588999999993</v>
      </c>
      <c r="J713" s="220">
        <f t="shared" si="107"/>
        <v>14.411000000007334</v>
      </c>
      <c r="K713" s="519"/>
      <c r="L713" s="231"/>
      <c r="M713" s="766" t="s">
        <v>217</v>
      </c>
      <c r="N713" s="767"/>
      <c r="O713" s="29"/>
      <c r="P713" s="29"/>
      <c r="Q713" s="29"/>
      <c r="R713" s="29"/>
      <c r="S713" s="29"/>
      <c r="T713" s="29"/>
      <c r="U713" s="29"/>
      <c r="V713" s="29"/>
      <c r="W713" s="29"/>
      <c r="X713" s="29"/>
    </row>
    <row r="714" spans="1:33" ht="20.100000000000001" hidden="1" customHeight="1">
      <c r="A714" s="732" t="s">
        <v>286</v>
      </c>
      <c r="B714" s="733"/>
      <c r="C714" s="734" t="s">
        <v>64</v>
      </c>
      <c r="D714" s="734"/>
      <c r="E714" s="734"/>
      <c r="F714" s="223" t="e">
        <f>SUM(#REF!)</f>
        <v>#REF!</v>
      </c>
      <c r="G714" s="223" t="e">
        <f t="shared" si="105"/>
        <v>#REF!</v>
      </c>
      <c r="H714" s="224" t="s">
        <v>32</v>
      </c>
      <c r="I714" s="225">
        <f t="shared" si="106"/>
        <v>21340.588999999993</v>
      </c>
      <c r="J714" s="223">
        <f t="shared" si="107"/>
        <v>14.411000000007334</v>
      </c>
      <c r="K714" s="518"/>
      <c r="L714" s="233"/>
      <c r="M714" s="766" t="s">
        <v>217</v>
      </c>
      <c r="N714" s="767"/>
      <c r="O714" s="29"/>
      <c r="P714" s="29"/>
      <c r="Q714" s="29"/>
      <c r="R714" s="29"/>
      <c r="S714" s="29"/>
      <c r="T714" s="29"/>
      <c r="U714" s="29"/>
      <c r="V714" s="29"/>
      <c r="W714" s="29"/>
      <c r="X714" s="29"/>
    </row>
    <row r="715" spans="1:33" ht="20.100000000000001" hidden="1" customHeight="1">
      <c r="A715" s="732"/>
      <c r="B715" s="733"/>
      <c r="C715" s="734" t="s">
        <v>64</v>
      </c>
      <c r="D715" s="734"/>
      <c r="E715" s="734"/>
      <c r="F715" s="223" t="e">
        <f>SUM(#REF!)</f>
        <v>#REF!</v>
      </c>
      <c r="G715" s="223" t="e">
        <f t="shared" si="105"/>
        <v>#REF!</v>
      </c>
      <c r="H715" s="224" t="s">
        <v>32</v>
      </c>
      <c r="I715" s="225">
        <f t="shared" si="106"/>
        <v>21340.588999999993</v>
      </c>
      <c r="J715" s="223">
        <f t="shared" si="107"/>
        <v>14.411000000007334</v>
      </c>
      <c r="K715" s="518"/>
      <c r="L715" s="233"/>
      <c r="M715" s="766" t="s">
        <v>217</v>
      </c>
      <c r="N715" s="767"/>
      <c r="O715" s="29"/>
      <c r="P715" s="29"/>
      <c r="Q715" s="29"/>
      <c r="R715" s="29"/>
      <c r="S715" s="29"/>
      <c r="T715" s="29"/>
      <c r="U715" s="29"/>
      <c r="V715" s="29"/>
      <c r="W715" s="29"/>
      <c r="X715" s="29"/>
    </row>
    <row r="716" spans="1:33" ht="20.100000000000001" hidden="1" customHeight="1">
      <c r="A716" s="732"/>
      <c r="B716" s="733"/>
      <c r="C716" s="734" t="s">
        <v>64</v>
      </c>
      <c r="D716" s="734"/>
      <c r="E716" s="734"/>
      <c r="F716" s="223" t="e">
        <f>SUM(#REF!)</f>
        <v>#REF!</v>
      </c>
      <c r="G716" s="223" t="e">
        <f t="shared" si="105"/>
        <v>#REF!</v>
      </c>
      <c r="H716" s="224" t="s">
        <v>32</v>
      </c>
      <c r="I716" s="225">
        <f t="shared" si="106"/>
        <v>21340.588999999993</v>
      </c>
      <c r="J716" s="223">
        <f t="shared" si="107"/>
        <v>14.411000000007334</v>
      </c>
      <c r="K716" s="518"/>
      <c r="L716" s="233"/>
      <c r="M716" s="766" t="s">
        <v>217</v>
      </c>
      <c r="N716" s="767"/>
      <c r="O716" s="29"/>
      <c r="P716" s="29"/>
      <c r="Q716" s="29"/>
      <c r="R716" s="29"/>
      <c r="S716" s="29"/>
      <c r="T716" s="29"/>
      <c r="U716" s="29"/>
      <c r="V716" s="29"/>
      <c r="W716" s="29"/>
      <c r="X716" s="29"/>
    </row>
    <row r="717" spans="1:33" ht="20.100000000000001" customHeight="1">
      <c r="A717" s="768"/>
      <c r="B717" s="769"/>
      <c r="C717" s="770" t="s">
        <v>293</v>
      </c>
      <c r="D717" s="771"/>
      <c r="E717" s="772"/>
      <c r="F717" s="344">
        <v>10</v>
      </c>
      <c r="G717" s="344">
        <f t="shared" si="105"/>
        <v>10</v>
      </c>
      <c r="H717" s="345" t="s">
        <v>29</v>
      </c>
      <c r="I717" s="346">
        <f t="shared" ref="I717" si="108">IF(H717="IN",I716+G717,I716)</f>
        <v>21350.588999999993</v>
      </c>
      <c r="J717" s="344">
        <f t="shared" ref="J717" si="109">IF(I717="","",$M$10-I717)</f>
        <v>4.4110000000073342</v>
      </c>
      <c r="K717" s="523"/>
      <c r="L717" s="347"/>
      <c r="M717" s="766" t="s">
        <v>217</v>
      </c>
      <c r="N717" s="767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</row>
    <row r="718" spans="1:33" ht="20.100000000000001" customHeight="1">
      <c r="A718" s="768"/>
      <c r="B718" s="769"/>
      <c r="C718" s="770" t="s">
        <v>293</v>
      </c>
      <c r="D718" s="771"/>
      <c r="E718" s="772"/>
      <c r="F718" s="344">
        <v>10</v>
      </c>
      <c r="G718" s="344">
        <f t="shared" si="105"/>
        <v>10</v>
      </c>
      <c r="H718" s="344" t="s">
        <v>29</v>
      </c>
      <c r="I718" s="346">
        <f t="shared" ref="I718:I725" si="110">IF(H718="IN",I717+G718,I717)</f>
        <v>21360.588999999993</v>
      </c>
      <c r="J718" s="344">
        <f t="shared" si="107"/>
        <v>-5.5889999999926658</v>
      </c>
      <c r="K718" s="523"/>
      <c r="L718" s="347"/>
      <c r="M718" s="766" t="s">
        <v>217</v>
      </c>
      <c r="N718" s="767"/>
      <c r="O718" s="105"/>
      <c r="P718" s="104"/>
      <c r="Q718" s="104"/>
      <c r="R718" s="105"/>
      <c r="S718" s="105"/>
      <c r="T718" s="105"/>
      <c r="U718" s="105"/>
      <c r="V718" s="105"/>
      <c r="W718" s="105"/>
      <c r="X718" s="105"/>
    </row>
    <row r="719" spans="1:33" ht="20.100000000000001" customHeight="1">
      <c r="A719" s="768"/>
      <c r="B719" s="769"/>
      <c r="C719" s="770" t="s">
        <v>294</v>
      </c>
      <c r="D719" s="771"/>
      <c r="E719" s="772"/>
      <c r="F719" s="344">
        <v>5</v>
      </c>
      <c r="G719" s="344">
        <f t="shared" si="105"/>
        <v>5</v>
      </c>
      <c r="H719" s="344" t="s">
        <v>29</v>
      </c>
      <c r="I719" s="346">
        <f t="shared" si="110"/>
        <v>21365.588999999993</v>
      </c>
      <c r="J719" s="348">
        <f t="shared" si="107"/>
        <v>-10.588999999992666</v>
      </c>
      <c r="K719" s="524"/>
      <c r="L719" s="347"/>
      <c r="M719" s="766" t="s">
        <v>217</v>
      </c>
      <c r="N719" s="767"/>
      <c r="O719" s="105"/>
      <c r="P719" s="104"/>
      <c r="Q719" s="104"/>
      <c r="R719" s="105"/>
      <c r="S719" s="105"/>
      <c r="T719" s="105"/>
      <c r="U719" s="105"/>
      <c r="V719" s="105"/>
      <c r="W719" s="105"/>
      <c r="X719" s="105"/>
    </row>
    <row r="720" spans="1:33" ht="20.100000000000001" customHeight="1">
      <c r="A720" s="773" t="s">
        <v>216</v>
      </c>
      <c r="B720" s="774"/>
      <c r="C720" s="779" t="s">
        <v>111</v>
      </c>
      <c r="D720" s="780"/>
      <c r="E720" s="781"/>
      <c r="F720" s="155">
        <v>3.58</v>
      </c>
      <c r="G720" s="155">
        <f t="shared" si="105"/>
        <v>3.58</v>
      </c>
      <c r="H720" s="156" t="s">
        <v>29</v>
      </c>
      <c r="I720" s="156">
        <f t="shared" si="110"/>
        <v>21369.168999999994</v>
      </c>
      <c r="J720" s="156">
        <f t="shared" si="107"/>
        <v>-14.168999999994412</v>
      </c>
      <c r="K720" s="525"/>
      <c r="L720" s="782" t="s">
        <v>65</v>
      </c>
      <c r="M720" s="785" t="s">
        <v>124</v>
      </c>
      <c r="N720" s="786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20"/>
      <c r="Z720" s="20"/>
      <c r="AA720" s="20"/>
      <c r="AB720" s="20"/>
      <c r="AC720" s="20"/>
      <c r="AD720" s="20"/>
      <c r="AE720" s="20"/>
      <c r="AF720" s="20"/>
      <c r="AG720" s="20"/>
    </row>
    <row r="721" spans="1:33" ht="20.100000000000001" customHeight="1">
      <c r="A721" s="775"/>
      <c r="B721" s="776"/>
      <c r="C721" s="779" t="s">
        <v>110</v>
      </c>
      <c r="D721" s="780"/>
      <c r="E721" s="781"/>
      <c r="F721" s="226">
        <v>3.78</v>
      </c>
      <c r="G721" s="226">
        <f t="shared" si="105"/>
        <v>3.78</v>
      </c>
      <c r="H721" s="227" t="s">
        <v>29</v>
      </c>
      <c r="I721" s="228">
        <f t="shared" si="110"/>
        <v>21372.948999999993</v>
      </c>
      <c r="J721" s="197">
        <f t="shared" si="107"/>
        <v>-17.948999999993248</v>
      </c>
      <c r="K721" s="526"/>
      <c r="L721" s="783"/>
      <c r="M721" s="785" t="s">
        <v>123</v>
      </c>
      <c r="N721" s="786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20"/>
      <c r="Z721" s="20"/>
      <c r="AA721" s="20"/>
      <c r="AB721" s="20"/>
      <c r="AC721" s="20"/>
      <c r="AD721" s="20"/>
      <c r="AE721" s="20"/>
      <c r="AF721" s="20"/>
      <c r="AG721" s="20"/>
    </row>
    <row r="722" spans="1:33" ht="20.100000000000001" customHeight="1">
      <c r="A722" s="775"/>
      <c r="B722" s="776"/>
      <c r="C722" s="779" t="s">
        <v>109</v>
      </c>
      <c r="D722" s="780"/>
      <c r="E722" s="781"/>
      <c r="F722" s="226">
        <v>12.18</v>
      </c>
      <c r="G722" s="226">
        <f t="shared" si="105"/>
        <v>12.18</v>
      </c>
      <c r="H722" s="227" t="s">
        <v>29</v>
      </c>
      <c r="I722" s="228">
        <f t="shared" si="110"/>
        <v>21385.128999999994</v>
      </c>
      <c r="J722" s="197">
        <f t="shared" si="107"/>
        <v>-30.128999999993539</v>
      </c>
      <c r="K722" s="526"/>
      <c r="L722" s="783"/>
      <c r="M722" s="785" t="s">
        <v>73</v>
      </c>
      <c r="N722" s="786"/>
      <c r="O722" s="105"/>
      <c r="P722" s="105"/>
      <c r="Q722" s="105"/>
      <c r="R722" s="106"/>
      <c r="S722" s="106"/>
      <c r="T722" s="106"/>
      <c r="U722" s="106"/>
      <c r="V722" s="106"/>
      <c r="W722" s="106"/>
      <c r="X722" s="106"/>
    </row>
    <row r="723" spans="1:33" ht="20.100000000000001" customHeight="1">
      <c r="A723" s="775"/>
      <c r="B723" s="776"/>
      <c r="C723" s="779" t="s">
        <v>108</v>
      </c>
      <c r="D723" s="780"/>
      <c r="E723" s="781"/>
      <c r="F723" s="226">
        <v>3.78</v>
      </c>
      <c r="G723" s="226">
        <f t="shared" si="105"/>
        <v>3.78</v>
      </c>
      <c r="H723" s="227" t="s">
        <v>29</v>
      </c>
      <c r="I723" s="228">
        <f t="shared" si="110"/>
        <v>21388.908999999992</v>
      </c>
      <c r="J723" s="197">
        <f t="shared" si="107"/>
        <v>-33.908999999992375</v>
      </c>
      <c r="K723" s="526"/>
      <c r="L723" s="783"/>
      <c r="M723" s="785" t="s">
        <v>74</v>
      </c>
      <c r="N723" s="786"/>
      <c r="O723" s="105"/>
      <c r="P723" s="105"/>
      <c r="Q723" s="105"/>
      <c r="R723" s="30"/>
      <c r="S723" s="30"/>
      <c r="T723" s="30"/>
      <c r="U723" s="30"/>
      <c r="V723" s="30"/>
      <c r="W723" s="30"/>
      <c r="X723" s="30"/>
    </row>
    <row r="724" spans="1:33" ht="20.100000000000001" customHeight="1">
      <c r="A724" s="775"/>
      <c r="B724" s="776"/>
      <c r="C724" s="779" t="s">
        <v>107</v>
      </c>
      <c r="D724" s="780"/>
      <c r="E724" s="781"/>
      <c r="F724" s="226">
        <v>3.61</v>
      </c>
      <c r="G724" s="226">
        <f t="shared" si="105"/>
        <v>3.61</v>
      </c>
      <c r="H724" s="227" t="s">
        <v>29</v>
      </c>
      <c r="I724" s="228">
        <f t="shared" si="110"/>
        <v>21392.518999999993</v>
      </c>
      <c r="J724" s="197">
        <f t="shared" si="107"/>
        <v>-37.518999999992957</v>
      </c>
      <c r="K724" s="526"/>
      <c r="L724" s="783"/>
      <c r="M724" s="216"/>
      <c r="N724" s="132"/>
      <c r="O724" s="106"/>
      <c r="P724" s="106"/>
      <c r="Q724" s="106"/>
      <c r="R724" s="4"/>
      <c r="S724" s="4"/>
      <c r="T724" s="4"/>
      <c r="U724" s="4"/>
      <c r="V724" s="4"/>
      <c r="W724" s="4"/>
      <c r="X724" s="4"/>
    </row>
    <row r="725" spans="1:33" ht="20.100000000000001" customHeight="1" thickBot="1">
      <c r="A725" s="777"/>
      <c r="B725" s="778"/>
      <c r="C725" s="808" t="s">
        <v>106</v>
      </c>
      <c r="D725" s="809"/>
      <c r="E725" s="810"/>
      <c r="F725" s="226">
        <v>9.56</v>
      </c>
      <c r="G725" s="198">
        <f t="shared" si="105"/>
        <v>9.56</v>
      </c>
      <c r="H725" s="199" t="s">
        <v>29</v>
      </c>
      <c r="I725" s="200">
        <f t="shared" si="110"/>
        <v>21402.078999999994</v>
      </c>
      <c r="J725" s="201">
        <f t="shared" si="107"/>
        <v>-47.078999999994267</v>
      </c>
      <c r="K725" s="527"/>
      <c r="L725" s="784"/>
      <c r="M725" s="811"/>
      <c r="N725" s="812"/>
      <c r="O725" s="30"/>
      <c r="P725" s="30"/>
      <c r="Q725" s="30"/>
      <c r="R725" s="4"/>
      <c r="S725" s="4"/>
      <c r="T725" s="4"/>
      <c r="U725" s="4"/>
      <c r="V725" s="4"/>
      <c r="W725" s="4"/>
      <c r="X725" s="4"/>
    </row>
    <row r="726" spans="1:33" ht="20.100000000000001" customHeight="1" thickBot="1">
      <c r="A726" s="796" t="s">
        <v>49</v>
      </c>
      <c r="B726" s="797"/>
      <c r="C726" s="797"/>
      <c r="D726" s="797"/>
      <c r="E726" s="798"/>
      <c r="F726" s="202">
        <f>SUM(F720:F725)</f>
        <v>36.49</v>
      </c>
      <c r="G726" s="111"/>
      <c r="H726" s="112"/>
      <c r="I726" s="112"/>
      <c r="J726" s="112"/>
      <c r="K726" s="528"/>
      <c r="L726" s="234"/>
      <c r="M726" s="799"/>
      <c r="N726" s="800"/>
      <c r="O726" s="4"/>
      <c r="P726" s="4"/>
      <c r="Q726" s="4"/>
      <c r="R726" s="107"/>
      <c r="S726" s="107"/>
      <c r="T726" s="107"/>
      <c r="U726" s="107"/>
      <c r="V726" s="107"/>
      <c r="W726" s="107"/>
      <c r="X726" s="107"/>
    </row>
    <row r="727" spans="1:33" ht="24.75" thickTop="1">
      <c r="A727" s="801" t="s">
        <v>35</v>
      </c>
      <c r="B727" s="802"/>
      <c r="C727" s="802"/>
      <c r="D727" s="802"/>
      <c r="E727" s="803"/>
      <c r="F727" s="77" t="s">
        <v>53</v>
      </c>
      <c r="G727" s="77" t="s">
        <v>52</v>
      </c>
      <c r="H727" s="804" t="s">
        <v>36</v>
      </c>
      <c r="I727" s="805"/>
      <c r="J727" s="78" t="s">
        <v>41</v>
      </c>
      <c r="K727" s="529"/>
      <c r="L727" s="79" t="s">
        <v>37</v>
      </c>
      <c r="M727" s="806" t="s">
        <v>38</v>
      </c>
      <c r="N727" s="807"/>
      <c r="O727" s="31"/>
      <c r="P727" s="31"/>
      <c r="Q727" s="31"/>
      <c r="R727" s="31"/>
      <c r="S727" s="31"/>
      <c r="T727" s="31"/>
      <c r="U727" s="31"/>
      <c r="V727" s="31"/>
      <c r="W727" s="31"/>
      <c r="X727" s="31"/>
    </row>
    <row r="728" spans="1:33" ht="20.100000000000001" customHeight="1">
      <c r="A728" s="787" t="s">
        <v>64</v>
      </c>
      <c r="B728" s="788"/>
      <c r="C728" s="788"/>
      <c r="D728" s="788"/>
      <c r="E728" s="789"/>
      <c r="F728" s="71">
        <v>4</v>
      </c>
      <c r="G728" s="72">
        <f>(I720-I494)+(I464-I338)</f>
        <v>10529.639999999998</v>
      </c>
      <c r="H728" s="790">
        <v>2.0199999999999999E-2</v>
      </c>
      <c r="I728" s="791"/>
      <c r="J728" s="73">
        <f>H728*G728</f>
        <v>212.69872799999993</v>
      </c>
      <c r="K728" s="530"/>
      <c r="L728" s="74">
        <f>J728/$N$15</f>
        <v>1787.3842689075625</v>
      </c>
      <c r="M728" s="792">
        <f>L728</f>
        <v>1787.3842689075625</v>
      </c>
      <c r="N728" s="793"/>
      <c r="O728" s="31"/>
      <c r="P728" s="31"/>
      <c r="Q728" s="31"/>
      <c r="R728" s="31"/>
      <c r="S728" s="31"/>
      <c r="T728" s="31"/>
      <c r="U728" s="31"/>
      <c r="V728" s="31"/>
      <c r="W728" s="31"/>
      <c r="X728" s="31"/>
    </row>
    <row r="729" spans="1:33" ht="20.100000000000001" customHeight="1">
      <c r="A729" s="787" t="s">
        <v>209</v>
      </c>
      <c r="B729" s="788"/>
      <c r="C729" s="788"/>
      <c r="D729" s="788"/>
      <c r="E729" s="789"/>
      <c r="F729" s="71">
        <v>3.25</v>
      </c>
      <c r="G729" s="72">
        <f>(I494-I464)+(I338-I334)</f>
        <v>1004.8100000000031</v>
      </c>
      <c r="H729" s="790">
        <v>1.03E-2</v>
      </c>
      <c r="I729" s="791"/>
      <c r="J729" s="73">
        <f>H729*G729</f>
        <v>10.349543000000033</v>
      </c>
      <c r="K729" s="530"/>
      <c r="L729" s="74">
        <f>J729/$N$15</f>
        <v>86.970949579832208</v>
      </c>
      <c r="M729" s="792">
        <f>L729+M728</f>
        <v>1874.3552184873947</v>
      </c>
      <c r="N729" s="793"/>
      <c r="O729" s="31"/>
      <c r="P729" s="31"/>
      <c r="Q729" s="31"/>
      <c r="R729" s="31"/>
      <c r="S729" s="31"/>
      <c r="T729" s="31"/>
      <c r="U729" s="31"/>
      <c r="V729" s="31"/>
      <c r="W729" s="31"/>
      <c r="X729" s="31"/>
    </row>
    <row r="730" spans="1:33" ht="20.100000000000001" customHeight="1">
      <c r="A730" s="787" t="s">
        <v>59</v>
      </c>
      <c r="B730" s="788"/>
      <c r="C730" s="788"/>
      <c r="D730" s="788"/>
      <c r="E730" s="789"/>
      <c r="F730" s="71">
        <v>3</v>
      </c>
      <c r="G730" s="72">
        <f>I334-I327</f>
        <v>52.142499999999927</v>
      </c>
      <c r="H730" s="794">
        <f>(F730^2)/1029.4</f>
        <v>8.7429570623664271E-3</v>
      </c>
      <c r="I730" s="795"/>
      <c r="J730" s="73">
        <f>H730*G730</f>
        <v>0.45587963862444081</v>
      </c>
      <c r="K730" s="530"/>
      <c r="L730" s="74">
        <f>J730/$N$15</f>
        <v>3.8309213329784946</v>
      </c>
      <c r="M730" s="792">
        <f>L730+M729</f>
        <v>1878.1861398203732</v>
      </c>
      <c r="N730" s="793"/>
      <c r="O730" s="31"/>
      <c r="P730" s="31"/>
      <c r="Q730" s="31"/>
      <c r="R730" s="108"/>
      <c r="S730" s="108"/>
      <c r="T730" s="108"/>
      <c r="U730" s="108"/>
      <c r="V730" s="108"/>
      <c r="W730" s="108"/>
      <c r="X730" s="108"/>
    </row>
    <row r="731" spans="1:33" ht="20.100000000000001" customHeight="1">
      <c r="A731" s="787" t="s">
        <v>47</v>
      </c>
      <c r="B731" s="788"/>
      <c r="C731" s="788"/>
      <c r="D731" s="788"/>
      <c r="E731" s="789"/>
      <c r="F731" s="71">
        <v>6.25</v>
      </c>
      <c r="G731" s="72">
        <f>I327-I24</f>
        <v>9676.8514999999934</v>
      </c>
      <c r="H731" s="794">
        <f>(F731^2)/1029.4</f>
        <v>3.7946862249854281E-2</v>
      </c>
      <c r="I731" s="795"/>
      <c r="J731" s="73">
        <f>H731*G731</f>
        <v>367.2061508827955</v>
      </c>
      <c r="K731" s="530"/>
      <c r="L731" s="74">
        <f>J731/$N$15</f>
        <v>3085.7659738050043</v>
      </c>
      <c r="M731" s="792">
        <f>L731+M730</f>
        <v>4963.952113625377</v>
      </c>
      <c r="N731" s="793"/>
      <c r="O731" s="31"/>
      <c r="P731" s="31"/>
      <c r="Q731" s="31"/>
      <c r="R731" s="108"/>
      <c r="S731" s="108"/>
      <c r="T731" s="108"/>
      <c r="U731" s="108"/>
      <c r="V731" s="108"/>
      <c r="W731" s="108"/>
      <c r="X731" s="108"/>
    </row>
    <row r="732" spans="1:33" ht="20.100000000000001" customHeight="1" thickBot="1">
      <c r="A732" s="823" t="s">
        <v>48</v>
      </c>
      <c r="B732" s="824"/>
      <c r="C732" s="824"/>
      <c r="D732" s="824"/>
      <c r="E732" s="825"/>
      <c r="F732" s="75">
        <v>6.25</v>
      </c>
      <c r="G732" s="76">
        <f>I24</f>
        <v>105.72500000000001</v>
      </c>
      <c r="H732" s="826">
        <f>(F732^2)/1029.4</f>
        <v>3.7946862249854281E-2</v>
      </c>
      <c r="I732" s="827"/>
      <c r="J732" s="80">
        <f>H732*G732</f>
        <v>4.0119320113658441</v>
      </c>
      <c r="K732" s="531"/>
      <c r="L732" s="81">
        <f>J732/$N$15</f>
        <v>33.713714381225579</v>
      </c>
      <c r="M732" s="828">
        <f>L732+M731</f>
        <v>4997.6658280066022</v>
      </c>
      <c r="N732" s="829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</row>
    <row r="733" spans="1:33" ht="20.100000000000001" customHeight="1" thickBot="1">
      <c r="A733" s="820" t="s">
        <v>91</v>
      </c>
      <c r="B733" s="821"/>
      <c r="C733" s="821"/>
      <c r="D733" s="821"/>
      <c r="E733" s="821"/>
      <c r="F733" s="821"/>
      <c r="G733" s="821"/>
      <c r="H733" s="821"/>
      <c r="I733" s="822"/>
      <c r="J733" s="816">
        <f>(J728+J729+J730)*0.6</f>
        <v>134.10249038317465</v>
      </c>
      <c r="K733" s="836"/>
      <c r="L733" s="817"/>
      <c r="M733" s="818">
        <f t="shared" ref="M733" si="111">J733/$N$15</f>
        <v>1126.9116838922241</v>
      </c>
      <c r="N733" s="819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</row>
    <row r="734" spans="1:33" ht="20.100000000000001" customHeight="1" thickBot="1">
      <c r="A734" s="813" t="s">
        <v>198</v>
      </c>
      <c r="B734" s="814"/>
      <c r="C734" s="814"/>
      <c r="D734" s="814"/>
      <c r="E734" s="814"/>
      <c r="F734" s="814"/>
      <c r="G734" s="814"/>
      <c r="H734" s="814"/>
      <c r="I734" s="815"/>
      <c r="J734" s="816">
        <f>(1.5*SUM(J731:J732))+SUM(J729:J730)+P735</f>
        <v>597.4992670798664</v>
      </c>
      <c r="K734" s="836"/>
      <c r="L734" s="817"/>
      <c r="M734" s="818">
        <f>J734/$N$15</f>
        <v>5021.0022443686257</v>
      </c>
      <c r="N734" s="819"/>
      <c r="O734" s="108"/>
      <c r="P734" s="72">
        <f>SUM(G283:G335)</f>
        <v>1478.5504999999989</v>
      </c>
      <c r="Q734" s="72"/>
      <c r="R734" s="108"/>
      <c r="S734" s="108"/>
      <c r="T734" s="108"/>
      <c r="U734" s="108"/>
      <c r="V734" s="108"/>
      <c r="W734" s="108"/>
      <c r="X734" s="108"/>
    </row>
    <row r="735" spans="1:33" ht="20.100000000000001" customHeight="1" thickBot="1">
      <c r="A735" s="813" t="s">
        <v>199</v>
      </c>
      <c r="B735" s="814"/>
      <c r="C735" s="814"/>
      <c r="D735" s="814"/>
      <c r="E735" s="814"/>
      <c r="F735" s="814"/>
      <c r="G735" s="814"/>
      <c r="H735" s="814"/>
      <c r="I735" s="815"/>
      <c r="J735" s="816">
        <f>1.5*SUM(J731:J732)+SUM(J728:J730)</f>
        <v>780.33127497986641</v>
      </c>
      <c r="K735" s="836"/>
      <c r="L735" s="817"/>
      <c r="M735" s="818">
        <f>J735/$N$15</f>
        <v>6557.4056720997178</v>
      </c>
      <c r="N735" s="819"/>
      <c r="O735" s="108"/>
      <c r="P735" s="72">
        <f>P734*H728</f>
        <v>29.866720099999977</v>
      </c>
      <c r="Q735" s="108"/>
      <c r="R735" s="108"/>
      <c r="S735" s="108"/>
      <c r="T735" s="108"/>
      <c r="U735" s="108"/>
      <c r="V735" s="108"/>
      <c r="W735" s="108"/>
      <c r="X735" s="108"/>
    </row>
    <row r="736" spans="1:33" ht="20.100000000000001" customHeight="1" thickBot="1">
      <c r="A736" s="813" t="s">
        <v>210</v>
      </c>
      <c r="B736" s="814"/>
      <c r="C736" s="814"/>
      <c r="D736" s="814"/>
      <c r="E736" s="814"/>
      <c r="F736" s="814"/>
      <c r="G736" s="814"/>
      <c r="H736" s="814"/>
      <c r="I736" s="815"/>
      <c r="J736" s="816">
        <f>J731</f>
        <v>367.2061508827955</v>
      </c>
      <c r="K736" s="836"/>
      <c r="L736" s="817"/>
      <c r="M736" s="818">
        <f>J736/$N$15</f>
        <v>3085.7659738050043</v>
      </c>
      <c r="N736" s="819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</row>
    <row r="737" spans="1:33" ht="20.100000000000001" customHeight="1" thickBot="1">
      <c r="A737" s="813" t="s">
        <v>57</v>
      </c>
      <c r="B737" s="814"/>
      <c r="C737" s="814"/>
      <c r="D737" s="814"/>
      <c r="E737" s="814"/>
      <c r="F737" s="814"/>
      <c r="G737" s="814"/>
      <c r="H737" s="814"/>
      <c r="I737" s="815"/>
      <c r="J737" s="816">
        <f>SUM(J728:J730)</f>
        <v>223.50415063862442</v>
      </c>
      <c r="K737" s="836"/>
      <c r="L737" s="817"/>
      <c r="M737" s="818">
        <f>J737/$N$15</f>
        <v>1878.1861398203735</v>
      </c>
      <c r="N737" s="819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</row>
    <row r="738" spans="1:33" ht="20.100000000000001" customHeight="1" thickBot="1">
      <c r="A738" s="813" t="s">
        <v>51</v>
      </c>
      <c r="B738" s="814"/>
      <c r="C738" s="814"/>
      <c r="D738" s="814"/>
      <c r="E738" s="814"/>
      <c r="F738" s="814"/>
      <c r="G738" s="814"/>
      <c r="H738" s="814"/>
      <c r="I738" s="815"/>
      <c r="J738" s="816">
        <f>SUM(J728:J732)</f>
        <v>594.72223353278582</v>
      </c>
      <c r="K738" s="836"/>
      <c r="L738" s="817"/>
      <c r="M738" s="818">
        <f t="shared" ref="M738:M743" si="112">J738/$N$15</f>
        <v>4997.665828006604</v>
      </c>
      <c r="N738" s="819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</row>
    <row r="739" spans="1:33" ht="20.100000000000001" customHeight="1" thickBot="1">
      <c r="A739" s="813" t="s">
        <v>54</v>
      </c>
      <c r="B739" s="814"/>
      <c r="C739" s="814"/>
      <c r="D739" s="814"/>
      <c r="E739" s="814"/>
      <c r="F739" s="814"/>
      <c r="G739" s="814"/>
      <c r="H739" s="814"/>
      <c r="I739" s="815"/>
      <c r="J739" s="816">
        <f>SUM(J728:J731)</f>
        <v>590.71030152141998</v>
      </c>
      <c r="K739" s="836"/>
      <c r="L739" s="817"/>
      <c r="M739" s="818">
        <f t="shared" si="112"/>
        <v>4963.9521136253779</v>
      </c>
      <c r="N739" s="819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</row>
    <row r="740" spans="1:33" ht="20.100000000000001" customHeight="1" thickBot="1">
      <c r="A740" s="813" t="s">
        <v>55</v>
      </c>
      <c r="B740" s="814"/>
      <c r="C740" s="814"/>
      <c r="D740" s="814"/>
      <c r="E740" s="814"/>
      <c r="F740" s="814"/>
      <c r="G740" s="814"/>
      <c r="H740" s="814"/>
      <c r="I740" s="815"/>
      <c r="J740" s="816">
        <f>J732/2</f>
        <v>2.005966005682922</v>
      </c>
      <c r="K740" s="836"/>
      <c r="L740" s="817"/>
      <c r="M740" s="818">
        <f t="shared" si="112"/>
        <v>16.856857190612789</v>
      </c>
      <c r="N740" s="819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</row>
    <row r="741" spans="1:33" ht="20.100000000000001" customHeight="1" thickBot="1">
      <c r="A741" s="813" t="s">
        <v>56</v>
      </c>
      <c r="B741" s="814"/>
      <c r="C741" s="814"/>
      <c r="D741" s="814"/>
      <c r="E741" s="814"/>
      <c r="F741" s="814"/>
      <c r="G741" s="814"/>
      <c r="H741" s="814"/>
      <c r="I741" s="815"/>
      <c r="J741" s="816">
        <f>((J739+J740)*3000*2.5/1000000)</f>
        <v>4.4453720064532716</v>
      </c>
      <c r="K741" s="836"/>
      <c r="L741" s="817"/>
      <c r="M741" s="818">
        <f t="shared" si="112"/>
        <v>37.356067281119934</v>
      </c>
      <c r="N741" s="819"/>
      <c r="O741" s="108"/>
      <c r="P741" s="108"/>
      <c r="Q741" s="108"/>
      <c r="R741" s="4"/>
      <c r="S741" s="4"/>
      <c r="T741" s="4"/>
      <c r="U741" s="4"/>
      <c r="V741" s="4"/>
      <c r="W741" s="4"/>
      <c r="X741" s="4"/>
    </row>
    <row r="742" spans="1:33" ht="20.100000000000001" customHeight="1" thickBot="1">
      <c r="A742" s="833" t="s">
        <v>58</v>
      </c>
      <c r="B742" s="834"/>
      <c r="C742" s="834"/>
      <c r="D742" s="834"/>
      <c r="E742" s="834"/>
      <c r="F742" s="834"/>
      <c r="G742" s="834"/>
      <c r="H742" s="834"/>
      <c r="I742" s="835"/>
      <c r="J742" s="816">
        <f>SUM(J739:L741)</f>
        <v>597.16163953355613</v>
      </c>
      <c r="K742" s="836"/>
      <c r="L742" s="817"/>
      <c r="M742" s="818">
        <f t="shared" si="112"/>
        <v>5018.1650380971105</v>
      </c>
      <c r="N742" s="819"/>
      <c r="O742" s="108"/>
      <c r="P742" s="108"/>
      <c r="Q742" s="108"/>
      <c r="R742" s="4"/>
      <c r="S742" s="4"/>
      <c r="T742" s="4"/>
      <c r="U742" s="4"/>
      <c r="V742" s="4"/>
      <c r="W742" s="4"/>
      <c r="X742" s="4"/>
    </row>
    <row r="743" spans="1:33" ht="20.100000000000001" customHeight="1" thickBot="1">
      <c r="A743" s="830" t="s">
        <v>197</v>
      </c>
      <c r="B743" s="831"/>
      <c r="C743" s="831"/>
      <c r="D743" s="831"/>
      <c r="E743" s="831"/>
      <c r="F743" s="831"/>
      <c r="G743" s="831"/>
      <c r="H743" s="832"/>
      <c r="I743" s="171">
        <v>20</v>
      </c>
      <c r="J743" s="816">
        <f>J742-I743</f>
        <v>577.16163953355613</v>
      </c>
      <c r="K743" s="836"/>
      <c r="L743" s="817"/>
      <c r="M743" s="818">
        <f t="shared" si="112"/>
        <v>4850.097811206354</v>
      </c>
      <c r="N743" s="819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33">
      <c r="B744" s="4"/>
      <c r="C744" s="4"/>
      <c r="D744" s="6"/>
      <c r="E744" s="4"/>
      <c r="F744" s="4"/>
      <c r="G744" s="4"/>
      <c r="H744" s="4"/>
      <c r="I744" s="4"/>
      <c r="J744" s="4"/>
      <c r="K744" s="6"/>
      <c r="L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33">
      <c r="B745" s="4"/>
      <c r="C745" s="4"/>
      <c r="D745" s="6"/>
      <c r="E745" s="4"/>
      <c r="F745" s="4"/>
      <c r="G745" s="4"/>
      <c r="H745" s="4"/>
      <c r="I745" s="4"/>
      <c r="J745" s="4"/>
      <c r="K745" s="6"/>
      <c r="L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33">
      <c r="B746" s="4"/>
      <c r="C746" s="4"/>
      <c r="D746" s="6"/>
      <c r="E746" s="4"/>
      <c r="F746" s="4"/>
      <c r="G746" s="4"/>
      <c r="H746" s="4"/>
      <c r="I746" s="4"/>
      <c r="J746" s="4"/>
      <c r="K746" s="6"/>
      <c r="L746" s="22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33">
      <c r="B747" s="4"/>
      <c r="C747" s="4"/>
      <c r="D747" s="6"/>
      <c r="E747" s="4"/>
      <c r="F747" s="4"/>
      <c r="G747" s="4"/>
      <c r="H747" s="4"/>
      <c r="I747" s="4"/>
      <c r="J747" s="4"/>
      <c r="K747" s="6"/>
      <c r="L747" s="4"/>
      <c r="N747" s="4"/>
      <c r="O747" s="4"/>
      <c r="P747" s="4"/>
      <c r="Q747" s="4"/>
    </row>
    <row r="748" spans="1:33">
      <c r="B748" s="4"/>
      <c r="C748" s="4"/>
      <c r="D748" s="6"/>
      <c r="E748" s="4"/>
      <c r="F748" s="4"/>
      <c r="G748" s="4"/>
      <c r="H748" s="4"/>
      <c r="I748" s="4"/>
      <c r="J748" s="4"/>
      <c r="K748" s="6"/>
      <c r="L748" s="4"/>
      <c r="N748" s="4"/>
      <c r="O748" s="4"/>
      <c r="P748" s="4"/>
      <c r="Q748" s="4"/>
    </row>
    <row r="749" spans="1:33">
      <c r="B749" s="4"/>
      <c r="C749" s="4"/>
      <c r="D749" s="6"/>
      <c r="E749" s="4"/>
      <c r="F749" s="4"/>
      <c r="G749" s="4"/>
      <c r="H749" s="4"/>
      <c r="I749" s="4"/>
      <c r="J749" s="4"/>
      <c r="K749" s="6"/>
      <c r="L749" s="4"/>
      <c r="N749" s="4"/>
    </row>
    <row r="750" spans="1:33" s="2" customFormat="1" ht="20.65" customHeight="1">
      <c r="A750" s="25"/>
      <c r="B750" s="4"/>
      <c r="C750" s="4"/>
      <c r="D750" s="6"/>
      <c r="E750" s="4"/>
      <c r="F750" s="4"/>
      <c r="G750" s="4"/>
      <c r="H750" s="4"/>
      <c r="I750" s="4"/>
      <c r="J750" s="4"/>
      <c r="K750" s="6"/>
      <c r="L750" s="4"/>
      <c r="M750" s="4"/>
      <c r="N750" s="4"/>
      <c r="O750" s="4"/>
      <c r="P750" s="4"/>
      <c r="Q750" s="114"/>
      <c r="R750" s="114"/>
      <c r="S750" s="114"/>
      <c r="T750" s="114"/>
      <c r="U750" s="114"/>
      <c r="V750" s="114"/>
      <c r="W750" s="114"/>
      <c r="X750" s="114"/>
      <c r="Y750" s="29"/>
      <c r="Z750" s="29"/>
      <c r="AA750" s="29"/>
      <c r="AB750" s="29"/>
      <c r="AC750" s="29"/>
      <c r="AD750" s="29"/>
      <c r="AE750" s="29"/>
      <c r="AF750" s="29"/>
      <c r="AG750" s="29"/>
    </row>
    <row r="751" spans="1:33" s="2" customFormat="1" ht="20.100000000000001" customHeight="1">
      <c r="A751" s="25"/>
      <c r="B751" s="4"/>
      <c r="C751" s="4"/>
      <c r="D751" s="6"/>
      <c r="E751" s="4"/>
      <c r="F751" s="4"/>
      <c r="G751" s="4"/>
      <c r="H751" s="4"/>
      <c r="I751" s="4"/>
      <c r="J751" s="4"/>
      <c r="K751" s="6"/>
      <c r="L751" s="4"/>
      <c r="M751" s="4"/>
      <c r="N751" s="4"/>
      <c r="O751" s="25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</row>
    <row r="752" spans="1:33" s="2" customFormat="1" ht="20.100000000000001" customHeight="1">
      <c r="A752" s="25"/>
      <c r="B752" s="4"/>
      <c r="C752" s="4"/>
      <c r="D752" s="6"/>
      <c r="E752" s="4"/>
      <c r="F752" s="4"/>
      <c r="G752" s="4"/>
      <c r="H752" s="4"/>
      <c r="I752" s="4"/>
      <c r="J752" s="4"/>
      <c r="K752" s="6"/>
      <c r="L752" s="4"/>
      <c r="M752" s="4"/>
      <c r="N752" s="4"/>
      <c r="O752" s="25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</row>
    <row r="753" spans="1:33" s="2" customFormat="1" ht="21" customHeight="1">
      <c r="A753" s="25"/>
      <c r="B753" s="4"/>
      <c r="C753" s="4"/>
      <c r="D753" s="6"/>
      <c r="E753" s="4"/>
      <c r="F753" s="4"/>
      <c r="G753" s="4"/>
      <c r="H753" s="4"/>
      <c r="I753" s="4"/>
      <c r="J753" s="4"/>
      <c r="K753" s="6"/>
      <c r="L753" s="4"/>
      <c r="M753" s="4"/>
      <c r="N753" s="4"/>
      <c r="O753" s="25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</row>
    <row r="754" spans="1:33" s="2" customFormat="1">
      <c r="A754" s="25"/>
      <c r="B754" s="4"/>
      <c r="C754" s="4"/>
      <c r="D754" s="6"/>
      <c r="E754" s="4"/>
      <c r="F754" s="4"/>
      <c r="G754" s="4"/>
      <c r="H754" s="4"/>
      <c r="I754" s="4"/>
      <c r="J754" s="4"/>
      <c r="K754" s="6"/>
      <c r="L754" s="4"/>
      <c r="M754" s="4"/>
      <c r="N754" s="4"/>
      <c r="O754" s="25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</row>
    <row r="755" spans="1:33">
      <c r="B755" s="4"/>
      <c r="C755" s="4"/>
      <c r="D755" s="6"/>
      <c r="E755" s="4"/>
      <c r="F755" s="4"/>
      <c r="G755" s="4"/>
      <c r="H755" s="4"/>
      <c r="I755" s="4"/>
      <c r="J755" s="4"/>
      <c r="K755" s="6"/>
      <c r="L755" s="4"/>
      <c r="N755" s="4"/>
      <c r="O755" s="4"/>
      <c r="P755" s="4"/>
      <c r="Q755" s="4"/>
    </row>
    <row r="756" spans="1:33">
      <c r="B756" s="4"/>
      <c r="C756" s="4"/>
      <c r="D756" s="6"/>
      <c r="E756" s="4"/>
      <c r="F756" s="4"/>
      <c r="G756" s="4"/>
      <c r="H756" s="4"/>
      <c r="I756" s="4"/>
      <c r="J756" s="4"/>
      <c r="K756" s="6"/>
      <c r="L756" s="4"/>
      <c r="N756" s="4"/>
    </row>
    <row r="757" spans="1:33" s="2" customFormat="1" ht="20.65" customHeight="1">
      <c r="A757" s="25"/>
      <c r="B757" s="4"/>
      <c r="C757" s="4"/>
      <c r="D757" s="6"/>
      <c r="E757" s="4"/>
      <c r="F757" s="4"/>
      <c r="G757" s="4"/>
      <c r="H757" s="4"/>
      <c r="I757" s="4"/>
      <c r="J757" s="4"/>
      <c r="K757" s="6"/>
      <c r="L757" s="4"/>
      <c r="M757" s="4"/>
      <c r="N757" s="4"/>
      <c r="O757" s="4"/>
      <c r="P757" s="4"/>
      <c r="Q757" s="114"/>
      <c r="R757" s="114"/>
      <c r="S757" s="114"/>
      <c r="T757" s="114"/>
      <c r="U757" s="114"/>
      <c r="V757" s="114"/>
      <c r="W757" s="114"/>
      <c r="X757" s="114"/>
      <c r="Y757" s="29"/>
      <c r="Z757" s="29"/>
      <c r="AA757" s="29"/>
      <c r="AB757" s="29"/>
      <c r="AC757" s="29"/>
      <c r="AD757" s="29"/>
      <c r="AE757" s="29"/>
      <c r="AF757" s="29"/>
      <c r="AG757" s="29"/>
    </row>
    <row r="758" spans="1:33" s="2" customFormat="1" ht="20.100000000000001" customHeight="1">
      <c r="A758" s="25"/>
      <c r="B758" s="4"/>
      <c r="C758" s="4"/>
      <c r="D758" s="6"/>
      <c r="E758" s="4"/>
      <c r="F758" s="4"/>
      <c r="G758" s="4"/>
      <c r="H758" s="4"/>
      <c r="I758" s="4"/>
      <c r="J758" s="4"/>
      <c r="K758" s="6"/>
      <c r="L758" s="4"/>
      <c r="M758" s="4"/>
      <c r="N758" s="4"/>
      <c r="O758" s="25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</row>
    <row r="759" spans="1:33" s="2" customFormat="1" ht="20.100000000000001" customHeight="1">
      <c r="A759" s="25"/>
      <c r="B759" s="4"/>
      <c r="C759" s="4"/>
      <c r="D759" s="6"/>
      <c r="E759" s="4"/>
      <c r="F759" s="4"/>
      <c r="G759" s="4"/>
      <c r="H759" s="4"/>
      <c r="I759" s="4"/>
      <c r="J759" s="4"/>
      <c r="K759" s="6"/>
      <c r="L759" s="4"/>
      <c r="M759" s="4"/>
      <c r="N759" s="4"/>
      <c r="O759" s="25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</row>
    <row r="760" spans="1:33" s="2" customFormat="1" ht="21" customHeight="1">
      <c r="A760" s="25"/>
      <c r="B760" s="4"/>
      <c r="C760" s="4"/>
      <c r="D760" s="6"/>
      <c r="E760" s="4"/>
      <c r="F760" s="4"/>
      <c r="G760" s="4"/>
      <c r="H760" s="4"/>
      <c r="I760" s="4"/>
      <c r="J760" s="4"/>
      <c r="K760" s="6"/>
      <c r="L760" s="4"/>
      <c r="M760" s="4"/>
      <c r="N760" s="4"/>
      <c r="O760" s="25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</row>
    <row r="761" spans="1:33" s="2" customFormat="1">
      <c r="A761" s="25"/>
      <c r="B761" s="4"/>
      <c r="C761" s="4"/>
      <c r="D761" s="6"/>
      <c r="E761" s="4"/>
      <c r="F761" s="4"/>
      <c r="G761" s="4"/>
      <c r="H761" s="4"/>
      <c r="I761" s="4"/>
      <c r="J761" s="4"/>
      <c r="K761" s="6"/>
      <c r="L761" s="4"/>
      <c r="M761" s="4"/>
      <c r="N761" s="4"/>
      <c r="O761" s="25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</row>
    <row r="762" spans="1:33" s="2" customFormat="1" ht="25.5" customHeight="1">
      <c r="A762" s="25"/>
      <c r="B762" s="4"/>
      <c r="C762" s="4"/>
      <c r="D762" s="6"/>
      <c r="E762" s="4"/>
      <c r="F762" s="4"/>
      <c r="G762" s="4"/>
      <c r="H762" s="4"/>
      <c r="I762" s="4"/>
      <c r="J762" s="4"/>
      <c r="K762" s="6"/>
      <c r="L762" s="4"/>
      <c r="M762" s="4"/>
      <c r="N762" s="4"/>
      <c r="O762" s="25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</row>
    <row r="763" spans="1:33">
      <c r="B763" s="4"/>
      <c r="C763" s="4"/>
      <c r="D763" s="6"/>
      <c r="E763" s="4"/>
      <c r="F763" s="25"/>
      <c r="G763" s="25"/>
      <c r="H763" s="25"/>
      <c r="I763" s="25"/>
      <c r="J763" s="25"/>
      <c r="K763" s="7"/>
      <c r="L763" s="25"/>
      <c r="M763" s="25"/>
    </row>
    <row r="764" spans="1:33">
      <c r="B764" s="25"/>
      <c r="C764" s="25"/>
      <c r="D764" s="7"/>
      <c r="E764" s="25"/>
      <c r="F764" s="25"/>
      <c r="G764" s="25"/>
      <c r="H764" s="25"/>
      <c r="I764" s="25"/>
      <c r="J764" s="25"/>
      <c r="K764" s="7"/>
      <c r="L764" s="25"/>
      <c r="M764" s="25"/>
    </row>
    <row r="765" spans="1:33">
      <c r="B765" s="25"/>
      <c r="C765" s="25"/>
      <c r="D765" s="7"/>
      <c r="E765" s="25"/>
      <c r="F765" s="25"/>
      <c r="G765" s="25"/>
      <c r="H765" s="25"/>
      <c r="I765" s="25"/>
      <c r="J765" s="25"/>
      <c r="K765" s="7"/>
      <c r="L765" s="25"/>
      <c r="M765" s="25"/>
    </row>
    <row r="766" spans="1:33">
      <c r="B766" s="25"/>
      <c r="C766" s="25"/>
      <c r="D766" s="7"/>
      <c r="E766" s="25"/>
      <c r="F766" s="25"/>
      <c r="G766" s="25"/>
      <c r="H766" s="25"/>
      <c r="I766" s="25"/>
      <c r="J766" s="25"/>
      <c r="K766" s="7"/>
      <c r="L766" s="25"/>
      <c r="M766" s="25"/>
    </row>
    <row r="767" spans="1:33">
      <c r="B767" s="25"/>
      <c r="C767" s="25"/>
      <c r="D767" s="7"/>
      <c r="E767" s="25"/>
      <c r="F767" s="25"/>
      <c r="G767" s="25"/>
      <c r="H767" s="25"/>
      <c r="I767" s="25"/>
      <c r="J767" s="25"/>
      <c r="K767" s="7"/>
      <c r="L767" s="25"/>
      <c r="M767" s="25"/>
    </row>
    <row r="768" spans="1:33">
      <c r="B768" s="25"/>
    </row>
    <row r="769" spans="2:2">
      <c r="B769" s="25"/>
    </row>
    <row r="770" spans="2:2">
      <c r="B770" s="25"/>
    </row>
    <row r="771" spans="2:2">
      <c r="B771" s="25"/>
    </row>
    <row r="772" spans="2:2">
      <c r="B772" s="25"/>
    </row>
    <row r="773" spans="2:2">
      <c r="B773" s="25"/>
    </row>
    <row r="774" spans="2:2">
      <c r="B774" s="25"/>
    </row>
    <row r="775" spans="2:2">
      <c r="B775" s="25"/>
    </row>
    <row r="776" spans="2:2">
      <c r="B776" s="25"/>
    </row>
    <row r="777" spans="2:2">
      <c r="B777" s="25"/>
    </row>
    <row r="778" spans="2:2">
      <c r="B778" s="25"/>
    </row>
    <row r="779" spans="2:2">
      <c r="B779" s="25"/>
    </row>
    <row r="780" spans="2:2">
      <c r="B780" s="25"/>
    </row>
    <row r="781" spans="2:2">
      <c r="B781" s="25"/>
    </row>
    <row r="782" spans="2:2">
      <c r="B782" s="25"/>
    </row>
    <row r="783" spans="2:2">
      <c r="B783" s="25"/>
    </row>
    <row r="784" spans="2:2">
      <c r="B784" s="25"/>
    </row>
    <row r="785" spans="2:2">
      <c r="B785" s="25"/>
    </row>
    <row r="786" spans="2:2">
      <c r="B786" s="25"/>
    </row>
    <row r="787" spans="2:2">
      <c r="B787" s="25"/>
    </row>
    <row r="788" spans="2:2">
      <c r="B788" s="25"/>
    </row>
    <row r="789" spans="2:2">
      <c r="B789" s="25"/>
    </row>
    <row r="790" spans="2:2">
      <c r="B790" s="25"/>
    </row>
    <row r="791" spans="2:2">
      <c r="B791" s="25"/>
    </row>
    <row r="792" spans="2:2">
      <c r="B792" s="25"/>
    </row>
    <row r="793" spans="2:2">
      <c r="B793" s="25"/>
    </row>
    <row r="794" spans="2:2">
      <c r="B794" s="25"/>
    </row>
    <row r="795" spans="2:2">
      <c r="B795" s="25"/>
    </row>
    <row r="796" spans="2:2">
      <c r="B796" s="25"/>
    </row>
    <row r="797" spans="2:2">
      <c r="B797" s="25"/>
    </row>
    <row r="798" spans="2:2">
      <c r="B798" s="25"/>
    </row>
    <row r="799" spans="2:2">
      <c r="B799" s="25"/>
    </row>
    <row r="800" spans="2:2">
      <c r="B800" s="25"/>
    </row>
    <row r="801" spans="2:2">
      <c r="B801" s="25"/>
    </row>
    <row r="802" spans="2:2">
      <c r="B802" s="25"/>
    </row>
    <row r="803" spans="2:2">
      <c r="B803" s="25"/>
    </row>
    <row r="804" spans="2:2">
      <c r="B804" s="25"/>
    </row>
    <row r="805" spans="2:2">
      <c r="B805" s="25"/>
    </row>
    <row r="806" spans="2:2">
      <c r="B806" s="25"/>
    </row>
    <row r="807" spans="2:2">
      <c r="B807" s="25"/>
    </row>
    <row r="808" spans="2:2">
      <c r="B808" s="25"/>
    </row>
    <row r="809" spans="2:2">
      <c r="B809" s="25"/>
    </row>
    <row r="810" spans="2:2">
      <c r="B810" s="25"/>
    </row>
    <row r="811" spans="2:2">
      <c r="B811" s="25"/>
    </row>
    <row r="812" spans="2:2">
      <c r="B812" s="25"/>
    </row>
    <row r="813" spans="2:2">
      <c r="B813" s="25"/>
    </row>
    <row r="814" spans="2:2">
      <c r="B814" s="25"/>
    </row>
    <row r="815" spans="2:2">
      <c r="B815" s="25"/>
    </row>
    <row r="816" spans="2:2">
      <c r="B816" s="25"/>
    </row>
    <row r="817" spans="2:2">
      <c r="B817" s="25"/>
    </row>
    <row r="818" spans="2:2">
      <c r="B818" s="25"/>
    </row>
    <row r="819" spans="2:2">
      <c r="B819" s="25"/>
    </row>
    <row r="820" spans="2:2">
      <c r="B820" s="25"/>
    </row>
    <row r="821" spans="2:2">
      <c r="B821" s="25"/>
    </row>
    <row r="822" spans="2:2">
      <c r="B822" s="25"/>
    </row>
    <row r="823" spans="2:2">
      <c r="B823" s="25"/>
    </row>
    <row r="824" spans="2:2">
      <c r="B824" s="25"/>
    </row>
    <row r="825" spans="2:2">
      <c r="B825" s="25"/>
    </row>
    <row r="826" spans="2:2">
      <c r="B826" s="25"/>
    </row>
    <row r="827" spans="2:2">
      <c r="B827" s="25"/>
    </row>
    <row r="828" spans="2:2">
      <c r="B828" s="25"/>
    </row>
    <row r="829" spans="2:2">
      <c r="B829" s="25"/>
    </row>
    <row r="830" spans="2:2">
      <c r="B830" s="25"/>
    </row>
    <row r="831" spans="2:2">
      <c r="B831" s="25"/>
    </row>
    <row r="832" spans="2:2">
      <c r="B832" s="25"/>
    </row>
    <row r="833" spans="2:2">
      <c r="B833" s="25"/>
    </row>
    <row r="834" spans="2:2">
      <c r="B834" s="25"/>
    </row>
    <row r="835" spans="2:2">
      <c r="B835" s="25"/>
    </row>
    <row r="836" spans="2:2">
      <c r="B836" s="25"/>
    </row>
    <row r="837" spans="2:2">
      <c r="B837" s="25"/>
    </row>
    <row r="838" spans="2:2">
      <c r="B838" s="25"/>
    </row>
    <row r="839" spans="2:2">
      <c r="B839" s="25"/>
    </row>
    <row r="840" spans="2:2">
      <c r="B840" s="25"/>
    </row>
    <row r="841" spans="2:2">
      <c r="B841" s="25"/>
    </row>
    <row r="842" spans="2:2">
      <c r="B842" s="25"/>
    </row>
    <row r="843" spans="2:2">
      <c r="B843" s="25"/>
    </row>
    <row r="844" spans="2:2">
      <c r="B844" s="25"/>
    </row>
    <row r="845" spans="2:2">
      <c r="B845" s="25"/>
    </row>
    <row r="846" spans="2:2">
      <c r="B846" s="25"/>
    </row>
    <row r="847" spans="2:2">
      <c r="B847" s="25"/>
    </row>
    <row r="848" spans="2:2">
      <c r="B848" s="25"/>
    </row>
    <row r="849" spans="2:2">
      <c r="B849" s="25"/>
    </row>
    <row r="850" spans="2:2">
      <c r="B850" s="25"/>
    </row>
    <row r="851" spans="2:2">
      <c r="B851" s="25"/>
    </row>
    <row r="852" spans="2:2">
      <c r="B852" s="25"/>
    </row>
    <row r="853" spans="2:2">
      <c r="B853" s="25"/>
    </row>
    <row r="854" spans="2:2">
      <c r="B854" s="25"/>
    </row>
    <row r="855" spans="2:2">
      <c r="B855" s="25"/>
    </row>
    <row r="856" spans="2:2">
      <c r="B856" s="25"/>
    </row>
    <row r="857" spans="2:2">
      <c r="B857" s="25"/>
    </row>
    <row r="858" spans="2:2">
      <c r="B858" s="25"/>
    </row>
    <row r="859" spans="2:2">
      <c r="B859" s="25"/>
    </row>
    <row r="860" spans="2:2">
      <c r="B860" s="25"/>
    </row>
    <row r="861" spans="2:2">
      <c r="B861" s="25"/>
    </row>
    <row r="862" spans="2:2">
      <c r="B862" s="25"/>
    </row>
    <row r="863" spans="2:2">
      <c r="B863" s="25"/>
    </row>
    <row r="864" spans="2:2">
      <c r="B864" s="25"/>
    </row>
    <row r="865" spans="2:2">
      <c r="B865" s="25"/>
    </row>
    <row r="866" spans="2:2">
      <c r="B866" s="25"/>
    </row>
    <row r="867" spans="2:2">
      <c r="B867" s="25"/>
    </row>
    <row r="868" spans="2:2">
      <c r="B868" s="25"/>
    </row>
    <row r="869" spans="2:2">
      <c r="B869" s="25"/>
    </row>
    <row r="870" spans="2:2">
      <c r="B870" s="25"/>
    </row>
    <row r="871" spans="2:2">
      <c r="B871" s="25"/>
    </row>
    <row r="872" spans="2:2">
      <c r="B872" s="25"/>
    </row>
    <row r="873" spans="2:2">
      <c r="B873" s="25"/>
    </row>
    <row r="874" spans="2:2">
      <c r="B874" s="25"/>
    </row>
    <row r="875" spans="2:2">
      <c r="B875" s="25"/>
    </row>
    <row r="876" spans="2:2">
      <c r="B876" s="25"/>
    </row>
    <row r="877" spans="2:2">
      <c r="B877" s="25"/>
    </row>
    <row r="878" spans="2:2">
      <c r="B878" s="25"/>
    </row>
    <row r="879" spans="2:2">
      <c r="B879" s="25"/>
    </row>
    <row r="880" spans="2:2">
      <c r="B880" s="25"/>
    </row>
    <row r="881" spans="2:2">
      <c r="B881" s="25"/>
    </row>
    <row r="882" spans="2:2">
      <c r="B882" s="25"/>
    </row>
    <row r="883" spans="2:2">
      <c r="B883" s="25"/>
    </row>
    <row r="884" spans="2:2">
      <c r="B884" s="25"/>
    </row>
    <row r="885" spans="2:2">
      <c r="B885" s="25"/>
    </row>
    <row r="886" spans="2:2">
      <c r="B886" s="25"/>
    </row>
    <row r="887" spans="2:2">
      <c r="B887" s="25"/>
    </row>
    <row r="888" spans="2:2">
      <c r="B888" s="25"/>
    </row>
    <row r="889" spans="2:2">
      <c r="B889" s="25"/>
    </row>
    <row r="890" spans="2:2">
      <c r="B890" s="25"/>
    </row>
    <row r="891" spans="2:2">
      <c r="B891" s="25"/>
    </row>
    <row r="892" spans="2:2">
      <c r="B892" s="25"/>
    </row>
    <row r="893" spans="2:2">
      <c r="B893" s="25"/>
    </row>
    <row r="894" spans="2:2">
      <c r="B894" s="25"/>
    </row>
    <row r="895" spans="2:2">
      <c r="B895" s="25"/>
    </row>
    <row r="896" spans="2:2">
      <c r="B896" s="25"/>
    </row>
    <row r="897" spans="2:2">
      <c r="B897" s="25"/>
    </row>
    <row r="898" spans="2:2">
      <c r="B898" s="25"/>
    </row>
    <row r="899" spans="2:2">
      <c r="B899" s="25"/>
    </row>
    <row r="900" spans="2:2">
      <c r="B900" s="25"/>
    </row>
    <row r="901" spans="2:2">
      <c r="B901" s="25"/>
    </row>
    <row r="902" spans="2:2">
      <c r="B902" s="25"/>
    </row>
    <row r="903" spans="2:2">
      <c r="B903" s="25"/>
    </row>
    <row r="904" spans="2:2">
      <c r="B904" s="25"/>
    </row>
    <row r="905" spans="2:2">
      <c r="B905" s="25"/>
    </row>
    <row r="906" spans="2:2">
      <c r="B906" s="25"/>
    </row>
    <row r="907" spans="2:2">
      <c r="B907" s="25"/>
    </row>
    <row r="908" spans="2:2">
      <c r="B908" s="25"/>
    </row>
    <row r="909" spans="2:2">
      <c r="B909" s="25"/>
    </row>
    <row r="910" spans="2:2">
      <c r="B910" s="25"/>
    </row>
    <row r="911" spans="2:2">
      <c r="B911" s="25"/>
    </row>
    <row r="912" spans="2:2">
      <c r="B912" s="25"/>
    </row>
    <row r="913" spans="2:2">
      <c r="B913" s="25"/>
    </row>
    <row r="914" spans="2:2">
      <c r="B914" s="25"/>
    </row>
    <row r="915" spans="2:2">
      <c r="B915" s="25"/>
    </row>
    <row r="916" spans="2:2">
      <c r="B916" s="25"/>
    </row>
    <row r="917" spans="2:2">
      <c r="B917" s="25"/>
    </row>
    <row r="918" spans="2:2">
      <c r="B918" s="25"/>
    </row>
    <row r="919" spans="2:2">
      <c r="B919" s="25"/>
    </row>
    <row r="920" spans="2:2">
      <c r="B920" s="25"/>
    </row>
    <row r="921" spans="2:2">
      <c r="B921" s="25"/>
    </row>
    <row r="922" spans="2:2">
      <c r="B922" s="25"/>
    </row>
    <row r="923" spans="2:2">
      <c r="B923" s="25"/>
    </row>
    <row r="924" spans="2:2">
      <c r="B924" s="25"/>
    </row>
    <row r="925" spans="2:2">
      <c r="B925" s="25"/>
    </row>
    <row r="926" spans="2:2">
      <c r="B926" s="25"/>
    </row>
    <row r="927" spans="2:2">
      <c r="B927" s="25"/>
    </row>
    <row r="928" spans="2:2">
      <c r="B928" s="25"/>
    </row>
    <row r="929" spans="2:2">
      <c r="B929" s="25"/>
    </row>
    <row r="930" spans="2:2">
      <c r="B930" s="25"/>
    </row>
    <row r="931" spans="2:2">
      <c r="B931" s="25"/>
    </row>
    <row r="932" spans="2:2">
      <c r="B932" s="25"/>
    </row>
    <row r="933" spans="2:2">
      <c r="B933" s="25"/>
    </row>
    <row r="934" spans="2:2">
      <c r="B934" s="25"/>
    </row>
    <row r="935" spans="2:2">
      <c r="B935" s="25"/>
    </row>
    <row r="936" spans="2:2">
      <c r="B936" s="25"/>
    </row>
    <row r="937" spans="2:2">
      <c r="B937" s="25"/>
    </row>
    <row r="938" spans="2:2">
      <c r="B938" s="25"/>
    </row>
    <row r="939" spans="2:2">
      <c r="B939" s="25"/>
    </row>
    <row r="940" spans="2:2">
      <c r="B940" s="25"/>
    </row>
    <row r="941" spans="2:2">
      <c r="B941" s="25"/>
    </row>
    <row r="942" spans="2:2">
      <c r="B942" s="25"/>
    </row>
    <row r="943" spans="2:2">
      <c r="B943" s="25"/>
    </row>
    <row r="944" spans="2:2">
      <c r="B944" s="25"/>
    </row>
    <row r="945" spans="2:2">
      <c r="B945" s="25"/>
    </row>
    <row r="946" spans="2:2">
      <c r="B946" s="25"/>
    </row>
    <row r="947" spans="2:2">
      <c r="B947" s="25"/>
    </row>
    <row r="948" spans="2:2">
      <c r="B948" s="25"/>
    </row>
    <row r="949" spans="2:2">
      <c r="B949" s="25"/>
    </row>
    <row r="950" spans="2:2">
      <c r="B950" s="25"/>
    </row>
    <row r="951" spans="2:2">
      <c r="B951" s="25"/>
    </row>
    <row r="952" spans="2:2">
      <c r="B952" s="25"/>
    </row>
    <row r="953" spans="2:2">
      <c r="B953" s="25"/>
    </row>
    <row r="954" spans="2:2">
      <c r="B954" s="25"/>
    </row>
    <row r="955" spans="2:2">
      <c r="B955" s="25"/>
    </row>
    <row r="956" spans="2:2">
      <c r="B956" s="25"/>
    </row>
    <row r="957" spans="2:2">
      <c r="B957" s="25"/>
    </row>
    <row r="958" spans="2:2">
      <c r="B958" s="25"/>
    </row>
    <row r="959" spans="2:2">
      <c r="B959" s="25"/>
    </row>
    <row r="960" spans="2:2">
      <c r="B960" s="25"/>
    </row>
    <row r="961" spans="2:2">
      <c r="B961" s="25"/>
    </row>
    <row r="962" spans="2:2">
      <c r="B962" s="25"/>
    </row>
    <row r="963" spans="2:2">
      <c r="B963" s="25"/>
    </row>
    <row r="964" spans="2:2">
      <c r="B964" s="25"/>
    </row>
    <row r="965" spans="2:2">
      <c r="B965" s="25"/>
    </row>
    <row r="966" spans="2:2">
      <c r="B966" s="25"/>
    </row>
    <row r="967" spans="2:2">
      <c r="B967" s="25"/>
    </row>
    <row r="968" spans="2:2">
      <c r="B968" s="25"/>
    </row>
    <row r="969" spans="2:2">
      <c r="B969" s="25"/>
    </row>
    <row r="970" spans="2:2">
      <c r="B970" s="25"/>
    </row>
    <row r="971" spans="2:2">
      <c r="B971" s="25"/>
    </row>
    <row r="972" spans="2:2">
      <c r="B972" s="25"/>
    </row>
    <row r="973" spans="2:2">
      <c r="B973" s="25"/>
    </row>
    <row r="974" spans="2:2">
      <c r="B974" s="25"/>
    </row>
    <row r="975" spans="2:2">
      <c r="B975" s="25"/>
    </row>
    <row r="976" spans="2:2">
      <c r="B976" s="25"/>
    </row>
    <row r="977" spans="2:2">
      <c r="B977" s="25"/>
    </row>
    <row r="978" spans="2:2">
      <c r="B978" s="25"/>
    </row>
    <row r="979" spans="2:2">
      <c r="B979" s="25"/>
    </row>
    <row r="980" spans="2:2">
      <c r="B980" s="25"/>
    </row>
    <row r="981" spans="2:2">
      <c r="B981" s="25"/>
    </row>
    <row r="982" spans="2:2">
      <c r="B982" s="25"/>
    </row>
    <row r="983" spans="2:2">
      <c r="B983" s="25"/>
    </row>
    <row r="984" spans="2:2">
      <c r="B984" s="25"/>
    </row>
    <row r="985" spans="2:2">
      <c r="B985" s="25"/>
    </row>
    <row r="986" spans="2:2">
      <c r="B986" s="25"/>
    </row>
    <row r="987" spans="2:2">
      <c r="B987" s="25"/>
    </row>
    <row r="988" spans="2:2">
      <c r="B988" s="25"/>
    </row>
    <row r="989" spans="2:2">
      <c r="B989" s="25"/>
    </row>
    <row r="990" spans="2:2">
      <c r="B990" s="25"/>
    </row>
    <row r="991" spans="2:2">
      <c r="B991" s="25"/>
    </row>
    <row r="992" spans="2:2">
      <c r="B992" s="25"/>
    </row>
    <row r="993" spans="2:2">
      <c r="B993" s="25"/>
    </row>
    <row r="994" spans="2:2">
      <c r="B994" s="25"/>
    </row>
    <row r="995" spans="2:2">
      <c r="B995" s="25"/>
    </row>
    <row r="996" spans="2:2">
      <c r="B996" s="25"/>
    </row>
    <row r="997" spans="2:2">
      <c r="B997" s="25"/>
    </row>
    <row r="998" spans="2:2">
      <c r="B998" s="25"/>
    </row>
    <row r="999" spans="2:2">
      <c r="B999" s="25"/>
    </row>
    <row r="1000" spans="2:2">
      <c r="B1000" s="25"/>
    </row>
    <row r="1001" spans="2:2">
      <c r="B1001" s="25"/>
    </row>
    <row r="1002" spans="2:2">
      <c r="B1002" s="25"/>
    </row>
    <row r="1003" spans="2:2">
      <c r="B1003" s="25"/>
    </row>
    <row r="1004" spans="2:2">
      <c r="B1004" s="25"/>
    </row>
    <row r="1005" spans="2:2">
      <c r="B1005" s="25"/>
    </row>
    <row r="1006" spans="2:2">
      <c r="B1006" s="25"/>
    </row>
    <row r="1007" spans="2:2">
      <c r="B1007" s="25"/>
    </row>
    <row r="1008" spans="2:2">
      <c r="B1008" s="25"/>
    </row>
    <row r="1009" spans="2:2">
      <c r="B1009" s="25"/>
    </row>
    <row r="1010" spans="2:2">
      <c r="B1010" s="25"/>
    </row>
    <row r="1011" spans="2:2">
      <c r="B1011" s="25"/>
    </row>
    <row r="1012" spans="2:2">
      <c r="B1012" s="25"/>
    </row>
    <row r="1013" spans="2:2">
      <c r="B1013" s="25"/>
    </row>
    <row r="1014" spans="2:2">
      <c r="B1014" s="25"/>
    </row>
    <row r="1015" spans="2:2">
      <c r="B1015" s="25"/>
    </row>
    <row r="1016" spans="2:2">
      <c r="B1016" s="25"/>
    </row>
    <row r="1017" spans="2:2">
      <c r="B1017" s="25"/>
    </row>
    <row r="1018" spans="2:2">
      <c r="B1018" s="25"/>
    </row>
    <row r="1019" spans="2:2">
      <c r="B1019" s="25"/>
    </row>
    <row r="1020" spans="2:2">
      <c r="B1020" s="25"/>
    </row>
    <row r="1021" spans="2:2">
      <c r="B1021" s="25"/>
    </row>
    <row r="1022" spans="2:2">
      <c r="B1022" s="25"/>
    </row>
    <row r="1023" spans="2:2">
      <c r="B1023" s="25"/>
    </row>
    <row r="1024" spans="2:2">
      <c r="B1024" s="25"/>
    </row>
    <row r="1025" spans="2:2">
      <c r="B1025" s="25"/>
    </row>
    <row r="1026" spans="2:2">
      <c r="B1026" s="25"/>
    </row>
    <row r="1027" spans="2:2">
      <c r="B1027" s="25"/>
    </row>
    <row r="1028" spans="2:2">
      <c r="B1028" s="25"/>
    </row>
    <row r="1029" spans="2:2">
      <c r="B1029" s="25"/>
    </row>
    <row r="1030" spans="2:2">
      <c r="B1030" s="25"/>
    </row>
    <row r="1031" spans="2:2">
      <c r="B1031" s="25"/>
    </row>
    <row r="1032" spans="2:2">
      <c r="B1032" s="25"/>
    </row>
    <row r="1033" spans="2:2">
      <c r="B1033" s="25"/>
    </row>
    <row r="1034" spans="2:2">
      <c r="B1034" s="25"/>
    </row>
    <row r="1035" spans="2:2">
      <c r="B1035" s="25"/>
    </row>
    <row r="1036" spans="2:2">
      <c r="B1036" s="25"/>
    </row>
    <row r="1037" spans="2:2">
      <c r="B1037" s="25"/>
    </row>
    <row r="1038" spans="2:2">
      <c r="B1038" s="25"/>
    </row>
    <row r="1039" spans="2:2">
      <c r="B1039" s="25"/>
    </row>
    <row r="1040" spans="2:2">
      <c r="B1040" s="25"/>
    </row>
    <row r="1041" spans="2:2">
      <c r="B1041" s="25"/>
    </row>
    <row r="1042" spans="2:2">
      <c r="B1042" s="25"/>
    </row>
    <row r="1043" spans="2:2">
      <c r="B1043" s="25"/>
    </row>
    <row r="1044" spans="2:2">
      <c r="B1044" s="25"/>
    </row>
    <row r="1045" spans="2:2">
      <c r="B1045" s="25"/>
    </row>
    <row r="1046" spans="2:2">
      <c r="B1046" s="25"/>
    </row>
    <row r="1047" spans="2:2">
      <c r="B1047" s="25"/>
    </row>
    <row r="1048" spans="2:2">
      <c r="B1048" s="25"/>
    </row>
    <row r="1049" spans="2:2">
      <c r="B1049" s="25"/>
    </row>
    <row r="1050" spans="2:2">
      <c r="B1050" s="25"/>
    </row>
    <row r="1051" spans="2:2">
      <c r="B1051" s="25"/>
    </row>
    <row r="1052" spans="2:2">
      <c r="B1052" s="25"/>
    </row>
    <row r="1053" spans="2:2">
      <c r="B1053" s="25"/>
    </row>
    <row r="1054" spans="2:2">
      <c r="B1054" s="25"/>
    </row>
    <row r="1055" spans="2:2">
      <c r="B1055" s="25"/>
    </row>
    <row r="1056" spans="2:2">
      <c r="B1056" s="25"/>
    </row>
    <row r="1057" spans="2:2">
      <c r="B1057" s="25"/>
    </row>
    <row r="1058" spans="2:2">
      <c r="B1058" s="25"/>
    </row>
    <row r="1059" spans="2:2">
      <c r="B1059" s="25"/>
    </row>
    <row r="1060" spans="2:2">
      <c r="B1060" s="25"/>
    </row>
    <row r="1061" spans="2:2">
      <c r="B1061" s="25"/>
    </row>
    <row r="1062" spans="2:2">
      <c r="B1062" s="25"/>
    </row>
    <row r="1063" spans="2:2">
      <c r="B1063" s="25"/>
    </row>
    <row r="1064" spans="2:2">
      <c r="B1064" s="25"/>
    </row>
    <row r="1065" spans="2:2">
      <c r="B1065" s="25"/>
    </row>
    <row r="1066" spans="2:2">
      <c r="B1066" s="25"/>
    </row>
    <row r="1067" spans="2:2">
      <c r="B1067" s="25"/>
    </row>
    <row r="1068" spans="2:2">
      <c r="B1068" s="25"/>
    </row>
    <row r="1069" spans="2:2">
      <c r="B1069" s="25"/>
    </row>
    <row r="1070" spans="2:2">
      <c r="B1070" s="25"/>
    </row>
    <row r="1071" spans="2:2">
      <c r="B1071" s="25"/>
    </row>
    <row r="1072" spans="2:2">
      <c r="B1072" s="25"/>
    </row>
    <row r="1073" spans="2:2">
      <c r="B1073" s="25"/>
    </row>
    <row r="1074" spans="2:2">
      <c r="B1074" s="25"/>
    </row>
    <row r="1075" spans="2:2">
      <c r="B1075" s="25"/>
    </row>
    <row r="1076" spans="2:2">
      <c r="B1076" s="25"/>
    </row>
    <row r="1077" spans="2:2">
      <c r="B1077" s="25"/>
    </row>
    <row r="1078" spans="2:2">
      <c r="B1078" s="25"/>
    </row>
    <row r="1079" spans="2:2">
      <c r="B1079" s="25"/>
    </row>
    <row r="1080" spans="2:2">
      <c r="B1080" s="25"/>
    </row>
    <row r="1081" spans="2:2">
      <c r="B1081" s="25"/>
    </row>
    <row r="1082" spans="2:2">
      <c r="B1082" s="25"/>
    </row>
    <row r="1083" spans="2:2">
      <c r="B1083" s="25"/>
    </row>
    <row r="1084" spans="2:2">
      <c r="B1084" s="25"/>
    </row>
    <row r="1085" spans="2:2">
      <c r="B1085" s="25"/>
    </row>
    <row r="1086" spans="2:2">
      <c r="B1086" s="25"/>
    </row>
    <row r="1087" spans="2:2">
      <c r="B1087" s="25"/>
    </row>
    <row r="1088" spans="2:2">
      <c r="B1088" s="25"/>
    </row>
    <row r="1089" spans="2:2">
      <c r="B1089" s="25"/>
    </row>
    <row r="1090" spans="2:2">
      <c r="B1090" s="25"/>
    </row>
    <row r="1091" spans="2:2">
      <c r="B1091" s="25"/>
    </row>
    <row r="1092" spans="2:2">
      <c r="B1092" s="25"/>
    </row>
    <row r="1093" spans="2:2">
      <c r="B1093" s="25"/>
    </row>
    <row r="1094" spans="2:2">
      <c r="B1094" s="25"/>
    </row>
    <row r="1095" spans="2:2">
      <c r="B1095" s="25"/>
    </row>
    <row r="1096" spans="2:2">
      <c r="B1096" s="25"/>
    </row>
    <row r="1097" spans="2:2">
      <c r="B1097" s="25"/>
    </row>
    <row r="1098" spans="2:2">
      <c r="B1098" s="25"/>
    </row>
    <row r="1099" spans="2:2">
      <c r="B1099" s="25"/>
    </row>
    <row r="1100" spans="2:2">
      <c r="B1100" s="25"/>
    </row>
    <row r="1101" spans="2:2">
      <c r="B1101" s="25"/>
    </row>
    <row r="1102" spans="2:2">
      <c r="B1102" s="25"/>
    </row>
    <row r="1103" spans="2:2">
      <c r="B1103" s="25"/>
    </row>
    <row r="1104" spans="2:2">
      <c r="B1104" s="25"/>
    </row>
    <row r="1105" spans="2:2">
      <c r="B1105" s="25"/>
    </row>
    <row r="1106" spans="2:2">
      <c r="B1106" s="25"/>
    </row>
    <row r="1107" spans="2:2">
      <c r="B1107" s="25"/>
    </row>
    <row r="1108" spans="2:2">
      <c r="B1108" s="25"/>
    </row>
    <row r="1109" spans="2:2">
      <c r="B1109" s="25"/>
    </row>
    <row r="1110" spans="2:2">
      <c r="B1110" s="25"/>
    </row>
    <row r="1111" spans="2:2">
      <c r="B1111" s="25"/>
    </row>
    <row r="1112" spans="2:2">
      <c r="B1112" s="25"/>
    </row>
    <row r="1113" spans="2:2">
      <c r="B1113" s="25"/>
    </row>
    <row r="1114" spans="2:2">
      <c r="B1114" s="25"/>
    </row>
    <row r="1115" spans="2:2">
      <c r="B1115" s="25"/>
    </row>
    <row r="1116" spans="2:2">
      <c r="B1116" s="25"/>
    </row>
    <row r="1117" spans="2:2">
      <c r="B1117" s="25"/>
    </row>
    <row r="1118" spans="2:2">
      <c r="B1118" s="25"/>
    </row>
    <row r="1119" spans="2:2">
      <c r="B1119" s="25"/>
    </row>
    <row r="1120" spans="2:2">
      <c r="B1120" s="25"/>
    </row>
    <row r="1121" spans="2:2">
      <c r="B1121" s="25"/>
    </row>
    <row r="1122" spans="2:2">
      <c r="B1122" s="25"/>
    </row>
    <row r="1123" spans="2:2">
      <c r="B1123" s="25"/>
    </row>
    <row r="1124" spans="2:2">
      <c r="B1124" s="25"/>
    </row>
    <row r="1125" spans="2:2">
      <c r="B1125" s="25"/>
    </row>
    <row r="1126" spans="2:2">
      <c r="B1126" s="25"/>
    </row>
    <row r="1127" spans="2:2">
      <c r="B1127" s="25"/>
    </row>
    <row r="1128" spans="2:2">
      <c r="B1128" s="25"/>
    </row>
    <row r="1129" spans="2:2">
      <c r="B1129" s="25"/>
    </row>
    <row r="1130" spans="2:2">
      <c r="B1130" s="25"/>
    </row>
    <row r="1131" spans="2:2">
      <c r="B1131" s="25"/>
    </row>
    <row r="1132" spans="2:2">
      <c r="B1132" s="25"/>
    </row>
    <row r="1133" spans="2:2">
      <c r="B1133" s="25"/>
    </row>
    <row r="1134" spans="2:2">
      <c r="B1134" s="25"/>
    </row>
    <row r="1135" spans="2:2">
      <c r="B1135" s="25"/>
    </row>
    <row r="1136" spans="2:2">
      <c r="B1136" s="25"/>
    </row>
    <row r="1137" spans="2:2">
      <c r="B1137" s="25"/>
    </row>
    <row r="1138" spans="2:2">
      <c r="B1138" s="25"/>
    </row>
    <row r="1139" spans="2:2">
      <c r="B1139" s="25"/>
    </row>
    <row r="1140" spans="2:2">
      <c r="B1140" s="25"/>
    </row>
    <row r="1141" spans="2:2">
      <c r="B1141" s="25"/>
    </row>
    <row r="1142" spans="2:2">
      <c r="B1142" s="25"/>
    </row>
    <row r="1143" spans="2:2">
      <c r="B1143" s="25"/>
    </row>
    <row r="1144" spans="2:2">
      <c r="B1144" s="25"/>
    </row>
    <row r="1145" spans="2:2">
      <c r="B1145" s="25"/>
    </row>
    <row r="1146" spans="2:2">
      <c r="B1146" s="25"/>
    </row>
    <row r="1147" spans="2:2">
      <c r="B1147" s="25"/>
    </row>
    <row r="1148" spans="2:2">
      <c r="B1148" s="25"/>
    </row>
    <row r="1149" spans="2:2">
      <c r="B1149" s="25"/>
    </row>
    <row r="1150" spans="2:2">
      <c r="B1150" s="25"/>
    </row>
    <row r="1151" spans="2:2">
      <c r="B1151" s="25"/>
    </row>
    <row r="1152" spans="2:2">
      <c r="B1152" s="25"/>
    </row>
    <row r="1153" spans="2:2">
      <c r="B1153" s="25"/>
    </row>
    <row r="1154" spans="2:2">
      <c r="B1154" s="25"/>
    </row>
    <row r="1155" spans="2:2">
      <c r="B1155" s="25"/>
    </row>
    <row r="1156" spans="2:2">
      <c r="B1156" s="25"/>
    </row>
    <row r="1157" spans="2:2">
      <c r="B1157" s="25"/>
    </row>
    <row r="1158" spans="2:2">
      <c r="B1158" s="25"/>
    </row>
    <row r="1159" spans="2:2">
      <c r="B1159" s="25"/>
    </row>
    <row r="1160" spans="2:2">
      <c r="B1160" s="25"/>
    </row>
    <row r="1161" spans="2:2">
      <c r="B1161" s="25"/>
    </row>
    <row r="1162" spans="2:2">
      <c r="B1162" s="25"/>
    </row>
    <row r="1163" spans="2:2">
      <c r="B1163" s="25"/>
    </row>
    <row r="1164" spans="2:2">
      <c r="B1164" s="25"/>
    </row>
    <row r="1165" spans="2:2">
      <c r="B1165" s="25"/>
    </row>
    <row r="1166" spans="2:2">
      <c r="B1166" s="25"/>
    </row>
    <row r="1167" spans="2:2">
      <c r="B1167" s="25"/>
    </row>
    <row r="1168" spans="2:2">
      <c r="B1168" s="25"/>
    </row>
    <row r="1169" spans="2:2">
      <c r="B1169" s="25"/>
    </row>
    <row r="1170" spans="2:2">
      <c r="B1170" s="25"/>
    </row>
    <row r="1171" spans="2:2">
      <c r="B1171" s="25"/>
    </row>
    <row r="1172" spans="2:2">
      <c r="B1172" s="25"/>
    </row>
    <row r="1173" spans="2:2">
      <c r="B1173" s="25"/>
    </row>
    <row r="1174" spans="2:2">
      <c r="B1174" s="25"/>
    </row>
    <row r="1175" spans="2:2">
      <c r="B1175" s="25"/>
    </row>
    <row r="1176" spans="2:2">
      <c r="B1176" s="25"/>
    </row>
    <row r="1177" spans="2:2">
      <c r="B1177" s="25"/>
    </row>
    <row r="1178" spans="2:2">
      <c r="B1178" s="25"/>
    </row>
    <row r="1179" spans="2:2">
      <c r="B1179" s="25"/>
    </row>
    <row r="1180" spans="2:2">
      <c r="B1180" s="25"/>
    </row>
    <row r="1181" spans="2:2">
      <c r="B1181" s="25"/>
    </row>
    <row r="1182" spans="2:2">
      <c r="B1182" s="25"/>
    </row>
    <row r="1183" spans="2:2">
      <c r="B1183" s="25"/>
    </row>
    <row r="1184" spans="2:2">
      <c r="B1184" s="25"/>
    </row>
    <row r="1185" spans="2:2">
      <c r="B1185" s="25"/>
    </row>
    <row r="1186" spans="2:2">
      <c r="B1186" s="25"/>
    </row>
    <row r="1187" spans="2:2">
      <c r="B1187" s="25"/>
    </row>
    <row r="1188" spans="2:2">
      <c r="B1188" s="25"/>
    </row>
    <row r="1189" spans="2:2">
      <c r="B1189" s="25"/>
    </row>
    <row r="1190" spans="2:2">
      <c r="B1190" s="25"/>
    </row>
    <row r="1191" spans="2:2">
      <c r="B1191" s="25"/>
    </row>
    <row r="1192" spans="2:2">
      <c r="B1192" s="25"/>
    </row>
    <row r="1193" spans="2:2">
      <c r="B1193" s="25"/>
    </row>
    <row r="1194" spans="2:2">
      <c r="B1194" s="25"/>
    </row>
    <row r="1195" spans="2:2">
      <c r="B1195" s="25"/>
    </row>
    <row r="1196" spans="2:2">
      <c r="B1196" s="25"/>
    </row>
    <row r="1197" spans="2:2">
      <c r="B1197" s="25"/>
    </row>
    <row r="1198" spans="2:2">
      <c r="B1198" s="25"/>
    </row>
    <row r="1199" spans="2:2">
      <c r="B1199" s="25"/>
    </row>
    <row r="1200" spans="2:2">
      <c r="B1200" s="25"/>
    </row>
    <row r="1201" spans="2:2">
      <c r="B1201" s="25"/>
    </row>
    <row r="1202" spans="2:2">
      <c r="B1202" s="25"/>
    </row>
    <row r="1203" spans="2:2">
      <c r="B1203" s="25"/>
    </row>
    <row r="1204" spans="2:2">
      <c r="B1204" s="25"/>
    </row>
    <row r="1205" spans="2:2">
      <c r="B1205" s="25"/>
    </row>
    <row r="1206" spans="2:2">
      <c r="B1206" s="25"/>
    </row>
    <row r="1207" spans="2:2">
      <c r="B1207" s="25"/>
    </row>
    <row r="1208" spans="2:2">
      <c r="B1208" s="25"/>
    </row>
    <row r="1209" spans="2:2">
      <c r="B1209" s="25"/>
    </row>
    <row r="1210" spans="2:2">
      <c r="B1210" s="25"/>
    </row>
    <row r="1211" spans="2:2">
      <c r="B1211" s="25"/>
    </row>
    <row r="1212" spans="2:2">
      <c r="B1212" s="25"/>
    </row>
    <row r="1213" spans="2:2">
      <c r="B1213" s="25"/>
    </row>
    <row r="1214" spans="2:2">
      <c r="B1214" s="25"/>
    </row>
    <row r="1215" spans="2:2">
      <c r="B1215" s="25"/>
    </row>
    <row r="1216" spans="2:2">
      <c r="B1216" s="25"/>
    </row>
    <row r="1217" spans="2:2">
      <c r="B1217" s="25"/>
    </row>
    <row r="1218" spans="2:2">
      <c r="B1218" s="25"/>
    </row>
    <row r="1219" spans="2:2">
      <c r="B1219" s="25"/>
    </row>
    <row r="1220" spans="2:2">
      <c r="B1220" s="25"/>
    </row>
    <row r="1221" spans="2:2">
      <c r="B1221" s="25"/>
    </row>
    <row r="1222" spans="2:2">
      <c r="B1222" s="25"/>
    </row>
    <row r="1223" spans="2:2">
      <c r="B1223" s="25"/>
    </row>
    <row r="1224" spans="2:2">
      <c r="B1224" s="25"/>
    </row>
    <row r="1225" spans="2:2">
      <c r="B1225" s="25"/>
    </row>
    <row r="1226" spans="2:2">
      <c r="B1226" s="25"/>
    </row>
    <row r="1227" spans="2:2">
      <c r="B1227" s="25"/>
    </row>
    <row r="1228" spans="2:2">
      <c r="B1228" s="25"/>
    </row>
    <row r="1229" spans="2:2">
      <c r="B1229" s="25"/>
    </row>
    <row r="1230" spans="2:2">
      <c r="B1230" s="25"/>
    </row>
    <row r="1231" spans="2:2">
      <c r="B1231" s="25"/>
    </row>
    <row r="1232" spans="2:2">
      <c r="B1232" s="25"/>
    </row>
    <row r="1233" spans="2:2">
      <c r="B1233" s="25"/>
    </row>
    <row r="1234" spans="2:2">
      <c r="B1234" s="25"/>
    </row>
    <row r="1235" spans="2:2">
      <c r="B1235" s="25"/>
    </row>
    <row r="1236" spans="2:2">
      <c r="B1236" s="25"/>
    </row>
    <row r="1237" spans="2:2">
      <c r="B1237" s="25"/>
    </row>
    <row r="1238" spans="2:2">
      <c r="B1238" s="25"/>
    </row>
    <row r="1239" spans="2:2">
      <c r="B1239" s="25"/>
    </row>
    <row r="1240" spans="2:2">
      <c r="B1240" s="25"/>
    </row>
    <row r="1241" spans="2:2">
      <c r="B1241" s="25"/>
    </row>
    <row r="1242" spans="2:2">
      <c r="B1242" s="25"/>
    </row>
    <row r="1243" spans="2:2">
      <c r="B1243" s="25"/>
    </row>
    <row r="1244" spans="2:2">
      <c r="B1244" s="25"/>
    </row>
    <row r="1245" spans="2:2">
      <c r="B1245" s="25"/>
    </row>
    <row r="1246" spans="2:2">
      <c r="B1246" s="25"/>
    </row>
    <row r="1247" spans="2:2">
      <c r="B1247" s="25"/>
    </row>
    <row r="1248" spans="2:2">
      <c r="B1248" s="25"/>
    </row>
    <row r="1249" spans="2:2">
      <c r="B1249" s="25"/>
    </row>
    <row r="1250" spans="2:2">
      <c r="B1250" s="25"/>
    </row>
    <row r="1251" spans="2:2">
      <c r="B1251" s="25"/>
    </row>
    <row r="1252" spans="2:2">
      <c r="B1252" s="25"/>
    </row>
    <row r="1253" spans="2:2">
      <c r="B1253" s="25"/>
    </row>
    <row r="1254" spans="2:2">
      <c r="B1254" s="25"/>
    </row>
    <row r="1255" spans="2:2">
      <c r="B1255" s="25"/>
    </row>
    <row r="1256" spans="2:2">
      <c r="B1256" s="25"/>
    </row>
    <row r="1257" spans="2:2">
      <c r="B1257" s="25"/>
    </row>
    <row r="1258" spans="2:2">
      <c r="B1258" s="25"/>
    </row>
    <row r="1259" spans="2:2">
      <c r="B1259" s="25"/>
    </row>
    <row r="1260" spans="2:2">
      <c r="B1260" s="25"/>
    </row>
    <row r="1261" spans="2:2">
      <c r="B1261" s="25"/>
    </row>
    <row r="1262" spans="2:2">
      <c r="B1262" s="25"/>
    </row>
    <row r="1263" spans="2:2">
      <c r="B1263" s="25"/>
    </row>
    <row r="1264" spans="2:2">
      <c r="B1264" s="25"/>
    </row>
    <row r="1265" spans="2:2">
      <c r="B1265" s="25"/>
    </row>
    <row r="1266" spans="2:2">
      <c r="B1266" s="25"/>
    </row>
    <row r="1267" spans="2:2">
      <c r="B1267" s="25"/>
    </row>
    <row r="1268" spans="2:2">
      <c r="B1268" s="25"/>
    </row>
    <row r="1269" spans="2:2">
      <c r="B1269" s="25"/>
    </row>
    <row r="1270" spans="2:2">
      <c r="B1270" s="25"/>
    </row>
    <row r="1271" spans="2:2">
      <c r="B1271" s="25"/>
    </row>
    <row r="1272" spans="2:2">
      <c r="B1272" s="25"/>
    </row>
    <row r="1273" spans="2:2">
      <c r="B1273" s="25"/>
    </row>
    <row r="1274" spans="2:2">
      <c r="B1274" s="25"/>
    </row>
    <row r="1275" spans="2:2">
      <c r="B1275" s="25"/>
    </row>
    <row r="1276" spans="2:2">
      <c r="B1276" s="25"/>
    </row>
    <row r="1277" spans="2:2">
      <c r="B1277" s="25"/>
    </row>
    <row r="1278" spans="2:2">
      <c r="B1278" s="25"/>
    </row>
    <row r="1279" spans="2:2">
      <c r="B1279" s="25"/>
    </row>
    <row r="1280" spans="2:2">
      <c r="B1280" s="25"/>
    </row>
    <row r="1281" spans="2:2">
      <c r="B1281" s="25"/>
    </row>
    <row r="1282" spans="2:2">
      <c r="B1282" s="25"/>
    </row>
    <row r="1283" spans="2:2">
      <c r="B1283" s="25"/>
    </row>
    <row r="1284" spans="2:2">
      <c r="B1284" s="25"/>
    </row>
    <row r="1285" spans="2:2">
      <c r="B1285" s="25"/>
    </row>
    <row r="1286" spans="2:2">
      <c r="B1286" s="25"/>
    </row>
    <row r="1287" spans="2:2">
      <c r="B1287" s="25"/>
    </row>
    <row r="1288" spans="2:2">
      <c r="B1288" s="25"/>
    </row>
    <row r="1289" spans="2:2">
      <c r="B1289" s="25"/>
    </row>
    <row r="1290" spans="2:2">
      <c r="B1290" s="25"/>
    </row>
    <row r="1291" spans="2:2">
      <c r="B1291" s="25"/>
    </row>
    <row r="1292" spans="2:2">
      <c r="B1292" s="25"/>
    </row>
    <row r="1293" spans="2:2">
      <c r="B1293" s="25"/>
    </row>
    <row r="1294" spans="2:2">
      <c r="B1294" s="25"/>
    </row>
    <row r="1295" spans="2:2">
      <c r="B1295" s="25"/>
    </row>
    <row r="1296" spans="2:2">
      <c r="B1296" s="25"/>
    </row>
    <row r="1297" spans="2:2">
      <c r="B1297" s="25"/>
    </row>
    <row r="1298" spans="2:2">
      <c r="B1298" s="25"/>
    </row>
    <row r="1299" spans="2:2">
      <c r="B1299" s="25"/>
    </row>
    <row r="1300" spans="2:2">
      <c r="B1300" s="25"/>
    </row>
    <row r="1301" spans="2:2">
      <c r="B1301" s="25"/>
    </row>
    <row r="1302" spans="2:2">
      <c r="B1302" s="25"/>
    </row>
    <row r="1303" spans="2:2">
      <c r="B1303" s="25"/>
    </row>
    <row r="1304" spans="2:2">
      <c r="B1304" s="25"/>
    </row>
    <row r="1305" spans="2:2">
      <c r="B1305" s="25"/>
    </row>
    <row r="1306" spans="2:2">
      <c r="B1306" s="25"/>
    </row>
    <row r="1307" spans="2:2">
      <c r="B1307" s="25"/>
    </row>
    <row r="1308" spans="2:2">
      <c r="B1308" s="25"/>
    </row>
    <row r="1309" spans="2:2">
      <c r="B1309" s="25"/>
    </row>
    <row r="1310" spans="2:2">
      <c r="B1310" s="25"/>
    </row>
    <row r="1311" spans="2:2">
      <c r="B1311" s="25"/>
    </row>
    <row r="1312" spans="2:2">
      <c r="B1312" s="25"/>
    </row>
    <row r="1313" spans="2:2">
      <c r="B1313" s="25"/>
    </row>
    <row r="1314" spans="2:2">
      <c r="B1314" s="25"/>
    </row>
    <row r="1315" spans="2:2">
      <c r="B1315" s="25"/>
    </row>
    <row r="1316" spans="2:2">
      <c r="B1316" s="25"/>
    </row>
    <row r="1317" spans="2:2">
      <c r="B1317" s="25"/>
    </row>
    <row r="1318" spans="2:2">
      <c r="B1318" s="25"/>
    </row>
    <row r="1319" spans="2:2">
      <c r="B1319" s="25"/>
    </row>
    <row r="1320" spans="2:2">
      <c r="B1320" s="25"/>
    </row>
    <row r="1321" spans="2:2">
      <c r="B1321" s="25"/>
    </row>
    <row r="1322" spans="2:2">
      <c r="B1322" s="25"/>
    </row>
    <row r="1323" spans="2:2">
      <c r="B1323" s="25"/>
    </row>
    <row r="1324" spans="2:2">
      <c r="B1324" s="25"/>
    </row>
    <row r="1325" spans="2:2">
      <c r="B1325" s="25"/>
    </row>
    <row r="1326" spans="2:2">
      <c r="B1326" s="25"/>
    </row>
    <row r="1327" spans="2:2">
      <c r="B1327" s="25"/>
    </row>
    <row r="1328" spans="2:2">
      <c r="B1328" s="25"/>
    </row>
    <row r="1329" spans="2:2">
      <c r="B1329" s="25"/>
    </row>
    <row r="1330" spans="2:2">
      <c r="B1330" s="25"/>
    </row>
    <row r="1331" spans="2:2">
      <c r="B1331" s="25"/>
    </row>
    <row r="1332" spans="2:2">
      <c r="B1332" s="25"/>
    </row>
    <row r="1333" spans="2:2">
      <c r="B1333" s="25"/>
    </row>
    <row r="1334" spans="2:2">
      <c r="B1334" s="25"/>
    </row>
    <row r="1335" spans="2:2">
      <c r="B1335" s="25"/>
    </row>
    <row r="1336" spans="2:2">
      <c r="B1336" s="25"/>
    </row>
    <row r="1337" spans="2:2">
      <c r="B1337" s="25"/>
    </row>
    <row r="1338" spans="2:2">
      <c r="B1338" s="25"/>
    </row>
    <row r="1339" spans="2:2">
      <c r="B1339" s="25"/>
    </row>
    <row r="1340" spans="2:2">
      <c r="B1340" s="25"/>
    </row>
    <row r="1341" spans="2:2">
      <c r="B1341" s="25"/>
    </row>
    <row r="1342" spans="2:2">
      <c r="B1342" s="25"/>
    </row>
    <row r="1343" spans="2:2">
      <c r="B1343" s="25"/>
    </row>
    <row r="1344" spans="2:2">
      <c r="B1344" s="25"/>
    </row>
    <row r="1345" spans="2:2">
      <c r="B1345" s="25"/>
    </row>
    <row r="1346" spans="2:2">
      <c r="B1346" s="25"/>
    </row>
    <row r="1347" spans="2:2">
      <c r="B1347" s="25"/>
    </row>
    <row r="1348" spans="2:2">
      <c r="B1348" s="25"/>
    </row>
    <row r="1349" spans="2:2">
      <c r="B1349" s="25"/>
    </row>
    <row r="1350" spans="2:2">
      <c r="B1350" s="25"/>
    </row>
    <row r="1351" spans="2:2">
      <c r="B1351" s="25"/>
    </row>
    <row r="1352" spans="2:2">
      <c r="B1352" s="25"/>
    </row>
    <row r="1353" spans="2:2">
      <c r="B1353" s="25"/>
    </row>
    <row r="1354" spans="2:2">
      <c r="B1354" s="25"/>
    </row>
    <row r="1355" spans="2:2">
      <c r="B1355" s="25"/>
    </row>
    <row r="1356" spans="2:2">
      <c r="B1356" s="25"/>
    </row>
    <row r="1357" spans="2:2">
      <c r="B1357" s="25"/>
    </row>
    <row r="1358" spans="2:2">
      <c r="B1358" s="25"/>
    </row>
    <row r="1359" spans="2:2">
      <c r="B1359" s="25"/>
    </row>
    <row r="1360" spans="2:2">
      <c r="B1360" s="25"/>
    </row>
    <row r="1361" spans="2:2">
      <c r="B1361" s="25"/>
    </row>
    <row r="1362" spans="2:2">
      <c r="B1362" s="25"/>
    </row>
    <row r="1363" spans="2:2">
      <c r="B1363" s="25"/>
    </row>
    <row r="1364" spans="2:2">
      <c r="B1364" s="25"/>
    </row>
    <row r="1365" spans="2:2">
      <c r="B1365" s="25"/>
    </row>
    <row r="1366" spans="2:2">
      <c r="B1366" s="25"/>
    </row>
    <row r="1367" spans="2:2">
      <c r="B1367" s="25"/>
    </row>
    <row r="1368" spans="2:2">
      <c r="B1368" s="25"/>
    </row>
    <row r="1369" spans="2:2">
      <c r="B1369" s="25"/>
    </row>
    <row r="1370" spans="2:2">
      <c r="B1370" s="25"/>
    </row>
    <row r="1371" spans="2:2">
      <c r="B1371" s="25"/>
    </row>
    <row r="1372" spans="2:2">
      <c r="B1372" s="25"/>
    </row>
    <row r="1373" spans="2:2">
      <c r="B1373" s="25"/>
    </row>
    <row r="1374" spans="2:2">
      <c r="B1374" s="25"/>
    </row>
    <row r="1375" spans="2:2">
      <c r="B1375" s="25"/>
    </row>
    <row r="1376" spans="2:2">
      <c r="B1376" s="25"/>
    </row>
    <row r="1377" spans="2:2">
      <c r="B1377" s="25"/>
    </row>
    <row r="1378" spans="2:2">
      <c r="B1378" s="25"/>
    </row>
    <row r="1379" spans="2:2">
      <c r="B1379" s="25"/>
    </row>
    <row r="1380" spans="2:2">
      <c r="B1380" s="25"/>
    </row>
    <row r="1381" spans="2:2">
      <c r="B1381" s="25"/>
    </row>
    <row r="1382" spans="2:2">
      <c r="B1382" s="25"/>
    </row>
    <row r="1383" spans="2:2">
      <c r="B1383" s="25"/>
    </row>
    <row r="1384" spans="2:2">
      <c r="B1384" s="25"/>
    </row>
    <row r="1385" spans="2:2">
      <c r="B1385" s="25"/>
    </row>
    <row r="1386" spans="2:2">
      <c r="B1386" s="25"/>
    </row>
    <row r="1387" spans="2:2">
      <c r="B1387" s="25"/>
    </row>
    <row r="1388" spans="2:2">
      <c r="B1388" s="25"/>
    </row>
    <row r="1389" spans="2:2">
      <c r="B1389" s="25"/>
    </row>
    <row r="1390" spans="2:2">
      <c r="B1390" s="25"/>
    </row>
    <row r="1391" spans="2:2">
      <c r="B1391" s="25"/>
    </row>
    <row r="1392" spans="2:2">
      <c r="B1392" s="25"/>
    </row>
    <row r="1393" spans="2:2">
      <c r="B1393" s="25"/>
    </row>
    <row r="1394" spans="2:2">
      <c r="B1394" s="25"/>
    </row>
    <row r="1395" spans="2:2">
      <c r="B1395" s="25"/>
    </row>
    <row r="1396" spans="2:2">
      <c r="B1396" s="25"/>
    </row>
    <row r="1397" spans="2:2">
      <c r="B1397" s="25"/>
    </row>
    <row r="1398" spans="2:2">
      <c r="B1398" s="25"/>
    </row>
    <row r="1399" spans="2:2">
      <c r="B1399" s="25"/>
    </row>
    <row r="1400" spans="2:2">
      <c r="B1400" s="25"/>
    </row>
    <row r="1401" spans="2:2">
      <c r="B1401" s="25"/>
    </row>
    <row r="1402" spans="2:2">
      <c r="B1402" s="25"/>
    </row>
    <row r="1403" spans="2:2">
      <c r="B1403" s="25"/>
    </row>
    <row r="1404" spans="2:2">
      <c r="B1404" s="25"/>
    </row>
    <row r="1405" spans="2:2">
      <c r="B1405" s="25"/>
    </row>
    <row r="1406" spans="2:2">
      <c r="B1406" s="25"/>
    </row>
    <row r="1407" spans="2:2">
      <c r="B1407" s="25"/>
    </row>
    <row r="1408" spans="2:2">
      <c r="B1408" s="25"/>
    </row>
    <row r="1409" spans="2:2">
      <c r="B1409" s="25"/>
    </row>
    <row r="1410" spans="2:2">
      <c r="B1410" s="25"/>
    </row>
    <row r="1411" spans="2:2">
      <c r="B1411" s="25"/>
    </row>
    <row r="1412" spans="2:2">
      <c r="B1412" s="25"/>
    </row>
    <row r="1413" spans="2:2">
      <c r="B1413" s="25"/>
    </row>
    <row r="1414" spans="2:2">
      <c r="B1414" s="25"/>
    </row>
    <row r="1415" spans="2:2">
      <c r="B1415" s="25"/>
    </row>
    <row r="1416" spans="2:2">
      <c r="B1416" s="25"/>
    </row>
    <row r="1417" spans="2:2">
      <c r="B1417" s="25"/>
    </row>
    <row r="1418" spans="2:2">
      <c r="B1418" s="25"/>
    </row>
    <row r="1419" spans="2:2">
      <c r="B1419" s="25"/>
    </row>
    <row r="1420" spans="2:2">
      <c r="B1420" s="25"/>
    </row>
    <row r="1421" spans="2:2">
      <c r="B1421" s="25"/>
    </row>
    <row r="1422" spans="2:2">
      <c r="B1422" s="25"/>
    </row>
    <row r="1423" spans="2:2">
      <c r="B1423" s="25"/>
    </row>
    <row r="1424" spans="2:2">
      <c r="B1424" s="25"/>
    </row>
    <row r="1425" spans="2:2">
      <c r="B1425" s="25"/>
    </row>
    <row r="1426" spans="2:2">
      <c r="B1426" s="25"/>
    </row>
    <row r="1427" spans="2:2">
      <c r="B1427" s="25"/>
    </row>
    <row r="1428" spans="2:2">
      <c r="B1428" s="25"/>
    </row>
    <row r="1429" spans="2:2">
      <c r="B1429" s="25"/>
    </row>
    <row r="1430" spans="2:2">
      <c r="B1430" s="25"/>
    </row>
    <row r="1431" spans="2:2">
      <c r="B1431" s="25"/>
    </row>
    <row r="1432" spans="2:2">
      <c r="B1432" s="25"/>
    </row>
    <row r="1433" spans="2:2">
      <c r="B1433" s="25"/>
    </row>
    <row r="1434" spans="2:2">
      <c r="B1434" s="25"/>
    </row>
    <row r="1435" spans="2:2">
      <c r="B1435" s="25"/>
    </row>
    <row r="1436" spans="2:2">
      <c r="B1436" s="25"/>
    </row>
    <row r="1437" spans="2:2">
      <c r="B1437" s="25"/>
    </row>
    <row r="1438" spans="2:2">
      <c r="B1438" s="25"/>
    </row>
    <row r="1439" spans="2:2">
      <c r="B1439" s="25"/>
    </row>
    <row r="1440" spans="2:2">
      <c r="B1440" s="25"/>
    </row>
    <row r="1441" spans="2:2">
      <c r="B1441" s="25"/>
    </row>
    <row r="1442" spans="2:2">
      <c r="B1442" s="25"/>
    </row>
    <row r="1443" spans="2:2">
      <c r="B1443" s="25"/>
    </row>
    <row r="1444" spans="2:2">
      <c r="B1444" s="25"/>
    </row>
    <row r="1445" spans="2:2">
      <c r="B1445" s="25"/>
    </row>
    <row r="1446" spans="2:2">
      <c r="B1446" s="25"/>
    </row>
    <row r="1447" spans="2:2">
      <c r="B1447" s="25"/>
    </row>
    <row r="1448" spans="2:2">
      <c r="B1448" s="25"/>
    </row>
    <row r="1449" spans="2:2">
      <c r="B1449" s="25"/>
    </row>
    <row r="1450" spans="2:2">
      <c r="B1450" s="25"/>
    </row>
    <row r="1451" spans="2:2">
      <c r="B1451" s="25"/>
    </row>
    <row r="1452" spans="2:2">
      <c r="B1452" s="25"/>
    </row>
    <row r="1453" spans="2:2">
      <c r="B1453" s="25"/>
    </row>
    <row r="1454" spans="2:2">
      <c r="B1454" s="25"/>
    </row>
    <row r="1455" spans="2:2">
      <c r="B1455" s="25"/>
    </row>
    <row r="1456" spans="2:2">
      <c r="B1456" s="25"/>
    </row>
    <row r="1457" spans="2:2">
      <c r="B1457" s="25"/>
    </row>
    <row r="1458" spans="2:2">
      <c r="B1458" s="25"/>
    </row>
    <row r="1459" spans="2:2">
      <c r="B1459" s="25"/>
    </row>
    <row r="1460" spans="2:2">
      <c r="B1460" s="25"/>
    </row>
    <row r="1461" spans="2:2">
      <c r="B1461" s="25"/>
    </row>
  </sheetData>
  <mergeCells count="1594">
    <mergeCell ref="A93:B93"/>
    <mergeCell ref="M92:N92"/>
    <mergeCell ref="M93:N93"/>
    <mergeCell ref="O92:O93"/>
    <mergeCell ref="M156:N156"/>
    <mergeCell ref="M544:N544"/>
    <mergeCell ref="O316:O317"/>
    <mergeCell ref="M316:N316"/>
    <mergeCell ref="M317:N317"/>
    <mergeCell ref="M315:N315"/>
    <mergeCell ref="M30:N30"/>
    <mergeCell ref="A30:B30"/>
    <mergeCell ref="O29:O30"/>
    <mergeCell ref="M32:N32"/>
    <mergeCell ref="A94:B94"/>
    <mergeCell ref="A187:B187"/>
    <mergeCell ref="M187:N187"/>
    <mergeCell ref="O187:O188"/>
    <mergeCell ref="M96:N96"/>
    <mergeCell ref="M71:N71"/>
    <mergeCell ref="O155:O156"/>
    <mergeCell ref="M162:N162"/>
    <mergeCell ref="M115:N115"/>
    <mergeCell ref="M191:N191"/>
    <mergeCell ref="M298:N298"/>
    <mergeCell ref="M301:N301"/>
    <mergeCell ref="M302:N302"/>
    <mergeCell ref="M303:N303"/>
    <mergeCell ref="A300:B300"/>
    <mergeCell ref="O297:O298"/>
    <mergeCell ref="M300:N300"/>
    <mergeCell ref="M519:N519"/>
    <mergeCell ref="M521:N521"/>
    <mergeCell ref="M382:N382"/>
    <mergeCell ref="A31:B31"/>
    <mergeCell ref="M304:N304"/>
    <mergeCell ref="M319:N319"/>
    <mergeCell ref="M320:N320"/>
    <mergeCell ref="M321:N321"/>
    <mergeCell ref="M163:N163"/>
    <mergeCell ref="M190:N190"/>
    <mergeCell ref="M114:N114"/>
    <mergeCell ref="M229:N229"/>
    <mergeCell ref="M230:N230"/>
    <mergeCell ref="M231:N231"/>
    <mergeCell ref="M116:N116"/>
    <mergeCell ref="M146:N146"/>
    <mergeCell ref="M127:N127"/>
    <mergeCell ref="M175:N175"/>
    <mergeCell ref="M158:N158"/>
    <mergeCell ref="M266:N266"/>
    <mergeCell ref="C461:E461"/>
    <mergeCell ref="M244:N244"/>
    <mergeCell ref="M205:N205"/>
    <mergeCell ref="M279:N279"/>
    <mergeCell ref="M268:N268"/>
    <mergeCell ref="M280:N280"/>
    <mergeCell ref="M265:N265"/>
    <mergeCell ref="M254:N254"/>
    <mergeCell ref="M248:N248"/>
    <mergeCell ref="M257:N257"/>
    <mergeCell ref="M447:N447"/>
    <mergeCell ref="A92:B92"/>
    <mergeCell ref="M202:N202"/>
    <mergeCell ref="M203:N203"/>
    <mergeCell ref="M445:N445"/>
    <mergeCell ref="M444:N444"/>
    <mergeCell ref="C446:E446"/>
    <mergeCell ref="A462:B464"/>
    <mergeCell ref="C462:E462"/>
    <mergeCell ref="C463:E463"/>
    <mergeCell ref="C464:E464"/>
    <mergeCell ref="M206:N206"/>
    <mergeCell ref="M178:N178"/>
    <mergeCell ref="M182:N182"/>
    <mergeCell ref="A459:B461"/>
    <mergeCell ref="C459:E459"/>
    <mergeCell ref="C460:E460"/>
    <mergeCell ref="O254:O255"/>
    <mergeCell ref="A302:B302"/>
    <mergeCell ref="A303:B303"/>
    <mergeCell ref="A188:B188"/>
    <mergeCell ref="A189:B189"/>
    <mergeCell ref="A191:B191"/>
    <mergeCell ref="A197:B197"/>
    <mergeCell ref="A185:B185"/>
    <mergeCell ref="A196:B196"/>
    <mergeCell ref="C451:E451"/>
    <mergeCell ref="M436:N436"/>
    <mergeCell ref="M448:N448"/>
    <mergeCell ref="M437:N437"/>
    <mergeCell ref="M446:N446"/>
    <mergeCell ref="C343:E343"/>
    <mergeCell ref="C427:E427"/>
    <mergeCell ref="C436:E436"/>
    <mergeCell ref="M377:N377"/>
    <mergeCell ref="Q335:Q336"/>
    <mergeCell ref="P335:P336"/>
    <mergeCell ref="A294:B294"/>
    <mergeCell ref="A295:B295"/>
    <mergeCell ref="A204:B204"/>
    <mergeCell ref="A253:B253"/>
    <mergeCell ref="A215:B215"/>
    <mergeCell ref="A216:B216"/>
    <mergeCell ref="A217:B217"/>
    <mergeCell ref="A218:B218"/>
    <mergeCell ref="M255:N255"/>
    <mergeCell ref="A258:B258"/>
    <mergeCell ref="A259:B259"/>
    <mergeCell ref="M245:N245"/>
    <mergeCell ref="M249:N249"/>
    <mergeCell ref="M264:N264"/>
    <mergeCell ref="M227:N227"/>
    <mergeCell ref="M220:N220"/>
    <mergeCell ref="M243:N243"/>
    <mergeCell ref="A223:B223"/>
    <mergeCell ref="M273:N273"/>
    <mergeCell ref="M267:N267"/>
    <mergeCell ref="M274:N274"/>
    <mergeCell ref="M326:N326"/>
    <mergeCell ref="A322:B322"/>
    <mergeCell ref="A323:B323"/>
    <mergeCell ref="A265:B265"/>
    <mergeCell ref="A284:B284"/>
    <mergeCell ref="A287:B287"/>
    <mergeCell ref="A325:B325"/>
    <mergeCell ref="A269:B269"/>
    <mergeCell ref="M283:N283"/>
    <mergeCell ref="A585:B587"/>
    <mergeCell ref="C585:E585"/>
    <mergeCell ref="C582:E582"/>
    <mergeCell ref="C586:E586"/>
    <mergeCell ref="C587:E587"/>
    <mergeCell ref="A567:B569"/>
    <mergeCell ref="M388:N388"/>
    <mergeCell ref="A304:B304"/>
    <mergeCell ref="A307:B307"/>
    <mergeCell ref="A308:B308"/>
    <mergeCell ref="A309:B309"/>
    <mergeCell ref="A278:B278"/>
    <mergeCell ref="A279:B279"/>
    <mergeCell ref="A276:B276"/>
    <mergeCell ref="A277:B277"/>
    <mergeCell ref="A282:B282"/>
    <mergeCell ref="A283:B283"/>
    <mergeCell ref="M577:N577"/>
    <mergeCell ref="M578:N578"/>
    <mergeCell ref="M579:N579"/>
    <mergeCell ref="M580:N580"/>
    <mergeCell ref="M567:N567"/>
    <mergeCell ref="C428:E428"/>
    <mergeCell ref="M426:N426"/>
    <mergeCell ref="C454:E454"/>
    <mergeCell ref="C457:E457"/>
    <mergeCell ref="M440:N440"/>
    <mergeCell ref="A570:B572"/>
    <mergeCell ref="C570:E570"/>
    <mergeCell ref="C571:E571"/>
    <mergeCell ref="C456:E456"/>
    <mergeCell ref="M497:N497"/>
    <mergeCell ref="A176:B176"/>
    <mergeCell ref="A255:B255"/>
    <mergeCell ref="A256:B256"/>
    <mergeCell ref="A243:B243"/>
    <mergeCell ref="A247:B247"/>
    <mergeCell ref="A263:B263"/>
    <mergeCell ref="A264:B264"/>
    <mergeCell ref="M192:N192"/>
    <mergeCell ref="M193:N193"/>
    <mergeCell ref="M198:N198"/>
    <mergeCell ref="M199:N199"/>
    <mergeCell ref="M200:N200"/>
    <mergeCell ref="M247:N247"/>
    <mergeCell ref="M218:N218"/>
    <mergeCell ref="M223:N223"/>
    <mergeCell ref="A207:B207"/>
    <mergeCell ref="A208:B208"/>
    <mergeCell ref="M232:N232"/>
    <mergeCell ref="M216:N216"/>
    <mergeCell ref="M181:N181"/>
    <mergeCell ref="M226:N226"/>
    <mergeCell ref="A184:B184"/>
    <mergeCell ref="M180:N180"/>
    <mergeCell ref="M234:N234"/>
    <mergeCell ref="A224:B224"/>
    <mergeCell ref="A225:B225"/>
    <mergeCell ref="A222:B222"/>
    <mergeCell ref="M240:N240"/>
    <mergeCell ref="M241:N241"/>
    <mergeCell ref="A257:B257"/>
    <mergeCell ref="A248:B248"/>
    <mergeCell ref="M228:N228"/>
    <mergeCell ref="M66:N66"/>
    <mergeCell ref="M67:N67"/>
    <mergeCell ref="M55:N55"/>
    <mergeCell ref="M52:N52"/>
    <mergeCell ref="M63:N63"/>
    <mergeCell ref="M150:N150"/>
    <mergeCell ref="A111:B111"/>
    <mergeCell ref="A270:B270"/>
    <mergeCell ref="A271:B271"/>
    <mergeCell ref="A272:B272"/>
    <mergeCell ref="A273:B273"/>
    <mergeCell ref="A274:B274"/>
    <mergeCell ref="M238:N238"/>
    <mergeCell ref="M235:N235"/>
    <mergeCell ref="M207:N207"/>
    <mergeCell ref="M208:N208"/>
    <mergeCell ref="M209:N209"/>
    <mergeCell ref="M210:N210"/>
    <mergeCell ref="M212:N212"/>
    <mergeCell ref="M250:N250"/>
    <mergeCell ref="A205:B205"/>
    <mergeCell ref="M204:N204"/>
    <mergeCell ref="M236:N236"/>
    <mergeCell ref="A244:B244"/>
    <mergeCell ref="M214:N214"/>
    <mergeCell ref="M242:N242"/>
    <mergeCell ref="M233:N233"/>
    <mergeCell ref="M252:N252"/>
    <mergeCell ref="M169:N169"/>
    <mergeCell ref="A174:B174"/>
    <mergeCell ref="A175:B175"/>
    <mergeCell ref="M183:N183"/>
    <mergeCell ref="M588:N588"/>
    <mergeCell ref="M581:N581"/>
    <mergeCell ref="M34:N34"/>
    <mergeCell ref="M99:N99"/>
    <mergeCell ref="M130:N130"/>
    <mergeCell ref="M134:N134"/>
    <mergeCell ref="M124:N124"/>
    <mergeCell ref="M86:N86"/>
    <mergeCell ref="A98:B98"/>
    <mergeCell ref="M98:N98"/>
    <mergeCell ref="M88:N88"/>
    <mergeCell ref="M97:N97"/>
    <mergeCell ref="M95:N95"/>
    <mergeCell ref="M91:N91"/>
    <mergeCell ref="M90:N90"/>
    <mergeCell ref="M132:N132"/>
    <mergeCell ref="M53:N53"/>
    <mergeCell ref="M56:N56"/>
    <mergeCell ref="M159:N159"/>
    <mergeCell ref="M284:N284"/>
    <mergeCell ref="A564:B566"/>
    <mergeCell ref="C565:E565"/>
    <mergeCell ref="C525:E525"/>
    <mergeCell ref="C526:E526"/>
    <mergeCell ref="C509:E509"/>
    <mergeCell ref="M217:N217"/>
    <mergeCell ref="M219:N219"/>
    <mergeCell ref="M221:N221"/>
    <mergeCell ref="M65:N65"/>
    <mergeCell ref="C557:E557"/>
    <mergeCell ref="A549:B551"/>
    <mergeCell ref="M542:N542"/>
    <mergeCell ref="A600:B602"/>
    <mergeCell ref="A612:B614"/>
    <mergeCell ref="M170:N170"/>
    <mergeCell ref="M171:N171"/>
    <mergeCell ref="A201:B201"/>
    <mergeCell ref="A202:B202"/>
    <mergeCell ref="A203:B203"/>
    <mergeCell ref="C612:E612"/>
    <mergeCell ref="C613:E613"/>
    <mergeCell ref="C614:E614"/>
    <mergeCell ref="A597:B599"/>
    <mergeCell ref="C597:E597"/>
    <mergeCell ref="C598:E598"/>
    <mergeCell ref="A603:B605"/>
    <mergeCell ref="C603:E603"/>
    <mergeCell ref="C604:E604"/>
    <mergeCell ref="C605:E605"/>
    <mergeCell ref="A594:B596"/>
    <mergeCell ref="C594:E594"/>
    <mergeCell ref="M566:N566"/>
    <mergeCell ref="A219:B219"/>
    <mergeCell ref="M211:N211"/>
    <mergeCell ref="M213:N213"/>
    <mergeCell ref="M215:N215"/>
    <mergeCell ref="C610:E610"/>
    <mergeCell ref="C606:E606"/>
    <mergeCell ref="C607:E607"/>
    <mergeCell ref="C608:E608"/>
    <mergeCell ref="C611:E611"/>
    <mergeCell ref="A213:B213"/>
    <mergeCell ref="M222:N222"/>
    <mergeCell ref="M225:N225"/>
    <mergeCell ref="A609:B611"/>
    <mergeCell ref="C609:E609"/>
    <mergeCell ref="M575:N575"/>
    <mergeCell ref="A588:B590"/>
    <mergeCell ref="C588:E588"/>
    <mergeCell ref="M559:N559"/>
    <mergeCell ref="M560:N560"/>
    <mergeCell ref="M574:N574"/>
    <mergeCell ref="M572:N572"/>
    <mergeCell ref="M563:N563"/>
    <mergeCell ref="M564:N564"/>
    <mergeCell ref="M565:N565"/>
    <mergeCell ref="M561:N561"/>
    <mergeCell ref="M562:N562"/>
    <mergeCell ref="C601:E601"/>
    <mergeCell ref="M282:N282"/>
    <mergeCell ref="M288:N288"/>
    <mergeCell ref="M297:N297"/>
    <mergeCell ref="A606:B608"/>
    <mergeCell ref="A591:B593"/>
    <mergeCell ref="C591:E591"/>
    <mergeCell ref="M552:N552"/>
    <mergeCell ref="C567:E567"/>
    <mergeCell ref="C568:E568"/>
    <mergeCell ref="M441:N441"/>
    <mergeCell ref="C506:E506"/>
    <mergeCell ref="M500:N500"/>
    <mergeCell ref="M593:N593"/>
    <mergeCell ref="M590:N590"/>
    <mergeCell ref="C581:E581"/>
    <mergeCell ref="M533:N533"/>
    <mergeCell ref="A444:B446"/>
    <mergeCell ref="C512:E512"/>
    <mergeCell ref="C377:E377"/>
    <mergeCell ref="M327:N327"/>
    <mergeCell ref="M325:N325"/>
    <mergeCell ref="M443:N443"/>
    <mergeCell ref="C430:E430"/>
    <mergeCell ref="M430:N430"/>
    <mergeCell ref="M451:N451"/>
    <mergeCell ref="C449:E449"/>
    <mergeCell ref="C444:E444"/>
    <mergeCell ref="M454:N454"/>
    <mergeCell ref="M458:N458"/>
    <mergeCell ref="M455:N455"/>
    <mergeCell ref="M442:N442"/>
    <mergeCell ref="C434:E434"/>
    <mergeCell ref="M450:N450"/>
    <mergeCell ref="C435:E435"/>
    <mergeCell ref="M457:N457"/>
    <mergeCell ref="M452:N452"/>
    <mergeCell ref="M435:N435"/>
    <mergeCell ref="M438:N438"/>
    <mergeCell ref="M424:N424"/>
    <mergeCell ref="M365:N365"/>
    <mergeCell ref="M366:N366"/>
    <mergeCell ref="M495:N495"/>
    <mergeCell ref="C334:E334"/>
    <mergeCell ref="C360:E360"/>
    <mergeCell ref="C361:E361"/>
    <mergeCell ref="C383:E383"/>
    <mergeCell ref="C359:E359"/>
    <mergeCell ref="M439:N439"/>
    <mergeCell ref="M453:N453"/>
    <mergeCell ref="M589:N589"/>
    <mergeCell ref="A540:B542"/>
    <mergeCell ref="A543:B545"/>
    <mergeCell ref="A546:B548"/>
    <mergeCell ref="A561:B563"/>
    <mergeCell ref="C527:E527"/>
    <mergeCell ref="C566:E566"/>
    <mergeCell ref="C549:E549"/>
    <mergeCell ref="C550:E550"/>
    <mergeCell ref="C551:E551"/>
    <mergeCell ref="M524:N524"/>
    <mergeCell ref="M582:N582"/>
    <mergeCell ref="M583:N583"/>
    <mergeCell ref="M584:N584"/>
    <mergeCell ref="M585:N585"/>
    <mergeCell ref="C529:E529"/>
    <mergeCell ref="C569:E569"/>
    <mergeCell ref="M539:N539"/>
    <mergeCell ref="M545:N545"/>
    <mergeCell ref="M543:N543"/>
    <mergeCell ref="M549:N549"/>
    <mergeCell ref="M550:N550"/>
    <mergeCell ref="M551:N551"/>
    <mergeCell ref="M546:N546"/>
    <mergeCell ref="A579:B581"/>
    <mergeCell ref="M557:N557"/>
    <mergeCell ref="M558:N558"/>
    <mergeCell ref="A573:B575"/>
    <mergeCell ref="C573:E573"/>
    <mergeCell ref="C574:E574"/>
    <mergeCell ref="A582:B584"/>
    <mergeCell ref="M576:N576"/>
    <mergeCell ref="C439:E439"/>
    <mergeCell ref="C453:E453"/>
    <mergeCell ref="C452:E452"/>
    <mergeCell ref="C447:E447"/>
    <mergeCell ref="C442:E442"/>
    <mergeCell ref="C371:E371"/>
    <mergeCell ref="C350:E350"/>
    <mergeCell ref="C450:E450"/>
    <mergeCell ref="C426:E426"/>
    <mergeCell ref="M373:N373"/>
    <mergeCell ref="M368:N368"/>
    <mergeCell ref="M369:N369"/>
    <mergeCell ref="M370:N370"/>
    <mergeCell ref="M393:N393"/>
    <mergeCell ref="C406:E406"/>
    <mergeCell ref="C372:E372"/>
    <mergeCell ref="M371:N371"/>
    <mergeCell ref="M356:N356"/>
    <mergeCell ref="M392:N392"/>
    <mergeCell ref="C395:E395"/>
    <mergeCell ref="C375:E375"/>
    <mergeCell ref="C376:E376"/>
    <mergeCell ref="C382:E382"/>
    <mergeCell ref="C357:E357"/>
    <mergeCell ref="C358:E358"/>
    <mergeCell ref="C363:E363"/>
    <mergeCell ref="C364:E364"/>
    <mergeCell ref="M418:N418"/>
    <mergeCell ref="M419:N419"/>
    <mergeCell ref="M409:N409"/>
    <mergeCell ref="M429:N429"/>
    <mergeCell ref="M428:N428"/>
    <mergeCell ref="A450:B452"/>
    <mergeCell ref="C561:E561"/>
    <mergeCell ref="C562:E562"/>
    <mergeCell ref="C432:E432"/>
    <mergeCell ref="M553:N553"/>
    <mergeCell ref="M554:N554"/>
    <mergeCell ref="C384:E384"/>
    <mergeCell ref="C394:E394"/>
    <mergeCell ref="C404:E404"/>
    <mergeCell ref="C402:E402"/>
    <mergeCell ref="C398:E398"/>
    <mergeCell ref="C403:E403"/>
    <mergeCell ref="M246:N246"/>
    <mergeCell ref="M261:N261"/>
    <mergeCell ref="M262:N262"/>
    <mergeCell ref="M277:N277"/>
    <mergeCell ref="M289:N289"/>
    <mergeCell ref="A310:B310"/>
    <mergeCell ref="C541:E541"/>
    <mergeCell ref="C545:E545"/>
    <mergeCell ref="M456:N456"/>
    <mergeCell ref="C455:E455"/>
    <mergeCell ref="M402:N402"/>
    <mergeCell ref="M407:N407"/>
    <mergeCell ref="M376:N376"/>
    <mergeCell ref="M389:N389"/>
    <mergeCell ref="M359:N359"/>
    <mergeCell ref="C351:E351"/>
    <mergeCell ref="M346:N346"/>
    <mergeCell ref="C397:E397"/>
    <mergeCell ref="A378:B380"/>
    <mergeCell ref="M322:N322"/>
    <mergeCell ref="A552:B554"/>
    <mergeCell ref="A162:B162"/>
    <mergeCell ref="A249:B249"/>
    <mergeCell ref="A158:B158"/>
    <mergeCell ref="M172:N172"/>
    <mergeCell ref="A170:B170"/>
    <mergeCell ref="A171:B171"/>
    <mergeCell ref="A172:B172"/>
    <mergeCell ref="A173:B173"/>
    <mergeCell ref="M329:N329"/>
    <mergeCell ref="A182:B182"/>
    <mergeCell ref="A200:B200"/>
    <mergeCell ref="A209:B209"/>
    <mergeCell ref="A194:B194"/>
    <mergeCell ref="A195:B195"/>
    <mergeCell ref="A192:B192"/>
    <mergeCell ref="A193:B193"/>
    <mergeCell ref="A210:B210"/>
    <mergeCell ref="A211:B211"/>
    <mergeCell ref="A212:B212"/>
    <mergeCell ref="M166:N166"/>
    <mergeCell ref="M167:N167"/>
    <mergeCell ref="M194:N194"/>
    <mergeCell ref="M195:N195"/>
    <mergeCell ref="M201:N201"/>
    <mergeCell ref="M196:N196"/>
    <mergeCell ref="M197:N197"/>
    <mergeCell ref="A167:B167"/>
    <mergeCell ref="A316:B316"/>
    <mergeCell ref="A180:B180"/>
    <mergeCell ref="A186:B186"/>
    <mergeCell ref="A183:B183"/>
    <mergeCell ref="A163:B163"/>
    <mergeCell ref="A190:B190"/>
    <mergeCell ref="M75:N75"/>
    <mergeCell ref="M76:N76"/>
    <mergeCell ref="A101:B101"/>
    <mergeCell ref="A116:B116"/>
    <mergeCell ref="M84:N84"/>
    <mergeCell ref="M62:N62"/>
    <mergeCell ref="A81:B81"/>
    <mergeCell ref="A102:B102"/>
    <mergeCell ref="A103:B103"/>
    <mergeCell ref="A104:B104"/>
    <mergeCell ref="A105:B105"/>
    <mergeCell ref="A106:B106"/>
    <mergeCell ref="M112:N112"/>
    <mergeCell ref="A107:B107"/>
    <mergeCell ref="A136:B136"/>
    <mergeCell ref="A137:B137"/>
    <mergeCell ref="M129:N129"/>
    <mergeCell ref="A118:B118"/>
    <mergeCell ref="A120:B120"/>
    <mergeCell ref="M122:N122"/>
    <mergeCell ref="M113:N113"/>
    <mergeCell ref="M104:N104"/>
    <mergeCell ref="M121:N121"/>
    <mergeCell ref="M126:N126"/>
    <mergeCell ref="A129:B129"/>
    <mergeCell ref="A130:B130"/>
    <mergeCell ref="M128:N128"/>
    <mergeCell ref="A131:B131"/>
    <mergeCell ref="A132:B132"/>
    <mergeCell ref="A169:B169"/>
    <mergeCell ref="A123:B123"/>
    <mergeCell ref="M109:N109"/>
    <mergeCell ref="C448:E448"/>
    <mergeCell ref="M152:N152"/>
    <mergeCell ref="A156:B156"/>
    <mergeCell ref="A157:B157"/>
    <mergeCell ref="A147:B147"/>
    <mergeCell ref="A148:B148"/>
    <mergeCell ref="A149:B149"/>
    <mergeCell ref="A150:B150"/>
    <mergeCell ref="A99:B99"/>
    <mergeCell ref="A33:B33"/>
    <mergeCell ref="A16:B17"/>
    <mergeCell ref="A109:B109"/>
    <mergeCell ref="A110:B110"/>
    <mergeCell ref="A34:B34"/>
    <mergeCell ref="D24:E24"/>
    <mergeCell ref="D25:E25"/>
    <mergeCell ref="A64:B64"/>
    <mergeCell ref="M269:N269"/>
    <mergeCell ref="M239:N239"/>
    <mergeCell ref="A372:B374"/>
    <mergeCell ref="A168:B168"/>
    <mergeCell ref="A166:B166"/>
    <mergeCell ref="C440:E440"/>
    <mergeCell ref="A119:B119"/>
    <mergeCell ref="A121:B121"/>
    <mergeCell ref="M118:N118"/>
    <mergeCell ref="M119:N119"/>
    <mergeCell ref="M120:N120"/>
    <mergeCell ref="M101:N101"/>
    <mergeCell ref="A165:B165"/>
    <mergeCell ref="M103:N103"/>
    <mergeCell ref="M105:N105"/>
    <mergeCell ref="M7:N7"/>
    <mergeCell ref="M69:N69"/>
    <mergeCell ref="M70:N70"/>
    <mergeCell ref="M87:N87"/>
    <mergeCell ref="M46:N46"/>
    <mergeCell ref="M100:N100"/>
    <mergeCell ref="M16:N17"/>
    <mergeCell ref="M133:N133"/>
    <mergeCell ref="M131:N131"/>
    <mergeCell ref="M81:N81"/>
    <mergeCell ref="M68:N68"/>
    <mergeCell ref="M78:N78"/>
    <mergeCell ref="M80:N80"/>
    <mergeCell ref="A77:B77"/>
    <mergeCell ref="A78:B78"/>
    <mergeCell ref="H13:I13"/>
    <mergeCell ref="A76:B76"/>
    <mergeCell ref="M108:N108"/>
    <mergeCell ref="M117:N117"/>
    <mergeCell ref="D20:E20"/>
    <mergeCell ref="M20:N22"/>
    <mergeCell ref="M82:N82"/>
    <mergeCell ref="M83:N83"/>
    <mergeCell ref="M47:N47"/>
    <mergeCell ref="M85:N85"/>
    <mergeCell ref="M72:N72"/>
    <mergeCell ref="M48:N48"/>
    <mergeCell ref="M50:N50"/>
    <mergeCell ref="M37:N37"/>
    <mergeCell ref="A124:B124"/>
    <mergeCell ref="M73:N73"/>
    <mergeCell ref="M74:N74"/>
    <mergeCell ref="M432:N432"/>
    <mergeCell ref="M433:N433"/>
    <mergeCell ref="M434:N434"/>
    <mergeCell ref="C423:E423"/>
    <mergeCell ref="C416:E416"/>
    <mergeCell ref="C412:E412"/>
    <mergeCell ref="C415:E415"/>
    <mergeCell ref="C437:E437"/>
    <mergeCell ref="C438:E438"/>
    <mergeCell ref="L1:M4"/>
    <mergeCell ref="M140:N140"/>
    <mergeCell ref="M141:N141"/>
    <mergeCell ref="M142:N142"/>
    <mergeCell ref="M143:N143"/>
    <mergeCell ref="M144:N144"/>
    <mergeCell ref="M145:N145"/>
    <mergeCell ref="M135:N135"/>
    <mergeCell ref="M136:N136"/>
    <mergeCell ref="M137:N137"/>
    <mergeCell ref="M138:N138"/>
    <mergeCell ref="M139:N139"/>
    <mergeCell ref="M57:N57"/>
    <mergeCell ref="M64:N64"/>
    <mergeCell ref="M45:N45"/>
    <mergeCell ref="M54:N54"/>
    <mergeCell ref="M42:N42"/>
    <mergeCell ref="M44:N44"/>
    <mergeCell ref="M49:N49"/>
    <mergeCell ref="M23:N26"/>
    <mergeCell ref="M102:N102"/>
    <mergeCell ref="M79:N79"/>
    <mergeCell ref="M8:N8"/>
    <mergeCell ref="M599:N599"/>
    <mergeCell ref="C599:E599"/>
    <mergeCell ref="C576:E576"/>
    <mergeCell ref="C560:E560"/>
    <mergeCell ref="M586:N586"/>
    <mergeCell ref="M587:N587"/>
    <mergeCell ref="C600:E600"/>
    <mergeCell ref="C592:E592"/>
    <mergeCell ref="C593:E593"/>
    <mergeCell ref="C578:E578"/>
    <mergeCell ref="P330:P331"/>
    <mergeCell ref="Q330:Q331"/>
    <mergeCell ref="C333:E333"/>
    <mergeCell ref="C330:E330"/>
    <mergeCell ref="M335:N335"/>
    <mergeCell ref="C335:E335"/>
    <mergeCell ref="C331:E331"/>
    <mergeCell ref="C332:E332"/>
    <mergeCell ref="M374:N374"/>
    <mergeCell ref="M375:N375"/>
    <mergeCell ref="C380:E380"/>
    <mergeCell ref="C381:E381"/>
    <mergeCell ref="M379:N379"/>
    <mergeCell ref="M380:N380"/>
    <mergeCell ref="M381:N381"/>
    <mergeCell ref="M449:N449"/>
    <mergeCell ref="M384:N384"/>
    <mergeCell ref="P339:Q339"/>
    <mergeCell ref="M360:N360"/>
    <mergeCell ref="M39:N39"/>
    <mergeCell ref="A624:B626"/>
    <mergeCell ref="C624:E624"/>
    <mergeCell ref="M508:N508"/>
    <mergeCell ref="C501:E501"/>
    <mergeCell ref="M507:N507"/>
    <mergeCell ref="C521:E521"/>
    <mergeCell ref="C522:E522"/>
    <mergeCell ref="C539:E539"/>
    <mergeCell ref="A516:B518"/>
    <mergeCell ref="A519:B521"/>
    <mergeCell ref="C544:E544"/>
    <mergeCell ref="C517:E517"/>
    <mergeCell ref="M512:N512"/>
    <mergeCell ref="M503:N503"/>
    <mergeCell ref="C504:E504"/>
    <mergeCell ref="M518:N518"/>
    <mergeCell ref="C532:E532"/>
    <mergeCell ref="C543:E543"/>
    <mergeCell ref="C583:E583"/>
    <mergeCell ref="C584:E584"/>
    <mergeCell ref="C595:E595"/>
    <mergeCell ref="C596:E596"/>
    <mergeCell ref="C563:E563"/>
    <mergeCell ref="C564:E564"/>
    <mergeCell ref="M600:N600"/>
    <mergeCell ref="M597:N597"/>
    <mergeCell ref="C572:E572"/>
    <mergeCell ref="M573:N573"/>
    <mergeCell ref="C577:E577"/>
    <mergeCell ref="A576:B578"/>
    <mergeCell ref="C589:E589"/>
    <mergeCell ref="C590:E590"/>
    <mergeCell ref="C579:E579"/>
    <mergeCell ref="M571:N571"/>
    <mergeCell ref="M591:N591"/>
    <mergeCell ref="C625:E625"/>
    <mergeCell ref="M625:N625"/>
    <mergeCell ref="C626:E626"/>
    <mergeCell ref="M626:N626"/>
    <mergeCell ref="M547:N547"/>
    <mergeCell ref="M548:N548"/>
    <mergeCell ref="M609:N609"/>
    <mergeCell ref="M610:N610"/>
    <mergeCell ref="M611:N611"/>
    <mergeCell ref="M612:N612"/>
    <mergeCell ref="C458:E458"/>
    <mergeCell ref="C499:E499"/>
    <mergeCell ref="C559:E559"/>
    <mergeCell ref="M555:N555"/>
    <mergeCell ref="C555:E555"/>
    <mergeCell ref="C556:E556"/>
    <mergeCell ref="C552:E552"/>
    <mergeCell ref="C553:E553"/>
    <mergeCell ref="C554:E554"/>
    <mergeCell ref="M540:N540"/>
    <mergeCell ref="C540:E540"/>
    <mergeCell ref="C580:E580"/>
    <mergeCell ref="C523:E523"/>
    <mergeCell ref="M530:N530"/>
    <mergeCell ref="C558:E558"/>
    <mergeCell ref="M607:N607"/>
    <mergeCell ref="M608:N608"/>
    <mergeCell ref="M498:N498"/>
    <mergeCell ref="C515:E515"/>
    <mergeCell ref="C533:E533"/>
    <mergeCell ref="M531:N531"/>
    <mergeCell ref="M532:N532"/>
    <mergeCell ref="C524:E524"/>
    <mergeCell ref="M529:N529"/>
    <mergeCell ref="M522:N522"/>
    <mergeCell ref="C537:E537"/>
    <mergeCell ref="M499:N499"/>
    <mergeCell ref="M504:N504"/>
    <mergeCell ref="M484:N484"/>
    <mergeCell ref="M485:N485"/>
    <mergeCell ref="M486:N486"/>
    <mergeCell ref="M487:N487"/>
    <mergeCell ref="M488:N488"/>
    <mergeCell ref="M489:N489"/>
    <mergeCell ref="M490:N490"/>
    <mergeCell ref="M491:N491"/>
    <mergeCell ref="M492:N492"/>
    <mergeCell ref="M493:N493"/>
    <mergeCell ref="M494:N494"/>
    <mergeCell ref="C507:E507"/>
    <mergeCell ref="C503:E503"/>
    <mergeCell ref="M505:N505"/>
    <mergeCell ref="M506:N506"/>
    <mergeCell ref="C500:E500"/>
    <mergeCell ref="M511:N511"/>
    <mergeCell ref="C510:E510"/>
    <mergeCell ref="C514:E514"/>
    <mergeCell ref="M509:N509"/>
    <mergeCell ref="M517:N517"/>
    <mergeCell ref="M520:N520"/>
    <mergeCell ref="M502:N502"/>
    <mergeCell ref="A621:B623"/>
    <mergeCell ref="C621:E621"/>
    <mergeCell ref="M621:N621"/>
    <mergeCell ref="C622:E622"/>
    <mergeCell ref="M622:N622"/>
    <mergeCell ref="C623:E623"/>
    <mergeCell ref="M623:N623"/>
    <mergeCell ref="C534:E534"/>
    <mergeCell ref="M605:N605"/>
    <mergeCell ref="M606:N606"/>
    <mergeCell ref="C508:E508"/>
    <mergeCell ref="A537:B539"/>
    <mergeCell ref="C502:E502"/>
    <mergeCell ref="C495:E495"/>
    <mergeCell ref="C496:E496"/>
    <mergeCell ref="M537:N537"/>
    <mergeCell ref="M538:N538"/>
    <mergeCell ref="A558:B560"/>
    <mergeCell ref="C536:E536"/>
    <mergeCell ref="C511:E511"/>
    <mergeCell ref="M510:N510"/>
    <mergeCell ref="M568:N568"/>
    <mergeCell ref="M569:N569"/>
    <mergeCell ref="C535:E535"/>
    <mergeCell ref="C530:E530"/>
    <mergeCell ref="M541:N541"/>
    <mergeCell ref="C542:E542"/>
    <mergeCell ref="M601:N601"/>
    <mergeCell ref="M592:N592"/>
    <mergeCell ref="M594:N594"/>
    <mergeCell ref="A528:B530"/>
    <mergeCell ref="A531:B533"/>
    <mergeCell ref="A534:B536"/>
    <mergeCell ref="M613:N613"/>
    <mergeCell ref="M614:N614"/>
    <mergeCell ref="C602:E602"/>
    <mergeCell ref="M596:N596"/>
    <mergeCell ref="A555:B557"/>
    <mergeCell ref="M602:N602"/>
    <mergeCell ref="M603:N603"/>
    <mergeCell ref="C575:E575"/>
    <mergeCell ref="M556:N556"/>
    <mergeCell ref="M513:N513"/>
    <mergeCell ref="M514:N514"/>
    <mergeCell ref="C520:E520"/>
    <mergeCell ref="C505:E505"/>
    <mergeCell ref="C546:E546"/>
    <mergeCell ref="C547:E547"/>
    <mergeCell ref="C548:E548"/>
    <mergeCell ref="M604:N604"/>
    <mergeCell ref="A522:B524"/>
    <mergeCell ref="A525:B527"/>
    <mergeCell ref="C531:E531"/>
    <mergeCell ref="C538:E538"/>
    <mergeCell ref="M535:N535"/>
    <mergeCell ref="A507:B509"/>
    <mergeCell ref="M536:N536"/>
    <mergeCell ref="C513:E513"/>
    <mergeCell ref="C516:E516"/>
    <mergeCell ref="M515:N515"/>
    <mergeCell ref="M526:N526"/>
    <mergeCell ref="M595:N595"/>
    <mergeCell ref="M598:N598"/>
    <mergeCell ref="A504:B506"/>
    <mergeCell ref="E2:J2"/>
    <mergeCell ref="A328:B334"/>
    <mergeCell ref="A335:B335"/>
    <mergeCell ref="C326:E326"/>
    <mergeCell ref="C327:E327"/>
    <mergeCell ref="H14:I14"/>
    <mergeCell ref="A63:B63"/>
    <mergeCell ref="H5:I5"/>
    <mergeCell ref="H8:I8"/>
    <mergeCell ref="A339:B341"/>
    <mergeCell ref="A56:B56"/>
    <mergeCell ref="A57:B57"/>
    <mergeCell ref="A48:B48"/>
    <mergeCell ref="A49:B49"/>
    <mergeCell ref="A58:B58"/>
    <mergeCell ref="C352:E352"/>
    <mergeCell ref="A43:B43"/>
    <mergeCell ref="A44:B44"/>
    <mergeCell ref="A45:B45"/>
    <mergeCell ref="A46:B46"/>
    <mergeCell ref="A47:B47"/>
    <mergeCell ref="A55:B55"/>
    <mergeCell ref="H6:I6"/>
    <mergeCell ref="A91:B91"/>
    <mergeCell ref="A54:B54"/>
    <mergeCell ref="A67:B67"/>
    <mergeCell ref="A68:B68"/>
    <mergeCell ref="A69:B69"/>
    <mergeCell ref="A70:B70"/>
    <mergeCell ref="A71:B71"/>
    <mergeCell ref="A72:B72"/>
    <mergeCell ref="A97:B97"/>
    <mergeCell ref="A453:B455"/>
    <mergeCell ref="C400:E400"/>
    <mergeCell ref="A456:B458"/>
    <mergeCell ref="A495:B497"/>
    <mergeCell ref="A498:B500"/>
    <mergeCell ref="C391:E391"/>
    <mergeCell ref="C445:E445"/>
    <mergeCell ref="A393:B395"/>
    <mergeCell ref="A396:B398"/>
    <mergeCell ref="A399:B401"/>
    <mergeCell ref="A402:B404"/>
    <mergeCell ref="C429:E429"/>
    <mergeCell ref="C443:E443"/>
    <mergeCell ref="C433:E433"/>
    <mergeCell ref="C497:E497"/>
    <mergeCell ref="C441:E441"/>
    <mergeCell ref="A411:B413"/>
    <mergeCell ref="C498:E498"/>
    <mergeCell ref="A423:B425"/>
    <mergeCell ref="C417:E417"/>
    <mergeCell ref="C421:E421"/>
    <mergeCell ref="C424:E424"/>
    <mergeCell ref="A474:B476"/>
    <mergeCell ref="C474:E474"/>
    <mergeCell ref="C475:E475"/>
    <mergeCell ref="C476:E476"/>
    <mergeCell ref="C414:E414"/>
    <mergeCell ref="A447:B449"/>
    <mergeCell ref="C393:E393"/>
    <mergeCell ref="C408:E408"/>
    <mergeCell ref="C409:E409"/>
    <mergeCell ref="A477:B479"/>
    <mergeCell ref="D26:E26"/>
    <mergeCell ref="A90:B90"/>
    <mergeCell ref="A87:B87"/>
    <mergeCell ref="A88:B88"/>
    <mergeCell ref="M28:N28"/>
    <mergeCell ref="M43:N43"/>
    <mergeCell ref="M40:N40"/>
    <mergeCell ref="M38:N38"/>
    <mergeCell ref="M36:N36"/>
    <mergeCell ref="M386:N386"/>
    <mergeCell ref="M406:N406"/>
    <mergeCell ref="C387:E387"/>
    <mergeCell ref="M385:N385"/>
    <mergeCell ref="C385:E385"/>
    <mergeCell ref="M395:N395"/>
    <mergeCell ref="M387:N387"/>
    <mergeCell ref="C386:E386"/>
    <mergeCell ref="C365:E365"/>
    <mergeCell ref="M390:N390"/>
    <mergeCell ref="A52:B52"/>
    <mergeCell ref="A40:B40"/>
    <mergeCell ref="A381:B383"/>
    <mergeCell ref="A363:B365"/>
    <mergeCell ref="C366:E366"/>
    <mergeCell ref="C389:E389"/>
    <mergeCell ref="A336:B338"/>
    <mergeCell ref="C336:E336"/>
    <mergeCell ref="C337:E337"/>
    <mergeCell ref="C362:E362"/>
    <mergeCell ref="C378:E378"/>
    <mergeCell ref="C373:E373"/>
    <mergeCell ref="M77:N77"/>
    <mergeCell ref="M339:N339"/>
    <mergeCell ref="M372:N372"/>
    <mergeCell ref="C16:D16"/>
    <mergeCell ref="A53:B53"/>
    <mergeCell ref="A417:B419"/>
    <mergeCell ref="A420:B422"/>
    <mergeCell ref="C368:E368"/>
    <mergeCell ref="A369:B371"/>
    <mergeCell ref="C367:E367"/>
    <mergeCell ref="M184:N184"/>
    <mergeCell ref="M185:N185"/>
    <mergeCell ref="M328:N328"/>
    <mergeCell ref="M330:N330"/>
    <mergeCell ref="M188:N188"/>
    <mergeCell ref="M123:N123"/>
    <mergeCell ref="M253:N253"/>
    <mergeCell ref="M336:N336"/>
    <mergeCell ref="A306:B306"/>
    <mergeCell ref="C345:E345"/>
    <mergeCell ref="C379:E379"/>
    <mergeCell ref="M263:N263"/>
    <mergeCell ref="M270:N270"/>
    <mergeCell ref="M295:N295"/>
    <mergeCell ref="M281:N281"/>
    <mergeCell ref="A23:B26"/>
    <mergeCell ref="M324:N324"/>
    <mergeCell ref="M362:N362"/>
    <mergeCell ref="C346:E346"/>
    <mergeCell ref="M276:N276"/>
    <mergeCell ref="M357:N357"/>
    <mergeCell ref="M358:N358"/>
    <mergeCell ref="M354:N354"/>
    <mergeCell ref="A65:B65"/>
    <mergeCell ref="A66:B66"/>
    <mergeCell ref="M410:N410"/>
    <mergeCell ref="A75:B75"/>
    <mergeCell ref="M125:N125"/>
    <mergeCell ref="A127:B127"/>
    <mergeCell ref="M151:N151"/>
    <mergeCell ref="M106:N106"/>
    <mergeCell ref="M107:N107"/>
    <mergeCell ref="M89:N89"/>
    <mergeCell ref="M147:N147"/>
    <mergeCell ref="M148:N148"/>
    <mergeCell ref="M149:N149"/>
    <mergeCell ref="M259:N259"/>
    <mergeCell ref="M260:N260"/>
    <mergeCell ref="M278:N278"/>
    <mergeCell ref="M285:N285"/>
    <mergeCell ref="M286:N286"/>
    <mergeCell ref="M378:N378"/>
    <mergeCell ref="C347:E347"/>
    <mergeCell ref="C348:E348"/>
    <mergeCell ref="C349:E349"/>
    <mergeCell ref="A348:B350"/>
    <mergeCell ref="C339:E339"/>
    <mergeCell ref="C340:E340"/>
    <mergeCell ref="C341:E341"/>
    <mergeCell ref="A366:B368"/>
    <mergeCell ref="M352:N352"/>
    <mergeCell ref="M353:N353"/>
    <mergeCell ref="M361:N361"/>
    <mergeCell ref="M363:N363"/>
    <mergeCell ref="M364:N364"/>
    <mergeCell ref="A426:B428"/>
    <mergeCell ref="M420:N420"/>
    <mergeCell ref="M411:N411"/>
    <mergeCell ref="C419:E419"/>
    <mergeCell ref="M415:N415"/>
    <mergeCell ref="C405:E405"/>
    <mergeCell ref="M421:N421"/>
    <mergeCell ref="M423:N423"/>
    <mergeCell ref="M414:N414"/>
    <mergeCell ref="M413:N413"/>
    <mergeCell ref="A405:B407"/>
    <mergeCell ref="A408:B410"/>
    <mergeCell ref="C390:E390"/>
    <mergeCell ref="C388:E388"/>
    <mergeCell ref="C410:E410"/>
    <mergeCell ref="M399:N401"/>
    <mergeCell ref="M417:N417"/>
    <mergeCell ref="M405:N405"/>
    <mergeCell ref="M425:N425"/>
    <mergeCell ref="A108:B108"/>
    <mergeCell ref="A125:B125"/>
    <mergeCell ref="A122:B122"/>
    <mergeCell ref="A126:B126"/>
    <mergeCell ref="A133:B133"/>
    <mergeCell ref="A134:B134"/>
    <mergeCell ref="A135:B135"/>
    <mergeCell ref="A226:B226"/>
    <mergeCell ref="A227:B227"/>
    <mergeCell ref="M179:N179"/>
    <mergeCell ref="C425:E425"/>
    <mergeCell ref="C418:E418"/>
    <mergeCell ref="C411:E411"/>
    <mergeCell ref="C420:E420"/>
    <mergeCell ref="A238:B238"/>
    <mergeCell ref="A239:B239"/>
    <mergeCell ref="A240:B240"/>
    <mergeCell ref="A285:B285"/>
    <mergeCell ref="A301:B301"/>
    <mergeCell ref="A291:B291"/>
    <mergeCell ref="A292:B292"/>
    <mergeCell ref="A293:B293"/>
    <mergeCell ref="M343:N343"/>
    <mergeCell ref="A245:B245"/>
    <mergeCell ref="A228:B228"/>
    <mergeCell ref="A229:B229"/>
    <mergeCell ref="A230:B230"/>
    <mergeCell ref="A231:B231"/>
    <mergeCell ref="A232:B232"/>
    <mergeCell ref="A384:B386"/>
    <mergeCell ref="A311:B311"/>
    <mergeCell ref="M396:N396"/>
    <mergeCell ref="M160:N160"/>
    <mergeCell ref="A141:B141"/>
    <mergeCell ref="M161:N161"/>
    <mergeCell ref="A429:B431"/>
    <mergeCell ref="C431:E431"/>
    <mergeCell ref="M391:N391"/>
    <mergeCell ref="M422:N422"/>
    <mergeCell ref="C413:E413"/>
    <mergeCell ref="C422:E422"/>
    <mergeCell ref="C407:E407"/>
    <mergeCell ref="M397:N397"/>
    <mergeCell ref="M403:N403"/>
    <mergeCell ref="M398:N398"/>
    <mergeCell ref="M412:N412"/>
    <mergeCell ref="M416:N416"/>
    <mergeCell ref="M394:N394"/>
    <mergeCell ref="M427:N427"/>
    <mergeCell ref="M431:N431"/>
    <mergeCell ref="C396:E396"/>
    <mergeCell ref="C399:E399"/>
    <mergeCell ref="M408:N408"/>
    <mergeCell ref="M153:N153"/>
    <mergeCell ref="M251:N251"/>
    <mergeCell ref="M177:N177"/>
    <mergeCell ref="A144:B144"/>
    <mergeCell ref="A145:B145"/>
    <mergeCell ref="A178:B178"/>
    <mergeCell ref="A179:B179"/>
    <mergeCell ref="A220:B220"/>
    <mergeCell ref="A161:B161"/>
    <mergeCell ref="A181:B181"/>
    <mergeCell ref="M237:N237"/>
    <mergeCell ref="A117:B117"/>
    <mergeCell ref="A128:B128"/>
    <mergeCell ref="M154:N154"/>
    <mergeCell ref="A140:B140"/>
    <mergeCell ref="A138:B138"/>
    <mergeCell ref="A139:B139"/>
    <mergeCell ref="A153:B153"/>
    <mergeCell ref="A267:B267"/>
    <mergeCell ref="M347:N347"/>
    <mergeCell ref="M350:N350"/>
    <mergeCell ref="M351:N351"/>
    <mergeCell ref="A360:B362"/>
    <mergeCell ref="A345:B347"/>
    <mergeCell ref="A354:B356"/>
    <mergeCell ref="M355:N355"/>
    <mergeCell ref="C342:E342"/>
    <mergeCell ref="M258:N258"/>
    <mergeCell ref="M164:N164"/>
    <mergeCell ref="M165:N165"/>
    <mergeCell ref="M168:N168"/>
    <mergeCell ref="M224:N224"/>
    <mergeCell ref="M173:N173"/>
    <mergeCell ref="M176:N176"/>
    <mergeCell ref="A288:B288"/>
    <mergeCell ref="A289:B289"/>
    <mergeCell ref="A342:B344"/>
    <mergeCell ref="A246:B246"/>
    <mergeCell ref="A266:B266"/>
    <mergeCell ref="A237:B237"/>
    <mergeCell ref="A233:B233"/>
    <mergeCell ref="A234:B234"/>
    <mergeCell ref="C338:E338"/>
    <mergeCell ref="M110:N110"/>
    <mergeCell ref="M111:N111"/>
    <mergeCell ref="M155:N155"/>
    <mergeCell ref="M271:N271"/>
    <mergeCell ref="M272:N272"/>
    <mergeCell ref="A281:B281"/>
    <mergeCell ref="M323:N323"/>
    <mergeCell ref="A241:B241"/>
    <mergeCell ref="A242:B242"/>
    <mergeCell ref="A214:B214"/>
    <mergeCell ref="A206:B206"/>
    <mergeCell ref="A250:B250"/>
    <mergeCell ref="A251:B251"/>
    <mergeCell ref="A252:B252"/>
    <mergeCell ref="A221:B221"/>
    <mergeCell ref="A164:B164"/>
    <mergeCell ref="A268:B268"/>
    <mergeCell ref="A260:B260"/>
    <mergeCell ref="A305:B305"/>
    <mergeCell ref="A275:B275"/>
    <mergeCell ref="A280:B280"/>
    <mergeCell ref="A254:B254"/>
    <mergeCell ref="A315:B315"/>
    <mergeCell ref="A321:B321"/>
    <mergeCell ref="A317:B317"/>
    <mergeCell ref="A318:B318"/>
    <mergeCell ref="A319:B319"/>
    <mergeCell ref="A320:B320"/>
    <mergeCell ref="A146:B146"/>
    <mergeCell ref="A112:B112"/>
    <mergeCell ref="A113:B113"/>
    <mergeCell ref="M174:N174"/>
    <mergeCell ref="A89:B89"/>
    <mergeCell ref="A50:B50"/>
    <mergeCell ref="C374:E374"/>
    <mergeCell ref="C353:E353"/>
    <mergeCell ref="C354:E354"/>
    <mergeCell ref="C355:E355"/>
    <mergeCell ref="C356:E356"/>
    <mergeCell ref="A414:B416"/>
    <mergeCell ref="A387:B389"/>
    <mergeCell ref="A390:B392"/>
    <mergeCell ref="A432:B434"/>
    <mergeCell ref="A435:B437"/>
    <mergeCell ref="A438:B440"/>
    <mergeCell ref="A441:B443"/>
    <mergeCell ref="A82:B82"/>
    <mergeCell ref="A73:B73"/>
    <mergeCell ref="A74:B74"/>
    <mergeCell ref="A261:B261"/>
    <mergeCell ref="A262:B262"/>
    <mergeCell ref="A286:B286"/>
    <mergeCell ref="A100:B100"/>
    <mergeCell ref="A83:B83"/>
    <mergeCell ref="A84:B84"/>
    <mergeCell ref="A114:B114"/>
    <mergeCell ref="A115:B115"/>
    <mergeCell ref="A79:B79"/>
    <mergeCell ref="A80:B80"/>
    <mergeCell ref="A85:B85"/>
    <mergeCell ref="A86:B86"/>
    <mergeCell ref="A95:B95"/>
    <mergeCell ref="A152:B152"/>
    <mergeCell ref="A96:B96"/>
    <mergeCell ref="C477:E477"/>
    <mergeCell ref="C478:E478"/>
    <mergeCell ref="C479:E479"/>
    <mergeCell ref="A480:B482"/>
    <mergeCell ref="C480:E480"/>
    <mergeCell ref="C481:E481"/>
    <mergeCell ref="C482:E482"/>
    <mergeCell ref="A483:B485"/>
    <mergeCell ref="C483:E483"/>
    <mergeCell ref="C484:E484"/>
    <mergeCell ref="C485:E485"/>
    <mergeCell ref="A486:B488"/>
    <mergeCell ref="C486:E486"/>
    <mergeCell ref="C487:E487"/>
    <mergeCell ref="C488:E488"/>
    <mergeCell ref="A154:B154"/>
    <mergeCell ref="A155:B155"/>
    <mergeCell ref="A159:B159"/>
    <mergeCell ref="A160:B160"/>
    <mergeCell ref="C465:E465"/>
    <mergeCell ref="C466:E466"/>
    <mergeCell ref="C467:E467"/>
    <mergeCell ref="A465:B467"/>
    <mergeCell ref="A468:B470"/>
    <mergeCell ref="C468:E468"/>
    <mergeCell ref="C469:E469"/>
    <mergeCell ref="C470:E470"/>
    <mergeCell ref="A471:B473"/>
    <mergeCell ref="C471:E471"/>
    <mergeCell ref="C472:E472"/>
    <mergeCell ref="C473:E473"/>
    <mergeCell ref="A177:B177"/>
    <mergeCell ref="A489:B491"/>
    <mergeCell ref="C489:E489"/>
    <mergeCell ref="C490:E490"/>
    <mergeCell ref="C491:E491"/>
    <mergeCell ref="A492:B494"/>
    <mergeCell ref="C492:E492"/>
    <mergeCell ref="C493:E493"/>
    <mergeCell ref="C494:E494"/>
    <mergeCell ref="A615:B617"/>
    <mergeCell ref="C615:E615"/>
    <mergeCell ref="M615:N615"/>
    <mergeCell ref="C616:E616"/>
    <mergeCell ref="M616:N616"/>
    <mergeCell ref="C617:E617"/>
    <mergeCell ref="M617:N617"/>
    <mergeCell ref="A618:B620"/>
    <mergeCell ref="C618:E618"/>
    <mergeCell ref="M618:N618"/>
    <mergeCell ref="C619:E619"/>
    <mergeCell ref="M619:N619"/>
    <mergeCell ref="C620:E620"/>
    <mergeCell ref="M620:N620"/>
    <mergeCell ref="A501:B503"/>
    <mergeCell ref="M570:N570"/>
    <mergeCell ref="A510:B512"/>
    <mergeCell ref="A513:B515"/>
    <mergeCell ref="M527:N527"/>
    <mergeCell ref="C528:E528"/>
    <mergeCell ref="M523:N523"/>
    <mergeCell ref="M516:N516"/>
    <mergeCell ref="C518:E518"/>
    <mergeCell ref="C519:E519"/>
    <mergeCell ref="C629:E629"/>
    <mergeCell ref="M629:N629"/>
    <mergeCell ref="A630:B632"/>
    <mergeCell ref="C630:E630"/>
    <mergeCell ref="M630:N630"/>
    <mergeCell ref="C631:E631"/>
    <mergeCell ref="M631:N631"/>
    <mergeCell ref="C632:E632"/>
    <mergeCell ref="M632:N632"/>
    <mergeCell ref="A633:B635"/>
    <mergeCell ref="C633:E633"/>
    <mergeCell ref="M633:N633"/>
    <mergeCell ref="C634:E634"/>
    <mergeCell ref="M634:N634"/>
    <mergeCell ref="C635:E635"/>
    <mergeCell ref="M635:N635"/>
    <mergeCell ref="A636:B638"/>
    <mergeCell ref="C636:E636"/>
    <mergeCell ref="M636:N636"/>
    <mergeCell ref="C637:E637"/>
    <mergeCell ref="M637:N637"/>
    <mergeCell ref="C638:E638"/>
    <mergeCell ref="M638:N638"/>
    <mergeCell ref="A627:B629"/>
    <mergeCell ref="C627:E627"/>
    <mergeCell ref="M627:N627"/>
    <mergeCell ref="C628:E628"/>
    <mergeCell ref="M628:N628"/>
    <mergeCell ref="A639:B641"/>
    <mergeCell ref="C639:E639"/>
    <mergeCell ref="M639:N639"/>
    <mergeCell ref="C640:E640"/>
    <mergeCell ref="M640:N640"/>
    <mergeCell ref="C641:E641"/>
    <mergeCell ref="M641:N641"/>
    <mergeCell ref="A642:B644"/>
    <mergeCell ref="C642:E642"/>
    <mergeCell ref="M642:N642"/>
    <mergeCell ref="C643:E643"/>
    <mergeCell ref="M643:N643"/>
    <mergeCell ref="C644:E644"/>
    <mergeCell ref="M644:N644"/>
    <mergeCell ref="A645:B647"/>
    <mergeCell ref="C645:E645"/>
    <mergeCell ref="M645:N645"/>
    <mergeCell ref="C646:E646"/>
    <mergeCell ref="M646:N646"/>
    <mergeCell ref="C647:E647"/>
    <mergeCell ref="M647:N647"/>
    <mergeCell ref="A648:B650"/>
    <mergeCell ref="C648:E648"/>
    <mergeCell ref="M648:N648"/>
    <mergeCell ref="C649:E649"/>
    <mergeCell ref="M649:N649"/>
    <mergeCell ref="C650:E650"/>
    <mergeCell ref="M650:N650"/>
    <mergeCell ref="A651:B653"/>
    <mergeCell ref="C651:E651"/>
    <mergeCell ref="M651:N651"/>
    <mergeCell ref="C652:E652"/>
    <mergeCell ref="M652:N652"/>
    <mergeCell ref="C653:E653"/>
    <mergeCell ref="M653:N653"/>
    <mergeCell ref="A654:B656"/>
    <mergeCell ref="C654:E654"/>
    <mergeCell ref="M654:N654"/>
    <mergeCell ref="C655:E655"/>
    <mergeCell ref="M655:N655"/>
    <mergeCell ref="C656:E656"/>
    <mergeCell ref="M656:N656"/>
    <mergeCell ref="A657:B659"/>
    <mergeCell ref="C657:E657"/>
    <mergeCell ref="M657:N657"/>
    <mergeCell ref="C658:E658"/>
    <mergeCell ref="M658:N658"/>
    <mergeCell ref="C659:E659"/>
    <mergeCell ref="M659:N659"/>
    <mergeCell ref="A660:B662"/>
    <mergeCell ref="C660:E660"/>
    <mergeCell ref="M660:N660"/>
    <mergeCell ref="C661:E661"/>
    <mergeCell ref="M661:N661"/>
    <mergeCell ref="C662:E662"/>
    <mergeCell ref="M662:N662"/>
    <mergeCell ref="A663:B665"/>
    <mergeCell ref="C663:E663"/>
    <mergeCell ref="M663:N663"/>
    <mergeCell ref="C664:E664"/>
    <mergeCell ref="M664:N664"/>
    <mergeCell ref="C665:E665"/>
    <mergeCell ref="M665:N665"/>
    <mergeCell ref="C683:E683"/>
    <mergeCell ref="M683:N683"/>
    <mergeCell ref="A684:B686"/>
    <mergeCell ref="C684:E684"/>
    <mergeCell ref="M684:N684"/>
    <mergeCell ref="A666:B668"/>
    <mergeCell ref="C666:E666"/>
    <mergeCell ref="M666:N666"/>
    <mergeCell ref="C667:E667"/>
    <mergeCell ref="M667:N667"/>
    <mergeCell ref="C668:E668"/>
    <mergeCell ref="M668:N668"/>
    <mergeCell ref="A669:B671"/>
    <mergeCell ref="C669:E669"/>
    <mergeCell ref="M669:N669"/>
    <mergeCell ref="C670:E670"/>
    <mergeCell ref="M670:N670"/>
    <mergeCell ref="C671:E671"/>
    <mergeCell ref="M671:N671"/>
    <mergeCell ref="A672:B674"/>
    <mergeCell ref="C672:E672"/>
    <mergeCell ref="M672:N672"/>
    <mergeCell ref="C673:E673"/>
    <mergeCell ref="M673:N673"/>
    <mergeCell ref="C674:E674"/>
    <mergeCell ref="M674:N674"/>
    <mergeCell ref="M690:N690"/>
    <mergeCell ref="C691:E691"/>
    <mergeCell ref="M691:N691"/>
    <mergeCell ref="C692:E692"/>
    <mergeCell ref="M692:N692"/>
    <mergeCell ref="A693:B695"/>
    <mergeCell ref="C693:E693"/>
    <mergeCell ref="M693:N693"/>
    <mergeCell ref="C694:E694"/>
    <mergeCell ref="M694:N694"/>
    <mergeCell ref="C695:E695"/>
    <mergeCell ref="M695:N695"/>
    <mergeCell ref="A696:B698"/>
    <mergeCell ref="A675:B677"/>
    <mergeCell ref="C675:E675"/>
    <mergeCell ref="M675:N675"/>
    <mergeCell ref="C676:E676"/>
    <mergeCell ref="M676:N676"/>
    <mergeCell ref="C677:E677"/>
    <mergeCell ref="M677:N677"/>
    <mergeCell ref="A678:B680"/>
    <mergeCell ref="C678:E678"/>
    <mergeCell ref="M678:N678"/>
    <mergeCell ref="C679:E679"/>
    <mergeCell ref="M679:N679"/>
    <mergeCell ref="C680:E680"/>
    <mergeCell ref="M680:N680"/>
    <mergeCell ref="A681:B683"/>
    <mergeCell ref="C681:E681"/>
    <mergeCell ref="M681:N681"/>
    <mergeCell ref="C682:E682"/>
    <mergeCell ref="M682:N682"/>
    <mergeCell ref="A743:H743"/>
    <mergeCell ref="J743:L743"/>
    <mergeCell ref="M743:N743"/>
    <mergeCell ref="A732:E732"/>
    <mergeCell ref="H732:I732"/>
    <mergeCell ref="M732:N732"/>
    <mergeCell ref="A733:I733"/>
    <mergeCell ref="J733:L733"/>
    <mergeCell ref="M733:N733"/>
    <mergeCell ref="A734:I734"/>
    <mergeCell ref="J734:L734"/>
    <mergeCell ref="M734:N734"/>
    <mergeCell ref="A735:I735"/>
    <mergeCell ref="J735:L735"/>
    <mergeCell ref="M735:N735"/>
    <mergeCell ref="A736:I736"/>
    <mergeCell ref="J736:L736"/>
    <mergeCell ref="M736:N736"/>
    <mergeCell ref="A737:I737"/>
    <mergeCell ref="A739:I739"/>
    <mergeCell ref="J739:L739"/>
    <mergeCell ref="A738:I738"/>
    <mergeCell ref="J738:L738"/>
    <mergeCell ref="M738:N738"/>
    <mergeCell ref="M739:N739"/>
    <mergeCell ref="A740:I740"/>
    <mergeCell ref="J740:L740"/>
    <mergeCell ref="M740:N740"/>
    <mergeCell ref="A741:I741"/>
    <mergeCell ref="J741:L741"/>
    <mergeCell ref="C717:E717"/>
    <mergeCell ref="A718:B718"/>
    <mergeCell ref="A719:B719"/>
    <mergeCell ref="C719:E719"/>
    <mergeCell ref="A720:B725"/>
    <mergeCell ref="C720:E720"/>
    <mergeCell ref="L720:L725"/>
    <mergeCell ref="M720:N720"/>
    <mergeCell ref="C721:E721"/>
    <mergeCell ref="M721:N721"/>
    <mergeCell ref="C722:E722"/>
    <mergeCell ref="M722:N722"/>
    <mergeCell ref="J737:L737"/>
    <mergeCell ref="M737:N737"/>
    <mergeCell ref="C723:E723"/>
    <mergeCell ref="M728:N728"/>
    <mergeCell ref="A729:E729"/>
    <mergeCell ref="H729:I729"/>
    <mergeCell ref="M729:N729"/>
    <mergeCell ref="A730:E730"/>
    <mergeCell ref="C696:E696"/>
    <mergeCell ref="M696:N696"/>
    <mergeCell ref="C697:E697"/>
    <mergeCell ref="M697:N697"/>
    <mergeCell ref="C698:E698"/>
    <mergeCell ref="M698:N698"/>
    <mergeCell ref="A699:B701"/>
    <mergeCell ref="C699:E699"/>
    <mergeCell ref="C700:E700"/>
    <mergeCell ref="C701:E701"/>
    <mergeCell ref="M701:N701"/>
    <mergeCell ref="M710:N710"/>
    <mergeCell ref="M711:N711"/>
    <mergeCell ref="M714:N714"/>
    <mergeCell ref="M715:N715"/>
    <mergeCell ref="M716:N716"/>
    <mergeCell ref="H727:I727"/>
    <mergeCell ref="M727:N727"/>
    <mergeCell ref="C703:E703"/>
    <mergeCell ref="C704:E704"/>
    <mergeCell ref="M703:N705"/>
    <mergeCell ref="C709:E709"/>
    <mergeCell ref="M709:N709"/>
    <mergeCell ref="C710:E710"/>
    <mergeCell ref="C711:E711"/>
    <mergeCell ref="C712:E712"/>
    <mergeCell ref="M712:N712"/>
    <mergeCell ref="C713:E713"/>
    <mergeCell ref="M713:N713"/>
    <mergeCell ref="C718:E718"/>
    <mergeCell ref="M718:N718"/>
    <mergeCell ref="A717:B717"/>
    <mergeCell ref="M480:N480"/>
    <mergeCell ref="M702:N702"/>
    <mergeCell ref="M534:N534"/>
    <mergeCell ref="M624:N624"/>
    <mergeCell ref="M501:N501"/>
    <mergeCell ref="M528:N528"/>
    <mergeCell ref="M525:N525"/>
    <mergeCell ref="M496:N496"/>
    <mergeCell ref="H730:I730"/>
    <mergeCell ref="M730:N730"/>
    <mergeCell ref="A731:E731"/>
    <mergeCell ref="H731:I731"/>
    <mergeCell ref="M731:N731"/>
    <mergeCell ref="M719:N719"/>
    <mergeCell ref="C685:E685"/>
    <mergeCell ref="M685:N685"/>
    <mergeCell ref="C686:E686"/>
    <mergeCell ref="M686:N686"/>
    <mergeCell ref="A687:B689"/>
    <mergeCell ref="C687:E687"/>
    <mergeCell ref="M687:N687"/>
    <mergeCell ref="C688:E688"/>
    <mergeCell ref="M688:N688"/>
    <mergeCell ref="C689:E689"/>
    <mergeCell ref="M689:N689"/>
    <mergeCell ref="A690:B692"/>
    <mergeCell ref="C690:E690"/>
    <mergeCell ref="M723:N723"/>
    <mergeCell ref="C724:E724"/>
    <mergeCell ref="C725:E725"/>
    <mergeCell ref="A728:E728"/>
    <mergeCell ref="H728:I728"/>
    <mergeCell ref="A29:B29"/>
    <mergeCell ref="M741:N741"/>
    <mergeCell ref="A742:I742"/>
    <mergeCell ref="J742:L742"/>
    <mergeCell ref="M742:N742"/>
    <mergeCell ref="M481:N481"/>
    <mergeCell ref="M482:N482"/>
    <mergeCell ref="M483:N483"/>
    <mergeCell ref="C714:E714"/>
    <mergeCell ref="C715:E715"/>
    <mergeCell ref="C716:E716"/>
    <mergeCell ref="M706:N706"/>
    <mergeCell ref="A708:B710"/>
    <mergeCell ref="A711:B713"/>
    <mergeCell ref="A714:B716"/>
    <mergeCell ref="A705:B707"/>
    <mergeCell ref="C705:E705"/>
    <mergeCell ref="C706:E706"/>
    <mergeCell ref="C707:E707"/>
    <mergeCell ref="M707:N707"/>
    <mergeCell ref="C708:E708"/>
    <mergeCell ref="M708:N708"/>
    <mergeCell ref="A702:B704"/>
    <mergeCell ref="C702:E702"/>
    <mergeCell ref="M725:N725"/>
    <mergeCell ref="M717:N717"/>
    <mergeCell ref="A726:E726"/>
    <mergeCell ref="M726:N726"/>
    <mergeCell ref="A727:E727"/>
    <mergeCell ref="M479:N479"/>
    <mergeCell ref="A142:B142"/>
    <mergeCell ref="A143:B143"/>
    <mergeCell ref="A236:B236"/>
    <mergeCell ref="M348:N348"/>
    <mergeCell ref="M349:N349"/>
    <mergeCell ref="M465:N465"/>
    <mergeCell ref="M344:N344"/>
    <mergeCell ref="M342:N342"/>
    <mergeCell ref="A324:B324"/>
    <mergeCell ref="C329:E329"/>
    <mergeCell ref="C328:E328"/>
    <mergeCell ref="A290:B290"/>
    <mergeCell ref="A296:B296"/>
    <mergeCell ref="A297:B297"/>
    <mergeCell ref="A298:B298"/>
    <mergeCell ref="A299:B299"/>
    <mergeCell ref="M296:N296"/>
    <mergeCell ref="A326:B327"/>
    <mergeCell ref="M305:N305"/>
    <mergeCell ref="M306:N306"/>
    <mergeCell ref="M307:N307"/>
    <mergeCell ref="M308:N308"/>
    <mergeCell ref="A375:B377"/>
    <mergeCell ref="A351:B353"/>
    <mergeCell ref="C344:E344"/>
    <mergeCell ref="M345:N345"/>
    <mergeCell ref="M367:N367"/>
    <mergeCell ref="A357:B359"/>
    <mergeCell ref="C369:E369"/>
    <mergeCell ref="C370:E370"/>
    <mergeCell ref="C401:E401"/>
    <mergeCell ref="M404:N404"/>
    <mergeCell ref="C392:E392"/>
    <mergeCell ref="M383:N383"/>
    <mergeCell ref="M466:N466"/>
    <mergeCell ref="M467:N467"/>
    <mergeCell ref="M468:N468"/>
    <mergeCell ref="M469:N469"/>
    <mergeCell ref="M470:N470"/>
    <mergeCell ref="M471:N471"/>
    <mergeCell ref="M472:N472"/>
    <mergeCell ref="M473:N473"/>
    <mergeCell ref="M474:N474"/>
    <mergeCell ref="M475:N475"/>
    <mergeCell ref="M476:N476"/>
    <mergeCell ref="M477:N477"/>
    <mergeCell ref="M478:N478"/>
    <mergeCell ref="D19:E19"/>
    <mergeCell ref="D22:E22"/>
    <mergeCell ref="D18:E18"/>
    <mergeCell ref="A312:B312"/>
    <mergeCell ref="A313:B313"/>
    <mergeCell ref="A314:B314"/>
    <mergeCell ref="M35:N35"/>
    <mergeCell ref="M287:N287"/>
    <mergeCell ref="M290:N290"/>
    <mergeCell ref="M291:N291"/>
    <mergeCell ref="M292:N292"/>
    <mergeCell ref="M293:N293"/>
    <mergeCell ref="M294:N294"/>
    <mergeCell ref="M275:N275"/>
    <mergeCell ref="A151:B151"/>
    <mergeCell ref="M186:N186"/>
    <mergeCell ref="A198:B198"/>
    <mergeCell ref="A199:B199"/>
    <mergeCell ref="A235:B235"/>
    <mergeCell ref="A9:B9"/>
    <mergeCell ref="A10:B10"/>
    <mergeCell ref="A59:B59"/>
    <mergeCell ref="A60:B60"/>
    <mergeCell ref="A61:B61"/>
    <mergeCell ref="A62:B62"/>
    <mergeCell ref="M58:N58"/>
    <mergeCell ref="M59:N59"/>
    <mergeCell ref="M60:N60"/>
    <mergeCell ref="M61:N61"/>
    <mergeCell ref="A41:B41"/>
    <mergeCell ref="A42:B42"/>
    <mergeCell ref="D21:E21"/>
    <mergeCell ref="A18:B19"/>
    <mergeCell ref="A20:B22"/>
    <mergeCell ref="M51:N51"/>
    <mergeCell ref="A27:B28"/>
    <mergeCell ref="C27:E27"/>
    <mergeCell ref="C28:E28"/>
    <mergeCell ref="A37:B37"/>
    <mergeCell ref="A38:B38"/>
    <mergeCell ref="A39:B39"/>
    <mergeCell ref="D23:E23"/>
    <mergeCell ref="M29:N29"/>
    <mergeCell ref="M33:N33"/>
    <mergeCell ref="M41:N41"/>
    <mergeCell ref="A36:B36"/>
    <mergeCell ref="A51:B51"/>
    <mergeCell ref="M18:N19"/>
    <mergeCell ref="M27:N27"/>
    <mergeCell ref="A35:B35"/>
    <mergeCell ref="A32:B32"/>
  </mergeCells>
  <phoneticPr fontId="20" type="noConversion"/>
  <printOptions horizontalCentered="1" gridLines="1"/>
  <pageMargins left="0.2" right="0.2" top="0.75" bottom="0.5" header="0" footer="0"/>
  <pageSetup scale="72" fitToHeight="0" orientation="portrait" r:id="rId1"/>
  <headerFooter>
    <oddHeader>&amp;L&amp;"Calibri"&amp;9&amp;K000000Classification: Internal&amp;1#</oddHeader>
    <oddFooter>Page &amp;P of &amp;N</oddFooter>
  </headerFooter>
  <ignoredErrors>
    <ignoredError sqref="F300 F94 F187 G328 F158" formula="1"/>
    <ignoredError sqref="L731:M731 L728:M728 M729:M730 J728 J731" evalError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638B-F106-4987-921B-FBEE7495D0DC}">
  <dimension ref="A1:B677"/>
  <sheetViews>
    <sheetView topLeftCell="A633" workbookViewId="0">
      <selection activeCell="N645" sqref="N645"/>
    </sheetView>
  </sheetViews>
  <sheetFormatPr defaultRowHeight="15"/>
  <cols>
    <col min="1" max="1" width="18.85546875" bestFit="1" customWidth="1"/>
    <col min="2" max="2" width="18.42578125" style="479" bestFit="1" customWidth="1"/>
  </cols>
  <sheetData>
    <row r="1" spans="1:2">
      <c r="A1" t="s">
        <v>374</v>
      </c>
      <c r="B1" s="479" t="s">
        <v>375</v>
      </c>
    </row>
    <row r="2" spans="1:2">
      <c r="A2" s="482">
        <v>1</v>
      </c>
      <c r="B2" s="483">
        <v>21154.678500000002</v>
      </c>
    </row>
    <row r="3" spans="1:2">
      <c r="A3" s="482" t="s">
        <v>393</v>
      </c>
      <c r="B3" s="483">
        <v>21134.883999999998</v>
      </c>
    </row>
    <row r="4" spans="1:2">
      <c r="A4" s="482">
        <v>2</v>
      </c>
      <c r="B4" s="483">
        <v>21101.3495</v>
      </c>
    </row>
    <row r="5" spans="1:2">
      <c r="A5" s="482">
        <v>3</v>
      </c>
      <c r="B5" s="483">
        <v>21067.814999999999</v>
      </c>
    </row>
    <row r="6" spans="1:2">
      <c r="A6" s="482">
        <v>4</v>
      </c>
      <c r="B6" s="483">
        <v>21034.320500000002</v>
      </c>
    </row>
    <row r="7" spans="1:2">
      <c r="A7" s="482">
        <v>5</v>
      </c>
      <c r="B7" s="483">
        <v>21000.835999999999</v>
      </c>
    </row>
    <row r="8" spans="1:2">
      <c r="A8" s="482">
        <v>6</v>
      </c>
      <c r="B8" s="483">
        <v>20967.7215</v>
      </c>
    </row>
    <row r="9" spans="1:2">
      <c r="A9" s="482">
        <v>7</v>
      </c>
      <c r="B9" s="483">
        <v>20935.677</v>
      </c>
    </row>
    <row r="10" spans="1:2">
      <c r="A10" s="482">
        <v>8</v>
      </c>
      <c r="B10" s="483">
        <v>20902.3125</v>
      </c>
    </row>
    <row r="11" spans="1:2">
      <c r="A11" s="482">
        <v>9</v>
      </c>
      <c r="B11" s="483">
        <v>20869.317999999999</v>
      </c>
    </row>
    <row r="12" spans="1:2">
      <c r="A12" s="482">
        <v>10</v>
      </c>
      <c r="B12" s="483">
        <v>20835.893499999998</v>
      </c>
    </row>
    <row r="13" spans="1:2">
      <c r="A13" s="482">
        <v>11</v>
      </c>
      <c r="B13" s="483">
        <v>20802.508999999998</v>
      </c>
    </row>
    <row r="14" spans="1:2">
      <c r="A14" s="482">
        <v>12</v>
      </c>
      <c r="B14" s="483">
        <v>20768.9745</v>
      </c>
    </row>
    <row r="15" spans="1:2">
      <c r="A15" s="482">
        <v>13</v>
      </c>
      <c r="B15" s="483">
        <v>20735.53</v>
      </c>
    </row>
    <row r="16" spans="1:2">
      <c r="A16" s="482">
        <v>14</v>
      </c>
      <c r="B16" s="483">
        <v>20702.3855</v>
      </c>
    </row>
    <row r="17" spans="1:2">
      <c r="A17" s="482">
        <v>15</v>
      </c>
      <c r="B17" s="483">
        <v>20669.210999999999</v>
      </c>
    </row>
    <row r="18" spans="1:2">
      <c r="A18" s="482">
        <v>16</v>
      </c>
      <c r="B18" s="483">
        <v>20635.906500000001</v>
      </c>
    </row>
    <row r="19" spans="1:2">
      <c r="A19" s="482">
        <v>17</v>
      </c>
      <c r="B19" s="483">
        <v>20602.371999999999</v>
      </c>
    </row>
    <row r="20" spans="1:2">
      <c r="A20" s="482">
        <v>18</v>
      </c>
      <c r="B20" s="483">
        <v>20568.817500000001</v>
      </c>
    </row>
    <row r="21" spans="1:2">
      <c r="A21" s="482">
        <v>19</v>
      </c>
      <c r="B21" s="483">
        <v>20535.273000000001</v>
      </c>
    </row>
    <row r="22" spans="1:2">
      <c r="A22" s="482">
        <v>20</v>
      </c>
      <c r="B22" s="483">
        <v>20535.273000000001</v>
      </c>
    </row>
    <row r="23" spans="1:2">
      <c r="A23" s="482">
        <v>21</v>
      </c>
      <c r="B23" s="483">
        <v>20535.273000000001</v>
      </c>
    </row>
    <row r="24" spans="1:2">
      <c r="A24" s="482">
        <v>22</v>
      </c>
      <c r="B24" s="483">
        <v>20501.728500000001</v>
      </c>
    </row>
    <row r="25" spans="1:2">
      <c r="A25" s="482">
        <v>23</v>
      </c>
      <c r="B25" s="483">
        <v>20468.414000000001</v>
      </c>
    </row>
    <row r="26" spans="1:2">
      <c r="A26" s="482">
        <v>24</v>
      </c>
      <c r="B26" s="483">
        <v>20435.1495</v>
      </c>
    </row>
    <row r="27" spans="1:2">
      <c r="A27" s="482">
        <v>25</v>
      </c>
      <c r="B27" s="483">
        <v>20401.605</v>
      </c>
    </row>
    <row r="28" spans="1:2">
      <c r="A28" s="482">
        <v>26</v>
      </c>
      <c r="B28" s="483">
        <v>20368.110499999999</v>
      </c>
    </row>
    <row r="29" spans="1:2">
      <c r="A29" s="482">
        <v>27</v>
      </c>
      <c r="B29" s="483">
        <v>20334.616000000002</v>
      </c>
    </row>
    <row r="30" spans="1:2">
      <c r="A30" s="482">
        <v>28</v>
      </c>
      <c r="B30" s="483">
        <v>20301.121500000001</v>
      </c>
    </row>
    <row r="31" spans="1:2">
      <c r="A31" s="482">
        <v>29</v>
      </c>
      <c r="B31" s="483">
        <v>20267.807000000001</v>
      </c>
    </row>
    <row r="32" spans="1:2">
      <c r="A32" s="482">
        <v>30</v>
      </c>
      <c r="B32" s="483">
        <v>20234.362499999999</v>
      </c>
    </row>
    <row r="33" spans="1:2">
      <c r="A33" s="482">
        <v>31</v>
      </c>
      <c r="B33" s="483">
        <v>20201.008000000002</v>
      </c>
    </row>
    <row r="34" spans="1:2">
      <c r="A34" s="482">
        <v>32</v>
      </c>
      <c r="B34" s="483">
        <v>20167.4735</v>
      </c>
    </row>
    <row r="35" spans="1:2">
      <c r="A35" s="482">
        <v>33</v>
      </c>
      <c r="B35" s="483">
        <v>20134.519</v>
      </c>
    </row>
    <row r="36" spans="1:2">
      <c r="A36" s="482">
        <v>34</v>
      </c>
      <c r="B36" s="483">
        <v>20100.984499999999</v>
      </c>
    </row>
    <row r="37" spans="1:2">
      <c r="A37" s="482">
        <v>35</v>
      </c>
      <c r="B37" s="483">
        <v>20068.990000000002</v>
      </c>
    </row>
    <row r="38" spans="1:2">
      <c r="A38" s="482">
        <v>36</v>
      </c>
      <c r="B38" s="483">
        <v>20035.465499999998</v>
      </c>
    </row>
    <row r="39" spans="1:2">
      <c r="A39" s="482">
        <v>37</v>
      </c>
      <c r="B39" s="483">
        <v>20002.981</v>
      </c>
    </row>
    <row r="40" spans="1:2">
      <c r="A40" s="482">
        <v>38</v>
      </c>
      <c r="B40" s="483">
        <v>19969.446500000002</v>
      </c>
    </row>
    <row r="41" spans="1:2">
      <c r="A41" s="482">
        <v>39</v>
      </c>
      <c r="B41" s="483">
        <v>19935.921999999999</v>
      </c>
    </row>
    <row r="42" spans="1:2">
      <c r="A42" s="482">
        <v>40</v>
      </c>
      <c r="B42" s="483">
        <v>19904.247500000001</v>
      </c>
    </row>
    <row r="43" spans="1:2">
      <c r="A43" s="482">
        <v>41</v>
      </c>
      <c r="B43" s="483">
        <v>19870.723000000002</v>
      </c>
    </row>
    <row r="44" spans="1:2">
      <c r="A44" s="482">
        <v>42</v>
      </c>
      <c r="B44" s="483">
        <v>19837.1885</v>
      </c>
    </row>
    <row r="45" spans="1:2">
      <c r="A45" s="482">
        <v>43</v>
      </c>
      <c r="B45" s="483">
        <v>19803.653999999999</v>
      </c>
    </row>
    <row r="46" spans="1:2">
      <c r="A46" s="482">
        <v>44</v>
      </c>
      <c r="B46" s="483">
        <v>19770.129499999999</v>
      </c>
    </row>
    <row r="47" spans="1:2">
      <c r="A47" s="482">
        <v>45</v>
      </c>
      <c r="B47" s="483">
        <v>19736.724999999999</v>
      </c>
    </row>
    <row r="48" spans="1:2">
      <c r="A48" s="482">
        <v>46</v>
      </c>
      <c r="B48" s="483">
        <v>19703.5605</v>
      </c>
    </row>
    <row r="49" spans="1:2">
      <c r="A49" s="482">
        <v>47</v>
      </c>
      <c r="B49" s="483">
        <v>19670.036</v>
      </c>
    </row>
    <row r="50" spans="1:2">
      <c r="A50" s="482">
        <v>48</v>
      </c>
      <c r="B50" s="483">
        <v>19636.541499999999</v>
      </c>
    </row>
    <row r="51" spans="1:2">
      <c r="A51" s="482">
        <v>49</v>
      </c>
      <c r="B51" s="483">
        <v>19603.287</v>
      </c>
    </row>
    <row r="52" spans="1:2">
      <c r="A52" s="482">
        <v>50</v>
      </c>
      <c r="B52" s="483">
        <v>19569.7925</v>
      </c>
    </row>
    <row r="53" spans="1:2">
      <c r="A53" s="482">
        <v>51</v>
      </c>
      <c r="B53" s="483">
        <v>19536.258000000002</v>
      </c>
    </row>
    <row r="54" spans="1:2">
      <c r="A54" s="482">
        <v>52</v>
      </c>
      <c r="B54" s="483">
        <v>19503.1535</v>
      </c>
    </row>
    <row r="55" spans="1:2">
      <c r="A55" s="482">
        <v>53</v>
      </c>
      <c r="B55" s="483">
        <v>19469.618999999999</v>
      </c>
    </row>
    <row r="56" spans="1:2">
      <c r="A56" s="482">
        <v>54</v>
      </c>
      <c r="B56" s="483">
        <v>19436.124500000002</v>
      </c>
    </row>
    <row r="57" spans="1:2">
      <c r="A57" s="482">
        <v>55</v>
      </c>
      <c r="B57" s="483">
        <v>19404.150000000001</v>
      </c>
    </row>
    <row r="58" spans="1:2">
      <c r="A58" s="482">
        <v>56</v>
      </c>
      <c r="B58" s="483">
        <v>19372.015500000001</v>
      </c>
    </row>
    <row r="59" spans="1:2">
      <c r="A59" s="482">
        <v>57</v>
      </c>
      <c r="B59" s="483">
        <v>19339.161</v>
      </c>
    </row>
    <row r="60" spans="1:2">
      <c r="A60" s="482">
        <v>58</v>
      </c>
      <c r="B60" s="483">
        <v>19307.486499999999</v>
      </c>
    </row>
    <row r="61" spans="1:2">
      <c r="A61" s="482">
        <v>59</v>
      </c>
      <c r="B61" s="483">
        <v>19275.171999999999</v>
      </c>
    </row>
    <row r="62" spans="1:2">
      <c r="A62" s="482">
        <v>60</v>
      </c>
      <c r="B62" s="483">
        <v>19241.797500000001</v>
      </c>
    </row>
    <row r="63" spans="1:2">
      <c r="A63" s="482">
        <v>61</v>
      </c>
      <c r="B63" s="483">
        <v>19209.742999999999</v>
      </c>
    </row>
    <row r="64" spans="1:2">
      <c r="A64" s="482">
        <v>62</v>
      </c>
      <c r="B64" s="483">
        <v>19177.018499999998</v>
      </c>
    </row>
    <row r="65" spans="1:2">
      <c r="A65" s="482">
        <v>63</v>
      </c>
      <c r="B65" s="483">
        <v>19143.454000000002</v>
      </c>
    </row>
    <row r="66" spans="1:2">
      <c r="A66" s="482">
        <v>64</v>
      </c>
      <c r="B66" s="483">
        <v>19110.289499999999</v>
      </c>
    </row>
    <row r="67" spans="1:2">
      <c r="A67" s="482" t="s">
        <v>393</v>
      </c>
      <c r="B67" s="483">
        <v>19090.474999999999</v>
      </c>
    </row>
    <row r="68" spans="1:2">
      <c r="A68" s="482">
        <v>65</v>
      </c>
      <c r="B68" s="483">
        <v>19056.9205</v>
      </c>
    </row>
    <row r="69" spans="1:2">
      <c r="A69" s="482">
        <v>66</v>
      </c>
      <c r="B69" s="483">
        <v>19023.385999999999</v>
      </c>
    </row>
    <row r="70" spans="1:2">
      <c r="A70" s="482">
        <v>67</v>
      </c>
      <c r="B70" s="483">
        <v>18989.851500000001</v>
      </c>
    </row>
    <row r="71" spans="1:2">
      <c r="A71" s="482">
        <v>68</v>
      </c>
      <c r="B71" s="483">
        <v>18956.316999999999</v>
      </c>
    </row>
    <row r="72" spans="1:2">
      <c r="A72" s="482">
        <v>69</v>
      </c>
      <c r="B72" s="483">
        <v>18922.782500000001</v>
      </c>
    </row>
    <row r="73" spans="1:2">
      <c r="A73" s="482">
        <v>70</v>
      </c>
      <c r="B73" s="483">
        <v>18889.428</v>
      </c>
    </row>
    <row r="74" spans="1:2">
      <c r="A74" s="482">
        <v>71</v>
      </c>
      <c r="B74" s="483">
        <v>18856.263500000001</v>
      </c>
    </row>
    <row r="75" spans="1:2">
      <c r="A75" s="482">
        <v>72</v>
      </c>
      <c r="B75" s="483">
        <v>18822.868999999999</v>
      </c>
    </row>
    <row r="76" spans="1:2">
      <c r="A76" s="482">
        <v>73</v>
      </c>
      <c r="B76" s="483">
        <v>18789.694499999998</v>
      </c>
    </row>
    <row r="77" spans="1:2">
      <c r="A77" s="482">
        <v>74</v>
      </c>
      <c r="B77" s="483">
        <v>18756.16</v>
      </c>
    </row>
    <row r="78" spans="1:2">
      <c r="A78" s="482">
        <v>75</v>
      </c>
      <c r="B78" s="483">
        <v>18722.895499999999</v>
      </c>
    </row>
    <row r="79" spans="1:2">
      <c r="A79" s="482">
        <v>76</v>
      </c>
      <c r="B79" s="483">
        <v>18689.800999999999</v>
      </c>
    </row>
    <row r="80" spans="1:2">
      <c r="A80" s="482">
        <v>77</v>
      </c>
      <c r="B80" s="483">
        <v>18656.266499999998</v>
      </c>
    </row>
    <row r="81" spans="1:2">
      <c r="A81" s="482">
        <v>78</v>
      </c>
      <c r="B81" s="483">
        <v>18623.462</v>
      </c>
    </row>
    <row r="82" spans="1:2">
      <c r="A82" s="482">
        <v>79</v>
      </c>
      <c r="B82" s="483">
        <v>18589.927499999998</v>
      </c>
    </row>
    <row r="83" spans="1:2">
      <c r="A83" s="482">
        <v>80</v>
      </c>
      <c r="B83" s="483">
        <v>18556.393</v>
      </c>
    </row>
    <row r="84" spans="1:2">
      <c r="A84" s="482">
        <v>81</v>
      </c>
      <c r="B84" s="483">
        <v>18522.858499999998</v>
      </c>
    </row>
    <row r="85" spans="1:2">
      <c r="A85" s="482">
        <v>82</v>
      </c>
      <c r="B85" s="483">
        <v>18489.323999999997</v>
      </c>
    </row>
    <row r="86" spans="1:2">
      <c r="A86" s="482">
        <v>83</v>
      </c>
      <c r="B86" s="483">
        <v>18455.789499999999</v>
      </c>
    </row>
    <row r="87" spans="1:2">
      <c r="A87" s="482">
        <v>84</v>
      </c>
      <c r="B87" s="483">
        <v>18422.244999999999</v>
      </c>
    </row>
    <row r="88" spans="1:2">
      <c r="A88" s="482">
        <v>85</v>
      </c>
      <c r="B88" s="483">
        <v>18388.700499999999</v>
      </c>
    </row>
    <row r="89" spans="1:2">
      <c r="A89" s="482">
        <v>86</v>
      </c>
      <c r="B89" s="483">
        <v>18355.155999999999</v>
      </c>
    </row>
    <row r="90" spans="1:2">
      <c r="A90" s="482">
        <v>87</v>
      </c>
      <c r="B90" s="483">
        <v>18321.8815</v>
      </c>
    </row>
    <row r="91" spans="1:2">
      <c r="A91" s="482">
        <v>88</v>
      </c>
      <c r="B91" s="483">
        <v>18288.517</v>
      </c>
    </row>
    <row r="92" spans="1:2">
      <c r="A92" s="482">
        <v>89</v>
      </c>
      <c r="B92" s="483">
        <v>18256.522499999999</v>
      </c>
    </row>
    <row r="93" spans="1:2">
      <c r="A93" s="482">
        <v>90</v>
      </c>
      <c r="B93" s="483">
        <v>18222.977999999999</v>
      </c>
    </row>
    <row r="94" spans="1:2">
      <c r="A94" s="482">
        <v>91</v>
      </c>
      <c r="B94" s="483">
        <v>18189.573499999999</v>
      </c>
    </row>
    <row r="95" spans="1:2">
      <c r="A95" s="482">
        <v>92</v>
      </c>
      <c r="B95" s="483">
        <v>18156.028999999999</v>
      </c>
    </row>
    <row r="96" spans="1:2">
      <c r="A96" s="482">
        <v>93</v>
      </c>
      <c r="B96" s="483">
        <v>18122.474499999997</v>
      </c>
    </row>
    <row r="97" spans="1:2">
      <c r="A97" s="482">
        <v>94</v>
      </c>
      <c r="B97" s="483">
        <v>18089.539999999997</v>
      </c>
    </row>
    <row r="98" spans="1:2">
      <c r="A98" s="482">
        <v>95</v>
      </c>
      <c r="B98" s="483">
        <v>18055.995499999997</v>
      </c>
    </row>
    <row r="99" spans="1:2">
      <c r="A99" s="482">
        <v>96</v>
      </c>
      <c r="B99" s="483">
        <v>18022.641</v>
      </c>
    </row>
    <row r="100" spans="1:2">
      <c r="A100" s="482">
        <v>97</v>
      </c>
      <c r="B100" s="483">
        <v>17989.196499999998</v>
      </c>
    </row>
    <row r="101" spans="1:2">
      <c r="A101" s="482">
        <v>98</v>
      </c>
      <c r="B101" s="483">
        <v>17955.871999999999</v>
      </c>
    </row>
    <row r="102" spans="1:2">
      <c r="A102" s="482">
        <v>99</v>
      </c>
      <c r="B102" s="483">
        <v>17922.347499999996</v>
      </c>
    </row>
    <row r="103" spans="1:2">
      <c r="A103" s="482">
        <v>100</v>
      </c>
      <c r="B103" s="483">
        <v>17888.822999999997</v>
      </c>
    </row>
    <row r="104" spans="1:2">
      <c r="A104" s="482">
        <v>101</v>
      </c>
      <c r="B104" s="483">
        <v>17855.298499999997</v>
      </c>
    </row>
    <row r="105" spans="1:2">
      <c r="A105" s="482">
        <v>102</v>
      </c>
      <c r="B105" s="483">
        <v>17822.333999999999</v>
      </c>
    </row>
    <row r="106" spans="1:2">
      <c r="A106" s="482">
        <v>103</v>
      </c>
      <c r="B106" s="483">
        <v>17788.779499999997</v>
      </c>
    </row>
    <row r="107" spans="1:2">
      <c r="A107" s="482">
        <v>104</v>
      </c>
      <c r="B107" s="483">
        <v>17757.254999999997</v>
      </c>
    </row>
    <row r="108" spans="1:2">
      <c r="A108" s="482">
        <v>105</v>
      </c>
      <c r="B108" s="483">
        <v>17723.710499999997</v>
      </c>
    </row>
    <row r="109" spans="1:2">
      <c r="A109" s="482">
        <v>106</v>
      </c>
      <c r="B109" s="483">
        <v>17690.155999999999</v>
      </c>
    </row>
    <row r="110" spans="1:2">
      <c r="A110" s="482">
        <v>107</v>
      </c>
      <c r="B110" s="483">
        <v>17656.601499999997</v>
      </c>
    </row>
    <row r="111" spans="1:2">
      <c r="A111" s="482">
        <v>108</v>
      </c>
      <c r="B111" s="483">
        <v>17623.046999999999</v>
      </c>
    </row>
    <row r="112" spans="1:2">
      <c r="A112" s="482">
        <v>109</v>
      </c>
      <c r="B112" s="483">
        <v>17589.502499999999</v>
      </c>
    </row>
    <row r="113" spans="1:2">
      <c r="A113" s="482">
        <v>110</v>
      </c>
      <c r="B113" s="483">
        <v>17555.947999999997</v>
      </c>
    </row>
    <row r="114" spans="1:2">
      <c r="A114" s="482">
        <v>111</v>
      </c>
      <c r="B114" s="483">
        <v>17522.393499999998</v>
      </c>
    </row>
    <row r="115" spans="1:2">
      <c r="A115" s="482">
        <v>112</v>
      </c>
      <c r="B115" s="483">
        <v>17488.888999999996</v>
      </c>
    </row>
    <row r="116" spans="1:2">
      <c r="A116" s="482">
        <v>113</v>
      </c>
      <c r="B116" s="483">
        <v>17455.894499999999</v>
      </c>
    </row>
    <row r="117" spans="1:2">
      <c r="A117" s="482">
        <v>114</v>
      </c>
      <c r="B117" s="483">
        <v>17422.339999999997</v>
      </c>
    </row>
    <row r="118" spans="1:2">
      <c r="A118" s="482">
        <v>115</v>
      </c>
      <c r="B118" s="483">
        <v>17388.785499999998</v>
      </c>
    </row>
    <row r="119" spans="1:2">
      <c r="A119" s="482">
        <v>116</v>
      </c>
      <c r="B119" s="483">
        <v>17355.970999999998</v>
      </c>
    </row>
    <row r="120" spans="1:2">
      <c r="A120" s="482">
        <v>117</v>
      </c>
      <c r="B120" s="483">
        <v>17322.406499999997</v>
      </c>
    </row>
    <row r="121" spans="1:2">
      <c r="A121" s="482">
        <v>118</v>
      </c>
      <c r="B121" s="483">
        <v>17288.851999999995</v>
      </c>
    </row>
    <row r="122" spans="1:2">
      <c r="A122" s="482">
        <v>119</v>
      </c>
      <c r="B122" s="483">
        <v>17256.747499999998</v>
      </c>
    </row>
    <row r="123" spans="1:2">
      <c r="A123" s="482">
        <v>120</v>
      </c>
      <c r="B123" s="483">
        <v>17223.212999999996</v>
      </c>
    </row>
    <row r="124" spans="1:2">
      <c r="A124" s="482">
        <v>121</v>
      </c>
      <c r="B124" s="483">
        <v>17191.178499999998</v>
      </c>
    </row>
    <row r="125" spans="1:2">
      <c r="A125" s="482">
        <v>122</v>
      </c>
      <c r="B125" s="483">
        <v>17157.633999999998</v>
      </c>
    </row>
    <row r="126" spans="1:2">
      <c r="A126" s="482">
        <v>123</v>
      </c>
      <c r="B126" s="483">
        <v>17124.089499999998</v>
      </c>
    </row>
    <row r="127" spans="1:2">
      <c r="A127" s="482">
        <v>124</v>
      </c>
      <c r="B127" s="483">
        <v>17090.544999999998</v>
      </c>
    </row>
    <row r="128" spans="1:2">
      <c r="A128" s="482">
        <v>125</v>
      </c>
      <c r="B128" s="483">
        <v>17057.000499999998</v>
      </c>
    </row>
    <row r="129" spans="1:2">
      <c r="A129" s="482">
        <v>126</v>
      </c>
      <c r="B129" s="483">
        <v>17023.455999999998</v>
      </c>
    </row>
    <row r="130" spans="1:2">
      <c r="A130" s="482">
        <v>127</v>
      </c>
      <c r="B130" s="483">
        <v>16989.921499999997</v>
      </c>
    </row>
    <row r="131" spans="1:2">
      <c r="A131" s="482" t="s">
        <v>392</v>
      </c>
      <c r="B131" s="483">
        <v>16980.106999999996</v>
      </c>
    </row>
    <row r="132" spans="1:2">
      <c r="A132" s="482">
        <v>128</v>
      </c>
      <c r="B132" s="483">
        <v>16946.572499999998</v>
      </c>
    </row>
    <row r="133" spans="1:2">
      <c r="A133" s="482">
        <v>129</v>
      </c>
      <c r="B133" s="483">
        <v>16913.157999999996</v>
      </c>
    </row>
    <row r="134" spans="1:2">
      <c r="A134" s="482">
        <v>130</v>
      </c>
      <c r="B134" s="483">
        <v>16881.563499999997</v>
      </c>
    </row>
    <row r="135" spans="1:2">
      <c r="A135" s="482">
        <v>131</v>
      </c>
      <c r="B135" s="483">
        <v>16848.008999999998</v>
      </c>
    </row>
    <row r="136" spans="1:2">
      <c r="A136" s="482">
        <v>132</v>
      </c>
      <c r="B136" s="483">
        <v>16814.454499999996</v>
      </c>
    </row>
    <row r="137" spans="1:2">
      <c r="A137" s="482">
        <v>133</v>
      </c>
      <c r="B137" s="483">
        <v>16780.899999999998</v>
      </c>
    </row>
    <row r="138" spans="1:2">
      <c r="A138" s="482">
        <v>134</v>
      </c>
      <c r="B138" s="483">
        <v>16747.345499999996</v>
      </c>
    </row>
    <row r="139" spans="1:2">
      <c r="A139" s="482">
        <v>135</v>
      </c>
      <c r="B139" s="483">
        <v>16713.800999999996</v>
      </c>
    </row>
    <row r="140" spans="1:2">
      <c r="A140" s="482">
        <v>136</v>
      </c>
      <c r="B140" s="483">
        <v>16680.676499999998</v>
      </c>
    </row>
    <row r="141" spans="1:2">
      <c r="A141" s="482">
        <v>137</v>
      </c>
      <c r="B141" s="483">
        <v>16647.121999999996</v>
      </c>
    </row>
    <row r="142" spans="1:2">
      <c r="A142" s="482">
        <v>138</v>
      </c>
      <c r="B142" s="483">
        <v>16613.567499999997</v>
      </c>
    </row>
    <row r="143" spans="1:2">
      <c r="A143" s="482">
        <v>139</v>
      </c>
      <c r="B143" s="483">
        <v>16580.012999999995</v>
      </c>
    </row>
    <row r="144" spans="1:2">
      <c r="A144" s="482">
        <v>140</v>
      </c>
      <c r="B144" s="483">
        <v>16546.458499999997</v>
      </c>
    </row>
    <row r="145" spans="1:2">
      <c r="A145" s="482">
        <v>141</v>
      </c>
      <c r="B145" s="483">
        <v>16513.303999999996</v>
      </c>
    </row>
    <row r="146" spans="1:2">
      <c r="A146" s="482">
        <v>142</v>
      </c>
      <c r="B146" s="483">
        <v>16480.159499999994</v>
      </c>
    </row>
    <row r="147" spans="1:2">
      <c r="A147" s="482">
        <v>143</v>
      </c>
      <c r="B147" s="483">
        <v>16446.664999999997</v>
      </c>
    </row>
    <row r="148" spans="1:2">
      <c r="A148" s="482">
        <v>144</v>
      </c>
      <c r="B148" s="483">
        <v>16413.430499999995</v>
      </c>
    </row>
    <row r="149" spans="1:2">
      <c r="A149" s="482">
        <v>145</v>
      </c>
      <c r="B149" s="483">
        <v>16380.455999999996</v>
      </c>
    </row>
    <row r="150" spans="1:2">
      <c r="A150" s="482">
        <v>146</v>
      </c>
      <c r="B150" s="483">
        <v>16346.921499999997</v>
      </c>
    </row>
    <row r="151" spans="1:2">
      <c r="A151" s="482">
        <v>147</v>
      </c>
      <c r="B151" s="483">
        <v>16313.576999999997</v>
      </c>
    </row>
    <row r="152" spans="1:2">
      <c r="A152" s="482">
        <v>148</v>
      </c>
      <c r="B152" s="483">
        <v>16280.042499999996</v>
      </c>
    </row>
    <row r="153" spans="1:2">
      <c r="A153" s="482">
        <v>149</v>
      </c>
      <c r="B153" s="483">
        <v>16246.507999999998</v>
      </c>
    </row>
    <row r="154" spans="1:2">
      <c r="A154" s="482">
        <v>150</v>
      </c>
      <c r="B154" s="483">
        <v>16213.103499999997</v>
      </c>
    </row>
    <row r="155" spans="1:2">
      <c r="A155" s="482">
        <v>151</v>
      </c>
      <c r="B155" s="483">
        <v>16179.678999999996</v>
      </c>
    </row>
    <row r="156" spans="1:2">
      <c r="A156" s="482">
        <v>152</v>
      </c>
      <c r="B156" s="483">
        <v>16148.054499999998</v>
      </c>
    </row>
    <row r="157" spans="1:2">
      <c r="A157" s="482">
        <v>153</v>
      </c>
      <c r="B157" s="483">
        <v>16114.519999999997</v>
      </c>
    </row>
    <row r="158" spans="1:2">
      <c r="A158" s="482">
        <v>154</v>
      </c>
      <c r="B158" s="483">
        <v>16080.985499999999</v>
      </c>
    </row>
    <row r="159" spans="1:2">
      <c r="A159" s="482">
        <v>155</v>
      </c>
      <c r="B159" s="483">
        <v>16047.790999999997</v>
      </c>
    </row>
    <row r="160" spans="1:2">
      <c r="A160" s="482" t="s">
        <v>393</v>
      </c>
      <c r="B160" s="483">
        <v>16027.956499999998</v>
      </c>
    </row>
    <row r="161" spans="1:2">
      <c r="A161" s="482">
        <v>156</v>
      </c>
      <c r="B161" s="483">
        <v>15994.411999999998</v>
      </c>
    </row>
    <row r="162" spans="1:2">
      <c r="A162" s="482">
        <v>157</v>
      </c>
      <c r="B162" s="483">
        <v>15961.087499999998</v>
      </c>
    </row>
    <row r="163" spans="1:2">
      <c r="A163" s="482">
        <v>158</v>
      </c>
      <c r="B163" s="483">
        <v>15927.553</v>
      </c>
    </row>
    <row r="164" spans="1:2">
      <c r="A164" s="482">
        <v>159</v>
      </c>
      <c r="B164" s="483">
        <v>15894.018499999998</v>
      </c>
    </row>
    <row r="165" spans="1:2">
      <c r="A165" s="482">
        <v>160</v>
      </c>
      <c r="B165" s="483">
        <v>15860.473999999998</v>
      </c>
    </row>
    <row r="166" spans="1:2">
      <c r="A166" s="482">
        <v>161</v>
      </c>
      <c r="B166" s="483">
        <v>15826.949499999999</v>
      </c>
    </row>
    <row r="167" spans="1:2">
      <c r="A167" s="482">
        <v>162</v>
      </c>
      <c r="B167" s="483">
        <v>15793.414999999999</v>
      </c>
    </row>
    <row r="168" spans="1:2">
      <c r="A168" s="482">
        <v>163</v>
      </c>
      <c r="B168" s="483">
        <v>15760.620499999999</v>
      </c>
    </row>
    <row r="169" spans="1:2">
      <c r="A169" s="482">
        <v>164</v>
      </c>
      <c r="B169" s="483">
        <v>15727.085999999999</v>
      </c>
    </row>
    <row r="170" spans="1:2">
      <c r="A170" s="482">
        <v>165</v>
      </c>
      <c r="B170" s="483">
        <v>15693.531499999999</v>
      </c>
    </row>
    <row r="171" spans="1:2">
      <c r="A171" s="482">
        <v>166</v>
      </c>
      <c r="B171" s="483">
        <v>15659.976999999999</v>
      </c>
    </row>
    <row r="172" spans="1:2">
      <c r="A172" s="482">
        <v>167</v>
      </c>
      <c r="B172" s="483">
        <v>15626.422499999999</v>
      </c>
    </row>
    <row r="173" spans="1:2">
      <c r="A173" s="482">
        <v>168</v>
      </c>
      <c r="B173" s="483">
        <v>15592.877999999999</v>
      </c>
    </row>
    <row r="174" spans="1:2">
      <c r="A174" s="482">
        <v>169</v>
      </c>
      <c r="B174" s="483">
        <v>15559.333499999999</v>
      </c>
    </row>
    <row r="175" spans="1:2">
      <c r="A175" s="482">
        <v>170</v>
      </c>
      <c r="B175" s="483">
        <v>15527.319</v>
      </c>
    </row>
    <row r="176" spans="1:2">
      <c r="A176" s="482">
        <v>171</v>
      </c>
      <c r="B176" s="483">
        <v>15493.7745</v>
      </c>
    </row>
    <row r="177" spans="1:2">
      <c r="A177" s="482">
        <v>172</v>
      </c>
      <c r="B177" s="483">
        <v>15461.149999999998</v>
      </c>
    </row>
    <row r="178" spans="1:2">
      <c r="A178" s="482">
        <v>173</v>
      </c>
      <c r="B178" s="483">
        <v>15427.605499999998</v>
      </c>
    </row>
    <row r="179" spans="1:2">
      <c r="A179" s="482">
        <v>174</v>
      </c>
      <c r="B179" s="483">
        <v>15394.270999999999</v>
      </c>
    </row>
    <row r="180" spans="1:2">
      <c r="A180" s="482">
        <v>175</v>
      </c>
      <c r="B180" s="483">
        <v>15360.736499999999</v>
      </c>
    </row>
    <row r="181" spans="1:2">
      <c r="A181" s="482">
        <v>176</v>
      </c>
      <c r="B181" s="483">
        <v>15327.201999999999</v>
      </c>
    </row>
    <row r="182" spans="1:2">
      <c r="A182" s="482">
        <v>177</v>
      </c>
      <c r="B182" s="483">
        <v>15293.8375</v>
      </c>
    </row>
    <row r="183" spans="1:2">
      <c r="A183" s="482">
        <v>178</v>
      </c>
      <c r="B183" s="483">
        <v>15260.303</v>
      </c>
    </row>
    <row r="184" spans="1:2">
      <c r="A184" s="482">
        <v>179</v>
      </c>
      <c r="B184" s="483">
        <v>15226.9385</v>
      </c>
    </row>
    <row r="185" spans="1:2">
      <c r="A185" s="482">
        <v>180</v>
      </c>
      <c r="B185" s="483">
        <v>15193.414000000001</v>
      </c>
    </row>
    <row r="186" spans="1:2">
      <c r="A186" s="482">
        <v>181</v>
      </c>
      <c r="B186" s="483">
        <v>15159.9195</v>
      </c>
    </row>
    <row r="187" spans="1:2">
      <c r="A187" s="482">
        <v>182</v>
      </c>
      <c r="B187" s="483">
        <v>15126.395</v>
      </c>
    </row>
    <row r="188" spans="1:2">
      <c r="A188" s="482">
        <v>183</v>
      </c>
      <c r="B188" s="483">
        <v>15092.8505</v>
      </c>
    </row>
    <row r="189" spans="1:2">
      <c r="A189" s="482">
        <v>184</v>
      </c>
      <c r="B189" s="483">
        <v>15059.315999999999</v>
      </c>
    </row>
    <row r="190" spans="1:2">
      <c r="A190" s="482">
        <v>185</v>
      </c>
      <c r="B190" s="483">
        <v>15025.781500000001</v>
      </c>
    </row>
    <row r="191" spans="1:2">
      <c r="A191" s="482">
        <v>186</v>
      </c>
      <c r="B191" s="483">
        <v>14992.237000000001</v>
      </c>
    </row>
    <row r="192" spans="1:2">
      <c r="A192" s="482">
        <v>187</v>
      </c>
      <c r="B192" s="483">
        <v>14958.692500000001</v>
      </c>
    </row>
    <row r="193" spans="1:2">
      <c r="A193" s="482">
        <v>188</v>
      </c>
      <c r="B193" s="483">
        <v>14925.148000000001</v>
      </c>
    </row>
    <row r="194" spans="1:2">
      <c r="A194" s="482">
        <v>189</v>
      </c>
      <c r="B194" s="483">
        <v>14891.613499999999</v>
      </c>
    </row>
    <row r="195" spans="1:2">
      <c r="A195" s="482">
        <v>190</v>
      </c>
      <c r="B195" s="483">
        <v>14858.069</v>
      </c>
    </row>
    <row r="196" spans="1:2">
      <c r="A196" s="482">
        <v>191</v>
      </c>
      <c r="B196" s="483">
        <v>14824.574500000001</v>
      </c>
    </row>
    <row r="197" spans="1:2">
      <c r="A197" s="482">
        <v>192</v>
      </c>
      <c r="B197" s="483">
        <v>14791.29</v>
      </c>
    </row>
    <row r="198" spans="1:2">
      <c r="A198" s="482">
        <v>193</v>
      </c>
      <c r="B198" s="483">
        <v>14758.2255</v>
      </c>
    </row>
    <row r="199" spans="1:2">
      <c r="A199" s="482">
        <v>194</v>
      </c>
      <c r="B199" s="483">
        <v>14724.911</v>
      </c>
    </row>
    <row r="200" spans="1:2">
      <c r="A200" s="482">
        <v>195</v>
      </c>
      <c r="B200" s="483">
        <v>14691.3465</v>
      </c>
    </row>
    <row r="201" spans="1:2">
      <c r="A201" s="482">
        <v>196</v>
      </c>
      <c r="B201" s="483">
        <v>14657.791999999999</v>
      </c>
    </row>
    <row r="202" spans="1:2">
      <c r="A202" s="482">
        <v>197</v>
      </c>
      <c r="B202" s="483">
        <v>14626.2775</v>
      </c>
    </row>
    <row r="203" spans="1:2">
      <c r="A203" s="482">
        <v>198</v>
      </c>
      <c r="B203" s="483">
        <v>14592.722999999998</v>
      </c>
    </row>
    <row r="204" spans="1:2">
      <c r="A204" s="482">
        <v>199</v>
      </c>
      <c r="B204" s="483">
        <v>14559.248499999998</v>
      </c>
    </row>
    <row r="205" spans="1:2">
      <c r="A205" s="482">
        <v>200</v>
      </c>
      <c r="B205" s="483">
        <v>14525.694</v>
      </c>
    </row>
    <row r="206" spans="1:2">
      <c r="A206" s="482">
        <v>201</v>
      </c>
      <c r="B206" s="483">
        <v>14492.1495</v>
      </c>
    </row>
    <row r="207" spans="1:2">
      <c r="A207" s="482">
        <v>202</v>
      </c>
      <c r="B207" s="483">
        <v>14458.605</v>
      </c>
    </row>
    <row r="208" spans="1:2">
      <c r="A208" s="482">
        <v>203</v>
      </c>
      <c r="B208" s="483">
        <v>14425.070499999998</v>
      </c>
    </row>
    <row r="209" spans="1:2">
      <c r="A209" s="482">
        <v>204</v>
      </c>
      <c r="B209" s="483">
        <v>14391.525999999998</v>
      </c>
    </row>
    <row r="210" spans="1:2">
      <c r="A210" s="482">
        <v>205</v>
      </c>
      <c r="B210" s="483">
        <v>14357.9915</v>
      </c>
    </row>
    <row r="211" spans="1:2">
      <c r="A211" s="482">
        <v>206</v>
      </c>
      <c r="B211" s="483">
        <v>14324.456999999999</v>
      </c>
    </row>
    <row r="212" spans="1:2">
      <c r="A212" s="482">
        <v>207</v>
      </c>
      <c r="B212" s="483">
        <v>14290.912499999999</v>
      </c>
    </row>
    <row r="213" spans="1:2">
      <c r="A213" s="482">
        <v>208</v>
      </c>
      <c r="B213" s="483">
        <v>14257.367999999999</v>
      </c>
    </row>
    <row r="214" spans="1:2">
      <c r="A214" s="482">
        <v>209</v>
      </c>
      <c r="B214" s="483">
        <v>14223.833500000001</v>
      </c>
    </row>
    <row r="215" spans="1:2">
      <c r="A215" s="482">
        <v>210</v>
      </c>
      <c r="B215" s="483">
        <v>14190.298999999999</v>
      </c>
    </row>
    <row r="216" spans="1:2">
      <c r="A216" s="482">
        <v>211</v>
      </c>
      <c r="B216" s="483">
        <v>14156.764500000001</v>
      </c>
    </row>
    <row r="217" spans="1:2">
      <c r="A217" s="482">
        <v>212</v>
      </c>
      <c r="B217" s="483">
        <v>14123.24</v>
      </c>
    </row>
    <row r="218" spans="1:2">
      <c r="A218" s="482">
        <v>213</v>
      </c>
      <c r="B218" s="483">
        <v>14092.735499999999</v>
      </c>
    </row>
    <row r="219" spans="1:2">
      <c r="A219" s="482">
        <v>214</v>
      </c>
      <c r="B219" s="483">
        <v>14059.201000000001</v>
      </c>
    </row>
    <row r="220" spans="1:2">
      <c r="A220" s="482">
        <v>215</v>
      </c>
      <c r="B220" s="483">
        <v>14025.666499999999</v>
      </c>
    </row>
    <row r="221" spans="1:2">
      <c r="A221" s="482">
        <v>216</v>
      </c>
      <c r="B221" s="483">
        <v>13992.492</v>
      </c>
    </row>
    <row r="222" spans="1:2">
      <c r="A222" s="482">
        <v>217</v>
      </c>
      <c r="B222" s="483">
        <v>13958.967499999999</v>
      </c>
    </row>
    <row r="223" spans="1:2">
      <c r="A223" s="482">
        <v>218</v>
      </c>
      <c r="B223" s="483">
        <v>13925.433000000001</v>
      </c>
    </row>
    <row r="224" spans="1:2">
      <c r="A224" s="482">
        <v>219</v>
      </c>
      <c r="B224" s="483">
        <v>13891.898499999999</v>
      </c>
    </row>
    <row r="225" spans="1:2">
      <c r="A225" s="482">
        <v>220</v>
      </c>
      <c r="B225" s="483">
        <v>13858.374</v>
      </c>
    </row>
    <row r="226" spans="1:2">
      <c r="A226" s="482">
        <v>221</v>
      </c>
      <c r="B226" s="483">
        <v>13824.8395</v>
      </c>
    </row>
    <row r="227" spans="1:2">
      <c r="A227" s="482">
        <v>222</v>
      </c>
      <c r="B227" s="483">
        <v>13791.305</v>
      </c>
    </row>
    <row r="228" spans="1:2">
      <c r="A228" s="482">
        <v>223</v>
      </c>
      <c r="B228" s="483">
        <v>13757.770500000001</v>
      </c>
    </row>
    <row r="229" spans="1:2">
      <c r="A229" s="482">
        <v>224</v>
      </c>
      <c r="B229" s="483">
        <v>13724.236000000001</v>
      </c>
    </row>
    <row r="230" spans="1:2">
      <c r="A230" s="482">
        <v>225</v>
      </c>
      <c r="B230" s="483">
        <v>13690.701500000001</v>
      </c>
    </row>
    <row r="231" spans="1:2">
      <c r="A231" s="482">
        <v>226</v>
      </c>
      <c r="B231" s="483">
        <v>13657.177</v>
      </c>
    </row>
    <row r="232" spans="1:2">
      <c r="A232" s="482">
        <v>227</v>
      </c>
      <c r="B232" s="483">
        <v>13623.622500000001</v>
      </c>
    </row>
    <row r="233" spans="1:2">
      <c r="A233" s="482">
        <v>228</v>
      </c>
      <c r="B233" s="483">
        <v>13590.088</v>
      </c>
    </row>
    <row r="234" spans="1:2">
      <c r="A234" s="482">
        <v>229</v>
      </c>
      <c r="B234" s="483">
        <v>13556.5635</v>
      </c>
    </row>
    <row r="235" spans="1:2">
      <c r="A235" s="482">
        <v>230</v>
      </c>
      <c r="B235" s="483">
        <v>13523.099</v>
      </c>
    </row>
    <row r="236" spans="1:2">
      <c r="A236" s="482">
        <v>231</v>
      </c>
      <c r="B236" s="483">
        <v>13489.5245</v>
      </c>
    </row>
    <row r="237" spans="1:2">
      <c r="A237" s="482">
        <v>232</v>
      </c>
      <c r="B237" s="483">
        <v>13456.51</v>
      </c>
    </row>
    <row r="238" spans="1:2">
      <c r="A238" s="482">
        <v>233</v>
      </c>
      <c r="B238" s="483">
        <v>13422.9655</v>
      </c>
    </row>
    <row r="239" spans="1:2">
      <c r="A239" s="482">
        <v>234</v>
      </c>
      <c r="B239" s="483">
        <v>13389.431</v>
      </c>
    </row>
    <row r="240" spans="1:2">
      <c r="A240" s="482">
        <v>235</v>
      </c>
      <c r="B240" s="483">
        <v>13356.2565</v>
      </c>
    </row>
    <row r="241" spans="1:2">
      <c r="A241" s="482">
        <v>236</v>
      </c>
      <c r="B241" s="483">
        <v>13322.702000000001</v>
      </c>
    </row>
    <row r="242" spans="1:2">
      <c r="A242" s="482">
        <v>237</v>
      </c>
      <c r="B242" s="483">
        <v>13289.1675</v>
      </c>
    </row>
    <row r="243" spans="1:2">
      <c r="A243" s="482">
        <v>238</v>
      </c>
      <c r="B243" s="483">
        <v>13255.623</v>
      </c>
    </row>
    <row r="244" spans="1:2">
      <c r="A244" s="482">
        <v>239</v>
      </c>
      <c r="B244" s="483">
        <v>13222.0785</v>
      </c>
    </row>
    <row r="245" spans="1:2">
      <c r="A245" s="482">
        <v>240</v>
      </c>
      <c r="B245" s="483">
        <v>13189.234</v>
      </c>
    </row>
    <row r="246" spans="1:2">
      <c r="A246" s="482">
        <v>241</v>
      </c>
      <c r="B246" s="483">
        <v>13155.6895</v>
      </c>
    </row>
    <row r="247" spans="1:2">
      <c r="A247" s="482">
        <v>242</v>
      </c>
      <c r="B247" s="483">
        <v>13122.145</v>
      </c>
    </row>
    <row r="248" spans="1:2">
      <c r="A248" s="482">
        <v>243</v>
      </c>
      <c r="B248" s="483">
        <v>13088.5905</v>
      </c>
    </row>
    <row r="249" spans="1:2">
      <c r="A249" s="482">
        <v>244</v>
      </c>
      <c r="B249" s="483">
        <v>13055.036</v>
      </c>
    </row>
    <row r="250" spans="1:2">
      <c r="A250" s="482">
        <v>245</v>
      </c>
      <c r="B250" s="483">
        <v>13021.8215</v>
      </c>
    </row>
    <row r="251" spans="1:2">
      <c r="A251" s="482">
        <v>246</v>
      </c>
      <c r="B251" s="483">
        <v>12988.367</v>
      </c>
    </row>
    <row r="252" spans="1:2">
      <c r="A252" s="482">
        <v>247</v>
      </c>
      <c r="B252" s="483">
        <v>12954.862500000001</v>
      </c>
    </row>
    <row r="253" spans="1:2">
      <c r="A253" s="482">
        <v>248</v>
      </c>
      <c r="B253" s="483">
        <v>12921.588000000002</v>
      </c>
    </row>
    <row r="254" spans="1:2">
      <c r="A254" s="482">
        <v>249</v>
      </c>
      <c r="B254" s="483">
        <v>12888.033500000001</v>
      </c>
    </row>
    <row r="255" spans="1:2">
      <c r="A255" s="482">
        <v>250</v>
      </c>
      <c r="B255" s="483">
        <v>12854.779000000002</v>
      </c>
    </row>
    <row r="256" spans="1:2">
      <c r="A256" s="482">
        <v>251</v>
      </c>
      <c r="B256" s="483">
        <v>12821.674500000003</v>
      </c>
    </row>
    <row r="257" spans="1:2">
      <c r="A257" s="482">
        <v>252</v>
      </c>
      <c r="B257" s="483">
        <v>12788.490000000003</v>
      </c>
    </row>
    <row r="258" spans="1:2">
      <c r="A258" s="482">
        <v>253</v>
      </c>
      <c r="B258" s="483">
        <v>12755.325500000003</v>
      </c>
    </row>
    <row r="259" spans="1:2">
      <c r="A259" s="482">
        <v>254</v>
      </c>
      <c r="B259" s="483">
        <v>12721.801000000003</v>
      </c>
    </row>
    <row r="260" spans="1:2">
      <c r="A260" s="482">
        <v>255</v>
      </c>
      <c r="B260" s="483">
        <v>12688.456500000004</v>
      </c>
    </row>
    <row r="261" spans="1:2">
      <c r="A261" s="482">
        <v>256</v>
      </c>
      <c r="B261" s="483">
        <v>12655.062000000004</v>
      </c>
    </row>
    <row r="262" spans="1:2">
      <c r="A262" s="482">
        <v>257</v>
      </c>
      <c r="B262" s="483">
        <v>12621.537500000004</v>
      </c>
    </row>
    <row r="263" spans="1:2">
      <c r="A263" s="482">
        <v>258</v>
      </c>
      <c r="B263" s="483">
        <v>12588.413000000004</v>
      </c>
    </row>
    <row r="264" spans="1:2">
      <c r="A264" s="482">
        <v>259</v>
      </c>
      <c r="B264" s="483">
        <v>12554.958500000004</v>
      </c>
    </row>
    <row r="265" spans="1:2">
      <c r="A265" s="482">
        <v>260</v>
      </c>
      <c r="B265" s="483">
        <v>12521.824000000004</v>
      </c>
    </row>
    <row r="266" spans="1:2">
      <c r="A266" s="482">
        <v>261</v>
      </c>
      <c r="B266" s="483">
        <v>12488.879500000005</v>
      </c>
    </row>
    <row r="267" spans="1:2">
      <c r="A267" s="482">
        <v>262</v>
      </c>
      <c r="B267" s="483">
        <v>12455.355000000005</v>
      </c>
    </row>
    <row r="268" spans="1:2">
      <c r="A268" s="482">
        <v>263</v>
      </c>
      <c r="B268" s="483">
        <v>12421.810500000005</v>
      </c>
    </row>
    <row r="269" spans="1:2">
      <c r="A269" s="482">
        <v>264</v>
      </c>
      <c r="B269" s="483">
        <v>12388.266000000005</v>
      </c>
    </row>
    <row r="270" spans="1:2">
      <c r="A270" s="482">
        <v>265</v>
      </c>
      <c r="B270" s="483">
        <v>12354.721500000005</v>
      </c>
    </row>
    <row r="271" spans="1:2">
      <c r="A271" s="482">
        <v>266</v>
      </c>
      <c r="B271" s="483">
        <v>12321.177000000005</v>
      </c>
    </row>
    <row r="272" spans="1:2">
      <c r="A272" s="482">
        <v>267</v>
      </c>
      <c r="B272" s="483">
        <v>12287.622500000005</v>
      </c>
    </row>
    <row r="273" spans="1:2">
      <c r="A273" s="482" t="s">
        <v>392</v>
      </c>
      <c r="B273" s="483">
        <v>12277.808000000005</v>
      </c>
    </row>
    <row r="274" spans="1:2">
      <c r="A274" s="482">
        <v>268</v>
      </c>
      <c r="B274" s="483">
        <v>12244.263500000005</v>
      </c>
    </row>
    <row r="275" spans="1:2">
      <c r="A275" s="482">
        <v>269</v>
      </c>
      <c r="B275" s="483">
        <v>12210.719000000005</v>
      </c>
    </row>
    <row r="276" spans="1:2">
      <c r="A276" s="482">
        <v>270</v>
      </c>
      <c r="B276" s="483">
        <v>12177.174500000005</v>
      </c>
    </row>
    <row r="277" spans="1:2">
      <c r="A277" s="482">
        <v>271</v>
      </c>
      <c r="B277" s="483">
        <v>12143.640000000005</v>
      </c>
    </row>
    <row r="278" spans="1:2">
      <c r="A278" s="482">
        <v>272</v>
      </c>
      <c r="B278" s="483">
        <v>12110.245500000005</v>
      </c>
    </row>
    <row r="279" spans="1:2">
      <c r="A279" s="482">
        <v>273</v>
      </c>
      <c r="B279" s="483">
        <v>12076.711000000005</v>
      </c>
    </row>
    <row r="280" spans="1:2">
      <c r="A280" s="482">
        <v>274</v>
      </c>
      <c r="B280" s="483">
        <v>12043.176500000005</v>
      </c>
    </row>
    <row r="281" spans="1:2">
      <c r="A281" s="482">
        <v>275</v>
      </c>
      <c r="B281" s="483">
        <v>12009.642000000005</v>
      </c>
    </row>
    <row r="282" spans="1:2">
      <c r="A282" s="482">
        <v>276</v>
      </c>
      <c r="B282" s="483">
        <v>11976.107500000006</v>
      </c>
    </row>
    <row r="283" spans="1:2">
      <c r="A283" s="482">
        <v>277</v>
      </c>
      <c r="B283" s="483">
        <v>11942.573000000006</v>
      </c>
    </row>
    <row r="284" spans="1:2">
      <c r="A284" s="482">
        <v>278</v>
      </c>
      <c r="B284" s="483">
        <v>11909.028500000006</v>
      </c>
    </row>
    <row r="285" spans="1:2">
      <c r="A285" s="482">
        <v>279</v>
      </c>
      <c r="B285" s="483">
        <v>11875.494000000006</v>
      </c>
    </row>
    <row r="286" spans="1:2">
      <c r="A286" s="482">
        <v>280</v>
      </c>
      <c r="B286" s="483">
        <v>11841.949500000006</v>
      </c>
    </row>
    <row r="287" spans="1:2">
      <c r="A287" s="482">
        <v>281</v>
      </c>
      <c r="B287" s="483">
        <v>11808.525000000007</v>
      </c>
    </row>
    <row r="288" spans="1:2">
      <c r="A288" s="482">
        <v>282</v>
      </c>
      <c r="B288" s="483">
        <v>11774.980500000007</v>
      </c>
    </row>
    <row r="289" spans="1:2">
      <c r="A289" s="482">
        <v>283</v>
      </c>
      <c r="B289" s="483">
        <v>11741.436000000007</v>
      </c>
    </row>
    <row r="290" spans="1:2">
      <c r="A290" s="482">
        <v>284</v>
      </c>
      <c r="B290" s="483">
        <v>11707.901500000007</v>
      </c>
    </row>
    <row r="291" spans="1:2">
      <c r="A291" s="482">
        <v>285</v>
      </c>
      <c r="B291" s="483">
        <v>11674.357000000007</v>
      </c>
    </row>
    <row r="292" spans="1:2">
      <c r="A292" s="482">
        <v>286</v>
      </c>
      <c r="B292" s="483">
        <v>11640.822500000007</v>
      </c>
    </row>
    <row r="293" spans="1:2">
      <c r="A293" s="482">
        <v>287</v>
      </c>
      <c r="B293" s="483">
        <v>11610.018000000007</v>
      </c>
    </row>
    <row r="294" spans="1:2" ht="14.45" customHeight="1">
      <c r="A294" s="482" t="s">
        <v>376</v>
      </c>
      <c r="B294" s="483">
        <v>11576.453500000007</v>
      </c>
    </row>
    <row r="295" spans="1:2" ht="15" customHeight="1">
      <c r="A295" s="482" t="s">
        <v>377</v>
      </c>
      <c r="B295" s="483">
        <v>11572.423500000006</v>
      </c>
    </row>
    <row r="296" spans="1:2" ht="14.45" customHeight="1">
      <c r="A296" s="482" t="s">
        <v>391</v>
      </c>
      <c r="B296" s="483">
        <v>11566.511000000006</v>
      </c>
    </row>
    <row r="297" spans="1:2">
      <c r="A297" s="482" t="s">
        <v>379</v>
      </c>
      <c r="B297" s="483">
        <v>11525.356</v>
      </c>
    </row>
    <row r="298" spans="1:2">
      <c r="A298" s="482" t="s">
        <v>380</v>
      </c>
      <c r="B298" s="483">
        <v>11522.665999999999</v>
      </c>
    </row>
    <row r="299" spans="1:2">
      <c r="A299" s="482" t="s">
        <v>378</v>
      </c>
      <c r="B299" s="483">
        <v>11514.736000000001</v>
      </c>
    </row>
    <row r="300" spans="1:2">
      <c r="A300" s="482">
        <v>1</v>
      </c>
      <c r="B300" s="483">
        <v>11482.084000000001</v>
      </c>
    </row>
    <row r="301" spans="1:2">
      <c r="A301" s="482" t="s">
        <v>390</v>
      </c>
      <c r="B301" s="483">
        <v>11475.882</v>
      </c>
    </row>
    <row r="302" spans="1:2">
      <c r="A302" s="482" t="s">
        <v>381</v>
      </c>
      <c r="B302" s="483">
        <v>11463.882</v>
      </c>
    </row>
    <row r="303" spans="1:2">
      <c r="A303" s="482" t="s">
        <v>382</v>
      </c>
      <c r="B303" s="483">
        <v>11460.201999999999</v>
      </c>
    </row>
    <row r="304" spans="1:2">
      <c r="A304" s="482" t="s">
        <v>383</v>
      </c>
      <c r="B304" s="483">
        <v>11459.232</v>
      </c>
    </row>
    <row r="305" spans="1:2">
      <c r="A305" s="482" t="s">
        <v>390</v>
      </c>
      <c r="B305" s="483">
        <v>11451.632</v>
      </c>
    </row>
    <row r="306" spans="1:2">
      <c r="A306" s="484">
        <f>A300+1</f>
        <v>2</v>
      </c>
      <c r="B306" s="483">
        <v>11419.01</v>
      </c>
    </row>
    <row r="307" spans="1:2">
      <c r="A307" s="484">
        <f>A306+1</f>
        <v>3</v>
      </c>
      <c r="B307" s="483">
        <v>11385.873</v>
      </c>
    </row>
    <row r="308" spans="1:2">
      <c r="A308" s="484">
        <f>A307+1</f>
        <v>4</v>
      </c>
      <c r="B308" s="483">
        <v>11353.255999999999</v>
      </c>
    </row>
    <row r="309" spans="1:2">
      <c r="A309" s="484">
        <f t="shared" ref="A309:A372" si="0">A308+1</f>
        <v>5</v>
      </c>
      <c r="B309" s="483">
        <v>11320.374</v>
      </c>
    </row>
    <row r="310" spans="1:2">
      <c r="A310" s="484">
        <f t="shared" si="0"/>
        <v>6</v>
      </c>
      <c r="B310" s="483">
        <v>11287.207</v>
      </c>
    </row>
    <row r="311" spans="1:2">
      <c r="A311" s="484">
        <f t="shared" si="0"/>
        <v>7</v>
      </c>
      <c r="B311" s="483">
        <v>11254.125</v>
      </c>
    </row>
    <row r="312" spans="1:2">
      <c r="A312" s="484">
        <f t="shared" si="0"/>
        <v>8</v>
      </c>
      <c r="B312" s="483">
        <v>11221.278</v>
      </c>
    </row>
    <row r="313" spans="1:2">
      <c r="A313" s="484">
        <f t="shared" si="0"/>
        <v>9</v>
      </c>
      <c r="B313" s="483">
        <v>11188.491</v>
      </c>
    </row>
    <row r="314" spans="1:2">
      <c r="A314" s="484">
        <f t="shared" si="0"/>
        <v>10</v>
      </c>
      <c r="B314" s="483">
        <v>11155.569</v>
      </c>
    </row>
    <row r="315" spans="1:2">
      <c r="A315" s="484">
        <f t="shared" si="0"/>
        <v>11</v>
      </c>
      <c r="B315" s="483">
        <v>11124.132</v>
      </c>
    </row>
    <row r="316" spans="1:2">
      <c r="A316" s="484">
        <f t="shared" si="0"/>
        <v>12</v>
      </c>
      <c r="B316" s="483">
        <v>11090.934999999999</v>
      </c>
    </row>
    <row r="317" spans="1:2">
      <c r="A317" s="484">
        <f t="shared" si="0"/>
        <v>13</v>
      </c>
      <c r="B317" s="483">
        <v>11058.338</v>
      </c>
    </row>
    <row r="318" spans="1:2">
      <c r="A318" s="484">
        <f t="shared" si="0"/>
        <v>14</v>
      </c>
      <c r="B318" s="483">
        <v>11025.681</v>
      </c>
    </row>
    <row r="319" spans="1:2">
      <c r="A319" s="484">
        <f t="shared" si="0"/>
        <v>15</v>
      </c>
      <c r="B319" s="483">
        <v>10992.964</v>
      </c>
    </row>
    <row r="320" spans="1:2">
      <c r="A320" s="484">
        <f t="shared" si="0"/>
        <v>16</v>
      </c>
      <c r="B320" s="483">
        <v>10960.077000000001</v>
      </c>
    </row>
    <row r="321" spans="1:2">
      <c r="A321" s="484">
        <f t="shared" si="0"/>
        <v>17</v>
      </c>
      <c r="B321" s="483">
        <v>10927.51</v>
      </c>
    </row>
    <row r="322" spans="1:2">
      <c r="A322" s="484">
        <f t="shared" si="0"/>
        <v>18</v>
      </c>
      <c r="B322" s="483">
        <v>10894.648000000001</v>
      </c>
    </row>
    <row r="323" spans="1:2">
      <c r="A323" s="484">
        <f t="shared" si="0"/>
        <v>19</v>
      </c>
      <c r="B323" s="483">
        <v>10861.791000000001</v>
      </c>
    </row>
    <row r="324" spans="1:2">
      <c r="A324" s="484">
        <f t="shared" si="0"/>
        <v>20</v>
      </c>
      <c r="B324" s="483">
        <v>10829.379000000001</v>
      </c>
    </row>
    <row r="325" spans="1:2">
      <c r="A325" s="484">
        <f t="shared" si="0"/>
        <v>21</v>
      </c>
      <c r="B325" s="483">
        <v>10796.617</v>
      </c>
    </row>
    <row r="326" spans="1:2">
      <c r="A326" s="484">
        <f t="shared" si="0"/>
        <v>22</v>
      </c>
      <c r="B326" s="483">
        <v>10763.895</v>
      </c>
    </row>
    <row r="327" spans="1:2">
      <c r="A327" s="484">
        <f t="shared" si="0"/>
        <v>23</v>
      </c>
      <c r="B327" s="483">
        <v>10730.883</v>
      </c>
    </row>
    <row r="328" spans="1:2">
      <c r="A328" s="484">
        <f t="shared" si="0"/>
        <v>24</v>
      </c>
      <c r="B328" s="483">
        <v>10698.071</v>
      </c>
    </row>
    <row r="329" spans="1:2">
      <c r="A329" s="484">
        <f t="shared" si="0"/>
        <v>25</v>
      </c>
      <c r="B329" s="483">
        <v>10664.509</v>
      </c>
    </row>
    <row r="330" spans="1:2">
      <c r="A330" s="484">
        <f t="shared" si="0"/>
        <v>26</v>
      </c>
      <c r="B330" s="483">
        <v>10631.432000000001</v>
      </c>
    </row>
    <row r="331" spans="1:2">
      <c r="A331" s="484">
        <f t="shared" si="0"/>
        <v>27</v>
      </c>
      <c r="B331" s="483">
        <v>10598.130000000001</v>
      </c>
    </row>
    <row r="332" spans="1:2">
      <c r="A332" s="484">
        <f t="shared" si="0"/>
        <v>28</v>
      </c>
      <c r="B332" s="483">
        <v>10565.318000000001</v>
      </c>
    </row>
    <row r="333" spans="1:2">
      <c r="A333" s="484">
        <f t="shared" si="0"/>
        <v>29</v>
      </c>
      <c r="B333" s="483">
        <v>10532.156000000001</v>
      </c>
    </row>
    <row r="334" spans="1:2">
      <c r="A334" s="484">
        <f t="shared" si="0"/>
        <v>30</v>
      </c>
      <c r="B334" s="483">
        <v>10499.319</v>
      </c>
    </row>
    <row r="335" spans="1:2">
      <c r="A335" s="484">
        <f t="shared" si="0"/>
        <v>31</v>
      </c>
      <c r="B335" s="483">
        <v>10466.412</v>
      </c>
    </row>
    <row r="336" spans="1:2">
      <c r="A336" s="484">
        <f t="shared" si="0"/>
        <v>32</v>
      </c>
      <c r="B336" s="483">
        <v>10433.325000000001</v>
      </c>
    </row>
    <row r="337" spans="1:2">
      <c r="A337" s="484">
        <f t="shared" si="0"/>
        <v>33</v>
      </c>
      <c r="B337" s="483">
        <v>10400.253000000001</v>
      </c>
    </row>
    <row r="338" spans="1:2">
      <c r="A338" s="484">
        <f t="shared" si="0"/>
        <v>34</v>
      </c>
      <c r="B338" s="483">
        <v>10367.191000000001</v>
      </c>
    </row>
    <row r="339" spans="1:2">
      <c r="A339" s="484">
        <f t="shared" si="0"/>
        <v>35</v>
      </c>
      <c r="B339" s="483">
        <v>10333.859</v>
      </c>
    </row>
    <row r="340" spans="1:2">
      <c r="A340" s="484">
        <f t="shared" si="0"/>
        <v>36</v>
      </c>
      <c r="B340" s="483">
        <v>10301.057000000001</v>
      </c>
    </row>
    <row r="341" spans="1:2">
      <c r="A341" s="484">
        <f t="shared" si="0"/>
        <v>37</v>
      </c>
      <c r="B341" s="483">
        <v>10268.605</v>
      </c>
    </row>
    <row r="342" spans="1:2">
      <c r="A342" s="484">
        <f t="shared" si="0"/>
        <v>38</v>
      </c>
      <c r="B342" s="483">
        <v>10235.628000000001</v>
      </c>
    </row>
    <row r="343" spans="1:2">
      <c r="A343" s="484">
        <f t="shared" si="0"/>
        <v>39</v>
      </c>
      <c r="B343" s="483">
        <v>10202.916000000001</v>
      </c>
    </row>
    <row r="344" spans="1:2">
      <c r="A344" s="484">
        <f t="shared" si="0"/>
        <v>40</v>
      </c>
      <c r="B344" s="483">
        <v>10171.479000000001</v>
      </c>
    </row>
    <row r="345" spans="1:2">
      <c r="A345" s="484">
        <f t="shared" si="0"/>
        <v>41</v>
      </c>
      <c r="B345" s="483">
        <v>10138.547</v>
      </c>
    </row>
    <row r="346" spans="1:2">
      <c r="A346" s="484">
        <f t="shared" si="0"/>
        <v>42</v>
      </c>
      <c r="B346" s="483">
        <v>10105.835000000001</v>
      </c>
    </row>
    <row r="347" spans="1:2">
      <c r="A347" s="484">
        <f t="shared" si="0"/>
        <v>43</v>
      </c>
      <c r="B347" s="483">
        <v>10073.288</v>
      </c>
    </row>
    <row r="348" spans="1:2">
      <c r="A348" s="484">
        <f t="shared" si="0"/>
        <v>44</v>
      </c>
      <c r="B348" s="483">
        <v>10040.601000000001</v>
      </c>
    </row>
    <row r="349" spans="1:2">
      <c r="A349" s="484">
        <f t="shared" si="0"/>
        <v>45</v>
      </c>
      <c r="B349" s="483">
        <v>10007.314</v>
      </c>
    </row>
    <row r="350" spans="1:2">
      <c r="A350" s="484">
        <f t="shared" si="0"/>
        <v>46</v>
      </c>
      <c r="B350" s="483">
        <v>9974.0420000000013</v>
      </c>
    </row>
    <row r="351" spans="1:2">
      <c r="A351" s="484">
        <f t="shared" si="0"/>
        <v>47</v>
      </c>
      <c r="B351" s="483">
        <v>9941.3250000000007</v>
      </c>
    </row>
    <row r="352" spans="1:2">
      <c r="A352" s="484">
        <f t="shared" si="0"/>
        <v>48</v>
      </c>
      <c r="B352" s="483">
        <v>9908.5079999999998</v>
      </c>
    </row>
    <row r="353" spans="1:2">
      <c r="A353" s="484">
        <f t="shared" si="0"/>
        <v>49</v>
      </c>
      <c r="B353" s="483">
        <v>9875.4310000000005</v>
      </c>
    </row>
    <row r="354" spans="1:2">
      <c r="A354" s="484">
        <f t="shared" si="0"/>
        <v>50</v>
      </c>
      <c r="B354" s="483">
        <v>9842.3590000000004</v>
      </c>
    </row>
    <row r="355" spans="1:2">
      <c r="A355" s="484">
        <f t="shared" si="0"/>
        <v>51</v>
      </c>
      <c r="B355" s="483">
        <v>9809.3520000000008</v>
      </c>
    </row>
    <row r="356" spans="1:2">
      <c r="A356" s="484">
        <f t="shared" si="0"/>
        <v>52</v>
      </c>
      <c r="B356" s="483">
        <v>9776.3100000000013</v>
      </c>
    </row>
    <row r="357" spans="1:2">
      <c r="A357" s="484">
        <f t="shared" si="0"/>
        <v>53</v>
      </c>
      <c r="B357" s="483">
        <v>9743.5280000000002</v>
      </c>
    </row>
    <row r="358" spans="1:2">
      <c r="A358" s="484">
        <f t="shared" si="0"/>
        <v>54</v>
      </c>
      <c r="B358" s="483">
        <v>9710.0860000000011</v>
      </c>
    </row>
    <row r="359" spans="1:2">
      <c r="A359" s="484">
        <f t="shared" si="0"/>
        <v>55</v>
      </c>
      <c r="B359" s="483">
        <v>9676.8990000000013</v>
      </c>
    </row>
    <row r="360" spans="1:2">
      <c r="A360" s="484">
        <f t="shared" si="0"/>
        <v>56</v>
      </c>
      <c r="B360" s="483">
        <v>9643.4670000000006</v>
      </c>
    </row>
    <row r="361" spans="1:2">
      <c r="A361" s="484">
        <f t="shared" si="0"/>
        <v>57</v>
      </c>
      <c r="B361" s="483">
        <v>9610.2050000000017</v>
      </c>
    </row>
    <row r="362" spans="1:2">
      <c r="A362" s="484">
        <f t="shared" si="0"/>
        <v>58</v>
      </c>
      <c r="B362" s="483">
        <v>9576.7830000000013</v>
      </c>
    </row>
    <row r="363" spans="1:2">
      <c r="A363" s="484">
        <f t="shared" si="0"/>
        <v>59</v>
      </c>
      <c r="B363" s="483">
        <v>9543.5510000000013</v>
      </c>
    </row>
    <row r="364" spans="1:2">
      <c r="A364" s="484">
        <f t="shared" si="0"/>
        <v>60</v>
      </c>
      <c r="B364" s="483">
        <v>9510.3090000000011</v>
      </c>
    </row>
    <row r="365" spans="1:2">
      <c r="A365" s="484">
        <f t="shared" si="0"/>
        <v>61</v>
      </c>
      <c r="B365" s="483">
        <v>9477.6770000000015</v>
      </c>
    </row>
    <row r="366" spans="1:2">
      <c r="A366" s="484">
        <f t="shared" si="0"/>
        <v>62</v>
      </c>
      <c r="B366" s="483">
        <v>9445.0600000000013</v>
      </c>
    </row>
    <row r="367" spans="1:2">
      <c r="A367" s="484">
        <f t="shared" si="0"/>
        <v>63</v>
      </c>
      <c r="B367" s="483">
        <v>9412.103000000001</v>
      </c>
    </row>
    <row r="368" spans="1:2">
      <c r="A368" s="484">
        <f t="shared" si="0"/>
        <v>64</v>
      </c>
      <c r="B368" s="483">
        <v>9379.5360000000001</v>
      </c>
    </row>
    <row r="369" spans="1:2">
      <c r="A369" s="484">
        <f t="shared" si="0"/>
        <v>65</v>
      </c>
      <c r="B369" s="483">
        <v>9346.969000000001</v>
      </c>
    </row>
    <row r="370" spans="1:2">
      <c r="A370" s="484">
        <f t="shared" si="0"/>
        <v>66</v>
      </c>
      <c r="B370" s="483">
        <v>9314.112000000001</v>
      </c>
    </row>
    <row r="371" spans="1:2">
      <c r="A371" s="484">
        <f t="shared" si="0"/>
        <v>67</v>
      </c>
      <c r="B371" s="483">
        <v>9281.0800000000017</v>
      </c>
    </row>
    <row r="372" spans="1:2">
      <c r="A372" s="484">
        <f t="shared" si="0"/>
        <v>68</v>
      </c>
      <c r="B372" s="483">
        <v>9248.0980000000018</v>
      </c>
    </row>
    <row r="373" spans="1:2">
      <c r="A373" s="484">
        <f t="shared" ref="A373:A436" si="1">A372+1</f>
        <v>69</v>
      </c>
      <c r="B373" s="483">
        <v>9214.8910000000014</v>
      </c>
    </row>
    <row r="374" spans="1:2">
      <c r="A374" s="484">
        <f t="shared" si="1"/>
        <v>70</v>
      </c>
      <c r="B374" s="483">
        <v>9182.0190000000002</v>
      </c>
    </row>
    <row r="375" spans="1:2">
      <c r="A375" s="484">
        <f t="shared" si="1"/>
        <v>71</v>
      </c>
      <c r="B375" s="483">
        <v>9149.3770000000004</v>
      </c>
    </row>
    <row r="376" spans="1:2">
      <c r="A376" s="484">
        <f t="shared" si="1"/>
        <v>72</v>
      </c>
      <c r="B376" s="483">
        <v>9116.3200000000015</v>
      </c>
    </row>
    <row r="377" spans="1:2">
      <c r="A377" s="484">
        <f t="shared" si="1"/>
        <v>73</v>
      </c>
      <c r="B377" s="483">
        <v>9083.4430000000011</v>
      </c>
    </row>
    <row r="378" spans="1:2">
      <c r="A378" s="484">
        <f t="shared" si="1"/>
        <v>74</v>
      </c>
      <c r="B378" s="483">
        <v>9050.4210000000021</v>
      </c>
    </row>
    <row r="379" spans="1:2">
      <c r="A379" s="484">
        <f t="shared" si="1"/>
        <v>75</v>
      </c>
      <c r="B379" s="483">
        <v>9017.3690000000024</v>
      </c>
    </row>
    <row r="380" spans="1:2">
      <c r="A380" s="485">
        <f t="shared" si="1"/>
        <v>76</v>
      </c>
      <c r="B380" s="483">
        <v>8984.4070000000011</v>
      </c>
    </row>
    <row r="381" spans="1:2">
      <c r="A381" s="484">
        <f t="shared" si="1"/>
        <v>77</v>
      </c>
      <c r="B381" s="483">
        <v>8952.8750000000018</v>
      </c>
    </row>
    <row r="382" spans="1:2">
      <c r="A382" s="484">
        <f t="shared" si="1"/>
        <v>78</v>
      </c>
      <c r="B382" s="483">
        <v>8919.9980000000014</v>
      </c>
    </row>
    <row r="383" spans="1:2">
      <c r="A383" s="484">
        <f t="shared" si="1"/>
        <v>79</v>
      </c>
      <c r="B383" s="483">
        <v>8887.4510000000009</v>
      </c>
    </row>
    <row r="384" spans="1:2">
      <c r="A384" s="484">
        <f t="shared" si="1"/>
        <v>80</v>
      </c>
      <c r="B384" s="483">
        <v>8854.4940000000024</v>
      </c>
    </row>
    <row r="385" spans="1:2">
      <c r="A385" s="484">
        <f t="shared" si="1"/>
        <v>81</v>
      </c>
      <c r="B385" s="483">
        <v>8821.5970000000016</v>
      </c>
    </row>
    <row r="386" spans="1:2">
      <c r="A386" s="484">
        <f t="shared" si="1"/>
        <v>82</v>
      </c>
      <c r="B386" s="483">
        <v>8788.7000000000007</v>
      </c>
    </row>
    <row r="387" spans="1:2">
      <c r="A387" s="484">
        <f t="shared" si="1"/>
        <v>83</v>
      </c>
      <c r="B387" s="483">
        <v>8756.233000000002</v>
      </c>
    </row>
    <row r="388" spans="1:2">
      <c r="A388" s="484">
        <f t="shared" si="1"/>
        <v>84</v>
      </c>
      <c r="B388" s="483">
        <v>8723.5510000000013</v>
      </c>
    </row>
    <row r="389" spans="1:2">
      <c r="A389" s="484">
        <f t="shared" si="1"/>
        <v>85</v>
      </c>
      <c r="B389" s="483">
        <v>8690.6490000000013</v>
      </c>
    </row>
    <row r="390" spans="1:2">
      <c r="A390" s="484">
        <f t="shared" si="1"/>
        <v>86</v>
      </c>
      <c r="B390" s="483">
        <v>8657.6420000000016</v>
      </c>
    </row>
    <row r="391" spans="1:2">
      <c r="A391" s="484">
        <f t="shared" si="1"/>
        <v>87</v>
      </c>
      <c r="B391" s="483">
        <v>8624.1450000000023</v>
      </c>
    </row>
    <row r="392" spans="1:2">
      <c r="A392" s="484">
        <f t="shared" si="1"/>
        <v>88</v>
      </c>
      <c r="B392" s="483">
        <v>8591.3630000000012</v>
      </c>
    </row>
    <row r="393" spans="1:2">
      <c r="A393" s="484">
        <f t="shared" si="1"/>
        <v>89</v>
      </c>
      <c r="B393" s="483">
        <v>8558.0210000000006</v>
      </c>
    </row>
    <row r="394" spans="1:2">
      <c r="A394" s="484">
        <f t="shared" si="1"/>
        <v>90</v>
      </c>
      <c r="B394" s="483">
        <v>8525.4290000000019</v>
      </c>
    </row>
    <row r="395" spans="1:2">
      <c r="A395" s="484">
        <f t="shared" si="1"/>
        <v>91</v>
      </c>
      <c r="B395" s="483">
        <v>8493.1670000000013</v>
      </c>
    </row>
    <row r="396" spans="1:2">
      <c r="A396" s="484">
        <f t="shared" si="1"/>
        <v>92</v>
      </c>
      <c r="B396" s="483">
        <v>8460.4350000000013</v>
      </c>
    </row>
    <row r="397" spans="1:2">
      <c r="A397" s="484">
        <f t="shared" si="1"/>
        <v>93</v>
      </c>
      <c r="B397" s="483">
        <v>8427.5430000000015</v>
      </c>
    </row>
    <row r="398" spans="1:2">
      <c r="A398" s="484">
        <f t="shared" si="1"/>
        <v>94</v>
      </c>
      <c r="B398" s="483">
        <v>8396.5210000000006</v>
      </c>
    </row>
    <row r="399" spans="1:2">
      <c r="A399" s="484">
        <f t="shared" si="1"/>
        <v>95</v>
      </c>
      <c r="B399" s="483">
        <v>8364.0490000000009</v>
      </c>
    </row>
    <row r="400" spans="1:2">
      <c r="A400" s="484">
        <f t="shared" si="1"/>
        <v>96</v>
      </c>
      <c r="B400" s="483">
        <v>8331.7470000000012</v>
      </c>
    </row>
    <row r="401" spans="1:2">
      <c r="A401" s="484">
        <f t="shared" si="1"/>
        <v>97</v>
      </c>
      <c r="B401" s="483">
        <v>8299.2050000000017</v>
      </c>
    </row>
    <row r="402" spans="1:2">
      <c r="A402" s="484">
        <f t="shared" si="1"/>
        <v>98</v>
      </c>
      <c r="B402" s="483">
        <v>8266.773000000001</v>
      </c>
    </row>
    <row r="403" spans="1:2">
      <c r="A403" s="484">
        <f t="shared" si="1"/>
        <v>99</v>
      </c>
      <c r="B403" s="483">
        <v>8233.751000000002</v>
      </c>
    </row>
    <row r="404" spans="1:2">
      <c r="A404" s="484">
        <f t="shared" si="1"/>
        <v>100</v>
      </c>
      <c r="B404" s="483">
        <v>8200.9790000000012</v>
      </c>
    </row>
    <row r="405" spans="1:2">
      <c r="A405" s="484">
        <f t="shared" si="1"/>
        <v>101</v>
      </c>
      <c r="B405" s="483">
        <v>8168.0570000000016</v>
      </c>
    </row>
    <row r="406" spans="1:2">
      <c r="A406" s="484">
        <f t="shared" si="1"/>
        <v>102</v>
      </c>
      <c r="B406" s="483">
        <v>8135.1850000000013</v>
      </c>
    </row>
    <row r="407" spans="1:2">
      <c r="A407" s="484">
        <f t="shared" si="1"/>
        <v>103</v>
      </c>
      <c r="B407" s="483">
        <v>8102.233000000002</v>
      </c>
    </row>
    <row r="408" spans="1:2">
      <c r="A408" s="484">
        <f t="shared" si="1"/>
        <v>104</v>
      </c>
      <c r="B408" s="483">
        <v>8069.5610000000015</v>
      </c>
    </row>
    <row r="409" spans="1:2">
      <c r="A409" s="484">
        <f t="shared" si="1"/>
        <v>105</v>
      </c>
      <c r="B409" s="483">
        <v>8036.7790000000023</v>
      </c>
    </row>
    <row r="410" spans="1:2">
      <c r="A410" s="484">
        <f t="shared" si="1"/>
        <v>106</v>
      </c>
      <c r="B410" s="483">
        <v>8004.1870000000017</v>
      </c>
    </row>
    <row r="411" spans="1:2">
      <c r="A411" s="484">
        <f t="shared" si="1"/>
        <v>107</v>
      </c>
      <c r="B411" s="483">
        <v>7971.8550000000014</v>
      </c>
    </row>
    <row r="412" spans="1:2">
      <c r="A412" s="484">
        <f t="shared" si="1"/>
        <v>108</v>
      </c>
      <c r="B412" s="483">
        <v>7939.6230000000014</v>
      </c>
    </row>
    <row r="413" spans="1:2">
      <c r="A413" s="484">
        <f t="shared" si="1"/>
        <v>109</v>
      </c>
      <c r="B413" s="483">
        <v>7906.8010000000013</v>
      </c>
    </row>
    <row r="414" spans="1:2">
      <c r="A414" s="484">
        <f t="shared" si="1"/>
        <v>110</v>
      </c>
      <c r="B414" s="483">
        <v>7873.7990000000018</v>
      </c>
    </row>
    <row r="415" spans="1:2">
      <c r="A415" s="484">
        <f t="shared" si="1"/>
        <v>111</v>
      </c>
      <c r="B415" s="483">
        <v>7841.157000000002</v>
      </c>
    </row>
    <row r="416" spans="1:2">
      <c r="A416" s="484">
        <f t="shared" si="1"/>
        <v>112</v>
      </c>
      <c r="B416" s="483">
        <v>7808.3750000000018</v>
      </c>
    </row>
    <row r="417" spans="1:2">
      <c r="A417" s="484">
        <f t="shared" si="1"/>
        <v>113</v>
      </c>
      <c r="B417" s="483">
        <v>7775.2680000000018</v>
      </c>
    </row>
    <row r="418" spans="1:2">
      <c r="A418" s="484">
        <f t="shared" si="1"/>
        <v>114</v>
      </c>
      <c r="B418" s="483">
        <v>7742.3460000000014</v>
      </c>
    </row>
    <row r="419" spans="1:2">
      <c r="A419" s="484">
        <f t="shared" si="1"/>
        <v>115</v>
      </c>
      <c r="B419" s="483">
        <v>7709.4840000000022</v>
      </c>
    </row>
    <row r="420" spans="1:2">
      <c r="A420" s="484">
        <f t="shared" si="1"/>
        <v>116</v>
      </c>
      <c r="B420" s="483">
        <v>7676.657000000002</v>
      </c>
    </row>
    <row r="421" spans="1:2">
      <c r="A421" s="484">
        <f t="shared" si="1"/>
        <v>117</v>
      </c>
      <c r="B421" s="483">
        <v>7643.6250000000018</v>
      </c>
    </row>
    <row r="422" spans="1:2">
      <c r="A422" s="484">
        <f t="shared" si="1"/>
        <v>118</v>
      </c>
      <c r="B422" s="483">
        <v>7611.1330000000016</v>
      </c>
    </row>
    <row r="423" spans="1:2">
      <c r="A423" s="484">
        <f t="shared" si="1"/>
        <v>119</v>
      </c>
      <c r="B423" s="483">
        <v>7579.3010000000013</v>
      </c>
    </row>
    <row r="424" spans="1:2">
      <c r="A424" s="484">
        <f t="shared" si="1"/>
        <v>120</v>
      </c>
      <c r="B424" s="483">
        <v>7547.099000000002</v>
      </c>
    </row>
    <row r="425" spans="1:2">
      <c r="A425" s="484">
        <f t="shared" si="1"/>
        <v>121</v>
      </c>
      <c r="B425" s="483">
        <v>7514.3570000000018</v>
      </c>
    </row>
    <row r="426" spans="1:2">
      <c r="A426" s="484">
        <f t="shared" si="1"/>
        <v>122</v>
      </c>
      <c r="B426" s="483">
        <v>7481.6000000000022</v>
      </c>
    </row>
    <row r="427" spans="1:2">
      <c r="A427" s="484">
        <f t="shared" si="1"/>
        <v>123</v>
      </c>
      <c r="B427" s="483">
        <v>7448.8880000000017</v>
      </c>
    </row>
    <row r="428" spans="1:2">
      <c r="A428" s="484">
        <f t="shared" si="1"/>
        <v>124</v>
      </c>
      <c r="B428" s="483">
        <v>7416.0860000000021</v>
      </c>
    </row>
    <row r="429" spans="1:2">
      <c r="A429" s="484">
        <f t="shared" si="1"/>
        <v>125</v>
      </c>
      <c r="B429" s="483">
        <v>7383.684000000002</v>
      </c>
    </row>
    <row r="430" spans="1:2">
      <c r="A430" s="484">
        <f t="shared" si="1"/>
        <v>126</v>
      </c>
      <c r="B430" s="483">
        <v>7351.1620000000021</v>
      </c>
    </row>
    <row r="431" spans="1:2">
      <c r="A431" s="484">
        <f t="shared" si="1"/>
        <v>127</v>
      </c>
      <c r="B431" s="483">
        <v>7320.3100000000022</v>
      </c>
    </row>
    <row r="432" spans="1:2">
      <c r="A432" s="484">
        <f t="shared" si="1"/>
        <v>128</v>
      </c>
      <c r="B432" s="483">
        <v>7287.5780000000022</v>
      </c>
    </row>
    <row r="433" spans="1:2">
      <c r="A433" s="484">
        <f t="shared" si="1"/>
        <v>129</v>
      </c>
      <c r="B433" s="483">
        <v>7255.1610000000019</v>
      </c>
    </row>
    <row r="434" spans="1:2">
      <c r="A434" s="484">
        <f t="shared" si="1"/>
        <v>130</v>
      </c>
      <c r="B434" s="483">
        <v>7222.6490000000022</v>
      </c>
    </row>
    <row r="435" spans="1:2">
      <c r="A435" s="484">
        <f t="shared" si="1"/>
        <v>131</v>
      </c>
      <c r="B435" s="483">
        <v>7189.9970000000021</v>
      </c>
    </row>
    <row r="436" spans="1:2">
      <c r="A436" s="484">
        <f t="shared" si="1"/>
        <v>132</v>
      </c>
      <c r="B436" s="483">
        <v>7157.0250000000024</v>
      </c>
    </row>
    <row r="437" spans="1:2">
      <c r="A437" s="484">
        <f t="shared" ref="A437:A500" si="2">A436+1</f>
        <v>133</v>
      </c>
      <c r="B437" s="483">
        <v>7124.1430000000028</v>
      </c>
    </row>
    <row r="438" spans="1:2">
      <c r="A438" s="484">
        <f t="shared" si="2"/>
        <v>134</v>
      </c>
      <c r="B438" s="483">
        <v>7090.9310000000023</v>
      </c>
    </row>
    <row r="439" spans="1:2">
      <c r="A439" s="484">
        <f t="shared" si="2"/>
        <v>135</v>
      </c>
      <c r="B439" s="483">
        <v>7057.8790000000026</v>
      </c>
    </row>
    <row r="440" spans="1:2">
      <c r="A440" s="484">
        <f t="shared" si="2"/>
        <v>136</v>
      </c>
      <c r="B440" s="483">
        <v>7024.7170000000024</v>
      </c>
    </row>
    <row r="441" spans="1:2">
      <c r="A441" s="484">
        <f t="shared" si="2"/>
        <v>137</v>
      </c>
      <c r="B441" s="483">
        <v>6991.8150000000023</v>
      </c>
    </row>
    <row r="442" spans="1:2">
      <c r="A442" s="484">
        <f t="shared" si="2"/>
        <v>138</v>
      </c>
      <c r="B442" s="483">
        <v>6958.6130000000021</v>
      </c>
    </row>
    <row r="443" spans="1:2">
      <c r="A443" s="484">
        <f t="shared" si="2"/>
        <v>139</v>
      </c>
      <c r="B443" s="483">
        <v>6925.7210000000023</v>
      </c>
    </row>
    <row r="444" spans="1:2">
      <c r="A444" s="484">
        <f t="shared" si="2"/>
        <v>140</v>
      </c>
      <c r="B444" s="483">
        <v>6892.8590000000022</v>
      </c>
    </row>
    <row r="445" spans="1:2">
      <c r="A445" s="484">
        <f t="shared" si="2"/>
        <v>141</v>
      </c>
      <c r="B445" s="483">
        <v>6860.2970000000023</v>
      </c>
    </row>
    <row r="446" spans="1:2">
      <c r="A446" s="484">
        <f t="shared" si="2"/>
        <v>142</v>
      </c>
      <c r="B446" s="483">
        <v>6827.6250000000027</v>
      </c>
    </row>
    <row r="447" spans="1:2">
      <c r="A447" s="484">
        <f t="shared" si="2"/>
        <v>143</v>
      </c>
      <c r="B447" s="483">
        <v>6794.613000000003</v>
      </c>
    </row>
    <row r="448" spans="1:2">
      <c r="A448" s="484">
        <f t="shared" si="2"/>
        <v>144</v>
      </c>
      <c r="B448" s="483">
        <v>6761.881000000003</v>
      </c>
    </row>
    <row r="449" spans="1:2">
      <c r="A449" s="484">
        <f t="shared" si="2"/>
        <v>145</v>
      </c>
      <c r="B449" s="483">
        <v>6729.1290000000026</v>
      </c>
    </row>
    <row r="450" spans="1:2">
      <c r="A450" s="484">
        <f t="shared" si="2"/>
        <v>146</v>
      </c>
      <c r="B450" s="483">
        <v>6696.3970000000027</v>
      </c>
    </row>
    <row r="451" spans="1:2">
      <c r="A451" s="484">
        <f t="shared" si="2"/>
        <v>147</v>
      </c>
      <c r="B451" s="483">
        <v>6665.4650000000029</v>
      </c>
    </row>
    <row r="452" spans="1:2">
      <c r="A452" s="484">
        <f t="shared" si="2"/>
        <v>148</v>
      </c>
      <c r="B452" s="483">
        <v>6632.7630000000026</v>
      </c>
    </row>
    <row r="453" spans="1:2">
      <c r="A453" s="484">
        <f t="shared" si="2"/>
        <v>149</v>
      </c>
      <c r="B453" s="483">
        <v>6600.2610000000022</v>
      </c>
    </row>
    <row r="454" spans="1:2">
      <c r="A454" s="484">
        <f t="shared" si="2"/>
        <v>150</v>
      </c>
      <c r="B454" s="483">
        <v>6567.5490000000018</v>
      </c>
    </row>
    <row r="455" spans="1:2">
      <c r="A455" s="484">
        <f t="shared" si="2"/>
        <v>151</v>
      </c>
      <c r="B455" s="483">
        <v>6534.7070000000022</v>
      </c>
    </row>
    <row r="456" spans="1:2">
      <c r="A456" s="484">
        <f t="shared" si="2"/>
        <v>152</v>
      </c>
      <c r="B456" s="483">
        <v>6502.1050000000023</v>
      </c>
    </row>
    <row r="457" spans="1:2">
      <c r="A457" s="484">
        <f t="shared" si="2"/>
        <v>153</v>
      </c>
      <c r="B457" s="483">
        <v>6469.5830000000024</v>
      </c>
    </row>
    <row r="458" spans="1:2">
      <c r="A458" s="484">
        <f t="shared" si="2"/>
        <v>154</v>
      </c>
      <c r="B458" s="483">
        <v>6436.6210000000019</v>
      </c>
    </row>
    <row r="459" spans="1:2">
      <c r="A459" s="484">
        <f t="shared" si="2"/>
        <v>155</v>
      </c>
      <c r="B459" s="483">
        <v>6403.9590000000017</v>
      </c>
    </row>
    <row r="460" spans="1:2">
      <c r="A460" s="484">
        <f t="shared" si="2"/>
        <v>156</v>
      </c>
      <c r="B460" s="483">
        <v>6371.077000000002</v>
      </c>
    </row>
    <row r="461" spans="1:2">
      <c r="A461" s="484">
        <f t="shared" si="2"/>
        <v>157</v>
      </c>
      <c r="B461" s="483">
        <v>6338.2450000000017</v>
      </c>
    </row>
    <row r="462" spans="1:2">
      <c r="A462" s="484">
        <f t="shared" si="2"/>
        <v>158</v>
      </c>
      <c r="B462" s="483">
        <v>6305.2930000000015</v>
      </c>
    </row>
    <row r="463" spans="1:2">
      <c r="A463" s="484">
        <f t="shared" si="2"/>
        <v>159</v>
      </c>
      <c r="B463" s="483">
        <v>6273.4410000000016</v>
      </c>
    </row>
    <row r="464" spans="1:2">
      <c r="A464" s="484">
        <f t="shared" si="2"/>
        <v>160</v>
      </c>
      <c r="B464" s="483">
        <v>6240.9490000000014</v>
      </c>
    </row>
    <row r="465" spans="1:2">
      <c r="A465" s="484">
        <f t="shared" si="2"/>
        <v>161</v>
      </c>
      <c r="B465" s="483">
        <v>6208.2470000000012</v>
      </c>
    </row>
    <row r="466" spans="1:2">
      <c r="A466" s="484">
        <f t="shared" si="2"/>
        <v>162</v>
      </c>
      <c r="B466" s="483">
        <v>6175.8250000000016</v>
      </c>
    </row>
    <row r="467" spans="1:2">
      <c r="A467" s="484">
        <f t="shared" si="2"/>
        <v>163</v>
      </c>
      <c r="B467" s="483">
        <v>6143.1830000000018</v>
      </c>
    </row>
    <row r="468" spans="1:2">
      <c r="A468" s="484">
        <f t="shared" si="2"/>
        <v>164</v>
      </c>
      <c r="B468" s="483">
        <v>6110.2010000000018</v>
      </c>
    </row>
    <row r="469" spans="1:2">
      <c r="A469" s="484">
        <f t="shared" si="2"/>
        <v>165</v>
      </c>
      <c r="B469" s="483">
        <v>6077.2490000000016</v>
      </c>
    </row>
    <row r="470" spans="1:2">
      <c r="A470" s="484">
        <f t="shared" si="2"/>
        <v>166</v>
      </c>
      <c r="B470" s="483">
        <v>6044.1970000000019</v>
      </c>
    </row>
    <row r="471" spans="1:2">
      <c r="A471" s="484">
        <f t="shared" si="2"/>
        <v>167</v>
      </c>
      <c r="B471" s="483">
        <v>6010.7950000000019</v>
      </c>
    </row>
    <row r="472" spans="1:2">
      <c r="A472" s="484">
        <f t="shared" si="2"/>
        <v>168</v>
      </c>
      <c r="B472" s="483">
        <v>5978.1630000000023</v>
      </c>
    </row>
    <row r="473" spans="1:2">
      <c r="A473" s="484">
        <f t="shared" si="2"/>
        <v>169</v>
      </c>
      <c r="B473" s="483">
        <v>5945.2410000000027</v>
      </c>
    </row>
    <row r="474" spans="1:2">
      <c r="A474" s="484">
        <f t="shared" si="2"/>
        <v>170</v>
      </c>
      <c r="B474" s="483">
        <v>5912.479000000003</v>
      </c>
    </row>
    <row r="475" spans="1:2">
      <c r="A475" s="484">
        <f t="shared" si="2"/>
        <v>171</v>
      </c>
      <c r="B475" s="483">
        <v>5879.5870000000032</v>
      </c>
    </row>
    <row r="476" spans="1:2">
      <c r="A476" s="484">
        <f t="shared" si="2"/>
        <v>172</v>
      </c>
      <c r="B476" s="483">
        <v>5846.1950000000033</v>
      </c>
    </row>
    <row r="477" spans="1:2">
      <c r="A477" s="484">
        <f t="shared" si="2"/>
        <v>173</v>
      </c>
      <c r="B477" s="483">
        <v>5813.1430000000037</v>
      </c>
    </row>
    <row r="478" spans="1:2">
      <c r="A478" s="484">
        <f t="shared" si="2"/>
        <v>174</v>
      </c>
      <c r="B478" s="483">
        <v>5780.7110000000039</v>
      </c>
    </row>
    <row r="479" spans="1:2">
      <c r="A479" s="484">
        <f t="shared" si="2"/>
        <v>175</v>
      </c>
      <c r="B479" s="483">
        <v>5748.2590000000037</v>
      </c>
    </row>
    <row r="480" spans="1:2">
      <c r="A480" s="484">
        <f t="shared" si="2"/>
        <v>176</v>
      </c>
      <c r="B480" s="483">
        <v>5715.377000000004</v>
      </c>
    </row>
    <row r="481" spans="1:2">
      <c r="A481" s="484">
        <f t="shared" si="2"/>
        <v>177</v>
      </c>
      <c r="B481" s="483">
        <v>5683.0950000000039</v>
      </c>
    </row>
    <row r="482" spans="1:2">
      <c r="A482" s="484">
        <f t="shared" si="2"/>
        <v>178</v>
      </c>
      <c r="B482" s="483">
        <v>5649.9630000000043</v>
      </c>
    </row>
    <row r="483" spans="1:2">
      <c r="A483" s="484">
        <f t="shared" si="2"/>
        <v>179</v>
      </c>
      <c r="B483" s="483">
        <v>5617.2110000000039</v>
      </c>
    </row>
    <row r="484" spans="1:2">
      <c r="A484" s="484">
        <f t="shared" si="2"/>
        <v>180</v>
      </c>
      <c r="B484" s="483">
        <v>5584.1790000000037</v>
      </c>
    </row>
    <row r="485" spans="1:2">
      <c r="A485" s="484">
        <f t="shared" si="2"/>
        <v>181</v>
      </c>
      <c r="B485" s="483">
        <v>5551.3270000000039</v>
      </c>
    </row>
    <row r="486" spans="1:2">
      <c r="A486" s="484">
        <f t="shared" si="2"/>
        <v>182</v>
      </c>
      <c r="B486" s="483">
        <v>5518.2750000000042</v>
      </c>
    </row>
    <row r="487" spans="1:2">
      <c r="A487" s="484">
        <f t="shared" si="2"/>
        <v>183</v>
      </c>
      <c r="B487" s="483">
        <v>5485.0630000000037</v>
      </c>
    </row>
    <row r="488" spans="1:2">
      <c r="A488" s="484">
        <f t="shared" si="2"/>
        <v>184</v>
      </c>
      <c r="B488" s="483">
        <v>5451.8910000000042</v>
      </c>
    </row>
    <row r="489" spans="1:2">
      <c r="A489" s="484">
        <f t="shared" si="2"/>
        <v>185</v>
      </c>
      <c r="B489" s="483">
        <v>5419.1290000000045</v>
      </c>
    </row>
    <row r="490" spans="1:2">
      <c r="A490" s="484">
        <f t="shared" si="2"/>
        <v>186</v>
      </c>
      <c r="B490" s="483">
        <v>5386.3570000000045</v>
      </c>
    </row>
    <row r="491" spans="1:2">
      <c r="A491" s="484">
        <f t="shared" si="2"/>
        <v>187</v>
      </c>
      <c r="B491" s="483">
        <v>5353.4950000000044</v>
      </c>
    </row>
    <row r="492" spans="1:2">
      <c r="A492" s="484">
        <f t="shared" si="2"/>
        <v>188</v>
      </c>
      <c r="B492" s="483">
        <v>5320.9830000000047</v>
      </c>
    </row>
    <row r="493" spans="1:2">
      <c r="A493" s="484">
        <f t="shared" si="2"/>
        <v>189</v>
      </c>
      <c r="B493" s="483">
        <v>5290.0910000000049</v>
      </c>
    </row>
    <row r="494" spans="1:2">
      <c r="A494" s="484">
        <f t="shared" si="2"/>
        <v>190</v>
      </c>
      <c r="B494" s="483">
        <v>5257.1590000000051</v>
      </c>
    </row>
    <row r="495" spans="1:2">
      <c r="A495" s="484">
        <f t="shared" si="2"/>
        <v>191</v>
      </c>
      <c r="B495" s="483">
        <v>5224.2270000000053</v>
      </c>
    </row>
    <row r="496" spans="1:2">
      <c r="A496" s="484">
        <f t="shared" si="2"/>
        <v>192</v>
      </c>
      <c r="B496" s="483">
        <v>5191.4250000000056</v>
      </c>
    </row>
    <row r="497" spans="1:2">
      <c r="A497" s="484">
        <f t="shared" si="2"/>
        <v>193</v>
      </c>
      <c r="B497" s="483">
        <v>5158.5230000000056</v>
      </c>
    </row>
    <row r="498" spans="1:2">
      <c r="A498" s="484">
        <f t="shared" si="2"/>
        <v>194</v>
      </c>
      <c r="B498" s="483">
        <v>5125.6910000000053</v>
      </c>
    </row>
    <row r="499" spans="1:2">
      <c r="A499" s="484">
        <f t="shared" si="2"/>
        <v>195</v>
      </c>
      <c r="B499" s="483">
        <v>5093.0590000000057</v>
      </c>
    </row>
    <row r="500" spans="1:2">
      <c r="A500" s="484">
        <f t="shared" si="2"/>
        <v>196</v>
      </c>
      <c r="B500" s="483">
        <v>5060.1270000000059</v>
      </c>
    </row>
    <row r="501" spans="1:2">
      <c r="A501" s="484">
        <f t="shared" ref="A501:A564" si="3">A500+1</f>
        <v>197</v>
      </c>
      <c r="B501" s="483">
        <v>5027.8350000000055</v>
      </c>
    </row>
    <row r="502" spans="1:2">
      <c r="A502" s="484">
        <f t="shared" si="3"/>
        <v>198</v>
      </c>
      <c r="B502" s="483">
        <v>4996.8130000000056</v>
      </c>
    </row>
    <row r="503" spans="1:2">
      <c r="A503" s="484">
        <f t="shared" si="3"/>
        <v>199</v>
      </c>
      <c r="B503" s="483">
        <v>4964.0110000000059</v>
      </c>
    </row>
    <row r="504" spans="1:2">
      <c r="A504" s="484">
        <f t="shared" si="3"/>
        <v>200</v>
      </c>
      <c r="B504" s="483">
        <v>4931.5490000000054</v>
      </c>
    </row>
    <row r="505" spans="1:2">
      <c r="A505" s="484">
        <f t="shared" si="3"/>
        <v>201</v>
      </c>
      <c r="B505" s="483">
        <v>4900.3970000000054</v>
      </c>
    </row>
    <row r="506" spans="1:2">
      <c r="A506" s="484">
        <f t="shared" si="3"/>
        <v>202</v>
      </c>
      <c r="B506" s="483">
        <v>4867.7950000000055</v>
      </c>
    </row>
    <row r="507" spans="1:2">
      <c r="A507" s="484">
        <f t="shared" si="3"/>
        <v>203</v>
      </c>
      <c r="B507" s="483">
        <v>4834.8230000000058</v>
      </c>
    </row>
    <row r="508" spans="1:2">
      <c r="A508" s="484">
        <f t="shared" si="3"/>
        <v>204</v>
      </c>
      <c r="B508" s="483">
        <v>4803.5810000000056</v>
      </c>
    </row>
    <row r="509" spans="1:2">
      <c r="A509" s="484">
        <f t="shared" si="3"/>
        <v>205</v>
      </c>
      <c r="B509" s="483">
        <v>4770.6490000000058</v>
      </c>
    </row>
    <row r="510" spans="1:2">
      <c r="A510" s="484">
        <f t="shared" si="3"/>
        <v>206</v>
      </c>
      <c r="B510" s="483">
        <v>4738.1970000000056</v>
      </c>
    </row>
    <row r="511" spans="1:2">
      <c r="A511" s="484">
        <f t="shared" si="3"/>
        <v>207</v>
      </c>
      <c r="B511" s="483">
        <v>4705.275000000006</v>
      </c>
    </row>
    <row r="512" spans="1:2">
      <c r="A512" s="484">
        <f t="shared" si="3"/>
        <v>208</v>
      </c>
      <c r="B512" s="483">
        <v>4672.2330000000056</v>
      </c>
    </row>
    <row r="513" spans="1:2">
      <c r="A513" s="484">
        <f t="shared" si="3"/>
        <v>209</v>
      </c>
      <c r="B513" s="483">
        <v>4639.4810000000052</v>
      </c>
    </row>
    <row r="514" spans="1:2">
      <c r="A514" s="484">
        <f t="shared" si="3"/>
        <v>210</v>
      </c>
      <c r="B514" s="483">
        <v>4606.7690000000048</v>
      </c>
    </row>
    <row r="515" spans="1:2">
      <c r="A515" s="484">
        <f t="shared" si="3"/>
        <v>211</v>
      </c>
      <c r="B515" s="483">
        <v>4573.7370000000046</v>
      </c>
    </row>
    <row r="516" spans="1:2">
      <c r="A516" s="484">
        <f t="shared" si="3"/>
        <v>212</v>
      </c>
      <c r="B516" s="483">
        <v>4540.9050000000043</v>
      </c>
    </row>
    <row r="517" spans="1:2">
      <c r="A517" s="484">
        <f t="shared" si="3"/>
        <v>213</v>
      </c>
      <c r="B517" s="483">
        <v>4508.4830000000047</v>
      </c>
    </row>
    <row r="518" spans="1:2">
      <c r="A518" s="484">
        <f t="shared" si="3"/>
        <v>214</v>
      </c>
      <c r="B518" s="483">
        <v>4475.7710000000043</v>
      </c>
    </row>
    <row r="519" spans="1:2">
      <c r="A519" s="484">
        <f t="shared" si="3"/>
        <v>215</v>
      </c>
      <c r="B519" s="483">
        <v>4442.7990000000045</v>
      </c>
    </row>
    <row r="520" spans="1:2">
      <c r="A520" s="484">
        <f t="shared" si="3"/>
        <v>216</v>
      </c>
      <c r="B520" s="483">
        <v>4409.7870000000048</v>
      </c>
    </row>
    <row r="521" spans="1:2">
      <c r="A521" s="484">
        <f t="shared" si="3"/>
        <v>217</v>
      </c>
      <c r="B521" s="483">
        <v>4376.7150000000047</v>
      </c>
    </row>
    <row r="522" spans="1:2">
      <c r="A522" s="484">
        <f t="shared" si="3"/>
        <v>218</v>
      </c>
      <c r="B522" s="483">
        <v>4343.8030000000044</v>
      </c>
    </row>
    <row r="523" spans="1:2">
      <c r="A523" s="484">
        <f t="shared" si="3"/>
        <v>219</v>
      </c>
      <c r="B523" s="483">
        <v>4311.2310000000043</v>
      </c>
    </row>
    <row r="524" spans="1:2">
      <c r="A524" s="484">
        <f t="shared" si="3"/>
        <v>220</v>
      </c>
      <c r="B524" s="483">
        <v>4278.5190000000039</v>
      </c>
    </row>
    <row r="525" spans="1:2">
      <c r="A525" s="484">
        <f t="shared" si="3"/>
        <v>221</v>
      </c>
      <c r="B525" s="483">
        <v>4245.8070000000034</v>
      </c>
    </row>
    <row r="526" spans="1:2">
      <c r="A526" s="484">
        <f t="shared" si="3"/>
        <v>222</v>
      </c>
      <c r="B526" s="483">
        <v>4213.2850000000035</v>
      </c>
    </row>
    <row r="527" spans="1:2">
      <c r="A527" s="484">
        <f t="shared" si="3"/>
        <v>223</v>
      </c>
      <c r="B527" s="483">
        <v>4180.6630000000032</v>
      </c>
    </row>
    <row r="528" spans="1:2">
      <c r="A528" s="484">
        <f t="shared" si="3"/>
        <v>224</v>
      </c>
      <c r="B528" s="483">
        <v>4148.2510000000029</v>
      </c>
    </row>
    <row r="529" spans="1:2">
      <c r="A529" s="484">
        <f t="shared" si="3"/>
        <v>225</v>
      </c>
      <c r="B529" s="483">
        <v>4115.5790000000034</v>
      </c>
    </row>
    <row r="530" spans="1:2">
      <c r="A530" s="484">
        <f t="shared" si="3"/>
        <v>226</v>
      </c>
      <c r="B530" s="483">
        <v>4083.1070000000036</v>
      </c>
    </row>
    <row r="531" spans="1:2">
      <c r="A531" s="484">
        <f t="shared" si="3"/>
        <v>227</v>
      </c>
      <c r="B531" s="483">
        <v>4050.1350000000039</v>
      </c>
    </row>
    <row r="532" spans="1:2">
      <c r="A532" s="484">
        <f t="shared" si="3"/>
        <v>228</v>
      </c>
      <c r="B532" s="483">
        <v>4017.6830000000036</v>
      </c>
    </row>
    <row r="533" spans="1:2">
      <c r="A533" s="484">
        <f t="shared" si="3"/>
        <v>229</v>
      </c>
      <c r="B533" s="483">
        <v>3984.6610000000037</v>
      </c>
    </row>
    <row r="534" spans="1:2">
      <c r="A534" s="484">
        <f t="shared" si="3"/>
        <v>230</v>
      </c>
      <c r="B534" s="483">
        <v>3951.8190000000041</v>
      </c>
    </row>
    <row r="535" spans="1:2">
      <c r="A535" s="484">
        <f t="shared" si="3"/>
        <v>231</v>
      </c>
      <c r="B535" s="483">
        <v>3919.2570000000042</v>
      </c>
    </row>
    <row r="536" spans="1:2">
      <c r="A536" s="484">
        <f t="shared" si="3"/>
        <v>232</v>
      </c>
      <c r="B536" s="483">
        <v>3886.2950000000037</v>
      </c>
    </row>
    <row r="537" spans="1:2">
      <c r="A537" s="484">
        <f t="shared" si="3"/>
        <v>233</v>
      </c>
      <c r="B537" s="483">
        <v>3853.3730000000041</v>
      </c>
    </row>
    <row r="538" spans="1:2">
      <c r="A538" s="484">
        <f t="shared" si="3"/>
        <v>234</v>
      </c>
      <c r="B538" s="483">
        <v>3820.3510000000042</v>
      </c>
    </row>
    <row r="539" spans="1:2">
      <c r="A539" s="484">
        <f t="shared" si="3"/>
        <v>235</v>
      </c>
      <c r="B539" s="483">
        <v>3787.2890000000043</v>
      </c>
    </row>
    <row r="540" spans="1:2">
      <c r="A540" s="484">
        <f t="shared" si="3"/>
        <v>236</v>
      </c>
      <c r="B540" s="483">
        <v>3754.2170000000042</v>
      </c>
    </row>
    <row r="541" spans="1:2">
      <c r="A541" s="484">
        <f t="shared" si="3"/>
        <v>237</v>
      </c>
      <c r="B541" s="483">
        <v>3721.4450000000043</v>
      </c>
    </row>
    <row r="542" spans="1:2">
      <c r="A542" s="484">
        <f t="shared" si="3"/>
        <v>238</v>
      </c>
      <c r="B542" s="483">
        <v>3688.3930000000046</v>
      </c>
    </row>
    <row r="543" spans="1:2">
      <c r="A543" s="484">
        <f t="shared" si="3"/>
        <v>239</v>
      </c>
      <c r="B543" s="483">
        <v>3655.5510000000049</v>
      </c>
    </row>
    <row r="544" spans="1:2">
      <c r="A544" s="484">
        <f t="shared" si="3"/>
        <v>240</v>
      </c>
      <c r="B544" s="483">
        <v>3622.8690000000051</v>
      </c>
    </row>
    <row r="545" spans="1:2">
      <c r="A545" s="484">
        <f t="shared" si="3"/>
        <v>241</v>
      </c>
      <c r="B545" s="483">
        <v>3589.8470000000052</v>
      </c>
    </row>
    <row r="546" spans="1:2">
      <c r="A546" s="484">
        <f t="shared" si="3"/>
        <v>242</v>
      </c>
      <c r="B546" s="483">
        <v>3557.3850000000048</v>
      </c>
    </row>
    <row r="547" spans="1:2">
      <c r="A547" s="484">
        <f t="shared" si="3"/>
        <v>243</v>
      </c>
      <c r="B547" s="483">
        <v>3524.8230000000049</v>
      </c>
    </row>
    <row r="548" spans="1:2">
      <c r="A548" s="484">
        <f t="shared" si="3"/>
        <v>244</v>
      </c>
      <c r="B548" s="483">
        <v>3491.9010000000053</v>
      </c>
    </row>
    <row r="549" spans="1:2">
      <c r="A549" s="484">
        <f t="shared" si="3"/>
        <v>245</v>
      </c>
      <c r="B549" s="483">
        <v>3459.1490000000049</v>
      </c>
    </row>
    <row r="550" spans="1:2">
      <c r="A550" s="484">
        <f t="shared" si="3"/>
        <v>246</v>
      </c>
      <c r="B550" s="483">
        <v>3426.6970000000047</v>
      </c>
    </row>
    <row r="551" spans="1:2">
      <c r="A551" s="484">
        <f t="shared" si="3"/>
        <v>247</v>
      </c>
      <c r="B551" s="483">
        <v>3393.7650000000049</v>
      </c>
    </row>
    <row r="552" spans="1:2">
      <c r="A552" s="484">
        <f t="shared" si="3"/>
        <v>248</v>
      </c>
      <c r="B552" s="483">
        <v>3360.9830000000047</v>
      </c>
    </row>
    <row r="553" spans="1:2">
      <c r="A553" s="484">
        <f t="shared" si="3"/>
        <v>249</v>
      </c>
      <c r="B553" s="483">
        <v>3328.1310000000049</v>
      </c>
    </row>
    <row r="554" spans="1:2">
      <c r="A554" s="484">
        <f t="shared" si="3"/>
        <v>250</v>
      </c>
      <c r="B554" s="483">
        <v>3295.3390000000054</v>
      </c>
    </row>
    <row r="555" spans="1:2">
      <c r="A555" s="484">
        <f t="shared" si="3"/>
        <v>251</v>
      </c>
      <c r="B555" s="483">
        <v>3262.4270000000051</v>
      </c>
    </row>
    <row r="556" spans="1:2">
      <c r="A556" s="484">
        <f t="shared" si="3"/>
        <v>252</v>
      </c>
      <c r="B556" s="483">
        <v>3229.8250000000044</v>
      </c>
    </row>
    <row r="557" spans="1:2">
      <c r="A557" s="484">
        <f t="shared" si="3"/>
        <v>253</v>
      </c>
      <c r="B557" s="483">
        <v>3196.9030000000039</v>
      </c>
    </row>
    <row r="558" spans="1:2">
      <c r="A558" s="484">
        <f t="shared" si="3"/>
        <v>254</v>
      </c>
      <c r="B558" s="483">
        <v>3164.0810000000038</v>
      </c>
    </row>
    <row r="559" spans="1:2">
      <c r="A559" s="484">
        <f t="shared" si="3"/>
        <v>255</v>
      </c>
      <c r="B559" s="483">
        <v>3131.5090000000037</v>
      </c>
    </row>
    <row r="560" spans="1:2">
      <c r="A560" s="484">
        <f t="shared" si="3"/>
        <v>256</v>
      </c>
      <c r="B560" s="483">
        <v>3098.577000000003</v>
      </c>
    </row>
    <row r="561" spans="1:2">
      <c r="A561" s="484">
        <f t="shared" si="3"/>
        <v>257</v>
      </c>
      <c r="B561" s="483">
        <v>3065.2250000000022</v>
      </c>
    </row>
    <row r="562" spans="1:2">
      <c r="A562" s="484">
        <f t="shared" si="3"/>
        <v>258</v>
      </c>
      <c r="B562" s="483">
        <v>3032.4630000000016</v>
      </c>
    </row>
    <row r="563" spans="1:2">
      <c r="A563" s="484">
        <f t="shared" si="3"/>
        <v>259</v>
      </c>
      <c r="B563" s="483">
        <v>2999.1010000000024</v>
      </c>
    </row>
    <row r="564" spans="1:2">
      <c r="A564" s="484">
        <f t="shared" si="3"/>
        <v>260</v>
      </c>
      <c r="B564" s="483">
        <v>2966.2490000000016</v>
      </c>
    </row>
    <row r="565" spans="1:2">
      <c r="A565" s="484">
        <f t="shared" ref="A565:A617" si="4">A564+1</f>
        <v>261</v>
      </c>
      <c r="B565" s="483">
        <v>2933.5670000000009</v>
      </c>
    </row>
    <row r="566" spans="1:2">
      <c r="A566" s="484">
        <f t="shared" si="4"/>
        <v>262</v>
      </c>
      <c r="B566" s="483">
        <v>2900.4750000000004</v>
      </c>
    </row>
    <row r="567" spans="1:2">
      <c r="A567" s="484">
        <f t="shared" si="4"/>
        <v>263</v>
      </c>
      <c r="B567" s="483">
        <v>2867.603000000001</v>
      </c>
    </row>
    <row r="568" spans="1:2">
      <c r="A568" s="484">
        <f t="shared" si="4"/>
        <v>264</v>
      </c>
      <c r="B568" s="483">
        <v>2836.5310000000009</v>
      </c>
    </row>
    <row r="569" spans="1:2">
      <c r="A569" s="484">
        <f t="shared" si="4"/>
        <v>265</v>
      </c>
      <c r="B569" s="483">
        <v>2803.3190000000013</v>
      </c>
    </row>
    <row r="570" spans="1:2">
      <c r="A570" s="484">
        <f t="shared" si="4"/>
        <v>266</v>
      </c>
      <c r="B570" s="483">
        <v>2769.8770000000022</v>
      </c>
    </row>
    <row r="571" spans="1:2">
      <c r="A571" s="484">
        <f t="shared" si="4"/>
        <v>267</v>
      </c>
      <c r="B571" s="483">
        <v>2735.9150000000027</v>
      </c>
    </row>
    <row r="572" spans="1:2">
      <c r="A572" s="484">
        <f t="shared" si="4"/>
        <v>268</v>
      </c>
      <c r="B572" s="483">
        <v>2701.9230000000025</v>
      </c>
    </row>
    <row r="573" spans="1:2">
      <c r="A573" s="484">
        <f t="shared" si="4"/>
        <v>269</v>
      </c>
      <c r="B573" s="483">
        <v>2667.7710000000025</v>
      </c>
    </row>
    <row r="574" spans="1:2">
      <c r="A574" s="484">
        <f t="shared" si="4"/>
        <v>270</v>
      </c>
      <c r="B574" s="483">
        <v>2634.2390000000032</v>
      </c>
    </row>
    <row r="575" spans="1:2">
      <c r="A575" s="484">
        <f t="shared" si="4"/>
        <v>271</v>
      </c>
      <c r="B575" s="483">
        <v>2601.327000000003</v>
      </c>
    </row>
    <row r="576" spans="1:2">
      <c r="A576" s="484">
        <f t="shared" si="4"/>
        <v>272</v>
      </c>
      <c r="B576" s="483">
        <v>2569.3750000000036</v>
      </c>
    </row>
    <row r="577" spans="1:2">
      <c r="A577" s="484">
        <f t="shared" si="4"/>
        <v>273</v>
      </c>
      <c r="B577" s="483">
        <v>2536.0130000000045</v>
      </c>
    </row>
    <row r="578" spans="1:2">
      <c r="A578" s="484">
        <f t="shared" si="4"/>
        <v>274</v>
      </c>
      <c r="B578" s="483">
        <v>2503.9910000000036</v>
      </c>
    </row>
    <row r="579" spans="1:2">
      <c r="A579" s="484">
        <f t="shared" si="4"/>
        <v>275</v>
      </c>
      <c r="B579" s="483">
        <v>2471.2390000000032</v>
      </c>
    </row>
    <row r="580" spans="1:2">
      <c r="A580" s="484">
        <f t="shared" si="4"/>
        <v>276</v>
      </c>
      <c r="B580" s="483">
        <v>2438.0570000000025</v>
      </c>
    </row>
    <row r="581" spans="1:2">
      <c r="A581" s="484">
        <f t="shared" si="4"/>
        <v>277</v>
      </c>
      <c r="B581" s="483">
        <v>2404.7450000000026</v>
      </c>
    </row>
    <row r="582" spans="1:2">
      <c r="A582" s="484">
        <f t="shared" si="4"/>
        <v>278</v>
      </c>
      <c r="B582" s="483">
        <v>2371.9230000000025</v>
      </c>
    </row>
    <row r="583" spans="1:2">
      <c r="A583" s="484">
        <f t="shared" si="4"/>
        <v>279</v>
      </c>
      <c r="B583" s="483">
        <v>2338.9910000000018</v>
      </c>
    </row>
    <row r="584" spans="1:2">
      <c r="A584" s="484">
        <f t="shared" si="4"/>
        <v>280</v>
      </c>
      <c r="B584" s="483">
        <v>2305.8690000000024</v>
      </c>
    </row>
    <row r="585" spans="1:2">
      <c r="A585" s="484">
        <f t="shared" si="4"/>
        <v>281</v>
      </c>
      <c r="B585" s="483">
        <v>2272.997000000003</v>
      </c>
    </row>
    <row r="586" spans="1:2">
      <c r="A586" s="484">
        <f t="shared" si="4"/>
        <v>282</v>
      </c>
      <c r="B586" s="483">
        <v>2239.8050000000039</v>
      </c>
    </row>
    <row r="587" spans="1:2">
      <c r="A587" s="484">
        <f t="shared" si="4"/>
        <v>283</v>
      </c>
      <c r="B587" s="483">
        <v>2206.9730000000036</v>
      </c>
    </row>
    <row r="588" spans="1:2">
      <c r="A588" s="484">
        <f t="shared" si="4"/>
        <v>284</v>
      </c>
      <c r="B588" s="483">
        <v>2174.3210000000036</v>
      </c>
    </row>
    <row r="589" spans="1:2">
      <c r="A589" s="484">
        <f t="shared" si="4"/>
        <v>285</v>
      </c>
      <c r="B589" s="483">
        <v>2141.1690000000035</v>
      </c>
    </row>
    <row r="590" spans="1:2">
      <c r="A590" s="484">
        <f t="shared" si="4"/>
        <v>286</v>
      </c>
      <c r="B590" s="483">
        <v>2108.3370000000032</v>
      </c>
    </row>
    <row r="591" spans="1:2">
      <c r="A591" s="484">
        <f t="shared" si="4"/>
        <v>287</v>
      </c>
      <c r="B591" s="483">
        <v>2075.7550000000028</v>
      </c>
    </row>
    <row r="592" spans="1:2">
      <c r="A592" s="484">
        <f t="shared" si="4"/>
        <v>288</v>
      </c>
      <c r="B592" s="483">
        <v>2043.0130000000026</v>
      </c>
    </row>
    <row r="593" spans="1:2">
      <c r="A593" s="484">
        <f t="shared" si="4"/>
        <v>289</v>
      </c>
      <c r="B593" s="483">
        <v>2010.5410000000029</v>
      </c>
    </row>
    <row r="594" spans="1:2">
      <c r="A594" s="484">
        <f t="shared" si="4"/>
        <v>290</v>
      </c>
      <c r="B594" s="483">
        <v>1977.6390000000029</v>
      </c>
    </row>
    <row r="595" spans="1:2">
      <c r="A595" s="484">
        <f t="shared" si="4"/>
        <v>291</v>
      </c>
      <c r="B595" s="483">
        <v>1944.5370000000021</v>
      </c>
    </row>
    <row r="596" spans="1:2">
      <c r="A596" s="484">
        <f t="shared" si="4"/>
        <v>292</v>
      </c>
      <c r="B596" s="483">
        <v>1911.4950000000026</v>
      </c>
    </row>
    <row r="597" spans="1:2">
      <c r="A597" s="484">
        <f t="shared" si="4"/>
        <v>293</v>
      </c>
      <c r="B597" s="483">
        <v>1878.4330000000027</v>
      </c>
    </row>
    <row r="598" spans="1:2">
      <c r="A598" s="484">
        <f t="shared" si="4"/>
        <v>294</v>
      </c>
      <c r="B598" s="483">
        <v>1845.5110000000022</v>
      </c>
    </row>
    <row r="599" spans="1:2">
      <c r="A599" s="484">
        <f t="shared" si="4"/>
        <v>295</v>
      </c>
      <c r="B599" s="483">
        <v>1812.7090000000026</v>
      </c>
    </row>
    <row r="600" spans="1:2">
      <c r="A600" s="484">
        <f t="shared" si="4"/>
        <v>296</v>
      </c>
      <c r="B600" s="483">
        <v>1779.8570000000018</v>
      </c>
    </row>
    <row r="601" spans="1:2">
      <c r="A601" s="484">
        <f t="shared" si="4"/>
        <v>297</v>
      </c>
      <c r="B601" s="483">
        <v>1746.9050000000025</v>
      </c>
    </row>
    <row r="602" spans="1:2">
      <c r="A602" s="484">
        <f t="shared" si="4"/>
        <v>298</v>
      </c>
      <c r="B602" s="483">
        <v>1714.2430000000022</v>
      </c>
    </row>
    <row r="603" spans="1:2">
      <c r="A603" s="484">
        <f t="shared" si="4"/>
        <v>299</v>
      </c>
      <c r="B603" s="483">
        <v>1681.5410000000029</v>
      </c>
    </row>
    <row r="604" spans="1:2">
      <c r="A604" s="484">
        <f t="shared" si="4"/>
        <v>300</v>
      </c>
      <c r="B604" s="483">
        <v>1648.2090000000026</v>
      </c>
    </row>
    <row r="605" spans="1:2">
      <c r="A605" s="484">
        <f t="shared" si="4"/>
        <v>301</v>
      </c>
      <c r="B605" s="483">
        <v>1615.3470000000034</v>
      </c>
    </row>
    <row r="606" spans="1:2">
      <c r="A606" s="484">
        <f t="shared" si="4"/>
        <v>302</v>
      </c>
      <c r="B606" s="483">
        <v>1582.8550000000032</v>
      </c>
    </row>
    <row r="607" spans="1:2">
      <c r="A607" s="484">
        <f t="shared" si="4"/>
        <v>303</v>
      </c>
      <c r="B607" s="483">
        <v>1550.1430000000037</v>
      </c>
    </row>
    <row r="608" spans="1:2">
      <c r="A608" s="484">
        <f t="shared" si="4"/>
        <v>304</v>
      </c>
      <c r="B608" s="483">
        <v>1518.2710000000043</v>
      </c>
    </row>
    <row r="609" spans="1:2">
      <c r="A609" s="484">
        <f t="shared" si="4"/>
        <v>305</v>
      </c>
      <c r="B609" s="483">
        <v>1485.1390000000047</v>
      </c>
    </row>
    <row r="610" spans="1:2">
      <c r="A610" s="484">
        <f t="shared" si="4"/>
        <v>306</v>
      </c>
      <c r="B610" s="483">
        <v>1452.9970000000048</v>
      </c>
    </row>
    <row r="611" spans="1:2">
      <c r="A611" s="484">
        <f t="shared" si="4"/>
        <v>307</v>
      </c>
      <c r="B611" s="483">
        <v>1419.9250000000047</v>
      </c>
    </row>
    <row r="612" spans="1:2">
      <c r="A612" s="484">
        <f t="shared" si="4"/>
        <v>308</v>
      </c>
      <c r="B612" s="483">
        <v>1387.323000000004</v>
      </c>
    </row>
    <row r="613" spans="1:2">
      <c r="A613" s="484">
        <f t="shared" si="4"/>
        <v>309</v>
      </c>
      <c r="B613" s="483">
        <v>1354.0010000000038</v>
      </c>
    </row>
    <row r="614" spans="1:2">
      <c r="A614" s="484">
        <f t="shared" si="4"/>
        <v>310</v>
      </c>
      <c r="B614" s="483">
        <v>1321.2690000000039</v>
      </c>
    </row>
    <row r="615" spans="1:2">
      <c r="A615" s="484">
        <f t="shared" si="4"/>
        <v>311</v>
      </c>
      <c r="B615" s="483">
        <v>1287.997000000003</v>
      </c>
    </row>
    <row r="616" spans="1:2">
      <c r="A616" s="484">
        <f t="shared" si="4"/>
        <v>312</v>
      </c>
      <c r="B616" s="483">
        <v>1254.4450000000033</v>
      </c>
    </row>
    <row r="617" spans="1:2">
      <c r="A617" s="484">
        <f t="shared" si="4"/>
        <v>313</v>
      </c>
      <c r="B617" s="483">
        <v>1221.3730000000032</v>
      </c>
    </row>
    <row r="618" spans="1:2">
      <c r="A618" s="482" t="s">
        <v>384</v>
      </c>
      <c r="B618" s="483">
        <v>1215.7610000000041</v>
      </c>
    </row>
    <row r="619" spans="1:2">
      <c r="A619" s="482" t="s">
        <v>385</v>
      </c>
      <c r="B619" s="483">
        <v>1210.1410000000033</v>
      </c>
    </row>
    <row r="620" spans="1:2">
      <c r="A620" s="482" t="s">
        <v>386</v>
      </c>
      <c r="B620" s="483">
        <v>1201.6710000000039</v>
      </c>
    </row>
    <row r="621" spans="1:2">
      <c r="A621" s="482" t="s">
        <v>385</v>
      </c>
      <c r="B621" s="483">
        <v>1190.2710000000043</v>
      </c>
    </row>
    <row r="622" spans="1:2">
      <c r="A622" s="482" t="s">
        <v>384</v>
      </c>
      <c r="B622" s="483">
        <v>1182.6610000000037</v>
      </c>
    </row>
    <row r="623" spans="1:2">
      <c r="A623" s="482">
        <v>314</v>
      </c>
      <c r="B623" s="483">
        <v>1151.5190000000039</v>
      </c>
    </row>
    <row r="624" spans="1:2">
      <c r="A624" s="482">
        <v>315</v>
      </c>
      <c r="B624" s="483">
        <v>1118.747000000003</v>
      </c>
    </row>
    <row r="625" spans="1:2">
      <c r="A625" s="482">
        <v>316</v>
      </c>
      <c r="B625" s="483">
        <v>1085.7450000000026</v>
      </c>
    </row>
    <row r="626" spans="1:2">
      <c r="A626" s="482">
        <v>317</v>
      </c>
      <c r="B626" s="483">
        <v>1054.2230000000018</v>
      </c>
    </row>
    <row r="627" spans="1:2">
      <c r="A627" s="482">
        <v>318</v>
      </c>
      <c r="B627" s="483">
        <v>1021.2810000000027</v>
      </c>
    </row>
    <row r="628" spans="1:2">
      <c r="A628" s="482">
        <v>319</v>
      </c>
      <c r="B628" s="483">
        <v>988.54900000000271</v>
      </c>
    </row>
    <row r="629" spans="1:2">
      <c r="A629" s="482">
        <v>320</v>
      </c>
      <c r="B629" s="483">
        <v>955.6670000000031</v>
      </c>
    </row>
    <row r="630" spans="1:2">
      <c r="A630" s="482">
        <v>321</v>
      </c>
      <c r="B630" s="483">
        <v>922.56500000000233</v>
      </c>
    </row>
    <row r="631" spans="1:2">
      <c r="A631" s="482">
        <v>322</v>
      </c>
      <c r="B631" s="483">
        <v>889.88300000000163</v>
      </c>
    </row>
    <row r="632" spans="1:2">
      <c r="A632" s="482">
        <v>323</v>
      </c>
      <c r="B632" s="483">
        <v>857.31100000000151</v>
      </c>
    </row>
    <row r="633" spans="1:2">
      <c r="A633" s="482">
        <v>324</v>
      </c>
      <c r="B633" s="483">
        <v>824.6090000000022</v>
      </c>
    </row>
    <row r="634" spans="1:2">
      <c r="A634" s="482">
        <v>325</v>
      </c>
      <c r="B634" s="483">
        <v>792.12700000000223</v>
      </c>
    </row>
    <row r="635" spans="1:2">
      <c r="A635" s="482">
        <v>326</v>
      </c>
      <c r="B635" s="483">
        <v>759.2350000000024</v>
      </c>
    </row>
    <row r="636" spans="1:2">
      <c r="A636" s="482">
        <v>327</v>
      </c>
      <c r="B636" s="483">
        <v>726.18300000000272</v>
      </c>
    </row>
    <row r="637" spans="1:2">
      <c r="A637" s="482">
        <v>328</v>
      </c>
      <c r="B637" s="483">
        <v>693.20100000000275</v>
      </c>
    </row>
    <row r="638" spans="1:2">
      <c r="A638" s="482">
        <v>329</v>
      </c>
      <c r="B638" s="483">
        <v>660.50900000000365</v>
      </c>
    </row>
    <row r="639" spans="1:2">
      <c r="A639" s="482">
        <v>330</v>
      </c>
      <c r="B639" s="483">
        <v>627.77700000000368</v>
      </c>
    </row>
    <row r="640" spans="1:2">
      <c r="A640" s="482">
        <v>331</v>
      </c>
      <c r="B640" s="483">
        <v>595.03500000000349</v>
      </c>
    </row>
    <row r="641" spans="1:2">
      <c r="A641" s="482">
        <v>332</v>
      </c>
      <c r="B641" s="483">
        <v>562.42300000000432</v>
      </c>
    </row>
    <row r="642" spans="1:2">
      <c r="A642" s="482">
        <v>333</v>
      </c>
      <c r="B642" s="483">
        <v>529.30100000000493</v>
      </c>
    </row>
    <row r="643" spans="1:2">
      <c r="A643" s="482">
        <v>334</v>
      </c>
      <c r="B643" s="483">
        <v>496.53900000000431</v>
      </c>
    </row>
    <row r="644" spans="1:2">
      <c r="A644" s="482">
        <v>335</v>
      </c>
      <c r="B644" s="483">
        <v>463.37700000000405</v>
      </c>
    </row>
    <row r="645" spans="1:2">
      <c r="A645" s="482">
        <v>336</v>
      </c>
      <c r="B645" s="483">
        <v>430.37500000000364</v>
      </c>
    </row>
    <row r="646" spans="1:2">
      <c r="A646" s="482">
        <v>337</v>
      </c>
      <c r="B646" s="483">
        <v>397.51300000000447</v>
      </c>
    </row>
    <row r="647" spans="1:2">
      <c r="A647" s="482">
        <v>338</v>
      </c>
      <c r="B647" s="483">
        <v>364.46100000000479</v>
      </c>
    </row>
    <row r="648" spans="1:2">
      <c r="A648" s="482">
        <v>339</v>
      </c>
      <c r="B648" s="483">
        <v>331.53900000000431</v>
      </c>
    </row>
    <row r="649" spans="1:2">
      <c r="A649" s="482">
        <v>340</v>
      </c>
      <c r="B649" s="483">
        <v>298.54700000000412</v>
      </c>
    </row>
    <row r="650" spans="1:2">
      <c r="A650" s="482">
        <v>341</v>
      </c>
      <c r="B650" s="483">
        <v>265.66500000000451</v>
      </c>
    </row>
    <row r="651" spans="1:2">
      <c r="A651" s="482">
        <v>342</v>
      </c>
      <c r="B651" s="483">
        <v>232.65300000000389</v>
      </c>
    </row>
    <row r="652" spans="1:2">
      <c r="A652" s="482">
        <v>343</v>
      </c>
      <c r="B652" s="483">
        <v>199.72100000000319</v>
      </c>
    </row>
    <row r="653" spans="1:2">
      <c r="A653" s="482">
        <v>344</v>
      </c>
      <c r="B653" s="483">
        <v>167.04900000000271</v>
      </c>
    </row>
    <row r="654" spans="1:2">
      <c r="A654" s="482" t="s">
        <v>387</v>
      </c>
      <c r="B654" s="483">
        <v>161.4170000000031</v>
      </c>
    </row>
    <row r="655" spans="1:2">
      <c r="A655" s="482" t="s">
        <v>388</v>
      </c>
      <c r="B655" s="483">
        <v>141.61500000000342</v>
      </c>
    </row>
    <row r="656" spans="1:2">
      <c r="A656" s="482">
        <v>345</v>
      </c>
      <c r="B656" s="483">
        <v>108.44300000000294</v>
      </c>
    </row>
    <row r="657" spans="1:2">
      <c r="A657" s="482" t="s">
        <v>389</v>
      </c>
      <c r="B657" s="483">
        <v>102.9210000000021</v>
      </c>
    </row>
    <row r="658" spans="1:2">
      <c r="A658" s="480"/>
      <c r="B658" s="481"/>
    </row>
    <row r="659" spans="1:2">
      <c r="A659" s="480"/>
      <c r="B659" s="481"/>
    </row>
    <row r="660" spans="1:2">
      <c r="A660" s="480"/>
      <c r="B660" s="481"/>
    </row>
    <row r="661" spans="1:2">
      <c r="A661" s="480"/>
      <c r="B661" s="481"/>
    </row>
    <row r="662" spans="1:2">
      <c r="A662" s="480"/>
      <c r="B662" s="481"/>
    </row>
    <row r="663" spans="1:2">
      <c r="A663" s="480"/>
      <c r="B663" s="481"/>
    </row>
    <row r="664" spans="1:2">
      <c r="A664" s="480"/>
      <c r="B664" s="481"/>
    </row>
    <row r="665" spans="1:2">
      <c r="A665" s="480"/>
      <c r="B665" s="481"/>
    </row>
    <row r="666" spans="1:2">
      <c r="A666" s="480"/>
      <c r="B666" s="481"/>
    </row>
    <row r="667" spans="1:2">
      <c r="A667" s="480"/>
      <c r="B667" s="481"/>
    </row>
    <row r="668" spans="1:2">
      <c r="A668" s="480"/>
      <c r="B668" s="481"/>
    </row>
    <row r="669" spans="1:2">
      <c r="A669" s="480"/>
      <c r="B669" s="481"/>
    </row>
    <row r="670" spans="1:2">
      <c r="A670" s="480"/>
      <c r="B670" s="481"/>
    </row>
    <row r="671" spans="1:2">
      <c r="A671" s="480"/>
      <c r="B671" s="481"/>
    </row>
    <row r="672" spans="1:2">
      <c r="A672" s="480"/>
      <c r="B672" s="481"/>
    </row>
    <row r="673" spans="1:2">
      <c r="A673" s="480"/>
      <c r="B673" s="481"/>
    </row>
    <row r="674" spans="1:2">
      <c r="A674" s="480"/>
      <c r="B674" s="481"/>
    </row>
    <row r="675" spans="1:2">
      <c r="A675" s="480"/>
      <c r="B675" s="481"/>
    </row>
    <row r="676" spans="1:2">
      <c r="A676" s="480"/>
      <c r="B676" s="481"/>
    </row>
    <row r="677" spans="1:2">
      <c r="A677" s="480"/>
      <c r="B677" s="48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17362"/>
  </sheetPr>
  <dimension ref="A1:M361"/>
  <sheetViews>
    <sheetView tabSelected="1" topLeftCell="A5" zoomScaleNormal="100" workbookViewId="0">
      <selection activeCell="F18" sqref="F18"/>
    </sheetView>
  </sheetViews>
  <sheetFormatPr defaultColWidth="8.7109375" defaultRowHeight="14.25"/>
  <cols>
    <col min="1" max="1" width="4.42578125" style="33" customWidth="1"/>
    <col min="2" max="2" width="13" style="33" customWidth="1"/>
    <col min="3" max="3" width="15.7109375" style="33" customWidth="1"/>
    <col min="4" max="4" width="28.28515625" style="322" customWidth="1"/>
    <col min="5" max="5" width="11.7109375" style="33" customWidth="1"/>
    <col min="6" max="6" width="13.28515625" style="33" customWidth="1"/>
    <col min="7" max="7" width="14.42578125" style="33" customWidth="1"/>
    <col min="8" max="8" width="12.7109375" style="33" customWidth="1"/>
    <col min="9" max="9" width="2.42578125" style="33" customWidth="1"/>
    <col min="10" max="10" width="51.42578125" style="33" customWidth="1"/>
    <col min="11" max="11" width="14.5703125" style="33" customWidth="1"/>
    <col min="12" max="12" width="33.5703125" style="33" customWidth="1"/>
    <col min="13" max="16384" width="8.7109375" style="33"/>
  </cols>
  <sheetData>
    <row r="1" spans="1:13" ht="5.65" customHeight="1">
      <c r="A1" s="33" t="s">
        <v>318</v>
      </c>
    </row>
    <row r="2" spans="1:13" s="34" customFormat="1" ht="26.25">
      <c r="B2" s="837" t="s">
        <v>219</v>
      </c>
      <c r="C2" s="838"/>
      <c r="D2" s="838"/>
      <c r="E2" s="838"/>
      <c r="F2" s="838"/>
      <c r="G2" s="838"/>
      <c r="H2" s="838"/>
      <c r="I2" s="838"/>
      <c r="J2" s="838"/>
      <c r="K2" s="838"/>
      <c r="L2" s="838"/>
    </row>
    <row r="3" spans="1:13" ht="15.75" thickBot="1">
      <c r="B3" s="35"/>
      <c r="C3" s="35"/>
      <c r="D3" s="35"/>
    </row>
    <row r="4" spans="1:13" ht="37.15" customHeight="1" thickBot="1">
      <c r="B4" s="839" t="s">
        <v>356</v>
      </c>
      <c r="C4" s="840"/>
      <c r="D4" s="841"/>
      <c r="E4" s="258"/>
      <c r="F4" s="839" t="s">
        <v>357</v>
      </c>
      <c r="G4" s="840"/>
      <c r="H4" s="841"/>
      <c r="I4" s="36"/>
      <c r="J4" s="842" t="s">
        <v>87</v>
      </c>
      <c r="K4" s="843"/>
      <c r="L4" s="844" t="s">
        <v>331</v>
      </c>
      <c r="M4" s="36"/>
    </row>
    <row r="5" spans="1:13" ht="16.5" thickBot="1">
      <c r="B5" s="109" t="s">
        <v>85</v>
      </c>
      <c r="C5" s="109" t="s">
        <v>52</v>
      </c>
      <c r="D5" s="55" t="s">
        <v>67</v>
      </c>
      <c r="E5" s="36"/>
      <c r="F5" s="109" t="s">
        <v>220</v>
      </c>
      <c r="G5" s="109" t="s">
        <v>52</v>
      </c>
      <c r="H5" s="55" t="s">
        <v>67</v>
      </c>
      <c r="I5" s="36"/>
      <c r="J5" s="259" t="s">
        <v>68</v>
      </c>
      <c r="K5" s="260" t="s">
        <v>52</v>
      </c>
      <c r="L5" s="845"/>
      <c r="M5" s="36"/>
    </row>
    <row r="6" spans="1:13" ht="15.75" customHeight="1">
      <c r="A6" s="37">
        <v>1</v>
      </c>
      <c r="B6" s="310">
        <v>1</v>
      </c>
      <c r="C6" s="324">
        <v>33.75</v>
      </c>
      <c r="D6" s="343" t="s">
        <v>221</v>
      </c>
      <c r="E6" s="444" t="s">
        <v>289</v>
      </c>
      <c r="F6" s="239" t="s">
        <v>235</v>
      </c>
      <c r="G6" s="331">
        <v>10.220000000000001</v>
      </c>
      <c r="H6" s="240" t="s">
        <v>227</v>
      </c>
      <c r="I6" s="36"/>
      <c r="J6" s="42" t="s">
        <v>43</v>
      </c>
      <c r="K6" s="172">
        <v>3.37</v>
      </c>
      <c r="L6" s="848" t="s">
        <v>346</v>
      </c>
      <c r="M6" s="36"/>
    </row>
    <row r="7" spans="1:13" ht="15.75">
      <c r="A7" s="37">
        <f>A6+1</f>
        <v>2</v>
      </c>
      <c r="B7" s="311">
        <f>B6+1</f>
        <v>2</v>
      </c>
      <c r="C7" s="325">
        <v>33.94</v>
      </c>
      <c r="D7" s="343" t="s">
        <v>221</v>
      </c>
      <c r="E7" s="261"/>
      <c r="F7" s="239" t="s">
        <v>236</v>
      </c>
      <c r="G7" s="237">
        <v>10.220000000000001</v>
      </c>
      <c r="H7" s="240" t="s">
        <v>227</v>
      </c>
      <c r="I7" s="36"/>
      <c r="J7" s="262" t="s">
        <v>30</v>
      </c>
      <c r="K7" s="263">
        <v>37.200000000000003</v>
      </c>
      <c r="L7" s="849"/>
      <c r="M7" s="36"/>
    </row>
    <row r="8" spans="1:13" ht="15.75">
      <c r="A8" s="37">
        <f t="shared" ref="A8:B71" si="0">A7+1</f>
        <v>3</v>
      </c>
      <c r="B8" s="311">
        <f t="shared" si="0"/>
        <v>3</v>
      </c>
      <c r="C8" s="326">
        <v>33.94</v>
      </c>
      <c r="D8" s="343" t="s">
        <v>221</v>
      </c>
      <c r="E8" s="444" t="s">
        <v>355</v>
      </c>
      <c r="F8" s="239" t="s">
        <v>237</v>
      </c>
      <c r="G8" s="331">
        <v>20.22</v>
      </c>
      <c r="H8" s="240" t="s">
        <v>227</v>
      </c>
      <c r="I8" s="39"/>
      <c r="J8" s="264"/>
      <c r="K8" s="265"/>
      <c r="L8" s="266"/>
      <c r="M8" s="36"/>
    </row>
    <row r="9" spans="1:13" ht="16.5" thickBot="1">
      <c r="A9" s="37">
        <f t="shared" si="0"/>
        <v>4</v>
      </c>
      <c r="B9" s="312">
        <f t="shared" si="0"/>
        <v>4</v>
      </c>
      <c r="C9" s="327">
        <v>33.9</v>
      </c>
      <c r="D9" s="343" t="s">
        <v>221</v>
      </c>
      <c r="E9" s="444" t="s">
        <v>290</v>
      </c>
      <c r="F9" s="239" t="s">
        <v>238</v>
      </c>
      <c r="G9" s="363">
        <v>20.239999999999998</v>
      </c>
      <c r="H9" s="240" t="s">
        <v>227</v>
      </c>
      <c r="I9" s="39"/>
      <c r="J9" s="262" t="s">
        <v>69</v>
      </c>
      <c r="K9" s="263">
        <v>20.260000000000002</v>
      </c>
      <c r="L9" s="849" t="s">
        <v>347</v>
      </c>
      <c r="M9" s="36"/>
    </row>
    <row r="10" spans="1:13" ht="15.75">
      <c r="A10" s="37">
        <f t="shared" si="0"/>
        <v>5</v>
      </c>
      <c r="B10" s="354">
        <f t="shared" si="0"/>
        <v>5</v>
      </c>
      <c r="C10" s="328">
        <v>33.89</v>
      </c>
      <c r="D10" s="343" t="s">
        <v>221</v>
      </c>
      <c r="E10" s="444" t="s">
        <v>291</v>
      </c>
      <c r="F10" s="239" t="s">
        <v>239</v>
      </c>
      <c r="G10" s="363">
        <v>10.220000000000001</v>
      </c>
      <c r="H10" s="240" t="s">
        <v>227</v>
      </c>
      <c r="I10" s="39"/>
      <c r="J10" s="267" t="s">
        <v>42</v>
      </c>
      <c r="K10" s="263">
        <v>2.91</v>
      </c>
      <c r="L10" s="849"/>
      <c r="M10" s="36"/>
    </row>
    <row r="11" spans="1:13" ht="15.75">
      <c r="A11" s="37">
        <f t="shared" si="0"/>
        <v>6</v>
      </c>
      <c r="B11" s="311">
        <f t="shared" si="0"/>
        <v>6</v>
      </c>
      <c r="C11" s="328">
        <v>33.520000000000003</v>
      </c>
      <c r="D11" s="343" t="s">
        <v>221</v>
      </c>
      <c r="E11" s="444" t="s">
        <v>354</v>
      </c>
      <c r="F11" s="239" t="s">
        <v>240</v>
      </c>
      <c r="G11" s="445">
        <v>20.2</v>
      </c>
      <c r="H11" s="240" t="s">
        <v>227</v>
      </c>
      <c r="I11" s="39"/>
      <c r="J11" s="262" t="s">
        <v>70</v>
      </c>
      <c r="K11" s="263">
        <v>19.899999999999999</v>
      </c>
      <c r="L11" s="849"/>
      <c r="M11" s="36"/>
    </row>
    <row r="12" spans="1:13" ht="16.5" thickBot="1">
      <c r="A12" s="37">
        <f t="shared" si="0"/>
        <v>7</v>
      </c>
      <c r="B12" s="311">
        <f t="shared" si="0"/>
        <v>7</v>
      </c>
      <c r="C12" s="328">
        <v>32.450000000000003</v>
      </c>
      <c r="D12" s="343" t="s">
        <v>221</v>
      </c>
      <c r="F12" s="436" t="s">
        <v>241</v>
      </c>
      <c r="G12" s="238">
        <v>20.2</v>
      </c>
      <c r="H12" s="437" t="s">
        <v>227</v>
      </c>
      <c r="I12" s="39"/>
      <c r="J12" s="268"/>
      <c r="K12" s="269"/>
      <c r="L12" s="270"/>
      <c r="M12" s="36"/>
    </row>
    <row r="13" spans="1:13" ht="15.75">
      <c r="A13" s="37">
        <f t="shared" si="0"/>
        <v>8</v>
      </c>
      <c r="B13" s="311">
        <f t="shared" si="0"/>
        <v>8</v>
      </c>
      <c r="C13" s="328">
        <v>33.770000000000003</v>
      </c>
      <c r="D13" s="343" t="s">
        <v>221</v>
      </c>
      <c r="E13" s="342"/>
      <c r="F13" s="438"/>
      <c r="G13" s="439"/>
      <c r="H13" s="440"/>
      <c r="I13" s="39"/>
      <c r="J13" s="54" t="s">
        <v>71</v>
      </c>
      <c r="K13" s="172">
        <v>18.350000000000001</v>
      </c>
      <c r="L13" s="850" t="s">
        <v>348</v>
      </c>
      <c r="M13" s="36"/>
    </row>
    <row r="14" spans="1:13" ht="15.75">
      <c r="A14" s="37">
        <f t="shared" si="0"/>
        <v>9</v>
      </c>
      <c r="B14" s="311">
        <f t="shared" si="0"/>
        <v>9</v>
      </c>
      <c r="C14" s="328">
        <v>33.4</v>
      </c>
      <c r="D14" s="343" t="s">
        <v>221</v>
      </c>
      <c r="E14" s="261"/>
      <c r="F14" s="441"/>
      <c r="G14" s="442"/>
      <c r="H14" s="443"/>
      <c r="I14" s="39"/>
      <c r="J14" s="267" t="s">
        <v>44</v>
      </c>
      <c r="K14" s="263">
        <v>4.41</v>
      </c>
      <c r="L14" s="851"/>
      <c r="M14" s="36"/>
    </row>
    <row r="15" spans="1:13" ht="15.75">
      <c r="A15" s="37">
        <f t="shared" si="0"/>
        <v>10</v>
      </c>
      <c r="B15" s="311">
        <f t="shared" si="0"/>
        <v>10</v>
      </c>
      <c r="C15" s="328">
        <v>33.83</v>
      </c>
      <c r="D15" s="343" t="s">
        <v>221</v>
      </c>
      <c r="E15" s="342"/>
      <c r="F15" s="441"/>
      <c r="G15" s="442"/>
      <c r="H15" s="443"/>
      <c r="I15" s="39"/>
      <c r="J15" s="262" t="s">
        <v>72</v>
      </c>
      <c r="K15" s="263">
        <v>17.47</v>
      </c>
      <c r="L15" s="851"/>
      <c r="M15" s="36"/>
    </row>
    <row r="16" spans="1:13" ht="16.5" customHeight="1" thickBot="1">
      <c r="A16" s="37">
        <f t="shared" si="0"/>
        <v>11</v>
      </c>
      <c r="B16" s="311">
        <f t="shared" si="0"/>
        <v>11</v>
      </c>
      <c r="C16" s="328">
        <v>33.79</v>
      </c>
      <c r="D16" s="343" t="s">
        <v>221</v>
      </c>
      <c r="E16" s="342"/>
      <c r="F16" s="441"/>
      <c r="G16" s="442"/>
      <c r="H16" s="443"/>
      <c r="I16" s="39"/>
      <c r="J16" s="271" t="s">
        <v>86</v>
      </c>
      <c r="K16" s="272">
        <v>5.48</v>
      </c>
      <c r="L16" s="852"/>
      <c r="M16" s="36"/>
    </row>
    <row r="17" spans="1:13" ht="16.5" thickBot="1">
      <c r="A17" s="37">
        <f t="shared" si="0"/>
        <v>12</v>
      </c>
      <c r="B17" s="311">
        <f t="shared" si="0"/>
        <v>12</v>
      </c>
      <c r="C17" s="328">
        <v>33.94</v>
      </c>
      <c r="D17" s="343" t="s">
        <v>221</v>
      </c>
      <c r="E17" s="261"/>
      <c r="F17" s="441"/>
      <c r="G17" s="442"/>
      <c r="H17" s="443"/>
      <c r="I17" s="39"/>
      <c r="J17" s="264"/>
      <c r="K17" s="265"/>
      <c r="L17" s="266"/>
      <c r="M17" s="36"/>
    </row>
    <row r="18" spans="1:13" ht="17.649999999999999" customHeight="1">
      <c r="A18" s="37">
        <f t="shared" si="0"/>
        <v>13</v>
      </c>
      <c r="B18" s="311">
        <f t="shared" si="0"/>
        <v>13</v>
      </c>
      <c r="C18" s="328">
        <v>33.85</v>
      </c>
      <c r="D18" s="343" t="s">
        <v>221</v>
      </c>
      <c r="E18" s="261"/>
      <c r="F18" s="441"/>
      <c r="G18" s="442"/>
      <c r="H18" s="443"/>
      <c r="I18" s="39"/>
      <c r="J18" s="273" t="s">
        <v>229</v>
      </c>
      <c r="K18" s="274">
        <v>33.35</v>
      </c>
      <c r="L18" s="853" t="s">
        <v>349</v>
      </c>
      <c r="M18" s="36"/>
    </row>
    <row r="19" spans="1:13" ht="20.100000000000001" customHeight="1" thickBot="1">
      <c r="A19" s="37">
        <f t="shared" si="0"/>
        <v>14</v>
      </c>
      <c r="B19" s="311">
        <f t="shared" si="0"/>
        <v>14</v>
      </c>
      <c r="C19" s="328">
        <v>33.549999999999997</v>
      </c>
      <c r="D19" s="343" t="s">
        <v>221</v>
      </c>
      <c r="E19" s="37"/>
      <c r="I19" s="39"/>
      <c r="J19" s="275" t="s">
        <v>228</v>
      </c>
      <c r="K19" s="276">
        <v>5.35</v>
      </c>
      <c r="L19" s="854"/>
      <c r="M19" s="36"/>
    </row>
    <row r="20" spans="1:13" ht="31.5">
      <c r="A20" s="37">
        <f>A19+1</f>
        <v>15</v>
      </c>
      <c r="B20" s="311">
        <f>B19+1</f>
        <v>15</v>
      </c>
      <c r="C20" s="328">
        <v>33.58</v>
      </c>
      <c r="D20" s="343" t="s">
        <v>221</v>
      </c>
      <c r="E20" s="36"/>
      <c r="I20" s="39"/>
      <c r="J20" s="273" t="s">
        <v>319</v>
      </c>
      <c r="K20" s="274">
        <v>33.97</v>
      </c>
      <c r="L20" s="855" t="s">
        <v>350</v>
      </c>
      <c r="M20" s="36"/>
    </row>
    <row r="21" spans="1:13" ht="31.5" thickBot="1">
      <c r="A21" s="37">
        <f t="shared" si="0"/>
        <v>16</v>
      </c>
      <c r="B21" s="311">
        <f t="shared" si="0"/>
        <v>16</v>
      </c>
      <c r="C21" s="328">
        <v>33.71</v>
      </c>
      <c r="D21" s="343" t="s">
        <v>221</v>
      </c>
      <c r="E21" s="36"/>
      <c r="I21" s="39"/>
      <c r="J21" s="275" t="s">
        <v>320</v>
      </c>
      <c r="K21" s="276">
        <v>4.03</v>
      </c>
      <c r="L21" s="856"/>
      <c r="M21" s="36"/>
    </row>
    <row r="22" spans="1:13" ht="15.75">
      <c r="A22" s="37">
        <f t="shared" si="0"/>
        <v>17</v>
      </c>
      <c r="B22" s="311">
        <f t="shared" si="0"/>
        <v>17</v>
      </c>
      <c r="C22" s="328">
        <v>33.94</v>
      </c>
      <c r="D22" s="343" t="s">
        <v>221</v>
      </c>
      <c r="E22" s="36"/>
      <c r="I22" s="39"/>
      <c r="J22" s="36"/>
      <c r="K22" s="36"/>
      <c r="L22" s="844"/>
      <c r="M22" s="36"/>
    </row>
    <row r="23" spans="1:13" ht="16.5" thickBot="1">
      <c r="A23" s="37">
        <f t="shared" si="0"/>
        <v>18</v>
      </c>
      <c r="B23" s="311">
        <f t="shared" si="0"/>
        <v>18</v>
      </c>
      <c r="C23" s="328">
        <v>33.96</v>
      </c>
      <c r="D23" s="343" t="s">
        <v>221</v>
      </c>
      <c r="E23" s="36"/>
      <c r="I23" s="39"/>
      <c r="J23" s="36"/>
      <c r="K23" s="36"/>
      <c r="L23" s="845"/>
      <c r="M23" s="36"/>
    </row>
    <row r="24" spans="1:13" ht="15.75">
      <c r="A24" s="37">
        <f t="shared" si="0"/>
        <v>19</v>
      </c>
      <c r="B24" s="311">
        <f t="shared" si="0"/>
        <v>19</v>
      </c>
      <c r="C24" s="328">
        <v>33.950000000000003</v>
      </c>
      <c r="D24" s="343" t="s">
        <v>221</v>
      </c>
      <c r="E24" s="36"/>
      <c r="I24" s="39"/>
      <c r="J24" s="846" t="s">
        <v>75</v>
      </c>
      <c r="K24" s="847"/>
      <c r="L24" s="844"/>
      <c r="M24" s="36"/>
    </row>
    <row r="25" spans="1:13" ht="16.5" thickBot="1">
      <c r="A25" s="37">
        <f t="shared" si="0"/>
        <v>20</v>
      </c>
      <c r="B25" s="311">
        <f t="shared" si="0"/>
        <v>20</v>
      </c>
      <c r="C25" s="328">
        <v>33.79</v>
      </c>
      <c r="D25" s="343" t="s">
        <v>221</v>
      </c>
      <c r="E25" s="36"/>
      <c r="I25" s="39"/>
      <c r="J25" s="277" t="s">
        <v>68</v>
      </c>
      <c r="K25" s="278" t="s">
        <v>52</v>
      </c>
      <c r="L25" s="845"/>
      <c r="M25" s="36"/>
    </row>
    <row r="26" spans="1:13" ht="15.75">
      <c r="A26" s="37">
        <f t="shared" si="0"/>
        <v>21</v>
      </c>
      <c r="B26" s="311">
        <f t="shared" si="0"/>
        <v>21</v>
      </c>
      <c r="C26" s="328">
        <v>33.94</v>
      </c>
      <c r="D26" s="343" t="s">
        <v>221</v>
      </c>
      <c r="E26" s="36"/>
      <c r="I26" s="39"/>
      <c r="J26" s="38" t="s">
        <v>43</v>
      </c>
      <c r="K26" s="210"/>
      <c r="L26" s="313" t="s">
        <v>352</v>
      </c>
      <c r="M26" s="36"/>
    </row>
    <row r="27" spans="1:13" ht="15.75">
      <c r="A27" s="37">
        <f t="shared" si="0"/>
        <v>22</v>
      </c>
      <c r="B27" s="311">
        <f t="shared" si="0"/>
        <v>22</v>
      </c>
      <c r="C27" s="328">
        <v>33.950000000000003</v>
      </c>
      <c r="D27" s="343" t="s">
        <v>221</v>
      </c>
      <c r="E27" s="36"/>
      <c r="I27" s="39"/>
      <c r="J27" s="262" t="s">
        <v>30</v>
      </c>
      <c r="K27" s="279"/>
      <c r="L27" s="314"/>
      <c r="M27" s="36"/>
    </row>
    <row r="28" spans="1:13" ht="16.5" thickBot="1">
      <c r="A28" s="37">
        <f t="shared" si="0"/>
        <v>23</v>
      </c>
      <c r="B28" s="311">
        <f t="shared" si="0"/>
        <v>23</v>
      </c>
      <c r="C28" s="328">
        <v>33.72</v>
      </c>
      <c r="D28" s="343" t="s">
        <v>221</v>
      </c>
      <c r="E28" s="36"/>
      <c r="I28" s="39"/>
      <c r="J28" s="264"/>
      <c r="K28" s="280"/>
      <c r="L28" s="281"/>
      <c r="M28" s="36"/>
    </row>
    <row r="29" spans="1:13" ht="15.75">
      <c r="A29" s="37">
        <f t="shared" si="0"/>
        <v>24</v>
      </c>
      <c r="B29" s="311">
        <f t="shared" si="0"/>
        <v>24</v>
      </c>
      <c r="C29" s="328">
        <v>33.67</v>
      </c>
      <c r="D29" s="343" t="s">
        <v>221</v>
      </c>
      <c r="E29" s="36"/>
      <c r="I29" s="39"/>
      <c r="J29" s="262" t="s">
        <v>69</v>
      </c>
      <c r="K29" s="282"/>
      <c r="L29" s="313" t="s">
        <v>351</v>
      </c>
      <c r="M29" s="36"/>
    </row>
    <row r="30" spans="1:13" ht="15.75">
      <c r="A30" s="37">
        <f t="shared" si="0"/>
        <v>25</v>
      </c>
      <c r="B30" s="311">
        <f t="shared" si="0"/>
        <v>25</v>
      </c>
      <c r="C30" s="328">
        <v>33.950000000000003</v>
      </c>
      <c r="D30" s="343" t="s">
        <v>221</v>
      </c>
      <c r="E30" s="36"/>
      <c r="I30" s="39"/>
      <c r="J30" s="267" t="s">
        <v>42</v>
      </c>
      <c r="K30" s="282"/>
      <c r="L30" s="314"/>
      <c r="M30" s="36"/>
    </row>
    <row r="31" spans="1:13" ht="15.75">
      <c r="A31" s="37">
        <f t="shared" si="0"/>
        <v>26</v>
      </c>
      <c r="B31" s="311">
        <f t="shared" si="0"/>
        <v>26</v>
      </c>
      <c r="C31" s="328">
        <v>33.9</v>
      </c>
      <c r="D31" s="343" t="s">
        <v>221</v>
      </c>
      <c r="E31" s="36"/>
      <c r="I31" s="39"/>
      <c r="J31" s="262" t="s">
        <v>70</v>
      </c>
      <c r="K31" s="282"/>
      <c r="L31" s="314"/>
      <c r="M31" s="36"/>
    </row>
    <row r="32" spans="1:13" ht="16.5" thickBot="1">
      <c r="A32" s="37">
        <f t="shared" si="0"/>
        <v>27</v>
      </c>
      <c r="B32" s="311">
        <f t="shared" si="0"/>
        <v>27</v>
      </c>
      <c r="C32" s="328">
        <v>33.9</v>
      </c>
      <c r="D32" s="343" t="s">
        <v>221</v>
      </c>
      <c r="E32" s="36"/>
      <c r="I32" s="39"/>
      <c r="J32" s="268"/>
      <c r="K32" s="283"/>
      <c r="L32" s="284"/>
      <c r="M32" s="36"/>
    </row>
    <row r="33" spans="1:13" ht="15.75">
      <c r="A33" s="37">
        <f t="shared" si="0"/>
        <v>28</v>
      </c>
      <c r="B33" s="311">
        <f t="shared" si="0"/>
        <v>28</v>
      </c>
      <c r="C33" s="328">
        <v>33.9</v>
      </c>
      <c r="D33" s="343" t="s">
        <v>221</v>
      </c>
      <c r="E33" s="36"/>
      <c r="I33" s="39"/>
      <c r="J33" s="54" t="s">
        <v>71</v>
      </c>
      <c r="K33" s="211"/>
      <c r="L33" s="313" t="s">
        <v>353</v>
      </c>
      <c r="M33" s="36"/>
    </row>
    <row r="34" spans="1:13" ht="15.75">
      <c r="A34" s="37">
        <f t="shared" si="0"/>
        <v>29</v>
      </c>
      <c r="B34" s="311">
        <f t="shared" si="0"/>
        <v>29</v>
      </c>
      <c r="C34" s="328">
        <v>33.72</v>
      </c>
      <c r="D34" s="343" t="s">
        <v>221</v>
      </c>
      <c r="E34" s="36"/>
      <c r="I34" s="36"/>
      <c r="J34" s="267" t="s">
        <v>44</v>
      </c>
      <c r="K34" s="285"/>
      <c r="L34" s="314"/>
      <c r="M34" s="36"/>
    </row>
    <row r="35" spans="1:13" ht="15.75">
      <c r="A35" s="37">
        <f t="shared" si="0"/>
        <v>30</v>
      </c>
      <c r="B35" s="311">
        <f t="shared" si="0"/>
        <v>30</v>
      </c>
      <c r="C35" s="328">
        <v>33.85</v>
      </c>
      <c r="D35" s="343" t="s">
        <v>221</v>
      </c>
      <c r="E35" s="36"/>
      <c r="I35" s="36"/>
      <c r="J35" s="262" t="s">
        <v>72</v>
      </c>
      <c r="K35" s="285"/>
      <c r="L35" s="314"/>
      <c r="M35" s="36"/>
    </row>
    <row r="36" spans="1:13" ht="16.5" thickBot="1">
      <c r="A36" s="37">
        <f t="shared" si="0"/>
        <v>31</v>
      </c>
      <c r="B36" s="311">
        <f t="shared" si="0"/>
        <v>31</v>
      </c>
      <c r="C36" s="328">
        <v>33.76</v>
      </c>
      <c r="D36" s="343" t="s">
        <v>221</v>
      </c>
      <c r="E36" s="36"/>
      <c r="H36" s="36"/>
      <c r="I36" s="36"/>
      <c r="J36" s="271" t="s">
        <v>86</v>
      </c>
      <c r="K36" s="286"/>
      <c r="L36" s="315"/>
      <c r="M36" s="36"/>
    </row>
    <row r="37" spans="1:13" ht="16.5" thickBot="1">
      <c r="A37" s="37">
        <f t="shared" si="0"/>
        <v>32</v>
      </c>
      <c r="B37" s="311">
        <f t="shared" si="0"/>
        <v>32</v>
      </c>
      <c r="C37" s="355">
        <v>33.94</v>
      </c>
      <c r="D37" s="343" t="s">
        <v>221</v>
      </c>
      <c r="E37" s="36"/>
      <c r="H37" s="36"/>
      <c r="I37" s="36"/>
      <c r="J37" s="264"/>
      <c r="K37" s="287"/>
      <c r="L37" s="281"/>
      <c r="M37" s="36"/>
    </row>
    <row r="38" spans="1:13" ht="15.75">
      <c r="A38" s="37">
        <f t="shared" si="0"/>
        <v>33</v>
      </c>
      <c r="B38" s="311">
        <f t="shared" si="0"/>
        <v>33</v>
      </c>
      <c r="C38" s="328">
        <v>33.36</v>
      </c>
      <c r="D38" s="343" t="s">
        <v>221</v>
      </c>
      <c r="E38" s="36"/>
      <c r="F38" s="36"/>
      <c r="G38" s="36"/>
      <c r="H38" s="36"/>
      <c r="I38" s="36"/>
      <c r="J38" s="430"/>
      <c r="K38" s="431"/>
      <c r="L38" s="432"/>
      <c r="M38" s="36"/>
    </row>
    <row r="39" spans="1:13" ht="14.65" customHeight="1">
      <c r="A39" s="37">
        <f t="shared" si="0"/>
        <v>34</v>
      </c>
      <c r="B39" s="311">
        <f t="shared" si="0"/>
        <v>34</v>
      </c>
      <c r="C39" s="328">
        <v>33.94</v>
      </c>
      <c r="D39" s="343" t="s">
        <v>221</v>
      </c>
      <c r="E39" s="36"/>
      <c r="F39" s="36"/>
      <c r="G39" s="36"/>
      <c r="H39" s="36"/>
      <c r="I39" s="36"/>
      <c r="J39" s="433"/>
      <c r="K39" s="434"/>
      <c r="L39" s="435"/>
      <c r="M39" s="36"/>
    </row>
    <row r="40" spans="1:13" ht="15.75">
      <c r="A40" s="37">
        <f>A39+1</f>
        <v>35</v>
      </c>
      <c r="B40" s="311">
        <f>B39+1</f>
        <v>35</v>
      </c>
      <c r="C40" s="328">
        <v>32.4</v>
      </c>
      <c r="D40" s="343" t="s">
        <v>221</v>
      </c>
      <c r="E40" s="36"/>
      <c r="F40" s="36"/>
      <c r="G40" s="36"/>
      <c r="H40" s="36"/>
      <c r="I40" s="36"/>
      <c r="J40" s="36"/>
      <c r="K40" s="36"/>
      <c r="L40" s="36"/>
      <c r="M40" s="36"/>
    </row>
    <row r="41" spans="1:13" ht="15.75">
      <c r="A41" s="37">
        <f t="shared" si="0"/>
        <v>36</v>
      </c>
      <c r="B41" s="311">
        <f t="shared" si="0"/>
        <v>36</v>
      </c>
      <c r="C41" s="328">
        <v>33.93</v>
      </c>
      <c r="D41" s="343" t="s">
        <v>221</v>
      </c>
      <c r="E41" s="36"/>
      <c r="F41" s="36"/>
      <c r="G41" s="36"/>
      <c r="H41" s="36"/>
      <c r="I41" s="36"/>
      <c r="J41" s="36"/>
      <c r="K41" s="36"/>
      <c r="L41" s="36"/>
      <c r="M41" s="36"/>
    </row>
    <row r="42" spans="1:13" ht="15.75">
      <c r="A42" s="37">
        <f t="shared" si="0"/>
        <v>37</v>
      </c>
      <c r="B42" s="311">
        <f t="shared" si="0"/>
        <v>37</v>
      </c>
      <c r="C42" s="328">
        <v>32.89</v>
      </c>
      <c r="D42" s="343" t="s">
        <v>221</v>
      </c>
      <c r="E42" s="36"/>
      <c r="F42" s="36"/>
      <c r="G42" s="36"/>
      <c r="H42" s="36"/>
      <c r="I42" s="36"/>
      <c r="J42" s="36"/>
      <c r="K42" s="36"/>
      <c r="L42" s="36"/>
      <c r="M42" s="36"/>
    </row>
    <row r="43" spans="1:13" ht="15.75">
      <c r="A43" s="37">
        <f t="shared" si="0"/>
        <v>38</v>
      </c>
      <c r="B43" s="311">
        <f t="shared" si="0"/>
        <v>38</v>
      </c>
      <c r="C43" s="328">
        <v>33.94</v>
      </c>
      <c r="D43" s="343" t="s">
        <v>221</v>
      </c>
      <c r="E43" s="36"/>
      <c r="F43" s="36"/>
      <c r="G43" s="36"/>
      <c r="H43" s="36"/>
      <c r="I43" s="36"/>
      <c r="J43" s="36"/>
      <c r="K43" s="36"/>
      <c r="L43" s="36"/>
      <c r="M43" s="36"/>
    </row>
    <row r="44" spans="1:13" ht="15.75">
      <c r="A44" s="37">
        <f t="shared" si="0"/>
        <v>39</v>
      </c>
      <c r="B44" s="311">
        <f t="shared" si="0"/>
        <v>39</v>
      </c>
      <c r="C44" s="328">
        <v>33.93</v>
      </c>
      <c r="D44" s="343" t="s">
        <v>221</v>
      </c>
      <c r="E44" s="36"/>
      <c r="F44" s="36"/>
      <c r="G44" s="36"/>
      <c r="H44" s="36"/>
      <c r="I44" s="36"/>
      <c r="J44" s="36"/>
      <c r="K44" s="36"/>
      <c r="L44" s="36"/>
      <c r="M44" s="36"/>
    </row>
    <row r="45" spans="1:13" ht="15.75">
      <c r="A45" s="37">
        <f t="shared" si="0"/>
        <v>40</v>
      </c>
      <c r="B45" s="311">
        <f t="shared" si="0"/>
        <v>40</v>
      </c>
      <c r="C45" s="328">
        <v>32.08</v>
      </c>
      <c r="D45" s="343" t="s">
        <v>221</v>
      </c>
      <c r="E45" s="36"/>
      <c r="F45" s="36"/>
      <c r="G45" s="36"/>
      <c r="H45" s="36"/>
      <c r="I45" s="36"/>
      <c r="J45" s="36"/>
      <c r="K45" s="36"/>
      <c r="L45" s="36"/>
      <c r="M45" s="36"/>
    </row>
    <row r="46" spans="1:13" ht="15.75">
      <c r="A46" s="37">
        <f t="shared" si="0"/>
        <v>41</v>
      </c>
      <c r="B46" s="311">
        <f t="shared" si="0"/>
        <v>41</v>
      </c>
      <c r="C46" s="328">
        <v>33.93</v>
      </c>
      <c r="D46" s="343" t="s">
        <v>221</v>
      </c>
      <c r="E46" s="36"/>
      <c r="F46" s="36"/>
      <c r="G46" s="36"/>
      <c r="H46" s="36"/>
      <c r="I46" s="36"/>
      <c r="J46" s="36"/>
      <c r="K46" s="36"/>
      <c r="L46" s="36"/>
      <c r="M46" s="36"/>
    </row>
    <row r="47" spans="1:13" ht="15.75">
      <c r="A47" s="37">
        <f t="shared" si="0"/>
        <v>42</v>
      </c>
      <c r="B47" s="311">
        <f t="shared" si="0"/>
        <v>42</v>
      </c>
      <c r="C47" s="328">
        <v>33.94</v>
      </c>
      <c r="D47" s="343" t="s">
        <v>221</v>
      </c>
      <c r="E47" s="36"/>
      <c r="F47" s="36"/>
      <c r="G47" s="36"/>
      <c r="H47" s="36"/>
      <c r="I47" s="36"/>
      <c r="J47" s="36"/>
      <c r="K47" s="36"/>
      <c r="L47" s="36"/>
      <c r="M47" s="36"/>
    </row>
    <row r="48" spans="1:13" ht="15.75">
      <c r="A48" s="37">
        <f t="shared" si="0"/>
        <v>43</v>
      </c>
      <c r="B48" s="311">
        <f t="shared" si="0"/>
        <v>43</v>
      </c>
      <c r="C48" s="328">
        <v>33.94</v>
      </c>
      <c r="D48" s="343" t="s">
        <v>221</v>
      </c>
      <c r="E48" s="36"/>
      <c r="F48" s="36"/>
      <c r="G48" s="36"/>
      <c r="H48" s="36"/>
      <c r="I48" s="36"/>
      <c r="J48" s="36"/>
      <c r="K48" s="36"/>
      <c r="L48" s="36"/>
      <c r="M48" s="36"/>
    </row>
    <row r="49" spans="1:13" ht="15.75">
      <c r="A49" s="37">
        <f t="shared" si="0"/>
        <v>44</v>
      </c>
      <c r="B49" s="311">
        <f t="shared" si="0"/>
        <v>44</v>
      </c>
      <c r="C49" s="328">
        <v>33.93</v>
      </c>
      <c r="D49" s="343" t="s">
        <v>221</v>
      </c>
      <c r="E49" s="36"/>
      <c r="F49" s="36"/>
      <c r="G49" s="36"/>
      <c r="H49" s="36"/>
      <c r="I49" s="36"/>
      <c r="J49" s="36"/>
      <c r="K49" s="36"/>
      <c r="L49" s="36"/>
      <c r="M49" s="36"/>
    </row>
    <row r="50" spans="1:13" ht="15.75">
      <c r="A50" s="37">
        <f t="shared" si="0"/>
        <v>45</v>
      </c>
      <c r="B50" s="311">
        <f t="shared" si="0"/>
        <v>45</v>
      </c>
      <c r="C50" s="328">
        <v>33.81</v>
      </c>
      <c r="D50" s="343" t="s">
        <v>221</v>
      </c>
      <c r="E50" s="36"/>
      <c r="F50" s="36"/>
      <c r="G50" s="36"/>
      <c r="H50" s="36"/>
      <c r="I50" s="36"/>
      <c r="J50" s="36"/>
      <c r="K50" s="36"/>
      <c r="L50" s="36"/>
      <c r="M50" s="36"/>
    </row>
    <row r="51" spans="1:13" ht="15.75">
      <c r="A51" s="37">
        <f t="shared" si="0"/>
        <v>46</v>
      </c>
      <c r="B51" s="311">
        <f t="shared" si="0"/>
        <v>46</v>
      </c>
      <c r="C51" s="328">
        <v>33.57</v>
      </c>
      <c r="D51" s="343" t="s">
        <v>221</v>
      </c>
      <c r="E51" s="36"/>
      <c r="F51" s="36"/>
      <c r="G51" s="36"/>
      <c r="H51" s="36"/>
      <c r="I51" s="36"/>
      <c r="J51" s="36"/>
      <c r="K51" s="36"/>
      <c r="L51" s="36"/>
      <c r="M51" s="36"/>
    </row>
    <row r="52" spans="1:13" ht="15.75">
      <c r="A52" s="37">
        <f t="shared" si="0"/>
        <v>47</v>
      </c>
      <c r="B52" s="311">
        <f t="shared" si="0"/>
        <v>47</v>
      </c>
      <c r="C52" s="355">
        <v>33.93</v>
      </c>
      <c r="D52" s="343" t="s">
        <v>221</v>
      </c>
      <c r="E52" s="36"/>
      <c r="F52" s="36"/>
      <c r="G52" s="36"/>
      <c r="H52" s="36"/>
      <c r="I52" s="36"/>
      <c r="J52" s="36"/>
      <c r="K52" s="36"/>
      <c r="L52" s="36"/>
      <c r="M52" s="36"/>
    </row>
    <row r="53" spans="1:13" ht="15.75">
      <c r="A53" s="37">
        <f t="shared" si="0"/>
        <v>48</v>
      </c>
      <c r="B53" s="311">
        <f t="shared" si="0"/>
        <v>48</v>
      </c>
      <c r="C53" s="328">
        <v>33.9</v>
      </c>
      <c r="D53" s="343" t="s">
        <v>221</v>
      </c>
      <c r="E53" s="36"/>
      <c r="F53" s="36"/>
      <c r="G53" s="36"/>
      <c r="H53" s="36"/>
      <c r="I53" s="36"/>
      <c r="J53" s="36"/>
      <c r="K53" s="36"/>
      <c r="L53" s="36"/>
      <c r="M53" s="36"/>
    </row>
    <row r="54" spans="1:13" ht="15.75">
      <c r="A54" s="37">
        <f t="shared" si="0"/>
        <v>49</v>
      </c>
      <c r="B54" s="311">
        <f t="shared" si="0"/>
        <v>49</v>
      </c>
      <c r="C54" s="328">
        <v>33.659999999999997</v>
      </c>
      <c r="D54" s="343" t="s">
        <v>221</v>
      </c>
      <c r="E54" s="36"/>
      <c r="F54" s="36"/>
      <c r="G54" s="36"/>
      <c r="H54" s="36"/>
      <c r="I54" s="36"/>
      <c r="J54" s="36"/>
      <c r="K54" s="36"/>
      <c r="L54" s="36"/>
      <c r="M54" s="36"/>
    </row>
    <row r="55" spans="1:13" ht="15.75">
      <c r="A55" s="37">
        <f t="shared" si="0"/>
        <v>50</v>
      </c>
      <c r="B55" s="311">
        <f t="shared" si="0"/>
        <v>50</v>
      </c>
      <c r="C55" s="328">
        <v>33.9</v>
      </c>
      <c r="D55" s="343" t="s">
        <v>221</v>
      </c>
      <c r="E55" s="36"/>
      <c r="F55" s="36"/>
      <c r="G55" s="36"/>
      <c r="H55" s="36"/>
      <c r="I55" s="36"/>
      <c r="J55" s="36"/>
      <c r="K55" s="36"/>
      <c r="L55" s="36"/>
      <c r="M55" s="36"/>
    </row>
    <row r="56" spans="1:13" ht="15.75">
      <c r="A56" s="37">
        <f t="shared" si="0"/>
        <v>51</v>
      </c>
      <c r="B56" s="311">
        <f t="shared" si="0"/>
        <v>51</v>
      </c>
      <c r="C56" s="328">
        <v>33.94</v>
      </c>
      <c r="D56" s="343" t="s">
        <v>221</v>
      </c>
      <c r="E56" s="36"/>
      <c r="F56" s="36"/>
      <c r="G56" s="36"/>
      <c r="H56" s="36"/>
      <c r="I56" s="36"/>
      <c r="J56" s="36"/>
      <c r="K56" s="36"/>
      <c r="L56" s="36"/>
      <c r="M56" s="36"/>
    </row>
    <row r="57" spans="1:13" ht="15.75">
      <c r="A57" s="37">
        <f t="shared" si="0"/>
        <v>52</v>
      </c>
      <c r="B57" s="311">
        <f t="shared" si="0"/>
        <v>52</v>
      </c>
      <c r="C57" s="328">
        <v>33.51</v>
      </c>
      <c r="D57" s="343" t="s">
        <v>221</v>
      </c>
      <c r="E57" s="36"/>
      <c r="F57" s="36"/>
      <c r="G57" s="36"/>
      <c r="H57" s="36"/>
      <c r="I57" s="36"/>
      <c r="J57" s="36"/>
      <c r="K57" s="36"/>
      <c r="L57" s="36"/>
      <c r="M57" s="36"/>
    </row>
    <row r="58" spans="1:13" ht="15.75">
      <c r="A58" s="37">
        <f t="shared" si="0"/>
        <v>53</v>
      </c>
      <c r="B58" s="311">
        <f t="shared" si="0"/>
        <v>53</v>
      </c>
      <c r="C58" s="328">
        <v>33.94</v>
      </c>
      <c r="D58" s="343" t="s">
        <v>221</v>
      </c>
      <c r="E58" s="36"/>
      <c r="F58" s="36"/>
      <c r="G58" s="36"/>
      <c r="H58" s="36"/>
      <c r="I58" s="36"/>
      <c r="J58" s="36"/>
      <c r="K58" s="36"/>
      <c r="L58" s="36"/>
      <c r="M58" s="36"/>
    </row>
    <row r="59" spans="1:13" ht="15.75">
      <c r="A59" s="37">
        <f t="shared" si="0"/>
        <v>54</v>
      </c>
      <c r="B59" s="311">
        <f t="shared" si="0"/>
        <v>54</v>
      </c>
      <c r="C59" s="328">
        <v>33.9</v>
      </c>
      <c r="D59" s="343" t="s">
        <v>221</v>
      </c>
      <c r="E59" s="36"/>
      <c r="F59" s="36"/>
      <c r="G59" s="36"/>
      <c r="H59" s="36"/>
      <c r="I59" s="36"/>
      <c r="J59" s="36"/>
      <c r="K59" s="36"/>
      <c r="L59" s="36"/>
      <c r="M59" s="36"/>
    </row>
    <row r="60" spans="1:13" ht="15.75">
      <c r="A60" s="37">
        <f t="shared" si="0"/>
        <v>55</v>
      </c>
      <c r="B60" s="311">
        <f t="shared" si="0"/>
        <v>55</v>
      </c>
      <c r="C60" s="328">
        <v>32.380000000000003</v>
      </c>
      <c r="D60" s="343" t="s">
        <v>221</v>
      </c>
      <c r="E60" s="36"/>
      <c r="F60" s="36"/>
      <c r="G60" s="36"/>
      <c r="H60" s="36"/>
      <c r="I60" s="36"/>
      <c r="J60" s="36"/>
      <c r="K60" s="36"/>
      <c r="L60" s="36"/>
      <c r="M60" s="36"/>
    </row>
    <row r="61" spans="1:13" ht="15.75">
      <c r="A61" s="37">
        <f t="shared" si="0"/>
        <v>56</v>
      </c>
      <c r="B61" s="311">
        <f t="shared" si="0"/>
        <v>56</v>
      </c>
      <c r="C61" s="328">
        <v>32.54</v>
      </c>
      <c r="D61" s="343" t="s">
        <v>221</v>
      </c>
      <c r="E61" s="36"/>
      <c r="F61" s="36"/>
      <c r="G61" s="36"/>
      <c r="H61" s="36"/>
      <c r="I61" s="36"/>
      <c r="J61" s="36"/>
      <c r="K61" s="36"/>
      <c r="L61" s="36"/>
      <c r="M61" s="36"/>
    </row>
    <row r="62" spans="1:13" ht="15.75">
      <c r="A62" s="37">
        <f t="shared" si="0"/>
        <v>57</v>
      </c>
      <c r="B62" s="311">
        <f t="shared" si="0"/>
        <v>57</v>
      </c>
      <c r="C62" s="328">
        <v>33.26</v>
      </c>
      <c r="D62" s="343" t="s">
        <v>221</v>
      </c>
      <c r="E62" s="36"/>
      <c r="F62" s="36"/>
      <c r="G62" s="36"/>
      <c r="H62" s="36"/>
      <c r="I62" s="36"/>
      <c r="J62" s="36"/>
      <c r="K62" s="36"/>
      <c r="L62" s="36"/>
      <c r="M62" s="36"/>
    </row>
    <row r="63" spans="1:13" ht="15.75">
      <c r="A63" s="37">
        <f t="shared" si="0"/>
        <v>58</v>
      </c>
      <c r="B63" s="311">
        <f t="shared" si="0"/>
        <v>58</v>
      </c>
      <c r="C63" s="328">
        <v>32.08</v>
      </c>
      <c r="D63" s="343" t="s">
        <v>221</v>
      </c>
      <c r="E63" s="36"/>
      <c r="H63" s="36"/>
      <c r="I63" s="36"/>
      <c r="J63" s="36"/>
      <c r="K63" s="36"/>
      <c r="L63" s="36"/>
      <c r="M63" s="36"/>
    </row>
    <row r="64" spans="1:13" ht="15.75">
      <c r="A64" s="37">
        <f t="shared" si="0"/>
        <v>59</v>
      </c>
      <c r="B64" s="311">
        <f t="shared" si="0"/>
        <v>59</v>
      </c>
      <c r="C64" s="328">
        <v>32.72</v>
      </c>
      <c r="D64" s="343" t="s">
        <v>221</v>
      </c>
      <c r="E64" s="36"/>
      <c r="H64" s="36"/>
      <c r="I64" s="36"/>
      <c r="J64" s="36"/>
      <c r="K64" s="36"/>
      <c r="L64" s="36"/>
      <c r="M64" s="36"/>
    </row>
    <row r="65" spans="1:13" ht="15.75">
      <c r="A65" s="37">
        <f t="shared" si="0"/>
        <v>60</v>
      </c>
      <c r="B65" s="311">
        <f t="shared" si="0"/>
        <v>60</v>
      </c>
      <c r="C65" s="329">
        <v>33.78</v>
      </c>
      <c r="D65" s="343" t="s">
        <v>221</v>
      </c>
      <c r="E65" s="36"/>
      <c r="H65" s="36"/>
      <c r="I65" s="36"/>
      <c r="J65" s="36"/>
      <c r="K65" s="36"/>
      <c r="L65" s="36"/>
      <c r="M65" s="36"/>
    </row>
    <row r="66" spans="1:13" ht="15.75">
      <c r="A66" s="37">
        <f t="shared" si="0"/>
        <v>61</v>
      </c>
      <c r="B66" s="311">
        <f t="shared" si="0"/>
        <v>61</v>
      </c>
      <c r="C66" s="328">
        <v>32.46</v>
      </c>
      <c r="D66" s="343" t="s">
        <v>221</v>
      </c>
      <c r="E66" s="36"/>
      <c r="H66" s="36"/>
      <c r="I66" s="36"/>
      <c r="J66" s="36"/>
      <c r="K66" s="36"/>
      <c r="L66" s="36"/>
      <c r="M66" s="36"/>
    </row>
    <row r="67" spans="1:13" ht="15.75">
      <c r="A67" s="37">
        <f t="shared" si="0"/>
        <v>62</v>
      </c>
      <c r="B67" s="311">
        <f t="shared" si="0"/>
        <v>62</v>
      </c>
      <c r="C67" s="328">
        <v>33.130000000000003</v>
      </c>
      <c r="D67" s="343" t="s">
        <v>221</v>
      </c>
      <c r="E67" s="36"/>
      <c r="H67" s="36"/>
      <c r="I67" s="36"/>
      <c r="J67" s="36"/>
      <c r="K67" s="36"/>
      <c r="L67" s="36"/>
      <c r="M67" s="36"/>
    </row>
    <row r="68" spans="1:13" ht="15.75">
      <c r="A68" s="37">
        <f t="shared" si="0"/>
        <v>63</v>
      </c>
      <c r="B68" s="311">
        <f t="shared" si="0"/>
        <v>63</v>
      </c>
      <c r="C68" s="328">
        <v>33.97</v>
      </c>
      <c r="D68" s="343" t="s">
        <v>221</v>
      </c>
      <c r="E68" s="36"/>
      <c r="H68" s="36"/>
      <c r="I68" s="36"/>
      <c r="J68" s="36"/>
      <c r="K68" s="36"/>
      <c r="L68" s="36"/>
      <c r="M68" s="36"/>
    </row>
    <row r="69" spans="1:13" ht="15.75">
      <c r="A69" s="37">
        <f t="shared" si="0"/>
        <v>64</v>
      </c>
      <c r="B69" s="311">
        <f t="shared" si="0"/>
        <v>64</v>
      </c>
      <c r="C69" s="328">
        <v>33.57</v>
      </c>
      <c r="D69" s="343" t="s">
        <v>221</v>
      </c>
      <c r="E69" s="36"/>
      <c r="H69" s="36"/>
      <c r="I69" s="36"/>
      <c r="J69" s="36"/>
      <c r="K69" s="36"/>
      <c r="L69" s="36"/>
      <c r="M69" s="36"/>
    </row>
    <row r="70" spans="1:13" ht="15.75">
      <c r="A70" s="37">
        <f t="shared" si="0"/>
        <v>65</v>
      </c>
      <c r="B70" s="311">
        <f t="shared" si="0"/>
        <v>65</v>
      </c>
      <c r="C70" s="328">
        <v>33.96</v>
      </c>
      <c r="D70" s="343" t="s">
        <v>221</v>
      </c>
      <c r="E70" s="36"/>
      <c r="H70" s="36"/>
      <c r="I70" s="36"/>
      <c r="J70" s="36"/>
      <c r="K70" s="36"/>
      <c r="L70" s="36"/>
      <c r="M70" s="36"/>
    </row>
    <row r="71" spans="1:13" ht="15.75">
      <c r="A71" s="37">
        <f t="shared" si="0"/>
        <v>66</v>
      </c>
      <c r="B71" s="311">
        <f t="shared" si="0"/>
        <v>66</v>
      </c>
      <c r="C71" s="328">
        <v>33.94</v>
      </c>
      <c r="D71" s="343" t="s">
        <v>221</v>
      </c>
      <c r="E71" s="36"/>
      <c r="H71" s="36"/>
      <c r="I71" s="36"/>
      <c r="J71" s="36"/>
      <c r="K71" s="36"/>
      <c r="L71" s="36"/>
      <c r="M71" s="36"/>
    </row>
    <row r="72" spans="1:13" ht="15.75">
      <c r="A72" s="37">
        <f t="shared" ref="A72:B135" si="1">A71+1</f>
        <v>67</v>
      </c>
      <c r="B72" s="311">
        <f t="shared" si="1"/>
        <v>67</v>
      </c>
      <c r="C72" s="328">
        <v>33.94</v>
      </c>
      <c r="D72" s="343" t="s">
        <v>221</v>
      </c>
      <c r="E72" s="36"/>
      <c r="H72" s="36"/>
      <c r="I72" s="36"/>
      <c r="J72" s="36"/>
      <c r="K72" s="36"/>
      <c r="L72" s="36"/>
      <c r="M72" s="36"/>
    </row>
    <row r="73" spans="1:13" ht="15.75">
      <c r="A73" s="37">
        <f t="shared" si="1"/>
        <v>68</v>
      </c>
      <c r="B73" s="311">
        <f t="shared" si="1"/>
        <v>68</v>
      </c>
      <c r="C73" s="328">
        <v>33.94</v>
      </c>
      <c r="D73" s="343" t="s">
        <v>221</v>
      </c>
      <c r="E73" s="36"/>
      <c r="H73" s="36"/>
      <c r="I73" s="36"/>
      <c r="J73" s="36"/>
      <c r="K73" s="36"/>
      <c r="L73" s="36"/>
      <c r="M73" s="36"/>
    </row>
    <row r="74" spans="1:13" ht="15.75">
      <c r="A74" s="37">
        <f t="shared" si="1"/>
        <v>69</v>
      </c>
      <c r="B74" s="311">
        <f t="shared" si="1"/>
        <v>69</v>
      </c>
      <c r="C74" s="328">
        <v>33.94</v>
      </c>
      <c r="D74" s="343" t="s">
        <v>221</v>
      </c>
      <c r="E74" s="36"/>
      <c r="H74" s="36"/>
      <c r="I74" s="36"/>
      <c r="J74" s="36"/>
      <c r="K74" s="36"/>
      <c r="L74" s="36"/>
      <c r="M74" s="36"/>
    </row>
    <row r="75" spans="1:13" ht="15.75">
      <c r="A75" s="37">
        <f t="shared" si="1"/>
        <v>70</v>
      </c>
      <c r="B75" s="311">
        <f t="shared" si="1"/>
        <v>70</v>
      </c>
      <c r="C75" s="328">
        <v>33.76</v>
      </c>
      <c r="D75" s="343" t="s">
        <v>221</v>
      </c>
      <c r="E75" s="36"/>
      <c r="H75" s="36"/>
      <c r="I75" s="36"/>
      <c r="J75" s="36"/>
      <c r="K75" s="36"/>
      <c r="L75" s="36"/>
      <c r="M75" s="36"/>
    </row>
    <row r="76" spans="1:13" ht="15.75">
      <c r="A76" s="37">
        <f t="shared" si="1"/>
        <v>71</v>
      </c>
      <c r="B76" s="311">
        <f t="shared" si="1"/>
        <v>71</v>
      </c>
      <c r="C76" s="328">
        <v>33.57</v>
      </c>
      <c r="D76" s="343" t="s">
        <v>221</v>
      </c>
      <c r="E76" s="36"/>
      <c r="H76" s="36"/>
      <c r="I76" s="36"/>
      <c r="J76" s="36"/>
      <c r="K76" s="36"/>
      <c r="L76" s="36"/>
      <c r="M76" s="36"/>
    </row>
    <row r="77" spans="1:13" ht="15.75">
      <c r="A77" s="37">
        <f t="shared" si="1"/>
        <v>72</v>
      </c>
      <c r="B77" s="311">
        <f t="shared" si="1"/>
        <v>72</v>
      </c>
      <c r="C77" s="328">
        <v>33.799999999999997</v>
      </c>
      <c r="D77" s="343" t="s">
        <v>221</v>
      </c>
      <c r="E77" s="36"/>
      <c r="H77" s="36"/>
      <c r="I77" s="36"/>
      <c r="J77" s="36"/>
      <c r="K77" s="36"/>
      <c r="L77" s="36"/>
      <c r="M77" s="36"/>
    </row>
    <row r="78" spans="1:13" ht="15.75">
      <c r="A78" s="37">
        <f t="shared" si="1"/>
        <v>73</v>
      </c>
      <c r="B78" s="311">
        <f t="shared" si="1"/>
        <v>73</v>
      </c>
      <c r="C78" s="328">
        <v>33.58</v>
      </c>
      <c r="D78" s="343" t="s">
        <v>221</v>
      </c>
      <c r="E78" s="36"/>
      <c r="H78" s="36"/>
      <c r="I78" s="36"/>
      <c r="J78" s="36"/>
      <c r="K78" s="36"/>
      <c r="L78" s="36"/>
      <c r="M78" s="36"/>
    </row>
    <row r="79" spans="1:13" ht="15.75">
      <c r="A79" s="37">
        <f t="shared" si="1"/>
        <v>74</v>
      </c>
      <c r="B79" s="311">
        <f t="shared" si="1"/>
        <v>74</v>
      </c>
      <c r="C79" s="328">
        <v>33.94</v>
      </c>
      <c r="D79" s="343" t="s">
        <v>221</v>
      </c>
      <c r="E79" s="36"/>
      <c r="H79" s="36"/>
      <c r="I79" s="36"/>
      <c r="J79" s="36"/>
      <c r="K79" s="36"/>
      <c r="L79" s="36"/>
      <c r="M79" s="36"/>
    </row>
    <row r="80" spans="1:13" ht="15.75">
      <c r="A80" s="37">
        <f t="shared" si="1"/>
        <v>75</v>
      </c>
      <c r="B80" s="311">
        <f t="shared" si="1"/>
        <v>75</v>
      </c>
      <c r="C80" s="328">
        <v>33.67</v>
      </c>
      <c r="D80" s="343" t="s">
        <v>221</v>
      </c>
      <c r="E80" s="36"/>
      <c r="H80" s="36"/>
      <c r="I80" s="36"/>
      <c r="J80" s="36"/>
      <c r="K80" s="36"/>
      <c r="L80" s="36"/>
      <c r="M80" s="36"/>
    </row>
    <row r="81" spans="1:13" ht="15.75">
      <c r="A81" s="37">
        <f t="shared" si="1"/>
        <v>76</v>
      </c>
      <c r="B81" s="311">
        <f t="shared" si="1"/>
        <v>76</v>
      </c>
      <c r="C81" s="328">
        <v>33.5</v>
      </c>
      <c r="D81" s="343" t="s">
        <v>221</v>
      </c>
      <c r="E81" s="36"/>
      <c r="H81" s="36"/>
      <c r="I81" s="36"/>
      <c r="J81" s="36"/>
      <c r="K81" s="36"/>
      <c r="L81" s="36"/>
      <c r="M81" s="36"/>
    </row>
    <row r="82" spans="1:13" ht="15.75">
      <c r="A82" s="37">
        <f t="shared" si="1"/>
        <v>77</v>
      </c>
      <c r="B82" s="311">
        <f t="shared" si="1"/>
        <v>77</v>
      </c>
      <c r="C82" s="328">
        <v>33.94</v>
      </c>
      <c r="D82" s="343" t="s">
        <v>221</v>
      </c>
      <c r="E82" s="36"/>
      <c r="H82" s="36"/>
      <c r="I82" s="36"/>
      <c r="J82" s="36"/>
      <c r="K82" s="36"/>
      <c r="L82" s="36"/>
      <c r="M82" s="36"/>
    </row>
    <row r="83" spans="1:13" ht="15.75">
      <c r="A83" s="37">
        <f t="shared" si="1"/>
        <v>78</v>
      </c>
      <c r="B83" s="311">
        <f t="shared" si="1"/>
        <v>78</v>
      </c>
      <c r="C83" s="355">
        <v>33.21</v>
      </c>
      <c r="D83" s="343" t="s">
        <v>221</v>
      </c>
      <c r="E83" s="36"/>
      <c r="H83" s="36"/>
      <c r="I83" s="36"/>
      <c r="J83" s="36"/>
      <c r="K83" s="36"/>
      <c r="L83" s="36"/>
      <c r="M83" s="36"/>
    </row>
    <row r="84" spans="1:13" ht="15.75">
      <c r="A84" s="37">
        <f t="shared" si="1"/>
        <v>79</v>
      </c>
      <c r="B84" s="311">
        <f t="shared" si="1"/>
        <v>79</v>
      </c>
      <c r="C84" s="328">
        <v>33.94</v>
      </c>
      <c r="D84" s="343" t="s">
        <v>221</v>
      </c>
      <c r="E84" s="36"/>
      <c r="H84" s="36"/>
      <c r="I84" s="36"/>
      <c r="J84" s="36"/>
      <c r="K84" s="36"/>
      <c r="L84" s="36"/>
      <c r="M84" s="36"/>
    </row>
    <row r="85" spans="1:13" ht="15.75">
      <c r="A85" s="37">
        <f t="shared" si="1"/>
        <v>80</v>
      </c>
      <c r="B85" s="311">
        <f t="shared" si="1"/>
        <v>80</v>
      </c>
      <c r="C85" s="328">
        <v>33.94</v>
      </c>
      <c r="D85" s="343" t="s">
        <v>221</v>
      </c>
      <c r="E85" s="36"/>
      <c r="H85" s="36"/>
      <c r="I85" s="36"/>
      <c r="J85" s="36"/>
      <c r="K85" s="36"/>
      <c r="L85" s="36"/>
      <c r="M85" s="36"/>
    </row>
    <row r="86" spans="1:13" ht="15.75">
      <c r="A86" s="37">
        <f t="shared" si="1"/>
        <v>81</v>
      </c>
      <c r="B86" s="311">
        <f t="shared" si="1"/>
        <v>81</v>
      </c>
      <c r="C86" s="328">
        <v>33.94</v>
      </c>
      <c r="D86" s="343" t="s">
        <v>221</v>
      </c>
      <c r="E86" s="36"/>
      <c r="H86" s="36"/>
      <c r="I86" s="36"/>
      <c r="J86" s="36"/>
      <c r="K86" s="36"/>
      <c r="L86" s="36"/>
      <c r="M86" s="36"/>
    </row>
    <row r="87" spans="1:13" ht="15.75">
      <c r="A87" s="37">
        <f t="shared" si="1"/>
        <v>82</v>
      </c>
      <c r="B87" s="311">
        <f t="shared" si="1"/>
        <v>82</v>
      </c>
      <c r="C87" s="328">
        <v>33.94</v>
      </c>
      <c r="D87" s="343" t="s">
        <v>221</v>
      </c>
      <c r="E87" s="36"/>
      <c r="H87" s="36"/>
      <c r="I87" s="36"/>
      <c r="J87" s="36"/>
      <c r="K87" s="36"/>
      <c r="L87" s="36"/>
      <c r="M87" s="36"/>
    </row>
    <row r="88" spans="1:13" ht="15.75">
      <c r="A88" s="37">
        <f t="shared" si="1"/>
        <v>83</v>
      </c>
      <c r="B88" s="311">
        <f t="shared" si="1"/>
        <v>83</v>
      </c>
      <c r="C88" s="328">
        <v>33.94</v>
      </c>
      <c r="D88" s="343" t="s">
        <v>221</v>
      </c>
      <c r="E88" s="36"/>
      <c r="H88" s="36"/>
      <c r="I88" s="36"/>
      <c r="J88" s="36"/>
      <c r="K88" s="36"/>
      <c r="L88" s="36"/>
      <c r="M88" s="36"/>
    </row>
    <row r="89" spans="1:13" ht="15.75">
      <c r="A89" s="37">
        <f t="shared" si="1"/>
        <v>84</v>
      </c>
      <c r="B89" s="311">
        <f t="shared" si="1"/>
        <v>84</v>
      </c>
      <c r="C89" s="328">
        <v>33.950000000000003</v>
      </c>
      <c r="D89" s="343" t="s">
        <v>221</v>
      </c>
      <c r="E89" s="36"/>
      <c r="H89" s="36"/>
      <c r="I89" s="36"/>
      <c r="J89" s="36"/>
      <c r="K89" s="36"/>
      <c r="L89" s="36"/>
      <c r="M89" s="36"/>
    </row>
    <row r="90" spans="1:13" ht="15.75">
      <c r="A90" s="37">
        <f t="shared" si="1"/>
        <v>85</v>
      </c>
      <c r="B90" s="311">
        <f t="shared" si="1"/>
        <v>85</v>
      </c>
      <c r="C90" s="328">
        <v>33.950000000000003</v>
      </c>
      <c r="D90" s="343" t="s">
        <v>221</v>
      </c>
      <c r="E90" s="36"/>
      <c r="H90" s="36"/>
      <c r="I90" s="36"/>
      <c r="J90" s="36"/>
      <c r="K90" s="36"/>
      <c r="L90" s="36"/>
      <c r="M90" s="36"/>
    </row>
    <row r="91" spans="1:13" ht="15.75">
      <c r="A91" s="37">
        <f t="shared" si="1"/>
        <v>86</v>
      </c>
      <c r="B91" s="311">
        <f t="shared" si="1"/>
        <v>86</v>
      </c>
      <c r="C91" s="328">
        <v>33.950000000000003</v>
      </c>
      <c r="D91" s="343" t="s">
        <v>221</v>
      </c>
      <c r="E91" s="36"/>
      <c r="F91" s="36"/>
      <c r="G91" s="36"/>
      <c r="H91" s="36"/>
      <c r="I91" s="36"/>
      <c r="J91" s="36"/>
      <c r="K91" s="36"/>
      <c r="L91" s="36"/>
      <c r="M91" s="36"/>
    </row>
    <row r="92" spans="1:13" ht="15.75">
      <c r="A92" s="37">
        <f t="shared" si="1"/>
        <v>87</v>
      </c>
      <c r="B92" s="311">
        <f t="shared" si="1"/>
        <v>87</v>
      </c>
      <c r="C92" s="328">
        <v>33.68</v>
      </c>
      <c r="D92" s="343" t="s">
        <v>221</v>
      </c>
      <c r="E92" s="36"/>
      <c r="F92" s="36"/>
      <c r="G92" s="36"/>
      <c r="H92" s="36"/>
      <c r="I92" s="36"/>
      <c r="J92" s="36"/>
      <c r="K92" s="36"/>
      <c r="L92" s="36"/>
      <c r="M92" s="36"/>
    </row>
    <row r="93" spans="1:13" ht="15.75">
      <c r="A93" s="37">
        <f t="shared" si="1"/>
        <v>88</v>
      </c>
      <c r="B93" s="311">
        <f t="shared" si="1"/>
        <v>88</v>
      </c>
      <c r="C93" s="328">
        <v>33.770000000000003</v>
      </c>
      <c r="D93" s="343" t="s">
        <v>221</v>
      </c>
      <c r="E93" s="36"/>
      <c r="F93" s="36"/>
      <c r="G93" s="36"/>
      <c r="H93" s="36"/>
      <c r="I93" s="36"/>
      <c r="J93" s="36"/>
      <c r="K93" s="36"/>
      <c r="L93" s="36"/>
      <c r="M93" s="36"/>
    </row>
    <row r="94" spans="1:13" ht="15.75">
      <c r="A94" s="37">
        <f t="shared" si="1"/>
        <v>89</v>
      </c>
      <c r="B94" s="311">
        <f t="shared" si="1"/>
        <v>89</v>
      </c>
      <c r="C94" s="328">
        <v>32.4</v>
      </c>
      <c r="D94" s="343" t="s">
        <v>221</v>
      </c>
      <c r="E94" s="36"/>
      <c r="F94" s="36"/>
      <c r="G94" s="36"/>
      <c r="H94" s="36"/>
      <c r="I94" s="36"/>
      <c r="J94" s="36"/>
      <c r="K94" s="36"/>
      <c r="L94" s="36"/>
      <c r="M94" s="36"/>
    </row>
    <row r="95" spans="1:13" ht="15.75">
      <c r="A95" s="37">
        <f t="shared" si="1"/>
        <v>90</v>
      </c>
      <c r="B95" s="311">
        <f t="shared" si="1"/>
        <v>90</v>
      </c>
      <c r="C95" s="328">
        <v>33.950000000000003</v>
      </c>
      <c r="D95" s="343" t="s">
        <v>221</v>
      </c>
      <c r="E95" s="36"/>
      <c r="F95" s="36"/>
      <c r="G95" s="36"/>
      <c r="H95" s="36"/>
      <c r="I95" s="36"/>
      <c r="J95" s="36"/>
      <c r="K95" s="36"/>
      <c r="L95" s="36"/>
      <c r="M95" s="36"/>
    </row>
    <row r="96" spans="1:13" ht="15.75">
      <c r="A96" s="37">
        <f t="shared" si="1"/>
        <v>91</v>
      </c>
      <c r="B96" s="311">
        <f t="shared" si="1"/>
        <v>91</v>
      </c>
      <c r="C96" s="328">
        <v>33.81</v>
      </c>
      <c r="D96" s="343" t="s">
        <v>221</v>
      </c>
      <c r="E96" s="36"/>
      <c r="F96" s="36"/>
      <c r="G96" s="36"/>
      <c r="H96" s="36"/>
      <c r="I96" s="36"/>
      <c r="J96" s="36"/>
      <c r="K96" s="36"/>
      <c r="L96" s="36"/>
      <c r="M96" s="36"/>
    </row>
    <row r="97" spans="1:13" ht="15.75">
      <c r="A97" s="37">
        <f t="shared" si="1"/>
        <v>92</v>
      </c>
      <c r="B97" s="311">
        <f t="shared" si="1"/>
        <v>92</v>
      </c>
      <c r="C97" s="328">
        <v>33.950000000000003</v>
      </c>
      <c r="D97" s="343" t="s">
        <v>221</v>
      </c>
      <c r="E97" s="36"/>
      <c r="F97" s="36"/>
      <c r="G97" s="36"/>
      <c r="H97" s="36"/>
      <c r="I97" s="36"/>
      <c r="J97" s="36"/>
      <c r="K97" s="36"/>
      <c r="L97" s="36"/>
      <c r="M97" s="36"/>
    </row>
    <row r="98" spans="1:13" ht="15.75">
      <c r="A98" s="37">
        <f t="shared" si="1"/>
        <v>93</v>
      </c>
      <c r="B98" s="311">
        <f t="shared" si="1"/>
        <v>93</v>
      </c>
      <c r="C98" s="328">
        <v>33.96</v>
      </c>
      <c r="D98" s="343" t="s">
        <v>221</v>
      </c>
      <c r="E98" s="36"/>
      <c r="F98" s="36"/>
      <c r="G98" s="36"/>
      <c r="H98" s="36"/>
      <c r="I98" s="36"/>
      <c r="J98" s="36"/>
      <c r="K98" s="36"/>
      <c r="L98" s="36"/>
      <c r="M98" s="36"/>
    </row>
    <row r="99" spans="1:13" ht="15.75">
      <c r="A99" s="37">
        <f t="shared" si="1"/>
        <v>94</v>
      </c>
      <c r="B99" s="311">
        <f t="shared" si="1"/>
        <v>94</v>
      </c>
      <c r="C99" s="328">
        <v>33.340000000000003</v>
      </c>
      <c r="D99" s="343" t="s">
        <v>221</v>
      </c>
      <c r="E99" s="36"/>
      <c r="F99" s="36"/>
      <c r="G99" s="36"/>
      <c r="H99" s="36"/>
      <c r="I99" s="36"/>
      <c r="J99" s="36"/>
      <c r="K99" s="36"/>
      <c r="L99" s="36"/>
      <c r="M99" s="36"/>
    </row>
    <row r="100" spans="1:13" ht="15.75">
      <c r="A100" s="37">
        <f t="shared" si="1"/>
        <v>95</v>
      </c>
      <c r="B100" s="311">
        <f t="shared" si="1"/>
        <v>95</v>
      </c>
      <c r="C100" s="328">
        <v>33.950000000000003</v>
      </c>
      <c r="D100" s="343" t="s">
        <v>221</v>
      </c>
      <c r="E100" s="36"/>
      <c r="F100" s="36"/>
      <c r="G100" s="36"/>
      <c r="H100" s="36"/>
      <c r="I100" s="36"/>
      <c r="J100" s="36"/>
      <c r="K100" s="36"/>
      <c r="L100" s="36"/>
      <c r="M100" s="36"/>
    </row>
    <row r="101" spans="1:13" ht="15.75">
      <c r="A101" s="37">
        <f t="shared" si="1"/>
        <v>96</v>
      </c>
      <c r="B101" s="311">
        <f t="shared" si="1"/>
        <v>96</v>
      </c>
      <c r="C101" s="328">
        <v>33.76</v>
      </c>
      <c r="D101" s="343" t="s">
        <v>221</v>
      </c>
      <c r="E101" s="36"/>
      <c r="F101" s="36"/>
      <c r="G101" s="36"/>
      <c r="H101" s="36"/>
      <c r="I101" s="36"/>
      <c r="J101" s="36"/>
      <c r="K101" s="36"/>
      <c r="L101" s="36"/>
      <c r="M101" s="36"/>
    </row>
    <row r="102" spans="1:13" ht="15.75">
      <c r="A102" s="37">
        <f t="shared" si="1"/>
        <v>97</v>
      </c>
      <c r="B102" s="311">
        <f t="shared" si="1"/>
        <v>97</v>
      </c>
      <c r="C102" s="328">
        <v>33.85</v>
      </c>
      <c r="D102" s="343" t="s">
        <v>221</v>
      </c>
      <c r="E102" s="36"/>
      <c r="F102" s="36"/>
      <c r="G102" s="36"/>
      <c r="H102" s="36"/>
      <c r="I102" s="36"/>
      <c r="J102" s="36"/>
      <c r="K102" s="36"/>
      <c r="L102" s="36"/>
      <c r="M102" s="36"/>
    </row>
    <row r="103" spans="1:13" ht="15.75">
      <c r="A103" s="37">
        <f t="shared" si="1"/>
        <v>98</v>
      </c>
      <c r="B103" s="311">
        <f t="shared" si="1"/>
        <v>98</v>
      </c>
      <c r="C103" s="328">
        <v>33.729999999999997</v>
      </c>
      <c r="D103" s="343" t="s">
        <v>221</v>
      </c>
      <c r="E103" s="36"/>
      <c r="F103" s="36"/>
      <c r="G103" s="36"/>
      <c r="H103" s="36"/>
      <c r="I103" s="36"/>
      <c r="J103" s="36"/>
      <c r="K103" s="36"/>
      <c r="L103" s="36"/>
      <c r="M103" s="36"/>
    </row>
    <row r="104" spans="1:13" ht="15.75">
      <c r="A104" s="37">
        <f t="shared" si="1"/>
        <v>99</v>
      </c>
      <c r="B104" s="311">
        <f t="shared" si="1"/>
        <v>99</v>
      </c>
      <c r="C104" s="328">
        <v>33.93</v>
      </c>
      <c r="D104" s="343" t="s">
        <v>221</v>
      </c>
      <c r="E104" s="36"/>
      <c r="F104" s="36"/>
      <c r="G104" s="36"/>
      <c r="H104" s="36"/>
      <c r="I104" s="36"/>
      <c r="J104" s="36"/>
      <c r="K104" s="36"/>
      <c r="L104" s="36"/>
      <c r="M104" s="36"/>
    </row>
    <row r="105" spans="1:13" ht="15.75">
      <c r="A105" s="37">
        <f t="shared" si="1"/>
        <v>100</v>
      </c>
      <c r="B105" s="311">
        <f t="shared" si="1"/>
        <v>100</v>
      </c>
      <c r="C105" s="328">
        <v>33.93</v>
      </c>
      <c r="D105" s="343" t="s">
        <v>221</v>
      </c>
      <c r="E105" s="36"/>
      <c r="F105" s="36"/>
      <c r="G105" s="36"/>
      <c r="H105" s="36"/>
      <c r="I105" s="36"/>
      <c r="J105" s="36"/>
      <c r="K105" s="36"/>
      <c r="L105" s="36"/>
      <c r="M105" s="36"/>
    </row>
    <row r="106" spans="1:13" ht="15.75">
      <c r="A106" s="37">
        <f t="shared" si="1"/>
        <v>101</v>
      </c>
      <c r="B106" s="311">
        <f t="shared" si="1"/>
        <v>101</v>
      </c>
      <c r="C106" s="328">
        <v>33.93</v>
      </c>
      <c r="D106" s="343" t="s">
        <v>221</v>
      </c>
      <c r="E106" s="36"/>
      <c r="F106" s="36"/>
      <c r="G106" s="36"/>
      <c r="H106" s="36"/>
      <c r="I106" s="36"/>
      <c r="J106" s="36"/>
      <c r="K106" s="36"/>
      <c r="L106" s="36"/>
      <c r="M106" s="36"/>
    </row>
    <row r="107" spans="1:13" ht="15.75">
      <c r="A107" s="37">
        <f t="shared" si="1"/>
        <v>102</v>
      </c>
      <c r="B107" s="311">
        <f t="shared" si="1"/>
        <v>102</v>
      </c>
      <c r="C107" s="329">
        <v>33.369999999999997</v>
      </c>
      <c r="D107" s="343" t="s">
        <v>221</v>
      </c>
      <c r="E107" s="36"/>
      <c r="F107" s="36"/>
      <c r="G107" s="36"/>
      <c r="H107" s="36"/>
      <c r="I107" s="36"/>
      <c r="J107" s="36"/>
      <c r="K107" s="36"/>
      <c r="L107" s="36"/>
      <c r="M107" s="36"/>
    </row>
    <row r="108" spans="1:13" ht="15.75">
      <c r="A108" s="37">
        <f t="shared" si="1"/>
        <v>103</v>
      </c>
      <c r="B108" s="311">
        <f t="shared" si="1"/>
        <v>103</v>
      </c>
      <c r="C108" s="328">
        <v>33.96</v>
      </c>
      <c r="D108" s="343" t="s">
        <v>221</v>
      </c>
      <c r="E108" s="36"/>
      <c r="F108" s="36"/>
      <c r="G108" s="36"/>
      <c r="H108" s="36"/>
      <c r="I108" s="36"/>
      <c r="J108" s="36"/>
      <c r="K108" s="36"/>
      <c r="L108" s="36"/>
      <c r="M108" s="36"/>
    </row>
    <row r="109" spans="1:13" ht="15.75">
      <c r="A109" s="37">
        <f t="shared" si="1"/>
        <v>104</v>
      </c>
      <c r="B109" s="311">
        <f t="shared" si="1"/>
        <v>104</v>
      </c>
      <c r="C109" s="328">
        <v>31.93</v>
      </c>
      <c r="D109" s="343" t="s">
        <v>221</v>
      </c>
      <c r="E109" s="36"/>
      <c r="F109" s="36"/>
      <c r="G109" s="36"/>
      <c r="H109" s="36"/>
      <c r="I109" s="36"/>
      <c r="J109" s="36"/>
      <c r="K109" s="36"/>
      <c r="L109" s="36"/>
      <c r="M109" s="36"/>
    </row>
    <row r="110" spans="1:13" ht="15.75">
      <c r="A110" s="37">
        <f t="shared" si="1"/>
        <v>105</v>
      </c>
      <c r="B110" s="311">
        <f t="shared" si="1"/>
        <v>105</v>
      </c>
      <c r="C110" s="328">
        <v>33.950000000000003</v>
      </c>
      <c r="D110" s="343" t="s">
        <v>221</v>
      </c>
      <c r="E110" s="36"/>
      <c r="F110" s="36"/>
      <c r="G110" s="36"/>
      <c r="H110" s="36"/>
      <c r="I110" s="36"/>
      <c r="J110" s="36"/>
      <c r="K110" s="36"/>
      <c r="L110" s="36"/>
      <c r="M110" s="36"/>
    </row>
    <row r="111" spans="1:13" ht="15.75">
      <c r="A111" s="37">
        <f t="shared" si="1"/>
        <v>106</v>
      </c>
      <c r="B111" s="311">
        <f t="shared" si="1"/>
        <v>106</v>
      </c>
      <c r="C111" s="328">
        <v>33.96</v>
      </c>
      <c r="D111" s="343" t="s">
        <v>221</v>
      </c>
      <c r="E111" s="36"/>
      <c r="F111" s="36"/>
      <c r="G111" s="36"/>
      <c r="H111" s="36"/>
      <c r="I111" s="36"/>
      <c r="J111" s="36"/>
      <c r="K111" s="36"/>
      <c r="L111" s="36"/>
      <c r="M111" s="36"/>
    </row>
    <row r="112" spans="1:13" ht="15.75">
      <c r="A112" s="37">
        <f t="shared" si="1"/>
        <v>107</v>
      </c>
      <c r="B112" s="311">
        <f t="shared" si="1"/>
        <v>107</v>
      </c>
      <c r="C112" s="328">
        <v>33.96</v>
      </c>
      <c r="D112" s="343" t="s">
        <v>221</v>
      </c>
      <c r="E112" s="36"/>
      <c r="F112" s="36"/>
      <c r="G112" s="36"/>
      <c r="H112" s="36"/>
      <c r="I112" s="36"/>
      <c r="J112" s="36"/>
      <c r="K112" s="36"/>
      <c r="L112" s="36"/>
      <c r="M112" s="36"/>
    </row>
    <row r="113" spans="1:13" ht="15.75">
      <c r="A113" s="37">
        <f t="shared" si="1"/>
        <v>108</v>
      </c>
      <c r="B113" s="311">
        <f t="shared" si="1"/>
        <v>108</v>
      </c>
      <c r="C113" s="328">
        <v>33.96</v>
      </c>
      <c r="D113" s="343" t="s">
        <v>221</v>
      </c>
      <c r="E113" s="36"/>
      <c r="F113" s="36"/>
      <c r="G113" s="36"/>
      <c r="H113" s="36"/>
      <c r="I113" s="36"/>
      <c r="J113" s="36"/>
      <c r="K113" s="36"/>
      <c r="L113" s="36"/>
      <c r="M113" s="36"/>
    </row>
    <row r="114" spans="1:13" ht="15.75">
      <c r="A114" s="37">
        <f t="shared" si="1"/>
        <v>109</v>
      </c>
      <c r="B114" s="311">
        <f t="shared" si="1"/>
        <v>109</v>
      </c>
      <c r="C114" s="328">
        <v>33.950000000000003</v>
      </c>
      <c r="D114" s="343" t="s">
        <v>221</v>
      </c>
      <c r="E114" s="36"/>
      <c r="F114" s="36"/>
      <c r="G114" s="36"/>
      <c r="H114" s="36"/>
      <c r="I114" s="36"/>
      <c r="J114" s="36"/>
      <c r="K114" s="36"/>
      <c r="L114" s="36"/>
      <c r="M114" s="36"/>
    </row>
    <row r="115" spans="1:13" ht="15.75">
      <c r="A115" s="37">
        <f t="shared" si="1"/>
        <v>110</v>
      </c>
      <c r="B115" s="311">
        <f t="shared" si="1"/>
        <v>110</v>
      </c>
      <c r="C115" s="328">
        <v>33.96</v>
      </c>
      <c r="D115" s="343" t="s">
        <v>221</v>
      </c>
      <c r="E115" s="36"/>
      <c r="F115" s="36"/>
      <c r="G115" s="36"/>
      <c r="H115" s="36"/>
      <c r="I115" s="36"/>
      <c r="J115" s="36"/>
      <c r="K115" s="36"/>
      <c r="L115" s="36"/>
      <c r="M115" s="36"/>
    </row>
    <row r="116" spans="1:13" ht="15.75">
      <c r="A116" s="37">
        <f t="shared" si="1"/>
        <v>111</v>
      </c>
      <c r="B116" s="311">
        <f t="shared" si="1"/>
        <v>111</v>
      </c>
      <c r="C116" s="328">
        <v>33.96</v>
      </c>
      <c r="D116" s="343" t="s">
        <v>221</v>
      </c>
      <c r="E116" s="36"/>
      <c r="F116" s="36"/>
      <c r="G116" s="36"/>
      <c r="H116" s="36"/>
      <c r="I116" s="36"/>
      <c r="J116" s="36"/>
      <c r="K116" s="36"/>
      <c r="L116" s="36"/>
      <c r="M116" s="36"/>
    </row>
    <row r="117" spans="1:13" ht="15.75">
      <c r="A117" s="37">
        <f t="shared" si="1"/>
        <v>112</v>
      </c>
      <c r="B117" s="311">
        <f t="shared" si="1"/>
        <v>112</v>
      </c>
      <c r="C117" s="328">
        <v>33.909999999999997</v>
      </c>
      <c r="D117" s="343" t="s">
        <v>221</v>
      </c>
      <c r="E117" s="36"/>
      <c r="F117" s="36"/>
      <c r="G117" s="36"/>
      <c r="H117" s="36"/>
      <c r="I117" s="36"/>
      <c r="J117" s="36"/>
      <c r="K117" s="36"/>
      <c r="L117" s="36"/>
      <c r="M117" s="36"/>
    </row>
    <row r="118" spans="1:13" ht="15.75">
      <c r="A118" s="37">
        <f t="shared" si="1"/>
        <v>113</v>
      </c>
      <c r="B118" s="311">
        <f t="shared" si="1"/>
        <v>113</v>
      </c>
      <c r="C118" s="328">
        <v>33.4</v>
      </c>
      <c r="D118" s="343" t="s">
        <v>221</v>
      </c>
      <c r="E118" s="36"/>
      <c r="F118" s="36"/>
      <c r="G118" s="36"/>
      <c r="H118" s="36"/>
      <c r="I118" s="36"/>
      <c r="J118" s="36"/>
      <c r="K118" s="36"/>
      <c r="L118" s="36"/>
      <c r="M118" s="36"/>
    </row>
    <row r="119" spans="1:13" ht="15.75">
      <c r="A119" s="37">
        <f t="shared" si="1"/>
        <v>114</v>
      </c>
      <c r="B119" s="311">
        <f t="shared" si="1"/>
        <v>114</v>
      </c>
      <c r="C119" s="328">
        <v>33.96</v>
      </c>
      <c r="D119" s="343" t="s">
        <v>221</v>
      </c>
      <c r="E119" s="36"/>
      <c r="F119" s="36"/>
      <c r="G119" s="36"/>
      <c r="H119" s="36"/>
      <c r="I119" s="36"/>
      <c r="J119" s="36"/>
      <c r="K119" s="36"/>
      <c r="L119" s="36"/>
      <c r="M119" s="36"/>
    </row>
    <row r="120" spans="1:13" ht="15.75">
      <c r="A120" s="37">
        <f t="shared" si="1"/>
        <v>115</v>
      </c>
      <c r="B120" s="311">
        <f t="shared" si="1"/>
        <v>115</v>
      </c>
      <c r="C120" s="328">
        <v>33.96</v>
      </c>
      <c r="D120" s="343" t="s">
        <v>221</v>
      </c>
      <c r="E120" s="36"/>
      <c r="F120" s="36"/>
      <c r="G120" s="36"/>
      <c r="H120" s="36"/>
      <c r="I120" s="36"/>
      <c r="J120" s="36"/>
      <c r="K120" s="36"/>
      <c r="L120" s="36"/>
      <c r="M120" s="36"/>
    </row>
    <row r="121" spans="1:13" ht="15.75">
      <c r="A121" s="37">
        <f t="shared" si="1"/>
        <v>116</v>
      </c>
      <c r="B121" s="311">
        <f t="shared" si="1"/>
        <v>116</v>
      </c>
      <c r="C121" s="328">
        <v>33.22</v>
      </c>
      <c r="D121" s="343" t="s">
        <v>221</v>
      </c>
      <c r="E121" s="36"/>
      <c r="F121" s="36"/>
      <c r="G121" s="36"/>
      <c r="H121" s="36"/>
      <c r="I121" s="36"/>
      <c r="J121" s="36"/>
      <c r="K121" s="36"/>
      <c r="L121" s="36"/>
      <c r="M121" s="36"/>
    </row>
    <row r="122" spans="1:13" ht="15.75">
      <c r="A122" s="37">
        <f t="shared" si="1"/>
        <v>117</v>
      </c>
      <c r="B122" s="311">
        <f t="shared" si="1"/>
        <v>117</v>
      </c>
      <c r="C122" s="328">
        <v>33.97</v>
      </c>
      <c r="D122" s="343" t="s">
        <v>221</v>
      </c>
      <c r="E122" s="36"/>
      <c r="F122" s="36"/>
      <c r="G122" s="36"/>
      <c r="H122" s="36"/>
      <c r="I122" s="36"/>
      <c r="J122" s="36"/>
      <c r="K122" s="36"/>
      <c r="L122" s="36"/>
      <c r="M122" s="36"/>
    </row>
    <row r="123" spans="1:13" ht="15.75">
      <c r="A123" s="37">
        <f t="shared" si="1"/>
        <v>118</v>
      </c>
      <c r="B123" s="311">
        <f t="shared" si="1"/>
        <v>118</v>
      </c>
      <c r="C123" s="328">
        <v>33.96</v>
      </c>
      <c r="D123" s="343" t="s">
        <v>221</v>
      </c>
      <c r="E123" s="36"/>
      <c r="F123" s="36"/>
      <c r="G123" s="36"/>
      <c r="H123" s="36"/>
      <c r="I123" s="36"/>
      <c r="J123" s="36"/>
      <c r="K123" s="36"/>
      <c r="L123" s="36"/>
      <c r="M123" s="36"/>
    </row>
    <row r="124" spans="1:13" ht="15.75">
      <c r="A124" s="37">
        <f t="shared" si="1"/>
        <v>119</v>
      </c>
      <c r="B124" s="311">
        <f t="shared" si="1"/>
        <v>119</v>
      </c>
      <c r="C124" s="328">
        <v>32.51</v>
      </c>
      <c r="D124" s="343" t="s">
        <v>221</v>
      </c>
      <c r="E124" s="36"/>
      <c r="F124" s="36"/>
      <c r="G124" s="36"/>
      <c r="H124" s="36"/>
      <c r="I124" s="36"/>
      <c r="J124" s="36"/>
      <c r="K124" s="36"/>
      <c r="L124" s="36"/>
      <c r="M124" s="36"/>
    </row>
    <row r="125" spans="1:13" ht="15.75">
      <c r="A125" s="37">
        <f t="shared" si="1"/>
        <v>120</v>
      </c>
      <c r="B125" s="311">
        <f t="shared" si="1"/>
        <v>120</v>
      </c>
      <c r="C125" s="328">
        <v>33.94</v>
      </c>
      <c r="D125" s="343" t="s">
        <v>221</v>
      </c>
      <c r="E125" s="36"/>
      <c r="F125" s="36"/>
      <c r="G125" s="36"/>
      <c r="H125" s="36"/>
      <c r="I125" s="36"/>
      <c r="J125" s="36"/>
      <c r="K125" s="36"/>
      <c r="L125" s="36"/>
      <c r="M125" s="36"/>
    </row>
    <row r="126" spans="1:13" ht="15.75">
      <c r="A126" s="37">
        <f t="shared" si="1"/>
        <v>121</v>
      </c>
      <c r="B126" s="311">
        <f t="shared" si="1"/>
        <v>121</v>
      </c>
      <c r="C126" s="328">
        <v>32.44</v>
      </c>
      <c r="D126" s="343" t="s">
        <v>221</v>
      </c>
      <c r="E126" s="36"/>
      <c r="F126" s="36"/>
      <c r="G126" s="36"/>
      <c r="H126" s="36"/>
      <c r="I126" s="36"/>
      <c r="J126" s="36"/>
      <c r="K126" s="36"/>
      <c r="L126" s="36"/>
      <c r="M126" s="36"/>
    </row>
    <row r="127" spans="1:13" ht="15.75">
      <c r="A127" s="37">
        <f t="shared" si="1"/>
        <v>122</v>
      </c>
      <c r="B127" s="311">
        <f t="shared" si="1"/>
        <v>122</v>
      </c>
      <c r="C127" s="328">
        <v>33.950000000000003</v>
      </c>
      <c r="D127" s="343" t="s">
        <v>221</v>
      </c>
      <c r="E127" s="36"/>
      <c r="F127" s="36"/>
      <c r="G127" s="36"/>
      <c r="H127" s="36"/>
      <c r="I127" s="36"/>
      <c r="J127" s="36"/>
      <c r="K127" s="36"/>
      <c r="L127" s="36"/>
      <c r="M127" s="36"/>
    </row>
    <row r="128" spans="1:13" ht="15.75">
      <c r="A128" s="37">
        <f t="shared" si="1"/>
        <v>123</v>
      </c>
      <c r="B128" s="311">
        <f t="shared" si="1"/>
        <v>123</v>
      </c>
      <c r="C128" s="328">
        <v>33.950000000000003</v>
      </c>
      <c r="D128" s="343" t="s">
        <v>221</v>
      </c>
      <c r="E128" s="36"/>
      <c r="F128" s="36"/>
      <c r="G128" s="36"/>
      <c r="H128" s="36"/>
      <c r="I128" s="36"/>
      <c r="J128" s="36"/>
      <c r="K128" s="36"/>
      <c r="L128" s="36"/>
      <c r="M128" s="36"/>
    </row>
    <row r="129" spans="1:13" ht="15.75">
      <c r="A129" s="37">
        <f t="shared" si="1"/>
        <v>124</v>
      </c>
      <c r="B129" s="311">
        <f t="shared" si="1"/>
        <v>124</v>
      </c>
      <c r="C129" s="328">
        <v>33.950000000000003</v>
      </c>
      <c r="D129" s="343" t="s">
        <v>221</v>
      </c>
      <c r="E129" s="36"/>
      <c r="F129" s="36"/>
      <c r="G129" s="36"/>
      <c r="H129" s="36"/>
      <c r="I129" s="36"/>
      <c r="J129" s="36"/>
      <c r="K129" s="36"/>
      <c r="L129" s="36"/>
      <c r="M129" s="36"/>
    </row>
    <row r="130" spans="1:13" ht="15.75">
      <c r="A130" s="37">
        <f t="shared" si="1"/>
        <v>125</v>
      </c>
      <c r="B130" s="311">
        <f t="shared" si="1"/>
        <v>125</v>
      </c>
      <c r="C130" s="328">
        <v>33.950000000000003</v>
      </c>
      <c r="D130" s="343" t="s">
        <v>221</v>
      </c>
      <c r="E130" s="36"/>
      <c r="F130" s="36"/>
      <c r="G130" s="36"/>
      <c r="H130" s="36"/>
      <c r="I130" s="36"/>
      <c r="J130" s="36"/>
      <c r="K130" s="36"/>
      <c r="L130" s="36"/>
      <c r="M130" s="36"/>
    </row>
    <row r="131" spans="1:13" ht="15.75">
      <c r="A131" s="37">
        <f t="shared" si="1"/>
        <v>126</v>
      </c>
      <c r="B131" s="311">
        <f t="shared" si="1"/>
        <v>126</v>
      </c>
      <c r="C131" s="328">
        <v>33.950000000000003</v>
      </c>
      <c r="D131" s="343" t="s">
        <v>221</v>
      </c>
      <c r="E131" s="36"/>
      <c r="F131" s="36"/>
      <c r="G131" s="36"/>
      <c r="H131" s="36"/>
      <c r="I131" s="36"/>
      <c r="J131" s="36"/>
      <c r="K131" s="36"/>
      <c r="L131" s="36"/>
      <c r="M131" s="36"/>
    </row>
    <row r="132" spans="1:13" ht="15.75">
      <c r="A132" s="37">
        <f t="shared" si="1"/>
        <v>127</v>
      </c>
      <c r="B132" s="311">
        <f t="shared" si="1"/>
        <v>127</v>
      </c>
      <c r="C132" s="328">
        <v>33.94</v>
      </c>
      <c r="D132" s="343" t="s">
        <v>221</v>
      </c>
      <c r="E132" s="36"/>
      <c r="F132" s="36"/>
      <c r="G132" s="36"/>
      <c r="H132" s="36"/>
      <c r="I132" s="36"/>
      <c r="J132" s="36"/>
      <c r="K132" s="36"/>
      <c r="L132" s="36"/>
      <c r="M132" s="36"/>
    </row>
    <row r="133" spans="1:13" ht="15.75">
      <c r="A133" s="37">
        <f t="shared" si="1"/>
        <v>128</v>
      </c>
      <c r="B133" s="311">
        <f t="shared" si="1"/>
        <v>128</v>
      </c>
      <c r="C133" s="328">
        <v>33.94</v>
      </c>
      <c r="D133" s="343" t="s">
        <v>221</v>
      </c>
      <c r="E133" s="36"/>
      <c r="F133" s="36"/>
      <c r="G133" s="36"/>
      <c r="H133" s="36"/>
      <c r="I133" s="36"/>
      <c r="J133" s="36"/>
      <c r="K133" s="36"/>
      <c r="L133" s="36"/>
      <c r="M133" s="36"/>
    </row>
    <row r="134" spans="1:13" ht="15.75">
      <c r="A134" s="37">
        <f t="shared" si="1"/>
        <v>129</v>
      </c>
      <c r="B134" s="311">
        <f t="shared" si="1"/>
        <v>129</v>
      </c>
      <c r="C134" s="328">
        <v>33.82</v>
      </c>
      <c r="D134" s="343" t="s">
        <v>221</v>
      </c>
      <c r="E134" s="36"/>
      <c r="F134" s="36"/>
      <c r="G134" s="36"/>
      <c r="H134" s="36"/>
      <c r="I134" s="36"/>
      <c r="J134" s="36"/>
      <c r="K134" s="36"/>
      <c r="L134" s="36"/>
      <c r="M134" s="36"/>
    </row>
    <row r="135" spans="1:13" ht="15.75">
      <c r="A135" s="37">
        <f t="shared" si="1"/>
        <v>130</v>
      </c>
      <c r="B135" s="311">
        <f t="shared" si="1"/>
        <v>130</v>
      </c>
      <c r="C135" s="328">
        <v>32</v>
      </c>
      <c r="D135" s="343" t="s">
        <v>221</v>
      </c>
      <c r="E135" s="36"/>
      <c r="F135" s="36"/>
      <c r="G135" s="36"/>
      <c r="H135" s="36"/>
      <c r="I135" s="36"/>
      <c r="J135" s="36"/>
      <c r="K135" s="36"/>
      <c r="L135" s="36"/>
      <c r="M135" s="36"/>
    </row>
    <row r="136" spans="1:13" ht="15.75">
      <c r="A136" s="37">
        <f t="shared" ref="A136:B199" si="2">A135+1</f>
        <v>131</v>
      </c>
      <c r="B136" s="311">
        <f t="shared" si="2"/>
        <v>131</v>
      </c>
      <c r="C136" s="328">
        <v>33.96</v>
      </c>
      <c r="D136" s="343" t="s">
        <v>221</v>
      </c>
      <c r="E136" s="36"/>
      <c r="F136" s="36"/>
      <c r="G136" s="36"/>
      <c r="H136" s="36"/>
      <c r="I136" s="36"/>
      <c r="J136" s="36"/>
      <c r="K136" s="36"/>
      <c r="L136" s="36"/>
      <c r="M136" s="36"/>
    </row>
    <row r="137" spans="1:13" ht="15.75">
      <c r="A137" s="37">
        <f t="shared" si="2"/>
        <v>132</v>
      </c>
      <c r="B137" s="311">
        <f t="shared" si="2"/>
        <v>132</v>
      </c>
      <c r="C137" s="328">
        <v>33.96</v>
      </c>
      <c r="D137" s="343" t="s">
        <v>221</v>
      </c>
      <c r="E137" s="36"/>
      <c r="F137" s="36"/>
      <c r="G137" s="36"/>
      <c r="H137" s="36"/>
      <c r="I137" s="36"/>
      <c r="J137" s="36"/>
      <c r="K137" s="36"/>
      <c r="L137" s="36"/>
      <c r="M137" s="36"/>
    </row>
    <row r="138" spans="1:13" ht="15.75">
      <c r="A138" s="37">
        <f t="shared" si="2"/>
        <v>133</v>
      </c>
      <c r="B138" s="311">
        <f t="shared" si="2"/>
        <v>133</v>
      </c>
      <c r="C138" s="328">
        <v>33.96</v>
      </c>
      <c r="D138" s="343" t="s">
        <v>221</v>
      </c>
      <c r="E138" s="36"/>
      <c r="F138" s="36"/>
      <c r="G138" s="36"/>
      <c r="H138" s="36"/>
      <c r="I138" s="36"/>
      <c r="J138" s="36"/>
      <c r="K138" s="36"/>
      <c r="L138" s="36"/>
      <c r="M138" s="36"/>
    </row>
    <row r="139" spans="1:13" ht="15.75">
      <c r="A139" s="37">
        <f t="shared" si="2"/>
        <v>134</v>
      </c>
      <c r="B139" s="311">
        <f t="shared" si="2"/>
        <v>134</v>
      </c>
      <c r="C139" s="328">
        <v>33.96</v>
      </c>
      <c r="D139" s="343" t="s">
        <v>221</v>
      </c>
      <c r="E139" s="36"/>
      <c r="F139" s="36"/>
      <c r="G139" s="36"/>
      <c r="H139" s="36"/>
      <c r="I139" s="36"/>
      <c r="J139" s="36"/>
      <c r="K139" s="36"/>
      <c r="L139" s="36"/>
      <c r="M139" s="36"/>
    </row>
    <row r="140" spans="1:13" ht="15.75">
      <c r="A140" s="37">
        <f t="shared" si="2"/>
        <v>135</v>
      </c>
      <c r="B140" s="311">
        <f t="shared" si="2"/>
        <v>135</v>
      </c>
      <c r="C140" s="328">
        <v>33.950000000000003</v>
      </c>
      <c r="D140" s="343" t="s">
        <v>221</v>
      </c>
      <c r="E140" s="36"/>
      <c r="F140" s="36"/>
      <c r="G140" s="36"/>
      <c r="H140" s="36"/>
      <c r="I140" s="36"/>
      <c r="J140" s="36"/>
      <c r="K140" s="36"/>
      <c r="L140" s="36"/>
      <c r="M140" s="36"/>
    </row>
    <row r="141" spans="1:13" ht="15.75">
      <c r="A141" s="37">
        <f t="shared" si="2"/>
        <v>136</v>
      </c>
      <c r="B141" s="311">
        <f t="shared" si="2"/>
        <v>136</v>
      </c>
      <c r="C141" s="328">
        <v>33.53</v>
      </c>
      <c r="D141" s="343" t="s">
        <v>221</v>
      </c>
      <c r="E141" s="36"/>
      <c r="F141" s="36"/>
      <c r="G141" s="36"/>
      <c r="H141" s="36"/>
      <c r="I141" s="36"/>
      <c r="J141" s="36"/>
      <c r="K141" s="36"/>
      <c r="L141" s="36"/>
      <c r="M141" s="36"/>
    </row>
    <row r="142" spans="1:13" ht="15.75">
      <c r="A142" s="37">
        <f t="shared" si="2"/>
        <v>137</v>
      </c>
      <c r="B142" s="311">
        <f t="shared" si="2"/>
        <v>137</v>
      </c>
      <c r="C142" s="328">
        <v>33.96</v>
      </c>
      <c r="D142" s="343" t="s">
        <v>221</v>
      </c>
      <c r="E142" s="36"/>
      <c r="F142" s="36"/>
      <c r="G142" s="36"/>
      <c r="H142" s="36"/>
      <c r="I142" s="36"/>
      <c r="J142" s="36"/>
      <c r="K142" s="36"/>
      <c r="L142" s="36"/>
      <c r="M142" s="36"/>
    </row>
    <row r="143" spans="1:13" ht="15.75">
      <c r="A143" s="37">
        <f t="shared" si="2"/>
        <v>138</v>
      </c>
      <c r="B143" s="311">
        <f t="shared" si="2"/>
        <v>138</v>
      </c>
      <c r="C143" s="328">
        <v>33.96</v>
      </c>
      <c r="D143" s="343" t="s">
        <v>221</v>
      </c>
      <c r="E143" s="36"/>
      <c r="F143" s="36"/>
      <c r="G143" s="36"/>
      <c r="H143" s="36"/>
      <c r="I143" s="36"/>
      <c r="J143" s="36"/>
      <c r="K143" s="36"/>
      <c r="L143" s="36"/>
      <c r="M143" s="36"/>
    </row>
    <row r="144" spans="1:13" ht="15.75">
      <c r="A144" s="37">
        <f t="shared" si="2"/>
        <v>139</v>
      </c>
      <c r="B144" s="311">
        <f t="shared" si="2"/>
        <v>139</v>
      </c>
      <c r="C144" s="328">
        <v>33.96</v>
      </c>
      <c r="D144" s="343" t="s">
        <v>221</v>
      </c>
      <c r="E144" s="36"/>
      <c r="F144" s="36"/>
      <c r="G144" s="36"/>
      <c r="H144" s="36"/>
      <c r="I144" s="36"/>
      <c r="J144" s="36"/>
      <c r="K144" s="36"/>
      <c r="L144" s="36"/>
      <c r="M144" s="36"/>
    </row>
    <row r="145" spans="1:13" ht="15.75">
      <c r="A145" s="37">
        <f t="shared" si="2"/>
        <v>140</v>
      </c>
      <c r="B145" s="311">
        <f t="shared" si="2"/>
        <v>140</v>
      </c>
      <c r="C145" s="328">
        <v>33.96</v>
      </c>
      <c r="D145" s="343" t="s">
        <v>221</v>
      </c>
      <c r="E145" s="36"/>
      <c r="F145" s="36"/>
      <c r="G145" s="36"/>
      <c r="H145" s="36"/>
      <c r="I145" s="36"/>
      <c r="J145" s="36"/>
      <c r="K145" s="36"/>
      <c r="L145" s="36"/>
      <c r="M145" s="36"/>
    </row>
    <row r="146" spans="1:13" ht="15.75">
      <c r="A146" s="37">
        <f t="shared" si="2"/>
        <v>141</v>
      </c>
      <c r="B146" s="311">
        <f t="shared" si="2"/>
        <v>141</v>
      </c>
      <c r="C146" s="328">
        <v>33.56</v>
      </c>
      <c r="D146" s="343" t="s">
        <v>221</v>
      </c>
      <c r="E146" s="36"/>
      <c r="F146" s="36"/>
      <c r="G146" s="36"/>
      <c r="H146" s="36"/>
      <c r="I146" s="36"/>
      <c r="J146" s="36"/>
      <c r="K146" s="36"/>
      <c r="L146" s="36"/>
      <c r="M146" s="36"/>
    </row>
    <row r="147" spans="1:13" ht="15.75">
      <c r="A147" s="37">
        <f t="shared" si="2"/>
        <v>142</v>
      </c>
      <c r="B147" s="311">
        <f t="shared" si="2"/>
        <v>142</v>
      </c>
      <c r="C147" s="328">
        <v>33.549999999999997</v>
      </c>
      <c r="D147" s="343" t="s">
        <v>221</v>
      </c>
      <c r="E147" s="36"/>
      <c r="F147" s="36"/>
      <c r="G147" s="36"/>
      <c r="H147" s="36"/>
      <c r="I147" s="36"/>
      <c r="J147" s="36"/>
      <c r="K147" s="36"/>
      <c r="L147" s="36"/>
      <c r="M147" s="36"/>
    </row>
    <row r="148" spans="1:13" ht="15.75">
      <c r="A148" s="37">
        <f t="shared" si="2"/>
        <v>143</v>
      </c>
      <c r="B148" s="311">
        <f t="shared" si="2"/>
        <v>143</v>
      </c>
      <c r="C148" s="328">
        <v>33.9</v>
      </c>
      <c r="D148" s="343" t="s">
        <v>221</v>
      </c>
      <c r="E148" s="36"/>
      <c r="F148" s="36"/>
      <c r="G148" s="36"/>
      <c r="H148" s="36"/>
      <c r="I148" s="36"/>
      <c r="J148" s="36"/>
      <c r="K148" s="36"/>
      <c r="L148" s="36"/>
      <c r="M148" s="36"/>
    </row>
    <row r="149" spans="1:13" ht="15.75">
      <c r="A149" s="37">
        <f t="shared" si="2"/>
        <v>144</v>
      </c>
      <c r="B149" s="311">
        <f t="shared" si="2"/>
        <v>144</v>
      </c>
      <c r="C149" s="328">
        <v>33.64</v>
      </c>
      <c r="D149" s="343" t="s">
        <v>221</v>
      </c>
      <c r="E149" s="36"/>
      <c r="F149" s="36"/>
      <c r="G149" s="36"/>
      <c r="H149" s="36"/>
      <c r="I149" s="36"/>
      <c r="J149" s="36"/>
      <c r="K149" s="36"/>
      <c r="L149" s="36"/>
      <c r="M149" s="36"/>
    </row>
    <row r="150" spans="1:13" ht="15.75">
      <c r="A150" s="37"/>
      <c r="B150" s="311">
        <f t="shared" si="2"/>
        <v>145</v>
      </c>
      <c r="C150" s="328">
        <v>33.380000000000003</v>
      </c>
      <c r="D150" s="343" t="s">
        <v>221</v>
      </c>
      <c r="E150" s="36"/>
      <c r="F150" s="36"/>
      <c r="G150" s="36"/>
      <c r="H150" s="36"/>
      <c r="I150" s="36"/>
      <c r="J150" s="36"/>
      <c r="K150" s="36"/>
      <c r="L150" s="36"/>
      <c r="M150" s="36"/>
    </row>
    <row r="151" spans="1:13" ht="23.1" customHeight="1">
      <c r="A151" s="37">
        <f>A149+1</f>
        <v>145</v>
      </c>
      <c r="B151" s="311">
        <f t="shared" ref="B151" si="3">B150+1</f>
        <v>146</v>
      </c>
      <c r="C151" s="236">
        <v>33.94</v>
      </c>
      <c r="D151" s="343" t="s">
        <v>221</v>
      </c>
      <c r="E151" s="36"/>
      <c r="F151" s="36"/>
      <c r="G151" s="36"/>
      <c r="H151" s="36"/>
      <c r="I151" s="36"/>
      <c r="J151" s="36"/>
      <c r="K151" s="36"/>
      <c r="L151" s="36"/>
      <c r="M151" s="36"/>
    </row>
    <row r="152" spans="1:13" ht="23.1" customHeight="1">
      <c r="A152" s="37">
        <f t="shared" si="2"/>
        <v>146</v>
      </c>
      <c r="B152" s="311">
        <f t="shared" ref="B152" si="4">B151+1</f>
        <v>147</v>
      </c>
      <c r="C152" s="236">
        <v>33.75</v>
      </c>
      <c r="D152" s="343" t="s">
        <v>221</v>
      </c>
      <c r="E152" s="36"/>
      <c r="F152" s="36"/>
      <c r="G152" s="36"/>
      <c r="H152" s="36"/>
      <c r="I152" s="36"/>
      <c r="J152" s="36"/>
      <c r="K152" s="36"/>
      <c r="L152" s="36"/>
      <c r="M152" s="36"/>
    </row>
    <row r="153" spans="1:13" ht="23.1" customHeight="1">
      <c r="A153" s="37">
        <f t="shared" si="2"/>
        <v>147</v>
      </c>
      <c r="B153" s="311">
        <f t="shared" ref="B153" si="5">B152+1</f>
        <v>148</v>
      </c>
      <c r="C153" s="236">
        <v>33.94</v>
      </c>
      <c r="D153" s="343" t="s">
        <v>221</v>
      </c>
      <c r="E153" s="36"/>
      <c r="F153" s="36"/>
      <c r="G153" s="36"/>
      <c r="H153" s="36"/>
      <c r="I153" s="36"/>
      <c r="J153" s="36"/>
      <c r="K153" s="36"/>
      <c r="L153" s="36"/>
      <c r="M153" s="36"/>
    </row>
    <row r="154" spans="1:13" ht="15.75">
      <c r="A154" s="37">
        <f t="shared" si="2"/>
        <v>148</v>
      </c>
      <c r="B154" s="311">
        <f t="shared" ref="B154" si="6">B153+1</f>
        <v>149</v>
      </c>
      <c r="C154" s="236">
        <v>33.94</v>
      </c>
      <c r="D154" s="343" t="s">
        <v>221</v>
      </c>
      <c r="E154" s="36"/>
      <c r="F154" s="36"/>
      <c r="G154" s="36"/>
      <c r="H154" s="36"/>
      <c r="I154" s="36"/>
      <c r="J154" s="36"/>
      <c r="K154" s="36"/>
      <c r="L154" s="36"/>
      <c r="M154" s="36"/>
    </row>
    <row r="155" spans="1:13" ht="15.75">
      <c r="A155" s="37">
        <f t="shared" si="2"/>
        <v>149</v>
      </c>
      <c r="B155" s="311">
        <f t="shared" ref="B155" si="7">B154+1</f>
        <v>150</v>
      </c>
      <c r="C155" s="236">
        <v>33.81</v>
      </c>
      <c r="D155" s="343" t="s">
        <v>221</v>
      </c>
      <c r="E155" s="36"/>
      <c r="F155" s="36"/>
      <c r="G155" s="36"/>
      <c r="H155" s="36"/>
      <c r="I155" s="36"/>
      <c r="J155" s="36"/>
      <c r="K155" s="36"/>
      <c r="L155" s="36"/>
      <c r="M155" s="36"/>
    </row>
    <row r="156" spans="1:13" ht="15.75">
      <c r="A156" s="37">
        <f t="shared" si="2"/>
        <v>150</v>
      </c>
      <c r="B156" s="311">
        <f t="shared" ref="B156" si="8">B155+1</f>
        <v>151</v>
      </c>
      <c r="C156" s="236">
        <v>33.83</v>
      </c>
      <c r="D156" s="343" t="s">
        <v>221</v>
      </c>
      <c r="E156" s="36"/>
      <c r="F156" s="36"/>
      <c r="G156" s="36"/>
      <c r="H156" s="36"/>
      <c r="I156" s="36"/>
      <c r="J156" s="36"/>
      <c r="K156" s="36"/>
      <c r="L156" s="36"/>
      <c r="M156" s="36"/>
    </row>
    <row r="157" spans="1:13" ht="15.75">
      <c r="A157" s="37">
        <f t="shared" si="2"/>
        <v>151</v>
      </c>
      <c r="B157" s="311">
        <f t="shared" ref="B157" si="9">B156+1</f>
        <v>152</v>
      </c>
      <c r="C157" s="236">
        <v>32.03</v>
      </c>
      <c r="D157" s="343" t="s">
        <v>221</v>
      </c>
      <c r="E157" s="36"/>
      <c r="F157" s="36"/>
      <c r="G157" s="36"/>
      <c r="H157" s="36"/>
      <c r="I157" s="36"/>
      <c r="J157" s="36"/>
      <c r="K157" s="36"/>
      <c r="L157" s="36"/>
      <c r="M157" s="36"/>
    </row>
    <row r="158" spans="1:13" ht="15.75">
      <c r="A158" s="37">
        <f t="shared" si="2"/>
        <v>152</v>
      </c>
      <c r="B158" s="311">
        <f t="shared" ref="B158" si="10">B157+1</f>
        <v>153</v>
      </c>
      <c r="C158" s="236">
        <v>33.94</v>
      </c>
      <c r="D158" s="343" t="s">
        <v>221</v>
      </c>
      <c r="E158" s="36"/>
      <c r="F158" s="36"/>
      <c r="G158" s="36"/>
      <c r="H158" s="36"/>
      <c r="I158" s="36"/>
      <c r="J158" s="36"/>
      <c r="K158" s="36"/>
      <c r="L158" s="36"/>
      <c r="M158" s="36"/>
    </row>
    <row r="159" spans="1:13" ht="15.75">
      <c r="A159" s="37">
        <f t="shared" si="2"/>
        <v>153</v>
      </c>
      <c r="B159" s="311">
        <f t="shared" ref="B159" si="11">B158+1</f>
        <v>154</v>
      </c>
      <c r="C159" s="236">
        <v>33.94</v>
      </c>
      <c r="D159" s="343" t="s">
        <v>221</v>
      </c>
      <c r="E159" s="36"/>
      <c r="F159" s="36"/>
      <c r="G159" s="36"/>
      <c r="H159" s="36"/>
      <c r="I159" s="36"/>
      <c r="J159" s="36"/>
      <c r="K159" s="36"/>
      <c r="L159" s="36"/>
      <c r="M159" s="36"/>
    </row>
    <row r="160" spans="1:13" ht="15.75">
      <c r="A160" s="37">
        <f t="shared" si="2"/>
        <v>154</v>
      </c>
      <c r="B160" s="311">
        <f t="shared" ref="B160" si="12">B159+1</f>
        <v>155</v>
      </c>
      <c r="C160" s="236">
        <v>33.6</v>
      </c>
      <c r="D160" s="343" t="s">
        <v>221</v>
      </c>
      <c r="E160" s="40"/>
      <c r="F160" s="36"/>
      <c r="G160" s="36"/>
      <c r="H160" s="36"/>
      <c r="I160" s="36"/>
      <c r="J160" s="36"/>
      <c r="K160" s="36"/>
      <c r="L160" s="36"/>
      <c r="M160" s="36"/>
    </row>
    <row r="161" spans="1:13" ht="15.75">
      <c r="A161" s="37">
        <f t="shared" si="2"/>
        <v>155</v>
      </c>
      <c r="B161" s="311">
        <f t="shared" ref="B161" si="13">B160+1</f>
        <v>156</v>
      </c>
      <c r="C161" s="236">
        <v>33.950000000000003</v>
      </c>
      <c r="D161" s="343" t="s">
        <v>221</v>
      </c>
      <c r="E161" s="36"/>
      <c r="F161" s="36"/>
      <c r="G161" s="36"/>
      <c r="H161" s="36"/>
      <c r="I161" s="36"/>
      <c r="J161" s="36"/>
      <c r="K161" s="36"/>
      <c r="L161" s="36"/>
      <c r="M161" s="36"/>
    </row>
    <row r="162" spans="1:13" ht="15.75">
      <c r="A162" s="37">
        <f t="shared" si="2"/>
        <v>156</v>
      </c>
      <c r="B162" s="311">
        <f t="shared" ref="B162" si="14">B161+1</f>
        <v>157</v>
      </c>
      <c r="C162" s="236">
        <v>33.729999999999997</v>
      </c>
      <c r="D162" s="343" t="s">
        <v>221</v>
      </c>
      <c r="E162" s="36"/>
      <c r="F162" s="36"/>
      <c r="G162" s="36"/>
      <c r="H162" s="36"/>
      <c r="I162" s="36"/>
      <c r="J162" s="36"/>
      <c r="K162" s="36"/>
      <c r="L162" s="36"/>
      <c r="M162" s="36"/>
    </row>
    <row r="163" spans="1:13" ht="15.75">
      <c r="A163" s="37">
        <f t="shared" si="2"/>
        <v>157</v>
      </c>
      <c r="B163" s="311">
        <f t="shared" ref="B163" si="15">B162+1</f>
        <v>158</v>
      </c>
      <c r="C163" s="236">
        <v>33.94</v>
      </c>
      <c r="D163" s="343" t="s">
        <v>221</v>
      </c>
      <c r="E163" s="41"/>
      <c r="F163" s="36"/>
      <c r="G163" s="36"/>
      <c r="H163" s="36"/>
      <c r="I163" s="36"/>
      <c r="J163" s="36"/>
      <c r="K163" s="36"/>
      <c r="L163" s="36"/>
      <c r="M163" s="36"/>
    </row>
    <row r="164" spans="1:13" ht="15.75">
      <c r="A164" s="37">
        <f t="shared" si="2"/>
        <v>158</v>
      </c>
      <c r="B164" s="311">
        <f t="shared" ref="B164" si="16">B163+1</f>
        <v>159</v>
      </c>
      <c r="C164" s="236">
        <v>33.94</v>
      </c>
      <c r="D164" s="343" t="s">
        <v>221</v>
      </c>
      <c r="E164" s="41"/>
      <c r="F164" s="36"/>
      <c r="G164" s="36"/>
      <c r="H164" s="36"/>
      <c r="I164" s="36"/>
      <c r="J164" s="36"/>
      <c r="K164" s="36"/>
      <c r="L164" s="36"/>
      <c r="M164" s="36"/>
    </row>
    <row r="165" spans="1:13" ht="15.75">
      <c r="A165" s="37">
        <f t="shared" si="2"/>
        <v>159</v>
      </c>
      <c r="B165" s="311">
        <f t="shared" ref="B165" si="17">B164+1</f>
        <v>160</v>
      </c>
      <c r="C165" s="236">
        <v>33.950000000000003</v>
      </c>
      <c r="D165" s="343" t="s">
        <v>221</v>
      </c>
      <c r="E165" s="41"/>
      <c r="F165" s="36"/>
      <c r="G165" s="36"/>
      <c r="H165" s="36"/>
      <c r="I165" s="36"/>
      <c r="J165" s="36"/>
      <c r="K165" s="36"/>
      <c r="L165" s="36"/>
      <c r="M165" s="36"/>
    </row>
    <row r="166" spans="1:13" ht="15.75">
      <c r="A166" s="37">
        <f t="shared" si="2"/>
        <v>160</v>
      </c>
      <c r="B166" s="311">
        <f t="shared" ref="B166" si="18">B165+1</f>
        <v>161</v>
      </c>
      <c r="C166" s="236">
        <v>33.93</v>
      </c>
      <c r="D166" s="343" t="s">
        <v>221</v>
      </c>
      <c r="E166" s="36"/>
      <c r="F166" s="36"/>
      <c r="G166" s="36"/>
      <c r="H166" s="36"/>
      <c r="I166" s="36"/>
      <c r="J166" s="36"/>
      <c r="K166" s="36"/>
      <c r="L166" s="36"/>
      <c r="M166" s="36"/>
    </row>
    <row r="167" spans="1:13" ht="15.75">
      <c r="A167" s="37">
        <f t="shared" si="2"/>
        <v>161</v>
      </c>
      <c r="B167" s="311">
        <f t="shared" ref="B167" si="19">B166+1</f>
        <v>162</v>
      </c>
      <c r="C167" s="236">
        <v>33.94</v>
      </c>
      <c r="D167" s="343" t="s">
        <v>221</v>
      </c>
      <c r="E167" s="36"/>
      <c r="F167" s="36"/>
      <c r="G167" s="36"/>
      <c r="H167" s="36"/>
      <c r="I167" s="36"/>
      <c r="J167" s="36"/>
      <c r="K167" s="36"/>
      <c r="L167" s="36"/>
      <c r="M167" s="36"/>
    </row>
    <row r="168" spans="1:13" ht="15.75">
      <c r="A168" s="37">
        <f t="shared" si="2"/>
        <v>162</v>
      </c>
      <c r="B168" s="311">
        <f t="shared" ref="B168" si="20">B167+1</f>
        <v>163</v>
      </c>
      <c r="C168" s="236">
        <v>33.200000000000003</v>
      </c>
      <c r="D168" s="343" t="s">
        <v>221</v>
      </c>
      <c r="E168" s="36"/>
      <c r="F168" s="36"/>
      <c r="G168" s="36"/>
      <c r="H168" s="36"/>
      <c r="I168" s="36"/>
      <c r="J168" s="36"/>
      <c r="K168" s="36"/>
      <c r="L168" s="36"/>
      <c r="M168" s="36"/>
    </row>
    <row r="169" spans="1:13" ht="15.75">
      <c r="A169" s="37">
        <f t="shared" si="2"/>
        <v>163</v>
      </c>
      <c r="B169" s="311">
        <f t="shared" ref="B169" si="21">B168+1</f>
        <v>164</v>
      </c>
      <c r="C169" s="236">
        <v>33.94</v>
      </c>
      <c r="D169" s="343" t="s">
        <v>221</v>
      </c>
      <c r="E169" s="36"/>
      <c r="F169" s="36"/>
      <c r="G169" s="36"/>
      <c r="H169" s="36"/>
      <c r="I169" s="36"/>
      <c r="J169" s="36"/>
      <c r="K169" s="36"/>
      <c r="L169" s="36"/>
      <c r="M169" s="36"/>
    </row>
    <row r="170" spans="1:13" ht="15.75">
      <c r="A170" s="37">
        <f t="shared" si="2"/>
        <v>164</v>
      </c>
      <c r="B170" s="311">
        <f t="shared" ref="B170" si="22">B169+1</f>
        <v>165</v>
      </c>
      <c r="C170" s="236">
        <v>33.96</v>
      </c>
      <c r="D170" s="343" t="s">
        <v>221</v>
      </c>
      <c r="E170" s="36"/>
      <c r="F170" s="36"/>
      <c r="G170" s="36"/>
      <c r="H170" s="36"/>
      <c r="I170" s="36"/>
      <c r="J170" s="36"/>
      <c r="K170" s="36"/>
      <c r="L170" s="36"/>
      <c r="M170" s="36"/>
    </row>
    <row r="171" spans="1:13" ht="15.75">
      <c r="A171" s="37">
        <f t="shared" si="2"/>
        <v>165</v>
      </c>
      <c r="B171" s="311">
        <f t="shared" ref="B171" si="23">B170+1</f>
        <v>166</v>
      </c>
      <c r="C171" s="236">
        <v>33.96</v>
      </c>
      <c r="D171" s="343" t="s">
        <v>221</v>
      </c>
      <c r="E171" s="36"/>
      <c r="F171" s="36"/>
      <c r="G171" s="36"/>
      <c r="H171" s="36"/>
      <c r="I171" s="36"/>
      <c r="J171" s="36"/>
      <c r="K171" s="36"/>
      <c r="L171" s="36"/>
      <c r="M171" s="36"/>
    </row>
    <row r="172" spans="1:13" ht="15.75">
      <c r="A172" s="37">
        <f t="shared" si="2"/>
        <v>166</v>
      </c>
      <c r="B172" s="311">
        <f t="shared" ref="B172" si="24">B171+1</f>
        <v>167</v>
      </c>
      <c r="C172" s="236">
        <v>33.96</v>
      </c>
      <c r="D172" s="343" t="s">
        <v>221</v>
      </c>
      <c r="E172" s="36"/>
      <c r="F172" s="36"/>
      <c r="G172" s="36"/>
      <c r="H172" s="36"/>
      <c r="I172" s="36"/>
      <c r="J172" s="36"/>
      <c r="K172" s="36"/>
      <c r="L172" s="36"/>
      <c r="M172" s="36"/>
    </row>
    <row r="173" spans="1:13" ht="15.75">
      <c r="A173" s="37">
        <f t="shared" si="2"/>
        <v>167</v>
      </c>
      <c r="B173" s="311">
        <f t="shared" ref="B173" si="25">B172+1</f>
        <v>168</v>
      </c>
      <c r="C173" s="236">
        <v>33.950000000000003</v>
      </c>
      <c r="D173" s="343" t="s">
        <v>221</v>
      </c>
      <c r="E173" s="36"/>
      <c r="F173" s="36"/>
      <c r="G173" s="36"/>
      <c r="H173" s="36"/>
      <c r="I173" s="36"/>
      <c r="J173" s="36"/>
      <c r="K173" s="36"/>
      <c r="L173" s="36"/>
      <c r="M173" s="36"/>
    </row>
    <row r="174" spans="1:13" ht="15.75">
      <c r="A174" s="37">
        <f t="shared" si="2"/>
        <v>168</v>
      </c>
      <c r="B174" s="311">
        <f t="shared" ref="B174" si="26">B173+1</f>
        <v>169</v>
      </c>
      <c r="C174" s="236">
        <v>33.950000000000003</v>
      </c>
      <c r="D174" s="343" t="s">
        <v>221</v>
      </c>
      <c r="E174" s="36"/>
      <c r="F174" s="36"/>
      <c r="G174" s="36"/>
      <c r="H174" s="36"/>
      <c r="I174" s="36"/>
      <c r="J174" s="36"/>
      <c r="K174" s="36"/>
      <c r="L174" s="36"/>
      <c r="M174" s="36"/>
    </row>
    <row r="175" spans="1:13" ht="15.75">
      <c r="A175" s="37">
        <f t="shared" si="2"/>
        <v>169</v>
      </c>
      <c r="B175" s="311">
        <f t="shared" ref="B175" si="27">B174+1</f>
        <v>170</v>
      </c>
      <c r="C175" s="236">
        <v>32.42</v>
      </c>
      <c r="D175" s="343" t="s">
        <v>221</v>
      </c>
      <c r="E175" s="36"/>
      <c r="F175" s="36"/>
      <c r="G175" s="36"/>
      <c r="H175" s="36"/>
      <c r="I175" s="36"/>
      <c r="J175" s="36"/>
      <c r="K175" s="36"/>
      <c r="L175" s="36"/>
      <c r="M175" s="36"/>
    </row>
    <row r="176" spans="1:13" ht="15.75">
      <c r="A176" s="37">
        <f t="shared" si="2"/>
        <v>170</v>
      </c>
      <c r="B176" s="311">
        <f t="shared" ref="B176" si="28">B175+1</f>
        <v>171</v>
      </c>
      <c r="C176" s="236">
        <v>33.950000000000003</v>
      </c>
      <c r="D176" s="343" t="s">
        <v>221</v>
      </c>
      <c r="E176" s="36"/>
      <c r="F176" s="36"/>
      <c r="G176" s="36"/>
      <c r="H176" s="36"/>
      <c r="I176" s="36"/>
      <c r="J176" s="36"/>
      <c r="K176" s="36"/>
      <c r="L176" s="36"/>
      <c r="M176" s="36"/>
    </row>
    <row r="177" spans="1:13" ht="15.75">
      <c r="A177" s="37">
        <f t="shared" si="2"/>
        <v>171</v>
      </c>
      <c r="B177" s="311">
        <f t="shared" ref="B177" si="29">B176+1</f>
        <v>172</v>
      </c>
      <c r="C177" s="236">
        <v>33.03</v>
      </c>
      <c r="D177" s="343" t="s">
        <v>221</v>
      </c>
      <c r="E177" s="36"/>
      <c r="F177" s="36"/>
      <c r="G177" s="36"/>
      <c r="H177" s="36"/>
      <c r="I177" s="36"/>
      <c r="J177" s="36"/>
      <c r="K177" s="36"/>
      <c r="L177" s="36"/>
      <c r="M177" s="36"/>
    </row>
    <row r="178" spans="1:13" ht="15.75">
      <c r="A178" s="37">
        <f t="shared" si="2"/>
        <v>172</v>
      </c>
      <c r="B178" s="311">
        <f t="shared" ref="B178" si="30">B177+1</f>
        <v>173</v>
      </c>
      <c r="C178" s="236">
        <v>33.950000000000003</v>
      </c>
      <c r="D178" s="343" t="s">
        <v>221</v>
      </c>
      <c r="E178" s="36"/>
      <c r="F178" s="36"/>
      <c r="G178" s="36"/>
      <c r="H178" s="36"/>
      <c r="I178" s="36"/>
      <c r="J178" s="36"/>
      <c r="K178" s="36"/>
      <c r="L178" s="36"/>
      <c r="M178" s="36"/>
    </row>
    <row r="179" spans="1:13" ht="15.75">
      <c r="A179" s="37">
        <f t="shared" si="2"/>
        <v>173</v>
      </c>
      <c r="B179" s="311">
        <f t="shared" ref="B179" si="31">B178+1</f>
        <v>174</v>
      </c>
      <c r="C179" s="236">
        <v>33.74</v>
      </c>
      <c r="D179" s="343" t="s">
        <v>221</v>
      </c>
      <c r="E179" s="36"/>
      <c r="F179" s="36"/>
      <c r="G179" s="36"/>
      <c r="H179" s="36"/>
      <c r="I179" s="36"/>
      <c r="J179" s="36"/>
      <c r="K179" s="36"/>
      <c r="L179" s="36"/>
      <c r="M179" s="36"/>
    </row>
    <row r="180" spans="1:13" ht="15.75">
      <c r="A180" s="37">
        <f t="shared" si="2"/>
        <v>174</v>
      </c>
      <c r="B180" s="311">
        <f t="shared" ref="B180" si="32">B179+1</f>
        <v>175</v>
      </c>
      <c r="C180" s="236">
        <v>33.94</v>
      </c>
      <c r="D180" s="343" t="s">
        <v>221</v>
      </c>
      <c r="E180" s="36"/>
      <c r="F180" s="36"/>
      <c r="G180" s="36"/>
      <c r="H180" s="36"/>
      <c r="I180" s="36"/>
      <c r="J180" s="36"/>
      <c r="K180" s="36"/>
      <c r="L180" s="36"/>
      <c r="M180" s="36"/>
    </row>
    <row r="181" spans="1:13" ht="15.75">
      <c r="A181" s="37">
        <f t="shared" si="2"/>
        <v>175</v>
      </c>
      <c r="B181" s="311">
        <f t="shared" ref="B181" si="33">B180+1</f>
        <v>176</v>
      </c>
      <c r="C181" s="236">
        <v>33.94</v>
      </c>
      <c r="D181" s="343" t="s">
        <v>221</v>
      </c>
      <c r="E181" s="36"/>
      <c r="F181" s="36"/>
      <c r="G181" s="36"/>
      <c r="H181" s="36"/>
      <c r="I181" s="36"/>
      <c r="J181" s="36"/>
      <c r="K181" s="36"/>
      <c r="L181" s="36"/>
      <c r="M181" s="36"/>
    </row>
    <row r="182" spans="1:13" ht="15.75">
      <c r="A182" s="37">
        <f t="shared" si="2"/>
        <v>176</v>
      </c>
      <c r="B182" s="311">
        <f t="shared" ref="B182" si="34">B181+1</f>
        <v>177</v>
      </c>
      <c r="C182" s="236">
        <v>33.770000000000003</v>
      </c>
      <c r="D182" s="343" t="s">
        <v>221</v>
      </c>
      <c r="E182" s="36"/>
      <c r="F182" s="36"/>
      <c r="G182" s="36"/>
      <c r="H182" s="36"/>
      <c r="I182" s="36"/>
      <c r="J182" s="36"/>
      <c r="K182" s="36"/>
      <c r="L182" s="36"/>
      <c r="M182" s="36"/>
    </row>
    <row r="183" spans="1:13" ht="15.75">
      <c r="A183" s="37">
        <f t="shared" si="2"/>
        <v>177</v>
      </c>
      <c r="B183" s="311">
        <f t="shared" ref="B183" si="35">B182+1</f>
        <v>178</v>
      </c>
      <c r="C183" s="236">
        <v>33.94</v>
      </c>
      <c r="D183" s="343" t="s">
        <v>221</v>
      </c>
      <c r="E183" s="36"/>
      <c r="F183" s="36"/>
      <c r="G183" s="36"/>
      <c r="H183" s="36"/>
      <c r="I183" s="36"/>
      <c r="J183" s="36"/>
      <c r="K183" s="36"/>
      <c r="L183" s="36"/>
      <c r="M183" s="36"/>
    </row>
    <row r="184" spans="1:13" ht="15.75">
      <c r="A184" s="37">
        <f t="shared" si="2"/>
        <v>178</v>
      </c>
      <c r="B184" s="311">
        <f t="shared" ref="B184" si="36">B183+1</f>
        <v>179</v>
      </c>
      <c r="C184" s="236">
        <v>33.770000000000003</v>
      </c>
      <c r="D184" s="343" t="s">
        <v>221</v>
      </c>
      <c r="E184" s="36"/>
      <c r="F184" s="36"/>
      <c r="G184" s="36"/>
      <c r="H184" s="36"/>
      <c r="I184" s="36"/>
      <c r="J184" s="36"/>
      <c r="K184" s="36"/>
      <c r="L184" s="36"/>
      <c r="M184" s="36"/>
    </row>
    <row r="185" spans="1:13" ht="15.75">
      <c r="A185" s="37">
        <f t="shared" si="2"/>
        <v>179</v>
      </c>
      <c r="B185" s="311">
        <f t="shared" ref="B185" si="37">B184+1</f>
        <v>180</v>
      </c>
      <c r="C185" s="236">
        <v>33.93</v>
      </c>
      <c r="D185" s="343" t="s">
        <v>221</v>
      </c>
      <c r="E185" s="36"/>
      <c r="F185" s="36"/>
      <c r="G185" s="36"/>
      <c r="H185" s="36"/>
      <c r="I185" s="36"/>
      <c r="J185" s="36"/>
      <c r="K185" s="36"/>
      <c r="L185" s="36"/>
      <c r="M185" s="36"/>
    </row>
    <row r="186" spans="1:13" ht="15.75">
      <c r="A186" s="37">
        <f t="shared" si="2"/>
        <v>180</v>
      </c>
      <c r="B186" s="311">
        <f t="shared" ref="B186" si="38">B185+1</f>
        <v>181</v>
      </c>
      <c r="C186" s="236">
        <v>33.9</v>
      </c>
      <c r="D186" s="343" t="s">
        <v>221</v>
      </c>
      <c r="E186" s="36"/>
      <c r="F186" s="36"/>
      <c r="G186" s="36"/>
      <c r="H186" s="36"/>
      <c r="I186" s="36"/>
      <c r="J186" s="36"/>
      <c r="K186" s="36"/>
      <c r="L186" s="36"/>
      <c r="M186" s="36"/>
    </row>
    <row r="187" spans="1:13" ht="15.75">
      <c r="A187" s="37">
        <f t="shared" si="2"/>
        <v>181</v>
      </c>
      <c r="B187" s="311">
        <f t="shared" ref="B187" si="39">B186+1</f>
        <v>182</v>
      </c>
      <c r="C187" s="236">
        <v>33.93</v>
      </c>
      <c r="D187" s="343" t="s">
        <v>221</v>
      </c>
      <c r="E187" s="36"/>
      <c r="F187" s="36"/>
      <c r="G187" s="36"/>
      <c r="H187" s="36"/>
      <c r="I187" s="36"/>
      <c r="J187" s="36"/>
      <c r="K187" s="36"/>
      <c r="L187" s="36"/>
      <c r="M187" s="36"/>
    </row>
    <row r="188" spans="1:13" ht="15.75">
      <c r="A188" s="37">
        <f t="shared" si="2"/>
        <v>182</v>
      </c>
      <c r="B188" s="311">
        <f t="shared" ref="B188" si="40">B187+1</f>
        <v>183</v>
      </c>
      <c r="C188" s="236">
        <v>33.950000000000003</v>
      </c>
      <c r="D188" s="343" t="s">
        <v>221</v>
      </c>
      <c r="E188" s="36"/>
      <c r="F188" s="36"/>
      <c r="G188" s="36"/>
      <c r="H188" s="36"/>
      <c r="I188" s="36"/>
      <c r="J188" s="36"/>
      <c r="K188" s="36"/>
      <c r="L188" s="36"/>
      <c r="M188" s="36"/>
    </row>
    <row r="189" spans="1:13" ht="15.75">
      <c r="A189" s="37">
        <f t="shared" si="2"/>
        <v>183</v>
      </c>
      <c r="B189" s="311">
        <f t="shared" ref="B189" si="41">B188+1</f>
        <v>184</v>
      </c>
      <c r="C189" s="236">
        <v>33.94</v>
      </c>
      <c r="D189" s="343" t="s">
        <v>221</v>
      </c>
      <c r="E189" s="36"/>
      <c r="F189" s="36"/>
      <c r="G189" s="36"/>
      <c r="H189" s="36"/>
      <c r="I189" s="36"/>
      <c r="J189" s="36"/>
      <c r="K189" s="36"/>
      <c r="L189" s="36"/>
      <c r="M189" s="36"/>
    </row>
    <row r="190" spans="1:13" ht="15.75">
      <c r="A190" s="37">
        <f t="shared" si="2"/>
        <v>184</v>
      </c>
      <c r="B190" s="311">
        <f t="shared" ref="B190" si="42">B189+1</f>
        <v>185</v>
      </c>
      <c r="C190" s="236">
        <v>33.94</v>
      </c>
      <c r="D190" s="343" t="s">
        <v>221</v>
      </c>
      <c r="E190" s="36"/>
      <c r="F190" s="36"/>
      <c r="G190" s="36"/>
      <c r="H190" s="36"/>
      <c r="I190" s="36"/>
      <c r="J190" s="36"/>
      <c r="K190" s="36"/>
      <c r="L190" s="36"/>
      <c r="M190" s="36"/>
    </row>
    <row r="191" spans="1:13" ht="15.75">
      <c r="A191" s="37">
        <f t="shared" si="2"/>
        <v>185</v>
      </c>
      <c r="B191" s="311">
        <f t="shared" ref="B191" si="43">B190+1</f>
        <v>186</v>
      </c>
      <c r="C191" s="236">
        <v>33.950000000000003</v>
      </c>
      <c r="D191" s="343" t="s">
        <v>221</v>
      </c>
      <c r="E191" s="36"/>
      <c r="F191" s="36"/>
      <c r="G191" s="36"/>
      <c r="H191" s="36"/>
      <c r="I191" s="36"/>
      <c r="J191" s="36"/>
      <c r="K191" s="36"/>
      <c r="L191" s="36"/>
      <c r="M191" s="36"/>
    </row>
    <row r="192" spans="1:13" ht="15.75">
      <c r="A192" s="37">
        <f t="shared" si="2"/>
        <v>186</v>
      </c>
      <c r="B192" s="311">
        <f t="shared" ref="B192" si="44">B191+1</f>
        <v>187</v>
      </c>
      <c r="C192" s="236">
        <v>33.950000000000003</v>
      </c>
      <c r="D192" s="343" t="s">
        <v>221</v>
      </c>
      <c r="E192" s="36"/>
      <c r="F192" s="36"/>
      <c r="G192" s="36"/>
      <c r="H192" s="36"/>
      <c r="I192" s="36"/>
      <c r="J192" s="36"/>
      <c r="K192" s="36"/>
      <c r="L192" s="36"/>
      <c r="M192" s="36"/>
    </row>
    <row r="193" spans="1:13" ht="15.75">
      <c r="A193" s="37">
        <f t="shared" si="2"/>
        <v>187</v>
      </c>
      <c r="B193" s="311">
        <f t="shared" ref="B193" si="45">B192+1</f>
        <v>188</v>
      </c>
      <c r="C193" s="236">
        <v>33.950000000000003</v>
      </c>
      <c r="D193" s="343" t="s">
        <v>221</v>
      </c>
      <c r="E193" s="36"/>
      <c r="F193" s="36"/>
      <c r="G193" s="36"/>
      <c r="H193" s="36"/>
      <c r="I193" s="36"/>
      <c r="J193" s="36"/>
      <c r="K193" s="36"/>
      <c r="L193" s="36"/>
      <c r="M193" s="36"/>
    </row>
    <row r="194" spans="1:13" ht="15.75">
      <c r="A194" s="37">
        <f t="shared" si="2"/>
        <v>188</v>
      </c>
      <c r="B194" s="311">
        <f t="shared" ref="B194" si="46">B193+1</f>
        <v>189</v>
      </c>
      <c r="C194" s="236">
        <v>33.94</v>
      </c>
      <c r="D194" s="343" t="s">
        <v>221</v>
      </c>
      <c r="E194" s="36"/>
      <c r="F194" s="36"/>
      <c r="G194" s="36"/>
      <c r="H194" s="36"/>
      <c r="I194" s="36"/>
      <c r="J194" s="36"/>
      <c r="K194" s="36"/>
      <c r="L194" s="36"/>
      <c r="M194" s="36"/>
    </row>
    <row r="195" spans="1:13" ht="15.75">
      <c r="A195" s="37">
        <f t="shared" si="2"/>
        <v>189</v>
      </c>
      <c r="B195" s="311">
        <f t="shared" ref="B195" si="47">B194+1</f>
        <v>190</v>
      </c>
      <c r="C195" s="236">
        <v>33.950000000000003</v>
      </c>
      <c r="D195" s="343" t="s">
        <v>221</v>
      </c>
      <c r="E195" s="36"/>
      <c r="F195" s="36"/>
      <c r="G195" s="36"/>
      <c r="H195" s="36"/>
      <c r="I195" s="36"/>
      <c r="J195" s="36"/>
      <c r="K195" s="36"/>
      <c r="L195" s="36"/>
      <c r="M195" s="36"/>
    </row>
    <row r="196" spans="1:13" ht="15.75">
      <c r="A196" s="37">
        <f t="shared" si="2"/>
        <v>190</v>
      </c>
      <c r="B196" s="311">
        <f t="shared" ref="B196" si="48">B195+1</f>
        <v>191</v>
      </c>
      <c r="C196" s="236">
        <v>33.9</v>
      </c>
      <c r="D196" s="343" t="s">
        <v>221</v>
      </c>
      <c r="E196" s="36"/>
      <c r="F196" s="36"/>
      <c r="G196" s="36"/>
      <c r="H196" s="36"/>
      <c r="I196" s="36"/>
      <c r="J196" s="36"/>
      <c r="K196" s="36"/>
      <c r="L196" s="36"/>
      <c r="M196" s="36"/>
    </row>
    <row r="197" spans="1:13" ht="15.75">
      <c r="A197" s="37">
        <f t="shared" si="2"/>
        <v>191</v>
      </c>
      <c r="B197" s="311">
        <f t="shared" ref="B197" si="49">B196+1</f>
        <v>192</v>
      </c>
      <c r="C197" s="236">
        <v>33.69</v>
      </c>
      <c r="D197" s="343" t="s">
        <v>221</v>
      </c>
      <c r="E197" s="36"/>
      <c r="F197" s="36"/>
      <c r="G197" s="36"/>
      <c r="H197" s="36"/>
      <c r="I197" s="36"/>
      <c r="J197" s="36"/>
      <c r="K197" s="36"/>
      <c r="L197" s="36"/>
      <c r="M197" s="36"/>
    </row>
    <row r="198" spans="1:13" ht="15.75">
      <c r="A198" s="37">
        <f t="shared" si="2"/>
        <v>192</v>
      </c>
      <c r="B198" s="311">
        <f t="shared" ref="B198" si="50">B197+1</f>
        <v>193</v>
      </c>
      <c r="C198" s="236">
        <v>33.47</v>
      </c>
      <c r="D198" s="343" t="s">
        <v>221</v>
      </c>
      <c r="E198" s="36"/>
      <c r="F198" s="36"/>
      <c r="G198" s="36"/>
      <c r="H198" s="36"/>
      <c r="I198" s="36"/>
      <c r="J198" s="36"/>
      <c r="K198" s="36"/>
      <c r="L198" s="36"/>
      <c r="M198" s="36"/>
    </row>
    <row r="199" spans="1:13" ht="15.75">
      <c r="A199" s="37">
        <f t="shared" si="2"/>
        <v>193</v>
      </c>
      <c r="B199" s="311">
        <f t="shared" ref="B199" si="51">B198+1</f>
        <v>194</v>
      </c>
      <c r="C199" s="236">
        <v>33.72</v>
      </c>
      <c r="D199" s="343" t="s">
        <v>221</v>
      </c>
      <c r="E199" s="36"/>
      <c r="F199" s="36"/>
      <c r="G199" s="36"/>
      <c r="H199" s="36"/>
      <c r="I199" s="36"/>
      <c r="J199" s="36"/>
      <c r="K199" s="36"/>
      <c r="L199" s="36"/>
      <c r="M199" s="36"/>
    </row>
    <row r="200" spans="1:13" ht="15.75">
      <c r="A200" s="37">
        <f t="shared" ref="A200:B263" si="52">A199+1</f>
        <v>194</v>
      </c>
      <c r="B200" s="311">
        <f t="shared" si="52"/>
        <v>195</v>
      </c>
      <c r="C200" s="236">
        <v>33.97</v>
      </c>
      <c r="D200" s="343" t="s">
        <v>221</v>
      </c>
      <c r="E200" s="36"/>
      <c r="F200" s="36"/>
      <c r="G200" s="36"/>
      <c r="H200" s="36"/>
      <c r="I200" s="36"/>
      <c r="J200" s="36"/>
      <c r="K200" s="36"/>
      <c r="L200" s="36"/>
      <c r="M200" s="36"/>
    </row>
    <row r="201" spans="1:13" ht="15.75">
      <c r="A201" s="37">
        <f t="shared" si="52"/>
        <v>195</v>
      </c>
      <c r="B201" s="311">
        <f t="shared" si="52"/>
        <v>196</v>
      </c>
      <c r="C201" s="236">
        <v>33.96</v>
      </c>
      <c r="D201" s="343" t="s">
        <v>221</v>
      </c>
      <c r="E201" s="36"/>
      <c r="F201" s="36"/>
      <c r="G201" s="36"/>
      <c r="H201" s="36"/>
      <c r="I201" s="36"/>
      <c r="J201" s="36"/>
      <c r="K201" s="36"/>
      <c r="L201" s="36"/>
      <c r="M201" s="36"/>
    </row>
    <row r="202" spans="1:13" ht="16.5" customHeight="1">
      <c r="A202" s="37">
        <f t="shared" si="52"/>
        <v>196</v>
      </c>
      <c r="B202" s="311">
        <f t="shared" si="52"/>
        <v>197</v>
      </c>
      <c r="C202" s="236">
        <v>31.92</v>
      </c>
      <c r="D202" s="343" t="s">
        <v>221</v>
      </c>
      <c r="E202" s="36"/>
      <c r="F202" s="36"/>
      <c r="G202" s="36"/>
      <c r="H202" s="36"/>
      <c r="I202" s="36"/>
      <c r="J202" s="36"/>
      <c r="K202" s="36"/>
      <c r="L202" s="36"/>
      <c r="M202" s="36"/>
    </row>
    <row r="203" spans="1:13" ht="16.5" customHeight="1">
      <c r="A203" s="37">
        <f t="shared" si="52"/>
        <v>197</v>
      </c>
      <c r="B203" s="311">
        <f t="shared" si="52"/>
        <v>198</v>
      </c>
      <c r="C203" s="236">
        <v>33.96</v>
      </c>
      <c r="D203" s="343" t="s">
        <v>221</v>
      </c>
      <c r="E203" s="36"/>
      <c r="F203" s="36"/>
      <c r="G203" s="36"/>
      <c r="H203" s="36"/>
      <c r="I203" s="36"/>
      <c r="J203" s="36"/>
      <c r="K203" s="36"/>
      <c r="L203" s="36"/>
      <c r="M203" s="36"/>
    </row>
    <row r="204" spans="1:13" ht="16.5" customHeight="1">
      <c r="A204" s="37">
        <f t="shared" si="52"/>
        <v>198</v>
      </c>
      <c r="B204" s="311">
        <f t="shared" si="52"/>
        <v>199</v>
      </c>
      <c r="C204" s="236">
        <v>33.880000000000003</v>
      </c>
      <c r="D204" s="343" t="s">
        <v>221</v>
      </c>
      <c r="E204" s="36"/>
      <c r="F204" s="36"/>
      <c r="G204" s="36"/>
      <c r="H204" s="36"/>
      <c r="I204" s="36"/>
      <c r="J204" s="36"/>
      <c r="K204" s="36"/>
      <c r="L204" s="36"/>
      <c r="M204" s="36"/>
    </row>
    <row r="205" spans="1:13" ht="15.75" customHeight="1">
      <c r="A205" s="37">
        <f t="shared" si="52"/>
        <v>199</v>
      </c>
      <c r="B205" s="311">
        <f t="shared" si="52"/>
        <v>200</v>
      </c>
      <c r="C205" s="236">
        <v>33.96</v>
      </c>
      <c r="D205" s="343" t="s">
        <v>221</v>
      </c>
      <c r="E205" s="36"/>
      <c r="F205" s="36"/>
      <c r="G205" s="36"/>
      <c r="H205" s="36"/>
      <c r="I205" s="36"/>
      <c r="J205" s="36"/>
      <c r="K205" s="36"/>
      <c r="L205" s="36"/>
      <c r="M205" s="36"/>
    </row>
    <row r="206" spans="1:13" ht="15.75" customHeight="1">
      <c r="A206" s="37">
        <f t="shared" si="52"/>
        <v>200</v>
      </c>
      <c r="B206" s="311">
        <f t="shared" si="52"/>
        <v>201</v>
      </c>
      <c r="C206" s="236">
        <v>33.950000000000003</v>
      </c>
      <c r="D206" s="343" t="s">
        <v>221</v>
      </c>
      <c r="E206" s="36"/>
      <c r="F206" s="36"/>
      <c r="G206" s="36"/>
      <c r="H206" s="36"/>
      <c r="I206" s="36"/>
      <c r="J206" s="36"/>
      <c r="K206" s="36"/>
      <c r="L206" s="36"/>
      <c r="M206" s="36"/>
    </row>
    <row r="207" spans="1:13" ht="15.75" customHeight="1">
      <c r="A207" s="37">
        <f t="shared" si="52"/>
        <v>201</v>
      </c>
      <c r="B207" s="311">
        <f t="shared" si="52"/>
        <v>202</v>
      </c>
      <c r="C207" s="236">
        <v>33.950000000000003</v>
      </c>
      <c r="D207" s="343" t="s">
        <v>221</v>
      </c>
      <c r="E207" s="36"/>
      <c r="F207" s="36"/>
      <c r="G207" s="36"/>
      <c r="H207" s="36"/>
      <c r="I207" s="36"/>
      <c r="J207" s="36"/>
      <c r="K207" s="36"/>
      <c r="L207" s="36"/>
      <c r="M207" s="36"/>
    </row>
    <row r="208" spans="1:13" ht="15.75" customHeight="1">
      <c r="A208" s="37">
        <f t="shared" si="52"/>
        <v>202</v>
      </c>
      <c r="B208" s="311">
        <f t="shared" si="52"/>
        <v>203</v>
      </c>
      <c r="C208" s="236">
        <v>33.94</v>
      </c>
      <c r="D208" s="343" t="s">
        <v>221</v>
      </c>
      <c r="E208" s="36"/>
      <c r="F208" s="36"/>
      <c r="G208" s="36"/>
      <c r="H208" s="36"/>
      <c r="I208" s="36"/>
      <c r="J208" s="36"/>
      <c r="K208" s="36"/>
      <c r="L208" s="36"/>
      <c r="M208" s="36"/>
    </row>
    <row r="209" spans="1:13" ht="15.75" customHeight="1">
      <c r="A209" s="37">
        <f t="shared" si="52"/>
        <v>203</v>
      </c>
      <c r="B209" s="311">
        <f t="shared" si="52"/>
        <v>204</v>
      </c>
      <c r="C209" s="236">
        <v>33.950000000000003</v>
      </c>
      <c r="D209" s="343" t="s">
        <v>221</v>
      </c>
      <c r="E209" s="36"/>
      <c r="F209" s="36"/>
      <c r="G209" s="36"/>
      <c r="H209" s="36"/>
      <c r="I209" s="36"/>
      <c r="J209" s="36"/>
      <c r="K209" s="36"/>
      <c r="L209" s="36"/>
      <c r="M209" s="36"/>
    </row>
    <row r="210" spans="1:13" ht="15.75" customHeight="1">
      <c r="A210" s="37">
        <f t="shared" si="52"/>
        <v>204</v>
      </c>
      <c r="B210" s="311">
        <f t="shared" si="52"/>
        <v>205</v>
      </c>
      <c r="C210" s="236">
        <v>33.94</v>
      </c>
      <c r="D210" s="343" t="s">
        <v>221</v>
      </c>
      <c r="E210" s="36"/>
      <c r="F210" s="36"/>
      <c r="G210" s="36"/>
      <c r="H210" s="36"/>
      <c r="I210" s="36"/>
      <c r="J210" s="36"/>
      <c r="K210" s="36"/>
      <c r="L210" s="36"/>
      <c r="M210" s="36"/>
    </row>
    <row r="211" spans="1:13" ht="15.75" customHeight="1">
      <c r="A211" s="37">
        <f t="shared" si="52"/>
        <v>205</v>
      </c>
      <c r="B211" s="311">
        <f t="shared" si="52"/>
        <v>206</v>
      </c>
      <c r="C211" s="236">
        <v>33.94</v>
      </c>
      <c r="D211" s="343" t="s">
        <v>221</v>
      </c>
      <c r="E211" s="36"/>
      <c r="F211" s="36"/>
      <c r="G211" s="36"/>
      <c r="H211" s="36"/>
      <c r="I211" s="36"/>
      <c r="J211" s="36"/>
      <c r="K211" s="36"/>
      <c r="L211" s="36"/>
      <c r="M211" s="36"/>
    </row>
    <row r="212" spans="1:13" ht="15.75" customHeight="1">
      <c r="A212" s="37">
        <f t="shared" si="52"/>
        <v>206</v>
      </c>
      <c r="B212" s="311">
        <f t="shared" si="52"/>
        <v>207</v>
      </c>
      <c r="C212" s="236">
        <v>33.950000000000003</v>
      </c>
      <c r="D212" s="343" t="s">
        <v>221</v>
      </c>
      <c r="E212" s="36"/>
      <c r="F212" s="36"/>
      <c r="G212" s="36"/>
      <c r="H212" s="36"/>
      <c r="I212" s="36"/>
      <c r="J212" s="36"/>
      <c r="K212" s="36"/>
      <c r="L212" s="36"/>
      <c r="M212" s="36"/>
    </row>
    <row r="213" spans="1:13" ht="15.75">
      <c r="A213" s="37">
        <f t="shared" si="52"/>
        <v>207</v>
      </c>
      <c r="B213" s="311">
        <f t="shared" si="52"/>
        <v>208</v>
      </c>
      <c r="C213" s="236">
        <v>33.950000000000003</v>
      </c>
      <c r="D213" s="343" t="s">
        <v>221</v>
      </c>
      <c r="E213" s="36"/>
      <c r="F213" s="36"/>
      <c r="G213" s="36"/>
      <c r="H213" s="36"/>
      <c r="I213" s="36"/>
      <c r="J213" s="36"/>
      <c r="K213" s="36"/>
      <c r="L213" s="36"/>
      <c r="M213" s="36"/>
    </row>
    <row r="214" spans="1:13" ht="15.75">
      <c r="A214" s="37">
        <f t="shared" si="52"/>
        <v>208</v>
      </c>
      <c r="B214" s="311">
        <f t="shared" si="52"/>
        <v>209</v>
      </c>
      <c r="C214" s="236">
        <v>33.94</v>
      </c>
      <c r="D214" s="343" t="s">
        <v>221</v>
      </c>
      <c r="E214" s="36"/>
      <c r="F214" s="36"/>
      <c r="G214" s="36"/>
      <c r="H214" s="36"/>
      <c r="I214" s="36"/>
      <c r="J214" s="36"/>
      <c r="K214" s="36"/>
      <c r="L214" s="36"/>
      <c r="M214" s="36"/>
    </row>
    <row r="215" spans="1:13" ht="15.75">
      <c r="A215" s="37">
        <f t="shared" si="52"/>
        <v>209</v>
      </c>
      <c r="B215" s="311">
        <f t="shared" si="52"/>
        <v>210</v>
      </c>
      <c r="C215" s="236">
        <v>33.94</v>
      </c>
      <c r="D215" s="343" t="s">
        <v>221</v>
      </c>
      <c r="E215" s="36"/>
      <c r="F215" s="36"/>
      <c r="G215" s="36"/>
      <c r="H215" s="36"/>
      <c r="I215" s="36"/>
      <c r="J215" s="36"/>
      <c r="K215" s="36"/>
      <c r="L215" s="36"/>
      <c r="M215" s="36"/>
    </row>
    <row r="216" spans="1:13" ht="15.75">
      <c r="A216" s="37">
        <f t="shared" si="52"/>
        <v>210</v>
      </c>
      <c r="B216" s="311">
        <f t="shared" si="52"/>
        <v>211</v>
      </c>
      <c r="C216" s="236">
        <v>33.94</v>
      </c>
      <c r="D216" s="343" t="s">
        <v>221</v>
      </c>
      <c r="E216" s="36"/>
      <c r="F216" s="36"/>
      <c r="G216" s="36"/>
      <c r="H216" s="36"/>
      <c r="I216" s="36"/>
      <c r="J216" s="36"/>
      <c r="K216" s="36"/>
      <c r="L216" s="36"/>
      <c r="M216" s="36"/>
    </row>
    <row r="217" spans="1:13" ht="15.75">
      <c r="A217" s="37">
        <f t="shared" si="52"/>
        <v>211</v>
      </c>
      <c r="B217" s="311">
        <f t="shared" si="52"/>
        <v>212</v>
      </c>
      <c r="C217" s="236">
        <v>33.93</v>
      </c>
      <c r="D217" s="343" t="s">
        <v>221</v>
      </c>
      <c r="E217" s="36"/>
      <c r="F217" s="36"/>
      <c r="G217" s="36"/>
      <c r="H217" s="36"/>
      <c r="I217" s="36"/>
      <c r="J217" s="36"/>
      <c r="K217" s="36"/>
      <c r="L217" s="36"/>
      <c r="M217" s="36"/>
    </row>
    <row r="218" spans="1:13" ht="15.75">
      <c r="A218" s="37">
        <f t="shared" si="52"/>
        <v>212</v>
      </c>
      <c r="B218" s="311">
        <f t="shared" si="52"/>
        <v>213</v>
      </c>
      <c r="C218" s="236">
        <v>30.91</v>
      </c>
      <c r="D218" s="343" t="s">
        <v>221</v>
      </c>
      <c r="E218" s="36"/>
      <c r="F218" s="36"/>
      <c r="G218" s="36"/>
      <c r="H218" s="36"/>
      <c r="I218" s="36"/>
      <c r="J218" s="36"/>
      <c r="K218" s="36"/>
      <c r="L218" s="36"/>
      <c r="M218" s="36"/>
    </row>
    <row r="219" spans="1:13" ht="15.75">
      <c r="A219" s="37">
        <f t="shared" si="52"/>
        <v>213</v>
      </c>
      <c r="B219" s="311">
        <f t="shared" si="52"/>
        <v>214</v>
      </c>
      <c r="C219" s="236">
        <v>33.94</v>
      </c>
      <c r="D219" s="343" t="s">
        <v>221</v>
      </c>
      <c r="E219" s="36"/>
      <c r="F219" s="36"/>
      <c r="G219" s="36"/>
      <c r="H219" s="36"/>
      <c r="I219" s="36"/>
      <c r="J219" s="36"/>
      <c r="K219" s="36"/>
      <c r="L219" s="36"/>
      <c r="M219" s="36"/>
    </row>
    <row r="220" spans="1:13" ht="15.75">
      <c r="A220" s="37">
        <f t="shared" si="52"/>
        <v>214</v>
      </c>
      <c r="B220" s="311">
        <f t="shared" si="52"/>
        <v>215</v>
      </c>
      <c r="C220" s="236">
        <v>33.94</v>
      </c>
      <c r="D220" s="343" t="s">
        <v>221</v>
      </c>
      <c r="E220" s="36"/>
      <c r="F220" s="36"/>
      <c r="G220" s="36"/>
      <c r="H220" s="36"/>
      <c r="I220" s="36"/>
      <c r="J220" s="36"/>
      <c r="K220" s="36"/>
      <c r="L220" s="36"/>
      <c r="M220" s="36"/>
    </row>
    <row r="221" spans="1:13" ht="15.75">
      <c r="A221" s="37">
        <f t="shared" si="52"/>
        <v>215</v>
      </c>
      <c r="B221" s="311">
        <f t="shared" si="52"/>
        <v>216</v>
      </c>
      <c r="C221" s="236">
        <v>33.58</v>
      </c>
      <c r="D221" s="343" t="s">
        <v>221</v>
      </c>
      <c r="E221" s="36"/>
      <c r="F221" s="36"/>
      <c r="G221" s="36"/>
      <c r="H221" s="36"/>
      <c r="I221" s="36"/>
      <c r="J221" s="36"/>
      <c r="K221" s="36"/>
      <c r="L221" s="36"/>
      <c r="M221" s="36"/>
    </row>
    <row r="222" spans="1:13" ht="15.75">
      <c r="A222" s="37">
        <f t="shared" si="52"/>
        <v>216</v>
      </c>
      <c r="B222" s="311">
        <f t="shared" si="52"/>
        <v>217</v>
      </c>
      <c r="C222" s="236">
        <v>33.93</v>
      </c>
      <c r="D222" s="343" t="s">
        <v>221</v>
      </c>
      <c r="E222" s="36"/>
      <c r="F222" s="36"/>
      <c r="G222" s="36"/>
      <c r="H222" s="36"/>
      <c r="I222" s="36"/>
      <c r="J222" s="36"/>
      <c r="K222" s="36"/>
      <c r="L222" s="36"/>
      <c r="M222" s="36"/>
    </row>
    <row r="223" spans="1:13" ht="15.75">
      <c r="A223" s="37">
        <f t="shared" si="52"/>
        <v>217</v>
      </c>
      <c r="B223" s="311">
        <f t="shared" si="52"/>
        <v>218</v>
      </c>
      <c r="C223" s="236">
        <v>33.94</v>
      </c>
      <c r="D223" s="343" t="s">
        <v>221</v>
      </c>
      <c r="E223" s="36"/>
      <c r="F223" s="36"/>
      <c r="G223" s="36"/>
      <c r="H223" s="36"/>
      <c r="I223" s="36"/>
      <c r="J223" s="36"/>
      <c r="K223" s="36"/>
      <c r="L223" s="36"/>
      <c r="M223" s="36"/>
    </row>
    <row r="224" spans="1:13" ht="15.75">
      <c r="A224" s="37">
        <f t="shared" si="52"/>
        <v>218</v>
      </c>
      <c r="B224" s="311">
        <f t="shared" si="52"/>
        <v>219</v>
      </c>
      <c r="C224" s="236">
        <v>33.94</v>
      </c>
      <c r="D224" s="343" t="s">
        <v>221</v>
      </c>
      <c r="E224" s="36"/>
      <c r="F224" s="36"/>
      <c r="G224" s="36"/>
      <c r="H224" s="36"/>
      <c r="I224" s="36"/>
      <c r="J224" s="36"/>
      <c r="K224" s="36"/>
      <c r="L224" s="36"/>
      <c r="M224" s="36"/>
    </row>
    <row r="225" spans="1:13" ht="15.75">
      <c r="A225" s="37">
        <f t="shared" si="52"/>
        <v>219</v>
      </c>
      <c r="B225" s="311">
        <f t="shared" si="52"/>
        <v>220</v>
      </c>
      <c r="C225" s="236">
        <v>33.93</v>
      </c>
      <c r="D225" s="343" t="s">
        <v>221</v>
      </c>
      <c r="E225" s="36"/>
      <c r="F225" s="36"/>
      <c r="G225" s="36"/>
      <c r="H225" s="36"/>
      <c r="I225" s="36"/>
      <c r="J225" s="36"/>
      <c r="K225" s="36"/>
      <c r="L225" s="36"/>
      <c r="M225" s="36"/>
    </row>
    <row r="226" spans="1:13" ht="15.75">
      <c r="A226" s="37">
        <f t="shared" si="52"/>
        <v>220</v>
      </c>
      <c r="B226" s="311">
        <f t="shared" si="52"/>
        <v>221</v>
      </c>
      <c r="C226" s="236">
        <v>33.94</v>
      </c>
      <c r="D226" s="343" t="s">
        <v>221</v>
      </c>
      <c r="E226" s="36"/>
      <c r="F226" s="36"/>
      <c r="G226" s="36"/>
      <c r="H226" s="36"/>
      <c r="I226" s="36"/>
      <c r="J226" s="36"/>
      <c r="K226" s="36"/>
      <c r="L226" s="36"/>
      <c r="M226" s="36"/>
    </row>
    <row r="227" spans="1:13" ht="15.75">
      <c r="A227" s="37">
        <f t="shared" si="52"/>
        <v>221</v>
      </c>
      <c r="B227" s="311">
        <f t="shared" si="52"/>
        <v>222</v>
      </c>
      <c r="C227" s="236">
        <v>33.94</v>
      </c>
      <c r="D227" s="343" t="s">
        <v>221</v>
      </c>
      <c r="E227" s="36"/>
      <c r="F227" s="36"/>
      <c r="G227" s="36"/>
      <c r="H227" s="36"/>
      <c r="I227" s="36"/>
      <c r="J227" s="36"/>
      <c r="K227" s="36"/>
      <c r="L227" s="36"/>
      <c r="M227" s="36"/>
    </row>
    <row r="228" spans="1:13" ht="15.75">
      <c r="A228" s="37">
        <f t="shared" si="52"/>
        <v>222</v>
      </c>
      <c r="B228" s="311">
        <f t="shared" si="52"/>
        <v>223</v>
      </c>
      <c r="C228" s="236">
        <v>33.94</v>
      </c>
      <c r="D228" s="343" t="s">
        <v>221</v>
      </c>
      <c r="E228" s="36"/>
      <c r="F228" s="36"/>
      <c r="G228" s="36"/>
      <c r="H228" s="36"/>
      <c r="I228" s="36"/>
      <c r="J228" s="36"/>
      <c r="K228" s="36"/>
      <c r="L228" s="36"/>
      <c r="M228" s="36"/>
    </row>
    <row r="229" spans="1:13" ht="15.75">
      <c r="A229" s="37">
        <f t="shared" si="52"/>
        <v>223</v>
      </c>
      <c r="B229" s="311">
        <f t="shared" si="52"/>
        <v>224</v>
      </c>
      <c r="C229" s="236">
        <v>33.94</v>
      </c>
      <c r="D229" s="343" t="s">
        <v>221</v>
      </c>
      <c r="E229" s="36"/>
      <c r="F229" s="36"/>
      <c r="G229" s="36"/>
      <c r="H229" s="36"/>
      <c r="I229" s="36"/>
      <c r="J229" s="36"/>
      <c r="K229" s="36"/>
      <c r="L229" s="36"/>
      <c r="M229" s="36"/>
    </row>
    <row r="230" spans="1:13" ht="15.75">
      <c r="A230" s="37">
        <f t="shared" si="52"/>
        <v>224</v>
      </c>
      <c r="B230" s="311">
        <f t="shared" si="52"/>
        <v>225</v>
      </c>
      <c r="C230" s="236">
        <v>33.94</v>
      </c>
      <c r="D230" s="343" t="s">
        <v>221</v>
      </c>
      <c r="E230" s="36"/>
      <c r="F230" s="36"/>
      <c r="G230" s="36"/>
      <c r="H230" s="36"/>
      <c r="I230" s="36"/>
      <c r="J230" s="36"/>
      <c r="K230" s="36"/>
      <c r="L230" s="36"/>
      <c r="M230" s="36"/>
    </row>
    <row r="231" spans="1:13" ht="15.75">
      <c r="A231" s="37">
        <f t="shared" si="52"/>
        <v>225</v>
      </c>
      <c r="B231" s="311">
        <f t="shared" si="52"/>
        <v>226</v>
      </c>
      <c r="C231" s="236">
        <v>33.93</v>
      </c>
      <c r="D231" s="343" t="s">
        <v>221</v>
      </c>
      <c r="E231" s="36"/>
      <c r="F231" s="36"/>
      <c r="G231" s="36"/>
      <c r="H231" s="36"/>
      <c r="I231" s="36"/>
      <c r="J231" s="36"/>
      <c r="K231" s="36"/>
      <c r="L231" s="36"/>
      <c r="M231" s="36"/>
    </row>
    <row r="232" spans="1:13" ht="15.75">
      <c r="A232" s="37">
        <f t="shared" si="52"/>
        <v>226</v>
      </c>
      <c r="B232" s="311">
        <f t="shared" si="52"/>
        <v>227</v>
      </c>
      <c r="C232" s="236">
        <v>33.96</v>
      </c>
      <c r="D232" s="343" t="s">
        <v>221</v>
      </c>
      <c r="E232" s="36"/>
      <c r="F232" s="36"/>
      <c r="G232" s="36"/>
      <c r="H232" s="36"/>
      <c r="I232" s="36"/>
      <c r="J232" s="36"/>
      <c r="K232" s="36"/>
      <c r="L232" s="36"/>
      <c r="M232" s="36"/>
    </row>
    <row r="233" spans="1:13" ht="15.75">
      <c r="A233" s="37">
        <f t="shared" si="52"/>
        <v>227</v>
      </c>
      <c r="B233" s="311">
        <f t="shared" si="52"/>
        <v>228</v>
      </c>
      <c r="C233" s="236">
        <v>33.94</v>
      </c>
      <c r="D233" s="343" t="s">
        <v>221</v>
      </c>
      <c r="E233" s="36"/>
      <c r="F233" s="36"/>
      <c r="G233" s="36"/>
      <c r="H233" s="36"/>
      <c r="I233" s="36"/>
      <c r="J233" s="36"/>
      <c r="K233" s="36"/>
      <c r="L233" s="36"/>
      <c r="M233" s="36"/>
    </row>
    <row r="234" spans="1:13" ht="15.75">
      <c r="A234" s="37">
        <f t="shared" si="52"/>
        <v>228</v>
      </c>
      <c r="B234" s="311">
        <f t="shared" si="52"/>
        <v>229</v>
      </c>
      <c r="C234" s="236">
        <v>33.93</v>
      </c>
      <c r="D234" s="343" t="s">
        <v>221</v>
      </c>
      <c r="E234" s="36"/>
      <c r="F234" s="36"/>
      <c r="G234" s="36"/>
      <c r="H234" s="36"/>
      <c r="I234" s="36"/>
      <c r="J234" s="36"/>
      <c r="K234" s="36"/>
      <c r="L234" s="36"/>
      <c r="M234" s="36"/>
    </row>
    <row r="235" spans="1:13" ht="15.75">
      <c r="A235" s="37">
        <f t="shared" si="52"/>
        <v>229</v>
      </c>
      <c r="B235" s="311">
        <f t="shared" si="52"/>
        <v>230</v>
      </c>
      <c r="C235" s="236">
        <v>33.869999999999997</v>
      </c>
      <c r="D235" s="343" t="s">
        <v>221</v>
      </c>
      <c r="E235" s="36"/>
      <c r="F235" s="36"/>
      <c r="G235" s="36"/>
      <c r="H235" s="36"/>
      <c r="I235" s="36"/>
      <c r="J235" s="36"/>
      <c r="K235" s="36"/>
      <c r="L235" s="36"/>
      <c r="M235" s="36"/>
    </row>
    <row r="236" spans="1:13" ht="15.75">
      <c r="A236" s="37">
        <f t="shared" si="52"/>
        <v>230</v>
      </c>
      <c r="B236" s="311">
        <f t="shared" si="52"/>
        <v>231</v>
      </c>
      <c r="C236" s="236">
        <v>33.979999999999997</v>
      </c>
      <c r="D236" s="343" t="s">
        <v>221</v>
      </c>
      <c r="E236" s="36"/>
      <c r="F236" s="36"/>
      <c r="G236" s="36"/>
      <c r="H236" s="36"/>
      <c r="I236" s="36"/>
      <c r="J236" s="36"/>
      <c r="K236" s="36"/>
      <c r="L236" s="36"/>
      <c r="M236" s="36"/>
    </row>
    <row r="237" spans="1:13" ht="15.75">
      <c r="A237" s="37">
        <f t="shared" si="52"/>
        <v>231</v>
      </c>
      <c r="B237" s="311">
        <f t="shared" si="52"/>
        <v>232</v>
      </c>
      <c r="C237" s="236">
        <v>33.42</v>
      </c>
      <c r="D237" s="343" t="s">
        <v>221</v>
      </c>
      <c r="E237" s="36"/>
      <c r="F237" s="36"/>
      <c r="G237" s="36"/>
      <c r="H237" s="36"/>
      <c r="I237" s="36"/>
      <c r="J237" s="36"/>
      <c r="K237" s="36"/>
      <c r="L237" s="36"/>
      <c r="M237" s="36"/>
    </row>
    <row r="238" spans="1:13" ht="15.75">
      <c r="A238" s="37">
        <f t="shared" si="52"/>
        <v>232</v>
      </c>
      <c r="B238" s="311">
        <f t="shared" si="52"/>
        <v>233</v>
      </c>
      <c r="C238" s="236">
        <v>33.950000000000003</v>
      </c>
      <c r="D238" s="343" t="s">
        <v>221</v>
      </c>
      <c r="E238" s="36"/>
      <c r="F238" s="36"/>
      <c r="G238" s="36"/>
      <c r="H238" s="36"/>
      <c r="I238" s="36"/>
      <c r="J238" s="36"/>
      <c r="K238" s="36"/>
      <c r="L238" s="36"/>
      <c r="M238" s="36"/>
    </row>
    <row r="239" spans="1:13" ht="15.75">
      <c r="A239" s="37">
        <f t="shared" si="52"/>
        <v>233</v>
      </c>
      <c r="B239" s="311">
        <f t="shared" si="52"/>
        <v>234</v>
      </c>
      <c r="C239" s="236">
        <v>33.94</v>
      </c>
      <c r="D239" s="343" t="s">
        <v>221</v>
      </c>
      <c r="E239" s="36"/>
      <c r="F239" s="36"/>
      <c r="G239" s="36"/>
      <c r="H239" s="36"/>
      <c r="I239" s="36"/>
      <c r="J239" s="36"/>
      <c r="K239" s="36"/>
      <c r="L239" s="36"/>
      <c r="M239" s="36"/>
    </row>
    <row r="240" spans="1:13" ht="15.75">
      <c r="A240" s="37">
        <f t="shared" si="52"/>
        <v>234</v>
      </c>
      <c r="B240" s="311">
        <f t="shared" si="52"/>
        <v>235</v>
      </c>
      <c r="C240" s="236">
        <v>33.58</v>
      </c>
      <c r="D240" s="343" t="s">
        <v>221</v>
      </c>
      <c r="E240" s="36"/>
      <c r="F240" s="36"/>
      <c r="G240" s="36"/>
      <c r="H240" s="36"/>
      <c r="I240" s="36"/>
      <c r="J240" s="36"/>
      <c r="K240" s="36"/>
      <c r="L240" s="36"/>
      <c r="M240" s="36"/>
    </row>
    <row r="241" spans="1:13" ht="15.75">
      <c r="A241" s="37">
        <f t="shared" si="52"/>
        <v>235</v>
      </c>
      <c r="B241" s="311">
        <f t="shared" si="52"/>
        <v>236</v>
      </c>
      <c r="C241" s="236">
        <v>33.96</v>
      </c>
      <c r="D241" s="343" t="s">
        <v>221</v>
      </c>
      <c r="E241" s="36"/>
      <c r="F241" s="36"/>
      <c r="G241" s="36"/>
      <c r="H241" s="36"/>
      <c r="I241" s="36"/>
      <c r="J241" s="36"/>
      <c r="K241" s="36"/>
      <c r="L241" s="36"/>
      <c r="M241" s="36"/>
    </row>
    <row r="242" spans="1:13" ht="15.75">
      <c r="A242" s="37">
        <f t="shared" si="52"/>
        <v>236</v>
      </c>
      <c r="B242" s="311">
        <f t="shared" si="52"/>
        <v>237</v>
      </c>
      <c r="C242" s="236">
        <v>33.94</v>
      </c>
      <c r="D242" s="343" t="s">
        <v>221</v>
      </c>
      <c r="E242" s="36"/>
      <c r="F242" s="36"/>
      <c r="G242" s="36"/>
      <c r="H242" s="36"/>
      <c r="I242" s="36"/>
      <c r="J242" s="36"/>
      <c r="K242" s="36"/>
      <c r="L242" s="36"/>
      <c r="M242" s="36"/>
    </row>
    <row r="243" spans="1:13" ht="15.75">
      <c r="A243" s="37">
        <f t="shared" si="52"/>
        <v>237</v>
      </c>
      <c r="B243" s="311">
        <f t="shared" si="52"/>
        <v>238</v>
      </c>
      <c r="C243" s="236">
        <v>33.950000000000003</v>
      </c>
      <c r="D243" s="343" t="s">
        <v>221</v>
      </c>
      <c r="E243" s="36"/>
      <c r="F243" s="36"/>
      <c r="G243" s="36"/>
      <c r="H243" s="36"/>
      <c r="I243" s="36"/>
      <c r="J243" s="36"/>
      <c r="K243" s="36"/>
      <c r="L243" s="36"/>
      <c r="M243" s="36"/>
    </row>
    <row r="244" spans="1:13" ht="15.75">
      <c r="A244" s="37">
        <f t="shared" si="52"/>
        <v>238</v>
      </c>
      <c r="B244" s="311">
        <f t="shared" si="52"/>
        <v>239</v>
      </c>
      <c r="C244" s="236">
        <v>33.950000000000003</v>
      </c>
      <c r="D244" s="343" t="s">
        <v>221</v>
      </c>
      <c r="E244" s="36"/>
      <c r="F244" s="36"/>
      <c r="G244" s="36"/>
      <c r="H244" s="36"/>
      <c r="I244" s="36"/>
      <c r="J244" s="36"/>
      <c r="K244" s="36"/>
      <c r="L244" s="36"/>
      <c r="M244" s="36"/>
    </row>
    <row r="245" spans="1:13" ht="15.75">
      <c r="A245" s="37">
        <f t="shared" si="52"/>
        <v>239</v>
      </c>
      <c r="B245" s="311">
        <f t="shared" si="52"/>
        <v>240</v>
      </c>
      <c r="C245" s="236">
        <v>33.25</v>
      </c>
      <c r="D245" s="343" t="s">
        <v>221</v>
      </c>
      <c r="E245" s="36"/>
      <c r="F245" s="36"/>
      <c r="G245" s="36"/>
      <c r="H245" s="36"/>
      <c r="I245" s="36"/>
      <c r="J245" s="36"/>
      <c r="K245" s="36"/>
      <c r="L245" s="36"/>
      <c r="M245" s="36"/>
    </row>
    <row r="246" spans="1:13" ht="15.75">
      <c r="A246" s="37">
        <f t="shared" si="52"/>
        <v>240</v>
      </c>
      <c r="B246" s="311">
        <f t="shared" si="52"/>
        <v>241</v>
      </c>
      <c r="C246" s="236">
        <v>33.950000000000003</v>
      </c>
      <c r="D246" s="343" t="s">
        <v>221</v>
      </c>
      <c r="E246" s="36"/>
      <c r="F246" s="36"/>
      <c r="G246" s="36"/>
      <c r="H246" s="36"/>
      <c r="I246" s="36"/>
      <c r="J246" s="36"/>
      <c r="K246" s="36"/>
      <c r="L246" s="36"/>
      <c r="M246" s="36"/>
    </row>
    <row r="247" spans="1:13" ht="15.75">
      <c r="A247" s="37">
        <f t="shared" si="52"/>
        <v>241</v>
      </c>
      <c r="B247" s="311">
        <f t="shared" si="52"/>
        <v>242</v>
      </c>
      <c r="C247" s="236">
        <v>33.950000000000003</v>
      </c>
      <c r="D247" s="343" t="s">
        <v>221</v>
      </c>
      <c r="E247" s="36"/>
      <c r="F247" s="36"/>
      <c r="G247" s="36"/>
      <c r="H247" s="36"/>
      <c r="I247" s="36"/>
      <c r="J247" s="36"/>
      <c r="K247" s="36"/>
      <c r="L247" s="36"/>
      <c r="M247" s="36"/>
    </row>
    <row r="248" spans="1:13" ht="15.75">
      <c r="A248" s="37">
        <f t="shared" si="52"/>
        <v>242</v>
      </c>
      <c r="B248" s="311">
        <f t="shared" si="52"/>
        <v>243</v>
      </c>
      <c r="C248" s="236">
        <v>33.96</v>
      </c>
      <c r="D248" s="343" t="s">
        <v>221</v>
      </c>
      <c r="E248" s="36"/>
      <c r="F248" s="36"/>
      <c r="G248" s="36"/>
      <c r="H248" s="36"/>
      <c r="I248" s="36"/>
      <c r="J248" s="36"/>
      <c r="K248" s="36"/>
      <c r="L248" s="36"/>
      <c r="M248" s="36"/>
    </row>
    <row r="249" spans="1:13" ht="15.75">
      <c r="A249" s="37">
        <f t="shared" si="52"/>
        <v>243</v>
      </c>
      <c r="B249" s="311">
        <f t="shared" si="52"/>
        <v>244</v>
      </c>
      <c r="C249" s="236">
        <v>33.96</v>
      </c>
      <c r="D249" s="343" t="s">
        <v>221</v>
      </c>
      <c r="E249" s="36"/>
      <c r="F249" s="36"/>
      <c r="G249" s="36"/>
      <c r="H249" s="36"/>
      <c r="I249" s="36"/>
      <c r="J249" s="36"/>
      <c r="K249" s="36"/>
      <c r="L249" s="36"/>
      <c r="M249" s="36"/>
    </row>
    <row r="250" spans="1:13" ht="15.75" customHeight="1">
      <c r="A250" s="37">
        <f t="shared" si="52"/>
        <v>244</v>
      </c>
      <c r="B250" s="311">
        <f t="shared" si="52"/>
        <v>245</v>
      </c>
      <c r="C250" s="236">
        <v>33.619999999999997</v>
      </c>
      <c r="D250" s="343" t="s">
        <v>221</v>
      </c>
      <c r="E250" s="36"/>
      <c r="F250" s="36"/>
      <c r="G250" s="36"/>
      <c r="H250" s="36"/>
      <c r="I250" s="36"/>
      <c r="J250" s="36"/>
      <c r="K250" s="36"/>
      <c r="L250" s="36"/>
      <c r="M250" s="36"/>
    </row>
    <row r="251" spans="1:13" ht="15.75">
      <c r="A251" s="37">
        <f t="shared" si="52"/>
        <v>245</v>
      </c>
      <c r="B251" s="311">
        <f t="shared" si="52"/>
        <v>246</v>
      </c>
      <c r="C251" s="236">
        <v>33.86</v>
      </c>
      <c r="D251" s="343" t="s">
        <v>221</v>
      </c>
      <c r="E251" s="36"/>
      <c r="F251" s="36"/>
      <c r="G251" s="36"/>
      <c r="H251" s="36"/>
      <c r="I251" s="36"/>
      <c r="J251" s="36"/>
      <c r="K251" s="36"/>
      <c r="L251" s="36"/>
      <c r="M251" s="36"/>
    </row>
    <row r="252" spans="1:13" ht="15.75">
      <c r="A252" s="37">
        <f t="shared" si="52"/>
        <v>246</v>
      </c>
      <c r="B252" s="311">
        <f t="shared" si="52"/>
        <v>247</v>
      </c>
      <c r="C252" s="236">
        <v>33.909999999999997</v>
      </c>
      <c r="D252" s="343" t="s">
        <v>221</v>
      </c>
      <c r="E252" s="36"/>
      <c r="F252" s="36"/>
      <c r="G252" s="36"/>
      <c r="H252" s="36"/>
      <c r="I252" s="36"/>
      <c r="J252" s="36"/>
      <c r="K252" s="36"/>
      <c r="L252" s="36"/>
      <c r="M252" s="36"/>
    </row>
    <row r="253" spans="1:13" ht="15.75">
      <c r="A253" s="37">
        <f t="shared" si="52"/>
        <v>247</v>
      </c>
      <c r="B253" s="311">
        <f t="shared" si="52"/>
        <v>248</v>
      </c>
      <c r="C253" s="236">
        <v>33.68</v>
      </c>
      <c r="D253" s="343" t="s">
        <v>221</v>
      </c>
      <c r="E253" s="36"/>
      <c r="F253" s="36"/>
      <c r="G253" s="36"/>
      <c r="H253" s="36"/>
      <c r="I253" s="36"/>
      <c r="J253" s="36"/>
      <c r="K253" s="36"/>
      <c r="L253" s="36"/>
      <c r="M253" s="36"/>
    </row>
    <row r="254" spans="1:13" ht="15.75">
      <c r="A254" s="37">
        <f t="shared" si="52"/>
        <v>248</v>
      </c>
      <c r="B254" s="311">
        <f t="shared" si="52"/>
        <v>249</v>
      </c>
      <c r="C254" s="236">
        <v>33.96</v>
      </c>
      <c r="D254" s="343" t="s">
        <v>221</v>
      </c>
      <c r="E254" s="36"/>
      <c r="F254" s="36"/>
      <c r="G254" s="36"/>
      <c r="H254" s="36"/>
      <c r="I254" s="36"/>
      <c r="J254" s="36"/>
      <c r="K254" s="36"/>
      <c r="L254" s="36"/>
      <c r="M254" s="36"/>
    </row>
    <row r="255" spans="1:13" ht="15.75">
      <c r="A255" s="37">
        <f t="shared" si="52"/>
        <v>249</v>
      </c>
      <c r="B255" s="311">
        <f t="shared" si="52"/>
        <v>250</v>
      </c>
      <c r="C255" s="236">
        <v>33.659999999999997</v>
      </c>
      <c r="D255" s="343" t="s">
        <v>221</v>
      </c>
      <c r="E255" s="36"/>
      <c r="F255" s="36"/>
      <c r="G255" s="36"/>
      <c r="H255" s="36"/>
      <c r="I255" s="36"/>
      <c r="J255" s="36"/>
      <c r="K255" s="36"/>
      <c r="L255" s="36"/>
      <c r="M255" s="36"/>
    </row>
    <row r="256" spans="1:13" ht="15.75">
      <c r="A256" s="37">
        <f t="shared" si="52"/>
        <v>250</v>
      </c>
      <c r="B256" s="311">
        <f t="shared" si="52"/>
        <v>251</v>
      </c>
      <c r="C256" s="236">
        <v>33.51</v>
      </c>
      <c r="D256" s="343" t="s">
        <v>221</v>
      </c>
      <c r="E256" s="36"/>
      <c r="F256" s="36"/>
      <c r="G256" s="36"/>
      <c r="H256" s="36"/>
      <c r="I256" s="36"/>
      <c r="J256" s="36"/>
      <c r="K256" s="36"/>
      <c r="L256" s="36"/>
      <c r="M256" s="36"/>
    </row>
    <row r="257" spans="1:13" ht="15.75">
      <c r="A257" s="37">
        <f t="shared" si="52"/>
        <v>251</v>
      </c>
      <c r="B257" s="311">
        <f t="shared" si="52"/>
        <v>252</v>
      </c>
      <c r="C257" s="236">
        <v>33.590000000000003</v>
      </c>
      <c r="D257" s="343" t="s">
        <v>221</v>
      </c>
      <c r="E257" s="36"/>
      <c r="F257" s="36"/>
      <c r="G257" s="36"/>
      <c r="H257" s="36"/>
      <c r="I257" s="36"/>
      <c r="J257" s="36"/>
      <c r="K257" s="36"/>
      <c r="L257" s="36"/>
      <c r="M257" s="36"/>
    </row>
    <row r="258" spans="1:13" ht="15.75">
      <c r="A258" s="37">
        <f t="shared" si="52"/>
        <v>252</v>
      </c>
      <c r="B258" s="311">
        <f t="shared" si="52"/>
        <v>253</v>
      </c>
      <c r="C258" s="236">
        <v>33.57</v>
      </c>
      <c r="D258" s="343" t="s">
        <v>221</v>
      </c>
      <c r="E258" s="36"/>
      <c r="F258" s="36"/>
      <c r="G258" s="36"/>
      <c r="H258" s="36"/>
      <c r="I258" s="36"/>
      <c r="J258" s="36"/>
      <c r="K258" s="36"/>
      <c r="L258" s="36"/>
      <c r="M258" s="36"/>
    </row>
    <row r="259" spans="1:13" ht="15.75">
      <c r="A259" s="37">
        <f t="shared" si="52"/>
        <v>253</v>
      </c>
      <c r="B259" s="311">
        <f t="shared" si="52"/>
        <v>254</v>
      </c>
      <c r="C259" s="236">
        <v>33.93</v>
      </c>
      <c r="D259" s="343" t="s">
        <v>221</v>
      </c>
      <c r="E259" s="36"/>
      <c r="F259" s="36"/>
      <c r="G259" s="36"/>
      <c r="H259" s="36"/>
      <c r="I259" s="36"/>
      <c r="J259" s="36"/>
      <c r="K259" s="36"/>
      <c r="L259" s="36"/>
      <c r="M259" s="36"/>
    </row>
    <row r="260" spans="1:13" ht="15.75">
      <c r="A260" s="37">
        <f t="shared" si="52"/>
        <v>254</v>
      </c>
      <c r="B260" s="311">
        <f t="shared" si="52"/>
        <v>255</v>
      </c>
      <c r="C260" s="236">
        <v>33.75</v>
      </c>
      <c r="D260" s="343" t="s">
        <v>221</v>
      </c>
      <c r="E260" s="36"/>
      <c r="F260" s="36"/>
      <c r="G260" s="36"/>
      <c r="H260" s="36"/>
      <c r="I260" s="36"/>
      <c r="J260" s="36"/>
      <c r="K260" s="36"/>
      <c r="L260" s="36"/>
      <c r="M260" s="36"/>
    </row>
    <row r="261" spans="1:13" ht="15.75">
      <c r="A261" s="37">
        <f t="shared" si="52"/>
        <v>255</v>
      </c>
      <c r="B261" s="311">
        <f t="shared" si="52"/>
        <v>256</v>
      </c>
      <c r="C261" s="236">
        <v>33.799999999999997</v>
      </c>
      <c r="D261" s="343" t="s">
        <v>221</v>
      </c>
      <c r="E261" s="36"/>
      <c r="F261" s="36"/>
      <c r="G261" s="36"/>
      <c r="H261" s="36"/>
      <c r="I261" s="36"/>
      <c r="J261" s="36"/>
      <c r="K261" s="36"/>
      <c r="L261" s="36"/>
      <c r="M261" s="36"/>
    </row>
    <row r="262" spans="1:13" ht="15.75">
      <c r="A262" s="37">
        <f t="shared" si="52"/>
        <v>256</v>
      </c>
      <c r="B262" s="311">
        <f t="shared" si="52"/>
        <v>257</v>
      </c>
      <c r="C262" s="236">
        <v>33.93</v>
      </c>
      <c r="D262" s="343" t="s">
        <v>221</v>
      </c>
      <c r="E262" s="36"/>
      <c r="F262" s="36"/>
      <c r="G262" s="36"/>
      <c r="H262" s="36"/>
      <c r="I262" s="36"/>
      <c r="J262" s="36"/>
      <c r="K262" s="36"/>
      <c r="L262" s="36"/>
      <c r="M262" s="36"/>
    </row>
    <row r="263" spans="1:13" ht="15.75">
      <c r="A263" s="37">
        <f t="shared" si="52"/>
        <v>257</v>
      </c>
      <c r="B263" s="311">
        <f t="shared" si="52"/>
        <v>258</v>
      </c>
      <c r="C263" s="236">
        <v>33.53</v>
      </c>
      <c r="D263" s="343" t="s">
        <v>221</v>
      </c>
      <c r="E263" s="36"/>
      <c r="F263" s="36"/>
      <c r="G263" s="36"/>
      <c r="H263" s="36"/>
      <c r="I263" s="36"/>
      <c r="J263" s="36"/>
      <c r="K263" s="36"/>
      <c r="L263" s="36"/>
      <c r="M263" s="36"/>
    </row>
    <row r="264" spans="1:13" ht="15.75">
      <c r="A264" s="37">
        <f t="shared" ref="A264:B327" si="53">A263+1</f>
        <v>258</v>
      </c>
      <c r="B264" s="311">
        <f t="shared" si="53"/>
        <v>259</v>
      </c>
      <c r="C264" s="236">
        <v>33.86</v>
      </c>
      <c r="D264" s="343" t="s">
        <v>221</v>
      </c>
      <c r="E264" s="36"/>
      <c r="F264" s="36"/>
      <c r="G264" s="36"/>
      <c r="H264" s="36"/>
      <c r="I264" s="36"/>
      <c r="J264" s="36"/>
      <c r="K264" s="36"/>
      <c r="L264" s="36"/>
      <c r="M264" s="36"/>
    </row>
    <row r="265" spans="1:13" ht="15.75">
      <c r="A265" s="37">
        <f t="shared" si="53"/>
        <v>259</v>
      </c>
      <c r="B265" s="311">
        <f t="shared" si="53"/>
        <v>260</v>
      </c>
      <c r="C265" s="236">
        <v>33.54</v>
      </c>
      <c r="D265" s="343" t="s">
        <v>221</v>
      </c>
      <c r="E265" s="36"/>
      <c r="F265" s="36"/>
      <c r="G265" s="36"/>
      <c r="H265" s="36"/>
      <c r="I265" s="36"/>
      <c r="J265" s="36"/>
      <c r="K265" s="36"/>
      <c r="L265" s="36"/>
      <c r="M265" s="36"/>
    </row>
    <row r="266" spans="1:13" ht="15.75">
      <c r="A266" s="37">
        <f t="shared" si="53"/>
        <v>260</v>
      </c>
      <c r="B266" s="311">
        <f t="shared" si="53"/>
        <v>261</v>
      </c>
      <c r="C266" s="236">
        <v>33.35</v>
      </c>
      <c r="D266" s="343" t="s">
        <v>221</v>
      </c>
      <c r="E266" s="36"/>
      <c r="F266" s="36"/>
      <c r="G266" s="36"/>
      <c r="H266" s="36"/>
      <c r="I266" s="36"/>
      <c r="J266" s="36"/>
      <c r="K266" s="36"/>
      <c r="L266" s="36"/>
      <c r="M266" s="36"/>
    </row>
    <row r="267" spans="1:13" ht="15.75">
      <c r="A267" s="37">
        <f t="shared" si="53"/>
        <v>261</v>
      </c>
      <c r="B267" s="311">
        <f t="shared" si="53"/>
        <v>262</v>
      </c>
      <c r="C267" s="236">
        <v>33.93</v>
      </c>
      <c r="D267" s="343" t="s">
        <v>221</v>
      </c>
      <c r="E267" s="36"/>
      <c r="F267" s="36"/>
      <c r="G267" s="36"/>
      <c r="H267" s="36"/>
      <c r="I267" s="36"/>
      <c r="J267" s="36"/>
      <c r="K267" s="36"/>
      <c r="L267" s="36"/>
      <c r="M267" s="36"/>
    </row>
    <row r="268" spans="1:13" ht="15.75">
      <c r="A268" s="37">
        <f t="shared" si="53"/>
        <v>262</v>
      </c>
      <c r="B268" s="311">
        <f t="shared" si="53"/>
        <v>263</v>
      </c>
      <c r="C268" s="236">
        <v>33.950000000000003</v>
      </c>
      <c r="D268" s="343" t="s">
        <v>221</v>
      </c>
      <c r="E268" s="36"/>
      <c r="F268" s="36"/>
      <c r="G268" s="36"/>
      <c r="H268" s="36"/>
      <c r="I268" s="36"/>
      <c r="J268" s="36"/>
      <c r="K268" s="36"/>
      <c r="L268" s="36"/>
      <c r="M268" s="36"/>
    </row>
    <row r="269" spans="1:13" ht="15.75">
      <c r="A269" s="37">
        <f t="shared" si="53"/>
        <v>263</v>
      </c>
      <c r="B269" s="311">
        <f t="shared" si="53"/>
        <v>264</v>
      </c>
      <c r="C269" s="236">
        <v>33.950000000000003</v>
      </c>
      <c r="D269" s="343" t="s">
        <v>221</v>
      </c>
      <c r="E269" s="36"/>
      <c r="F269" s="36"/>
      <c r="G269" s="36"/>
      <c r="H269" s="36"/>
      <c r="I269" s="36"/>
      <c r="J269" s="36"/>
      <c r="K269" s="36"/>
      <c r="L269" s="36"/>
      <c r="M269" s="36"/>
    </row>
    <row r="270" spans="1:13" ht="15.75">
      <c r="A270" s="37">
        <f t="shared" si="53"/>
        <v>264</v>
      </c>
      <c r="B270" s="311">
        <f t="shared" si="53"/>
        <v>265</v>
      </c>
      <c r="C270" s="236">
        <v>33.950000000000003</v>
      </c>
      <c r="D270" s="343" t="s">
        <v>221</v>
      </c>
      <c r="E270" s="36"/>
      <c r="F270" s="36"/>
      <c r="G270" s="36"/>
      <c r="H270" s="36"/>
      <c r="I270" s="36"/>
      <c r="J270" s="36"/>
      <c r="K270" s="36"/>
      <c r="L270" s="36"/>
      <c r="M270" s="36"/>
    </row>
    <row r="271" spans="1:13" ht="15.75">
      <c r="A271" s="37">
        <f t="shared" si="53"/>
        <v>265</v>
      </c>
      <c r="B271" s="311">
        <f t="shared" si="53"/>
        <v>266</v>
      </c>
      <c r="C271" s="236">
        <v>33.950000000000003</v>
      </c>
      <c r="D271" s="343" t="s">
        <v>221</v>
      </c>
      <c r="E271" s="36"/>
      <c r="F271" s="36"/>
      <c r="G271" s="36"/>
      <c r="H271" s="36"/>
      <c r="I271" s="36"/>
      <c r="J271" s="36"/>
      <c r="K271" s="36"/>
      <c r="L271" s="36"/>
      <c r="M271" s="36"/>
    </row>
    <row r="272" spans="1:13" ht="15.75">
      <c r="A272" s="37">
        <f t="shared" si="53"/>
        <v>266</v>
      </c>
      <c r="B272" s="311">
        <f t="shared" si="53"/>
        <v>267</v>
      </c>
      <c r="C272" s="236">
        <v>33.96</v>
      </c>
      <c r="D272" s="343" t="s">
        <v>221</v>
      </c>
      <c r="E272" s="36"/>
      <c r="F272" s="36"/>
      <c r="G272" s="36"/>
      <c r="H272" s="36"/>
      <c r="I272" s="36"/>
      <c r="J272" s="36"/>
      <c r="K272" s="36"/>
      <c r="L272" s="36"/>
      <c r="M272" s="36"/>
    </row>
    <row r="273" spans="1:13" ht="15.75">
      <c r="A273" s="37">
        <f t="shared" si="53"/>
        <v>267</v>
      </c>
      <c r="B273" s="311">
        <f t="shared" si="53"/>
        <v>268</v>
      </c>
      <c r="C273" s="236">
        <v>33.950000000000003</v>
      </c>
      <c r="D273" s="343" t="s">
        <v>221</v>
      </c>
      <c r="E273" s="36"/>
      <c r="F273" s="36"/>
      <c r="G273" s="36"/>
      <c r="H273" s="36"/>
      <c r="I273" s="36"/>
      <c r="J273" s="36"/>
      <c r="K273" s="36"/>
      <c r="L273" s="36"/>
      <c r="M273" s="36"/>
    </row>
    <row r="274" spans="1:13" ht="15.75">
      <c r="A274" s="37">
        <f t="shared" si="53"/>
        <v>268</v>
      </c>
      <c r="B274" s="311">
        <f t="shared" si="53"/>
        <v>269</v>
      </c>
      <c r="C274" s="236">
        <v>33.950000000000003</v>
      </c>
      <c r="D274" s="343" t="s">
        <v>221</v>
      </c>
      <c r="E274" s="36"/>
      <c r="F274" s="36"/>
      <c r="G274" s="36"/>
      <c r="H274" s="36"/>
      <c r="I274" s="36"/>
      <c r="J274" s="36"/>
      <c r="K274" s="36"/>
      <c r="L274" s="36"/>
      <c r="M274" s="36"/>
    </row>
    <row r="275" spans="1:13" ht="15.75">
      <c r="A275" s="37">
        <f t="shared" si="53"/>
        <v>269</v>
      </c>
      <c r="B275" s="311">
        <f t="shared" si="53"/>
        <v>270</v>
      </c>
      <c r="C275" s="236">
        <v>33.950000000000003</v>
      </c>
      <c r="D275" s="343" t="s">
        <v>221</v>
      </c>
      <c r="E275" s="36"/>
      <c r="F275" s="36"/>
      <c r="G275" s="36"/>
      <c r="H275" s="36"/>
      <c r="I275" s="36"/>
      <c r="J275" s="36"/>
      <c r="K275" s="36"/>
      <c r="L275" s="36"/>
      <c r="M275" s="36"/>
    </row>
    <row r="276" spans="1:13" ht="15.75">
      <c r="A276" s="37">
        <f t="shared" si="53"/>
        <v>270</v>
      </c>
      <c r="B276" s="311">
        <f t="shared" si="53"/>
        <v>271</v>
      </c>
      <c r="C276" s="236">
        <v>33.94</v>
      </c>
      <c r="D276" s="343" t="s">
        <v>221</v>
      </c>
      <c r="E276" s="36"/>
      <c r="H276" s="36"/>
      <c r="I276" s="36"/>
      <c r="J276" s="36"/>
      <c r="K276" s="36"/>
      <c r="L276" s="36"/>
      <c r="M276" s="36"/>
    </row>
    <row r="277" spans="1:13" ht="15.75">
      <c r="A277" s="37">
        <f t="shared" si="53"/>
        <v>271</v>
      </c>
      <c r="B277" s="311">
        <f t="shared" si="53"/>
        <v>272</v>
      </c>
      <c r="C277" s="236">
        <v>33.799999999999997</v>
      </c>
      <c r="D277" s="343" t="s">
        <v>221</v>
      </c>
    </row>
    <row r="278" spans="1:13" ht="15.75">
      <c r="A278" s="37">
        <f t="shared" si="53"/>
        <v>272</v>
      </c>
      <c r="B278" s="311">
        <f t="shared" si="53"/>
        <v>273</v>
      </c>
      <c r="C278" s="236">
        <v>33.94</v>
      </c>
      <c r="D278" s="343" t="s">
        <v>221</v>
      </c>
    </row>
    <row r="279" spans="1:13" ht="15.75">
      <c r="A279" s="37">
        <f t="shared" si="53"/>
        <v>273</v>
      </c>
      <c r="B279" s="311">
        <f t="shared" si="53"/>
        <v>274</v>
      </c>
      <c r="C279" s="236">
        <v>33.94</v>
      </c>
      <c r="D279" s="343" t="s">
        <v>221</v>
      </c>
    </row>
    <row r="280" spans="1:13" ht="15.75">
      <c r="A280" s="37">
        <f t="shared" si="53"/>
        <v>274</v>
      </c>
      <c r="B280" s="311">
        <f t="shared" si="53"/>
        <v>275</v>
      </c>
      <c r="C280" s="236">
        <v>33.94</v>
      </c>
      <c r="D280" s="343" t="s">
        <v>221</v>
      </c>
    </row>
    <row r="281" spans="1:13" ht="15.75">
      <c r="A281" s="37">
        <f t="shared" si="53"/>
        <v>275</v>
      </c>
      <c r="B281" s="311">
        <f t="shared" si="53"/>
        <v>276</v>
      </c>
      <c r="C281" s="236">
        <v>33.94</v>
      </c>
      <c r="D281" s="343" t="s">
        <v>221</v>
      </c>
    </row>
    <row r="282" spans="1:13" ht="15.75">
      <c r="A282" s="37">
        <f t="shared" si="53"/>
        <v>276</v>
      </c>
      <c r="B282" s="311">
        <f t="shared" si="53"/>
        <v>277</v>
      </c>
      <c r="C282" s="236">
        <v>33.94</v>
      </c>
      <c r="D282" s="343" t="s">
        <v>221</v>
      </c>
    </row>
    <row r="283" spans="1:13" ht="15.75">
      <c r="A283" s="37">
        <f t="shared" si="53"/>
        <v>277</v>
      </c>
      <c r="B283" s="311">
        <f t="shared" si="53"/>
        <v>278</v>
      </c>
      <c r="C283" s="236">
        <v>33.950000000000003</v>
      </c>
      <c r="D283" s="343" t="s">
        <v>221</v>
      </c>
    </row>
    <row r="284" spans="1:13" ht="15.75">
      <c r="A284" s="37">
        <f t="shared" si="53"/>
        <v>278</v>
      </c>
      <c r="B284" s="311">
        <f t="shared" si="53"/>
        <v>279</v>
      </c>
      <c r="C284" s="236">
        <v>33.94</v>
      </c>
      <c r="D284" s="343" t="s">
        <v>221</v>
      </c>
    </row>
    <row r="285" spans="1:13" ht="15.75">
      <c r="A285" s="37">
        <f t="shared" si="53"/>
        <v>279</v>
      </c>
      <c r="B285" s="311">
        <f t="shared" si="53"/>
        <v>280</v>
      </c>
      <c r="C285" s="236">
        <v>33.950000000000003</v>
      </c>
      <c r="D285" s="343" t="s">
        <v>221</v>
      </c>
    </row>
    <row r="286" spans="1:13" ht="15.75">
      <c r="A286" s="37">
        <f t="shared" si="53"/>
        <v>280</v>
      </c>
      <c r="B286" s="311">
        <f t="shared" si="53"/>
        <v>281</v>
      </c>
      <c r="C286" s="236">
        <v>33.83</v>
      </c>
      <c r="D286" s="343" t="s">
        <v>221</v>
      </c>
    </row>
    <row r="287" spans="1:13" ht="15.75">
      <c r="A287" s="37">
        <f t="shared" si="53"/>
        <v>281</v>
      </c>
      <c r="B287" s="311">
        <f t="shared" si="53"/>
        <v>282</v>
      </c>
      <c r="C287" s="236">
        <v>33.950000000000003</v>
      </c>
      <c r="D287" s="343" t="s">
        <v>221</v>
      </c>
    </row>
    <row r="288" spans="1:13" ht="15.75">
      <c r="A288" s="37">
        <f t="shared" si="53"/>
        <v>282</v>
      </c>
      <c r="B288" s="311">
        <f t="shared" si="53"/>
        <v>283</v>
      </c>
      <c r="C288" s="236">
        <v>33.950000000000003</v>
      </c>
      <c r="D288" s="343" t="s">
        <v>221</v>
      </c>
    </row>
    <row r="289" spans="1:4" ht="15.75">
      <c r="A289" s="37">
        <f t="shared" si="53"/>
        <v>283</v>
      </c>
      <c r="B289" s="311">
        <f t="shared" si="53"/>
        <v>284</v>
      </c>
      <c r="C289" s="236">
        <v>33.94</v>
      </c>
      <c r="D289" s="343" t="s">
        <v>221</v>
      </c>
    </row>
    <row r="290" spans="1:4" ht="15.75">
      <c r="A290" s="37">
        <f t="shared" si="53"/>
        <v>284</v>
      </c>
      <c r="B290" s="311">
        <f t="shared" si="53"/>
        <v>285</v>
      </c>
      <c r="C290" s="236">
        <v>33.950000000000003</v>
      </c>
      <c r="D290" s="343" t="s">
        <v>221</v>
      </c>
    </row>
    <row r="291" spans="1:4" ht="15.75">
      <c r="A291" s="37">
        <f t="shared" si="53"/>
        <v>285</v>
      </c>
      <c r="B291" s="311">
        <f t="shared" si="53"/>
        <v>286</v>
      </c>
      <c r="C291" s="236">
        <v>33.94</v>
      </c>
      <c r="D291" s="343" t="s">
        <v>221</v>
      </c>
    </row>
    <row r="292" spans="1:4" ht="15.75">
      <c r="A292" s="37">
        <f t="shared" si="53"/>
        <v>286</v>
      </c>
      <c r="B292" s="311">
        <f t="shared" si="53"/>
        <v>287</v>
      </c>
      <c r="C292" s="236">
        <v>31.21</v>
      </c>
      <c r="D292" s="343" t="s">
        <v>221</v>
      </c>
    </row>
    <row r="293" spans="1:4" ht="15.75">
      <c r="A293" s="37">
        <f t="shared" si="53"/>
        <v>287</v>
      </c>
      <c r="B293" s="311">
        <f t="shared" si="53"/>
        <v>288</v>
      </c>
      <c r="C293" s="236">
        <v>33.950000000000003</v>
      </c>
      <c r="D293" s="343" t="s">
        <v>221</v>
      </c>
    </row>
    <row r="294" spans="1:4" ht="15.75">
      <c r="A294" s="37">
        <f t="shared" si="53"/>
        <v>288</v>
      </c>
      <c r="B294" s="311">
        <f t="shared" si="53"/>
        <v>289</v>
      </c>
      <c r="C294" s="236">
        <v>33.94</v>
      </c>
      <c r="D294" s="343" t="s">
        <v>221</v>
      </c>
    </row>
    <row r="295" spans="1:4" ht="15.75">
      <c r="A295" s="37">
        <f t="shared" si="53"/>
        <v>289</v>
      </c>
      <c r="B295" s="311">
        <f t="shared" si="53"/>
        <v>290</v>
      </c>
      <c r="C295" s="236">
        <v>33.53</v>
      </c>
      <c r="D295" s="343" t="s">
        <v>221</v>
      </c>
    </row>
    <row r="296" spans="1:4" ht="15.75">
      <c r="A296" s="37">
        <f t="shared" si="53"/>
        <v>290</v>
      </c>
      <c r="B296" s="311">
        <f t="shared" si="53"/>
        <v>291</v>
      </c>
      <c r="C296" s="236">
        <v>33.94</v>
      </c>
      <c r="D296" s="343" t="s">
        <v>221</v>
      </c>
    </row>
    <row r="297" spans="1:4" ht="15.75">
      <c r="A297" s="37">
        <f t="shared" si="53"/>
        <v>291</v>
      </c>
      <c r="B297" s="311">
        <f t="shared" si="53"/>
        <v>292</v>
      </c>
      <c r="C297" s="236">
        <v>33.94</v>
      </c>
      <c r="D297" s="343" t="s">
        <v>221</v>
      </c>
    </row>
    <row r="298" spans="1:4" ht="15.75">
      <c r="A298" s="37">
        <f t="shared" si="53"/>
        <v>292</v>
      </c>
      <c r="B298" s="311">
        <f t="shared" si="53"/>
        <v>293</v>
      </c>
      <c r="C298" s="236">
        <v>33.78</v>
      </c>
      <c r="D298" s="343" t="s">
        <v>221</v>
      </c>
    </row>
    <row r="299" spans="1:4" ht="15.75">
      <c r="A299" s="37">
        <f t="shared" si="53"/>
        <v>293</v>
      </c>
      <c r="B299" s="311">
        <f t="shared" si="53"/>
        <v>294</v>
      </c>
      <c r="C299" s="236">
        <v>32.11</v>
      </c>
      <c r="D299" s="343" t="s">
        <v>221</v>
      </c>
    </row>
    <row r="300" spans="1:4" ht="15.75">
      <c r="A300" s="37">
        <f t="shared" si="53"/>
        <v>294</v>
      </c>
      <c r="B300" s="311">
        <f t="shared" si="53"/>
        <v>295</v>
      </c>
      <c r="C300" s="236">
        <v>33.93</v>
      </c>
      <c r="D300" s="343" t="s">
        <v>221</v>
      </c>
    </row>
    <row r="301" spans="1:4" ht="15.75">
      <c r="A301" s="37">
        <f t="shared" si="53"/>
        <v>295</v>
      </c>
      <c r="B301" s="311">
        <f t="shared" si="53"/>
        <v>296</v>
      </c>
      <c r="C301" s="236">
        <v>32.21</v>
      </c>
      <c r="D301" s="343" t="s">
        <v>221</v>
      </c>
    </row>
    <row r="302" spans="1:4" ht="15.75">
      <c r="A302" s="37">
        <f t="shared" si="53"/>
        <v>296</v>
      </c>
      <c r="B302" s="311">
        <f t="shared" si="53"/>
        <v>297</v>
      </c>
      <c r="C302" s="236">
        <v>33.94</v>
      </c>
      <c r="D302" s="343" t="s">
        <v>221</v>
      </c>
    </row>
    <row r="303" spans="1:4" ht="15.75">
      <c r="A303" s="37">
        <f t="shared" si="53"/>
        <v>297</v>
      </c>
      <c r="B303" s="311">
        <f t="shared" si="53"/>
        <v>298</v>
      </c>
      <c r="C303" s="236">
        <v>33.94</v>
      </c>
      <c r="D303" s="343" t="s">
        <v>221</v>
      </c>
    </row>
    <row r="304" spans="1:4" ht="15.75">
      <c r="A304" s="37">
        <f t="shared" si="53"/>
        <v>298</v>
      </c>
      <c r="B304" s="311">
        <f t="shared" si="53"/>
        <v>299</v>
      </c>
      <c r="C304" s="236">
        <v>33.94</v>
      </c>
      <c r="D304" s="343" t="s">
        <v>221</v>
      </c>
    </row>
    <row r="305" spans="1:4" ht="15.75">
      <c r="A305" s="37">
        <f t="shared" si="53"/>
        <v>299</v>
      </c>
      <c r="B305" s="311">
        <f t="shared" si="53"/>
        <v>300</v>
      </c>
      <c r="C305" s="236">
        <v>33.94</v>
      </c>
      <c r="D305" s="343" t="s">
        <v>221</v>
      </c>
    </row>
    <row r="306" spans="1:4" ht="15.75">
      <c r="A306" s="37">
        <f t="shared" si="53"/>
        <v>300</v>
      </c>
      <c r="B306" s="311">
        <f t="shared" si="53"/>
        <v>301</v>
      </c>
      <c r="C306" s="236">
        <v>33.29</v>
      </c>
      <c r="D306" s="343" t="s">
        <v>221</v>
      </c>
    </row>
    <row r="307" spans="1:4" ht="15.75">
      <c r="A307" s="37">
        <f t="shared" si="53"/>
        <v>301</v>
      </c>
      <c r="B307" s="311">
        <f t="shared" si="53"/>
        <v>302</v>
      </c>
      <c r="C307" s="236">
        <v>33.950000000000003</v>
      </c>
      <c r="D307" s="343" t="s">
        <v>221</v>
      </c>
    </row>
    <row r="308" spans="1:4" ht="15.75">
      <c r="A308" s="37">
        <f t="shared" si="53"/>
        <v>302</v>
      </c>
      <c r="B308" s="311">
        <f t="shared" si="53"/>
        <v>303</v>
      </c>
      <c r="C308" s="236">
        <v>33.94</v>
      </c>
      <c r="D308" s="343" t="s">
        <v>221</v>
      </c>
    </row>
    <row r="309" spans="1:4" ht="15.75">
      <c r="A309" s="37">
        <f t="shared" si="53"/>
        <v>303</v>
      </c>
      <c r="B309" s="311">
        <f t="shared" si="53"/>
        <v>304</v>
      </c>
      <c r="C309" s="236">
        <v>33.950000000000003</v>
      </c>
      <c r="D309" s="343" t="s">
        <v>221</v>
      </c>
    </row>
    <row r="310" spans="1:4" ht="15.75">
      <c r="A310" s="37">
        <f t="shared" si="53"/>
        <v>304</v>
      </c>
      <c r="B310" s="311">
        <f t="shared" si="53"/>
        <v>305</v>
      </c>
      <c r="C310" s="236">
        <v>33.19</v>
      </c>
      <c r="D310" s="343" t="s">
        <v>221</v>
      </c>
    </row>
    <row r="311" spans="1:4" ht="15.75">
      <c r="A311" s="37">
        <f t="shared" si="53"/>
        <v>305</v>
      </c>
      <c r="B311" s="311">
        <f t="shared" si="53"/>
        <v>306</v>
      </c>
      <c r="C311" s="236">
        <v>33.950000000000003</v>
      </c>
      <c r="D311" s="343" t="s">
        <v>221</v>
      </c>
    </row>
    <row r="312" spans="1:4" ht="15.75">
      <c r="A312" s="37">
        <f t="shared" si="53"/>
        <v>306</v>
      </c>
      <c r="B312" s="311">
        <f t="shared" si="53"/>
        <v>307</v>
      </c>
      <c r="C312" s="236"/>
      <c r="D312" s="343" t="s">
        <v>221</v>
      </c>
    </row>
    <row r="313" spans="1:4" ht="15.75">
      <c r="A313" s="37">
        <f t="shared" si="53"/>
        <v>307</v>
      </c>
      <c r="B313" s="311">
        <f t="shared" si="53"/>
        <v>308</v>
      </c>
      <c r="C313" s="236"/>
      <c r="D313" s="343" t="s">
        <v>221</v>
      </c>
    </row>
    <row r="314" spans="1:4" ht="15.75">
      <c r="A314" s="37">
        <f t="shared" si="53"/>
        <v>308</v>
      </c>
      <c r="B314" s="311">
        <f t="shared" si="53"/>
        <v>309</v>
      </c>
      <c r="C314" s="236"/>
      <c r="D314" s="343" t="s">
        <v>221</v>
      </c>
    </row>
    <row r="315" spans="1:4" ht="15.75">
      <c r="A315" s="37">
        <f t="shared" si="53"/>
        <v>309</v>
      </c>
      <c r="B315" s="311">
        <f t="shared" si="53"/>
        <v>310</v>
      </c>
      <c r="C315" s="236"/>
      <c r="D315" s="343" t="s">
        <v>221</v>
      </c>
    </row>
    <row r="316" spans="1:4" ht="15.75">
      <c r="A316" s="37">
        <f t="shared" si="53"/>
        <v>310</v>
      </c>
      <c r="B316" s="311">
        <f t="shared" si="53"/>
        <v>311</v>
      </c>
      <c r="C316" s="236"/>
      <c r="D316" s="343" t="s">
        <v>221</v>
      </c>
    </row>
    <row r="317" spans="1:4" ht="15.75">
      <c r="A317" s="37">
        <f t="shared" si="53"/>
        <v>311</v>
      </c>
      <c r="B317" s="311">
        <f t="shared" si="53"/>
        <v>312</v>
      </c>
      <c r="C317" s="236"/>
      <c r="D317" s="323"/>
    </row>
    <row r="318" spans="1:4" ht="15.75">
      <c r="A318" s="37">
        <f t="shared" si="53"/>
        <v>312</v>
      </c>
      <c r="B318" s="311">
        <f t="shared" si="53"/>
        <v>313</v>
      </c>
      <c r="C318" s="236"/>
      <c r="D318" s="323"/>
    </row>
    <row r="319" spans="1:4" ht="15.75">
      <c r="A319" s="37">
        <f t="shared" si="53"/>
        <v>313</v>
      </c>
      <c r="B319" s="311">
        <f t="shared" si="53"/>
        <v>314</v>
      </c>
      <c r="C319" s="236"/>
      <c r="D319" s="323"/>
    </row>
    <row r="320" spans="1:4" ht="15.75">
      <c r="A320" s="37">
        <f t="shared" si="53"/>
        <v>314</v>
      </c>
      <c r="B320" s="311">
        <f t="shared" si="53"/>
        <v>315</v>
      </c>
      <c r="C320" s="236"/>
      <c r="D320" s="323"/>
    </row>
    <row r="321" spans="1:4" ht="15.75">
      <c r="A321" s="37">
        <f t="shared" si="53"/>
        <v>315</v>
      </c>
      <c r="B321" s="311">
        <f t="shared" si="53"/>
        <v>316</v>
      </c>
      <c r="C321" s="236"/>
      <c r="D321" s="323"/>
    </row>
    <row r="322" spans="1:4" ht="15.75">
      <c r="A322" s="37">
        <f t="shared" si="53"/>
        <v>316</v>
      </c>
      <c r="B322" s="311">
        <f t="shared" si="53"/>
        <v>317</v>
      </c>
      <c r="C322" s="236"/>
      <c r="D322" s="323"/>
    </row>
    <row r="323" spans="1:4" ht="15.75">
      <c r="A323" s="37">
        <f t="shared" si="53"/>
        <v>317</v>
      </c>
      <c r="B323" s="311">
        <f t="shared" si="53"/>
        <v>318</v>
      </c>
      <c r="C323" s="236"/>
      <c r="D323" s="323"/>
    </row>
    <row r="324" spans="1:4" ht="15.75">
      <c r="A324" s="37">
        <f t="shared" si="53"/>
        <v>318</v>
      </c>
      <c r="B324" s="311">
        <f t="shared" si="53"/>
        <v>319</v>
      </c>
      <c r="C324" s="236"/>
      <c r="D324" s="323"/>
    </row>
    <row r="325" spans="1:4" ht="15.75">
      <c r="A325" s="37">
        <f t="shared" si="53"/>
        <v>319</v>
      </c>
      <c r="B325" s="311">
        <f t="shared" si="53"/>
        <v>320</v>
      </c>
      <c r="C325" s="236"/>
      <c r="D325" s="323"/>
    </row>
    <row r="326" spans="1:4" ht="15.75">
      <c r="A326" s="37">
        <f t="shared" si="53"/>
        <v>320</v>
      </c>
      <c r="B326" s="311">
        <f t="shared" si="53"/>
        <v>321</v>
      </c>
      <c r="C326" s="236"/>
      <c r="D326" s="323"/>
    </row>
    <row r="327" spans="1:4" ht="15.75">
      <c r="A327" s="37">
        <f t="shared" si="53"/>
        <v>321</v>
      </c>
      <c r="B327" s="311">
        <f t="shared" si="53"/>
        <v>322</v>
      </c>
      <c r="C327" s="236"/>
      <c r="D327" s="323"/>
    </row>
    <row r="328" spans="1:4" ht="15.75">
      <c r="A328" s="37">
        <f t="shared" ref="A328:B329" si="54">A327+1</f>
        <v>322</v>
      </c>
      <c r="B328" s="311">
        <f t="shared" si="54"/>
        <v>323</v>
      </c>
      <c r="C328" s="236"/>
      <c r="D328" s="323"/>
    </row>
    <row r="329" spans="1:4" ht="15.75">
      <c r="A329" s="37">
        <f t="shared" si="54"/>
        <v>323</v>
      </c>
      <c r="B329" s="311">
        <f t="shared" si="54"/>
        <v>324</v>
      </c>
      <c r="C329" s="236"/>
      <c r="D329" s="323"/>
    </row>
    <row r="330" spans="1:4" ht="15.75">
      <c r="A330" s="37">
        <f t="shared" ref="A330:B330" si="55">A329+1</f>
        <v>324</v>
      </c>
      <c r="B330" s="311">
        <f t="shared" si="55"/>
        <v>325</v>
      </c>
      <c r="C330" s="330"/>
      <c r="D330" s="323"/>
    </row>
    <row r="331" spans="1:4" ht="15.75">
      <c r="A331" s="37">
        <f t="shared" ref="A331:B331" si="56">A330+1</f>
        <v>325</v>
      </c>
      <c r="B331" s="311">
        <f t="shared" si="56"/>
        <v>326</v>
      </c>
      <c r="C331" s="330"/>
      <c r="D331" s="323"/>
    </row>
    <row r="332" spans="1:4" ht="15.75">
      <c r="A332" s="37">
        <f t="shared" ref="A332:B332" si="57">A331+1</f>
        <v>326</v>
      </c>
      <c r="B332" s="311">
        <f t="shared" si="57"/>
        <v>327</v>
      </c>
      <c r="C332" s="330"/>
      <c r="D332" s="323"/>
    </row>
    <row r="333" spans="1:4" ht="15.75">
      <c r="A333" s="37">
        <f t="shared" ref="A333:B333" si="58">A332+1</f>
        <v>327</v>
      </c>
      <c r="B333" s="311">
        <f t="shared" si="58"/>
        <v>328</v>
      </c>
      <c r="C333" s="330"/>
      <c r="D333" s="323"/>
    </row>
    <row r="334" spans="1:4" ht="15.75">
      <c r="A334" s="37">
        <f t="shared" ref="A334:B334" si="59">A333+1</f>
        <v>328</v>
      </c>
      <c r="B334" s="311">
        <f t="shared" si="59"/>
        <v>329</v>
      </c>
      <c r="C334" s="330"/>
      <c r="D334" s="323"/>
    </row>
    <row r="335" spans="1:4" ht="15.75">
      <c r="A335" s="37">
        <f t="shared" ref="A335:B335" si="60">A334+1</f>
        <v>329</v>
      </c>
      <c r="B335" s="311">
        <f t="shared" si="60"/>
        <v>330</v>
      </c>
      <c r="C335" s="330"/>
      <c r="D335" s="323"/>
    </row>
    <row r="336" spans="1:4" ht="15.75">
      <c r="A336" s="37">
        <f t="shared" ref="A336:B336" si="61">A335+1</f>
        <v>330</v>
      </c>
      <c r="B336" s="311">
        <f t="shared" si="61"/>
        <v>331</v>
      </c>
      <c r="C336" s="330"/>
      <c r="D336" s="323"/>
    </row>
    <row r="337" spans="1:4" ht="15.75">
      <c r="A337" s="37">
        <f t="shared" ref="A337:B337" si="62">A336+1</f>
        <v>331</v>
      </c>
      <c r="B337" s="311">
        <f t="shared" si="62"/>
        <v>332</v>
      </c>
      <c r="C337" s="330"/>
      <c r="D337" s="323"/>
    </row>
    <row r="338" spans="1:4" ht="15.75">
      <c r="A338" s="37">
        <f t="shared" ref="A338:B338" si="63">A337+1</f>
        <v>332</v>
      </c>
      <c r="B338" s="311">
        <f t="shared" si="63"/>
        <v>333</v>
      </c>
      <c r="C338" s="330"/>
      <c r="D338" s="323"/>
    </row>
    <row r="339" spans="1:4" ht="15.75">
      <c r="A339" s="37">
        <f t="shared" ref="A339:B339" si="64">A338+1</f>
        <v>333</v>
      </c>
      <c r="B339" s="311">
        <f t="shared" si="64"/>
        <v>334</v>
      </c>
      <c r="C339" s="330"/>
      <c r="D339" s="323"/>
    </row>
    <row r="340" spans="1:4" ht="15.75">
      <c r="A340" s="37">
        <f t="shared" ref="A340:B340" si="65">A339+1</f>
        <v>334</v>
      </c>
      <c r="B340" s="311">
        <f t="shared" si="65"/>
        <v>335</v>
      </c>
      <c r="C340" s="330"/>
      <c r="D340" s="323"/>
    </row>
    <row r="341" spans="1:4" ht="15.75">
      <c r="A341" s="37">
        <f t="shared" ref="A341:B341" si="66">A340+1</f>
        <v>335</v>
      </c>
      <c r="B341" s="311">
        <f t="shared" si="66"/>
        <v>336</v>
      </c>
      <c r="C341" s="330"/>
      <c r="D341" s="323"/>
    </row>
    <row r="342" spans="1:4" ht="15.75">
      <c r="A342" s="37">
        <f t="shared" ref="A342:B342" si="67">A341+1</f>
        <v>336</v>
      </c>
      <c r="B342" s="311">
        <f t="shared" si="67"/>
        <v>337</v>
      </c>
      <c r="C342" s="330"/>
      <c r="D342" s="323"/>
    </row>
    <row r="343" spans="1:4" ht="15.75">
      <c r="A343" s="37">
        <f t="shared" ref="A343:B343" si="68">A342+1</f>
        <v>337</v>
      </c>
      <c r="B343" s="311">
        <f t="shared" si="68"/>
        <v>338</v>
      </c>
      <c r="C343" s="330"/>
      <c r="D343" s="323"/>
    </row>
    <row r="344" spans="1:4" ht="15.75">
      <c r="B344" s="288"/>
      <c r="C344" s="330"/>
      <c r="D344" s="323"/>
    </row>
    <row r="345" spans="1:4" ht="15.75">
      <c r="B345" s="288"/>
      <c r="C345" s="330"/>
      <c r="D345" s="323"/>
    </row>
    <row r="346" spans="1:4" ht="15.75">
      <c r="B346" s="288"/>
      <c r="C346" s="330"/>
      <c r="D346" s="323"/>
    </row>
    <row r="347" spans="1:4" ht="15.75">
      <c r="B347" s="288"/>
      <c r="C347" s="330"/>
      <c r="D347" s="323"/>
    </row>
    <row r="348" spans="1:4" ht="15.75">
      <c r="B348" s="288"/>
      <c r="C348" s="330"/>
      <c r="D348" s="323"/>
    </row>
    <row r="349" spans="1:4" ht="15.75">
      <c r="B349" s="288"/>
      <c r="C349" s="330"/>
      <c r="D349" s="323"/>
    </row>
    <row r="350" spans="1:4" ht="15.75">
      <c r="B350" s="288"/>
      <c r="C350" s="330"/>
      <c r="D350" s="323"/>
    </row>
    <row r="351" spans="1:4" ht="15.75">
      <c r="B351" s="288"/>
      <c r="C351" s="330"/>
      <c r="D351" s="323"/>
    </row>
    <row r="352" spans="1:4" ht="15.75">
      <c r="B352" s="288"/>
      <c r="C352" s="330"/>
      <c r="D352" s="323"/>
    </row>
    <row r="353" spans="2:4" ht="15.75">
      <c r="B353" s="288"/>
      <c r="C353" s="330"/>
      <c r="D353" s="323"/>
    </row>
    <row r="354" spans="2:4" ht="15.75">
      <c r="B354" s="288"/>
      <c r="C354" s="330"/>
      <c r="D354" s="323"/>
    </row>
    <row r="355" spans="2:4" ht="15.75">
      <c r="B355" s="288"/>
      <c r="C355" s="330"/>
      <c r="D355" s="323"/>
    </row>
    <row r="356" spans="2:4" ht="15.75">
      <c r="B356" s="288"/>
      <c r="C356" s="330"/>
      <c r="D356" s="323"/>
    </row>
    <row r="357" spans="2:4" ht="15.75">
      <c r="B357" s="288"/>
      <c r="C357" s="330"/>
      <c r="D357" s="323"/>
    </row>
    <row r="358" spans="2:4" ht="15.75">
      <c r="B358" s="288"/>
      <c r="C358" s="330"/>
      <c r="D358" s="323"/>
    </row>
    <row r="359" spans="2:4" ht="15.75">
      <c r="B359" s="288"/>
      <c r="C359" s="330"/>
      <c r="D359" s="323"/>
    </row>
    <row r="360" spans="2:4" ht="15.75">
      <c r="B360" s="288"/>
      <c r="C360" s="330"/>
      <c r="D360" s="323"/>
    </row>
    <row r="361" spans="2:4" ht="15.75">
      <c r="B361" s="288"/>
      <c r="C361" s="330"/>
      <c r="D361" s="323"/>
    </row>
  </sheetData>
  <mergeCells count="13">
    <mergeCell ref="J24:K24"/>
    <mergeCell ref="L24:L25"/>
    <mergeCell ref="L6:L7"/>
    <mergeCell ref="L9:L11"/>
    <mergeCell ref="L13:L16"/>
    <mergeCell ref="L18:L19"/>
    <mergeCell ref="L22:L23"/>
    <mergeCell ref="L20:L21"/>
    <mergeCell ref="B2:L2"/>
    <mergeCell ref="B4:D4"/>
    <mergeCell ref="F4:H4"/>
    <mergeCell ref="J4:K4"/>
    <mergeCell ref="L4:L5"/>
  </mergeCells>
  <phoneticPr fontId="20" type="noConversion"/>
  <pageMargins left="0.7" right="0.7" top="0.75" bottom="0.75" header="0.3" footer="0.3"/>
  <pageSetup orientation="portrait" r:id="rId1"/>
  <headerFooter>
    <oddHeader>&amp;L&amp;"Calibri"&amp;9&amp;K000000Classification: Internal&amp;1#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C37D672F71B944937A65FB742CFDBF" ma:contentTypeVersion="1" ma:contentTypeDescription="Create a new document." ma:contentTypeScope="" ma:versionID="d6534ab704dccf109d0ed04eac0c5a9f">
  <xsd:schema xmlns:xsd="http://www.w3.org/2001/XMLSchema" xmlns:xs="http://www.w3.org/2001/XMLSchema" xmlns:p="http://schemas.microsoft.com/office/2006/metadata/properties" xmlns:ns2="3dac3852-c40f-424b-91f3-2b0e1d122f46" targetNamespace="http://schemas.microsoft.com/office/2006/metadata/properties" ma:root="true" ma:fieldsID="17c56f4c300bfd4079ac06512d9df2fa" ns2:_="">
    <xsd:import namespace="3dac3852-c40f-424b-91f3-2b0e1d122f46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3852-c40f-424b-91f3-2b0e1d122f4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478C7-D56A-4C68-B70D-D5C8C6BE834A}">
  <ds:schemaRefs>
    <ds:schemaRef ds:uri="b96ed212-c104-42fa-a6c8-afef0851022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bc53bad-7947-486d-9749-77682c883c27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802F2D1-5EF0-4BD1-8B52-9903F3B8AD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F63B45-A0BF-48DC-9EC2-0B3436D5B1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ac3852-c40f-424b-91f3-2b0e1d122f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7" Liner Tally NFQ22-9 (2)</vt:lpstr>
      <vt:lpstr>7" Liner Tally NFQ22-9</vt:lpstr>
      <vt:lpstr>Sheet1</vt:lpstr>
      <vt:lpstr>DECK TALLY</vt:lpstr>
      <vt:lpstr>Sheet2</vt:lpstr>
      <vt:lpstr>'7" Liner Tally NFQ22-9'!Заголовки_для_печати</vt:lpstr>
      <vt:lpstr>'7" Liner Tally NFQ22-9 (2)'!Заголовки_для_печати</vt:lpstr>
      <vt:lpstr>'7" Liner Tally NFQ22-9'!Область_печати</vt:lpstr>
      <vt:lpstr>'7" Liner Tally NFQ22-9 (2)'!Область_печати</vt:lpstr>
    </vt:vector>
  </TitlesOfParts>
  <Company>Baker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"CHAPALA, SESHU" &lt;SESHU.CHAPALA2@bakerhughes.com&gt;</dc:creator>
  <cp:lastModifiedBy>Maxim Kiselev</cp:lastModifiedBy>
  <cp:lastPrinted>2025-02-18T16:29:03Z</cp:lastPrinted>
  <dcterms:created xsi:type="dcterms:W3CDTF">2021-05-01T05:11:09Z</dcterms:created>
  <dcterms:modified xsi:type="dcterms:W3CDTF">2026-01-25T16:47:55Z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9b8670-7aa7-46fe-bc5d-db51cd81d267_Enabled">
    <vt:lpwstr>true</vt:lpwstr>
  </property>
  <property fmtid="{D5CDD505-2E9C-101B-9397-08002B2CF9AE}" pid="3" name="MSIP_Label_5e9b8670-7aa7-46fe-bc5d-db51cd81d267_SetDate">
    <vt:lpwstr>2023-10-25T16:35:04Z</vt:lpwstr>
  </property>
  <property fmtid="{D5CDD505-2E9C-101B-9397-08002B2CF9AE}" pid="4" name="MSIP_Label_5e9b8670-7aa7-46fe-bc5d-db51cd81d267_Method">
    <vt:lpwstr>Standard</vt:lpwstr>
  </property>
  <property fmtid="{D5CDD505-2E9C-101B-9397-08002B2CF9AE}" pid="5" name="MSIP_Label_5e9b8670-7aa7-46fe-bc5d-db51cd81d267_Name">
    <vt:lpwstr>Baker Hughes Confidential - Not Encrypted</vt:lpwstr>
  </property>
  <property fmtid="{D5CDD505-2E9C-101B-9397-08002B2CF9AE}" pid="6" name="MSIP_Label_5e9b8670-7aa7-46fe-bc5d-db51cd81d267_SiteId">
    <vt:lpwstr>d584a4b7-b1f2-4714-a578-fd4d43c146a6</vt:lpwstr>
  </property>
  <property fmtid="{D5CDD505-2E9C-101B-9397-08002B2CF9AE}" pid="7" name="MSIP_Label_5e9b8670-7aa7-46fe-bc5d-db51cd81d267_ActionId">
    <vt:lpwstr>e7f32c4b-d4d7-4d4c-b6c6-c345a502c62d</vt:lpwstr>
  </property>
  <property fmtid="{D5CDD505-2E9C-101B-9397-08002B2CF9AE}" pid="8" name="MSIP_Label_5e9b8670-7aa7-46fe-bc5d-db51cd81d267_ContentBits">
    <vt:lpwstr>2</vt:lpwstr>
  </property>
  <property fmtid="{D5CDD505-2E9C-101B-9397-08002B2CF9AE}" pid="9" name="MSIP_Label_668fbde5-0dd0-43d5-aca2-2bbc289e3948_Enabled">
    <vt:lpwstr>true</vt:lpwstr>
  </property>
  <property fmtid="{D5CDD505-2E9C-101B-9397-08002B2CF9AE}" pid="10" name="MSIP_Label_668fbde5-0dd0-43d5-aca2-2bbc289e3948_SetDate">
    <vt:lpwstr>2024-07-20T08:29:30Z</vt:lpwstr>
  </property>
  <property fmtid="{D5CDD505-2E9C-101B-9397-08002B2CF9AE}" pid="11" name="MSIP_Label_668fbde5-0dd0-43d5-aca2-2bbc289e3948_Method">
    <vt:lpwstr>Privileged</vt:lpwstr>
  </property>
  <property fmtid="{D5CDD505-2E9C-101B-9397-08002B2CF9AE}" pid="12" name="MSIP_Label_668fbde5-0dd0-43d5-aca2-2bbc289e3948_Name">
    <vt:lpwstr>668fbde5-0dd0-43d5-aca2-2bbc289e3948</vt:lpwstr>
  </property>
  <property fmtid="{D5CDD505-2E9C-101B-9397-08002B2CF9AE}" pid="13" name="MSIP_Label_668fbde5-0dd0-43d5-aca2-2bbc289e3948_SiteId">
    <vt:lpwstr>de2c0330-f2e8-4149-a927-0c5a8592f0da</vt:lpwstr>
  </property>
  <property fmtid="{D5CDD505-2E9C-101B-9397-08002B2CF9AE}" pid="14" name="MSIP_Label_668fbde5-0dd0-43d5-aca2-2bbc289e3948_ActionId">
    <vt:lpwstr>09769ef5-5df7-4cda-b0f4-964f59d26578</vt:lpwstr>
  </property>
  <property fmtid="{D5CDD505-2E9C-101B-9397-08002B2CF9AE}" pid="15" name="MSIP_Label_668fbde5-0dd0-43d5-aca2-2bbc289e3948_ContentBits">
    <vt:lpwstr>1</vt:lpwstr>
  </property>
  <property fmtid="{D5CDD505-2E9C-101B-9397-08002B2CF9AE}" pid="16" name="ContentTypeId">
    <vt:lpwstr>0x0101001DC37D672F71B944937A65FB742CFDBF</vt:lpwstr>
  </property>
</Properties>
</file>