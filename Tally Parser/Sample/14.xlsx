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/>
  <mc:AlternateContent xmlns:mc="http://schemas.openxmlformats.org/markup-compatibility/2006">
    <mc:Choice Requires="x15">
      <x15ac:absPath xmlns:x15ac="http://schemas.microsoft.com/office/spreadsheetml/2010/11/ac" url="D:\Cloud\Docs\Git\mkisel\Tally Parser\Sample\"/>
    </mc:Choice>
  </mc:AlternateContent>
  <xr:revisionPtr revIDLastSave="0" documentId="8_{719969DC-59E1-418C-AC53-07094CCE971B}" xr6:coauthVersionLast="47" xr6:coauthVersionMax="47" xr10:uidLastSave="{00000000-0000-0000-0000-000000000000}"/>
  <bookViews>
    <workbookView xWindow="-120" yWindow="-120" windowWidth="29040" windowHeight="15720" firstSheet="1" activeTab="4" xr2:uid="{9F3937B6-8C27-4C8C-AEDE-038FB9737EAF}"/>
  </bookViews>
  <sheets>
    <sheet name="xxxxxx" sheetId="1" state="veryHidden" r:id="rId1"/>
    <sheet name="7&quot; 26# Deck Tally" sheetId="9" r:id="rId2"/>
    <sheet name="NFQ22-10 Run Tally" sheetId="2" r:id="rId3"/>
    <sheet name="SPACE OUT Calculation" sheetId="6" r:id="rId4"/>
    <sheet name="NFQ22-10 As run" sheetId="10" r:id="rId5"/>
  </sheets>
  <definedNames>
    <definedName name="_xlnm._FilterDatabase" localSheetId="1" hidden="1">'7" 26# Deck Tally'!$A$2:$B$2</definedName>
    <definedName name="_xlnm._FilterDatabase" localSheetId="4" hidden="1">'NFQ22-10 As run'!$B$16:$H$370</definedName>
    <definedName name="_xlnm._FilterDatabase" localSheetId="2" hidden="1">'NFQ22-10 Run Tally'!$B$15:$H$415</definedName>
    <definedName name="EKIKO2" localSheetId="3">#REF!</definedName>
    <definedName name="EKIKO2">#N/A</definedName>
    <definedName name="_xlnm.Print_Area" localSheetId="4">'NFQ22-10 As run'!$A$1:$N$371</definedName>
    <definedName name="_xlnm.Print_Area" localSheetId="2">'NFQ22-10 Run Tally'!$A$1:$M$416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7" i="6" l="1"/>
  <c r="AI17" i="6" s="1"/>
  <c r="K17" i="9" l="1"/>
  <c r="H366" i="10" l="1"/>
  <c r="J15" i="10"/>
  <c r="H15" i="10" l="1"/>
  <c r="H333" i="10"/>
  <c r="G333" i="10"/>
  <c r="H332" i="10"/>
  <c r="G332" i="10"/>
  <c r="H331" i="10"/>
  <c r="G331" i="10"/>
  <c r="H330" i="10"/>
  <c r="G330" i="10"/>
  <c r="H329" i="10"/>
  <c r="C51" i="6" l="1"/>
  <c r="H333" i="2" l="1"/>
  <c r="G333" i="2"/>
  <c r="H332" i="2"/>
  <c r="G332" i="2"/>
  <c r="H331" i="2"/>
  <c r="G331" i="2"/>
  <c r="H330" i="2"/>
  <c r="G330" i="2"/>
  <c r="H329" i="2"/>
  <c r="B335" i="2"/>
  <c r="B336" i="2" s="1"/>
  <c r="E335" i="2"/>
  <c r="E336" i="2" s="1"/>
  <c r="H334" i="2"/>
  <c r="H335" i="2"/>
  <c r="H336" i="2"/>
  <c r="H324" i="2"/>
  <c r="H325" i="2"/>
  <c r="H326" i="2"/>
  <c r="H327" i="2"/>
  <c r="H328" i="2"/>
  <c r="H322" i="2"/>
  <c r="H323" i="2"/>
  <c r="J16" i="10"/>
  <c r="M12" i="10" s="1"/>
  <c r="H362" i="10"/>
  <c r="H363" i="10"/>
  <c r="H364" i="10"/>
  <c r="H365" i="10"/>
  <c r="H367" i="10"/>
  <c r="H368" i="10"/>
  <c r="G369" i="10"/>
  <c r="H361" i="10"/>
  <c r="H360" i="10"/>
  <c r="H359" i="10"/>
  <c r="H358" i="10"/>
  <c r="H357" i="10"/>
  <c r="H356" i="10"/>
  <c r="H355" i="10"/>
  <c r="H354" i="10"/>
  <c r="H353" i="10"/>
  <c r="H352" i="10"/>
  <c r="H351" i="10"/>
  <c r="H350" i="10"/>
  <c r="H349" i="10"/>
  <c r="H348" i="10"/>
  <c r="H347" i="10"/>
  <c r="H346" i="10"/>
  <c r="H345" i="10"/>
  <c r="H344" i="10"/>
  <c r="H343" i="10"/>
  <c r="H342" i="10"/>
  <c r="H341" i="10"/>
  <c r="H340" i="10"/>
  <c r="H339" i="10"/>
  <c r="H338" i="10"/>
  <c r="H337" i="10"/>
  <c r="H336" i="10"/>
  <c r="H335" i="10"/>
  <c r="H334" i="10"/>
  <c r="H328" i="10"/>
  <c r="H327" i="10"/>
  <c r="H326" i="10"/>
  <c r="H325" i="10"/>
  <c r="H324" i="10"/>
  <c r="H323" i="10"/>
  <c r="H322" i="10"/>
  <c r="H321" i="10"/>
  <c r="H320" i="10"/>
  <c r="H319" i="10"/>
  <c r="H318" i="10"/>
  <c r="H317" i="10"/>
  <c r="H316" i="10"/>
  <c r="H315" i="10"/>
  <c r="H314" i="10"/>
  <c r="H313" i="10"/>
  <c r="H312" i="10"/>
  <c r="H311" i="10"/>
  <c r="H310" i="10"/>
  <c r="H309" i="10"/>
  <c r="H308" i="10"/>
  <c r="H307" i="10"/>
  <c r="H306" i="10"/>
  <c r="H305" i="10"/>
  <c r="H304" i="10"/>
  <c r="H303" i="10"/>
  <c r="H302" i="10"/>
  <c r="H301" i="10"/>
  <c r="H300" i="10"/>
  <c r="H299" i="10"/>
  <c r="H298" i="10"/>
  <c r="H297" i="10"/>
  <c r="H296" i="10"/>
  <c r="H295" i="10"/>
  <c r="H294" i="10"/>
  <c r="H293" i="10"/>
  <c r="H292" i="10"/>
  <c r="H291" i="10"/>
  <c r="H290" i="10"/>
  <c r="H289" i="10"/>
  <c r="H288" i="10"/>
  <c r="H287" i="10"/>
  <c r="H286" i="10"/>
  <c r="H285" i="10"/>
  <c r="H284" i="10"/>
  <c r="H283" i="10"/>
  <c r="H282" i="10"/>
  <c r="H281" i="10"/>
  <c r="H280" i="10"/>
  <c r="H279" i="10"/>
  <c r="H278" i="10"/>
  <c r="H277" i="10"/>
  <c r="H276" i="10"/>
  <c r="H275" i="10"/>
  <c r="H274" i="10"/>
  <c r="H273" i="10"/>
  <c r="H272" i="10"/>
  <c r="H271" i="10"/>
  <c r="H270" i="10"/>
  <c r="H269" i="10"/>
  <c r="H268" i="10"/>
  <c r="H267" i="10"/>
  <c r="H266" i="10"/>
  <c r="H265" i="10"/>
  <c r="H264" i="10"/>
  <c r="H263" i="10"/>
  <c r="H262" i="10"/>
  <c r="H261" i="10"/>
  <c r="H260" i="10"/>
  <c r="H259" i="10"/>
  <c r="H258" i="10"/>
  <c r="H257" i="10"/>
  <c r="H256" i="10"/>
  <c r="H255" i="10"/>
  <c r="H254" i="10"/>
  <c r="H253" i="10"/>
  <c r="H252" i="10"/>
  <c r="H251" i="10"/>
  <c r="H250" i="10"/>
  <c r="H249" i="10"/>
  <c r="H248" i="10"/>
  <c r="H247" i="10"/>
  <c r="H246" i="10"/>
  <c r="H245" i="10"/>
  <c r="H244" i="10"/>
  <c r="H243" i="10"/>
  <c r="H242" i="10"/>
  <c r="H241" i="10"/>
  <c r="H240" i="10"/>
  <c r="H239" i="10"/>
  <c r="H238" i="10"/>
  <c r="H237" i="10"/>
  <c r="H236" i="10"/>
  <c r="H235" i="10"/>
  <c r="H234" i="10"/>
  <c r="H233" i="10"/>
  <c r="H232" i="10"/>
  <c r="H231" i="10"/>
  <c r="H230" i="10"/>
  <c r="H229" i="10"/>
  <c r="H228" i="10"/>
  <c r="H227" i="10"/>
  <c r="H226" i="10"/>
  <c r="H225" i="10"/>
  <c r="H224" i="10"/>
  <c r="H223" i="10"/>
  <c r="H222" i="10"/>
  <c r="H221" i="10"/>
  <c r="H220" i="10"/>
  <c r="H219" i="10"/>
  <c r="H218" i="10"/>
  <c r="H217" i="10"/>
  <c r="H216" i="10"/>
  <c r="H215" i="10"/>
  <c r="H214" i="10"/>
  <c r="H213" i="10"/>
  <c r="H212" i="10"/>
  <c r="H211" i="10"/>
  <c r="H210" i="10"/>
  <c r="H209" i="10"/>
  <c r="H208" i="10"/>
  <c r="H207" i="10"/>
  <c r="H206" i="10"/>
  <c r="H205" i="10"/>
  <c r="H204" i="10"/>
  <c r="H203" i="10"/>
  <c r="H202" i="10"/>
  <c r="H201" i="10"/>
  <c r="H200" i="10"/>
  <c r="H199" i="10"/>
  <c r="H198" i="10"/>
  <c r="H197" i="10"/>
  <c r="H196" i="10"/>
  <c r="H195" i="10"/>
  <c r="H194" i="10"/>
  <c r="H193" i="10"/>
  <c r="H192" i="10"/>
  <c r="H191" i="10"/>
  <c r="H190" i="10"/>
  <c r="H189" i="10"/>
  <c r="H188" i="10"/>
  <c r="H187" i="10"/>
  <c r="H186" i="10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H173" i="10"/>
  <c r="H172" i="10"/>
  <c r="H171" i="10"/>
  <c r="H170" i="10"/>
  <c r="H169" i="10"/>
  <c r="H168" i="10"/>
  <c r="H167" i="10"/>
  <c r="H166" i="10"/>
  <c r="H165" i="10"/>
  <c r="H164" i="10"/>
  <c r="H163" i="10"/>
  <c r="H162" i="10"/>
  <c r="H161" i="10"/>
  <c r="H160" i="10"/>
  <c r="H159" i="10"/>
  <c r="H158" i="10"/>
  <c r="H157" i="10"/>
  <c r="H156" i="10"/>
  <c r="H155" i="10"/>
  <c r="H154" i="10"/>
  <c r="H153" i="10"/>
  <c r="H152" i="10"/>
  <c r="H151" i="10"/>
  <c r="H150" i="10"/>
  <c r="H149" i="10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B27" i="10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35" i="10" s="1"/>
  <c r="B336" i="10" s="1"/>
  <c r="B337" i="10" s="1"/>
  <c r="B338" i="10" s="1"/>
  <c r="B339" i="10" s="1"/>
  <c r="B340" i="10" s="1"/>
  <c r="B341" i="10" s="1"/>
  <c r="B342" i="10" s="1"/>
  <c r="B343" i="10" s="1"/>
  <c r="B344" i="10" s="1"/>
  <c r="B345" i="10" s="1"/>
  <c r="B346" i="10" s="1"/>
  <c r="B347" i="10" s="1"/>
  <c r="B348" i="10" s="1"/>
  <c r="B349" i="10" s="1"/>
  <c r="B350" i="10" s="1"/>
  <c r="B351" i="10" s="1"/>
  <c r="B352" i="10" s="1"/>
  <c r="B353" i="10" s="1"/>
  <c r="B354" i="10" s="1"/>
  <c r="B355" i="10" s="1"/>
  <c r="B356" i="10" s="1"/>
  <c r="B357" i="10" s="1"/>
  <c r="B358" i="10" s="1"/>
  <c r="B359" i="10" s="1"/>
  <c r="B360" i="10" s="1"/>
  <c r="B361" i="10" s="1"/>
  <c r="B362" i="10" s="1"/>
  <c r="B363" i="10" s="1"/>
  <c r="B364" i="10" s="1"/>
  <c r="B365" i="10" s="1"/>
  <c r="H26" i="10"/>
  <c r="H25" i="10"/>
  <c r="E25" i="10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59" i="10" s="1"/>
  <c r="E60" i="10" s="1"/>
  <c r="E61" i="10" s="1"/>
  <c r="E62" i="10" s="1"/>
  <c r="E63" i="10" s="1"/>
  <c r="E64" i="10" s="1"/>
  <c r="E65" i="10" s="1"/>
  <c r="E66" i="10" s="1"/>
  <c r="E67" i="10" s="1"/>
  <c r="E68" i="10" s="1"/>
  <c r="E69" i="10" s="1"/>
  <c r="E70" i="10" s="1"/>
  <c r="E71" i="10" s="1"/>
  <c r="E72" i="10" s="1"/>
  <c r="E73" i="10" s="1"/>
  <c r="E74" i="10" s="1"/>
  <c r="E75" i="10" s="1"/>
  <c r="E76" i="10" s="1"/>
  <c r="E77" i="10" s="1"/>
  <c r="E78" i="10" s="1"/>
  <c r="E79" i="10" s="1"/>
  <c r="E80" i="10" s="1"/>
  <c r="E81" i="10" s="1"/>
  <c r="E82" i="10" s="1"/>
  <c r="E83" i="10" s="1"/>
  <c r="E84" i="10" s="1"/>
  <c r="E85" i="10" s="1"/>
  <c r="E86" i="10" s="1"/>
  <c r="E87" i="10" s="1"/>
  <c r="E88" i="10" s="1"/>
  <c r="E89" i="10" s="1"/>
  <c r="E90" i="10" s="1"/>
  <c r="E91" i="10" s="1"/>
  <c r="E92" i="10" s="1"/>
  <c r="E93" i="10" s="1"/>
  <c r="E94" i="10" s="1"/>
  <c r="E95" i="10" s="1"/>
  <c r="E96" i="10" s="1"/>
  <c r="E97" i="10" s="1"/>
  <c r="E98" i="10" s="1"/>
  <c r="E99" i="10" s="1"/>
  <c r="E100" i="10" s="1"/>
  <c r="E101" i="10" s="1"/>
  <c r="E102" i="10" s="1"/>
  <c r="E103" i="10" s="1"/>
  <c r="E104" i="10" s="1"/>
  <c r="E105" i="10" s="1"/>
  <c r="E106" i="10" s="1"/>
  <c r="E107" i="10" s="1"/>
  <c r="E108" i="10" s="1"/>
  <c r="E109" i="10" s="1"/>
  <c r="E110" i="10" s="1"/>
  <c r="E111" i="10" s="1"/>
  <c r="E112" i="10" s="1"/>
  <c r="E113" i="10" s="1"/>
  <c r="E114" i="10" s="1"/>
  <c r="E115" i="10" s="1"/>
  <c r="E116" i="10" s="1"/>
  <c r="E117" i="10" s="1"/>
  <c r="E118" i="10" s="1"/>
  <c r="E119" i="10" s="1"/>
  <c r="E120" i="10" s="1"/>
  <c r="E121" i="10" s="1"/>
  <c r="E122" i="10" s="1"/>
  <c r="E123" i="10" s="1"/>
  <c r="E124" i="10" s="1"/>
  <c r="E125" i="10" s="1"/>
  <c r="E126" i="10" s="1"/>
  <c r="E127" i="10" s="1"/>
  <c r="E128" i="10" s="1"/>
  <c r="E129" i="10" s="1"/>
  <c r="E130" i="10" s="1"/>
  <c r="E131" i="10" s="1"/>
  <c r="E132" i="10" s="1"/>
  <c r="E133" i="10" s="1"/>
  <c r="E134" i="10" s="1"/>
  <c r="E135" i="10" s="1"/>
  <c r="E136" i="10" s="1"/>
  <c r="E137" i="10" s="1"/>
  <c r="E138" i="10" s="1"/>
  <c r="E139" i="10" s="1"/>
  <c r="E140" i="10" s="1"/>
  <c r="E141" i="10" s="1"/>
  <c r="E142" i="10" s="1"/>
  <c r="E143" i="10" s="1"/>
  <c r="E144" i="10" s="1"/>
  <c r="E145" i="10" s="1"/>
  <c r="E146" i="10" s="1"/>
  <c r="E147" i="10" s="1"/>
  <c r="E148" i="10" s="1"/>
  <c r="E149" i="10" s="1"/>
  <c r="E150" i="10" s="1"/>
  <c r="E151" i="10" s="1"/>
  <c r="E152" i="10" s="1"/>
  <c r="E153" i="10" s="1"/>
  <c r="E154" i="10" s="1"/>
  <c r="E155" i="10" s="1"/>
  <c r="E156" i="10" s="1"/>
  <c r="E157" i="10" s="1"/>
  <c r="E158" i="10" s="1"/>
  <c r="E159" i="10" s="1"/>
  <c r="E160" i="10" s="1"/>
  <c r="E161" i="10" s="1"/>
  <c r="E162" i="10" s="1"/>
  <c r="E163" i="10" s="1"/>
  <c r="E164" i="10" s="1"/>
  <c r="E165" i="10" s="1"/>
  <c r="E166" i="10" s="1"/>
  <c r="E167" i="10" s="1"/>
  <c r="E168" i="10" s="1"/>
  <c r="E169" i="10" s="1"/>
  <c r="E170" i="10" s="1"/>
  <c r="E171" i="10" s="1"/>
  <c r="E172" i="10" s="1"/>
  <c r="E173" i="10" s="1"/>
  <c r="E174" i="10" s="1"/>
  <c r="E175" i="10" s="1"/>
  <c r="E176" i="10" s="1"/>
  <c r="E177" i="10" s="1"/>
  <c r="E178" i="10" s="1"/>
  <c r="E179" i="10" s="1"/>
  <c r="E180" i="10" s="1"/>
  <c r="E181" i="10" s="1"/>
  <c r="E182" i="10" s="1"/>
  <c r="E183" i="10" s="1"/>
  <c r="E184" i="10" s="1"/>
  <c r="E185" i="10" s="1"/>
  <c r="E186" i="10" s="1"/>
  <c r="E187" i="10" s="1"/>
  <c r="E188" i="10" s="1"/>
  <c r="E189" i="10" s="1"/>
  <c r="E190" i="10" s="1"/>
  <c r="E191" i="10" s="1"/>
  <c r="E192" i="10" s="1"/>
  <c r="E193" i="10" s="1"/>
  <c r="E194" i="10" s="1"/>
  <c r="E195" i="10" s="1"/>
  <c r="E196" i="10" s="1"/>
  <c r="E197" i="10" s="1"/>
  <c r="E198" i="10" s="1"/>
  <c r="E199" i="10" s="1"/>
  <c r="E200" i="10" s="1"/>
  <c r="E201" i="10" s="1"/>
  <c r="E202" i="10" s="1"/>
  <c r="E203" i="10" s="1"/>
  <c r="E204" i="10" s="1"/>
  <c r="E205" i="10" s="1"/>
  <c r="E206" i="10" s="1"/>
  <c r="E207" i="10" s="1"/>
  <c r="E208" i="10" s="1"/>
  <c r="E209" i="10" s="1"/>
  <c r="E210" i="10" s="1"/>
  <c r="E211" i="10" s="1"/>
  <c r="E212" i="10" s="1"/>
  <c r="E213" i="10" s="1"/>
  <c r="E214" i="10" s="1"/>
  <c r="E215" i="10" s="1"/>
  <c r="E216" i="10" s="1"/>
  <c r="E217" i="10" s="1"/>
  <c r="E218" i="10" s="1"/>
  <c r="E219" i="10" s="1"/>
  <c r="E220" i="10" s="1"/>
  <c r="E221" i="10" s="1"/>
  <c r="E222" i="10" s="1"/>
  <c r="E223" i="10" s="1"/>
  <c r="E224" i="10" s="1"/>
  <c r="E225" i="10" s="1"/>
  <c r="E226" i="10" s="1"/>
  <c r="E227" i="10" s="1"/>
  <c r="E228" i="10" s="1"/>
  <c r="E229" i="10" s="1"/>
  <c r="E230" i="10" s="1"/>
  <c r="E231" i="10" s="1"/>
  <c r="E232" i="10" s="1"/>
  <c r="E233" i="10" s="1"/>
  <c r="E234" i="10" s="1"/>
  <c r="E235" i="10" s="1"/>
  <c r="E236" i="10" s="1"/>
  <c r="E237" i="10" s="1"/>
  <c r="E238" i="10" s="1"/>
  <c r="E239" i="10" s="1"/>
  <c r="E240" i="10" s="1"/>
  <c r="E241" i="10" s="1"/>
  <c r="E242" i="10" s="1"/>
  <c r="E243" i="10" s="1"/>
  <c r="E244" i="10" s="1"/>
  <c r="E245" i="10" s="1"/>
  <c r="E246" i="10" s="1"/>
  <c r="E247" i="10" s="1"/>
  <c r="E248" i="10" s="1"/>
  <c r="E249" i="10" s="1"/>
  <c r="E250" i="10" s="1"/>
  <c r="E251" i="10" s="1"/>
  <c r="E252" i="10" s="1"/>
  <c r="E253" i="10" s="1"/>
  <c r="E254" i="10" s="1"/>
  <c r="E255" i="10" s="1"/>
  <c r="E256" i="10" s="1"/>
  <c r="E257" i="10" s="1"/>
  <c r="E258" i="10" s="1"/>
  <c r="E259" i="10" s="1"/>
  <c r="E260" i="10" s="1"/>
  <c r="E261" i="10" s="1"/>
  <c r="E262" i="10" s="1"/>
  <c r="E263" i="10" s="1"/>
  <c r="E264" i="10" s="1"/>
  <c r="E265" i="10" s="1"/>
  <c r="E266" i="10" s="1"/>
  <c r="E267" i="10" s="1"/>
  <c r="E268" i="10" s="1"/>
  <c r="E269" i="10" s="1"/>
  <c r="E270" i="10" s="1"/>
  <c r="E271" i="10" s="1"/>
  <c r="E272" i="10" s="1"/>
  <c r="E273" i="10" s="1"/>
  <c r="E274" i="10" s="1"/>
  <c r="E275" i="10" s="1"/>
  <c r="E276" i="10" s="1"/>
  <c r="E278" i="10" s="1"/>
  <c r="E279" i="10" s="1"/>
  <c r="E280" i="10" s="1"/>
  <c r="E281" i="10" s="1"/>
  <c r="E282" i="10" s="1"/>
  <c r="E283" i="10" s="1"/>
  <c r="E284" i="10" s="1"/>
  <c r="E285" i="10" s="1"/>
  <c r="E286" i="10" s="1"/>
  <c r="E287" i="10" s="1"/>
  <c r="E288" i="10" s="1"/>
  <c r="E289" i="10" s="1"/>
  <c r="E290" i="10" s="1"/>
  <c r="E291" i="10" s="1"/>
  <c r="E292" i="10" s="1"/>
  <c r="E293" i="10" s="1"/>
  <c r="E294" i="10" s="1"/>
  <c r="E295" i="10" s="1"/>
  <c r="E296" i="10" s="1"/>
  <c r="E297" i="10" s="1"/>
  <c r="E298" i="10" s="1"/>
  <c r="E299" i="10" s="1"/>
  <c r="E300" i="10" s="1"/>
  <c r="E301" i="10" s="1"/>
  <c r="E302" i="10" s="1"/>
  <c r="E303" i="10" s="1"/>
  <c r="E304" i="10" s="1"/>
  <c r="E305" i="10" s="1"/>
  <c r="E306" i="10" s="1"/>
  <c r="E307" i="10" s="1"/>
  <c r="E308" i="10" s="1"/>
  <c r="E309" i="10" s="1"/>
  <c r="E310" i="10" s="1"/>
  <c r="E311" i="10" s="1"/>
  <c r="E312" i="10" s="1"/>
  <c r="E313" i="10" s="1"/>
  <c r="E314" i="10" s="1"/>
  <c r="E315" i="10" s="1"/>
  <c r="E316" i="10" s="1"/>
  <c r="E317" i="10" s="1"/>
  <c r="E318" i="10" s="1"/>
  <c r="E319" i="10" s="1"/>
  <c r="E320" i="10" s="1"/>
  <c r="E321" i="10" s="1"/>
  <c r="E322" i="10" s="1"/>
  <c r="E323" i="10" s="1"/>
  <c r="E324" i="10" s="1"/>
  <c r="E325" i="10" s="1"/>
  <c r="E326" i="10" s="1"/>
  <c r="E327" i="10" s="1"/>
  <c r="E328" i="10" s="1"/>
  <c r="E335" i="10" s="1"/>
  <c r="E336" i="10" s="1"/>
  <c r="E337" i="10" s="1"/>
  <c r="E338" i="10" s="1"/>
  <c r="E339" i="10" s="1"/>
  <c r="E340" i="10" s="1"/>
  <c r="E341" i="10" s="1"/>
  <c r="E342" i="10" s="1"/>
  <c r="E343" i="10" s="1"/>
  <c r="E344" i="10" s="1"/>
  <c r="E345" i="10" s="1"/>
  <c r="E346" i="10" s="1"/>
  <c r="E347" i="10" s="1"/>
  <c r="E348" i="10" s="1"/>
  <c r="E349" i="10" s="1"/>
  <c r="E350" i="10" s="1"/>
  <c r="E351" i="10" s="1"/>
  <c r="E352" i="10" s="1"/>
  <c r="E353" i="10" s="1"/>
  <c r="E354" i="10" s="1"/>
  <c r="E355" i="10" s="1"/>
  <c r="E356" i="10" s="1"/>
  <c r="E357" i="10" s="1"/>
  <c r="E358" i="10" s="1"/>
  <c r="E359" i="10" s="1"/>
  <c r="E360" i="10" s="1"/>
  <c r="E361" i="10" s="1"/>
  <c r="E362" i="10" s="1"/>
  <c r="E363" i="10" s="1"/>
  <c r="E364" i="10" s="1"/>
  <c r="H24" i="10"/>
  <c r="G24" i="10"/>
  <c r="H23" i="10"/>
  <c r="G23" i="10"/>
  <c r="H22" i="10"/>
  <c r="G22" i="10"/>
  <c r="H21" i="10"/>
  <c r="G21" i="10"/>
  <c r="H20" i="10"/>
  <c r="H19" i="10"/>
  <c r="H18" i="10"/>
  <c r="G18" i="10"/>
  <c r="H17" i="10"/>
  <c r="G17" i="10"/>
  <c r="G16" i="10"/>
  <c r="E12" i="10"/>
  <c r="H11" i="10"/>
  <c r="K15" i="10" s="1"/>
  <c r="G69" i="10" l="1"/>
  <c r="G366" i="10"/>
  <c r="G153" i="10"/>
  <c r="G329" i="10"/>
  <c r="G362" i="10"/>
  <c r="K16" i="10"/>
  <c r="G361" i="10"/>
  <c r="G368" i="10"/>
  <c r="G28" i="10"/>
  <c r="G112" i="10"/>
  <c r="G367" i="10"/>
  <c r="G365" i="10"/>
  <c r="G364" i="10"/>
  <c r="G363" i="10"/>
  <c r="I17" i="10"/>
  <c r="I18" i="10" s="1"/>
  <c r="G124" i="10"/>
  <c r="G191" i="10"/>
  <c r="G225" i="10"/>
  <c r="G215" i="10"/>
  <c r="G52" i="10"/>
  <c r="G62" i="10"/>
  <c r="G72" i="10"/>
  <c r="G105" i="10"/>
  <c r="G136" i="10"/>
  <c r="G19" i="10"/>
  <c r="G84" i="10"/>
  <c r="G96" i="10"/>
  <c r="G117" i="10"/>
  <c r="G148" i="10"/>
  <c r="G26" i="10"/>
  <c r="G45" i="10"/>
  <c r="G55" i="10"/>
  <c r="G129" i="10"/>
  <c r="G100" i="10"/>
  <c r="G141" i="10"/>
  <c r="G38" i="10"/>
  <c r="G48" i="10"/>
  <c r="G239" i="10"/>
  <c r="G172" i="10"/>
  <c r="G36" i="10"/>
  <c r="G93" i="10"/>
  <c r="G167" i="10"/>
  <c r="G201" i="10"/>
  <c r="G33" i="10"/>
  <c r="G60" i="10"/>
  <c r="G110" i="10"/>
  <c r="G122" i="10"/>
  <c r="G134" i="10"/>
  <c r="G244" i="10"/>
  <c r="G30" i="10"/>
  <c r="G43" i="10"/>
  <c r="G67" i="10"/>
  <c r="G143" i="10"/>
  <c r="G177" i="10"/>
  <c r="G81" i="10"/>
  <c r="G20" i="10"/>
  <c r="G25" i="10"/>
  <c r="G34" i="10"/>
  <c r="G50" i="10"/>
  <c r="G74" i="10"/>
  <c r="G86" i="10"/>
  <c r="G98" i="10"/>
  <c r="G220" i="10"/>
  <c r="G27" i="10"/>
  <c r="G57" i="10"/>
  <c r="G103" i="10"/>
  <c r="G115" i="10"/>
  <c r="G127" i="10"/>
  <c r="G139" i="10"/>
  <c r="G360" i="10"/>
  <c r="G348" i="10"/>
  <c r="G319" i="10"/>
  <c r="G307" i="10"/>
  <c r="G295" i="10"/>
  <c r="G283" i="10"/>
  <c r="G271" i="10"/>
  <c r="G259" i="10"/>
  <c r="G353" i="10"/>
  <c r="G341" i="10"/>
  <c r="G336" i="10"/>
  <c r="G324" i="10"/>
  <c r="G312" i="10"/>
  <c r="G300" i="10"/>
  <c r="G288" i="10"/>
  <c r="G276" i="10"/>
  <c r="G264" i="10"/>
  <c r="G252" i="10"/>
  <c r="G351" i="10"/>
  <c r="G339" i="10"/>
  <c r="G334" i="10"/>
  <c r="G322" i="10"/>
  <c r="G310" i="10"/>
  <c r="G298" i="10"/>
  <c r="G286" i="10"/>
  <c r="G356" i="10"/>
  <c r="G344" i="10"/>
  <c r="G327" i="10"/>
  <c r="G315" i="10"/>
  <c r="G303" i="10"/>
  <c r="G291" i="10"/>
  <c r="G279" i="10"/>
  <c r="G267" i="10"/>
  <c r="G255" i="10"/>
  <c r="G349" i="10"/>
  <c r="G337" i="10"/>
  <c r="G320" i="10"/>
  <c r="G308" i="10"/>
  <c r="G296" i="10"/>
  <c r="G284" i="10"/>
  <c r="G354" i="10"/>
  <c r="G342" i="10"/>
  <c r="G325" i="10"/>
  <c r="G313" i="10"/>
  <c r="G301" i="10"/>
  <c r="G289" i="10"/>
  <c r="G277" i="10"/>
  <c r="G265" i="10"/>
  <c r="G253" i="10"/>
  <c r="G359" i="10"/>
  <c r="G347" i="10"/>
  <c r="G318" i="10"/>
  <c r="G306" i="10"/>
  <c r="G294" i="10"/>
  <c r="G282" i="10"/>
  <c r="G270" i="10"/>
  <c r="G258" i="10"/>
  <c r="G350" i="10"/>
  <c r="G338" i="10"/>
  <c r="G321" i="10"/>
  <c r="G309" i="10"/>
  <c r="G297" i="10"/>
  <c r="G285" i="10"/>
  <c r="G273" i="10"/>
  <c r="G261" i="10"/>
  <c r="G355" i="10"/>
  <c r="G343" i="10"/>
  <c r="G326" i="10"/>
  <c r="G314" i="10"/>
  <c r="G302" i="10"/>
  <c r="G290" i="10"/>
  <c r="G278" i="10"/>
  <c r="G266" i="10"/>
  <c r="G358" i="10"/>
  <c r="G251" i="10"/>
  <c r="G247" i="10"/>
  <c r="G240" i="10"/>
  <c r="G228" i="10"/>
  <c r="G216" i="10"/>
  <c r="G204" i="10"/>
  <c r="G192" i="10"/>
  <c r="G180" i="10"/>
  <c r="G168" i="10"/>
  <c r="G156" i="10"/>
  <c r="G144" i="10"/>
  <c r="G305" i="10"/>
  <c r="G281" i="10"/>
  <c r="G256" i="10"/>
  <c r="G245" i="10"/>
  <c r="G233" i="10"/>
  <c r="G221" i="10"/>
  <c r="G209" i="10"/>
  <c r="G197" i="10"/>
  <c r="G185" i="10"/>
  <c r="G173" i="10"/>
  <c r="G161" i="10"/>
  <c r="G149" i="10"/>
  <c r="G357" i="10"/>
  <c r="G269" i="10"/>
  <c r="G262" i="10"/>
  <c r="G238" i="10"/>
  <c r="G226" i="10"/>
  <c r="G214" i="10"/>
  <c r="G202" i="10"/>
  <c r="G190" i="10"/>
  <c r="G178" i="10"/>
  <c r="G166" i="10"/>
  <c r="G154" i="10"/>
  <c r="G352" i="10"/>
  <c r="G328" i="10"/>
  <c r="G304" i="10"/>
  <c r="G280" i="10"/>
  <c r="G272" i="10"/>
  <c r="G243" i="10"/>
  <c r="G231" i="10"/>
  <c r="G219" i="10"/>
  <c r="G207" i="10"/>
  <c r="G195" i="10"/>
  <c r="G183" i="10"/>
  <c r="G171" i="10"/>
  <c r="G159" i="10"/>
  <c r="G147" i="10"/>
  <c r="G323" i="10"/>
  <c r="G299" i="10"/>
  <c r="G236" i="10"/>
  <c r="G224" i="10"/>
  <c r="G212" i="10"/>
  <c r="G200" i="10"/>
  <c r="G188" i="10"/>
  <c r="G176" i="10"/>
  <c r="G164" i="10"/>
  <c r="G152" i="10"/>
  <c r="G241" i="10"/>
  <c r="G229" i="10"/>
  <c r="G217" i="10"/>
  <c r="G205" i="10"/>
  <c r="G193" i="10"/>
  <c r="G181" i="10"/>
  <c r="G169" i="10"/>
  <c r="G157" i="10"/>
  <c r="G145" i="10"/>
  <c r="G346" i="10"/>
  <c r="G275" i="10"/>
  <c r="G268" i="10"/>
  <c r="G250" i="10"/>
  <c r="G248" i="10"/>
  <c r="G246" i="10"/>
  <c r="G234" i="10"/>
  <c r="G222" i="10"/>
  <c r="G210" i="10"/>
  <c r="G198" i="10"/>
  <c r="G186" i="10"/>
  <c r="G174" i="10"/>
  <c r="G162" i="10"/>
  <c r="G150" i="10"/>
  <c r="G335" i="10"/>
  <c r="G311" i="10"/>
  <c r="G287" i="10"/>
  <c r="G254" i="10"/>
  <c r="G242" i="10"/>
  <c r="G230" i="10"/>
  <c r="G218" i="10"/>
  <c r="G206" i="10"/>
  <c r="G194" i="10"/>
  <c r="G182" i="10"/>
  <c r="G170" i="10"/>
  <c r="G158" i="10"/>
  <c r="G146" i="10"/>
  <c r="G263" i="10"/>
  <c r="G249" i="10"/>
  <c r="G235" i="10"/>
  <c r="G223" i="10"/>
  <c r="G211" i="10"/>
  <c r="G199" i="10"/>
  <c r="G187" i="10"/>
  <c r="G175" i="10"/>
  <c r="G163" i="10"/>
  <c r="G151" i="10"/>
  <c r="G292" i="10"/>
  <c r="G274" i="10"/>
  <c r="G260" i="10"/>
  <c r="G130" i="10"/>
  <c r="G118" i="10"/>
  <c r="G106" i="10"/>
  <c r="G99" i="10"/>
  <c r="G87" i="10"/>
  <c r="G75" i="10"/>
  <c r="G63" i="10"/>
  <c r="G51" i="10"/>
  <c r="G39" i="10"/>
  <c r="G135" i="10"/>
  <c r="G123" i="10"/>
  <c r="G111" i="10"/>
  <c r="G92" i="10"/>
  <c r="G80" i="10"/>
  <c r="G68" i="10"/>
  <c r="G56" i="10"/>
  <c r="G44" i="10"/>
  <c r="G345" i="10"/>
  <c r="G317" i="10"/>
  <c r="G142" i="10"/>
  <c r="G140" i="10"/>
  <c r="G128" i="10"/>
  <c r="G116" i="10"/>
  <c r="G104" i="10"/>
  <c r="G97" i="10"/>
  <c r="G85" i="10"/>
  <c r="G73" i="10"/>
  <c r="G61" i="10"/>
  <c r="G49" i="10"/>
  <c r="G37" i="10"/>
  <c r="G32" i="10"/>
  <c r="G29" i="10"/>
  <c r="G237" i="10"/>
  <c r="G232" i="10"/>
  <c r="G227" i="10"/>
  <c r="G213" i="10"/>
  <c r="G208" i="10"/>
  <c r="G203" i="10"/>
  <c r="G189" i="10"/>
  <c r="G184" i="10"/>
  <c r="G179" i="10"/>
  <c r="G165" i="10"/>
  <c r="G160" i="10"/>
  <c r="G155" i="10"/>
  <c r="G133" i="10"/>
  <c r="G121" i="10"/>
  <c r="G109" i="10"/>
  <c r="G90" i="10"/>
  <c r="G78" i="10"/>
  <c r="G66" i="10"/>
  <c r="G54" i="10"/>
  <c r="G42" i="10"/>
  <c r="G316" i="10"/>
  <c r="G138" i="10"/>
  <c r="G126" i="10"/>
  <c r="G114" i="10"/>
  <c r="G102" i="10"/>
  <c r="G95" i="10"/>
  <c r="G83" i="10"/>
  <c r="G71" i="10"/>
  <c r="G59" i="10"/>
  <c r="G47" i="10"/>
  <c r="G35" i="10"/>
  <c r="G257" i="10"/>
  <c r="G131" i="10"/>
  <c r="G119" i="10"/>
  <c r="G107" i="10"/>
  <c r="G88" i="10"/>
  <c r="G76" i="10"/>
  <c r="G340" i="10"/>
  <c r="G293" i="10"/>
  <c r="G132" i="10"/>
  <c r="G120" i="10"/>
  <c r="G108" i="10"/>
  <c r="G89" i="10"/>
  <c r="G77" i="10"/>
  <c r="G65" i="10"/>
  <c r="G53" i="10"/>
  <c r="G41" i="10"/>
  <c r="G31" i="10"/>
  <c r="G137" i="10"/>
  <c r="G125" i="10"/>
  <c r="G113" i="10"/>
  <c r="G101" i="10"/>
  <c r="G94" i="10"/>
  <c r="G82" i="10"/>
  <c r="G70" i="10"/>
  <c r="G58" i="10"/>
  <c r="G46" i="10"/>
  <c r="G40" i="10"/>
  <c r="G64" i="10"/>
  <c r="G79" i="10"/>
  <c r="G91" i="10"/>
  <c r="G196" i="10"/>
  <c r="AI11" i="6"/>
  <c r="AI12" i="6"/>
  <c r="AI13" i="6"/>
  <c r="AI14" i="6"/>
  <c r="AI15" i="6"/>
  <c r="AI16" i="6"/>
  <c r="AF10" i="6"/>
  <c r="AF11" i="6"/>
  <c r="AF12" i="6"/>
  <c r="AF13" i="6"/>
  <c r="AF14" i="6"/>
  <c r="AF15" i="6"/>
  <c r="AF16" i="6"/>
  <c r="AF7" i="6"/>
  <c r="K4" i="9"/>
  <c r="K5" i="9"/>
  <c r="K6" i="9"/>
  <c r="J17" i="10" l="1"/>
  <c r="I19" i="10"/>
  <c r="I20" i="10" s="1"/>
  <c r="J20" i="10" s="1"/>
  <c r="K17" i="10"/>
  <c r="K18" i="10"/>
  <c r="J18" i="10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406" i="2"/>
  <c r="H407" i="2"/>
  <c r="H408" i="2"/>
  <c r="H409" i="2"/>
  <c r="H410" i="2"/>
  <c r="H411" i="2"/>
  <c r="H412" i="2"/>
  <c r="J19" i="10" l="1"/>
  <c r="I21" i="10"/>
  <c r="J21" i="10" s="1"/>
  <c r="K20" i="10"/>
  <c r="K19" i="10"/>
  <c r="E24" i="2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E337" i="2" l="1"/>
  <c r="E322" i="2"/>
  <c r="E323" i="2" s="1"/>
  <c r="E324" i="2" s="1"/>
  <c r="E325" i="2" s="1"/>
  <c r="E326" i="2" s="1"/>
  <c r="E327" i="2" s="1"/>
  <c r="E328" i="2" s="1"/>
  <c r="K21" i="10"/>
  <c r="I22" i="10"/>
  <c r="K22" i="10" s="1"/>
  <c r="Q28" i="10"/>
  <c r="P28" i="10"/>
  <c r="H280" i="2"/>
  <c r="H281" i="2"/>
  <c r="H282" i="2"/>
  <c r="H283" i="2"/>
  <c r="H284" i="2"/>
  <c r="I23" i="10" l="1"/>
  <c r="J22" i="10"/>
  <c r="J23" i="10"/>
  <c r="K23" i="10"/>
  <c r="I24" i="10"/>
  <c r="E338" i="2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G409" i="2"/>
  <c r="G410" i="2"/>
  <c r="G411" i="2"/>
  <c r="G412" i="2"/>
  <c r="G408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7" i="2"/>
  <c r="H278" i="2"/>
  <c r="H279" i="2"/>
  <c r="N30" i="10" l="1"/>
  <c r="N32" i="10"/>
  <c r="N29" i="10"/>
  <c r="N31" i="10"/>
  <c r="I25" i="10"/>
  <c r="J24" i="10"/>
  <c r="K24" i="10"/>
  <c r="G20" i="2"/>
  <c r="G21" i="2"/>
  <c r="G22" i="2"/>
  <c r="G23" i="2"/>
  <c r="H285" i="2"/>
  <c r="H286" i="2"/>
  <c r="H287" i="2"/>
  <c r="H288" i="2"/>
  <c r="K13" i="9"/>
  <c r="K14" i="9"/>
  <c r="K15" i="9"/>
  <c r="K16" i="9"/>
  <c r="K18" i="9"/>
  <c r="H17" i="2"/>
  <c r="H18" i="2"/>
  <c r="H19" i="2"/>
  <c r="H20" i="2"/>
  <c r="H21" i="2"/>
  <c r="H22" i="2"/>
  <c r="H23" i="2"/>
  <c r="H24" i="2"/>
  <c r="H25" i="2"/>
  <c r="K25" i="10" l="1"/>
  <c r="J25" i="10"/>
  <c r="I26" i="10"/>
  <c r="AI8" i="6"/>
  <c r="AI10" i="6"/>
  <c r="AF8" i="6"/>
  <c r="AF9" i="6"/>
  <c r="AI9" i="6" s="1"/>
  <c r="J26" i="10" l="1"/>
  <c r="K26" i="10"/>
  <c r="I27" i="10"/>
  <c r="G407" i="2"/>
  <c r="H11" i="2"/>
  <c r="K12" i="9"/>
  <c r="K11" i="9"/>
  <c r="K3" i="9"/>
  <c r="J15" i="2"/>
  <c r="L12" i="2" s="1"/>
  <c r="G16" i="2"/>
  <c r="G414" i="2"/>
  <c r="C48" i="6"/>
  <c r="S48" i="6" s="1"/>
  <c r="AI7" i="6"/>
  <c r="C52" i="6"/>
  <c r="S49" i="6" s="1"/>
  <c r="E12" i="2"/>
  <c r="G15" i="2"/>
  <c r="H16" i="2"/>
  <c r="G17" i="2"/>
  <c r="G334" i="2" l="1"/>
  <c r="G325" i="2"/>
  <c r="G335" i="2"/>
  <c r="G326" i="2"/>
  <c r="G324" i="2"/>
  <c r="G329" i="2"/>
  <c r="G336" i="2"/>
  <c r="G327" i="2"/>
  <c r="G323" i="2"/>
  <c r="G328" i="2"/>
  <c r="G322" i="2"/>
  <c r="K27" i="10"/>
  <c r="J27" i="10"/>
  <c r="I28" i="10"/>
  <c r="G395" i="2"/>
  <c r="G403" i="2"/>
  <c r="G396" i="2"/>
  <c r="G404" i="2"/>
  <c r="G402" i="2"/>
  <c r="G397" i="2"/>
  <c r="G405" i="2"/>
  <c r="G398" i="2"/>
  <c r="G399" i="2"/>
  <c r="G400" i="2"/>
  <c r="G401" i="2"/>
  <c r="G343" i="2"/>
  <c r="G351" i="2"/>
  <c r="G359" i="2"/>
  <c r="G367" i="2"/>
  <c r="G375" i="2"/>
  <c r="G383" i="2"/>
  <c r="G391" i="2"/>
  <c r="G340" i="2"/>
  <c r="G372" i="2"/>
  <c r="G342" i="2"/>
  <c r="G382" i="2"/>
  <c r="G344" i="2"/>
  <c r="G352" i="2"/>
  <c r="G360" i="2"/>
  <c r="G368" i="2"/>
  <c r="G376" i="2"/>
  <c r="G384" i="2"/>
  <c r="G392" i="2"/>
  <c r="G364" i="2"/>
  <c r="G337" i="2"/>
  <c r="G345" i="2"/>
  <c r="G353" i="2"/>
  <c r="G361" i="2"/>
  <c r="G369" i="2"/>
  <c r="G377" i="2"/>
  <c r="G385" i="2"/>
  <c r="G393" i="2"/>
  <c r="G388" i="2"/>
  <c r="G366" i="2"/>
  <c r="G390" i="2"/>
  <c r="G338" i="2"/>
  <c r="G346" i="2"/>
  <c r="G354" i="2"/>
  <c r="G362" i="2"/>
  <c r="G370" i="2"/>
  <c r="G378" i="2"/>
  <c r="G386" i="2"/>
  <c r="G394" i="2"/>
  <c r="G356" i="2"/>
  <c r="G358" i="2"/>
  <c r="G339" i="2"/>
  <c r="G347" i="2"/>
  <c r="G355" i="2"/>
  <c r="G363" i="2"/>
  <c r="G371" i="2"/>
  <c r="G379" i="2"/>
  <c r="G387" i="2"/>
  <c r="G348" i="2"/>
  <c r="G380" i="2"/>
  <c r="G341" i="2"/>
  <c r="G349" i="2"/>
  <c r="G357" i="2"/>
  <c r="G365" i="2"/>
  <c r="G373" i="2"/>
  <c r="G381" i="2"/>
  <c r="G389" i="2"/>
  <c r="G350" i="2"/>
  <c r="G374" i="2"/>
  <c r="G283" i="2"/>
  <c r="G284" i="2"/>
  <c r="G282" i="2"/>
  <c r="G286" i="2"/>
  <c r="G294" i="2"/>
  <c r="G302" i="2"/>
  <c r="G310" i="2"/>
  <c r="G318" i="2"/>
  <c r="G33" i="2"/>
  <c r="G41" i="2"/>
  <c r="G49" i="2"/>
  <c r="G57" i="2"/>
  <c r="G65" i="2"/>
  <c r="G73" i="2"/>
  <c r="G81" i="2"/>
  <c r="G89" i="2"/>
  <c r="G97" i="2"/>
  <c r="G105" i="2"/>
  <c r="G113" i="2"/>
  <c r="G121" i="2"/>
  <c r="G129" i="2"/>
  <c r="G137" i="2"/>
  <c r="G145" i="2"/>
  <c r="G153" i="2"/>
  <c r="G161" i="2"/>
  <c r="G169" i="2"/>
  <c r="G177" i="2"/>
  <c r="G185" i="2"/>
  <c r="G193" i="2"/>
  <c r="G201" i="2"/>
  <c r="G209" i="2"/>
  <c r="G217" i="2"/>
  <c r="G225" i="2"/>
  <c r="G233" i="2"/>
  <c r="G241" i="2"/>
  <c r="G249" i="2"/>
  <c r="G257" i="2"/>
  <c r="G265" i="2"/>
  <c r="G273" i="2"/>
  <c r="G281" i="2"/>
  <c r="G287" i="2"/>
  <c r="G295" i="2"/>
  <c r="G303" i="2"/>
  <c r="G311" i="2"/>
  <c r="G319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38" i="2"/>
  <c r="G146" i="2"/>
  <c r="G154" i="2"/>
  <c r="G162" i="2"/>
  <c r="G170" i="2"/>
  <c r="G178" i="2"/>
  <c r="G186" i="2"/>
  <c r="G194" i="2"/>
  <c r="G202" i="2"/>
  <c r="G210" i="2"/>
  <c r="G218" i="2"/>
  <c r="G226" i="2"/>
  <c r="G234" i="2"/>
  <c r="G242" i="2"/>
  <c r="G250" i="2"/>
  <c r="G258" i="2"/>
  <c r="G266" i="2"/>
  <c r="G274" i="2"/>
  <c r="G44" i="2"/>
  <c r="G148" i="2"/>
  <c r="G188" i="2"/>
  <c r="G220" i="2"/>
  <c r="G252" i="2"/>
  <c r="G317" i="2"/>
  <c r="G48" i="2"/>
  <c r="G88" i="2"/>
  <c r="G120" i="2"/>
  <c r="G152" i="2"/>
  <c r="G176" i="2"/>
  <c r="G192" i="2"/>
  <c r="G224" i="2"/>
  <c r="G248" i="2"/>
  <c r="G280" i="2"/>
  <c r="G288" i="2"/>
  <c r="G296" i="2"/>
  <c r="G304" i="2"/>
  <c r="G312" i="2"/>
  <c r="G320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139" i="2"/>
  <c r="G147" i="2"/>
  <c r="G155" i="2"/>
  <c r="G163" i="2"/>
  <c r="G171" i="2"/>
  <c r="G179" i="2"/>
  <c r="G187" i="2"/>
  <c r="G195" i="2"/>
  <c r="G203" i="2"/>
  <c r="G211" i="2"/>
  <c r="G219" i="2"/>
  <c r="G227" i="2"/>
  <c r="G235" i="2"/>
  <c r="G243" i="2"/>
  <c r="G251" i="2"/>
  <c r="G259" i="2"/>
  <c r="G267" i="2"/>
  <c r="G275" i="2"/>
  <c r="G36" i="2"/>
  <c r="G132" i="2"/>
  <c r="G172" i="2"/>
  <c r="G196" i="2"/>
  <c r="G212" i="2"/>
  <c r="G228" i="2"/>
  <c r="G244" i="2"/>
  <c r="G268" i="2"/>
  <c r="G289" i="2"/>
  <c r="G297" i="2"/>
  <c r="G305" i="2"/>
  <c r="G313" i="2"/>
  <c r="G321" i="2"/>
  <c r="G28" i="2"/>
  <c r="G52" i="2"/>
  <c r="G60" i="2"/>
  <c r="G68" i="2"/>
  <c r="G76" i="2"/>
  <c r="G84" i="2"/>
  <c r="G92" i="2"/>
  <c r="G100" i="2"/>
  <c r="G108" i="2"/>
  <c r="G116" i="2"/>
  <c r="G124" i="2"/>
  <c r="G140" i="2"/>
  <c r="G156" i="2"/>
  <c r="G164" i="2"/>
  <c r="G180" i="2"/>
  <c r="G204" i="2"/>
  <c r="G236" i="2"/>
  <c r="G260" i="2"/>
  <c r="G276" i="2"/>
  <c r="G301" i="2"/>
  <c r="G290" i="2"/>
  <c r="G298" i="2"/>
  <c r="G306" i="2"/>
  <c r="G314" i="2"/>
  <c r="G29" i="2"/>
  <c r="G37" i="2"/>
  <c r="G45" i="2"/>
  <c r="G53" i="2"/>
  <c r="G61" i="2"/>
  <c r="G69" i="2"/>
  <c r="G77" i="2"/>
  <c r="G85" i="2"/>
  <c r="G93" i="2"/>
  <c r="G101" i="2"/>
  <c r="G109" i="2"/>
  <c r="G117" i="2"/>
  <c r="G125" i="2"/>
  <c r="G133" i="2"/>
  <c r="G141" i="2"/>
  <c r="G149" i="2"/>
  <c r="G157" i="2"/>
  <c r="G165" i="2"/>
  <c r="G173" i="2"/>
  <c r="G181" i="2"/>
  <c r="G189" i="2"/>
  <c r="G197" i="2"/>
  <c r="G205" i="2"/>
  <c r="G213" i="2"/>
  <c r="G221" i="2"/>
  <c r="G229" i="2"/>
  <c r="G237" i="2"/>
  <c r="G245" i="2"/>
  <c r="G253" i="2"/>
  <c r="G261" i="2"/>
  <c r="G269" i="2"/>
  <c r="G277" i="2"/>
  <c r="G25" i="2"/>
  <c r="G292" i="2"/>
  <c r="G308" i="2"/>
  <c r="G406" i="2"/>
  <c r="G31" i="2"/>
  <c r="G47" i="2"/>
  <c r="G63" i="2"/>
  <c r="G79" i="2"/>
  <c r="G87" i="2"/>
  <c r="G103" i="2"/>
  <c r="G119" i="2"/>
  <c r="G143" i="2"/>
  <c r="G159" i="2"/>
  <c r="G175" i="2"/>
  <c r="G191" i="2"/>
  <c r="G207" i="2"/>
  <c r="G223" i="2"/>
  <c r="G239" i="2"/>
  <c r="G255" i="2"/>
  <c r="G271" i="2"/>
  <c r="G309" i="2"/>
  <c r="G285" i="2"/>
  <c r="G32" i="2"/>
  <c r="G56" i="2"/>
  <c r="G72" i="2"/>
  <c r="G96" i="2"/>
  <c r="G112" i="2"/>
  <c r="G136" i="2"/>
  <c r="G160" i="2"/>
  <c r="G184" i="2"/>
  <c r="G200" i="2"/>
  <c r="G216" i="2"/>
  <c r="G240" i="2"/>
  <c r="G264" i="2"/>
  <c r="G291" i="2"/>
  <c r="G299" i="2"/>
  <c r="G307" i="2"/>
  <c r="G315" i="2"/>
  <c r="G30" i="2"/>
  <c r="G38" i="2"/>
  <c r="G46" i="2"/>
  <c r="G54" i="2"/>
  <c r="G62" i="2"/>
  <c r="G70" i="2"/>
  <c r="G78" i="2"/>
  <c r="G86" i="2"/>
  <c r="G94" i="2"/>
  <c r="G102" i="2"/>
  <c r="G110" i="2"/>
  <c r="G118" i="2"/>
  <c r="G126" i="2"/>
  <c r="G134" i="2"/>
  <c r="G142" i="2"/>
  <c r="G150" i="2"/>
  <c r="G158" i="2"/>
  <c r="G166" i="2"/>
  <c r="G174" i="2"/>
  <c r="G182" i="2"/>
  <c r="G190" i="2"/>
  <c r="G198" i="2"/>
  <c r="G206" i="2"/>
  <c r="G214" i="2"/>
  <c r="G222" i="2"/>
  <c r="G230" i="2"/>
  <c r="G238" i="2"/>
  <c r="G246" i="2"/>
  <c r="G254" i="2"/>
  <c r="G262" i="2"/>
  <c r="G270" i="2"/>
  <c r="G278" i="2"/>
  <c r="G300" i="2"/>
  <c r="G316" i="2"/>
  <c r="G39" i="2"/>
  <c r="G55" i="2"/>
  <c r="G71" i="2"/>
  <c r="G95" i="2"/>
  <c r="G111" i="2"/>
  <c r="G127" i="2"/>
  <c r="G135" i="2"/>
  <c r="G151" i="2"/>
  <c r="G167" i="2"/>
  <c r="G183" i="2"/>
  <c r="G199" i="2"/>
  <c r="G215" i="2"/>
  <c r="G231" i="2"/>
  <c r="G247" i="2"/>
  <c r="G263" i="2"/>
  <c r="G279" i="2"/>
  <c r="G293" i="2"/>
  <c r="G40" i="2"/>
  <c r="G64" i="2"/>
  <c r="G80" i="2"/>
  <c r="G104" i="2"/>
  <c r="G128" i="2"/>
  <c r="G144" i="2"/>
  <c r="G168" i="2"/>
  <c r="G208" i="2"/>
  <c r="G232" i="2"/>
  <c r="G256" i="2"/>
  <c r="G272" i="2"/>
  <c r="K15" i="2"/>
  <c r="G24" i="2"/>
  <c r="G19" i="2"/>
  <c r="B26" i="2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S51" i="6"/>
  <c r="I16" i="2"/>
  <c r="J16" i="2" s="1"/>
  <c r="AF37" i="6"/>
  <c r="S52" i="6" s="1"/>
  <c r="G18" i="2"/>
  <c r="G413" i="2"/>
  <c r="K28" i="10" l="1"/>
  <c r="J28" i="10"/>
  <c r="I29" i="10"/>
  <c r="S53" i="6"/>
  <c r="B145" i="2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I17" i="2"/>
  <c r="K16" i="2"/>
  <c r="K29" i="10" l="1"/>
  <c r="J29" i="10"/>
  <c r="I30" i="10"/>
  <c r="J30" i="10" s="1"/>
  <c r="K17" i="2"/>
  <c r="I18" i="2"/>
  <c r="B278" i="2"/>
  <c r="J17" i="2"/>
  <c r="K30" i="10" l="1"/>
  <c r="I31" i="10"/>
  <c r="J18" i="2"/>
  <c r="K18" i="2"/>
  <c r="I19" i="2"/>
  <c r="B279" i="2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37" i="2" l="1"/>
  <c r="B322" i="2"/>
  <c r="B323" i="2" s="1"/>
  <c r="B324" i="2" s="1"/>
  <c r="B325" i="2" s="1"/>
  <c r="B326" i="2" s="1"/>
  <c r="B327" i="2" s="1"/>
  <c r="B328" i="2" s="1"/>
  <c r="J31" i="10"/>
  <c r="K31" i="10"/>
  <c r="I32" i="10"/>
  <c r="I20" i="2"/>
  <c r="K19" i="2"/>
  <c r="J19" i="2"/>
  <c r="B338" i="2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K32" i="10" l="1"/>
  <c r="J32" i="10"/>
  <c r="I33" i="10"/>
  <c r="K20" i="2"/>
  <c r="J20" i="2"/>
  <c r="O27" i="2" s="1"/>
  <c r="I21" i="2"/>
  <c r="K33" i="10" l="1"/>
  <c r="J33" i="10"/>
  <c r="I34" i="10"/>
  <c r="K21" i="2"/>
  <c r="J21" i="2"/>
  <c r="I22" i="2"/>
  <c r="P27" i="2"/>
  <c r="K34" i="10" l="1"/>
  <c r="J34" i="10"/>
  <c r="I35" i="10"/>
  <c r="K22" i="2"/>
  <c r="J22" i="2"/>
  <c r="M28" i="2" s="1"/>
  <c r="I23" i="2"/>
  <c r="K35" i="10" l="1"/>
  <c r="J35" i="10"/>
  <c r="I36" i="10"/>
  <c r="K23" i="2"/>
  <c r="J23" i="2"/>
  <c r="I24" i="2"/>
  <c r="M30" i="2"/>
  <c r="M29" i="2"/>
  <c r="M31" i="2"/>
  <c r="K36" i="10" l="1"/>
  <c r="J36" i="10"/>
  <c r="I37" i="10"/>
  <c r="K24" i="2"/>
  <c r="J24" i="2"/>
  <c r="I25" i="2"/>
  <c r="K37" i="10" l="1"/>
  <c r="J37" i="10"/>
  <c r="I38" i="10"/>
  <c r="K25" i="2"/>
  <c r="J25" i="2"/>
  <c r="I26" i="2"/>
  <c r="K38" i="10" l="1"/>
  <c r="J38" i="10"/>
  <c r="I39" i="10"/>
  <c r="K26" i="2"/>
  <c r="J26" i="2"/>
  <c r="I27" i="2"/>
  <c r="K39" i="10" l="1"/>
  <c r="J39" i="10"/>
  <c r="I40" i="10"/>
  <c r="K27" i="2"/>
  <c r="J27" i="2"/>
  <c r="I28" i="2"/>
  <c r="K40" i="10" l="1"/>
  <c r="J40" i="10"/>
  <c r="I41" i="10"/>
  <c r="K28" i="2"/>
  <c r="J28" i="2"/>
  <c r="I29" i="2"/>
  <c r="K41" i="10" l="1"/>
  <c r="J41" i="10"/>
  <c r="I42" i="10"/>
  <c r="I30" i="2"/>
  <c r="K29" i="2"/>
  <c r="J29" i="2"/>
  <c r="J42" i="10" l="1"/>
  <c r="K42" i="10"/>
  <c r="I43" i="10"/>
  <c r="I31" i="2"/>
  <c r="K30" i="2"/>
  <c r="J30" i="2"/>
  <c r="K43" i="10" l="1"/>
  <c r="I44" i="10"/>
  <c r="J43" i="10"/>
  <c r="I32" i="2"/>
  <c r="K31" i="2"/>
  <c r="J31" i="2"/>
  <c r="J44" i="10" l="1"/>
  <c r="K44" i="10"/>
  <c r="I45" i="10"/>
  <c r="I33" i="2"/>
  <c r="K32" i="2"/>
  <c r="J32" i="2"/>
  <c r="K45" i="10" l="1"/>
  <c r="J45" i="10"/>
  <c r="I46" i="10"/>
  <c r="I34" i="2"/>
  <c r="K33" i="2"/>
  <c r="J33" i="2"/>
  <c r="K46" i="10" l="1"/>
  <c r="J46" i="10"/>
  <c r="I47" i="10"/>
  <c r="I35" i="2"/>
  <c r="K34" i="2"/>
  <c r="J34" i="2"/>
  <c r="K47" i="10" l="1"/>
  <c r="J47" i="10"/>
  <c r="I48" i="10"/>
  <c r="I36" i="2"/>
  <c r="K35" i="2"/>
  <c r="J35" i="2"/>
  <c r="K48" i="10" l="1"/>
  <c r="J48" i="10"/>
  <c r="I49" i="10"/>
  <c r="I37" i="2"/>
  <c r="K36" i="2"/>
  <c r="J36" i="2"/>
  <c r="K49" i="10" l="1"/>
  <c r="J49" i="10"/>
  <c r="I50" i="10"/>
  <c r="I38" i="2"/>
  <c r="K37" i="2"/>
  <c r="J37" i="2"/>
  <c r="K50" i="10" l="1"/>
  <c r="J50" i="10"/>
  <c r="I51" i="10"/>
  <c r="I39" i="2"/>
  <c r="K38" i="2"/>
  <c r="J38" i="2"/>
  <c r="K51" i="10" l="1"/>
  <c r="J51" i="10"/>
  <c r="I52" i="10"/>
  <c r="I40" i="2"/>
  <c r="K39" i="2"/>
  <c r="J39" i="2"/>
  <c r="K52" i="10" l="1"/>
  <c r="J52" i="10"/>
  <c r="I53" i="10"/>
  <c r="I41" i="2"/>
  <c r="K40" i="2"/>
  <c r="J40" i="2"/>
  <c r="I54" i="10" l="1"/>
  <c r="K53" i="10"/>
  <c r="J53" i="10"/>
  <c r="I42" i="2"/>
  <c r="K41" i="2"/>
  <c r="J41" i="2"/>
  <c r="J54" i="10" l="1"/>
  <c r="K54" i="10"/>
  <c r="I55" i="10"/>
  <c r="I43" i="2"/>
  <c r="K42" i="2"/>
  <c r="J42" i="2"/>
  <c r="K55" i="10" l="1"/>
  <c r="I56" i="10"/>
  <c r="J55" i="10"/>
  <c r="I44" i="2"/>
  <c r="K43" i="2"/>
  <c r="J43" i="2"/>
  <c r="J56" i="10" l="1"/>
  <c r="K56" i="10"/>
  <c r="I57" i="10"/>
  <c r="I45" i="2"/>
  <c r="K44" i="2"/>
  <c r="J44" i="2"/>
  <c r="K57" i="10" l="1"/>
  <c r="J57" i="10"/>
  <c r="I58" i="10"/>
  <c r="I46" i="2"/>
  <c r="K45" i="2"/>
  <c r="J45" i="2"/>
  <c r="J58" i="10" l="1"/>
  <c r="K58" i="10"/>
  <c r="I59" i="10"/>
  <c r="I47" i="2"/>
  <c r="K46" i="2"/>
  <c r="J46" i="2"/>
  <c r="K59" i="10" l="1"/>
  <c r="J59" i="10"/>
  <c r="I60" i="10"/>
  <c r="I48" i="2"/>
  <c r="K47" i="2"/>
  <c r="J47" i="2"/>
  <c r="K60" i="10" l="1"/>
  <c r="J60" i="10"/>
  <c r="I61" i="10"/>
  <c r="I49" i="2"/>
  <c r="K48" i="2"/>
  <c r="J48" i="2"/>
  <c r="K61" i="10" l="1"/>
  <c r="J61" i="10"/>
  <c r="I62" i="10"/>
  <c r="I50" i="2"/>
  <c r="K49" i="2"/>
  <c r="J49" i="2"/>
  <c r="K62" i="10" l="1"/>
  <c r="J62" i="10"/>
  <c r="I63" i="10"/>
  <c r="I51" i="2"/>
  <c r="K50" i="2"/>
  <c r="J50" i="2"/>
  <c r="K63" i="10" l="1"/>
  <c r="J63" i="10"/>
  <c r="I64" i="10"/>
  <c r="I52" i="2"/>
  <c r="K51" i="2"/>
  <c r="J51" i="2"/>
  <c r="K64" i="10" l="1"/>
  <c r="J64" i="10"/>
  <c r="I65" i="10"/>
  <c r="I53" i="2"/>
  <c r="K52" i="2"/>
  <c r="J52" i="2"/>
  <c r="I66" i="10" l="1"/>
  <c r="J65" i="10"/>
  <c r="K65" i="10"/>
  <c r="I54" i="2"/>
  <c r="K53" i="2"/>
  <c r="J53" i="2"/>
  <c r="J66" i="10" l="1"/>
  <c r="K66" i="10"/>
  <c r="I67" i="10"/>
  <c r="I55" i="2"/>
  <c r="K54" i="2"/>
  <c r="J54" i="2"/>
  <c r="K67" i="10" l="1"/>
  <c r="I68" i="10"/>
  <c r="J67" i="10"/>
  <c r="I56" i="2"/>
  <c r="K55" i="2"/>
  <c r="J55" i="2"/>
  <c r="J68" i="10" l="1"/>
  <c r="K68" i="10"/>
  <c r="I69" i="10"/>
  <c r="I57" i="2"/>
  <c r="K56" i="2"/>
  <c r="J56" i="2"/>
  <c r="K69" i="10" l="1"/>
  <c r="J69" i="10"/>
  <c r="I70" i="10"/>
  <c r="I58" i="2"/>
  <c r="K57" i="2"/>
  <c r="J57" i="2"/>
  <c r="K70" i="10" l="1"/>
  <c r="J70" i="10"/>
  <c r="I71" i="10"/>
  <c r="I59" i="2"/>
  <c r="K58" i="2"/>
  <c r="J58" i="2"/>
  <c r="K71" i="10" l="1"/>
  <c r="J71" i="10"/>
  <c r="I72" i="10"/>
  <c r="I60" i="2"/>
  <c r="K59" i="2"/>
  <c r="J59" i="2"/>
  <c r="J72" i="10" l="1"/>
  <c r="K72" i="10"/>
  <c r="I73" i="10"/>
  <c r="I61" i="2"/>
  <c r="K60" i="2"/>
  <c r="J60" i="2"/>
  <c r="K73" i="10" l="1"/>
  <c r="J73" i="10"/>
  <c r="I74" i="10"/>
  <c r="I62" i="2"/>
  <c r="K61" i="2"/>
  <c r="J61" i="2"/>
  <c r="K74" i="10" l="1"/>
  <c r="J74" i="10"/>
  <c r="I75" i="10"/>
  <c r="I63" i="2"/>
  <c r="K62" i="2"/>
  <c r="J62" i="2"/>
  <c r="K75" i="10" l="1"/>
  <c r="J75" i="10"/>
  <c r="I76" i="10"/>
  <c r="I64" i="2"/>
  <c r="K63" i="2"/>
  <c r="J63" i="2"/>
  <c r="K76" i="10" l="1"/>
  <c r="J76" i="10"/>
  <c r="I77" i="10"/>
  <c r="I65" i="2"/>
  <c r="K64" i="2"/>
  <c r="J64" i="2"/>
  <c r="I78" i="10" l="1"/>
  <c r="J77" i="10"/>
  <c r="K77" i="10"/>
  <c r="I66" i="2"/>
  <c r="K65" i="2"/>
  <c r="J65" i="2"/>
  <c r="J78" i="10" l="1"/>
  <c r="K78" i="10"/>
  <c r="I79" i="10"/>
  <c r="I67" i="2"/>
  <c r="K66" i="2"/>
  <c r="J66" i="2"/>
  <c r="K79" i="10" l="1"/>
  <c r="J79" i="10"/>
  <c r="I80" i="10"/>
  <c r="I68" i="2"/>
  <c r="K67" i="2"/>
  <c r="J67" i="2"/>
  <c r="J80" i="10" l="1"/>
  <c r="K80" i="10"/>
  <c r="I81" i="10"/>
  <c r="I69" i="2"/>
  <c r="K68" i="2"/>
  <c r="J68" i="2"/>
  <c r="K81" i="10" l="1"/>
  <c r="J81" i="10"/>
  <c r="I82" i="10"/>
  <c r="I70" i="2"/>
  <c r="K69" i="2"/>
  <c r="J69" i="2"/>
  <c r="K82" i="10" l="1"/>
  <c r="J82" i="10"/>
  <c r="I83" i="10"/>
  <c r="I71" i="2"/>
  <c r="K70" i="2"/>
  <c r="J70" i="2"/>
  <c r="K83" i="10" l="1"/>
  <c r="J83" i="10"/>
  <c r="I84" i="10"/>
  <c r="I72" i="2"/>
  <c r="K71" i="2"/>
  <c r="J71" i="2"/>
  <c r="K84" i="10" l="1"/>
  <c r="J84" i="10"/>
  <c r="I85" i="10"/>
  <c r="I73" i="2"/>
  <c r="K72" i="2"/>
  <c r="J72" i="2"/>
  <c r="K85" i="10" l="1"/>
  <c r="J85" i="10"/>
  <c r="I86" i="10"/>
  <c r="I74" i="2"/>
  <c r="K73" i="2"/>
  <c r="J73" i="2"/>
  <c r="K86" i="10" l="1"/>
  <c r="J86" i="10"/>
  <c r="I87" i="10"/>
  <c r="I75" i="2"/>
  <c r="K74" i="2"/>
  <c r="J74" i="2"/>
  <c r="I88" i="10" l="1"/>
  <c r="K87" i="10"/>
  <c r="J87" i="10"/>
  <c r="I76" i="2"/>
  <c r="K75" i="2"/>
  <c r="J75" i="2"/>
  <c r="K88" i="10" l="1"/>
  <c r="J88" i="10"/>
  <c r="I89" i="10"/>
  <c r="I77" i="2"/>
  <c r="K76" i="2"/>
  <c r="J76" i="2"/>
  <c r="I90" i="10" l="1"/>
  <c r="K89" i="10"/>
  <c r="J89" i="10"/>
  <c r="I78" i="2"/>
  <c r="K77" i="2"/>
  <c r="J77" i="2"/>
  <c r="J90" i="10" l="1"/>
  <c r="K90" i="10"/>
  <c r="I91" i="10"/>
  <c r="I79" i="2"/>
  <c r="K78" i="2"/>
  <c r="J78" i="2"/>
  <c r="K91" i="10" l="1"/>
  <c r="J91" i="10"/>
  <c r="I92" i="10"/>
  <c r="I80" i="2"/>
  <c r="K79" i="2"/>
  <c r="J79" i="2"/>
  <c r="J92" i="10" l="1"/>
  <c r="K92" i="10"/>
  <c r="I93" i="10"/>
  <c r="I81" i="2"/>
  <c r="K80" i="2"/>
  <c r="J80" i="2"/>
  <c r="K93" i="10" l="1"/>
  <c r="J93" i="10"/>
  <c r="I94" i="10"/>
  <c r="I82" i="2"/>
  <c r="K81" i="2"/>
  <c r="J81" i="2"/>
  <c r="K94" i="10" l="1"/>
  <c r="J94" i="10"/>
  <c r="I95" i="10"/>
  <c r="I83" i="2"/>
  <c r="K82" i="2"/>
  <c r="J82" i="2"/>
  <c r="K95" i="10" l="1"/>
  <c r="J95" i="10"/>
  <c r="I96" i="10"/>
  <c r="I84" i="2"/>
  <c r="K83" i="2"/>
  <c r="J83" i="2"/>
  <c r="K96" i="10" l="1"/>
  <c r="J96" i="10"/>
  <c r="I97" i="10"/>
  <c r="I85" i="2"/>
  <c r="K84" i="2"/>
  <c r="J84" i="2"/>
  <c r="K97" i="10" l="1"/>
  <c r="J97" i="10"/>
  <c r="I98" i="10"/>
  <c r="I86" i="2"/>
  <c r="K85" i="2"/>
  <c r="J85" i="2"/>
  <c r="K98" i="10" l="1"/>
  <c r="J98" i="10"/>
  <c r="I99" i="10"/>
  <c r="I87" i="2"/>
  <c r="K86" i="2"/>
  <c r="J86" i="2"/>
  <c r="J99" i="10" l="1"/>
  <c r="K99" i="10"/>
  <c r="I100" i="10"/>
  <c r="I88" i="2"/>
  <c r="K87" i="2"/>
  <c r="J87" i="2"/>
  <c r="K100" i="10" l="1"/>
  <c r="J100" i="10"/>
  <c r="I101" i="10"/>
  <c r="I89" i="2"/>
  <c r="K88" i="2"/>
  <c r="J88" i="2"/>
  <c r="K101" i="10" l="1"/>
  <c r="J101" i="10"/>
  <c r="I102" i="10"/>
  <c r="I90" i="2"/>
  <c r="K89" i="2"/>
  <c r="J89" i="2"/>
  <c r="K102" i="10" l="1"/>
  <c r="J102" i="10"/>
  <c r="I103" i="10"/>
  <c r="I91" i="2"/>
  <c r="K90" i="2"/>
  <c r="J90" i="2"/>
  <c r="K103" i="10" l="1"/>
  <c r="J103" i="10"/>
  <c r="I104" i="10"/>
  <c r="I92" i="2"/>
  <c r="K91" i="2"/>
  <c r="J91" i="2"/>
  <c r="K104" i="10" l="1"/>
  <c r="J104" i="10"/>
  <c r="I105" i="10"/>
  <c r="I93" i="2"/>
  <c r="K92" i="2"/>
  <c r="J92" i="2"/>
  <c r="K105" i="10" l="1"/>
  <c r="J105" i="10"/>
  <c r="I106" i="10"/>
  <c r="I94" i="2"/>
  <c r="K93" i="2"/>
  <c r="J93" i="2"/>
  <c r="I107" i="10" l="1"/>
  <c r="K106" i="10"/>
  <c r="J106" i="10"/>
  <c r="I95" i="2"/>
  <c r="K94" i="2"/>
  <c r="J94" i="2"/>
  <c r="K107" i="10" l="1"/>
  <c r="J107" i="10"/>
  <c r="I108" i="10"/>
  <c r="I96" i="2"/>
  <c r="K95" i="2"/>
  <c r="J95" i="2"/>
  <c r="I109" i="10" l="1"/>
  <c r="K108" i="10"/>
  <c r="J108" i="10"/>
  <c r="I97" i="2"/>
  <c r="K96" i="2"/>
  <c r="J96" i="2"/>
  <c r="J109" i="10" l="1"/>
  <c r="K109" i="10"/>
  <c r="I110" i="10"/>
  <c r="I98" i="2"/>
  <c r="K97" i="2"/>
  <c r="J97" i="2"/>
  <c r="K110" i="10" l="1"/>
  <c r="J110" i="10"/>
  <c r="I111" i="10"/>
  <c r="I99" i="2"/>
  <c r="K98" i="2"/>
  <c r="J98" i="2"/>
  <c r="J111" i="10" l="1"/>
  <c r="K111" i="10"/>
  <c r="I112" i="10"/>
  <c r="I100" i="2"/>
  <c r="K99" i="2"/>
  <c r="J99" i="2"/>
  <c r="K112" i="10" l="1"/>
  <c r="J112" i="10"/>
  <c r="I113" i="10"/>
  <c r="I101" i="2"/>
  <c r="K100" i="2"/>
  <c r="J100" i="2"/>
  <c r="K113" i="10" l="1"/>
  <c r="J113" i="10"/>
  <c r="I114" i="10"/>
  <c r="I102" i="2"/>
  <c r="K101" i="2"/>
  <c r="J101" i="2"/>
  <c r="K114" i="10" l="1"/>
  <c r="J114" i="10"/>
  <c r="I115" i="10"/>
  <c r="I103" i="2"/>
  <c r="K102" i="2"/>
  <c r="J102" i="2"/>
  <c r="K115" i="10" l="1"/>
  <c r="J115" i="10"/>
  <c r="I116" i="10"/>
  <c r="I104" i="2"/>
  <c r="K103" i="2"/>
  <c r="J103" i="2"/>
  <c r="K116" i="10" l="1"/>
  <c r="J116" i="10"/>
  <c r="I117" i="10"/>
  <c r="I105" i="2"/>
  <c r="K104" i="2"/>
  <c r="J104" i="2"/>
  <c r="K117" i="10" l="1"/>
  <c r="J117" i="10"/>
  <c r="I118" i="10"/>
  <c r="I106" i="2"/>
  <c r="K105" i="2"/>
  <c r="J105" i="2"/>
  <c r="I119" i="10" l="1"/>
  <c r="K118" i="10"/>
  <c r="J118" i="10"/>
  <c r="I107" i="2"/>
  <c r="K106" i="2"/>
  <c r="J106" i="2"/>
  <c r="K119" i="10" l="1"/>
  <c r="J119" i="10"/>
  <c r="I120" i="10"/>
  <c r="I108" i="2"/>
  <c r="K107" i="2"/>
  <c r="J107" i="2"/>
  <c r="I121" i="10" l="1"/>
  <c r="K120" i="10"/>
  <c r="J120" i="10"/>
  <c r="I109" i="2"/>
  <c r="K108" i="2"/>
  <c r="J108" i="2"/>
  <c r="J121" i="10" l="1"/>
  <c r="K121" i="10"/>
  <c r="I122" i="10"/>
  <c r="I110" i="2"/>
  <c r="K109" i="2"/>
  <c r="J109" i="2"/>
  <c r="K122" i="10" l="1"/>
  <c r="J122" i="10"/>
  <c r="I123" i="10"/>
  <c r="I111" i="2"/>
  <c r="K110" i="2"/>
  <c r="J110" i="2"/>
  <c r="J123" i="10" l="1"/>
  <c r="K123" i="10"/>
  <c r="I124" i="10"/>
  <c r="I112" i="2"/>
  <c r="K111" i="2"/>
  <c r="J111" i="2"/>
  <c r="K124" i="10" l="1"/>
  <c r="J124" i="10"/>
  <c r="I125" i="10"/>
  <c r="I113" i="2"/>
  <c r="K112" i="2"/>
  <c r="J112" i="2"/>
  <c r="K125" i="10" l="1"/>
  <c r="J125" i="10"/>
  <c r="I126" i="10"/>
  <c r="I114" i="2"/>
  <c r="K113" i="2"/>
  <c r="J113" i="2"/>
  <c r="K126" i="10" l="1"/>
  <c r="J126" i="10"/>
  <c r="I127" i="10"/>
  <c r="I115" i="2"/>
  <c r="K114" i="2"/>
  <c r="J114" i="2"/>
  <c r="K127" i="10" l="1"/>
  <c r="J127" i="10"/>
  <c r="I128" i="10"/>
  <c r="I116" i="2"/>
  <c r="K115" i="2"/>
  <c r="J115" i="2"/>
  <c r="K128" i="10" l="1"/>
  <c r="J128" i="10"/>
  <c r="I129" i="10"/>
  <c r="I117" i="2"/>
  <c r="K116" i="2"/>
  <c r="J116" i="2"/>
  <c r="K129" i="10" l="1"/>
  <c r="J129" i="10"/>
  <c r="I130" i="10"/>
  <c r="I118" i="2"/>
  <c r="K117" i="2"/>
  <c r="J117" i="2"/>
  <c r="I131" i="10" l="1"/>
  <c r="K130" i="10"/>
  <c r="J130" i="10"/>
  <c r="I119" i="2"/>
  <c r="K118" i="2"/>
  <c r="J118" i="2"/>
  <c r="K131" i="10" l="1"/>
  <c r="J131" i="10"/>
  <c r="I132" i="10"/>
  <c r="I120" i="2"/>
  <c r="K119" i="2"/>
  <c r="J119" i="2"/>
  <c r="I133" i="10" l="1"/>
  <c r="J132" i="10"/>
  <c r="K132" i="10"/>
  <c r="I121" i="2"/>
  <c r="K120" i="2"/>
  <c r="J120" i="2"/>
  <c r="J133" i="10" l="1"/>
  <c r="K133" i="10"/>
  <c r="I134" i="10"/>
  <c r="I122" i="2"/>
  <c r="K121" i="2"/>
  <c r="J121" i="2"/>
  <c r="K134" i="10" l="1"/>
  <c r="J134" i="10"/>
  <c r="I135" i="10"/>
  <c r="I123" i="2"/>
  <c r="K122" i="2"/>
  <c r="J122" i="2"/>
  <c r="J135" i="10" l="1"/>
  <c r="K135" i="10"/>
  <c r="I136" i="10"/>
  <c r="I124" i="2"/>
  <c r="K123" i="2"/>
  <c r="J123" i="2"/>
  <c r="K136" i="10" l="1"/>
  <c r="J136" i="10"/>
  <c r="I137" i="10"/>
  <c r="I125" i="2"/>
  <c r="K124" i="2"/>
  <c r="J124" i="2"/>
  <c r="K137" i="10" l="1"/>
  <c r="J137" i="10"/>
  <c r="I138" i="10"/>
  <c r="I126" i="2"/>
  <c r="K125" i="2"/>
  <c r="J125" i="2"/>
  <c r="K138" i="10" l="1"/>
  <c r="J138" i="10"/>
  <c r="I139" i="10"/>
  <c r="I127" i="2"/>
  <c r="K126" i="2"/>
  <c r="J126" i="2"/>
  <c r="K139" i="10" l="1"/>
  <c r="J139" i="10"/>
  <c r="I140" i="10"/>
  <c r="I128" i="2"/>
  <c r="K127" i="2"/>
  <c r="J127" i="2"/>
  <c r="K140" i="10" l="1"/>
  <c r="J140" i="10"/>
  <c r="I141" i="10"/>
  <c r="I129" i="2"/>
  <c r="K128" i="2"/>
  <c r="J128" i="2"/>
  <c r="K141" i="10" l="1"/>
  <c r="J141" i="10"/>
  <c r="I142" i="10"/>
  <c r="I130" i="2"/>
  <c r="K129" i="2"/>
  <c r="J129" i="2"/>
  <c r="K142" i="10" l="1"/>
  <c r="J142" i="10"/>
  <c r="I143" i="10"/>
  <c r="I131" i="2"/>
  <c r="K130" i="2"/>
  <c r="J130" i="2"/>
  <c r="K143" i="10" l="1"/>
  <c r="J143" i="10"/>
  <c r="I144" i="10"/>
  <c r="I132" i="2"/>
  <c r="K131" i="2"/>
  <c r="J131" i="2"/>
  <c r="I145" i="10" l="1"/>
  <c r="K144" i="10"/>
  <c r="J144" i="10"/>
  <c r="I133" i="2"/>
  <c r="K132" i="2"/>
  <c r="J132" i="2"/>
  <c r="K145" i="10" l="1"/>
  <c r="J145" i="10"/>
  <c r="I146" i="10"/>
  <c r="I134" i="2"/>
  <c r="K133" i="2"/>
  <c r="J133" i="2"/>
  <c r="I147" i="10" l="1"/>
  <c r="K146" i="10"/>
  <c r="J146" i="10"/>
  <c r="I135" i="2"/>
  <c r="K134" i="2"/>
  <c r="J134" i="2"/>
  <c r="J147" i="10" l="1"/>
  <c r="K147" i="10"/>
  <c r="I148" i="10"/>
  <c r="I136" i="2"/>
  <c r="K135" i="2"/>
  <c r="J135" i="2"/>
  <c r="K148" i="10" l="1"/>
  <c r="J148" i="10"/>
  <c r="I149" i="10"/>
  <c r="I137" i="2"/>
  <c r="K136" i="2"/>
  <c r="J136" i="2"/>
  <c r="I150" i="10" l="1"/>
  <c r="J149" i="10"/>
  <c r="K149" i="10"/>
  <c r="I138" i="2"/>
  <c r="K137" i="2"/>
  <c r="J137" i="2"/>
  <c r="K150" i="10" l="1"/>
  <c r="J150" i="10"/>
  <c r="I151" i="10"/>
  <c r="I139" i="2"/>
  <c r="K138" i="2"/>
  <c r="J138" i="2"/>
  <c r="J151" i="10" l="1"/>
  <c r="K151" i="10"/>
  <c r="I152" i="10"/>
  <c r="I140" i="2"/>
  <c r="K139" i="2"/>
  <c r="J139" i="2"/>
  <c r="K152" i="10" l="1"/>
  <c r="J152" i="10"/>
  <c r="I153" i="10"/>
  <c r="I141" i="2"/>
  <c r="K140" i="2"/>
  <c r="J140" i="2"/>
  <c r="K153" i="10" l="1"/>
  <c r="J153" i="10"/>
  <c r="I154" i="10"/>
  <c r="I142" i="2"/>
  <c r="K141" i="2"/>
  <c r="J141" i="2"/>
  <c r="K154" i="10" l="1"/>
  <c r="J154" i="10"/>
  <c r="I155" i="10"/>
  <c r="I143" i="2"/>
  <c r="K142" i="2"/>
  <c r="J142" i="2"/>
  <c r="K155" i="10" l="1"/>
  <c r="J155" i="10"/>
  <c r="I156" i="10"/>
  <c r="I144" i="2"/>
  <c r="K143" i="2"/>
  <c r="J143" i="2"/>
  <c r="J156" i="10" l="1"/>
  <c r="K156" i="10"/>
  <c r="I157" i="10"/>
  <c r="I145" i="2"/>
  <c r="K144" i="2"/>
  <c r="J144" i="2"/>
  <c r="K157" i="10" l="1"/>
  <c r="J157" i="10"/>
  <c r="I158" i="10"/>
  <c r="I146" i="2"/>
  <c r="K145" i="2"/>
  <c r="J145" i="2"/>
  <c r="I159" i="10" l="1"/>
  <c r="K158" i="10"/>
  <c r="J158" i="10"/>
  <c r="I147" i="2"/>
  <c r="K146" i="2"/>
  <c r="J146" i="2"/>
  <c r="J159" i="10" l="1"/>
  <c r="K159" i="10"/>
  <c r="I160" i="10"/>
  <c r="I148" i="2"/>
  <c r="K147" i="2"/>
  <c r="J147" i="2"/>
  <c r="K160" i="10" l="1"/>
  <c r="J160" i="10"/>
  <c r="I161" i="10"/>
  <c r="I149" i="2"/>
  <c r="K148" i="2"/>
  <c r="J148" i="2"/>
  <c r="J161" i="10" l="1"/>
  <c r="K161" i="10"/>
  <c r="I162" i="10"/>
  <c r="I150" i="2"/>
  <c r="K149" i="2"/>
  <c r="J149" i="2"/>
  <c r="K162" i="10" l="1"/>
  <c r="J162" i="10"/>
  <c r="I163" i="10"/>
  <c r="I151" i="2"/>
  <c r="K150" i="2"/>
  <c r="J150" i="2"/>
  <c r="K163" i="10" l="1"/>
  <c r="J163" i="10"/>
  <c r="I164" i="10"/>
  <c r="I152" i="2"/>
  <c r="K151" i="2"/>
  <c r="J151" i="2"/>
  <c r="K164" i="10" l="1"/>
  <c r="J164" i="10"/>
  <c r="I165" i="10"/>
  <c r="I153" i="2"/>
  <c r="K152" i="2"/>
  <c r="J152" i="2"/>
  <c r="K165" i="10" l="1"/>
  <c r="J165" i="10"/>
  <c r="I166" i="10"/>
  <c r="I154" i="2"/>
  <c r="K153" i="2"/>
  <c r="J153" i="2"/>
  <c r="K166" i="10" l="1"/>
  <c r="J166" i="10"/>
  <c r="I167" i="10"/>
  <c r="I155" i="2"/>
  <c r="K154" i="2"/>
  <c r="J154" i="2"/>
  <c r="K167" i="10" l="1"/>
  <c r="J167" i="10"/>
  <c r="I168" i="10"/>
  <c r="I156" i="2"/>
  <c r="K155" i="2"/>
  <c r="J155" i="2"/>
  <c r="K168" i="10" l="1"/>
  <c r="J168" i="10"/>
  <c r="I169" i="10"/>
  <c r="I157" i="2"/>
  <c r="K156" i="2"/>
  <c r="J156" i="2"/>
  <c r="K169" i="10" l="1"/>
  <c r="J169" i="10"/>
  <c r="I170" i="10"/>
  <c r="I158" i="2"/>
  <c r="K157" i="2"/>
  <c r="J157" i="2"/>
  <c r="I171" i="10" l="1"/>
  <c r="K170" i="10"/>
  <c r="J170" i="10"/>
  <c r="I159" i="2"/>
  <c r="K158" i="2"/>
  <c r="J158" i="2"/>
  <c r="J171" i="10" l="1"/>
  <c r="K171" i="10"/>
  <c r="I172" i="10"/>
  <c r="I160" i="2"/>
  <c r="K159" i="2"/>
  <c r="J159" i="2"/>
  <c r="K172" i="10" l="1"/>
  <c r="J172" i="10"/>
  <c r="I173" i="10"/>
  <c r="I161" i="2"/>
  <c r="K160" i="2"/>
  <c r="J160" i="2"/>
  <c r="J173" i="10" l="1"/>
  <c r="K173" i="10"/>
  <c r="I174" i="10"/>
  <c r="I162" i="2"/>
  <c r="K161" i="2"/>
  <c r="J161" i="2"/>
  <c r="K174" i="10" l="1"/>
  <c r="J174" i="10"/>
  <c r="I175" i="10"/>
  <c r="I163" i="2"/>
  <c r="K162" i="2"/>
  <c r="J162" i="2"/>
  <c r="J175" i="10" l="1"/>
  <c r="K175" i="10"/>
  <c r="I176" i="10"/>
  <c r="I164" i="2"/>
  <c r="K163" i="2"/>
  <c r="J163" i="2"/>
  <c r="K176" i="10" l="1"/>
  <c r="J176" i="10"/>
  <c r="I177" i="10"/>
  <c r="I165" i="2"/>
  <c r="K164" i="2"/>
  <c r="J164" i="2"/>
  <c r="K177" i="10" l="1"/>
  <c r="J177" i="10"/>
  <c r="I178" i="10"/>
  <c r="I166" i="2"/>
  <c r="K165" i="2"/>
  <c r="J165" i="2"/>
  <c r="K178" i="10" l="1"/>
  <c r="J178" i="10"/>
  <c r="I179" i="10"/>
  <c r="I167" i="2"/>
  <c r="K166" i="2"/>
  <c r="J166" i="2"/>
  <c r="K179" i="10" l="1"/>
  <c r="J179" i="10"/>
  <c r="I180" i="10"/>
  <c r="I168" i="2"/>
  <c r="K167" i="2"/>
  <c r="J167" i="2"/>
  <c r="J180" i="10" l="1"/>
  <c r="K180" i="10"/>
  <c r="I181" i="10"/>
  <c r="I169" i="2"/>
  <c r="K168" i="2"/>
  <c r="J168" i="2"/>
  <c r="K181" i="10" l="1"/>
  <c r="J181" i="10"/>
  <c r="I182" i="10"/>
  <c r="I170" i="2"/>
  <c r="K169" i="2"/>
  <c r="J169" i="2"/>
  <c r="I183" i="10" l="1"/>
  <c r="K182" i="10"/>
  <c r="J182" i="10"/>
  <c r="I171" i="2"/>
  <c r="K170" i="2"/>
  <c r="J170" i="2"/>
  <c r="J183" i="10" l="1"/>
  <c r="K183" i="10"/>
  <c r="I184" i="10"/>
  <c r="I172" i="2"/>
  <c r="K171" i="2"/>
  <c r="J171" i="2"/>
  <c r="K184" i="10" l="1"/>
  <c r="J184" i="10"/>
  <c r="I185" i="10"/>
  <c r="I173" i="2"/>
  <c r="K172" i="2"/>
  <c r="J172" i="2"/>
  <c r="J185" i="10" l="1"/>
  <c r="K185" i="10"/>
  <c r="I186" i="10"/>
  <c r="I174" i="2"/>
  <c r="K173" i="2"/>
  <c r="J173" i="2"/>
  <c r="K186" i="10" l="1"/>
  <c r="J186" i="10"/>
  <c r="I187" i="10"/>
  <c r="I175" i="2"/>
  <c r="K174" i="2"/>
  <c r="J174" i="2"/>
  <c r="K187" i="10" l="1"/>
  <c r="J187" i="10"/>
  <c r="I188" i="10"/>
  <c r="I176" i="2"/>
  <c r="K175" i="2"/>
  <c r="J175" i="2"/>
  <c r="K188" i="10" l="1"/>
  <c r="J188" i="10"/>
  <c r="I189" i="10"/>
  <c r="I177" i="2"/>
  <c r="K176" i="2"/>
  <c r="J176" i="2"/>
  <c r="K189" i="10" l="1"/>
  <c r="J189" i="10"/>
  <c r="I190" i="10"/>
  <c r="I178" i="2"/>
  <c r="K177" i="2"/>
  <c r="J177" i="2"/>
  <c r="K190" i="10" l="1"/>
  <c r="J190" i="10"/>
  <c r="I191" i="10"/>
  <c r="I179" i="2"/>
  <c r="K178" i="2"/>
  <c r="J178" i="2"/>
  <c r="K191" i="10" l="1"/>
  <c r="J191" i="10"/>
  <c r="I192" i="10"/>
  <c r="I180" i="2"/>
  <c r="K179" i="2"/>
  <c r="J179" i="2"/>
  <c r="K192" i="10" l="1"/>
  <c r="J192" i="10"/>
  <c r="I193" i="10"/>
  <c r="I181" i="2"/>
  <c r="K180" i="2"/>
  <c r="J180" i="2"/>
  <c r="K193" i="10" l="1"/>
  <c r="J193" i="10"/>
  <c r="I194" i="10"/>
  <c r="I182" i="2"/>
  <c r="K181" i="2"/>
  <c r="J181" i="2"/>
  <c r="I195" i="10" l="1"/>
  <c r="K194" i="10"/>
  <c r="J194" i="10"/>
  <c r="I183" i="2"/>
  <c r="K182" i="2"/>
  <c r="J182" i="2"/>
  <c r="J195" i="10" l="1"/>
  <c r="K195" i="10"/>
  <c r="I196" i="10"/>
  <c r="I184" i="2"/>
  <c r="K183" i="2"/>
  <c r="J183" i="2"/>
  <c r="K196" i="10" l="1"/>
  <c r="J196" i="10"/>
  <c r="I197" i="10"/>
  <c r="I185" i="2"/>
  <c r="K184" i="2"/>
  <c r="J184" i="2"/>
  <c r="J197" i="10" l="1"/>
  <c r="K197" i="10"/>
  <c r="I198" i="10"/>
  <c r="I186" i="2"/>
  <c r="K185" i="2"/>
  <c r="J185" i="2"/>
  <c r="K198" i="10" l="1"/>
  <c r="J198" i="10"/>
  <c r="I199" i="10"/>
  <c r="I187" i="2"/>
  <c r="K186" i="2"/>
  <c r="J186" i="2"/>
  <c r="J199" i="10" l="1"/>
  <c r="K199" i="10"/>
  <c r="I200" i="10"/>
  <c r="I188" i="2"/>
  <c r="K187" i="2"/>
  <c r="J187" i="2"/>
  <c r="K200" i="10" l="1"/>
  <c r="J200" i="10"/>
  <c r="I201" i="10"/>
  <c r="I189" i="2"/>
  <c r="K188" i="2"/>
  <c r="J188" i="2"/>
  <c r="K201" i="10" l="1"/>
  <c r="J201" i="10"/>
  <c r="I202" i="10"/>
  <c r="I190" i="2"/>
  <c r="K189" i="2"/>
  <c r="J189" i="2"/>
  <c r="K202" i="10" l="1"/>
  <c r="J202" i="10"/>
  <c r="I203" i="10"/>
  <c r="I191" i="2"/>
  <c r="K190" i="2"/>
  <c r="J190" i="2"/>
  <c r="K203" i="10" l="1"/>
  <c r="J203" i="10"/>
  <c r="I204" i="10"/>
  <c r="I192" i="2"/>
  <c r="K191" i="2"/>
  <c r="J191" i="2"/>
  <c r="J204" i="10" l="1"/>
  <c r="K204" i="10"/>
  <c r="I205" i="10"/>
  <c r="I193" i="2"/>
  <c r="K192" i="2"/>
  <c r="J192" i="2"/>
  <c r="K205" i="10" l="1"/>
  <c r="J205" i="10"/>
  <c r="I206" i="10"/>
  <c r="I194" i="2"/>
  <c r="K193" i="2"/>
  <c r="J193" i="2"/>
  <c r="I207" i="10" l="1"/>
  <c r="K206" i="10"/>
  <c r="J206" i="10"/>
  <c r="I195" i="2"/>
  <c r="K194" i="2"/>
  <c r="J194" i="2"/>
  <c r="J207" i="10" l="1"/>
  <c r="K207" i="10"/>
  <c r="I208" i="10"/>
  <c r="I196" i="2"/>
  <c r="K195" i="2"/>
  <c r="J195" i="2"/>
  <c r="K208" i="10" l="1"/>
  <c r="J208" i="10"/>
  <c r="I209" i="10"/>
  <c r="I197" i="2"/>
  <c r="K196" i="2"/>
  <c r="J196" i="2"/>
  <c r="J209" i="10" l="1"/>
  <c r="K209" i="10"/>
  <c r="I210" i="10"/>
  <c r="I198" i="2"/>
  <c r="K197" i="2"/>
  <c r="J197" i="2"/>
  <c r="K210" i="10" l="1"/>
  <c r="J210" i="10"/>
  <c r="I211" i="10"/>
  <c r="I199" i="2"/>
  <c r="K198" i="2"/>
  <c r="J198" i="2"/>
  <c r="I212" i="10" l="1"/>
  <c r="K211" i="10"/>
  <c r="J211" i="10"/>
  <c r="I200" i="2"/>
  <c r="K199" i="2"/>
  <c r="J199" i="2"/>
  <c r="K212" i="10" l="1"/>
  <c r="J212" i="10"/>
  <c r="I213" i="10"/>
  <c r="I201" i="2"/>
  <c r="K200" i="2"/>
  <c r="J200" i="2"/>
  <c r="K213" i="10" l="1"/>
  <c r="J213" i="10"/>
  <c r="I214" i="10"/>
  <c r="I202" i="2"/>
  <c r="K201" i="2"/>
  <c r="J201" i="2"/>
  <c r="I215" i="10" l="1"/>
  <c r="K214" i="10"/>
  <c r="J214" i="10"/>
  <c r="I203" i="2"/>
  <c r="K202" i="2"/>
  <c r="J202" i="2"/>
  <c r="K215" i="10" l="1"/>
  <c r="J215" i="10"/>
  <c r="I216" i="10"/>
  <c r="I204" i="2"/>
  <c r="K203" i="2"/>
  <c r="J203" i="2"/>
  <c r="K216" i="10" l="1"/>
  <c r="J216" i="10"/>
  <c r="I217" i="10"/>
  <c r="I205" i="2"/>
  <c r="K204" i="2"/>
  <c r="J204" i="2"/>
  <c r="K217" i="10" l="1"/>
  <c r="J217" i="10"/>
  <c r="I218" i="10"/>
  <c r="I206" i="2"/>
  <c r="K205" i="2"/>
  <c r="J205" i="2"/>
  <c r="I219" i="10" l="1"/>
  <c r="K218" i="10"/>
  <c r="J218" i="10"/>
  <c r="I207" i="2"/>
  <c r="K206" i="2"/>
  <c r="J206" i="2"/>
  <c r="J219" i="10" l="1"/>
  <c r="K219" i="10"/>
  <c r="I220" i="10"/>
  <c r="I208" i="2"/>
  <c r="K207" i="2"/>
  <c r="J207" i="2"/>
  <c r="K220" i="10" l="1"/>
  <c r="J220" i="10"/>
  <c r="I221" i="10"/>
  <c r="I209" i="2"/>
  <c r="K208" i="2"/>
  <c r="J208" i="2"/>
  <c r="J221" i="10" l="1"/>
  <c r="K221" i="10"/>
  <c r="I222" i="10"/>
  <c r="I210" i="2"/>
  <c r="K209" i="2"/>
  <c r="J209" i="2"/>
  <c r="K222" i="10" l="1"/>
  <c r="J222" i="10"/>
  <c r="I223" i="10"/>
  <c r="I211" i="2"/>
  <c r="K210" i="2"/>
  <c r="J210" i="2"/>
  <c r="I224" i="10" l="1"/>
  <c r="J223" i="10"/>
  <c r="K223" i="10"/>
  <c r="I212" i="2"/>
  <c r="K211" i="2"/>
  <c r="J211" i="2"/>
  <c r="K224" i="10" l="1"/>
  <c r="J224" i="10"/>
  <c r="I225" i="10"/>
  <c r="I213" i="2"/>
  <c r="K212" i="2"/>
  <c r="J212" i="2"/>
  <c r="K225" i="10" l="1"/>
  <c r="J225" i="10"/>
  <c r="I226" i="10"/>
  <c r="I214" i="2"/>
  <c r="K213" i="2"/>
  <c r="J213" i="2"/>
  <c r="I227" i="10" l="1"/>
  <c r="K226" i="10"/>
  <c r="J226" i="10"/>
  <c r="I215" i="2"/>
  <c r="K214" i="2"/>
  <c r="J214" i="2"/>
  <c r="K227" i="10" l="1"/>
  <c r="J227" i="10"/>
  <c r="I228" i="10"/>
  <c r="I216" i="2"/>
  <c r="K215" i="2"/>
  <c r="J215" i="2"/>
  <c r="J228" i="10" l="1"/>
  <c r="K228" i="10"/>
  <c r="I229" i="10"/>
  <c r="I217" i="2"/>
  <c r="K216" i="2"/>
  <c r="J216" i="2"/>
  <c r="K229" i="10" l="1"/>
  <c r="J229" i="10"/>
  <c r="I230" i="10"/>
  <c r="I218" i="2"/>
  <c r="K217" i="2"/>
  <c r="J217" i="2"/>
  <c r="I231" i="10" l="1"/>
  <c r="K230" i="10"/>
  <c r="J230" i="10"/>
  <c r="I219" i="2"/>
  <c r="K218" i="2"/>
  <c r="J218" i="2"/>
  <c r="J231" i="10" l="1"/>
  <c r="K231" i="10"/>
  <c r="I232" i="10"/>
  <c r="I220" i="2"/>
  <c r="K219" i="2"/>
  <c r="J219" i="2"/>
  <c r="K232" i="10" l="1"/>
  <c r="J232" i="10"/>
  <c r="I233" i="10"/>
  <c r="I221" i="2"/>
  <c r="K220" i="2"/>
  <c r="J220" i="2"/>
  <c r="J233" i="10" l="1"/>
  <c r="K233" i="10"/>
  <c r="I234" i="10"/>
  <c r="I222" i="2"/>
  <c r="K221" i="2"/>
  <c r="J221" i="2"/>
  <c r="K234" i="10" l="1"/>
  <c r="J234" i="10"/>
  <c r="I235" i="10"/>
  <c r="I223" i="2"/>
  <c r="K222" i="2"/>
  <c r="J222" i="2"/>
  <c r="I236" i="10" l="1"/>
  <c r="K235" i="10"/>
  <c r="J235" i="10"/>
  <c r="I224" i="2"/>
  <c r="K223" i="2"/>
  <c r="J223" i="2"/>
  <c r="K236" i="10" l="1"/>
  <c r="J236" i="10"/>
  <c r="I237" i="10"/>
  <c r="I225" i="2"/>
  <c r="K224" i="2"/>
  <c r="J224" i="2"/>
  <c r="K237" i="10" l="1"/>
  <c r="J237" i="10"/>
  <c r="I238" i="10"/>
  <c r="I226" i="2"/>
  <c r="K225" i="2"/>
  <c r="J225" i="2"/>
  <c r="I239" i="10" l="1"/>
  <c r="K238" i="10"/>
  <c r="J238" i="10"/>
  <c r="I227" i="2"/>
  <c r="K226" i="2"/>
  <c r="J226" i="2"/>
  <c r="K239" i="10" l="1"/>
  <c r="J239" i="10"/>
  <c r="I240" i="10"/>
  <c r="I228" i="2"/>
  <c r="K227" i="2"/>
  <c r="J227" i="2"/>
  <c r="I241" i="10" l="1"/>
  <c r="K240" i="10"/>
  <c r="J240" i="10"/>
  <c r="I229" i="2"/>
  <c r="K228" i="2"/>
  <c r="J228" i="2"/>
  <c r="K241" i="10" l="1"/>
  <c r="J241" i="10"/>
  <c r="I242" i="10"/>
  <c r="I230" i="2"/>
  <c r="K229" i="2"/>
  <c r="J229" i="2"/>
  <c r="I243" i="10" l="1"/>
  <c r="K242" i="10"/>
  <c r="J242" i="10"/>
  <c r="I231" i="2"/>
  <c r="K230" i="2"/>
  <c r="J230" i="2"/>
  <c r="J243" i="10" l="1"/>
  <c r="K243" i="10"/>
  <c r="I244" i="10"/>
  <c r="I232" i="2"/>
  <c r="K231" i="2"/>
  <c r="J231" i="2"/>
  <c r="K244" i="10" l="1"/>
  <c r="J244" i="10"/>
  <c r="I245" i="10"/>
  <c r="I233" i="2"/>
  <c r="K232" i="2"/>
  <c r="J232" i="2"/>
  <c r="J245" i="10" l="1"/>
  <c r="K245" i="10"/>
  <c r="I246" i="10"/>
  <c r="I234" i="2"/>
  <c r="K233" i="2"/>
  <c r="J233" i="2"/>
  <c r="J246" i="10" l="1"/>
  <c r="K246" i="10"/>
  <c r="I247" i="10"/>
  <c r="I235" i="2"/>
  <c r="K234" i="2"/>
  <c r="J234" i="2"/>
  <c r="I248" i="10" l="1"/>
  <c r="K247" i="10"/>
  <c r="J247" i="10"/>
  <c r="I236" i="2"/>
  <c r="K235" i="2"/>
  <c r="J235" i="2"/>
  <c r="K248" i="10" l="1"/>
  <c r="J248" i="10"/>
  <c r="I249" i="10"/>
  <c r="I237" i="2"/>
  <c r="K236" i="2"/>
  <c r="J236" i="2"/>
  <c r="J249" i="10" l="1"/>
  <c r="K249" i="10"/>
  <c r="I250" i="10"/>
  <c r="I238" i="2"/>
  <c r="K237" i="2"/>
  <c r="J237" i="2"/>
  <c r="K250" i="10" l="1"/>
  <c r="J250" i="10"/>
  <c r="I251" i="10"/>
  <c r="I239" i="2"/>
  <c r="K238" i="2"/>
  <c r="J238" i="2"/>
  <c r="K251" i="10" l="1"/>
  <c r="I252" i="10"/>
  <c r="J251" i="10"/>
  <c r="I240" i="2"/>
  <c r="K239" i="2"/>
  <c r="J239" i="2"/>
  <c r="J252" i="10" l="1"/>
  <c r="K252" i="10"/>
  <c r="I253" i="10"/>
  <c r="I241" i="2"/>
  <c r="K240" i="2"/>
  <c r="J240" i="2"/>
  <c r="K253" i="10" l="1"/>
  <c r="J253" i="10"/>
  <c r="I254" i="10"/>
  <c r="I242" i="2"/>
  <c r="K241" i="2"/>
  <c r="J241" i="2"/>
  <c r="K254" i="10" l="1"/>
  <c r="J254" i="10"/>
  <c r="I255" i="10"/>
  <c r="I243" i="2"/>
  <c r="K242" i="2"/>
  <c r="J242" i="2"/>
  <c r="J255" i="10" l="1"/>
  <c r="K255" i="10"/>
  <c r="I256" i="10"/>
  <c r="I244" i="2"/>
  <c r="K243" i="2"/>
  <c r="J243" i="2"/>
  <c r="I257" i="10" l="1"/>
  <c r="J256" i="10"/>
  <c r="K256" i="10"/>
  <c r="I245" i="2"/>
  <c r="K244" i="2"/>
  <c r="J244" i="2"/>
  <c r="K257" i="10" l="1"/>
  <c r="I258" i="10"/>
  <c r="J257" i="10"/>
  <c r="I246" i="2"/>
  <c r="K245" i="2"/>
  <c r="J245" i="2"/>
  <c r="J258" i="10" l="1"/>
  <c r="K258" i="10"/>
  <c r="I259" i="10"/>
  <c r="I247" i="2"/>
  <c r="K246" i="2"/>
  <c r="J246" i="2"/>
  <c r="K259" i="10" l="1"/>
  <c r="J259" i="10"/>
  <c r="I260" i="10"/>
  <c r="I248" i="2"/>
  <c r="K247" i="2"/>
  <c r="J247" i="2"/>
  <c r="K260" i="10" l="1"/>
  <c r="J260" i="10"/>
  <c r="I261" i="10"/>
  <c r="I249" i="2"/>
  <c r="K248" i="2"/>
  <c r="J248" i="2"/>
  <c r="K261" i="10" l="1"/>
  <c r="J261" i="10"/>
  <c r="I262" i="10"/>
  <c r="I250" i="2"/>
  <c r="K249" i="2"/>
  <c r="J249" i="2"/>
  <c r="J262" i="10" l="1"/>
  <c r="I263" i="10"/>
  <c r="K262" i="10"/>
  <c r="I251" i="2"/>
  <c r="K250" i="2"/>
  <c r="J250" i="2"/>
  <c r="K263" i="10" l="1"/>
  <c r="I264" i="10"/>
  <c r="J263" i="10"/>
  <c r="I252" i="2"/>
  <c r="K251" i="2"/>
  <c r="J251" i="2"/>
  <c r="J264" i="10" l="1"/>
  <c r="K264" i="10"/>
  <c r="I265" i="10"/>
  <c r="I253" i="2"/>
  <c r="K252" i="2"/>
  <c r="J252" i="2"/>
  <c r="K265" i="10" l="1"/>
  <c r="J265" i="10"/>
  <c r="I266" i="10"/>
  <c r="I254" i="2"/>
  <c r="K253" i="2"/>
  <c r="J253" i="2"/>
  <c r="K266" i="10" l="1"/>
  <c r="J266" i="10"/>
  <c r="I267" i="10"/>
  <c r="I255" i="2"/>
  <c r="K254" i="2"/>
  <c r="J254" i="2"/>
  <c r="K267" i="10" l="1"/>
  <c r="J267" i="10"/>
  <c r="I268" i="10"/>
  <c r="I256" i="2"/>
  <c r="K255" i="2"/>
  <c r="J255" i="2"/>
  <c r="I269" i="10" l="1"/>
  <c r="J268" i="10"/>
  <c r="K268" i="10"/>
  <c r="I257" i="2"/>
  <c r="K256" i="2"/>
  <c r="J256" i="2"/>
  <c r="K269" i="10" l="1"/>
  <c r="J269" i="10"/>
  <c r="I270" i="10"/>
  <c r="I258" i="2"/>
  <c r="K257" i="2"/>
  <c r="J257" i="2"/>
  <c r="J270" i="10" l="1"/>
  <c r="K270" i="10"/>
  <c r="I271" i="10"/>
  <c r="I259" i="2"/>
  <c r="K258" i="2"/>
  <c r="J258" i="2"/>
  <c r="I272" i="10" l="1"/>
  <c r="K271" i="10"/>
  <c r="J271" i="10"/>
  <c r="I260" i="2"/>
  <c r="K259" i="2"/>
  <c r="J259" i="2"/>
  <c r="K272" i="10" l="1"/>
  <c r="J272" i="10"/>
  <c r="I273" i="10"/>
  <c r="I261" i="2"/>
  <c r="K260" i="2"/>
  <c r="J260" i="2"/>
  <c r="K273" i="10" l="1"/>
  <c r="J273" i="10"/>
  <c r="I274" i="10"/>
  <c r="I262" i="2"/>
  <c r="K261" i="2"/>
  <c r="J261" i="2"/>
  <c r="J274" i="10" l="1"/>
  <c r="I275" i="10"/>
  <c r="K274" i="10"/>
  <c r="I263" i="2"/>
  <c r="K262" i="2"/>
  <c r="J262" i="2"/>
  <c r="K275" i="10" l="1"/>
  <c r="J275" i="10"/>
  <c r="I276" i="10"/>
  <c r="I264" i="2"/>
  <c r="K263" i="2"/>
  <c r="J263" i="2"/>
  <c r="J276" i="10" l="1"/>
  <c r="K276" i="10"/>
  <c r="I277" i="10"/>
  <c r="I265" i="2"/>
  <c r="K264" i="2"/>
  <c r="J264" i="2"/>
  <c r="J277" i="10" l="1"/>
  <c r="I278" i="10"/>
  <c r="K277" i="10"/>
  <c r="I266" i="2"/>
  <c r="K265" i="2"/>
  <c r="J265" i="2"/>
  <c r="K278" i="10" l="1"/>
  <c r="J278" i="10"/>
  <c r="I279" i="10"/>
  <c r="I267" i="2"/>
  <c r="K266" i="2"/>
  <c r="J266" i="2"/>
  <c r="K279" i="10" l="1"/>
  <c r="J279" i="10"/>
  <c r="I280" i="10"/>
  <c r="I268" i="2"/>
  <c r="K267" i="2"/>
  <c r="J267" i="2"/>
  <c r="I281" i="10" l="1"/>
  <c r="K280" i="10"/>
  <c r="J280" i="10"/>
  <c r="I269" i="2"/>
  <c r="K268" i="2"/>
  <c r="J268" i="2"/>
  <c r="I282" i="10" l="1"/>
  <c r="K281" i="10"/>
  <c r="J281" i="10"/>
  <c r="I270" i="2"/>
  <c r="K269" i="2"/>
  <c r="J269" i="2"/>
  <c r="K282" i="10" l="1"/>
  <c r="J282" i="10"/>
  <c r="I283" i="10"/>
  <c r="I271" i="2"/>
  <c r="K270" i="2"/>
  <c r="J270" i="2"/>
  <c r="I284" i="10" l="1"/>
  <c r="K283" i="10"/>
  <c r="J283" i="10"/>
  <c r="I272" i="2"/>
  <c r="K271" i="2"/>
  <c r="J271" i="2"/>
  <c r="K284" i="10" l="1"/>
  <c r="I285" i="10"/>
  <c r="J284" i="10"/>
  <c r="I273" i="2"/>
  <c r="K272" i="2"/>
  <c r="J272" i="2"/>
  <c r="K285" i="10" l="1"/>
  <c r="J285" i="10"/>
  <c r="I286" i="10"/>
  <c r="I274" i="2"/>
  <c r="K273" i="2"/>
  <c r="J273" i="2"/>
  <c r="J286" i="10" l="1"/>
  <c r="I287" i="10"/>
  <c r="K286" i="10"/>
  <c r="I275" i="2"/>
  <c r="K274" i="2"/>
  <c r="J274" i="2"/>
  <c r="K287" i="10" l="1"/>
  <c r="J287" i="10"/>
  <c r="I288" i="10"/>
  <c r="I276" i="2"/>
  <c r="K275" i="2"/>
  <c r="J275" i="2"/>
  <c r="J288" i="10" l="1"/>
  <c r="K288" i="10"/>
  <c r="I289" i="10"/>
  <c r="I277" i="2"/>
  <c r="K276" i="2"/>
  <c r="J276" i="2"/>
  <c r="J289" i="10" l="1"/>
  <c r="I290" i="10"/>
  <c r="K289" i="10"/>
  <c r="I278" i="2"/>
  <c r="K277" i="2"/>
  <c r="J277" i="2"/>
  <c r="K290" i="10" l="1"/>
  <c r="J290" i="10"/>
  <c r="I291" i="10"/>
  <c r="I279" i="2"/>
  <c r="K278" i="2"/>
  <c r="J278" i="2"/>
  <c r="K291" i="10" l="1"/>
  <c r="J291" i="10"/>
  <c r="I292" i="10"/>
  <c r="I280" i="2"/>
  <c r="K279" i="2"/>
  <c r="J279" i="2"/>
  <c r="I293" i="10" l="1"/>
  <c r="K292" i="10"/>
  <c r="J292" i="10"/>
  <c r="I281" i="2"/>
  <c r="K280" i="2"/>
  <c r="J280" i="2"/>
  <c r="I294" i="10" l="1"/>
  <c r="K293" i="10"/>
  <c r="J293" i="10"/>
  <c r="I282" i="2"/>
  <c r="K281" i="2"/>
  <c r="J281" i="2"/>
  <c r="K294" i="10" l="1"/>
  <c r="J294" i="10"/>
  <c r="I295" i="10"/>
  <c r="I283" i="2"/>
  <c r="K282" i="2"/>
  <c r="J282" i="2"/>
  <c r="I296" i="10" l="1"/>
  <c r="J295" i="10"/>
  <c r="K295" i="10"/>
  <c r="I284" i="2"/>
  <c r="K283" i="2"/>
  <c r="J283" i="2"/>
  <c r="K296" i="10" l="1"/>
  <c r="J296" i="10"/>
  <c r="I297" i="10"/>
  <c r="I285" i="2"/>
  <c r="K284" i="2"/>
  <c r="J284" i="2"/>
  <c r="K297" i="10" l="1"/>
  <c r="J297" i="10"/>
  <c r="I298" i="10"/>
  <c r="I286" i="2"/>
  <c r="K285" i="2"/>
  <c r="J285" i="2"/>
  <c r="J298" i="10" l="1"/>
  <c r="I299" i="10"/>
  <c r="K298" i="10"/>
  <c r="I287" i="2"/>
  <c r="K286" i="2"/>
  <c r="J286" i="2"/>
  <c r="K299" i="10" l="1"/>
  <c r="J299" i="10"/>
  <c r="I300" i="10"/>
  <c r="I288" i="2"/>
  <c r="K287" i="2"/>
  <c r="J287" i="2"/>
  <c r="J300" i="10" l="1"/>
  <c r="K300" i="10"/>
  <c r="I301" i="10"/>
  <c r="I289" i="2"/>
  <c r="K288" i="2"/>
  <c r="J288" i="2"/>
  <c r="J301" i="10" l="1"/>
  <c r="K301" i="10"/>
  <c r="I302" i="10"/>
  <c r="I290" i="2"/>
  <c r="K289" i="2"/>
  <c r="J289" i="2"/>
  <c r="K302" i="10" l="1"/>
  <c r="I303" i="10"/>
  <c r="J302" i="10"/>
  <c r="I291" i="2"/>
  <c r="K290" i="2"/>
  <c r="J290" i="2"/>
  <c r="K303" i="10" l="1"/>
  <c r="J303" i="10"/>
  <c r="I304" i="10"/>
  <c r="I292" i="2"/>
  <c r="K291" i="2"/>
  <c r="J291" i="2"/>
  <c r="K304" i="10" l="1"/>
  <c r="J304" i="10"/>
  <c r="I305" i="10"/>
  <c r="I293" i="2"/>
  <c r="K292" i="2"/>
  <c r="J292" i="2"/>
  <c r="I306" i="10" l="1"/>
  <c r="K305" i="10"/>
  <c r="J305" i="10"/>
  <c r="I294" i="2"/>
  <c r="K293" i="2"/>
  <c r="J293" i="2"/>
  <c r="K306" i="10" l="1"/>
  <c r="J306" i="10"/>
  <c r="I307" i="10"/>
  <c r="I295" i="2"/>
  <c r="K294" i="2"/>
  <c r="J294" i="2"/>
  <c r="I308" i="10" l="1"/>
  <c r="K307" i="10"/>
  <c r="J307" i="10"/>
  <c r="I296" i="2"/>
  <c r="K295" i="2"/>
  <c r="J295" i="2"/>
  <c r="K308" i="10" l="1"/>
  <c r="I309" i="10"/>
  <c r="J308" i="10"/>
  <c r="I297" i="2"/>
  <c r="K296" i="2"/>
  <c r="J296" i="2"/>
  <c r="K309" i="10" l="1"/>
  <c r="J309" i="10"/>
  <c r="I310" i="10"/>
  <c r="I298" i="2"/>
  <c r="K297" i="2"/>
  <c r="J297" i="2"/>
  <c r="J310" i="10" l="1"/>
  <c r="I311" i="10"/>
  <c r="K310" i="10"/>
  <c r="I299" i="2"/>
  <c r="K298" i="2"/>
  <c r="J298" i="2"/>
  <c r="K311" i="10" l="1"/>
  <c r="J311" i="10"/>
  <c r="I312" i="10"/>
  <c r="I300" i="2"/>
  <c r="K299" i="2"/>
  <c r="J299" i="2"/>
  <c r="J312" i="10" l="1"/>
  <c r="K312" i="10"/>
  <c r="I313" i="10"/>
  <c r="I301" i="2"/>
  <c r="K300" i="2"/>
  <c r="J300" i="2"/>
  <c r="J313" i="10" l="1"/>
  <c r="I314" i="10"/>
  <c r="K313" i="10"/>
  <c r="I302" i="2"/>
  <c r="K301" i="2"/>
  <c r="J301" i="2"/>
  <c r="K314" i="10" l="1"/>
  <c r="J314" i="10"/>
  <c r="I315" i="10"/>
  <c r="I303" i="2"/>
  <c r="K302" i="2"/>
  <c r="J302" i="2"/>
  <c r="K315" i="10" l="1"/>
  <c r="J315" i="10"/>
  <c r="I316" i="10"/>
  <c r="I304" i="2"/>
  <c r="K303" i="2"/>
  <c r="J303" i="2"/>
  <c r="K316" i="10" l="1"/>
  <c r="J316" i="10"/>
  <c r="I317" i="10"/>
  <c r="I305" i="2"/>
  <c r="K304" i="2"/>
  <c r="J304" i="2"/>
  <c r="I318" i="10" l="1"/>
  <c r="K317" i="10"/>
  <c r="J317" i="10"/>
  <c r="I306" i="2"/>
  <c r="K305" i="2"/>
  <c r="J305" i="2"/>
  <c r="K318" i="10" l="1"/>
  <c r="J318" i="10"/>
  <c r="I319" i="10"/>
  <c r="I307" i="2"/>
  <c r="K306" i="2"/>
  <c r="J306" i="2"/>
  <c r="I320" i="10" l="1"/>
  <c r="J319" i="10"/>
  <c r="K319" i="10"/>
  <c r="I308" i="2"/>
  <c r="K307" i="2"/>
  <c r="J307" i="2"/>
  <c r="K320" i="10" l="1"/>
  <c r="I321" i="10"/>
  <c r="J320" i="10"/>
  <c r="I309" i="2"/>
  <c r="K308" i="2"/>
  <c r="J308" i="2"/>
  <c r="K321" i="10" l="1"/>
  <c r="J321" i="10"/>
  <c r="I322" i="10"/>
  <c r="I310" i="2"/>
  <c r="K309" i="2"/>
  <c r="J309" i="2"/>
  <c r="J322" i="10" l="1"/>
  <c r="K322" i="10"/>
  <c r="I323" i="10"/>
  <c r="I311" i="2"/>
  <c r="K310" i="2"/>
  <c r="J310" i="2"/>
  <c r="K323" i="10" l="1"/>
  <c r="J323" i="10"/>
  <c r="I324" i="10"/>
  <c r="I312" i="2"/>
  <c r="K311" i="2"/>
  <c r="J311" i="2"/>
  <c r="J324" i="10" l="1"/>
  <c r="K324" i="10"/>
  <c r="I325" i="10"/>
  <c r="I313" i="2"/>
  <c r="K312" i="2"/>
  <c r="J312" i="2"/>
  <c r="J325" i="10" l="1"/>
  <c r="I326" i="10"/>
  <c r="K325" i="10"/>
  <c r="I314" i="2"/>
  <c r="K313" i="2"/>
  <c r="J313" i="2"/>
  <c r="K326" i="10" l="1"/>
  <c r="I327" i="10"/>
  <c r="J326" i="10"/>
  <c r="I315" i="2"/>
  <c r="K314" i="2"/>
  <c r="J314" i="2"/>
  <c r="K327" i="10" l="1"/>
  <c r="J327" i="10"/>
  <c r="I328" i="10"/>
  <c r="I329" i="10" s="1"/>
  <c r="I316" i="2"/>
  <c r="K315" i="2"/>
  <c r="J315" i="2"/>
  <c r="K329" i="10" l="1"/>
  <c r="J329" i="10"/>
  <c r="I330" i="10"/>
  <c r="K328" i="10"/>
  <c r="J328" i="10"/>
  <c r="I317" i="2"/>
  <c r="K316" i="2"/>
  <c r="J316" i="2"/>
  <c r="K330" i="10" l="1"/>
  <c r="J330" i="10"/>
  <c r="I331" i="10"/>
  <c r="I318" i="2"/>
  <c r="K317" i="2"/>
  <c r="J317" i="2"/>
  <c r="K331" i="10" l="1"/>
  <c r="J331" i="10"/>
  <c r="I332" i="10"/>
  <c r="I319" i="2"/>
  <c r="K318" i="2"/>
  <c r="J318" i="2"/>
  <c r="I333" i="10" l="1"/>
  <c r="K332" i="10"/>
  <c r="J332" i="10"/>
  <c r="I320" i="2"/>
  <c r="K319" i="2"/>
  <c r="J319" i="2"/>
  <c r="J333" i="10" l="1"/>
  <c r="K333" i="10"/>
  <c r="I321" i="2"/>
  <c r="I322" i="2" s="1"/>
  <c r="K320" i="2"/>
  <c r="J320" i="2"/>
  <c r="K322" i="2" l="1"/>
  <c r="J322" i="2"/>
  <c r="I323" i="2"/>
  <c r="I334" i="10"/>
  <c r="K321" i="2"/>
  <c r="J321" i="2"/>
  <c r="J323" i="2" l="1"/>
  <c r="I324" i="2"/>
  <c r="K323" i="2"/>
  <c r="J334" i="10"/>
  <c r="K334" i="10"/>
  <c r="I335" i="10"/>
  <c r="J324" i="2" l="1"/>
  <c r="K324" i="2"/>
  <c r="I325" i="2"/>
  <c r="K335" i="10"/>
  <c r="J335" i="10"/>
  <c r="I336" i="10"/>
  <c r="I337" i="10" s="1"/>
  <c r="K337" i="10" l="1"/>
  <c r="J337" i="10"/>
  <c r="J325" i="2"/>
  <c r="K325" i="2"/>
  <c r="I326" i="2"/>
  <c r="J336" i="10"/>
  <c r="K336" i="10"/>
  <c r="J326" i="2" l="1"/>
  <c r="K326" i="2"/>
  <c r="I327" i="2"/>
  <c r="I328" i="2" l="1"/>
  <c r="J327" i="2"/>
  <c r="K327" i="2"/>
  <c r="I329" i="2" l="1"/>
  <c r="K328" i="2"/>
  <c r="J328" i="2"/>
  <c r="K329" i="2" l="1"/>
  <c r="J329" i="2"/>
  <c r="I330" i="2"/>
  <c r="K330" i="2" l="1"/>
  <c r="I331" i="2"/>
  <c r="J330" i="2"/>
  <c r="J331" i="2" l="1"/>
  <c r="K331" i="2"/>
  <c r="I332" i="2"/>
  <c r="I338" i="10"/>
  <c r="K332" i="2" l="1"/>
  <c r="J332" i="2"/>
  <c r="I333" i="2"/>
  <c r="K338" i="10"/>
  <c r="J338" i="10"/>
  <c r="I339" i="10"/>
  <c r="K333" i="2" l="1"/>
  <c r="J333" i="2"/>
  <c r="I334" i="2"/>
  <c r="J339" i="10"/>
  <c r="K339" i="10"/>
  <c r="I340" i="10"/>
  <c r="K334" i="2" l="1"/>
  <c r="I335" i="2"/>
  <c r="J334" i="2"/>
  <c r="K340" i="10"/>
  <c r="J340" i="10"/>
  <c r="I341" i="10"/>
  <c r="K335" i="2" l="1"/>
  <c r="J335" i="2"/>
  <c r="I336" i="2"/>
  <c r="J341" i="10"/>
  <c r="K341" i="10"/>
  <c r="I342" i="10"/>
  <c r="K336" i="2" l="1"/>
  <c r="J336" i="2"/>
  <c r="J342" i="10"/>
  <c r="I343" i="10"/>
  <c r="K342" i="10"/>
  <c r="K343" i="10" l="1"/>
  <c r="J343" i="10"/>
  <c r="I344" i="10"/>
  <c r="K344" i="10" l="1"/>
  <c r="J344" i="10"/>
  <c r="I345" i="10"/>
  <c r="K345" i="10" l="1"/>
  <c r="J345" i="10"/>
  <c r="I346" i="10"/>
  <c r="I347" i="10" l="1"/>
  <c r="K346" i="10"/>
  <c r="J346" i="10"/>
  <c r="K347" i="10" l="1"/>
  <c r="J347" i="10"/>
  <c r="I348" i="10"/>
  <c r="I349" i="10" l="1"/>
  <c r="K348" i="10"/>
  <c r="J348" i="10"/>
  <c r="I337" i="2"/>
  <c r="K349" i="10" l="1"/>
  <c r="J349" i="10"/>
  <c r="I350" i="10"/>
  <c r="K337" i="2"/>
  <c r="J337" i="2"/>
  <c r="I338" i="2"/>
  <c r="K350" i="10" l="1"/>
  <c r="J350" i="10"/>
  <c r="I351" i="10"/>
  <c r="I339" i="2"/>
  <c r="K338" i="2"/>
  <c r="J338" i="2"/>
  <c r="J351" i="10" l="1"/>
  <c r="K351" i="10"/>
  <c r="I352" i="10"/>
  <c r="I340" i="2"/>
  <c r="K339" i="2"/>
  <c r="J339" i="2"/>
  <c r="K352" i="10" l="1"/>
  <c r="J352" i="10"/>
  <c r="I353" i="10"/>
  <c r="I341" i="2"/>
  <c r="K340" i="2"/>
  <c r="J340" i="2"/>
  <c r="J353" i="10" l="1"/>
  <c r="K353" i="10"/>
  <c r="I354" i="10"/>
  <c r="I342" i="2"/>
  <c r="K341" i="2"/>
  <c r="J341" i="2"/>
  <c r="J354" i="10" l="1"/>
  <c r="I355" i="10"/>
  <c r="K354" i="10"/>
  <c r="I343" i="2"/>
  <c r="K342" i="2"/>
  <c r="J342" i="2"/>
  <c r="K355" i="10" l="1"/>
  <c r="I356" i="10"/>
  <c r="J355" i="10"/>
  <c r="I344" i="2"/>
  <c r="J343" i="2"/>
  <c r="K343" i="2"/>
  <c r="K356" i="10" l="1"/>
  <c r="J356" i="10"/>
  <c r="I357" i="10"/>
  <c r="I345" i="2"/>
  <c r="J344" i="2"/>
  <c r="K344" i="2"/>
  <c r="K357" i="10" l="1"/>
  <c r="J357" i="10"/>
  <c r="I358" i="10"/>
  <c r="I346" i="2"/>
  <c r="J345" i="2"/>
  <c r="K345" i="2"/>
  <c r="I359" i="10" l="1"/>
  <c r="K358" i="10"/>
  <c r="J358" i="10"/>
  <c r="I347" i="2"/>
  <c r="K346" i="2"/>
  <c r="J346" i="2"/>
  <c r="K359" i="10" l="1"/>
  <c r="J359" i="10"/>
  <c r="I360" i="10"/>
  <c r="I348" i="2"/>
  <c r="K347" i="2"/>
  <c r="J347" i="2"/>
  <c r="I361" i="10" l="1"/>
  <c r="K360" i="10"/>
  <c r="J360" i="10"/>
  <c r="I349" i="2"/>
  <c r="K348" i="2"/>
  <c r="J348" i="2"/>
  <c r="K361" i="10" l="1"/>
  <c r="J361" i="10"/>
  <c r="I362" i="10"/>
  <c r="I350" i="2"/>
  <c r="K349" i="2"/>
  <c r="J349" i="2"/>
  <c r="K362" i="10" l="1"/>
  <c r="J362" i="10"/>
  <c r="I363" i="10"/>
  <c r="I364" i="10" s="1"/>
  <c r="I365" i="10" s="1"/>
  <c r="I366" i="10" s="1"/>
  <c r="K366" i="10" s="1"/>
  <c r="I351" i="2"/>
  <c r="K350" i="2"/>
  <c r="J350" i="2"/>
  <c r="J366" i="10" l="1"/>
  <c r="I367" i="10"/>
  <c r="K367" i="10" s="1"/>
  <c r="J363" i="10"/>
  <c r="K363" i="10"/>
  <c r="I352" i="2"/>
  <c r="K351" i="2"/>
  <c r="J351" i="2"/>
  <c r="J367" i="10" l="1"/>
  <c r="I368" i="10"/>
  <c r="K368" i="10" s="1"/>
  <c r="K364" i="10"/>
  <c r="J364" i="10"/>
  <c r="I353" i="2"/>
  <c r="J352" i="2"/>
  <c r="K352" i="2"/>
  <c r="J368" i="10" l="1"/>
  <c r="I369" i="10"/>
  <c r="K369" i="10" s="1"/>
  <c r="J365" i="10"/>
  <c r="K365" i="10"/>
  <c r="I354" i="2"/>
  <c r="K353" i="2"/>
  <c r="J353" i="2"/>
  <c r="J369" i="10" l="1"/>
  <c r="I370" i="10"/>
  <c r="I355" i="2"/>
  <c r="K354" i="2"/>
  <c r="J354" i="2"/>
  <c r="I356" i="2" l="1"/>
  <c r="J355" i="2"/>
  <c r="K355" i="2"/>
  <c r="I357" i="2" l="1"/>
  <c r="J356" i="2"/>
  <c r="K356" i="2"/>
  <c r="I358" i="2" l="1"/>
  <c r="J357" i="2"/>
  <c r="K357" i="2"/>
  <c r="J370" i="10" l="1"/>
  <c r="I359" i="2"/>
  <c r="K358" i="2"/>
  <c r="J358" i="2"/>
  <c r="I360" i="2" l="1"/>
  <c r="K359" i="2"/>
  <c r="J359" i="2"/>
  <c r="I361" i="2" l="1"/>
  <c r="K360" i="2"/>
  <c r="J360" i="2"/>
  <c r="I362" i="2" l="1"/>
  <c r="K361" i="2"/>
  <c r="J361" i="2"/>
  <c r="I363" i="2" l="1"/>
  <c r="K362" i="2"/>
  <c r="J362" i="2"/>
  <c r="I364" i="2" l="1"/>
  <c r="K363" i="2"/>
  <c r="J363" i="2"/>
  <c r="I365" i="2" l="1"/>
  <c r="J364" i="2"/>
  <c r="K364" i="2"/>
  <c r="I366" i="2" l="1"/>
  <c r="K365" i="2"/>
  <c r="J365" i="2"/>
  <c r="I367" i="2" l="1"/>
  <c r="K366" i="2"/>
  <c r="J366" i="2"/>
  <c r="I368" i="2" l="1"/>
  <c r="J367" i="2"/>
  <c r="K367" i="2"/>
  <c r="I369" i="2" l="1"/>
  <c r="J368" i="2"/>
  <c r="K368" i="2"/>
  <c r="I370" i="2" l="1"/>
  <c r="J369" i="2"/>
  <c r="K369" i="2"/>
  <c r="I371" i="2" l="1"/>
  <c r="K370" i="2"/>
  <c r="J370" i="2"/>
  <c r="I372" i="2" l="1"/>
  <c r="K371" i="2"/>
  <c r="J371" i="2"/>
  <c r="I373" i="2" l="1"/>
  <c r="K372" i="2"/>
  <c r="J372" i="2"/>
  <c r="I374" i="2" l="1"/>
  <c r="K373" i="2"/>
  <c r="J373" i="2"/>
  <c r="I375" i="2" l="1"/>
  <c r="K374" i="2"/>
  <c r="J374" i="2"/>
  <c r="I376" i="2" l="1"/>
  <c r="K375" i="2"/>
  <c r="J375" i="2"/>
  <c r="I377" i="2" l="1"/>
  <c r="J376" i="2"/>
  <c r="K376" i="2"/>
  <c r="I378" i="2" l="1"/>
  <c r="K377" i="2"/>
  <c r="J377" i="2"/>
  <c r="I379" i="2" l="1"/>
  <c r="K378" i="2"/>
  <c r="J378" i="2"/>
  <c r="I380" i="2" l="1"/>
  <c r="J379" i="2"/>
  <c r="K379" i="2"/>
  <c r="I381" i="2" l="1"/>
  <c r="J380" i="2"/>
  <c r="K380" i="2"/>
  <c r="I382" i="2" l="1"/>
  <c r="J381" i="2"/>
  <c r="K381" i="2"/>
  <c r="I383" i="2" l="1"/>
  <c r="K382" i="2"/>
  <c r="J382" i="2"/>
  <c r="I384" i="2" l="1"/>
  <c r="K383" i="2"/>
  <c r="J383" i="2"/>
  <c r="I385" i="2" l="1"/>
  <c r="K384" i="2"/>
  <c r="J384" i="2"/>
  <c r="I386" i="2" l="1"/>
  <c r="K385" i="2"/>
  <c r="J385" i="2"/>
  <c r="I387" i="2" l="1"/>
  <c r="K386" i="2"/>
  <c r="J386" i="2"/>
  <c r="I388" i="2" l="1"/>
  <c r="K387" i="2"/>
  <c r="J387" i="2"/>
  <c r="I389" i="2" l="1"/>
  <c r="K388" i="2"/>
  <c r="J388" i="2"/>
  <c r="I390" i="2" l="1"/>
  <c r="K389" i="2"/>
  <c r="J389" i="2"/>
  <c r="I391" i="2" l="1"/>
  <c r="K390" i="2"/>
  <c r="J390" i="2"/>
  <c r="I392" i="2" l="1"/>
  <c r="K391" i="2"/>
  <c r="J391" i="2"/>
  <c r="I393" i="2" l="1"/>
  <c r="J392" i="2"/>
  <c r="K392" i="2"/>
  <c r="I394" i="2" l="1"/>
  <c r="J393" i="2"/>
  <c r="K393" i="2"/>
  <c r="I395" i="2" l="1"/>
  <c r="K394" i="2"/>
  <c r="J394" i="2"/>
  <c r="I396" i="2" l="1"/>
  <c r="K395" i="2"/>
  <c r="J395" i="2"/>
  <c r="I397" i="2" l="1"/>
  <c r="K396" i="2"/>
  <c r="J396" i="2"/>
  <c r="I398" i="2" l="1"/>
  <c r="K397" i="2"/>
  <c r="J397" i="2"/>
  <c r="I399" i="2" l="1"/>
  <c r="K398" i="2"/>
  <c r="J398" i="2"/>
  <c r="I400" i="2" l="1"/>
  <c r="J399" i="2"/>
  <c r="K399" i="2"/>
  <c r="I401" i="2" l="1"/>
  <c r="J400" i="2"/>
  <c r="K400" i="2"/>
  <c r="I402" i="2" l="1"/>
  <c r="K401" i="2"/>
  <c r="J401" i="2"/>
  <c r="I403" i="2" l="1"/>
  <c r="K402" i="2"/>
  <c r="J402" i="2"/>
  <c r="I404" i="2" l="1"/>
  <c r="J403" i="2"/>
  <c r="K403" i="2"/>
  <c r="I405" i="2" l="1"/>
  <c r="I406" i="2" s="1"/>
  <c r="J404" i="2"/>
  <c r="K404" i="2"/>
  <c r="K406" i="2" l="1"/>
  <c r="J406" i="2"/>
  <c r="J405" i="2"/>
  <c r="K405" i="2"/>
  <c r="I407" i="2" l="1"/>
  <c r="K407" i="2" l="1"/>
  <c r="J407" i="2"/>
  <c r="I408" i="2"/>
  <c r="I409" i="2" l="1"/>
  <c r="K408" i="2"/>
  <c r="J408" i="2"/>
  <c r="I410" i="2" l="1"/>
  <c r="K409" i="2"/>
  <c r="J409" i="2"/>
  <c r="K410" i="2" l="1"/>
  <c r="J410" i="2"/>
  <c r="I411" i="2"/>
  <c r="I412" i="2" l="1"/>
  <c r="J411" i="2"/>
  <c r="K411" i="2"/>
  <c r="J412" i="2" l="1"/>
  <c r="K412" i="2"/>
</calcChain>
</file>

<file path=xl/sharedStrings.xml><?xml version="1.0" encoding="utf-8"?>
<sst xmlns="http://schemas.openxmlformats.org/spreadsheetml/2006/main" count="394" uniqueCount="198">
  <si>
    <t>WELL:</t>
  </si>
  <si>
    <t>RIG:</t>
  </si>
  <si>
    <t>BLK WT:</t>
  </si>
  <si>
    <t>WEIGHT:</t>
  </si>
  <si>
    <t>MW:</t>
  </si>
  <si>
    <t>TOTAL DEPTH:</t>
  </si>
  <si>
    <t>GRADE:</t>
  </si>
  <si>
    <t>BF:</t>
  </si>
  <si>
    <t>JOINTS</t>
  </si>
  <si>
    <t>JOINT</t>
  </si>
  <si>
    <t>TOTAL</t>
  </si>
  <si>
    <t>DEPTH OF</t>
  </si>
  <si>
    <t xml:space="preserve">EST STRG </t>
  </si>
  <si>
    <t>RUN</t>
  </si>
  <si>
    <t xml:space="preserve"> </t>
  </si>
  <si>
    <t>NUM.</t>
  </si>
  <si>
    <t>LENGTH</t>
  </si>
  <si>
    <t>IN/OUT</t>
  </si>
  <si>
    <t>TOP OF JT</t>
  </si>
  <si>
    <t>WEIGHT</t>
  </si>
  <si>
    <t xml:space="preserve">        COMMENTS</t>
  </si>
  <si>
    <t>MAKE UP LOSS:</t>
  </si>
  <si>
    <t>EFFECTIVE</t>
  </si>
  <si>
    <t>Type</t>
  </si>
  <si>
    <t>No.</t>
  </si>
  <si>
    <t>OUT</t>
  </si>
  <si>
    <t>RKB</t>
  </si>
  <si>
    <t>7" TOL:</t>
  </si>
  <si>
    <t>TRSSSV</t>
  </si>
  <si>
    <t>out</t>
  </si>
  <si>
    <t>FT</t>
  </si>
  <si>
    <t>9-5/8" Couplings at:</t>
  </si>
  <si>
    <t>All measurements in feet (ft)</t>
  </si>
  <si>
    <t>Mechanical Completion Space Out Calculations</t>
  </si>
  <si>
    <t>Landing</t>
  </si>
  <si>
    <t>Length</t>
  </si>
  <si>
    <t>Eff Length</t>
  </si>
  <si>
    <t>String</t>
  </si>
  <si>
    <t>Space</t>
  </si>
  <si>
    <t>THRT</t>
  </si>
  <si>
    <t>above</t>
  </si>
  <si>
    <t>Hgr Load Shldr</t>
  </si>
  <si>
    <t>below</t>
  </si>
  <si>
    <t>pups</t>
  </si>
  <si>
    <t>Prod Pkr Element</t>
  </si>
  <si>
    <t>pup</t>
  </si>
  <si>
    <t>Locator NoGo</t>
  </si>
  <si>
    <t>PBR Top</t>
  </si>
  <si>
    <t>EOT Muleshoe</t>
  </si>
  <si>
    <t>Top Liner Pkr</t>
  </si>
  <si>
    <t>LANDED POSITION</t>
  </si>
  <si>
    <t>LOCATE POSITION</t>
  </si>
  <si>
    <t>Actual Pup Length</t>
  </si>
  <si>
    <t>ft</t>
  </si>
  <si>
    <t>Required Pup Length Calculations</t>
  </si>
  <si>
    <t xml:space="preserve">Total Length Out </t>
  </si>
  <si>
    <t>Length Out</t>
  </si>
  <si>
    <t>Length In</t>
  </si>
  <si>
    <t>Elevation = RKB to Hanger Load Shoulder</t>
  </si>
  <si>
    <t>Locator NoGo from Locate to Landed Position</t>
  </si>
  <si>
    <t>Hanger load shoulder to hanger assembly bottom</t>
  </si>
  <si>
    <t>Ideal Pups Req'd to Land w/ Neutral Wgt</t>
  </si>
  <si>
    <t>Length  In = Elevation + Hanger Assembly</t>
  </si>
  <si>
    <t>Actual Pup Length Used</t>
  </si>
  <si>
    <t>Difference (- short, + long)</t>
  </si>
  <si>
    <t>Tolerance (-1, +1) ft</t>
  </si>
  <si>
    <t>7.000"</t>
  </si>
  <si>
    <t>DRIFT:</t>
  </si>
  <si>
    <t>ID:</t>
  </si>
  <si>
    <t>7.000" PUP JT</t>
  </si>
  <si>
    <t>7.000" FC</t>
  </si>
  <si>
    <t xml:space="preserve">     </t>
  </si>
  <si>
    <t>M/SHOE BOTTOM</t>
  </si>
  <si>
    <t>7" CASING SHOE:</t>
  </si>
  <si>
    <t>7-5/8" 33.7# Csg Jnt'S</t>
  </si>
  <si>
    <t xml:space="preserve">                    7" 26# Deck Tally</t>
  </si>
  <si>
    <t xml:space="preserve">          7" 26# Pup Jnt'S</t>
  </si>
  <si>
    <t>Vam Top HC</t>
  </si>
  <si>
    <t>6.276"</t>
  </si>
  <si>
    <t>6.151"</t>
  </si>
  <si>
    <t>7-5/8" 33.7# Pup Jnt'S</t>
  </si>
  <si>
    <t>SM2535-110</t>
  </si>
  <si>
    <t>CONN:</t>
  </si>
  <si>
    <t>TBG SIZE:</t>
  </si>
  <si>
    <t>Packing Element Distance from 9-5/8" Casing Collar (ft)</t>
  </si>
  <si>
    <t xml:space="preserve">Top Collar </t>
  </si>
  <si>
    <t>Bottom Collar</t>
  </si>
  <si>
    <t>Length ( ft )</t>
  </si>
  <si>
    <t>Top Packer to Top Cut Zone</t>
  </si>
  <si>
    <t>Top Packer to Bottom Cut Zone</t>
  </si>
  <si>
    <t>SHEAR LOCATOR</t>
  </si>
  <si>
    <t>Bottom Mule Shoe to Shear sleeve /ring</t>
  </si>
  <si>
    <r>
      <t>Shear sleeve /ring</t>
    </r>
    <r>
      <rPr>
        <sz val="9"/>
        <color indexed="10"/>
        <rFont val="Calibri"/>
        <family val="2"/>
      </rPr>
      <t xml:space="preserve"> </t>
    </r>
    <r>
      <rPr>
        <sz val="9"/>
        <rFont val="Calibri"/>
        <family val="2"/>
      </rPr>
      <t>to  Coupling</t>
    </r>
  </si>
  <si>
    <t>Shear Locator Top to Middle</t>
  </si>
  <si>
    <t>DATE:</t>
  </si>
  <si>
    <t>Weatherford TRSCSSV</t>
  </si>
  <si>
    <t>TRSV PN: 2521432</t>
  </si>
  <si>
    <t>TOP PIP TAG:</t>
  </si>
  <si>
    <t>BTTM PIP TAG:</t>
  </si>
  <si>
    <t>TOP CUT ZONE:</t>
  </si>
  <si>
    <t>BTTM CUT ZONE:</t>
  </si>
  <si>
    <t>TORQUE 7" 26# VTHC</t>
  </si>
  <si>
    <t>13,700, 15,200, 16,700 ft-lbs</t>
  </si>
  <si>
    <t>Tubing Hanger +THRT:</t>
  </si>
  <si>
    <t>Load Shoulder to Pin:</t>
  </si>
  <si>
    <t>RKB - Load Shoulder:</t>
  </si>
  <si>
    <t>Deck #</t>
  </si>
  <si>
    <t>Length (ft)</t>
  </si>
  <si>
    <t>Threads Off</t>
  </si>
  <si>
    <t>Threads Off (ft)</t>
  </si>
  <si>
    <t>IN</t>
  </si>
  <si>
    <t>TH + PUP JT.</t>
  </si>
  <si>
    <t>RKB - TH LOAD SHOULDER</t>
  </si>
  <si>
    <t>CASING CORRECTION FACTOR</t>
  </si>
  <si>
    <t>LOCATOR COUPLING</t>
  </si>
  <si>
    <t>LOCATOR MANDREL</t>
  </si>
  <si>
    <t xml:space="preserve">WFT SHEAR LOCATOR ASSY. </t>
  </si>
  <si>
    <t>OPTIPKR-DB PACKER</t>
  </si>
  <si>
    <t xml:space="preserve">WFT OPTIPKR-DB  ASSY. </t>
  </si>
  <si>
    <t>Top Packer to Bottom Pip Tag Pocket</t>
  </si>
  <si>
    <t>Top Packer to Top Pip Tag Pocket</t>
  </si>
  <si>
    <t>PUP JOINT</t>
  </si>
  <si>
    <t>PACKER COUPLING</t>
  </si>
  <si>
    <t>WEATHERFORD:</t>
  </si>
  <si>
    <t>PACKER PN: 2945870</t>
  </si>
  <si>
    <t>LOCATOR PN: 2986925</t>
  </si>
  <si>
    <t>CUT ZONE LENGTH: 2.00 FT</t>
  </si>
  <si>
    <t>FSSD: 2,000 ft</t>
  </si>
  <si>
    <t>MID ELEMENT-PKR BTM</t>
  </si>
  <si>
    <t>COUPLING-MID ELEMENT</t>
  </si>
  <si>
    <t>LJ1</t>
  </si>
  <si>
    <t xml:space="preserve">LJ2 </t>
  </si>
  <si>
    <t>LJP1</t>
  </si>
  <si>
    <t>LJP2</t>
  </si>
  <si>
    <t>LJP3</t>
  </si>
  <si>
    <t>QE PERSONNEL:</t>
  </si>
  <si>
    <t xml:space="preserve">Effective Length 7" X-over </t>
  </si>
  <si>
    <t>CAMERON PRIMARY TH</t>
  </si>
  <si>
    <t xml:space="preserve">X-overs 7'' VT </t>
  </si>
  <si>
    <t xml:space="preserve">Slow Down RIH Speed for </t>
  </si>
  <si>
    <r>
      <t>u</t>
    </r>
    <r>
      <rPr>
        <sz val="10"/>
        <color rgb="FFFF0000"/>
        <rFont val="Calibri"/>
        <family val="2"/>
        <scheme val="minor"/>
      </rPr>
      <t>sed between packer and locator</t>
    </r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</si>
  <si>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</si>
  <si>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</si>
  <si>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</si>
  <si>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</si>
  <si>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</si>
  <si>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</si>
  <si>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</si>
  <si>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</si>
  <si>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</si>
  <si>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</si>
  <si>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LJ3</t>
  </si>
  <si>
    <t>LJ4</t>
  </si>
  <si>
    <t>Lovanda</t>
  </si>
  <si>
    <t>7" Tubing and Pup Joints</t>
  </si>
  <si>
    <t>5 1/2 DP1 SINGLE</t>
  </si>
  <si>
    <t>5 1/2 DP2 SINGLE</t>
  </si>
  <si>
    <t>5 1/2 DP3 SINGLE</t>
  </si>
  <si>
    <t>5 1/2 DP4 SINGLE</t>
  </si>
  <si>
    <t>5 1/2 DP5 SINGLE</t>
  </si>
  <si>
    <t>5 1/2 DP6 SINGLE</t>
  </si>
  <si>
    <t>DP1</t>
  </si>
  <si>
    <t>DP2</t>
  </si>
  <si>
    <t>DP3</t>
  </si>
  <si>
    <t>DP5</t>
  </si>
  <si>
    <t>DP4</t>
  </si>
  <si>
    <t>Effective Length of DP6</t>
  </si>
  <si>
    <t>LJP4</t>
  </si>
  <si>
    <t>LJP5</t>
  </si>
  <si>
    <t>LJP6</t>
  </si>
  <si>
    <t>LJP7</t>
  </si>
  <si>
    <t>LJP8</t>
  </si>
  <si>
    <t>RETURN VOL F/8,500psi:  246ml</t>
  </si>
  <si>
    <t>DISTANCE BW PIP TAGS: 11.97 FT</t>
  </si>
  <si>
    <t>PKR TOP- Top CUT ZONE: 6.86 FT</t>
  </si>
  <si>
    <t>Rev. 0</t>
  </si>
  <si>
    <t>SPACE OUT FACTOR</t>
  </si>
  <si>
    <t>FINAL COMPLETION TALLY</t>
  </si>
  <si>
    <t>CTRL LINE
CLAMP</t>
  </si>
  <si>
    <t>Stand #1</t>
  </si>
  <si>
    <t>Stand #2</t>
  </si>
  <si>
    <t>201222-0007</t>
  </si>
  <si>
    <t>in</t>
  </si>
  <si>
    <t>Rizvan Jalilov</t>
  </si>
  <si>
    <t>TRSV SN: 11849287</t>
  </si>
  <si>
    <t>10-3/4" X 9-5/8" XO @1294.99 ft</t>
  </si>
  <si>
    <t>NFQ 22-10</t>
  </si>
  <si>
    <t>Important Note :PKR final setting depth will be approx 11270.506 FT ,3FT higher after space out and land TH.</t>
  </si>
  <si>
    <t>LOCATOR SN: 201222-0007</t>
  </si>
  <si>
    <t>PACKER SN: 11889450</t>
  </si>
  <si>
    <t>COMPLETION TALLY DRAFT</t>
  </si>
  <si>
    <t>Travis Romanko</t>
  </si>
  <si>
    <t>PN: 2201888-6000062                                                                                   SN: 122108834001</t>
  </si>
  <si>
    <t>Stick-up 14.438 ft above RT</t>
  </si>
  <si>
    <t>swapped joint to joint below</t>
  </si>
  <si>
    <t>Travis Romanko Graham Hay</t>
  </si>
  <si>
    <t>TOTALLY CL CLAMPS INSTALLED # 35</t>
  </si>
  <si>
    <t>PN: 2201888-6000062 
 SN: 122108834001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</si>
</sst>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0.0\ &quot;PPG&quot;"/>
    <numFmt numFmtId="166" formatCode="0\ &quot;K&quot;"/>
    <numFmt numFmtId="167" formatCode="0.0\ &quot;PPF&quot;"/>
    <numFmt numFmtId="168" formatCode="0.00\ &quot;ft&quot;"/>
    <numFmt numFmtId="169" formatCode="[$-409]d\-mmm\-yy;@"/>
    <numFmt numFmtId="170" formatCode="0.000\ &quot;IN&quot;"/>
    <numFmt numFmtId="171" formatCode="#,##0.000"/>
  </numFmts>
  <fonts count="50">
    <font>
      <sz val="10"/>
      <name val="Geneva"/>
    </font>
    <font>
      <b/>
      <sz val="10"/>
      <name val="Geneva"/>
    </font>
    <font>
      <sz val="10"/>
      <name val="Geneva"/>
    </font>
    <font>
      <sz val="10"/>
      <name val="Geneva"/>
    </font>
    <font>
      <b/>
      <sz val="9"/>
      <name val="Geneva"/>
    </font>
    <font>
      <b/>
      <sz val="12"/>
      <name val="Geneva"/>
    </font>
    <font>
      <sz val="9"/>
      <name val="Geneva"/>
    </font>
    <font>
      <b/>
      <shadow/>
      <sz val="14"/>
      <color indexed="12"/>
      <name val="Geneva"/>
    </font>
    <font>
      <sz val="8"/>
      <name val="Geneva"/>
    </font>
    <font>
      <sz val="10"/>
      <name val="Arial"/>
      <family val="2"/>
    </font>
    <font>
      <b/>
      <sz val="9"/>
      <color indexed="10"/>
      <name val="Geneva"/>
    </font>
    <font>
      <sz val="9"/>
      <color indexed="10"/>
      <name val="Geneva"/>
    </font>
    <font>
      <b/>
      <sz val="10"/>
      <name val="Arial"/>
      <family val="2"/>
    </font>
    <font>
      <b/>
      <sz val="8"/>
      <name val="Geneva"/>
    </font>
    <font>
      <sz val="8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0"/>
      <color indexed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sz val="10"/>
      <name val="Times New Roman"/>
      <family val="1"/>
    </font>
    <font>
      <sz val="10"/>
      <color indexed="10"/>
      <name val="Geneva"/>
    </font>
    <font>
      <b/>
      <sz val="9"/>
      <name val="Agency FB"/>
      <family val="2"/>
    </font>
    <font>
      <b/>
      <sz val="8.5"/>
      <name val="Geneva"/>
    </font>
    <font>
      <b/>
      <sz val="14"/>
      <name val="Geneva"/>
    </font>
    <font>
      <b/>
      <sz val="9"/>
      <name val="Calibri"/>
      <family val="2"/>
    </font>
    <font>
      <sz val="9"/>
      <name val="Calibri"/>
      <family val="2"/>
    </font>
    <font>
      <sz val="9"/>
      <color indexed="10"/>
      <name val="Calibri"/>
      <family val="2"/>
    </font>
    <font>
      <sz val="11"/>
      <color rgb="FFFF0000"/>
      <name val="Arial"/>
      <family val="2"/>
    </font>
    <font>
      <b/>
      <sz val="10"/>
      <color theme="0"/>
      <name val="Geneva"/>
    </font>
    <font>
      <b/>
      <sz val="9"/>
      <color theme="0"/>
      <name val="Geneva"/>
    </font>
    <font>
      <b/>
      <sz val="12"/>
      <color rgb="FFFF0000"/>
      <name val="Agency FB"/>
      <family val="2"/>
    </font>
    <font>
      <b/>
      <sz val="14"/>
      <color rgb="FFFF0000"/>
      <name val="Agency FB"/>
      <family val="2"/>
    </font>
    <font>
      <b/>
      <sz val="9"/>
      <color theme="0"/>
      <name val="Calibri"/>
      <family val="2"/>
    </font>
    <font>
      <b/>
      <sz val="12"/>
      <color rgb="FFFF0000"/>
      <name val="Geneva"/>
    </font>
    <font>
      <b/>
      <sz val="10"/>
      <color rgb="FFFF0000"/>
      <name val="Geneva"/>
    </font>
    <font>
      <b/>
      <sz val="9"/>
      <color rgb="FFFF0000"/>
      <name val="Arial"/>
      <family val="2"/>
    </font>
    <font>
      <sz val="9"/>
      <color rgb="FFFF0000"/>
      <name val="Geneva"/>
    </font>
    <font>
      <sz val="10"/>
      <color theme="1"/>
      <name val="Geneva"/>
    </font>
    <font>
      <b/>
      <sz val="10"/>
      <color theme="1"/>
      <name val="Geneva"/>
    </font>
    <font>
      <b/>
      <sz val="9"/>
      <color rgb="FFFF0000"/>
      <name val="Geneva"/>
    </font>
    <font>
      <sz val="10"/>
      <color theme="0"/>
      <name val="Geneva"/>
    </font>
    <font>
      <b/>
      <sz val="9"/>
      <color theme="1"/>
      <name val="Geneva"/>
    </font>
    <font>
      <b/>
      <sz val="8"/>
      <color rgb="FFFF0000"/>
      <name val="Geneva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theme="0"/>
      <name val="Geneva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darkDown">
        <bgColor theme="1"/>
      </patternFill>
    </fill>
    <fill>
      <patternFill patternType="darkUp">
        <bgColor theme="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10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thick">
        <color indexed="64"/>
      </left>
      <right/>
      <top style="dashed">
        <color indexed="64"/>
      </top>
      <bottom/>
      <diagonal/>
    </border>
    <border>
      <left/>
      <right style="thick">
        <color indexed="64"/>
      </right>
      <top style="dashed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dashed">
        <color indexed="1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theme="9"/>
      </right>
      <top/>
      <bottom/>
      <diagonal/>
    </border>
    <border>
      <left style="thick">
        <color theme="9"/>
      </left>
      <right style="thick">
        <color theme="9"/>
      </right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 style="thick">
        <color theme="1"/>
      </right>
      <top/>
      <bottom style="dashed">
        <color indexed="64"/>
      </bottom>
      <diagonal/>
    </border>
    <border>
      <left style="thick">
        <color theme="1"/>
      </left>
      <right style="thick">
        <color theme="1"/>
      </right>
      <top/>
      <bottom style="dashed">
        <color indexed="64"/>
      </bottom>
      <diagonal/>
    </border>
    <border>
      <left/>
      <right style="thick">
        <color theme="9"/>
      </right>
      <top style="dashed">
        <color indexed="64"/>
      </top>
      <bottom/>
      <diagonal/>
    </border>
    <border>
      <left style="thick">
        <color theme="9"/>
      </left>
      <right style="thick">
        <color theme="9"/>
      </right>
      <top/>
      <bottom style="thick">
        <color theme="9"/>
      </bottom>
      <diagonal/>
    </border>
    <border>
      <left/>
      <right style="thick">
        <color theme="1"/>
      </right>
      <top style="dashed">
        <color indexed="64"/>
      </top>
      <bottom/>
      <diagonal/>
    </border>
    <border>
      <left style="thick">
        <color theme="1"/>
      </left>
      <right style="thick">
        <color theme="1"/>
      </right>
      <top style="dashed">
        <color indexed="64"/>
      </top>
      <bottom/>
      <diagonal/>
    </border>
    <border>
      <left/>
      <right/>
      <top/>
      <bottom style="thick">
        <color theme="9"/>
      </bottom>
      <diagonal/>
    </border>
    <border>
      <left/>
      <right style="thick">
        <color theme="9"/>
      </right>
      <top/>
      <bottom style="thick">
        <color theme="9"/>
      </bottom>
      <diagonal/>
    </border>
    <border>
      <left style="thick">
        <color indexed="64"/>
      </left>
      <right style="thick">
        <color theme="9"/>
      </right>
      <top/>
      <bottom style="thick">
        <color indexed="64"/>
      </bottom>
      <diagonal/>
    </border>
    <border>
      <left style="thick">
        <color theme="9"/>
      </left>
      <right/>
      <top style="thick">
        <color theme="9"/>
      </top>
      <bottom style="thick">
        <color theme="9"/>
      </bottom>
      <diagonal/>
    </border>
    <border>
      <left/>
      <right/>
      <top style="thick">
        <color theme="9"/>
      </top>
      <bottom style="thick">
        <color theme="9"/>
      </bottom>
      <diagonal/>
    </border>
    <border>
      <left/>
      <right style="thick">
        <color theme="9"/>
      </right>
      <top style="thick">
        <color theme="9"/>
      </top>
      <bottom style="thick">
        <color theme="9"/>
      </bottom>
      <diagonal/>
    </border>
    <border>
      <left/>
      <right style="thick">
        <color theme="9"/>
      </right>
      <top style="thick">
        <color theme="9"/>
      </top>
      <bottom/>
      <diagonal/>
    </border>
    <border>
      <left style="thick">
        <color theme="9"/>
      </left>
      <right style="thick">
        <color theme="9"/>
      </right>
      <top style="dashed">
        <color indexed="14"/>
      </top>
      <bottom/>
      <diagonal/>
    </border>
    <border>
      <left style="thick">
        <color theme="5"/>
      </left>
      <right style="thick">
        <color theme="5"/>
      </right>
      <top style="thick">
        <color theme="5"/>
      </top>
      <bottom/>
      <diagonal/>
    </border>
    <border>
      <left style="thick">
        <color theme="5"/>
      </left>
      <right style="thick">
        <color theme="5"/>
      </right>
      <top/>
      <bottom/>
      <diagonal/>
    </border>
    <border>
      <left/>
      <right style="thick">
        <color rgb="FF0070C0"/>
      </right>
      <top/>
      <bottom/>
      <diagonal/>
    </border>
    <border>
      <left style="thick">
        <color theme="5"/>
      </left>
      <right style="thick">
        <color theme="5"/>
      </right>
      <top/>
      <bottom style="thick">
        <color theme="5"/>
      </bottom>
      <diagonal/>
    </border>
    <border>
      <left style="thick">
        <color rgb="FF0070C0"/>
      </left>
      <right style="thick">
        <color rgb="FF0070C0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 style="thick">
        <color rgb="FF0070C0"/>
      </top>
      <bottom style="thick">
        <color rgb="FF0070C0"/>
      </bottom>
      <diagonal/>
    </border>
    <border>
      <left/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 style="thick">
        <color rgb="FF0070C0"/>
      </left>
      <right style="thick">
        <color rgb="FF0070C0"/>
      </right>
      <top/>
      <bottom style="thick">
        <color rgb="FF0070C0"/>
      </bottom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 style="thick">
        <color theme="5"/>
      </left>
      <right style="thick">
        <color theme="5"/>
      </right>
      <top style="thick">
        <color theme="5"/>
      </top>
      <bottom style="thick">
        <color theme="5"/>
      </bottom>
      <diagonal/>
    </border>
    <border>
      <left/>
      <right/>
      <top/>
      <bottom style="thick">
        <color rgb="FF0070C0"/>
      </bottom>
      <diagonal/>
    </border>
    <border>
      <left/>
      <right/>
      <top/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/>
      <diagonal/>
    </border>
    <border>
      <left style="thin">
        <color indexed="64"/>
      </left>
      <right style="thick">
        <color theme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</cellStyleXfs>
  <cellXfs count="617">
    <xf numFmtId="0" fontId="0" fillId="0" borderId="0" xfId="0"/>
    <xf numFmtId="0" fontId="0" fillId="0" borderId="1" xfId="0" applyBorder="1" applyAlignment="1">
      <alignment horizontal="center"/>
    </xf>
    <xf numFmtId="0" fontId="4" fillId="0" borderId="5" xfId="0" applyFont="1" applyBorder="1"/>
    <xf numFmtId="1" fontId="4" fillId="0" borderId="6" xfId="0" applyNumberFormat="1" applyFont="1" applyBorder="1" applyAlignment="1">
      <alignment horizontal="right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5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3" fillId="0" borderId="0" xfId="0" applyFont="1"/>
    <xf numFmtId="0" fontId="2" fillId="0" borderId="0" xfId="0" applyFont="1"/>
    <xf numFmtId="0" fontId="7" fillId="0" borderId="1" xfId="0" applyFont="1" applyBorder="1" applyAlignment="1">
      <alignment horizontal="left"/>
    </xf>
    <xf numFmtId="2" fontId="0" fillId="0" borderId="0" xfId="0" applyNumberFormat="1"/>
    <xf numFmtId="1" fontId="4" fillId="0" borderId="0" xfId="0" applyNumberFormat="1" applyFont="1" applyAlignment="1">
      <alignment horizontal="left"/>
    </xf>
    <xf numFmtId="2" fontId="3" fillId="0" borderId="0" xfId="0" applyNumberFormat="1" applyFont="1"/>
    <xf numFmtId="1" fontId="0" fillId="0" borderId="6" xfId="0" applyNumberFormat="1" applyBorder="1" applyAlignment="1">
      <alignment horizontal="center"/>
    </xf>
    <xf numFmtId="1" fontId="0" fillId="0" borderId="0" xfId="0" applyNumberFormat="1"/>
    <xf numFmtId="0" fontId="0" fillId="0" borderId="1" xfId="0" applyBorder="1"/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0" fontId="11" fillId="0" borderId="5" xfId="0" applyFont="1" applyBorder="1"/>
    <xf numFmtId="169" fontId="6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left"/>
    </xf>
    <xf numFmtId="0" fontId="14" fillId="0" borderId="0" xfId="2" applyFont="1"/>
    <xf numFmtId="0" fontId="14" fillId="0" borderId="0" xfId="2" applyFont="1" applyAlignment="1">
      <alignment horizontal="center"/>
    </xf>
    <xf numFmtId="0" fontId="14" fillId="2" borderId="0" xfId="2" applyFont="1" applyFill="1"/>
    <xf numFmtId="0" fontId="14" fillId="0" borderId="7" xfId="2" applyFont="1" applyBorder="1"/>
    <xf numFmtId="0" fontId="14" fillId="0" borderId="8" xfId="2" applyFont="1" applyBorder="1"/>
    <xf numFmtId="0" fontId="14" fillId="0" borderId="8" xfId="2" applyFont="1" applyBorder="1" applyAlignment="1">
      <alignment horizontal="center"/>
    </xf>
    <xf numFmtId="0" fontId="14" fillId="0" borderId="9" xfId="2" applyFont="1" applyBorder="1"/>
    <xf numFmtId="0" fontId="14" fillId="0" borderId="10" xfId="2" applyFont="1" applyBorder="1"/>
    <xf numFmtId="0" fontId="15" fillId="0" borderId="0" xfId="2" applyFont="1" applyAlignment="1">
      <alignment horizontal="center"/>
    </xf>
    <xf numFmtId="0" fontId="14" fillId="0" borderId="11" xfId="2" applyFont="1" applyBorder="1"/>
    <xf numFmtId="0" fontId="12" fillId="2" borderId="12" xfId="3" applyFont="1" applyFill="1" applyBorder="1" applyAlignment="1">
      <alignment horizontal="center" vertical="center"/>
    </xf>
    <xf numFmtId="0" fontId="17" fillId="0" borderId="10" xfId="2" applyFont="1" applyBorder="1"/>
    <xf numFmtId="0" fontId="16" fillId="2" borderId="0" xfId="2" applyFont="1" applyFill="1"/>
    <xf numFmtId="0" fontId="17" fillId="2" borderId="0" xfId="2" applyFont="1" applyFill="1" applyAlignment="1">
      <alignment horizontal="center"/>
    </xf>
    <xf numFmtId="0" fontId="17" fillId="2" borderId="0" xfId="2" applyFont="1" applyFill="1"/>
    <xf numFmtId="0" fontId="17" fillId="2" borderId="69" xfId="2" applyFont="1" applyFill="1" applyBorder="1"/>
    <xf numFmtId="0" fontId="9" fillId="2" borderId="70" xfId="2" applyFill="1" applyBorder="1" applyAlignment="1">
      <alignment horizontal="center"/>
    </xf>
    <xf numFmtId="0" fontId="17" fillId="2" borderId="71" xfId="2" applyFont="1" applyFill="1" applyBorder="1"/>
    <xf numFmtId="0" fontId="17" fillId="2" borderId="72" xfId="2" applyFont="1" applyFill="1" applyBorder="1" applyAlignment="1">
      <alignment horizontal="center"/>
    </xf>
    <xf numFmtId="0" fontId="9" fillId="2" borderId="12" xfId="3" applyFill="1" applyBorder="1" applyAlignment="1">
      <alignment horizontal="center" vertical="center"/>
    </xf>
    <xf numFmtId="0" fontId="17" fillId="2" borderId="12" xfId="3" applyFont="1" applyFill="1" applyBorder="1"/>
    <xf numFmtId="0" fontId="17" fillId="0" borderId="11" xfId="2" applyFont="1" applyBorder="1"/>
    <xf numFmtId="0" fontId="17" fillId="0" borderId="0" xfId="2" applyFont="1"/>
    <xf numFmtId="0" fontId="17" fillId="2" borderId="13" xfId="2" applyFont="1" applyFill="1" applyBorder="1"/>
    <xf numFmtId="0" fontId="17" fillId="2" borderId="13" xfId="2" applyFont="1" applyFill="1" applyBorder="1" applyAlignment="1">
      <alignment horizontal="center"/>
    </xf>
    <xf numFmtId="0" fontId="16" fillId="2" borderId="13" xfId="2" applyFont="1" applyFill="1" applyBorder="1" applyAlignment="1">
      <alignment horizontal="center"/>
    </xf>
    <xf numFmtId="0" fontId="17" fillId="2" borderId="73" xfId="2" applyFont="1" applyFill="1" applyBorder="1"/>
    <xf numFmtId="0" fontId="17" fillId="2" borderId="74" xfId="2" applyFont="1" applyFill="1" applyBorder="1" applyAlignment="1">
      <alignment horizontal="center"/>
    </xf>
    <xf numFmtId="2" fontId="5" fillId="0" borderId="12" xfId="0" applyNumberFormat="1" applyFont="1" applyBorder="1" applyAlignment="1">
      <alignment horizontal="center"/>
    </xf>
    <xf numFmtId="0" fontId="17" fillId="2" borderId="14" xfId="2" applyFont="1" applyFill="1" applyBorder="1" applyAlignment="1">
      <alignment horizontal="center"/>
    </xf>
    <xf numFmtId="0" fontId="17" fillId="2" borderId="15" xfId="2" applyFont="1" applyFill="1" applyBorder="1"/>
    <xf numFmtId="0" fontId="17" fillId="2" borderId="14" xfId="2" applyFont="1" applyFill="1" applyBorder="1"/>
    <xf numFmtId="0" fontId="17" fillId="2" borderId="75" xfId="2" applyFont="1" applyFill="1" applyBorder="1"/>
    <xf numFmtId="0" fontId="9" fillId="2" borderId="76" xfId="2" applyFill="1" applyBorder="1" applyAlignment="1">
      <alignment horizontal="center"/>
    </xf>
    <xf numFmtId="0" fontId="17" fillId="2" borderId="16" xfId="2" applyFont="1" applyFill="1" applyBorder="1"/>
    <xf numFmtId="0" fontId="17" fillId="2" borderId="77" xfId="2" applyFont="1" applyFill="1" applyBorder="1"/>
    <xf numFmtId="0" fontId="17" fillId="2" borderId="78" xfId="2" applyFont="1" applyFill="1" applyBorder="1" applyAlignment="1">
      <alignment horizontal="center"/>
    </xf>
    <xf numFmtId="0" fontId="17" fillId="2" borderId="17" xfId="2" applyFont="1" applyFill="1" applyBorder="1"/>
    <xf numFmtId="0" fontId="17" fillId="2" borderId="79" xfId="2" applyFont="1" applyFill="1" applyBorder="1"/>
    <xf numFmtId="0" fontId="17" fillId="2" borderId="80" xfId="2" applyFont="1" applyFill="1" applyBorder="1"/>
    <xf numFmtId="0" fontId="17" fillId="2" borderId="18" xfId="2" applyFont="1" applyFill="1" applyBorder="1"/>
    <xf numFmtId="0" fontId="17" fillId="2" borderId="81" xfId="2" applyFont="1" applyFill="1" applyBorder="1"/>
    <xf numFmtId="0" fontId="17" fillId="2" borderId="82" xfId="2" applyFont="1" applyFill="1" applyBorder="1"/>
    <xf numFmtId="0" fontId="17" fillId="2" borderId="83" xfId="2" applyFont="1" applyFill="1" applyBorder="1"/>
    <xf numFmtId="0" fontId="9" fillId="2" borderId="19" xfId="2" applyFill="1" applyBorder="1" applyAlignment="1">
      <alignment horizontal="center"/>
    </xf>
    <xf numFmtId="0" fontId="17" fillId="2" borderId="84" xfId="2" applyFont="1" applyFill="1" applyBorder="1"/>
    <xf numFmtId="0" fontId="17" fillId="2" borderId="20" xfId="2" applyFont="1" applyFill="1" applyBorder="1"/>
    <xf numFmtId="0" fontId="17" fillId="2" borderId="21" xfId="2" applyFont="1" applyFill="1" applyBorder="1"/>
    <xf numFmtId="0" fontId="17" fillId="2" borderId="85" xfId="2" applyFont="1" applyFill="1" applyBorder="1"/>
    <xf numFmtId="0" fontId="9" fillId="2" borderId="86" xfId="2" applyFill="1" applyBorder="1" applyAlignment="1">
      <alignment horizontal="center"/>
    </xf>
    <xf numFmtId="0" fontId="17" fillId="2" borderId="71" xfId="2" applyFont="1" applyFill="1" applyBorder="1" applyAlignment="1">
      <alignment horizontal="center"/>
    </xf>
    <xf numFmtId="0" fontId="9" fillId="2" borderId="87" xfId="2" applyFill="1" applyBorder="1" applyAlignment="1">
      <alignment horizontal="center"/>
    </xf>
    <xf numFmtId="0" fontId="16" fillId="0" borderId="72" xfId="2" applyFont="1" applyBorder="1" applyAlignment="1">
      <alignment horizontal="center"/>
    </xf>
    <xf numFmtId="0" fontId="9" fillId="2" borderId="88" xfId="2" applyFill="1" applyBorder="1" applyAlignment="1">
      <alignment horizontal="center"/>
    </xf>
    <xf numFmtId="0" fontId="17" fillId="2" borderId="89" xfId="2" applyFont="1" applyFill="1" applyBorder="1"/>
    <xf numFmtId="0" fontId="18" fillId="0" borderId="90" xfId="2" applyFont="1" applyBorder="1" applyAlignment="1">
      <alignment horizontal="center"/>
    </xf>
    <xf numFmtId="0" fontId="16" fillId="2" borderId="91" xfId="2" applyFont="1" applyFill="1" applyBorder="1" applyAlignment="1">
      <alignment horizontal="center"/>
    </xf>
    <xf numFmtId="0" fontId="16" fillId="0" borderId="92" xfId="2" applyFont="1" applyBorder="1" applyAlignment="1">
      <alignment horizontal="center"/>
    </xf>
    <xf numFmtId="0" fontId="17" fillId="6" borderId="89" xfId="2" applyFont="1" applyFill="1" applyBorder="1"/>
    <xf numFmtId="0" fontId="17" fillId="6" borderId="91" xfId="2" applyFont="1" applyFill="1" applyBorder="1"/>
    <xf numFmtId="0" fontId="17" fillId="2" borderId="91" xfId="2" applyFont="1" applyFill="1" applyBorder="1" applyAlignment="1">
      <alignment horizontal="center"/>
    </xf>
    <xf numFmtId="0" fontId="17" fillId="6" borderId="93" xfId="2" applyFont="1" applyFill="1" applyBorder="1"/>
    <xf numFmtId="0" fontId="17" fillId="6" borderId="94" xfId="2" applyFont="1" applyFill="1" applyBorder="1"/>
    <xf numFmtId="0" fontId="16" fillId="2" borderId="13" xfId="2" applyFont="1" applyFill="1" applyBorder="1" applyAlignment="1">
      <alignment horizontal="left"/>
    </xf>
    <xf numFmtId="0" fontId="16" fillId="2" borderId="22" xfId="2" applyFont="1" applyFill="1" applyBorder="1"/>
    <xf numFmtId="0" fontId="17" fillId="6" borderId="95" xfId="2" applyFont="1" applyFill="1" applyBorder="1"/>
    <xf numFmtId="0" fontId="17" fillId="6" borderId="96" xfId="2" applyFont="1" applyFill="1" applyBorder="1"/>
    <xf numFmtId="0" fontId="17" fillId="6" borderId="97" xfId="2" applyFont="1" applyFill="1" applyBorder="1"/>
    <xf numFmtId="0" fontId="17" fillId="6" borderId="0" xfId="2" applyFont="1" applyFill="1"/>
    <xf numFmtId="0" fontId="31" fillId="6" borderId="93" xfId="2" applyFont="1" applyFill="1" applyBorder="1"/>
    <xf numFmtId="0" fontId="16" fillId="2" borderId="14" xfId="2" applyFont="1" applyFill="1" applyBorder="1" applyAlignment="1">
      <alignment horizontal="left"/>
    </xf>
    <xf numFmtId="0" fontId="16" fillId="2" borderId="16" xfId="2" applyFont="1" applyFill="1" applyBorder="1"/>
    <xf numFmtId="0" fontId="17" fillId="6" borderId="98" xfId="2" applyFont="1" applyFill="1" applyBorder="1"/>
    <xf numFmtId="0" fontId="17" fillId="6" borderId="99" xfId="2" applyFont="1" applyFill="1" applyBorder="1"/>
    <xf numFmtId="0" fontId="17" fillId="6" borderId="100" xfId="2" applyFont="1" applyFill="1" applyBorder="1"/>
    <xf numFmtId="2" fontId="9" fillId="0" borderId="23" xfId="2" applyNumberFormat="1" applyBorder="1" applyAlignment="1">
      <alignment horizontal="center"/>
    </xf>
    <xf numFmtId="0" fontId="17" fillId="2" borderId="89" xfId="2" applyFont="1" applyFill="1" applyBorder="1" applyAlignment="1">
      <alignment horizontal="center"/>
    </xf>
    <xf numFmtId="0" fontId="16" fillId="2" borderId="0" xfId="2" applyFont="1" applyFill="1" applyAlignment="1">
      <alignment horizontal="center"/>
    </xf>
    <xf numFmtId="0" fontId="17" fillId="2" borderId="24" xfId="2" applyFont="1" applyFill="1" applyBorder="1"/>
    <xf numFmtId="0" fontId="17" fillId="2" borderId="25" xfId="2" applyFont="1" applyFill="1" applyBorder="1"/>
    <xf numFmtId="0" fontId="17" fillId="2" borderId="97" xfId="2" applyFont="1" applyFill="1" applyBorder="1"/>
    <xf numFmtId="0" fontId="9" fillId="2" borderId="101" xfId="2" applyFill="1" applyBorder="1" applyAlignment="1">
      <alignment horizontal="center"/>
    </xf>
    <xf numFmtId="0" fontId="17" fillId="2" borderId="102" xfId="2" applyFont="1" applyFill="1" applyBorder="1"/>
    <xf numFmtId="0" fontId="17" fillId="2" borderId="98" xfId="2" applyFont="1" applyFill="1" applyBorder="1"/>
    <xf numFmtId="0" fontId="17" fillId="2" borderId="100" xfId="2" applyFont="1" applyFill="1" applyBorder="1"/>
    <xf numFmtId="0" fontId="16" fillId="2" borderId="18" xfId="2" applyFont="1" applyFill="1" applyBorder="1"/>
    <xf numFmtId="0" fontId="17" fillId="2" borderId="22" xfId="2" applyFont="1" applyFill="1" applyBorder="1"/>
    <xf numFmtId="0" fontId="17" fillId="0" borderId="98" xfId="2" applyFont="1" applyBorder="1"/>
    <xf numFmtId="0" fontId="17" fillId="0" borderId="100" xfId="2" applyFont="1" applyBorder="1"/>
    <xf numFmtId="0" fontId="17" fillId="4" borderId="0" xfId="2" applyFont="1" applyFill="1"/>
    <xf numFmtId="0" fontId="17" fillId="0" borderId="89" xfId="2" applyFont="1" applyBorder="1"/>
    <xf numFmtId="0" fontId="17" fillId="4" borderId="103" xfId="2" applyFont="1" applyFill="1" applyBorder="1"/>
    <xf numFmtId="0" fontId="17" fillId="0" borderId="103" xfId="2" applyFont="1" applyBorder="1"/>
    <xf numFmtId="0" fontId="17" fillId="3" borderId="26" xfId="2" applyFont="1" applyFill="1" applyBorder="1"/>
    <xf numFmtId="0" fontId="17" fillId="0" borderId="104" xfId="2" applyFont="1" applyBorder="1"/>
    <xf numFmtId="0" fontId="17" fillId="7" borderId="105" xfId="2" applyFont="1" applyFill="1" applyBorder="1"/>
    <xf numFmtId="0" fontId="17" fillId="8" borderId="0" xfId="2" applyFont="1" applyFill="1"/>
    <xf numFmtId="0" fontId="17" fillId="3" borderId="27" xfId="2" applyFont="1" applyFill="1" applyBorder="1"/>
    <xf numFmtId="0" fontId="17" fillId="0" borderId="105" xfId="2" applyFont="1" applyBorder="1"/>
    <xf numFmtId="0" fontId="16" fillId="9" borderId="12" xfId="3" applyFont="1" applyFill="1" applyBorder="1" applyAlignment="1">
      <alignment horizontal="center" vertical="center"/>
    </xf>
    <xf numFmtId="0" fontId="17" fillId="2" borderId="18" xfId="2" applyFont="1" applyFill="1" applyBorder="1" applyAlignment="1">
      <alignment horizontal="center"/>
    </xf>
    <xf numFmtId="0" fontId="17" fillId="2" borderId="28" xfId="2" applyFont="1" applyFill="1" applyBorder="1"/>
    <xf numFmtId="0" fontId="17" fillId="2" borderId="29" xfId="2" applyFont="1" applyFill="1" applyBorder="1"/>
    <xf numFmtId="0" fontId="16" fillId="2" borderId="29" xfId="2" applyFont="1" applyFill="1" applyBorder="1" applyAlignment="1">
      <alignment horizontal="center"/>
    </xf>
    <xf numFmtId="0" fontId="17" fillId="2" borderId="30" xfId="2" applyFont="1" applyFill="1" applyBorder="1"/>
    <xf numFmtId="0" fontId="17" fillId="2" borderId="12" xfId="3" applyFont="1" applyFill="1" applyBorder="1" applyAlignment="1">
      <alignment horizontal="left"/>
    </xf>
    <xf numFmtId="2" fontId="14" fillId="2" borderId="12" xfId="3" applyNumberFormat="1" applyFont="1" applyFill="1" applyBorder="1"/>
    <xf numFmtId="0" fontId="14" fillId="0" borderId="2" xfId="2" applyFont="1" applyBorder="1"/>
    <xf numFmtId="0" fontId="14" fillId="0" borderId="6" xfId="2" applyFont="1" applyBorder="1"/>
    <xf numFmtId="0" fontId="14" fillId="0" borderId="6" xfId="2" applyFont="1" applyBorder="1" applyAlignment="1">
      <alignment horizontal="center"/>
    </xf>
    <xf numFmtId="0" fontId="14" fillId="2" borderId="6" xfId="2" applyFont="1" applyFill="1" applyBorder="1"/>
    <xf numFmtId="0" fontId="14" fillId="0" borderId="31" xfId="2" applyFont="1" applyBorder="1"/>
    <xf numFmtId="0" fontId="14" fillId="2" borderId="0" xfId="2" applyFont="1" applyFill="1" applyAlignment="1">
      <alignment horizontal="center"/>
    </xf>
    <xf numFmtId="0" fontId="14" fillId="0" borderId="1" xfId="2" applyFont="1" applyBorder="1"/>
    <xf numFmtId="0" fontId="14" fillId="0" borderId="5" xfId="2" applyFont="1" applyBorder="1"/>
    <xf numFmtId="0" fontId="9" fillId="0" borderId="0" xfId="2"/>
    <xf numFmtId="0" fontId="14" fillId="0" borderId="32" xfId="2" applyFont="1" applyBorder="1"/>
    <xf numFmtId="0" fontId="14" fillId="0" borderId="32" xfId="2" applyFont="1" applyBorder="1" applyAlignment="1">
      <alignment horizontal="center"/>
    </xf>
    <xf numFmtId="0" fontId="14" fillId="2" borderId="32" xfId="2" applyFont="1" applyFill="1" applyBorder="1"/>
    <xf numFmtId="0" fontId="14" fillId="0" borderId="33" xfId="2" applyFont="1" applyBorder="1"/>
    <xf numFmtId="0" fontId="20" fillId="0" borderId="0" xfId="2" applyFont="1"/>
    <xf numFmtId="0" fontId="20" fillId="5" borderId="34" xfId="2" applyFont="1" applyFill="1" applyBorder="1"/>
    <xf numFmtId="0" fontId="20" fillId="5" borderId="35" xfId="2" applyFont="1" applyFill="1" applyBorder="1"/>
    <xf numFmtId="0" fontId="20" fillId="5" borderId="35" xfId="2" applyFont="1" applyFill="1" applyBorder="1" applyAlignment="1">
      <alignment horizontal="center"/>
    </xf>
    <xf numFmtId="0" fontId="14" fillId="5" borderId="36" xfId="2" applyFont="1" applyFill="1" applyBorder="1"/>
    <xf numFmtId="0" fontId="14" fillId="0" borderId="4" xfId="2" applyFont="1" applyBorder="1"/>
    <xf numFmtId="0" fontId="21" fillId="0" borderId="0" xfId="2" applyFont="1"/>
    <xf numFmtId="0" fontId="22" fillId="0" borderId="0" xfId="2" applyFont="1"/>
    <xf numFmtId="0" fontId="14" fillId="0" borderId="37" xfId="2" applyFont="1" applyBorder="1"/>
    <xf numFmtId="0" fontId="21" fillId="0" borderId="38" xfId="2" applyFont="1" applyBorder="1"/>
    <xf numFmtId="0" fontId="14" fillId="0" borderId="38" xfId="2" applyFont="1" applyBorder="1"/>
    <xf numFmtId="0" fontId="14" fillId="0" borderId="38" xfId="2" applyFont="1" applyBorder="1" applyAlignment="1">
      <alignment horizontal="center"/>
    </xf>
    <xf numFmtId="0" fontId="14" fillId="2" borderId="38" xfId="2" applyFont="1" applyFill="1" applyBorder="1"/>
    <xf numFmtId="0" fontId="9" fillId="0" borderId="38" xfId="2" applyBorder="1"/>
    <xf numFmtId="0" fontId="14" fillId="0" borderId="39" xfId="2" applyFont="1" applyBorder="1"/>
    <xf numFmtId="0" fontId="23" fillId="0" borderId="0" xfId="2" applyFont="1"/>
    <xf numFmtId="0" fontId="10" fillId="0" borderId="5" xfId="0" applyFont="1" applyBorder="1"/>
    <xf numFmtId="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right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32" xfId="0" applyNumberFormat="1" applyFont="1" applyBorder="1" applyAlignment="1">
      <alignment horizontal="center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2" fontId="0" fillId="9" borderId="0" xfId="0" applyNumberFormat="1" applyFill="1" applyAlignment="1">
      <alignment horizontal="right"/>
    </xf>
    <xf numFmtId="1" fontId="25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4" fontId="5" fillId="10" borderId="0" xfId="0" applyNumberFormat="1" applyFont="1" applyFill="1" applyAlignment="1">
      <alignment horizontal="center"/>
    </xf>
    <xf numFmtId="4" fontId="1" fillId="0" borderId="12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6" fillId="9" borderId="12" xfId="3" applyFont="1" applyFill="1" applyBorder="1" applyAlignment="1">
      <alignment horizontal="center"/>
    </xf>
    <xf numFmtId="2" fontId="1" fillId="10" borderId="12" xfId="0" applyNumberFormat="1" applyFont="1" applyFill="1" applyBorder="1" applyAlignment="1">
      <alignment horizontal="center"/>
    </xf>
    <xf numFmtId="2" fontId="32" fillId="11" borderId="12" xfId="0" applyNumberFormat="1" applyFont="1" applyFill="1" applyBorder="1" applyAlignment="1">
      <alignment horizontal="center"/>
    </xf>
    <xf numFmtId="166" fontId="1" fillId="10" borderId="12" xfId="0" applyNumberFormat="1" applyFont="1" applyFill="1" applyBorder="1" applyAlignment="1">
      <alignment horizontal="center"/>
    </xf>
    <xf numFmtId="2" fontId="1" fillId="12" borderId="12" xfId="0" applyNumberFormat="1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6" fillId="9" borderId="12" xfId="0" applyFont="1" applyFill="1" applyBorder="1" applyAlignment="1">
      <alignment horizontal="center"/>
    </xf>
    <xf numFmtId="2" fontId="0" fillId="9" borderId="12" xfId="0" applyNumberFormat="1" applyFill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16" fillId="0" borderId="12" xfId="3" applyFont="1" applyBorder="1" applyAlignment="1">
      <alignment horizontal="center"/>
    </xf>
    <xf numFmtId="4" fontId="3" fillId="0" borderId="0" xfId="0" applyNumberFormat="1" applyFont="1"/>
    <xf numFmtId="1" fontId="4" fillId="0" borderId="12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center"/>
    </xf>
    <xf numFmtId="170" fontId="4" fillId="13" borderId="12" xfId="0" applyNumberFormat="1" applyFont="1" applyFill="1" applyBorder="1" applyAlignment="1">
      <alignment horizontal="center" vertical="center"/>
    </xf>
    <xf numFmtId="168" fontId="33" fillId="14" borderId="12" xfId="0" applyNumberFormat="1" applyFont="1" applyFill="1" applyBorder="1" applyAlignment="1">
      <alignment horizontal="center" vertical="center"/>
    </xf>
    <xf numFmtId="0" fontId="26" fillId="15" borderId="7" xfId="0" applyFont="1" applyFill="1" applyBorder="1"/>
    <xf numFmtId="168" fontId="26" fillId="15" borderId="9" xfId="0" applyNumberFormat="1" applyFont="1" applyFill="1" applyBorder="1" applyAlignment="1">
      <alignment horizontal="center"/>
    </xf>
    <xf numFmtId="0" fontId="26" fillId="15" borderId="10" xfId="0" applyFont="1" applyFill="1" applyBorder="1"/>
    <xf numFmtId="168" fontId="26" fillId="15" borderId="11" xfId="0" applyNumberFormat="1" applyFont="1" applyFill="1" applyBorder="1" applyAlignment="1">
      <alignment horizontal="center"/>
    </xf>
    <xf numFmtId="0" fontId="26" fillId="15" borderId="37" xfId="0" applyFont="1" applyFill="1" applyBorder="1"/>
    <xf numFmtId="168" fontId="26" fillId="15" borderId="39" xfId="0" applyNumberFormat="1" applyFont="1" applyFill="1" applyBorder="1" applyAlignment="1">
      <alignment horizontal="center"/>
    </xf>
    <xf numFmtId="2" fontId="8" fillId="0" borderId="40" xfId="0" applyNumberFormat="1" applyFont="1" applyBorder="1" applyAlignment="1">
      <alignment horizontal="center" vertical="center"/>
    </xf>
    <xf numFmtId="2" fontId="8" fillId="0" borderId="41" xfId="0" applyNumberFormat="1" applyFont="1" applyBorder="1" applyAlignment="1">
      <alignment horizontal="center" vertical="center"/>
    </xf>
    <xf numFmtId="2" fontId="8" fillId="0" borderId="42" xfId="0" applyNumberFormat="1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13" fillId="16" borderId="0" xfId="0" applyFont="1" applyFill="1" applyAlignment="1">
      <alignment vertical="center"/>
    </xf>
    <xf numFmtId="2" fontId="8" fillId="0" borderId="0" xfId="0" applyNumberFormat="1" applyFont="1" applyAlignment="1">
      <alignment horizontal="center" vertical="center"/>
    </xf>
    <xf numFmtId="2" fontId="34" fillId="0" borderId="0" xfId="0" applyNumberFormat="1" applyFont="1" applyAlignment="1">
      <alignment horizontal="right"/>
    </xf>
    <xf numFmtId="2" fontId="35" fillId="0" borderId="0" xfId="0" applyNumberFormat="1" applyFont="1" applyAlignment="1">
      <alignment horizontal="center"/>
    </xf>
    <xf numFmtId="2" fontId="35" fillId="0" borderId="0" xfId="0" applyNumberFormat="1" applyFont="1" applyAlignment="1">
      <alignment horizontal="right"/>
    </xf>
    <xf numFmtId="2" fontId="5" fillId="0" borderId="6" xfId="0" applyNumberFormat="1" applyFont="1" applyBorder="1" applyAlignment="1">
      <alignment horizontal="right"/>
    </xf>
    <xf numFmtId="2" fontId="5" fillId="0" borderId="6" xfId="0" applyNumberFormat="1" applyFont="1" applyBorder="1" applyAlignment="1">
      <alignment horizontal="center"/>
    </xf>
    <xf numFmtId="2" fontId="27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" fontId="33" fillId="9" borderId="0" xfId="1" applyFont="1" applyFill="1" applyBorder="1" applyAlignment="1">
      <alignment horizontal="center"/>
    </xf>
    <xf numFmtId="0" fontId="36" fillId="17" borderId="28" xfId="0" applyFont="1" applyFill="1" applyBorder="1" applyAlignment="1">
      <alignment horizontal="center" vertical="center" wrapText="1"/>
    </xf>
    <xf numFmtId="0" fontId="29" fillId="0" borderId="44" xfId="0" applyFont="1" applyBorder="1" applyAlignment="1">
      <alignment vertical="center" wrapText="1"/>
    </xf>
    <xf numFmtId="2" fontId="28" fillId="0" borderId="39" xfId="0" applyNumberFormat="1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169" fontId="0" fillId="0" borderId="0" xfId="0" applyNumberFormat="1" applyAlignment="1">
      <alignment horizontal="left"/>
    </xf>
    <xf numFmtId="15" fontId="37" fillId="0" borderId="6" xfId="0" applyNumberFormat="1" applyFont="1" applyBorder="1" applyAlignment="1">
      <alignment horizontal="center"/>
    </xf>
    <xf numFmtId="0" fontId="38" fillId="0" borderId="31" xfId="0" applyFont="1" applyBorder="1"/>
    <xf numFmtId="15" fontId="37" fillId="0" borderId="0" xfId="0" applyNumberFormat="1" applyFont="1" applyAlignment="1">
      <alignment horizontal="center"/>
    </xf>
    <xf numFmtId="168" fontId="32" fillId="11" borderId="4" xfId="0" applyNumberFormat="1" applyFont="1" applyFill="1" applyBorder="1" applyAlignment="1">
      <alignment horizontal="center" vertical="center"/>
    </xf>
    <xf numFmtId="0" fontId="28" fillId="17" borderId="45" xfId="0" applyFont="1" applyFill="1" applyBorder="1" applyAlignment="1">
      <alignment horizontal="center" vertical="center" wrapText="1"/>
    </xf>
    <xf numFmtId="2" fontId="28" fillId="0" borderId="8" xfId="0" applyNumberFormat="1" applyFont="1" applyBorder="1" applyAlignment="1">
      <alignment horizontal="center" vertical="center" wrapText="1"/>
    </xf>
    <xf numFmtId="0" fontId="29" fillId="0" borderId="8" xfId="0" applyFont="1" applyBorder="1" applyAlignment="1">
      <alignment vertical="center" wrapText="1"/>
    </xf>
    <xf numFmtId="2" fontId="4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2" fontId="6" fillId="9" borderId="0" xfId="0" applyNumberFormat="1" applyFont="1" applyFill="1" applyAlignment="1">
      <alignment horizontal="left"/>
    </xf>
    <xf numFmtId="164" fontId="6" fillId="0" borderId="0" xfId="0" applyNumberFormat="1" applyFont="1" applyAlignment="1">
      <alignment horizontal="left"/>
    </xf>
    <xf numFmtId="168" fontId="8" fillId="0" borderId="43" xfId="0" applyNumberFormat="1" applyFont="1" applyBorder="1" applyAlignment="1">
      <alignment horizontal="center" vertical="center"/>
    </xf>
    <xf numFmtId="168" fontId="8" fillId="0" borderId="46" xfId="0" applyNumberFormat="1" applyFont="1" applyBorder="1" applyAlignment="1">
      <alignment horizontal="center" vertical="center"/>
    </xf>
    <xf numFmtId="168" fontId="8" fillId="0" borderId="41" xfId="0" applyNumberFormat="1" applyFont="1" applyBorder="1" applyAlignment="1">
      <alignment horizontal="center" vertical="center"/>
    </xf>
    <xf numFmtId="0" fontId="1" fillId="10" borderId="0" xfId="0" applyFont="1" applyFill="1" applyAlignment="1">
      <alignment horizontal="center"/>
    </xf>
    <xf numFmtId="0" fontId="4" fillId="19" borderId="47" xfId="0" applyFont="1" applyFill="1" applyBorder="1" applyAlignment="1">
      <alignment horizontal="center"/>
    </xf>
    <xf numFmtId="168" fontId="8" fillId="0" borderId="38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right"/>
    </xf>
    <xf numFmtId="2" fontId="24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2" fontId="1" fillId="10" borderId="8" xfId="0" applyNumberFormat="1" applyFont="1" applyFill="1" applyBorder="1" applyAlignment="1">
      <alignment horizontal="center"/>
    </xf>
    <xf numFmtId="2" fontId="1" fillId="10" borderId="38" xfId="0" applyNumberFormat="1" applyFont="1" applyFill="1" applyBorder="1" applyAlignment="1">
      <alignment horizontal="center"/>
    </xf>
    <xf numFmtId="2" fontId="1" fillId="10" borderId="51" xfId="0" applyNumberFormat="1" applyFont="1" applyFill="1" applyBorder="1" applyAlignment="1">
      <alignment horizontal="center"/>
    </xf>
    <xf numFmtId="2" fontId="32" fillId="14" borderId="51" xfId="0" applyNumberFormat="1" applyFont="1" applyFill="1" applyBorder="1" applyAlignment="1">
      <alignment horizontal="center"/>
    </xf>
    <xf numFmtId="166" fontId="40" fillId="0" borderId="0" xfId="0" applyNumberFormat="1" applyFont="1" applyAlignment="1">
      <alignment horizontal="left"/>
    </xf>
    <xf numFmtId="0" fontId="4" fillId="9" borderId="34" xfId="0" applyFont="1" applyFill="1" applyBorder="1" applyAlignment="1">
      <alignment horizontal="left"/>
    </xf>
    <xf numFmtId="0" fontId="4" fillId="9" borderId="36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4" fillId="9" borderId="31" xfId="0" applyFont="1" applyFill="1" applyBorder="1" applyAlignment="1">
      <alignment horizontal="left"/>
    </xf>
    <xf numFmtId="0" fontId="14" fillId="0" borderId="34" xfId="2" applyFont="1" applyBorder="1"/>
    <xf numFmtId="165" fontId="6" fillId="0" borderId="0" xfId="0" applyNumberFormat="1" applyFont="1" applyAlignment="1">
      <alignment horizontal="left"/>
    </xf>
    <xf numFmtId="1" fontId="13" fillId="12" borderId="12" xfId="0" applyNumberFormat="1" applyFont="1" applyFill="1" applyBorder="1" applyAlignment="1">
      <alignment horizontal="left"/>
    </xf>
    <xf numFmtId="0" fontId="42" fillId="0" borderId="12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4" fontId="4" fillId="9" borderId="12" xfId="1" applyFont="1" applyFill="1" applyBorder="1" applyAlignment="1">
      <alignment horizontal="center"/>
    </xf>
    <xf numFmtId="4" fontId="33" fillId="11" borderId="12" xfId="1" applyFont="1" applyFill="1" applyBorder="1" applyAlignment="1">
      <alignment horizontal="center"/>
    </xf>
    <xf numFmtId="4" fontId="33" fillId="11" borderId="12" xfId="0" applyNumberFormat="1" applyFont="1" applyFill="1" applyBorder="1" applyAlignment="1">
      <alignment horizontal="center"/>
    </xf>
    <xf numFmtId="0" fontId="0" fillId="9" borderId="0" xfId="0" applyFill="1"/>
    <xf numFmtId="164" fontId="0" fillId="9" borderId="12" xfId="0" applyNumberFormat="1" applyFill="1" applyBorder="1" applyAlignment="1">
      <alignment horizontal="center"/>
    </xf>
    <xf numFmtId="2" fontId="0" fillId="10" borderId="12" xfId="0" applyNumberFormat="1" applyFill="1" applyBorder="1" applyAlignment="1">
      <alignment horizontal="center"/>
    </xf>
    <xf numFmtId="2" fontId="44" fillId="11" borderId="12" xfId="0" applyNumberFormat="1" applyFont="1" applyFill="1" applyBorder="1" applyAlignment="1">
      <alignment horizontal="center"/>
    </xf>
    <xf numFmtId="166" fontId="0" fillId="10" borderId="12" xfId="0" applyNumberFormat="1" applyFill="1" applyBorder="1" applyAlignment="1">
      <alignment horizontal="center"/>
    </xf>
    <xf numFmtId="166" fontId="0" fillId="9" borderId="12" xfId="0" applyNumberFormat="1" applyFill="1" applyBorder="1" applyAlignment="1">
      <alignment horizontal="center"/>
    </xf>
    <xf numFmtId="0" fontId="5" fillId="9" borderId="0" xfId="0" applyFont="1" applyFill="1"/>
    <xf numFmtId="4" fontId="1" fillId="9" borderId="12" xfId="0" applyNumberFormat="1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33" xfId="0" applyFont="1" applyBorder="1"/>
    <xf numFmtId="0" fontId="4" fillId="21" borderId="2" xfId="0" applyFont="1" applyFill="1" applyBorder="1"/>
    <xf numFmtId="0" fontId="4" fillId="21" borderId="1" xfId="0" applyFont="1" applyFill="1" applyBorder="1"/>
    <xf numFmtId="0" fontId="47" fillId="10" borderId="0" xfId="0" applyFont="1" applyFill="1"/>
    <xf numFmtId="0" fontId="43" fillId="0" borderId="34" xfId="0" applyFont="1" applyBorder="1" applyAlignment="1">
      <alignment horizontal="left"/>
    </xf>
    <xf numFmtId="0" fontId="43" fillId="0" borderId="36" xfId="0" applyFont="1" applyBorder="1" applyAlignment="1">
      <alignment horizontal="left"/>
    </xf>
    <xf numFmtId="0" fontId="1" fillId="9" borderId="12" xfId="0" applyFont="1" applyFill="1" applyBorder="1" applyAlignment="1">
      <alignment horizontal="center" vertical="center"/>
    </xf>
    <xf numFmtId="166" fontId="1" fillId="12" borderId="12" xfId="0" applyNumberFormat="1" applyFont="1" applyFill="1" applyBorder="1" applyAlignment="1">
      <alignment horizontal="center"/>
    </xf>
    <xf numFmtId="0" fontId="1" fillId="10" borderId="0" xfId="0" applyFont="1" applyFill="1"/>
    <xf numFmtId="2" fontId="5" fillId="9" borderId="12" xfId="0" applyNumberFormat="1" applyFont="1" applyFill="1" applyBorder="1" applyAlignment="1">
      <alignment horizontal="center"/>
    </xf>
    <xf numFmtId="0" fontId="4" fillId="0" borderId="34" xfId="0" applyFont="1" applyBorder="1" applyAlignment="1">
      <alignment horizontal="left"/>
    </xf>
    <xf numFmtId="0" fontId="4" fillId="0" borderId="36" xfId="0" applyFont="1" applyBorder="1" applyAlignment="1">
      <alignment horizontal="left"/>
    </xf>
    <xf numFmtId="0" fontId="9" fillId="22" borderId="47" xfId="4" applyFill="1" applyBorder="1" applyAlignment="1">
      <alignment horizontal="center"/>
    </xf>
    <xf numFmtId="164" fontId="0" fillId="0" borderId="12" xfId="0" applyNumberFormat="1" applyBorder="1"/>
    <xf numFmtId="164" fontId="9" fillId="0" borderId="12" xfId="0" applyNumberFormat="1" applyFont="1" applyBorder="1"/>
    <xf numFmtId="164" fontId="0" fillId="0" borderId="12" xfId="0" applyNumberFormat="1" applyBorder="1" applyAlignment="1">
      <alignment vertical="center"/>
    </xf>
    <xf numFmtId="164" fontId="0" fillId="0" borderId="12" xfId="0" applyNumberFormat="1" applyBorder="1" applyAlignment="1">
      <alignment horizontal="right" vertical="center"/>
    </xf>
    <xf numFmtId="2" fontId="0" fillId="0" borderId="46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4" fillId="20" borderId="60" xfId="0" applyFont="1" applyFill="1" applyBorder="1" applyAlignment="1">
      <alignment vertical="center"/>
    </xf>
    <xf numFmtId="0" fontId="4" fillId="18" borderId="36" xfId="0" applyFont="1" applyFill="1" applyBorder="1" applyAlignment="1">
      <alignment vertical="center"/>
    </xf>
    <xf numFmtId="0" fontId="4" fillId="13" borderId="66" xfId="0" applyFont="1" applyFill="1" applyBorder="1" applyAlignment="1">
      <alignment vertical="center"/>
    </xf>
    <xf numFmtId="4" fontId="4" fillId="19" borderId="3" xfId="0" applyNumberFormat="1" applyFont="1" applyFill="1" applyBorder="1" applyAlignment="1">
      <alignment horizontal="center"/>
    </xf>
    <xf numFmtId="4" fontId="4" fillId="19" borderId="106" xfId="0" applyNumberFormat="1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0" fillId="0" borderId="12" xfId="0" applyBorder="1" applyAlignment="1">
      <alignment horizontal="center" vertical="center"/>
    </xf>
    <xf numFmtId="4" fontId="0" fillId="0" borderId="12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 vertical="center"/>
    </xf>
    <xf numFmtId="164" fontId="1" fillId="10" borderId="12" xfId="0" applyNumberFormat="1" applyFont="1" applyFill="1" applyBorder="1" applyAlignment="1">
      <alignment horizontal="center"/>
    </xf>
    <xf numFmtId="164" fontId="1" fillId="12" borderId="12" xfId="0" applyNumberFormat="1" applyFont="1" applyFill="1" applyBorder="1" applyAlignment="1">
      <alignment horizontal="center"/>
    </xf>
    <xf numFmtId="164" fontId="32" fillId="11" borderId="12" xfId="0" applyNumberFormat="1" applyFont="1" applyFill="1" applyBorder="1" applyAlignment="1">
      <alignment horizontal="center"/>
    </xf>
    <xf numFmtId="164" fontId="41" fillId="0" borderId="12" xfId="0" applyNumberFormat="1" applyFont="1" applyBorder="1" applyAlignment="1">
      <alignment horizontal="center"/>
    </xf>
    <xf numFmtId="164" fontId="42" fillId="12" borderId="12" xfId="0" applyNumberFormat="1" applyFont="1" applyFill="1" applyBorder="1" applyAlignment="1">
      <alignment horizontal="center"/>
    </xf>
    <xf numFmtId="164" fontId="0" fillId="10" borderId="12" xfId="0" applyNumberFormat="1" applyFill="1" applyBorder="1" applyAlignment="1">
      <alignment horizontal="center"/>
    </xf>
    <xf numFmtId="164" fontId="0" fillId="0" borderId="50" xfId="0" applyNumberFormat="1" applyBorder="1" applyAlignment="1">
      <alignment horizontal="right" vertical="center"/>
    </xf>
    <xf numFmtId="164" fontId="44" fillId="11" borderId="12" xfId="0" applyNumberFormat="1" applyFont="1" applyFill="1" applyBorder="1" applyAlignment="1">
      <alignment horizontal="center"/>
    </xf>
    <xf numFmtId="164" fontId="1" fillId="10" borderId="12" xfId="0" applyNumberFormat="1" applyFont="1" applyFill="1" applyBorder="1" applyAlignment="1">
      <alignment horizontal="center" vertical="center"/>
    </xf>
    <xf numFmtId="164" fontId="32" fillId="11" borderId="12" xfId="0" applyNumberFormat="1" applyFont="1" applyFill="1" applyBorder="1" applyAlignment="1">
      <alignment horizontal="center" vertical="center"/>
    </xf>
    <xf numFmtId="0" fontId="2" fillId="9" borderId="0" xfId="0" applyFont="1" applyFill="1"/>
    <xf numFmtId="0" fontId="1" fillId="9" borderId="12" xfId="0" applyFont="1" applyFill="1" applyBorder="1" applyAlignment="1">
      <alignment horizontal="center"/>
    </xf>
    <xf numFmtId="0" fontId="1" fillId="19" borderId="59" xfId="0" applyFont="1" applyFill="1" applyBorder="1" applyAlignment="1">
      <alignment horizontal="center"/>
    </xf>
    <xf numFmtId="0" fontId="1" fillId="23" borderId="12" xfId="0" applyFont="1" applyFill="1" applyBorder="1" applyAlignment="1">
      <alignment horizontal="center" vertical="center"/>
    </xf>
    <xf numFmtId="4" fontId="1" fillId="23" borderId="12" xfId="0" applyNumberFormat="1" applyFont="1" applyFill="1" applyBorder="1" applyAlignment="1">
      <alignment horizontal="center" vertical="center"/>
    </xf>
    <xf numFmtId="4" fontId="1" fillId="0" borderId="12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2" fontId="0" fillId="9" borderId="27" xfId="0" applyNumberFormat="1" applyFill="1" applyBorder="1" applyAlignment="1">
      <alignment horizontal="center"/>
    </xf>
    <xf numFmtId="4" fontId="1" fillId="0" borderId="27" xfId="0" applyNumberFormat="1" applyFont="1" applyBorder="1" applyAlignment="1">
      <alignment horizontal="center" vertical="center"/>
    </xf>
    <xf numFmtId="0" fontId="4" fillId="19" borderId="107" xfId="0" applyFont="1" applyFill="1" applyBorder="1" applyAlignment="1">
      <alignment horizontal="center"/>
    </xf>
    <xf numFmtId="0" fontId="1" fillId="23" borderId="12" xfId="0" applyFont="1" applyFill="1" applyBorder="1" applyAlignment="1">
      <alignment horizontal="center"/>
    </xf>
    <xf numFmtId="0" fontId="0" fillId="10" borderId="0" xfId="0" applyFill="1"/>
    <xf numFmtId="0" fontId="13" fillId="0" borderId="2" xfId="0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2" fontId="13" fillId="0" borderId="3" xfId="0" applyNumberFormat="1" applyFont="1" applyBorder="1" applyAlignment="1">
      <alignment horizontal="center"/>
    </xf>
    <xf numFmtId="2" fontId="13" fillId="0" borderId="31" xfId="0" applyNumberFormat="1" applyFont="1" applyBorder="1" applyAlignment="1">
      <alignment horizontal="center"/>
    </xf>
    <xf numFmtId="2" fontId="13" fillId="0" borderId="6" xfId="0" applyNumberFormat="1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1" fontId="13" fillId="0" borderId="4" xfId="0" applyNumberFormat="1" applyFont="1" applyBorder="1" applyAlignment="1">
      <alignment horizontal="center"/>
    </xf>
    <xf numFmtId="2" fontId="13" fillId="0" borderId="27" xfId="0" applyNumberFormat="1" applyFont="1" applyBorder="1" applyAlignment="1">
      <alignment horizontal="center"/>
    </xf>
    <xf numFmtId="2" fontId="13" fillId="0" borderId="33" xfId="0" applyNumberFormat="1" applyFont="1" applyBorder="1" applyAlignment="1">
      <alignment horizontal="center"/>
    </xf>
    <xf numFmtId="2" fontId="13" fillId="0" borderId="32" xfId="0" applyNumberFormat="1" applyFont="1" applyBorder="1" applyAlignment="1">
      <alignment horizontal="center"/>
    </xf>
    <xf numFmtId="0" fontId="13" fillId="0" borderId="33" xfId="0" applyFont="1" applyBorder="1" applyAlignment="1">
      <alignment horizontal="center"/>
    </xf>
    <xf numFmtId="164" fontId="39" fillId="10" borderId="3" xfId="2" applyNumberFormat="1" applyFont="1" applyFill="1" applyBorder="1" applyProtection="1">
      <protection locked="0"/>
    </xf>
    <xf numFmtId="164" fontId="18" fillId="10" borderId="26" xfId="2" applyNumberFormat="1" applyFont="1" applyFill="1" applyBorder="1" applyProtection="1">
      <protection locked="0"/>
    </xf>
    <xf numFmtId="164" fontId="18" fillId="10" borderId="27" xfId="2" applyNumberFormat="1" applyFont="1" applyFill="1" applyBorder="1" applyProtection="1">
      <protection locked="0"/>
    </xf>
    <xf numFmtId="164" fontId="18" fillId="5" borderId="12" xfId="2" applyNumberFormat="1" applyFont="1" applyFill="1" applyBorder="1"/>
    <xf numFmtId="164" fontId="21" fillId="0" borderId="0" xfId="2" applyNumberFormat="1" applyFont="1"/>
    <xf numFmtId="164" fontId="18" fillId="9" borderId="3" xfId="2" applyNumberFormat="1" applyFont="1" applyFill="1" applyBorder="1" applyProtection="1">
      <protection locked="0"/>
    </xf>
    <xf numFmtId="164" fontId="18" fillId="9" borderId="27" xfId="2" applyNumberFormat="1" applyFont="1" applyFill="1" applyBorder="1" applyProtection="1">
      <protection locked="0"/>
    </xf>
    <xf numFmtId="0" fontId="1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4" fontId="1" fillId="10" borderId="51" xfId="0" applyNumberFormat="1" applyFont="1" applyFill="1" applyBorder="1" applyAlignment="1">
      <alignment horizontal="center"/>
    </xf>
    <xf numFmtId="164" fontId="32" fillId="14" borderId="51" xfId="0" applyNumberFormat="1" applyFont="1" applyFill="1" applyBorder="1" applyAlignment="1">
      <alignment horizontal="center"/>
    </xf>
    <xf numFmtId="2" fontId="0" fillId="9" borderId="0" xfId="0" applyNumberFormat="1" applyFill="1"/>
    <xf numFmtId="166" fontId="1" fillId="9" borderId="12" xfId="0" applyNumberFormat="1" applyFont="1" applyFill="1" applyBorder="1" applyAlignment="1">
      <alignment horizontal="center"/>
    </xf>
    <xf numFmtId="164" fontId="0" fillId="10" borderId="27" xfId="0" applyNumberFormat="1" applyFill="1" applyBorder="1" applyAlignment="1">
      <alignment horizontal="center"/>
    </xf>
    <xf numFmtId="2" fontId="0" fillId="10" borderId="108" xfId="0" applyNumberFormat="1" applyFill="1" applyBorder="1" applyAlignment="1">
      <alignment horizontal="center"/>
    </xf>
    <xf numFmtId="164" fontId="1" fillId="10" borderId="108" xfId="0" applyNumberFormat="1" applyFont="1" applyFill="1" applyBorder="1" applyAlignment="1">
      <alignment horizontal="center"/>
    </xf>
    <xf numFmtId="164" fontId="0" fillId="10" borderId="108" xfId="0" applyNumberFormat="1" applyFill="1" applyBorder="1" applyAlignment="1">
      <alignment horizontal="center"/>
    </xf>
    <xf numFmtId="164" fontId="0" fillId="10" borderId="3" xfId="0" applyNumberFormat="1" applyFill="1" applyBorder="1" applyAlignment="1">
      <alignment horizontal="center"/>
    </xf>
    <xf numFmtId="2" fontId="0" fillId="10" borderId="50" xfId="0" applyNumberFormat="1" applyFill="1" applyBorder="1" applyAlignment="1">
      <alignment horizontal="center"/>
    </xf>
    <xf numFmtId="164" fontId="1" fillId="10" borderId="3" xfId="0" applyNumberFormat="1" applyFont="1" applyFill="1" applyBorder="1" applyAlignment="1">
      <alignment horizontal="center"/>
    </xf>
    <xf numFmtId="164" fontId="0" fillId="14" borderId="3" xfId="0" applyNumberFormat="1" applyFill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66" fontId="1" fillId="10" borderId="3" xfId="0" applyNumberFormat="1" applyFont="1" applyFill="1" applyBorder="1" applyAlignment="1">
      <alignment horizontal="center"/>
    </xf>
    <xf numFmtId="166" fontId="1" fillId="10" borderId="26" xfId="0" applyNumberFormat="1" applyFont="1" applyFill="1" applyBorder="1" applyAlignment="1">
      <alignment horizontal="center"/>
    </xf>
    <xf numFmtId="166" fontId="1" fillId="10" borderId="27" xfId="0" applyNumberFormat="1" applyFont="1" applyFill="1" applyBorder="1" applyAlignment="1">
      <alignment horizontal="center"/>
    </xf>
    <xf numFmtId="166" fontId="1" fillId="12" borderId="3" xfId="0" applyNumberFormat="1" applyFont="1" applyFill="1" applyBorder="1" applyAlignment="1">
      <alignment horizontal="center"/>
    </xf>
    <xf numFmtId="166" fontId="1" fillId="12" borderId="26" xfId="0" applyNumberFormat="1" applyFont="1" applyFill="1" applyBorder="1" applyAlignment="1">
      <alignment horizontal="center"/>
    </xf>
    <xf numFmtId="166" fontId="1" fillId="12" borderId="1" xfId="0" applyNumberFormat="1" applyFont="1" applyFill="1" applyBorder="1" applyAlignment="1">
      <alignment horizontal="center"/>
    </xf>
    <xf numFmtId="166" fontId="1" fillId="12" borderId="4" xfId="0" applyNumberFormat="1" applyFont="1" applyFill="1" applyBorder="1" applyAlignment="1">
      <alignment horizontal="center"/>
    </xf>
    <xf numFmtId="166" fontId="0" fillId="9" borderId="34" xfId="0" applyNumberFormat="1" applyFill="1" applyBorder="1" applyAlignment="1">
      <alignment horizontal="center"/>
    </xf>
    <xf numFmtId="166" fontId="1" fillId="9" borderId="1" xfId="0" applyNumberFormat="1" applyFont="1" applyFill="1" applyBorder="1" applyAlignment="1">
      <alignment horizontal="center"/>
    </xf>
    <xf numFmtId="166" fontId="0" fillId="10" borderId="61" xfId="0" applyNumberFormat="1" applyFill="1" applyBorder="1" applyAlignment="1">
      <alignment horizontal="center"/>
    </xf>
    <xf numFmtId="166" fontId="0" fillId="10" borderId="34" xfId="0" applyNumberFormat="1" applyFill="1" applyBorder="1" applyAlignment="1">
      <alignment horizontal="center"/>
    </xf>
    <xf numFmtId="166" fontId="44" fillId="11" borderId="34" xfId="0" applyNumberFormat="1" applyFont="1" applyFill="1" applyBorder="1" applyAlignment="1">
      <alignment horizontal="center"/>
    </xf>
    <xf numFmtId="166" fontId="0" fillId="10" borderId="67" xfId="0" applyNumberFormat="1" applyFill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0" fontId="6" fillId="10" borderId="12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164" fontId="44" fillId="24" borderId="12" xfId="0" applyNumberFormat="1" applyFont="1" applyFill="1" applyBorder="1" applyAlignment="1">
      <alignment horizontal="center" vertical="center"/>
    </xf>
    <xf numFmtId="164" fontId="44" fillId="24" borderId="27" xfId="0" applyNumberFormat="1" applyFont="1" applyFill="1" applyBorder="1" applyAlignment="1">
      <alignment horizontal="center" vertical="center"/>
    </xf>
    <xf numFmtId="0" fontId="32" fillId="24" borderId="12" xfId="0" applyFont="1" applyFill="1" applyBorder="1" applyAlignment="1">
      <alignment horizontal="center" vertical="center"/>
    </xf>
    <xf numFmtId="2" fontId="44" fillId="24" borderId="12" xfId="0" applyNumberFormat="1" applyFont="1" applyFill="1" applyBorder="1" applyAlignment="1">
      <alignment horizontal="center" vertical="center"/>
    </xf>
    <xf numFmtId="166" fontId="44" fillId="24" borderId="12" xfId="0" applyNumberFormat="1" applyFont="1" applyFill="1" applyBorder="1" applyAlignment="1">
      <alignment horizontal="center" vertical="center"/>
    </xf>
    <xf numFmtId="0" fontId="43" fillId="0" borderId="34" xfId="0" applyFont="1" applyBorder="1" applyAlignment="1">
      <alignment horizontal="center" vertical="center"/>
    </xf>
    <xf numFmtId="0" fontId="0" fillId="0" borderId="0" xfId="0" applyAlignment="1">
      <alignment vertical="center"/>
    </xf>
    <xf numFmtId="164" fontId="1" fillId="9" borderId="12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/>
    </xf>
    <xf numFmtId="0" fontId="49" fillId="24" borderId="12" xfId="0" applyFont="1" applyFill="1" applyBorder="1" applyAlignment="1">
      <alignment horizontal="center" vertical="center"/>
    </xf>
    <xf numFmtId="0" fontId="32" fillId="0" borderId="44" xfId="0" applyFont="1" applyBorder="1" applyAlignment="1">
      <alignment vertical="center" wrapText="1"/>
    </xf>
    <xf numFmtId="2" fontId="1" fillId="0" borderId="51" xfId="0" applyNumberFormat="1" applyFont="1" applyBorder="1" applyAlignment="1">
      <alignment horizontal="center"/>
    </xf>
    <xf numFmtId="2" fontId="0" fillId="0" borderId="52" xfId="0" applyNumberFormat="1" applyBorder="1" applyAlignment="1">
      <alignment horizontal="center"/>
    </xf>
    <xf numFmtId="166" fontId="1" fillId="0" borderId="37" xfId="0" applyNumberFormat="1" applyFont="1" applyBorder="1" applyAlignment="1">
      <alignment horizontal="center"/>
    </xf>
    <xf numFmtId="166" fontId="1" fillId="0" borderId="38" xfId="0" applyNumberFormat="1" applyFont="1" applyBorder="1" applyAlignment="1">
      <alignment horizontal="center"/>
    </xf>
    <xf numFmtId="166" fontId="1" fillId="0" borderId="39" xfId="0" applyNumberFormat="1" applyFont="1" applyBorder="1" applyAlignment="1">
      <alignment horizontal="center"/>
    </xf>
    <xf numFmtId="2" fontId="0" fillId="0" borderId="51" xfId="0" applyNumberFormat="1" applyBorder="1" applyAlignment="1">
      <alignment horizontal="center"/>
    </xf>
    <xf numFmtId="0" fontId="32" fillId="24" borderId="3" xfId="0" applyFont="1" applyFill="1" applyBorder="1" applyAlignment="1">
      <alignment horizontal="center" vertical="center"/>
    </xf>
    <xf numFmtId="164" fontId="44" fillId="24" borderId="3" xfId="0" applyNumberFormat="1" applyFont="1" applyFill="1" applyBorder="1" applyAlignment="1">
      <alignment horizontal="center" vertical="center"/>
    </xf>
    <xf numFmtId="2" fontId="44" fillId="24" borderId="3" xfId="0" applyNumberFormat="1" applyFont="1" applyFill="1" applyBorder="1" applyAlignment="1">
      <alignment horizontal="center" vertical="center"/>
    </xf>
    <xf numFmtId="166" fontId="44" fillId="24" borderId="3" xfId="0" applyNumberFormat="1" applyFont="1" applyFill="1" applyBorder="1" applyAlignment="1">
      <alignment horizontal="center" vertical="center"/>
    </xf>
    <xf numFmtId="2" fontId="0" fillId="12" borderId="12" xfId="0" applyNumberFormat="1" applyFill="1" applyBorder="1" applyAlignment="1">
      <alignment horizontal="center" vertical="center"/>
    </xf>
    <xf numFmtId="164" fontId="9" fillId="0" borderId="12" xfId="0" applyNumberFormat="1" applyFont="1" applyBorder="1" applyAlignment="1">
      <alignment horizontal="center"/>
    </xf>
    <xf numFmtId="164" fontId="0" fillId="10" borderId="12" xfId="0" applyNumberFormat="1" applyFill="1" applyBorder="1"/>
    <xf numFmtId="164" fontId="9" fillId="10" borderId="12" xfId="0" applyNumberFormat="1" applyFont="1" applyFill="1" applyBorder="1"/>
    <xf numFmtId="2" fontId="0" fillId="10" borderId="0" xfId="0" applyNumberFormat="1" applyFill="1"/>
    <xf numFmtId="164" fontId="44" fillId="25" borderId="12" xfId="0" applyNumberFormat="1" applyFont="1" applyFill="1" applyBorder="1" applyAlignment="1">
      <alignment horizontal="center"/>
    </xf>
    <xf numFmtId="166" fontId="44" fillId="25" borderId="12" xfId="0" applyNumberFormat="1" applyFont="1" applyFill="1" applyBorder="1" applyAlignment="1">
      <alignment horizontal="center"/>
    </xf>
    <xf numFmtId="164" fontId="0" fillId="10" borderId="12" xfId="0" applyNumberFormat="1" applyFill="1" applyBorder="1" applyAlignment="1">
      <alignment vertical="center"/>
    </xf>
    <xf numFmtId="164" fontId="0" fillId="10" borderId="12" xfId="0" applyNumberFormat="1" applyFill="1" applyBorder="1" applyAlignment="1">
      <alignment horizontal="right" vertical="center"/>
    </xf>
    <xf numFmtId="164" fontId="0" fillId="0" borderId="0" xfId="0" applyNumberFormat="1"/>
    <xf numFmtId="0" fontId="4" fillId="21" borderId="6" xfId="0" applyFont="1" applyFill="1" applyBorder="1"/>
    <xf numFmtId="0" fontId="4" fillId="21" borderId="0" xfId="0" applyFont="1" applyFill="1"/>
    <xf numFmtId="0" fontId="4" fillId="0" borderId="0" xfId="0" applyFont="1"/>
    <xf numFmtId="164" fontId="1" fillId="0" borderId="12" xfId="0" applyNumberFormat="1" applyFont="1" applyBorder="1" applyAlignment="1">
      <alignment horizontal="center"/>
    </xf>
    <xf numFmtId="4" fontId="0" fillId="0" borderId="12" xfId="0" applyNumberFormat="1" applyBorder="1" applyAlignment="1">
      <alignment horizontal="left"/>
    </xf>
    <xf numFmtId="2" fontId="17" fillId="0" borderId="12" xfId="3" applyNumberFormat="1" applyFont="1" applyBorder="1" applyAlignment="1">
      <alignment horizontal="center" vertical="center"/>
    </xf>
    <xf numFmtId="2" fontId="16" fillId="0" borderId="12" xfId="2" applyNumberFormat="1" applyFont="1" applyBorder="1" applyAlignment="1">
      <alignment horizontal="center"/>
    </xf>
    <xf numFmtId="0" fontId="14" fillId="0" borderId="12" xfId="3" applyFont="1" applyBorder="1" applyAlignment="1">
      <alignment horizontal="center"/>
    </xf>
    <xf numFmtId="2" fontId="19" fillId="0" borderId="12" xfId="3" applyNumberFormat="1" applyFont="1" applyBorder="1" applyAlignment="1">
      <alignment horizontal="center"/>
    </xf>
    <xf numFmtId="0" fontId="12" fillId="0" borderId="12" xfId="3" applyFont="1" applyBorder="1" applyAlignment="1">
      <alignment horizontal="left" vertical="center"/>
    </xf>
    <xf numFmtId="164" fontId="17" fillId="0" borderId="12" xfId="3" applyNumberFormat="1" applyFont="1" applyBorder="1" applyAlignment="1">
      <alignment horizontal="center" vertical="center"/>
    </xf>
    <xf numFmtId="0" fontId="43" fillId="9" borderId="34" xfId="0" applyFont="1" applyFill="1" applyBorder="1" applyAlignment="1">
      <alignment horizontal="left"/>
    </xf>
    <xf numFmtId="0" fontId="43" fillId="9" borderId="36" xfId="0" applyFont="1" applyFill="1" applyBorder="1" applyAlignment="1">
      <alignment horizontal="left"/>
    </xf>
    <xf numFmtId="164" fontId="0" fillId="0" borderId="0" xfId="0" applyNumberFormat="1" applyAlignment="1">
      <alignment vertical="center"/>
    </xf>
    <xf numFmtId="0" fontId="43" fillId="0" borderId="35" xfId="0" applyFont="1" applyBorder="1" applyAlignment="1">
      <alignment horizontal="center" vertical="center"/>
    </xf>
    <xf numFmtId="164" fontId="17" fillId="9" borderId="12" xfId="3" applyNumberFormat="1" applyFont="1" applyFill="1" applyBorder="1" applyAlignment="1">
      <alignment horizontal="center" vertical="center"/>
    </xf>
    <xf numFmtId="4" fontId="1" fillId="0" borderId="12" xfId="0" applyNumberFormat="1" applyFont="1" applyBorder="1" applyAlignment="1">
      <alignment horizontal="left"/>
    </xf>
    <xf numFmtId="4" fontId="1" fillId="0" borderId="0" xfId="0" applyNumberFormat="1" applyFont="1" applyAlignment="1">
      <alignment horizontal="center"/>
    </xf>
    <xf numFmtId="164" fontId="9" fillId="0" borderId="12" xfId="0" applyNumberFormat="1" applyFont="1" applyBorder="1" applyAlignment="1">
      <alignment horizontal="left"/>
    </xf>
    <xf numFmtId="171" fontId="0" fillId="0" borderId="12" xfId="0" applyNumberFormat="1" applyBorder="1" applyAlignment="1">
      <alignment horizontal="left"/>
    </xf>
    <xf numFmtId="164" fontId="0" fillId="0" borderId="0" xfId="0" applyNumberFormat="1" applyAlignment="1">
      <alignment horizontal="center" vertical="center"/>
    </xf>
    <xf numFmtId="0" fontId="8" fillId="0" borderId="0" xfId="0" applyFont="1"/>
    <xf numFmtId="0" fontId="13" fillId="0" borderId="0" xfId="0" applyFont="1"/>
    <xf numFmtId="168" fontId="13" fillId="0" borderId="0" xfId="0" applyNumberFormat="1" applyFont="1"/>
    <xf numFmtId="168" fontId="8" fillId="0" borderId="0" xfId="0" applyNumberFormat="1" applyFont="1"/>
    <xf numFmtId="0" fontId="4" fillId="0" borderId="0" xfId="0" applyFont="1" applyAlignment="1">
      <alignment vertical="center" wrapText="1"/>
    </xf>
    <xf numFmtId="1" fontId="0" fillId="9" borderId="2" xfId="0" applyNumberFormat="1" applyFill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164" fontId="0" fillId="0" borderId="12" xfId="0" applyNumberFormat="1" applyBorder="1" applyAlignment="1">
      <alignment horizontal="right"/>
    </xf>
    <xf numFmtId="164" fontId="9" fillId="0" borderId="12" xfId="0" applyNumberFormat="1" applyFont="1" applyBorder="1" applyAlignment="1">
      <alignment horizontal="right"/>
    </xf>
    <xf numFmtId="164" fontId="9" fillId="0" borderId="12" xfId="0" applyNumberFormat="1" applyFont="1" applyBorder="1" applyAlignment="1">
      <alignment horizontal="right" vertical="center"/>
    </xf>
    <xf numFmtId="1" fontId="0" fillId="10" borderId="12" xfId="0" applyNumberFormat="1" applyFill="1" applyBorder="1" applyAlignment="1">
      <alignment horizontal="center"/>
    </xf>
    <xf numFmtId="1" fontId="0" fillId="10" borderId="12" xfId="0" applyNumberFormat="1" applyFill="1" applyBorder="1" applyAlignment="1">
      <alignment horizontal="center" wrapText="1"/>
    </xf>
    <xf numFmtId="0" fontId="1" fillId="19" borderId="57" xfId="0" applyFont="1" applyFill="1" applyBorder="1" applyAlignment="1">
      <alignment horizontal="center"/>
    </xf>
    <xf numFmtId="0" fontId="1" fillId="19" borderId="58" xfId="0" applyFont="1" applyFill="1" applyBorder="1" applyAlignment="1">
      <alignment horizontal="center"/>
    </xf>
    <xf numFmtId="0" fontId="1" fillId="19" borderId="59" xfId="0" applyFont="1" applyFill="1" applyBorder="1" applyAlignment="1">
      <alignment horizontal="center"/>
    </xf>
    <xf numFmtId="0" fontId="1" fillId="19" borderId="32" xfId="0" applyFont="1" applyFill="1" applyBorder="1" applyAlignment="1">
      <alignment horizontal="center"/>
    </xf>
    <xf numFmtId="0" fontId="4" fillId="0" borderId="34" xfId="0" applyFont="1" applyBorder="1" applyAlignment="1">
      <alignment horizontal="left"/>
    </xf>
    <xf numFmtId="0" fontId="4" fillId="0" borderId="36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3" fillId="0" borderId="34" xfId="0" applyFont="1" applyBorder="1" applyAlignment="1">
      <alignment horizontal="left"/>
    </xf>
    <xf numFmtId="0" fontId="43" fillId="0" borderId="36" xfId="0" applyFont="1" applyBorder="1" applyAlignment="1">
      <alignment horizontal="left"/>
    </xf>
    <xf numFmtId="0" fontId="4" fillId="9" borderId="12" xfId="0" applyFont="1" applyFill="1" applyBorder="1" applyAlignment="1">
      <alignment horizontal="left"/>
    </xf>
    <xf numFmtId="0" fontId="4" fillId="9" borderId="34" xfId="0" applyFont="1" applyFill="1" applyBorder="1" applyAlignment="1">
      <alignment horizontal="left"/>
    </xf>
    <xf numFmtId="0" fontId="4" fillId="9" borderId="36" xfId="0" applyFont="1" applyFill="1" applyBorder="1" applyAlignment="1">
      <alignment horizontal="left"/>
    </xf>
    <xf numFmtId="0" fontId="13" fillId="12" borderId="3" xfId="0" applyFont="1" applyFill="1" applyBorder="1" applyAlignment="1">
      <alignment horizontal="center" vertical="center"/>
    </xf>
    <xf numFmtId="0" fontId="4" fillId="21" borderId="53" xfId="0" applyFont="1" applyFill="1" applyBorder="1" applyAlignment="1">
      <alignment horizontal="center" wrapText="1"/>
    </xf>
    <xf numFmtId="0" fontId="4" fillId="21" borderId="8" xfId="0" applyFont="1" applyFill="1" applyBorder="1" applyAlignment="1">
      <alignment horizontal="center" wrapText="1"/>
    </xf>
    <xf numFmtId="0" fontId="4" fillId="21" borderId="1" xfId="0" applyFont="1" applyFill="1" applyBorder="1" applyAlignment="1">
      <alignment horizontal="center" wrapText="1"/>
    </xf>
    <xf numFmtId="0" fontId="4" fillId="21" borderId="0" xfId="0" applyFont="1" applyFill="1" applyAlignment="1">
      <alignment horizontal="center" wrapText="1"/>
    </xf>
    <xf numFmtId="0" fontId="4" fillId="21" borderId="54" xfId="0" applyFont="1" applyFill="1" applyBorder="1" applyAlignment="1">
      <alignment horizontal="center" wrapText="1"/>
    </xf>
    <xf numFmtId="0" fontId="4" fillId="21" borderId="38" xfId="0" applyFont="1" applyFill="1" applyBorder="1" applyAlignment="1">
      <alignment horizontal="center" wrapText="1"/>
    </xf>
    <xf numFmtId="0" fontId="13" fillId="12" borderId="1" xfId="0" applyFont="1" applyFill="1" applyBorder="1" applyAlignment="1">
      <alignment horizontal="center" vertical="center"/>
    </xf>
    <xf numFmtId="0" fontId="13" fillId="12" borderId="5" xfId="0" applyFont="1" applyFill="1" applyBorder="1" applyAlignment="1">
      <alignment horizontal="center" vertical="center"/>
    </xf>
    <xf numFmtId="0" fontId="45" fillId="13" borderId="7" xfId="0" applyFont="1" applyFill="1" applyBorder="1" applyAlignment="1">
      <alignment horizontal="center"/>
    </xf>
    <xf numFmtId="0" fontId="45" fillId="13" borderId="9" xfId="0" applyFont="1" applyFill="1" applyBorder="1" applyAlignment="1">
      <alignment horizontal="center"/>
    </xf>
    <xf numFmtId="0" fontId="45" fillId="13" borderId="37" xfId="0" applyFont="1" applyFill="1" applyBorder="1" applyAlignment="1">
      <alignment horizontal="center"/>
    </xf>
    <xf numFmtId="0" fontId="45" fillId="13" borderId="39" xfId="0" applyFont="1" applyFill="1" applyBorder="1" applyAlignment="1">
      <alignment horizontal="center"/>
    </xf>
    <xf numFmtId="0" fontId="13" fillId="12" borderId="12" xfId="0" applyFont="1" applyFill="1" applyBorder="1" applyAlignment="1">
      <alignment horizontal="center" vertical="center" wrapText="1"/>
    </xf>
    <xf numFmtId="0" fontId="13" fillId="12" borderId="12" xfId="0" applyFont="1" applyFill="1" applyBorder="1" applyAlignment="1">
      <alignment horizontal="center" vertical="center" textRotation="90" wrapText="1"/>
    </xf>
    <xf numFmtId="1" fontId="46" fillId="12" borderId="12" xfId="0" applyNumberFormat="1" applyFont="1" applyFill="1" applyBorder="1" applyAlignment="1">
      <alignment horizontal="left"/>
    </xf>
    <xf numFmtId="1" fontId="13" fillId="12" borderId="12" xfId="0" applyNumberFormat="1" applyFont="1" applyFill="1" applyBorder="1" applyAlignment="1">
      <alignment horizontal="left"/>
    </xf>
    <xf numFmtId="0" fontId="13" fillId="10" borderId="12" xfId="0" applyFont="1" applyFill="1" applyBorder="1" applyAlignment="1">
      <alignment horizontal="center" vertical="center" wrapText="1"/>
    </xf>
    <xf numFmtId="0" fontId="13" fillId="12" borderId="26" xfId="0" applyFont="1" applyFill="1" applyBorder="1" applyAlignment="1">
      <alignment horizontal="center" vertical="center"/>
    </xf>
    <xf numFmtId="0" fontId="13" fillId="10" borderId="12" xfId="0" applyFont="1" applyFill="1" applyBorder="1" applyAlignment="1">
      <alignment horizontal="center" vertical="center" textRotation="90" wrapText="1"/>
    </xf>
    <xf numFmtId="1" fontId="13" fillId="10" borderId="12" xfId="0" applyNumberFormat="1" applyFont="1" applyFill="1" applyBorder="1" applyAlignment="1">
      <alignment horizontal="left"/>
    </xf>
    <xf numFmtId="1" fontId="13" fillId="10" borderId="34" xfId="0" applyNumberFormat="1" applyFont="1" applyFill="1" applyBorder="1" applyAlignment="1">
      <alignment horizontal="left"/>
    </xf>
    <xf numFmtId="1" fontId="13" fillId="10" borderId="36" xfId="0" applyNumberFormat="1" applyFont="1" applyFill="1" applyBorder="1" applyAlignment="1">
      <alignment horizontal="left"/>
    </xf>
    <xf numFmtId="0" fontId="4" fillId="10" borderId="26" xfId="0" applyFont="1" applyFill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9" borderId="34" xfId="0" applyFont="1" applyFill="1" applyBorder="1" applyAlignment="1">
      <alignment horizontal="center" wrapText="1"/>
    </xf>
    <xf numFmtId="0" fontId="4" fillId="9" borderId="36" xfId="0" applyFont="1" applyFill="1" applyBorder="1" applyAlignment="1">
      <alignment horizontal="center" wrapText="1"/>
    </xf>
    <xf numFmtId="0" fontId="4" fillId="9" borderId="34" xfId="0" applyFont="1" applyFill="1" applyBorder="1" applyAlignment="1">
      <alignment horizontal="center"/>
    </xf>
    <xf numFmtId="0" fontId="4" fillId="9" borderId="36" xfId="0" applyFont="1" applyFill="1" applyBorder="1" applyAlignment="1">
      <alignment horizontal="center"/>
    </xf>
    <xf numFmtId="0" fontId="4" fillId="10" borderId="34" xfId="0" applyFont="1" applyFill="1" applyBorder="1" applyAlignment="1">
      <alignment horizontal="left"/>
    </xf>
    <xf numFmtId="0" fontId="4" fillId="10" borderId="36" xfId="0" applyFont="1" applyFill="1" applyBorder="1" applyAlignment="1">
      <alignment horizontal="left"/>
    </xf>
    <xf numFmtId="2" fontId="4" fillId="0" borderId="34" xfId="0" applyNumberFormat="1" applyFont="1" applyBorder="1" applyAlignment="1">
      <alignment horizontal="center"/>
    </xf>
    <xf numFmtId="2" fontId="4" fillId="0" borderId="36" xfId="0" applyNumberFormat="1" applyFont="1" applyBorder="1" applyAlignment="1">
      <alignment horizontal="center"/>
    </xf>
    <xf numFmtId="1" fontId="4" fillId="0" borderId="34" xfId="0" applyNumberFormat="1" applyFont="1" applyBorder="1" applyAlignment="1">
      <alignment horizontal="center"/>
    </xf>
    <xf numFmtId="1" fontId="4" fillId="0" borderId="36" xfId="0" applyNumberFormat="1" applyFont="1" applyBorder="1" applyAlignment="1">
      <alignment horizontal="center"/>
    </xf>
    <xf numFmtId="167" fontId="4" fillId="0" borderId="34" xfId="0" applyNumberFormat="1" applyFont="1" applyBorder="1" applyAlignment="1">
      <alignment horizontal="center"/>
    </xf>
    <xf numFmtId="167" fontId="4" fillId="0" borderId="36" xfId="0" applyNumberFormat="1" applyFont="1" applyBorder="1" applyAlignment="1">
      <alignment horizontal="center"/>
    </xf>
    <xf numFmtId="165" fontId="4" fillId="0" borderId="34" xfId="0" applyNumberFormat="1" applyFont="1" applyBorder="1" applyAlignment="1">
      <alignment horizontal="center"/>
    </xf>
    <xf numFmtId="165" fontId="4" fillId="0" borderId="36" xfId="0" applyNumberFormat="1" applyFont="1" applyBorder="1" applyAlignment="1">
      <alignment horizontal="center"/>
    </xf>
    <xf numFmtId="0" fontId="13" fillId="0" borderId="28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2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2" fillId="11" borderId="2" xfId="0" applyFont="1" applyFill="1" applyBorder="1" applyAlignment="1">
      <alignment horizontal="center" vertical="center"/>
    </xf>
    <xf numFmtId="0" fontId="32" fillId="11" borderId="31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/>
    </xf>
    <xf numFmtId="0" fontId="13" fillId="12" borderId="4" xfId="0" applyFont="1" applyFill="1" applyBorder="1" applyAlignment="1">
      <alignment horizontal="center" vertical="center"/>
    </xf>
    <xf numFmtId="0" fontId="13" fillId="12" borderId="33" xfId="0" applyFont="1" applyFill="1" applyBorder="1" applyAlignment="1">
      <alignment horizontal="center" vertical="center"/>
    </xf>
    <xf numFmtId="2" fontId="0" fillId="9" borderId="10" xfId="0" applyNumberFormat="1" applyFill="1" applyBorder="1" applyAlignment="1">
      <alignment horizontal="center"/>
    </xf>
    <xf numFmtId="2" fontId="0" fillId="9" borderId="0" xfId="0" applyNumberFormat="1" applyFill="1" applyAlignment="1">
      <alignment horizontal="center"/>
    </xf>
    <xf numFmtId="0" fontId="4" fillId="10" borderId="27" xfId="0" applyFont="1" applyFill="1" applyBorder="1" applyAlignment="1">
      <alignment horizontal="center"/>
    </xf>
    <xf numFmtId="0" fontId="1" fillId="12" borderId="12" xfId="0" applyFont="1" applyFill="1" applyBorder="1" applyAlignment="1">
      <alignment horizontal="center" vertical="center" wrapText="1"/>
    </xf>
    <xf numFmtId="166" fontId="1" fillId="12" borderId="12" xfId="0" applyNumberFormat="1" applyFont="1" applyFill="1" applyBorder="1" applyAlignment="1">
      <alignment horizontal="center" vertical="center" wrapText="1"/>
    </xf>
    <xf numFmtId="0" fontId="49" fillId="24" borderId="2" xfId="0" applyFont="1" applyFill="1" applyBorder="1" applyAlignment="1">
      <alignment horizontal="center" vertical="center"/>
    </xf>
    <xf numFmtId="0" fontId="49" fillId="24" borderId="1" xfId="0" applyFont="1" applyFill="1" applyBorder="1" applyAlignment="1">
      <alignment horizontal="center" vertical="center"/>
    </xf>
    <xf numFmtId="0" fontId="49" fillId="24" borderId="4" xfId="0" applyFont="1" applyFill="1" applyBorder="1" applyAlignment="1">
      <alignment horizontal="center" vertical="center"/>
    </xf>
    <xf numFmtId="0" fontId="49" fillId="24" borderId="34" xfId="0" applyFont="1" applyFill="1" applyBorder="1" applyAlignment="1">
      <alignment horizontal="center" vertical="center"/>
    </xf>
    <xf numFmtId="0" fontId="49" fillId="24" borderId="36" xfId="0" applyFont="1" applyFill="1" applyBorder="1" applyAlignment="1">
      <alignment horizontal="center" vertical="center"/>
    </xf>
    <xf numFmtId="0" fontId="49" fillId="24" borderId="31" xfId="0" applyFont="1" applyFill="1" applyBorder="1" applyAlignment="1">
      <alignment horizontal="center" vertical="center"/>
    </xf>
    <xf numFmtId="0" fontId="43" fillId="0" borderId="34" xfId="0" applyFont="1" applyBorder="1" applyAlignment="1">
      <alignment horizontal="left" vertical="center"/>
    </xf>
    <xf numFmtId="0" fontId="43" fillId="0" borderId="36" xfId="0" applyFont="1" applyBorder="1" applyAlignment="1">
      <alignment horizontal="left" vertical="center"/>
    </xf>
    <xf numFmtId="0" fontId="4" fillId="0" borderId="8" xfId="0" applyFont="1" applyBorder="1" applyAlignment="1">
      <alignment horizontal="left"/>
    </xf>
    <xf numFmtId="0" fontId="43" fillId="0" borderId="12" xfId="0" applyFont="1" applyBorder="1" applyAlignment="1">
      <alignment horizontal="left"/>
    </xf>
    <xf numFmtId="164" fontId="0" fillId="12" borderId="12" xfId="0" applyNumberFormat="1" applyFill="1" applyBorder="1" applyAlignment="1">
      <alignment horizontal="left" vertical="center"/>
    </xf>
    <xf numFmtId="0" fontId="1" fillId="0" borderId="37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left" vertical="center" wrapText="1"/>
    </xf>
    <xf numFmtId="0" fontId="1" fillId="0" borderId="55" xfId="0" applyFont="1" applyBorder="1" applyAlignment="1">
      <alignment horizontal="left" vertical="center" wrapText="1"/>
    </xf>
    <xf numFmtId="0" fontId="43" fillId="0" borderId="2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4" xfId="0" applyFont="1" applyBorder="1" applyAlignment="1">
      <alignment horizontal="center" vertical="center"/>
    </xf>
    <xf numFmtId="0" fontId="43" fillId="0" borderId="36" xfId="0" applyFont="1" applyBorder="1" applyAlignment="1">
      <alignment horizontal="center" vertical="center"/>
    </xf>
    <xf numFmtId="0" fontId="43" fillId="0" borderId="35" xfId="0" applyFont="1" applyBorder="1" applyAlignment="1">
      <alignment horizontal="left"/>
    </xf>
    <xf numFmtId="164" fontId="1" fillId="10" borderId="12" xfId="0" applyNumberFormat="1" applyFont="1" applyFill="1" applyBorder="1" applyAlignment="1">
      <alignment horizontal="left"/>
    </xf>
    <xf numFmtId="0" fontId="45" fillId="10" borderId="7" xfId="0" applyFont="1" applyFill="1" applyBorder="1" applyAlignment="1">
      <alignment horizontal="center" vertical="center" wrapText="1"/>
    </xf>
    <xf numFmtId="0" fontId="45" fillId="10" borderId="9" xfId="0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center" vertical="center" textRotation="90" wrapText="1"/>
    </xf>
    <xf numFmtId="0" fontId="45" fillId="10" borderId="10" xfId="0" applyFont="1" applyFill="1" applyBorder="1" applyAlignment="1">
      <alignment horizontal="center" vertical="center" wrapText="1"/>
    </xf>
    <xf numFmtId="0" fontId="45" fillId="10" borderId="11" xfId="0" applyFont="1" applyFill="1" applyBorder="1" applyAlignment="1">
      <alignment horizontal="center" vertical="center" wrapText="1"/>
    </xf>
    <xf numFmtId="0" fontId="43" fillId="10" borderId="10" xfId="0" applyFont="1" applyFill="1" applyBorder="1" applyAlignment="1">
      <alignment horizontal="center" vertical="center" wrapText="1"/>
    </xf>
    <xf numFmtId="0" fontId="43" fillId="10" borderId="11" xfId="0" applyFont="1" applyFill="1" applyBorder="1" applyAlignment="1">
      <alignment horizontal="center" vertical="center" wrapText="1"/>
    </xf>
    <xf numFmtId="0" fontId="45" fillId="10" borderId="10" xfId="0" applyFont="1" applyFill="1" applyBorder="1" applyAlignment="1">
      <alignment horizontal="center" vertical="center"/>
    </xf>
    <xf numFmtId="0" fontId="45" fillId="10" borderId="11" xfId="0" applyFont="1" applyFill="1" applyBorder="1" applyAlignment="1">
      <alignment horizontal="center" vertical="center"/>
    </xf>
    <xf numFmtId="0" fontId="45" fillId="10" borderId="37" xfId="0" applyFont="1" applyFill="1" applyBorder="1" applyAlignment="1">
      <alignment horizontal="center" vertical="center" wrapText="1"/>
    </xf>
    <xf numFmtId="0" fontId="45" fillId="10" borderId="39" xfId="0" applyFont="1" applyFill="1" applyBorder="1" applyAlignment="1">
      <alignment horizontal="center" vertical="center" wrapText="1"/>
    </xf>
    <xf numFmtId="0" fontId="12" fillId="4" borderId="34" xfId="3" applyFont="1" applyFill="1" applyBorder="1" applyAlignment="1">
      <alignment horizontal="center" vertical="center"/>
    </xf>
    <xf numFmtId="0" fontId="12" fillId="4" borderId="35" xfId="3" applyFont="1" applyFill="1" applyBorder="1" applyAlignment="1">
      <alignment horizontal="center" vertical="center"/>
    </xf>
    <xf numFmtId="0" fontId="12" fillId="4" borderId="36" xfId="3" applyFont="1" applyFill="1" applyBorder="1" applyAlignment="1">
      <alignment horizontal="center" vertical="center"/>
    </xf>
    <xf numFmtId="164" fontId="18" fillId="0" borderId="64" xfId="2" applyNumberFormat="1" applyFont="1" applyBorder="1" applyAlignment="1">
      <alignment horizontal="center"/>
    </xf>
    <xf numFmtId="164" fontId="18" fillId="0" borderId="65" xfId="2" applyNumberFormat="1" applyFont="1" applyBorder="1" applyAlignment="1">
      <alignment horizontal="center"/>
    </xf>
    <xf numFmtId="164" fontId="18" fillId="0" borderId="66" xfId="2" applyNumberFormat="1" applyFont="1" applyBorder="1" applyAlignment="1">
      <alignment horizontal="center"/>
    </xf>
    <xf numFmtId="0" fontId="20" fillId="0" borderId="67" xfId="2" applyFont="1" applyBorder="1"/>
    <xf numFmtId="0" fontId="20" fillId="0" borderId="65" xfId="2" applyFont="1" applyBorder="1"/>
    <xf numFmtId="0" fontId="20" fillId="0" borderId="68" xfId="2" applyFont="1" applyBorder="1"/>
    <xf numFmtId="164" fontId="21" fillId="0" borderId="61" xfId="2" applyNumberFormat="1" applyFont="1" applyBorder="1" applyAlignment="1" applyProtection="1">
      <alignment horizontal="center"/>
      <protection locked="0"/>
    </xf>
    <xf numFmtId="164" fontId="21" fillId="0" borderId="58" xfId="2" applyNumberFormat="1" applyFont="1" applyBorder="1" applyAlignment="1" applyProtection="1">
      <alignment horizontal="center"/>
      <protection locked="0"/>
    </xf>
    <xf numFmtId="164" fontId="21" fillId="0" borderId="60" xfId="2" applyNumberFormat="1" applyFont="1" applyBorder="1" applyAlignment="1" applyProtection="1">
      <alignment horizontal="center"/>
      <protection locked="0"/>
    </xf>
    <xf numFmtId="0" fontId="22" fillId="0" borderId="61" xfId="2" applyFont="1" applyBorder="1"/>
    <xf numFmtId="0" fontId="22" fillId="0" borderId="58" xfId="2" applyFont="1" applyBorder="1"/>
    <xf numFmtId="0" fontId="22" fillId="0" borderId="60" xfId="2" applyFont="1" applyBorder="1"/>
    <xf numFmtId="164" fontId="21" fillId="0" borderId="34" xfId="2" applyNumberFormat="1" applyFont="1" applyBorder="1" applyAlignment="1">
      <alignment horizontal="center"/>
    </xf>
    <xf numFmtId="164" fontId="21" fillId="0" borderId="35" xfId="2" applyNumberFormat="1" applyFont="1" applyBorder="1" applyAlignment="1">
      <alignment horizontal="center"/>
    </xf>
    <xf numFmtId="164" fontId="21" fillId="0" borderId="36" xfId="2" applyNumberFormat="1" applyFont="1" applyBorder="1" applyAlignment="1">
      <alignment horizontal="center"/>
    </xf>
    <xf numFmtId="0" fontId="22" fillId="0" borderId="34" xfId="2" applyFont="1" applyBorder="1"/>
    <xf numFmtId="0" fontId="22" fillId="0" borderId="35" xfId="2" applyFont="1" applyBorder="1"/>
    <xf numFmtId="0" fontId="22" fillId="0" borderId="36" xfId="2" applyFont="1" applyBorder="1"/>
    <xf numFmtId="164" fontId="21" fillId="0" borderId="57" xfId="2" applyNumberFormat="1" applyFont="1" applyBorder="1" applyAlignment="1">
      <alignment horizontal="center"/>
    </xf>
    <xf numFmtId="164" fontId="21" fillId="0" borderId="58" xfId="2" applyNumberFormat="1" applyFont="1" applyBorder="1" applyAlignment="1">
      <alignment horizontal="center"/>
    </xf>
    <xf numFmtId="164" fontId="21" fillId="0" borderId="60" xfId="2" applyNumberFormat="1" applyFont="1" applyBorder="1" applyAlignment="1">
      <alignment horizontal="center"/>
    </xf>
    <xf numFmtId="0" fontId="14" fillId="0" borderId="61" xfId="2" applyFont="1" applyBorder="1"/>
    <xf numFmtId="0" fontId="14" fillId="0" borderId="58" xfId="2" applyFont="1" applyBorder="1"/>
    <xf numFmtId="0" fontId="14" fillId="0" borderId="59" xfId="2" applyFont="1" applyBorder="1"/>
    <xf numFmtId="164" fontId="21" fillId="0" borderId="62" xfId="2" applyNumberFormat="1" applyFont="1" applyBorder="1" applyAlignment="1">
      <alignment horizontal="center"/>
    </xf>
    <xf numFmtId="0" fontId="14" fillId="0" borderId="34" xfId="2" applyFont="1" applyBorder="1"/>
    <xf numFmtId="0" fontId="14" fillId="0" borderId="35" xfId="2" applyFont="1" applyBorder="1"/>
    <xf numFmtId="0" fontId="14" fillId="0" borderId="63" xfId="2" applyFont="1" applyBorder="1"/>
    <xf numFmtId="0" fontId="32" fillId="11" borderId="48" xfId="0" applyFont="1" applyFill="1" applyBorder="1" applyAlignment="1">
      <alignment horizontal="center" vertical="center" wrapText="1"/>
    </xf>
    <xf numFmtId="0" fontId="32" fillId="11" borderId="49" xfId="0" applyFont="1" applyFill="1" applyBorder="1" applyAlignment="1">
      <alignment horizontal="center" vertical="center" wrapText="1"/>
    </xf>
    <xf numFmtId="0" fontId="32" fillId="11" borderId="44" xfId="0" applyFont="1" applyFill="1" applyBorder="1" applyAlignment="1">
      <alignment horizontal="center" vertical="center" wrapText="1"/>
    </xf>
    <xf numFmtId="164" fontId="1" fillId="10" borderId="7" xfId="0" applyNumberFormat="1" applyFont="1" applyFill="1" applyBorder="1" applyAlignment="1">
      <alignment horizontal="left"/>
    </xf>
    <xf numFmtId="164" fontId="1" fillId="10" borderId="8" xfId="0" applyNumberFormat="1" applyFont="1" applyFill="1" applyBorder="1" applyAlignment="1">
      <alignment horizontal="left"/>
    </xf>
    <xf numFmtId="164" fontId="1" fillId="10" borderId="56" xfId="0" applyNumberFormat="1" applyFont="1" applyFill="1" applyBorder="1" applyAlignment="1">
      <alignment horizontal="left"/>
    </xf>
    <xf numFmtId="164" fontId="1" fillId="10" borderId="37" xfId="0" applyNumberFormat="1" applyFont="1" applyFill="1" applyBorder="1" applyAlignment="1">
      <alignment horizontal="left"/>
    </xf>
    <xf numFmtId="164" fontId="1" fillId="10" borderId="38" xfId="0" applyNumberFormat="1" applyFont="1" applyFill="1" applyBorder="1" applyAlignment="1">
      <alignment horizontal="left"/>
    </xf>
    <xf numFmtId="164" fontId="1" fillId="10" borderId="55" xfId="0" applyNumberFormat="1" applyFont="1" applyFill="1" applyBorder="1" applyAlignment="1">
      <alignment horizontal="left"/>
    </xf>
    <xf numFmtId="0" fontId="32" fillId="14" borderId="37" xfId="0" applyFont="1" applyFill="1" applyBorder="1" applyAlignment="1">
      <alignment horizontal="center" vertical="center" wrapText="1"/>
    </xf>
    <xf numFmtId="0" fontId="32" fillId="14" borderId="38" xfId="0" applyFont="1" applyFill="1" applyBorder="1" applyAlignment="1">
      <alignment horizontal="center" vertical="center" wrapText="1"/>
    </xf>
    <xf numFmtId="0" fontId="32" fillId="14" borderId="55" xfId="0" applyFont="1" applyFill="1" applyBorder="1" applyAlignment="1">
      <alignment horizontal="center" vertical="center" wrapText="1"/>
    </xf>
    <xf numFmtId="0" fontId="43" fillId="9" borderId="12" xfId="0" applyFont="1" applyFill="1" applyBorder="1" applyAlignment="1">
      <alignment horizontal="left"/>
    </xf>
    <xf numFmtId="0" fontId="43" fillId="9" borderId="34" xfId="0" applyFont="1" applyFill="1" applyBorder="1" applyAlignment="1">
      <alignment horizontal="left"/>
    </xf>
    <xf numFmtId="0" fontId="43" fillId="9" borderId="36" xfId="0" applyFont="1" applyFill="1" applyBorder="1" applyAlignment="1">
      <alignment horizontal="left"/>
    </xf>
    <xf numFmtId="0" fontId="43" fillId="0" borderId="34" xfId="0" applyFont="1" applyBorder="1" applyAlignment="1">
      <alignment horizontal="center"/>
    </xf>
    <xf numFmtId="0" fontId="43" fillId="0" borderId="36" xfId="0" applyFont="1" applyBorder="1" applyAlignment="1">
      <alignment horizontal="center"/>
    </xf>
    <xf numFmtId="0" fontId="43" fillId="10" borderId="6" xfId="0" applyFont="1" applyFill="1" applyBorder="1" applyAlignment="1">
      <alignment horizontal="center" wrapText="1"/>
    </xf>
    <xf numFmtId="0" fontId="43" fillId="10" borderId="6" xfId="0" applyFont="1" applyFill="1" applyBorder="1" applyAlignment="1">
      <alignment horizontal="center"/>
    </xf>
    <xf numFmtId="0" fontId="43" fillId="10" borderId="0" xfId="0" applyFont="1" applyFill="1" applyAlignment="1">
      <alignment horizontal="center"/>
    </xf>
    <xf numFmtId="164" fontId="32" fillId="14" borderId="54" xfId="0" applyNumberFormat="1" applyFont="1" applyFill="1" applyBorder="1" applyAlignment="1">
      <alignment horizontal="center"/>
    </xf>
    <xf numFmtId="164" fontId="32" fillId="14" borderId="38" xfId="0" applyNumberFormat="1" applyFont="1" applyFill="1" applyBorder="1" applyAlignment="1">
      <alignment horizontal="center"/>
    </xf>
    <xf numFmtId="164" fontId="32" fillId="14" borderId="55" xfId="0" applyNumberFormat="1" applyFont="1" applyFill="1" applyBorder="1" applyAlignment="1">
      <alignment horizontal="center"/>
    </xf>
    <xf numFmtId="0" fontId="4" fillId="0" borderId="27" xfId="0" applyFont="1" applyBorder="1" applyAlignment="1">
      <alignment horizontal="left"/>
    </xf>
    <xf numFmtId="0" fontId="4" fillId="9" borderId="3" xfId="0" applyFont="1" applyFill="1" applyBorder="1" applyAlignment="1">
      <alignment horizontal="left"/>
    </xf>
    <xf numFmtId="0" fontId="32" fillId="11" borderId="7" xfId="0" applyFont="1" applyFill="1" applyBorder="1" applyAlignment="1">
      <alignment horizontal="center" vertical="center"/>
    </xf>
    <xf numFmtId="0" fontId="32" fillId="11" borderId="9" xfId="0" applyFont="1" applyFill="1" applyBorder="1" applyAlignment="1">
      <alignment horizontal="center" vertical="center"/>
    </xf>
    <xf numFmtId="0" fontId="4" fillId="9" borderId="27" xfId="0" applyFont="1" applyFill="1" applyBorder="1" applyAlignment="1">
      <alignment horizontal="left"/>
    </xf>
    <xf numFmtId="0" fontId="1" fillId="0" borderId="34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13" fillId="0" borderId="3" xfId="0" applyFont="1" applyBorder="1" applyAlignment="1">
      <alignment horizontal="center" wrapText="1"/>
    </xf>
    <xf numFmtId="0" fontId="13" fillId="0" borderId="27" xfId="0" applyFont="1" applyBorder="1" applyAlignment="1">
      <alignment horizontal="center"/>
    </xf>
    <xf numFmtId="0" fontId="4" fillId="10" borderId="108" xfId="0" applyFont="1" applyFill="1" applyBorder="1" applyAlignment="1">
      <alignment horizontal="center" vertical="center" wrapText="1"/>
    </xf>
    <xf numFmtId="0" fontId="4" fillId="10" borderId="50" xfId="0" applyFont="1" applyFill="1" applyBorder="1" applyAlignment="1">
      <alignment horizontal="center" vertical="center" wrapText="1"/>
    </xf>
    <xf numFmtId="0" fontId="4" fillId="10" borderId="108" xfId="0" applyFont="1" applyFill="1" applyBorder="1" applyAlignment="1">
      <alignment horizontal="center" vertical="center" textRotation="90" wrapText="1"/>
    </xf>
    <xf numFmtId="0" fontId="4" fillId="10" borderId="50" xfId="0" applyFont="1" applyFill="1" applyBorder="1" applyAlignment="1">
      <alignment horizontal="center" vertical="center" textRotation="90" wrapText="1"/>
    </xf>
    <xf numFmtId="164" fontId="1" fillId="10" borderId="108" xfId="0" applyNumberFormat="1" applyFont="1" applyFill="1" applyBorder="1" applyAlignment="1">
      <alignment horizontal="left"/>
    </xf>
    <xf numFmtId="166" fontId="0" fillId="10" borderId="48" xfId="0" applyNumberFormat="1" applyFill="1" applyBorder="1" applyAlignment="1">
      <alignment horizontal="center"/>
    </xf>
    <xf numFmtId="166" fontId="0" fillId="10" borderId="49" xfId="0" applyNumberFormat="1" applyFill="1" applyBorder="1" applyAlignment="1">
      <alignment horizontal="center"/>
    </xf>
    <xf numFmtId="166" fontId="0" fillId="10" borderId="44" xfId="0" applyNumberFormat="1" applyFill="1" applyBorder="1" applyAlignment="1">
      <alignment horizontal="center"/>
    </xf>
    <xf numFmtId="164" fontId="32" fillId="11" borderId="12" xfId="0" applyNumberFormat="1" applyFont="1" applyFill="1" applyBorder="1" applyAlignment="1">
      <alignment horizontal="left"/>
    </xf>
    <xf numFmtId="164" fontId="1" fillId="10" borderId="50" xfId="0" applyNumberFormat="1" applyFont="1" applyFill="1" applyBorder="1" applyAlignment="1">
      <alignment horizontal="left"/>
    </xf>
  </cellXfs>
  <cellStyles count="5">
    <cellStyle name="Normal_2-9 Tubing spaceout" xfId="2" xr:uid="{ED7ED72B-733B-4F33-955E-752F71C0613F}"/>
    <cellStyle name="Normal_CSG TALLEY 8-1" xfId="4" xr:uid="{E5C11154-6C52-463B-A170-79D66E58183B}"/>
    <cellStyle name="Normal_Spaceout calc_drw 7-4" xfId="3" xr:uid="{90E99761-CB28-419F-9E15-7C7E640420BD}"/>
    <cellStyle name="Обычный" xfId="0" builtinId="0"/>
    <cellStyle name="Финансовый" xfId="1" builtinId="3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309033</xdr:colOff>
      <xdr:row>5</xdr:row>
      <xdr:rowOff>206390</xdr:rowOff>
    </xdr:from>
    <xdr:to>
      <xdr:col>2</xdr:col>
      <xdr:colOff>301413</xdr:colOff>
      <xdr:row>11</xdr:row>
      <xdr:rowOff>6576</xdr:rowOff>
    </xdr:to>
    <xdr:pic>
      <xdr:nvPicPr>
        <xdr:cNvPr id="6" name="Picture 23">
          <a:extLst>
            <a:ext uri="{FF2B5EF4-FFF2-40B4-BE49-F238E27FC236}">
              <a16:creationId xmlns:a16="http://schemas.microsoft.com/office/drawing/2014/main" id="{36531BAD-963D-4828-9A1B-124FAEFA5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633" y="1078457"/>
          <a:ext cx="805180" cy="8669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194733</xdr:colOff>
      <xdr:row>1</xdr:row>
      <xdr:rowOff>59070</xdr:rowOff>
    </xdr:from>
    <xdr:to>
      <xdr:col>2</xdr:col>
      <xdr:colOff>142240</xdr:colOff>
      <xdr:row>4</xdr:row>
      <xdr:rowOff>156437</xdr:rowOff>
    </xdr:to>
    <xdr:pic>
      <xdr:nvPicPr>
        <xdr:cNvPr id="7" name="Picture 6" descr="Greenvile, TX Jobs">
          <a:extLst>
            <a:ext uri="{FF2B5EF4-FFF2-40B4-BE49-F238E27FC236}">
              <a16:creationId xmlns:a16="http://schemas.microsoft.com/office/drawing/2014/main" id="{A51CC43A-63B0-4198-95EB-BB5D6E4BB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11" b="30083"/>
        <a:stretch>
          <a:fillRect/>
        </a:stretch>
      </xdr:blipFill>
      <xdr:spPr bwMode="auto">
        <a:xfrm>
          <a:off x="296333" y="228403"/>
          <a:ext cx="980440" cy="5291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177802</xdr:colOff>
      <xdr:row>0</xdr:row>
      <xdr:rowOff>105720</xdr:rowOff>
    </xdr:from>
    <xdr:to>
      <xdr:col>26</xdr:col>
      <xdr:colOff>711628</xdr:colOff>
      <xdr:row>14</xdr:row>
      <xdr:rowOff>210707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4384CC-F7CA-514B-3DDA-025D49E84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90335" y="105720"/>
          <a:ext cx="6833026" cy="2560320"/>
        </a:xfrm>
        <a:prstGeom prst="rect">
          <a:avLst/>
        </a:prstGeom>
      </xdr:spPr>
    </xdr:pic>
    <xdr:clientData/>
  </xdr:twoCellAnchor>
  <xdr:twoCellAnchor editAs="oneCell">
    <xdr:from>
      <xdr:col>13</xdr:col>
      <xdr:colOff>59385</xdr:colOff>
      <xdr:row>0</xdr:row>
      <xdr:rowOff>93134</xdr:rowOff>
    </xdr:from>
    <xdr:to>
      <xdr:col>18</xdr:col>
      <xdr:colOff>126146</xdr:colOff>
      <xdr:row>15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F9E457-244C-C079-83CD-1C1E51BF82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13081"/>
        <a:stretch/>
      </xdr:blipFill>
      <xdr:spPr>
        <a:xfrm>
          <a:off x="9880718" y="93134"/>
          <a:ext cx="5857961" cy="25738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19</xdr:row>
      <xdr:rowOff>81867</xdr:rowOff>
    </xdr:from>
    <xdr:to>
      <xdr:col>18</xdr:col>
      <xdr:colOff>55384</xdr:colOff>
      <xdr:row>21</xdr:row>
      <xdr:rowOff>81704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6F09B65-61B4-BED5-71EA-9523030182BA}"/>
            </a:ext>
          </a:extLst>
        </xdr:cNvPr>
        <xdr:cNvSpPr txBox="1">
          <a:spLocks noChangeArrowheads="1"/>
        </xdr:cNvSpPr>
      </xdr:nvSpPr>
      <xdr:spPr bwMode="auto">
        <a:xfrm>
          <a:off x="3495675" y="3852497"/>
          <a:ext cx="1169654" cy="40876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9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Position Locator NoGo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ft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above PBR top</a:t>
          </a:r>
        </a:p>
      </xdr:txBody>
    </xdr:sp>
    <xdr:clientData/>
  </xdr:twoCellAnchor>
  <xdr:twoCellAnchor>
    <xdr:from>
      <xdr:col>12</xdr:col>
      <xdr:colOff>28575</xdr:colOff>
      <xdr:row>20</xdr:row>
      <xdr:rowOff>85725</xdr:rowOff>
    </xdr:from>
    <xdr:to>
      <xdr:col>15</xdr:col>
      <xdr:colOff>28575</xdr:colOff>
      <xdr:row>21</xdr:row>
      <xdr:rowOff>209550</xdr:rowOff>
    </xdr:to>
    <xdr:sp macro="" textlink="">
      <xdr:nvSpPr>
        <xdr:cNvPr id="43979" name="Line 2">
          <a:extLst>
            <a:ext uri="{FF2B5EF4-FFF2-40B4-BE49-F238E27FC236}">
              <a16:creationId xmlns:a16="http://schemas.microsoft.com/office/drawing/2014/main" id="{4FBF89C1-4048-716A-BCF5-550825984BAC}"/>
            </a:ext>
          </a:extLst>
        </xdr:cNvPr>
        <xdr:cNvSpPr>
          <a:spLocks noChangeShapeType="1"/>
        </xdr:cNvSpPr>
      </xdr:nvSpPr>
      <xdr:spPr bwMode="auto">
        <a:xfrm flipH="1">
          <a:off x="3105150" y="4076700"/>
          <a:ext cx="428625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28575</xdr:colOff>
      <xdr:row>47</xdr:row>
      <xdr:rowOff>85725</xdr:rowOff>
    </xdr:from>
    <xdr:to>
      <xdr:col>17</xdr:col>
      <xdr:colOff>361950</xdr:colOff>
      <xdr:row>47</xdr:row>
      <xdr:rowOff>85725</xdr:rowOff>
    </xdr:to>
    <xdr:sp macro="" textlink="">
      <xdr:nvSpPr>
        <xdr:cNvPr id="43980" name="Line 3">
          <a:extLst>
            <a:ext uri="{FF2B5EF4-FFF2-40B4-BE49-F238E27FC236}">
              <a16:creationId xmlns:a16="http://schemas.microsoft.com/office/drawing/2014/main" id="{DE71FE03-689F-96A1-9E79-2D2750BC9B3C}"/>
            </a:ext>
          </a:extLst>
        </xdr:cNvPr>
        <xdr:cNvSpPr>
          <a:spLocks noChangeShapeType="1"/>
        </xdr:cNvSpPr>
      </xdr:nvSpPr>
      <xdr:spPr bwMode="auto">
        <a:xfrm flipV="1">
          <a:off x="4324350" y="8905875"/>
          <a:ext cx="333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428625</xdr:colOff>
      <xdr:row>48</xdr:row>
      <xdr:rowOff>104775</xdr:rowOff>
    </xdr:from>
    <xdr:to>
      <xdr:col>17</xdr:col>
      <xdr:colOff>333375</xdr:colOff>
      <xdr:row>51</xdr:row>
      <xdr:rowOff>57150</xdr:rowOff>
    </xdr:to>
    <xdr:sp macro="" textlink="">
      <xdr:nvSpPr>
        <xdr:cNvPr id="43981" name="Line 4">
          <a:extLst>
            <a:ext uri="{FF2B5EF4-FFF2-40B4-BE49-F238E27FC236}">
              <a16:creationId xmlns:a16="http://schemas.microsoft.com/office/drawing/2014/main" id="{3C481C2F-F230-B64F-E243-980B9CBBC67A}"/>
            </a:ext>
          </a:extLst>
        </xdr:cNvPr>
        <xdr:cNvSpPr>
          <a:spLocks noChangeShapeType="1"/>
        </xdr:cNvSpPr>
      </xdr:nvSpPr>
      <xdr:spPr bwMode="auto">
        <a:xfrm flipV="1">
          <a:off x="4295775" y="9086850"/>
          <a:ext cx="333375" cy="447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457200</xdr:colOff>
      <xdr:row>51</xdr:row>
      <xdr:rowOff>95250</xdr:rowOff>
    </xdr:from>
    <xdr:to>
      <xdr:col>31</xdr:col>
      <xdr:colOff>371475</xdr:colOff>
      <xdr:row>51</xdr:row>
      <xdr:rowOff>95250</xdr:rowOff>
    </xdr:to>
    <xdr:sp macro="" textlink="">
      <xdr:nvSpPr>
        <xdr:cNvPr id="43982" name="Line 6">
          <a:extLst>
            <a:ext uri="{FF2B5EF4-FFF2-40B4-BE49-F238E27FC236}">
              <a16:creationId xmlns:a16="http://schemas.microsoft.com/office/drawing/2014/main" id="{D3893409-D9E2-3ABE-2A0C-1FFF19A78468}"/>
            </a:ext>
          </a:extLst>
        </xdr:cNvPr>
        <xdr:cNvSpPr>
          <a:spLocks noChangeShapeType="1"/>
        </xdr:cNvSpPr>
      </xdr:nvSpPr>
      <xdr:spPr bwMode="auto">
        <a:xfrm flipH="1" flipV="1">
          <a:off x="7248525" y="957262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342900</xdr:colOff>
      <xdr:row>37</xdr:row>
      <xdr:rowOff>9525</xdr:rowOff>
    </xdr:from>
    <xdr:to>
      <xdr:col>31</xdr:col>
      <xdr:colOff>342900</xdr:colOff>
      <xdr:row>51</xdr:row>
      <xdr:rowOff>95250</xdr:rowOff>
    </xdr:to>
    <xdr:sp macro="" textlink="">
      <xdr:nvSpPr>
        <xdr:cNvPr id="43983" name="Line 7">
          <a:extLst>
            <a:ext uri="{FF2B5EF4-FFF2-40B4-BE49-F238E27FC236}">
              <a16:creationId xmlns:a16="http://schemas.microsoft.com/office/drawing/2014/main" id="{51C71CB2-6468-C84B-496F-3723C4A761E9}"/>
            </a:ext>
          </a:extLst>
        </xdr:cNvPr>
        <xdr:cNvSpPr>
          <a:spLocks noChangeShapeType="1"/>
        </xdr:cNvSpPr>
      </xdr:nvSpPr>
      <xdr:spPr bwMode="auto">
        <a:xfrm>
          <a:off x="7696200" y="7458075"/>
          <a:ext cx="0" cy="2114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55562</xdr:colOff>
      <xdr:row>25</xdr:row>
      <xdr:rowOff>94029</xdr:rowOff>
    </xdr:from>
    <xdr:to>
      <xdr:col>17</xdr:col>
      <xdr:colOff>323906</xdr:colOff>
      <xdr:row>27</xdr:row>
      <xdr:rowOff>116675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2D2B9069-ADB3-AF92-C675-B6E6E0D32096}"/>
            </a:ext>
          </a:extLst>
        </xdr:cNvPr>
        <xdr:cNvSpPr txBox="1">
          <a:spLocks noChangeArrowheads="1"/>
        </xdr:cNvSpPr>
      </xdr:nvSpPr>
      <xdr:spPr bwMode="auto">
        <a:xfrm>
          <a:off x="3427412" y="5167679"/>
          <a:ext cx="1169654" cy="370742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Position EOT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ft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above Liner Packer</a:t>
          </a:r>
        </a:p>
      </xdr:txBody>
    </xdr:sp>
    <xdr:clientData/>
  </xdr:twoCellAnchor>
  <xdr:twoCellAnchor>
    <xdr:from>
      <xdr:col>10</xdr:col>
      <xdr:colOff>28575</xdr:colOff>
      <xdr:row>26</xdr:row>
      <xdr:rowOff>104775</xdr:rowOff>
    </xdr:from>
    <xdr:to>
      <xdr:col>14</xdr:col>
      <xdr:colOff>66675</xdr:colOff>
      <xdr:row>27</xdr:row>
      <xdr:rowOff>200025</xdr:rowOff>
    </xdr:to>
    <xdr:sp macro="" textlink="">
      <xdr:nvSpPr>
        <xdr:cNvPr id="43985" name="Line 2">
          <a:extLst>
            <a:ext uri="{FF2B5EF4-FFF2-40B4-BE49-F238E27FC236}">
              <a16:creationId xmlns:a16="http://schemas.microsoft.com/office/drawing/2014/main" id="{A01DF412-14ED-BB08-A21A-113BAD5AD9C1}"/>
            </a:ext>
          </a:extLst>
        </xdr:cNvPr>
        <xdr:cNvSpPr>
          <a:spLocks noChangeShapeType="1"/>
        </xdr:cNvSpPr>
      </xdr:nvSpPr>
      <xdr:spPr bwMode="auto">
        <a:xfrm flipH="1">
          <a:off x="3028950" y="5362575"/>
          <a:ext cx="438150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75568</xdr:colOff>
      <xdr:row>15</xdr:row>
      <xdr:rowOff>41269</xdr:rowOff>
    </xdr:from>
    <xdr:to>
      <xdr:col>18</xdr:col>
      <xdr:colOff>1399</xdr:colOff>
      <xdr:row>17</xdr:row>
      <xdr:rowOff>2567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0C951D26-2A10-C472-00BA-2016F1F17B01}"/>
            </a:ext>
          </a:extLst>
        </xdr:cNvPr>
        <xdr:cNvSpPr txBox="1">
          <a:spLocks noChangeArrowheads="1"/>
        </xdr:cNvSpPr>
      </xdr:nvSpPr>
      <xdr:spPr bwMode="auto">
        <a:xfrm>
          <a:off x="3451228" y="2943219"/>
          <a:ext cx="1169654" cy="40998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9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Prod Pkr Element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NOT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across any csg collar</a:t>
          </a:r>
        </a:p>
      </xdr:txBody>
    </xdr:sp>
    <xdr:clientData/>
  </xdr:twoCellAnchor>
  <xdr:twoCellAnchor>
    <xdr:from>
      <xdr:col>13</xdr:col>
      <xdr:colOff>28575</xdr:colOff>
      <xdr:row>16</xdr:row>
      <xdr:rowOff>123825</xdr:rowOff>
    </xdr:from>
    <xdr:to>
      <xdr:col>14</xdr:col>
      <xdr:colOff>104775</xdr:colOff>
      <xdr:row>17</xdr:row>
      <xdr:rowOff>0</xdr:rowOff>
    </xdr:to>
    <xdr:sp macro="" textlink="">
      <xdr:nvSpPr>
        <xdr:cNvPr id="43987" name="Line 2">
          <a:extLst>
            <a:ext uri="{FF2B5EF4-FFF2-40B4-BE49-F238E27FC236}">
              <a16:creationId xmlns:a16="http://schemas.microsoft.com/office/drawing/2014/main" id="{68DD3435-50E5-54CA-F969-76D71CDC01FF}"/>
            </a:ext>
          </a:extLst>
        </xdr:cNvPr>
        <xdr:cNvSpPr>
          <a:spLocks noChangeShapeType="1"/>
        </xdr:cNvSpPr>
      </xdr:nvSpPr>
      <xdr:spPr bwMode="auto">
        <a:xfrm flipH="1">
          <a:off x="3267075" y="3238500"/>
          <a:ext cx="238125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238125</xdr:colOff>
      <xdr:row>2</xdr:row>
      <xdr:rowOff>266700</xdr:rowOff>
    </xdr:from>
    <xdr:to>
      <xdr:col>3</xdr:col>
      <xdr:colOff>523875</xdr:colOff>
      <xdr:row>6</xdr:row>
      <xdr:rowOff>142875</xdr:rowOff>
    </xdr:to>
    <xdr:pic>
      <xdr:nvPicPr>
        <xdr:cNvPr id="43988" name="Picture 2">
          <a:extLst>
            <a:ext uri="{FF2B5EF4-FFF2-40B4-BE49-F238E27FC236}">
              <a16:creationId xmlns:a16="http://schemas.microsoft.com/office/drawing/2014/main" id="{5E7C9C54-44C5-1BC6-7D2E-F2470F06A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35" t="33461" r="19444" b="30046"/>
        <a:stretch>
          <a:fillRect/>
        </a:stretch>
      </xdr:blipFill>
      <xdr:spPr bwMode="auto">
        <a:xfrm>
          <a:off x="962025" y="514350"/>
          <a:ext cx="8572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43578</xdr:colOff>
      <xdr:row>7</xdr:row>
      <xdr:rowOff>102467</xdr:rowOff>
    </xdr:from>
    <xdr:to>
      <xdr:col>20</xdr:col>
      <xdr:colOff>217891</xdr:colOff>
      <xdr:row>20</xdr:row>
      <xdr:rowOff>94288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7FAFE1-7F97-4073-BA07-0DDD9176C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70128" y="1359767"/>
          <a:ext cx="6657663" cy="2321116"/>
        </a:xfrm>
        <a:prstGeom prst="rect">
          <a:avLst/>
        </a:prstGeom>
      </xdr:spPr>
    </xdr:pic>
    <xdr:clientData/>
  </xdr:twoCellAnchor>
  <xdr:twoCellAnchor editAs="oneCell">
    <xdr:from>
      <xdr:col>20</xdr:col>
      <xdr:colOff>541439</xdr:colOff>
      <xdr:row>6</xdr:row>
      <xdr:rowOff>74706</xdr:rowOff>
    </xdr:from>
    <xdr:to>
      <xdr:col>28</xdr:col>
      <xdr:colOff>441020</xdr:colOff>
      <xdr:row>27</xdr:row>
      <xdr:rowOff>6225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64808B-9E05-4715-8C33-B4281202A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51339" y="1173256"/>
          <a:ext cx="6300381" cy="3601819"/>
        </a:xfrm>
        <a:prstGeom prst="rect">
          <a:avLst/>
        </a:prstGeom>
      </xdr:spPr>
    </xdr:pic>
    <xdr:clientData/>
  </xdr:twoCellAnchor>
  <xdr:twoCellAnchor>
    <xdr:from>
      <xdr:col>1</xdr:col>
      <xdr:colOff>258228</xdr:colOff>
      <xdr:row>5</xdr:row>
      <xdr:rowOff>172532</xdr:rowOff>
    </xdr:from>
    <xdr:to>
      <xdr:col>2</xdr:col>
      <xdr:colOff>326808</xdr:colOff>
      <xdr:row>10</xdr:row>
      <xdr:rowOff>142052</xdr:rowOff>
    </xdr:to>
    <xdr:pic>
      <xdr:nvPicPr>
        <xdr:cNvPr id="5" name="Picture 23">
          <a:extLst>
            <a:ext uri="{FF2B5EF4-FFF2-40B4-BE49-F238E27FC236}">
              <a16:creationId xmlns:a16="http://schemas.microsoft.com/office/drawing/2014/main" id="{2B1570C0-BE95-47C2-B317-C5622BD03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828" y="1044599"/>
          <a:ext cx="805180" cy="8669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143928</xdr:colOff>
      <xdr:row>1</xdr:row>
      <xdr:rowOff>25212</xdr:rowOff>
    </xdr:from>
    <xdr:to>
      <xdr:col>3</xdr:col>
      <xdr:colOff>6768</xdr:colOff>
      <xdr:row>4</xdr:row>
      <xdr:rowOff>122579</xdr:rowOff>
    </xdr:to>
    <xdr:pic>
      <xdr:nvPicPr>
        <xdr:cNvPr id="6" name="Picture 6" descr="Greenvile, TX Jobs">
          <a:extLst>
            <a:ext uri="{FF2B5EF4-FFF2-40B4-BE49-F238E27FC236}">
              <a16:creationId xmlns:a16="http://schemas.microsoft.com/office/drawing/2014/main" id="{3FB01028-856E-419E-90EB-5077899C0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11" b="30083"/>
        <a:stretch>
          <a:fillRect/>
        </a:stretch>
      </xdr:blipFill>
      <xdr:spPr bwMode="auto">
        <a:xfrm>
          <a:off x="245528" y="194545"/>
          <a:ext cx="980440" cy="5291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BB1E-52AF-4F06-B2AD-035AA257054B}">
  <dimension ref="A1"/>
  <sheetViews>
    <sheetView workbookViewId="0"/>
  </sheetViews>
  <sheetFormatPr defaultRowHeight="12.75"/>
  <sheetData/>
  <phoneticPr fontId="8" type="noConversion"/>
  <pageMargins left="0.75" right="0.75" top="1" bottom="1" header="0.5" footer="0.5"/>
  <pageSetup orientation="portrait" r:id="rId1"/>
  <headerFooter alignWithMargins="0">
    <oddHeader>&amp;A&amp;L&amp;"Calibri"&amp;9&amp;K000000Classification: Internal&amp;1#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D166-891B-4FA8-ABC6-D8CC1DE51925}">
  <dimension ref="A1:O419"/>
  <sheetViews>
    <sheetView zoomScale="110" zoomScaleNormal="110" workbookViewId="0">
      <selection activeCell="N16" sqref="N16"/>
    </sheetView>
  </sheetViews>
  <sheetFormatPr defaultRowHeight="15.75"/>
  <cols>
    <col min="1" max="1" width="8.5703125" style="175" customWidth="1"/>
    <col min="2" max="2" width="8.5703125" style="162" customWidth="1"/>
    <col min="3" max="3" width="8.7109375" style="270"/>
    <col min="5" max="5" width="8.5703125" style="20" customWidth="1"/>
    <col min="6" max="6" width="9.28515625" style="162" customWidth="1"/>
    <col min="8" max="8" width="8.7109375" customWidth="1"/>
    <col min="9" max="9" width="9.28515625" customWidth="1"/>
    <col min="10" max="10" width="11.42578125" customWidth="1"/>
    <col min="11" max="11" width="12" customWidth="1"/>
    <col min="12" max="12" width="11.42578125" customWidth="1"/>
    <col min="13" max="13" width="20.42578125" customWidth="1"/>
    <col min="14" max="16" width="8.7109375" customWidth="1"/>
  </cols>
  <sheetData>
    <row r="1" spans="1:15">
      <c r="A1" s="176" t="s">
        <v>75</v>
      </c>
      <c r="B1" s="177"/>
      <c r="C1"/>
      <c r="E1"/>
      <c r="F1" s="241" t="s">
        <v>76</v>
      </c>
      <c r="G1" s="322"/>
      <c r="I1" s="441" t="s">
        <v>74</v>
      </c>
      <c r="J1" s="441"/>
      <c r="K1" s="313"/>
    </row>
    <row r="2" spans="1:15" ht="13.15" customHeight="1" thickBot="1">
      <c r="A2" s="298"/>
      <c r="B2" s="299"/>
      <c r="C2"/>
      <c r="E2"/>
      <c r="I2" s="242" t="s">
        <v>106</v>
      </c>
      <c r="J2" s="295" t="s">
        <v>107</v>
      </c>
      <c r="K2" s="296" t="s">
        <v>109</v>
      </c>
      <c r="L2" s="297"/>
      <c r="M2" s="243"/>
    </row>
    <row r="3" spans="1:15" ht="13.15" customHeight="1">
      <c r="A3" s="285">
        <f>A2+1</f>
        <v>1</v>
      </c>
      <c r="B3" s="286">
        <v>33.340000000000003</v>
      </c>
      <c r="C3" s="276" t="s">
        <v>140</v>
      </c>
      <c r="D3" s="281"/>
      <c r="E3" s="281"/>
      <c r="F3" s="179"/>
      <c r="G3" s="178"/>
      <c r="H3" s="190"/>
      <c r="I3" s="279" t="s">
        <v>130</v>
      </c>
      <c r="J3" s="187">
        <v>43.07</v>
      </c>
      <c r="K3" s="271">
        <f>J3-(3.783/12)</f>
        <v>42.754750000000001</v>
      </c>
      <c r="L3" s="178"/>
      <c r="M3" s="292" t="s">
        <v>103</v>
      </c>
      <c r="N3" s="238">
        <v>12.78</v>
      </c>
    </row>
    <row r="4" spans="1:15" ht="13.15" customHeight="1">
      <c r="A4" s="285">
        <f>A3+1</f>
        <v>2</v>
      </c>
      <c r="B4" s="397">
        <v>32.96</v>
      </c>
      <c r="C4"/>
      <c r="E4"/>
      <c r="F4" s="291" t="s">
        <v>141</v>
      </c>
      <c r="G4" s="290">
        <v>10.220000000000001</v>
      </c>
      <c r="I4" s="279" t="s">
        <v>131</v>
      </c>
      <c r="J4" s="291">
        <v>48.17</v>
      </c>
      <c r="K4" s="271">
        <f t="shared" ref="K4:K6" si="0">J4-(3.783/12)</f>
        <v>47.854750000000003</v>
      </c>
      <c r="L4" s="421"/>
      <c r="M4" s="293" t="s">
        <v>104</v>
      </c>
      <c r="N4" s="239">
        <v>7.5019999999999998</v>
      </c>
    </row>
    <row r="5" spans="1:15" ht="13.5" customHeight="1" thickBot="1">
      <c r="A5" s="285">
        <f>A4+1</f>
        <v>3</v>
      </c>
      <c r="B5" s="397">
        <v>33.450000000000003</v>
      </c>
      <c r="C5"/>
      <c r="E5"/>
      <c r="F5" s="291" t="s">
        <v>142</v>
      </c>
      <c r="G5" s="290">
        <v>10.220000000000001</v>
      </c>
      <c r="I5" s="314" t="s">
        <v>151</v>
      </c>
      <c r="J5" s="187">
        <v>35.4</v>
      </c>
      <c r="K5" s="315">
        <f t="shared" si="0"/>
        <v>35.08475</v>
      </c>
      <c r="L5" s="421"/>
      <c r="M5" s="294" t="s">
        <v>105</v>
      </c>
      <c r="N5" s="240">
        <v>99.5</v>
      </c>
    </row>
    <row r="6" spans="1:15" ht="13.5" customHeight="1">
      <c r="A6" s="285">
        <f t="shared" ref="A6:A69" si="1">A5+1</f>
        <v>4</v>
      </c>
      <c r="B6" s="397">
        <v>31.71</v>
      </c>
      <c r="C6"/>
      <c r="E6"/>
      <c r="F6" s="291" t="s">
        <v>143</v>
      </c>
      <c r="G6" s="290">
        <v>15.19</v>
      </c>
      <c r="H6" s="190"/>
      <c r="I6" s="314" t="s">
        <v>152</v>
      </c>
      <c r="J6" s="187">
        <v>40.96</v>
      </c>
      <c r="K6" s="315">
        <f t="shared" si="0"/>
        <v>40.644750000000002</v>
      </c>
      <c r="L6" s="421"/>
    </row>
    <row r="7" spans="1:15" ht="13.5" customHeight="1">
      <c r="A7" s="285">
        <f t="shared" si="1"/>
        <v>5</v>
      </c>
      <c r="B7" s="397">
        <v>31.74</v>
      </c>
      <c r="C7"/>
      <c r="E7"/>
      <c r="F7" s="291" t="s">
        <v>144</v>
      </c>
      <c r="G7" s="290">
        <v>15.2</v>
      </c>
      <c r="H7" s="190"/>
    </row>
    <row r="8" spans="1:15" ht="13.5" customHeight="1" thickBot="1">
      <c r="A8" s="285">
        <f t="shared" si="1"/>
        <v>6</v>
      </c>
      <c r="B8" s="397">
        <v>33</v>
      </c>
      <c r="C8"/>
      <c r="E8"/>
      <c r="F8" s="291" t="s">
        <v>145</v>
      </c>
      <c r="G8" s="290">
        <v>20.190000000000001</v>
      </c>
      <c r="H8" s="190"/>
      <c r="N8" s="430"/>
    </row>
    <row r="9" spans="1:15" ht="13.5" customHeight="1">
      <c r="A9" s="285">
        <f t="shared" si="1"/>
        <v>7</v>
      </c>
      <c r="B9" s="397">
        <v>33.33</v>
      </c>
      <c r="C9"/>
      <c r="E9"/>
      <c r="F9" s="291" t="s">
        <v>146</v>
      </c>
      <c r="G9" s="290">
        <v>20.190000000000001</v>
      </c>
      <c r="H9" s="190"/>
      <c r="I9" s="438" t="s">
        <v>80</v>
      </c>
      <c r="J9" s="439"/>
      <c r="K9" s="440"/>
      <c r="M9" s="426"/>
      <c r="N9" s="430"/>
    </row>
    <row r="10" spans="1:15" ht="13.15" customHeight="1">
      <c r="A10" s="285">
        <f t="shared" si="1"/>
        <v>8</v>
      </c>
      <c r="B10" s="397">
        <v>33.03</v>
      </c>
      <c r="C10"/>
      <c r="E10"/>
      <c r="F10" s="291" t="s">
        <v>147</v>
      </c>
      <c r="G10" s="290">
        <v>3.21</v>
      </c>
      <c r="I10" s="320" t="s">
        <v>106</v>
      </c>
      <c r="J10" s="295" t="s">
        <v>107</v>
      </c>
      <c r="K10" s="296" t="s">
        <v>108</v>
      </c>
      <c r="M10" s="427"/>
      <c r="N10" s="428"/>
    </row>
    <row r="11" spans="1:15" ht="13.15" customHeight="1">
      <c r="A11" s="285">
        <f t="shared" si="1"/>
        <v>9</v>
      </c>
      <c r="B11" s="397">
        <v>33.76</v>
      </c>
      <c r="C11"/>
      <c r="E11"/>
      <c r="F11" s="291" t="s">
        <v>148</v>
      </c>
      <c r="G11" s="290">
        <v>3.22</v>
      </c>
      <c r="I11" s="312" t="s">
        <v>132</v>
      </c>
      <c r="J11" s="299">
        <v>9.7100000000000009</v>
      </c>
      <c r="K11" s="271">
        <f>J11-(3.783/12)</f>
        <v>9.3947500000000002</v>
      </c>
      <c r="L11" s="422"/>
      <c r="M11" s="427"/>
      <c r="N11" s="428"/>
      <c r="O11" s="191"/>
    </row>
    <row r="12" spans="1:15" ht="13.15" customHeight="1">
      <c r="A12" s="285">
        <f t="shared" si="1"/>
        <v>10</v>
      </c>
      <c r="B12" s="397">
        <v>33.6</v>
      </c>
      <c r="C12"/>
      <c r="E12"/>
      <c r="F12" s="291" t="s">
        <v>149</v>
      </c>
      <c r="G12" s="290">
        <v>6.22</v>
      </c>
      <c r="I12" s="179" t="s">
        <v>133</v>
      </c>
      <c r="J12" s="299">
        <v>9.36</v>
      </c>
      <c r="K12" s="316">
        <f>J12-(3.783/12)</f>
        <v>9.0447499999999987</v>
      </c>
      <c r="M12" s="427"/>
      <c r="N12" s="428"/>
    </row>
    <row r="13" spans="1:15" ht="13.15" customHeight="1">
      <c r="A13" s="285">
        <f t="shared" si="1"/>
        <v>11</v>
      </c>
      <c r="B13" s="397">
        <v>32.21</v>
      </c>
      <c r="C13"/>
      <c r="E13"/>
      <c r="F13" s="291" t="s">
        <v>150</v>
      </c>
      <c r="G13" s="290">
        <v>6.21</v>
      </c>
      <c r="H13" s="190"/>
      <c r="I13" s="312" t="s">
        <v>134</v>
      </c>
      <c r="J13" s="299">
        <v>6.17</v>
      </c>
      <c r="K13" s="271">
        <f t="shared" ref="K13:K18" si="2">J13-(3.783/12)</f>
        <v>5.8547500000000001</v>
      </c>
      <c r="M13" s="427"/>
      <c r="N13" s="428"/>
    </row>
    <row r="14" spans="1:15" ht="13.5" customHeight="1">
      <c r="A14" s="285">
        <f t="shared" si="1"/>
        <v>12</v>
      </c>
      <c r="B14" s="397">
        <v>33.07</v>
      </c>
      <c r="C14"/>
      <c r="E14"/>
      <c r="F14" s="179"/>
      <c r="G14" s="178"/>
      <c r="I14" s="312" t="s">
        <v>167</v>
      </c>
      <c r="J14" s="299">
        <v>6.63</v>
      </c>
      <c r="K14" s="316">
        <f t="shared" si="2"/>
        <v>6.3147500000000001</v>
      </c>
      <c r="L14" s="190"/>
      <c r="M14" s="426"/>
      <c r="N14" s="429"/>
    </row>
    <row r="15" spans="1:15" ht="13.5" customHeight="1">
      <c r="A15" s="285">
        <f t="shared" si="1"/>
        <v>13</v>
      </c>
      <c r="B15" s="397">
        <v>33.130000000000003</v>
      </c>
      <c r="C15"/>
      <c r="E15"/>
      <c r="F15" s="179"/>
      <c r="G15" s="178"/>
      <c r="I15" s="312" t="s">
        <v>168</v>
      </c>
      <c r="J15" s="299">
        <v>5.47</v>
      </c>
      <c r="K15" s="271">
        <f t="shared" si="2"/>
        <v>5.1547499999999999</v>
      </c>
      <c r="L15" s="422"/>
      <c r="M15" s="426"/>
      <c r="N15" s="429"/>
    </row>
    <row r="16" spans="1:15" ht="13.5" customHeight="1">
      <c r="A16" s="285">
        <f t="shared" si="1"/>
        <v>14</v>
      </c>
      <c r="B16" s="397">
        <v>32.21</v>
      </c>
      <c r="C16"/>
      <c r="E16"/>
      <c r="F16" s="179"/>
      <c r="G16" s="178"/>
      <c r="I16" s="321" t="s">
        <v>169</v>
      </c>
      <c r="J16" s="299">
        <v>5.48</v>
      </c>
      <c r="K16" s="315">
        <f t="shared" si="2"/>
        <v>5.1647500000000006</v>
      </c>
      <c r="L16" s="190"/>
    </row>
    <row r="17" spans="1:11" ht="13.15" customHeight="1">
      <c r="A17" s="285">
        <f t="shared" si="1"/>
        <v>15</v>
      </c>
      <c r="B17" s="397">
        <v>33.43</v>
      </c>
      <c r="C17"/>
      <c r="E17"/>
      <c r="F17" s="179"/>
      <c r="G17" s="178"/>
      <c r="I17" s="312" t="s">
        <v>170</v>
      </c>
      <c r="J17" s="299">
        <v>3.5</v>
      </c>
      <c r="K17" s="316">
        <f t="shared" si="2"/>
        <v>3.1847500000000002</v>
      </c>
    </row>
    <row r="18" spans="1:11" ht="13.5" customHeight="1">
      <c r="A18" s="285">
        <f t="shared" si="1"/>
        <v>16</v>
      </c>
      <c r="B18" s="397">
        <v>33.200000000000003</v>
      </c>
      <c r="C18"/>
      <c r="E18"/>
      <c r="F18" s="179"/>
      <c r="G18" s="178"/>
      <c r="I18" s="312" t="s">
        <v>171</v>
      </c>
      <c r="J18" s="299">
        <v>3.07</v>
      </c>
      <c r="K18" s="316">
        <f t="shared" si="2"/>
        <v>2.75475</v>
      </c>
    </row>
    <row r="19" spans="1:11" ht="13.15" customHeight="1">
      <c r="A19" s="285">
        <f t="shared" si="1"/>
        <v>17</v>
      </c>
      <c r="B19" s="397">
        <v>31.86</v>
      </c>
      <c r="C19"/>
      <c r="E19"/>
      <c r="F19" s="179"/>
      <c r="G19" s="178"/>
      <c r="I19" s="317"/>
      <c r="J19" s="318"/>
      <c r="K19" s="319"/>
    </row>
    <row r="20" spans="1:11" ht="13.15" customHeight="1">
      <c r="A20" s="285">
        <f t="shared" si="1"/>
        <v>18</v>
      </c>
      <c r="B20" s="397">
        <v>33.58</v>
      </c>
      <c r="C20"/>
      <c r="E20"/>
      <c r="F20" s="179"/>
      <c r="G20" s="178"/>
      <c r="I20" s="179"/>
      <c r="J20" s="189"/>
      <c r="K20" s="316"/>
    </row>
    <row r="21" spans="1:11" ht="13.15" customHeight="1">
      <c r="A21" s="285">
        <f t="shared" si="1"/>
        <v>19</v>
      </c>
      <c r="B21" s="397">
        <v>33.200000000000003</v>
      </c>
      <c r="C21"/>
      <c r="E21"/>
      <c r="F21" s="179"/>
      <c r="G21" s="178"/>
      <c r="I21" s="179"/>
      <c r="J21" s="189"/>
      <c r="K21" s="316"/>
    </row>
    <row r="22" spans="1:11" ht="13.15" customHeight="1">
      <c r="A22" s="285">
        <f t="shared" si="1"/>
        <v>20</v>
      </c>
      <c r="B22" s="397">
        <v>32.61</v>
      </c>
      <c r="C22"/>
      <c r="E22"/>
      <c r="F22" s="20"/>
      <c r="G22" s="162"/>
      <c r="I22" s="179"/>
      <c r="J22" s="189"/>
      <c r="K22" s="316"/>
    </row>
    <row r="23" spans="1:11" ht="13.15" customHeight="1">
      <c r="A23" s="285">
        <f t="shared" si="1"/>
        <v>21</v>
      </c>
      <c r="B23" s="397">
        <v>33.950000000000003</v>
      </c>
      <c r="C23"/>
      <c r="E23"/>
      <c r="F23" s="20"/>
      <c r="G23" s="162"/>
      <c r="I23" s="179"/>
      <c r="J23" s="189"/>
      <c r="K23" s="316"/>
    </row>
    <row r="24" spans="1:11" ht="13.15" customHeight="1">
      <c r="A24" s="285">
        <f t="shared" si="1"/>
        <v>22</v>
      </c>
      <c r="B24" s="397">
        <v>33.89</v>
      </c>
      <c r="C24"/>
      <c r="E24"/>
      <c r="F24" s="20"/>
      <c r="G24" s="162"/>
    </row>
    <row r="25" spans="1:11" ht="13.15" customHeight="1">
      <c r="A25" s="285">
        <f t="shared" si="1"/>
        <v>23</v>
      </c>
      <c r="B25" s="397">
        <v>33.25</v>
      </c>
      <c r="C25"/>
      <c r="E25"/>
      <c r="F25" s="20"/>
      <c r="G25" s="162"/>
    </row>
    <row r="26" spans="1:11" ht="13.15" customHeight="1">
      <c r="A26" s="285">
        <f t="shared" si="1"/>
        <v>24</v>
      </c>
      <c r="B26" s="397">
        <v>33.53</v>
      </c>
      <c r="C26"/>
      <c r="E26"/>
      <c r="F26" s="20"/>
      <c r="G26" s="162"/>
    </row>
    <row r="27" spans="1:11" ht="13.15" customHeight="1">
      <c r="A27" s="285">
        <f t="shared" si="1"/>
        <v>25</v>
      </c>
      <c r="B27" s="397">
        <v>33.950000000000003</v>
      </c>
      <c r="C27"/>
      <c r="E27"/>
      <c r="F27" s="20"/>
      <c r="G27" s="162"/>
    </row>
    <row r="28" spans="1:11" ht="13.15" customHeight="1">
      <c r="A28" s="285">
        <f t="shared" si="1"/>
        <v>26</v>
      </c>
      <c r="B28" s="397">
        <v>32.79</v>
      </c>
      <c r="C28"/>
      <c r="E28"/>
      <c r="F28" s="20"/>
      <c r="G28" s="162"/>
    </row>
    <row r="29" spans="1:11" ht="13.15" customHeight="1">
      <c r="A29" s="285">
        <f t="shared" si="1"/>
        <v>27</v>
      </c>
      <c r="B29" s="397">
        <v>33.96</v>
      </c>
      <c r="C29"/>
      <c r="E29"/>
      <c r="F29" s="20"/>
      <c r="G29" s="162"/>
    </row>
    <row r="30" spans="1:11" ht="13.15" customHeight="1">
      <c r="A30" s="285">
        <f t="shared" si="1"/>
        <v>28</v>
      </c>
      <c r="B30" s="397">
        <v>33.380000000000003</v>
      </c>
      <c r="C30"/>
      <c r="E30"/>
      <c r="F30" s="20"/>
      <c r="G30" s="162"/>
    </row>
    <row r="31" spans="1:11" ht="13.15" customHeight="1">
      <c r="A31" s="285">
        <f t="shared" si="1"/>
        <v>29</v>
      </c>
      <c r="B31" s="397">
        <v>33.03</v>
      </c>
      <c r="C31"/>
      <c r="E31"/>
      <c r="F31" s="20"/>
      <c r="G31" s="162"/>
    </row>
    <row r="32" spans="1:11" ht="13.15" customHeight="1">
      <c r="A32" s="285">
        <f t="shared" si="1"/>
        <v>30</v>
      </c>
      <c r="B32" s="397">
        <v>33.93</v>
      </c>
      <c r="C32"/>
      <c r="E32"/>
      <c r="F32" s="20"/>
      <c r="G32" s="162"/>
    </row>
    <row r="33" spans="1:7" ht="13.15" customHeight="1">
      <c r="A33" s="285">
        <f t="shared" si="1"/>
        <v>31</v>
      </c>
      <c r="B33" s="397">
        <v>33.03</v>
      </c>
      <c r="C33"/>
      <c r="E33"/>
      <c r="F33" s="20"/>
      <c r="G33" s="162"/>
    </row>
    <row r="34" spans="1:7" ht="13.15" customHeight="1">
      <c r="A34" s="285">
        <f t="shared" si="1"/>
        <v>32</v>
      </c>
      <c r="B34" s="397">
        <v>33.61</v>
      </c>
      <c r="C34"/>
      <c r="E34"/>
      <c r="F34" s="20"/>
      <c r="G34" s="162"/>
    </row>
    <row r="35" spans="1:7" ht="13.15" customHeight="1">
      <c r="A35" s="285">
        <f t="shared" si="1"/>
        <v>33</v>
      </c>
      <c r="B35" s="397">
        <v>33.6</v>
      </c>
      <c r="C35"/>
      <c r="E35"/>
      <c r="F35" s="20"/>
      <c r="G35" s="162"/>
    </row>
    <row r="36" spans="1:7" ht="13.15" customHeight="1">
      <c r="A36" s="285">
        <f t="shared" si="1"/>
        <v>34</v>
      </c>
      <c r="B36" s="397">
        <v>33.28</v>
      </c>
      <c r="C36"/>
      <c r="E36"/>
      <c r="F36" s="20"/>
      <c r="G36" s="162"/>
    </row>
    <row r="37" spans="1:7" ht="13.15" customHeight="1">
      <c r="A37" s="285">
        <f t="shared" si="1"/>
        <v>35</v>
      </c>
      <c r="B37" s="397">
        <v>33.03</v>
      </c>
      <c r="C37"/>
      <c r="E37"/>
      <c r="F37" s="20"/>
      <c r="G37" s="162"/>
    </row>
    <row r="38" spans="1:7" ht="13.15" customHeight="1">
      <c r="A38" s="285">
        <f t="shared" si="1"/>
        <v>36</v>
      </c>
      <c r="B38" s="397">
        <v>33.51</v>
      </c>
      <c r="C38"/>
      <c r="E38"/>
      <c r="F38" s="20"/>
      <c r="G38" s="162"/>
    </row>
    <row r="39" spans="1:7" ht="13.15" customHeight="1">
      <c r="A39" s="285">
        <f t="shared" si="1"/>
        <v>37</v>
      </c>
      <c r="B39" s="397">
        <v>33.950000000000003</v>
      </c>
      <c r="C39"/>
      <c r="E39"/>
      <c r="F39" s="20"/>
      <c r="G39" s="162"/>
    </row>
    <row r="40" spans="1:7" ht="13.15" customHeight="1">
      <c r="A40" s="285">
        <f t="shared" si="1"/>
        <v>38</v>
      </c>
      <c r="B40" s="397">
        <v>33.96</v>
      </c>
      <c r="C40"/>
      <c r="E40"/>
      <c r="F40" s="20"/>
      <c r="G40" s="162"/>
    </row>
    <row r="41" spans="1:7" ht="13.15" customHeight="1">
      <c r="A41" s="285">
        <f t="shared" si="1"/>
        <v>39</v>
      </c>
      <c r="B41" s="397">
        <v>33.96</v>
      </c>
      <c r="C41"/>
      <c r="E41"/>
      <c r="F41" s="20"/>
      <c r="G41" s="162"/>
    </row>
    <row r="42" spans="1:7" ht="13.15" customHeight="1">
      <c r="A42" s="285">
        <f t="shared" si="1"/>
        <v>40</v>
      </c>
      <c r="B42" s="397">
        <v>33.96</v>
      </c>
      <c r="C42"/>
      <c r="E42"/>
      <c r="F42" s="20"/>
      <c r="G42" s="162"/>
    </row>
    <row r="43" spans="1:7" ht="13.15" customHeight="1">
      <c r="A43" s="285">
        <f t="shared" si="1"/>
        <v>41</v>
      </c>
      <c r="B43" s="397">
        <v>33.71</v>
      </c>
      <c r="C43"/>
      <c r="E43"/>
      <c r="F43" s="20"/>
      <c r="G43" s="162"/>
    </row>
    <row r="44" spans="1:7" ht="13.15" customHeight="1">
      <c r="A44" s="285">
        <f t="shared" si="1"/>
        <v>42</v>
      </c>
      <c r="B44" s="397">
        <v>33.96</v>
      </c>
      <c r="C44"/>
      <c r="E44"/>
      <c r="F44" s="20"/>
      <c r="G44" s="162"/>
    </row>
    <row r="45" spans="1:7" ht="13.15" customHeight="1">
      <c r="A45" s="285">
        <f t="shared" si="1"/>
        <v>43</v>
      </c>
      <c r="B45" s="397">
        <v>33.96</v>
      </c>
      <c r="C45"/>
      <c r="E45"/>
      <c r="F45" s="20"/>
      <c r="G45" s="162"/>
    </row>
    <row r="46" spans="1:7" ht="13.15" customHeight="1">
      <c r="A46" s="285">
        <f t="shared" si="1"/>
        <v>44</v>
      </c>
      <c r="B46" s="397">
        <v>32.369999999999997</v>
      </c>
      <c r="C46"/>
      <c r="E46"/>
      <c r="F46" s="20"/>
      <c r="G46" s="162"/>
    </row>
    <row r="47" spans="1:7" ht="13.15" customHeight="1">
      <c r="A47" s="285">
        <f t="shared" si="1"/>
        <v>45</v>
      </c>
      <c r="B47" s="397">
        <v>33.96</v>
      </c>
      <c r="C47"/>
      <c r="E47"/>
      <c r="F47" s="20"/>
      <c r="G47" s="162"/>
    </row>
    <row r="48" spans="1:7" ht="13.15" customHeight="1">
      <c r="A48" s="285">
        <f t="shared" si="1"/>
        <v>46</v>
      </c>
      <c r="B48" s="397">
        <v>33.42</v>
      </c>
      <c r="C48"/>
      <c r="E48"/>
      <c r="F48" s="20"/>
      <c r="G48" s="162"/>
    </row>
    <row r="49" spans="1:7" ht="13.15" customHeight="1">
      <c r="A49" s="285">
        <f t="shared" si="1"/>
        <v>47</v>
      </c>
      <c r="B49" s="397">
        <v>33.57</v>
      </c>
      <c r="C49"/>
      <c r="E49"/>
      <c r="F49" s="20"/>
      <c r="G49" s="162"/>
    </row>
    <row r="50" spans="1:7" ht="13.15" customHeight="1">
      <c r="A50" s="285">
        <f t="shared" si="1"/>
        <v>48</v>
      </c>
      <c r="B50" s="397">
        <v>33.96</v>
      </c>
      <c r="C50"/>
      <c r="E50"/>
      <c r="F50" s="20"/>
      <c r="G50" s="162"/>
    </row>
    <row r="51" spans="1:7" ht="13.15" customHeight="1">
      <c r="A51" s="285">
        <f t="shared" si="1"/>
        <v>49</v>
      </c>
      <c r="B51" s="397">
        <v>33.700000000000003</v>
      </c>
      <c r="C51"/>
      <c r="E51"/>
      <c r="F51" s="20"/>
      <c r="G51" s="162"/>
    </row>
    <row r="52" spans="1:7" ht="13.15" customHeight="1">
      <c r="A52" s="285">
        <f t="shared" si="1"/>
        <v>50</v>
      </c>
      <c r="B52" s="397">
        <v>33.590000000000003</v>
      </c>
      <c r="C52"/>
      <c r="E52"/>
      <c r="F52" s="20"/>
      <c r="G52" s="162"/>
    </row>
    <row r="53" spans="1:7" ht="13.15" customHeight="1">
      <c r="A53" s="285">
        <f t="shared" si="1"/>
        <v>51</v>
      </c>
      <c r="B53" s="397">
        <v>33.67</v>
      </c>
      <c r="C53"/>
      <c r="E53"/>
      <c r="F53" s="20"/>
      <c r="G53" s="162"/>
    </row>
    <row r="54" spans="1:7" ht="13.15" customHeight="1">
      <c r="A54" s="285">
        <f t="shared" si="1"/>
        <v>52</v>
      </c>
      <c r="B54" s="397">
        <v>33.590000000000003</v>
      </c>
      <c r="C54"/>
      <c r="E54"/>
      <c r="F54" s="20"/>
      <c r="G54" s="162"/>
    </row>
    <row r="55" spans="1:7" ht="13.15" customHeight="1">
      <c r="A55" s="285">
        <f t="shared" si="1"/>
        <v>53</v>
      </c>
      <c r="B55" s="397">
        <v>33.49</v>
      </c>
      <c r="C55"/>
      <c r="E55"/>
      <c r="F55" s="20"/>
      <c r="G55" s="162"/>
    </row>
    <row r="56" spans="1:7" ht="13.15" customHeight="1">
      <c r="A56" s="285">
        <f t="shared" si="1"/>
        <v>54</v>
      </c>
      <c r="B56" s="397">
        <v>33.96</v>
      </c>
      <c r="C56"/>
      <c r="E56"/>
      <c r="F56" s="20"/>
      <c r="G56" s="162"/>
    </row>
    <row r="57" spans="1:7" ht="13.15" customHeight="1">
      <c r="A57" s="285">
        <f t="shared" si="1"/>
        <v>55</v>
      </c>
      <c r="B57" s="397">
        <v>33.950000000000003</v>
      </c>
      <c r="C57"/>
      <c r="E57"/>
      <c r="F57" s="20"/>
      <c r="G57" s="162"/>
    </row>
    <row r="58" spans="1:7" ht="13.15" customHeight="1">
      <c r="A58" s="285">
        <f t="shared" si="1"/>
        <v>56</v>
      </c>
      <c r="B58" s="397">
        <v>33.83</v>
      </c>
      <c r="C58"/>
      <c r="E58"/>
      <c r="F58" s="20"/>
      <c r="G58" s="162"/>
    </row>
    <row r="59" spans="1:7" ht="13.15" customHeight="1">
      <c r="A59" s="285">
        <f t="shared" si="1"/>
        <v>57</v>
      </c>
      <c r="B59" s="397">
        <v>33.950000000000003</v>
      </c>
      <c r="C59"/>
      <c r="E59"/>
      <c r="F59" s="20"/>
      <c r="G59" s="162"/>
    </row>
    <row r="60" spans="1:7" ht="13.15" customHeight="1">
      <c r="A60" s="285">
        <f t="shared" si="1"/>
        <v>58</v>
      </c>
      <c r="B60" s="397">
        <v>33.22</v>
      </c>
      <c r="C60"/>
      <c r="E60"/>
      <c r="F60" s="20"/>
      <c r="G60" s="162"/>
    </row>
    <row r="61" spans="1:7" ht="13.15" customHeight="1">
      <c r="A61" s="285">
        <f t="shared" si="1"/>
        <v>59</v>
      </c>
      <c r="B61" s="397">
        <v>33.96</v>
      </c>
      <c r="C61"/>
      <c r="E61"/>
      <c r="F61" s="20"/>
      <c r="G61" s="162"/>
    </row>
    <row r="62" spans="1:7" ht="13.15" customHeight="1">
      <c r="A62" s="285">
        <f t="shared" si="1"/>
        <v>60</v>
      </c>
      <c r="B62" s="397">
        <v>33.96</v>
      </c>
      <c r="C62"/>
      <c r="E62"/>
      <c r="F62" s="20"/>
      <c r="G62" s="162"/>
    </row>
    <row r="63" spans="1:7" ht="13.15" customHeight="1">
      <c r="A63" s="285">
        <f t="shared" si="1"/>
        <v>61</v>
      </c>
      <c r="B63" s="397">
        <v>33.950000000000003</v>
      </c>
      <c r="C63"/>
      <c r="E63"/>
      <c r="F63" s="20"/>
      <c r="G63" s="162"/>
    </row>
    <row r="64" spans="1:7" ht="13.15" customHeight="1">
      <c r="A64" s="285">
        <f t="shared" si="1"/>
        <v>62</v>
      </c>
      <c r="B64" s="397">
        <v>32.14</v>
      </c>
      <c r="C64"/>
      <c r="E64"/>
      <c r="F64" s="20"/>
      <c r="G64" s="162"/>
    </row>
    <row r="65" spans="1:7" ht="13.15" customHeight="1">
      <c r="A65" s="285">
        <f t="shared" si="1"/>
        <v>63</v>
      </c>
      <c r="B65" s="397">
        <v>33.96</v>
      </c>
      <c r="C65"/>
      <c r="E65"/>
      <c r="F65" s="20"/>
      <c r="G65" s="162"/>
    </row>
    <row r="66" spans="1:7" ht="13.15" customHeight="1">
      <c r="A66" s="285">
        <f t="shared" si="1"/>
        <v>64</v>
      </c>
      <c r="B66" s="397">
        <v>33.950000000000003</v>
      </c>
      <c r="C66"/>
      <c r="E66"/>
      <c r="F66" s="20"/>
      <c r="G66" s="162"/>
    </row>
    <row r="67" spans="1:7" ht="13.15" customHeight="1">
      <c r="A67" s="285">
        <f t="shared" si="1"/>
        <v>65</v>
      </c>
      <c r="B67" s="397">
        <v>33.950000000000003</v>
      </c>
      <c r="C67"/>
      <c r="E67"/>
      <c r="F67" s="20"/>
      <c r="G67" s="162"/>
    </row>
    <row r="68" spans="1:7" ht="13.15" customHeight="1">
      <c r="A68" s="285">
        <f t="shared" si="1"/>
        <v>66</v>
      </c>
      <c r="B68" s="397">
        <v>33.950000000000003</v>
      </c>
      <c r="C68"/>
      <c r="E68"/>
      <c r="F68" s="20"/>
      <c r="G68" s="162"/>
    </row>
    <row r="69" spans="1:7" ht="13.15" customHeight="1">
      <c r="A69" s="285">
        <f t="shared" si="1"/>
        <v>67</v>
      </c>
      <c r="B69" s="397">
        <v>33.950000000000003</v>
      </c>
      <c r="C69"/>
      <c r="E69"/>
      <c r="F69" s="20"/>
      <c r="G69" s="162"/>
    </row>
    <row r="70" spans="1:7" ht="13.15" customHeight="1">
      <c r="A70" s="285">
        <f t="shared" ref="A70:A133" si="3">A69+1</f>
        <v>68</v>
      </c>
      <c r="B70" s="397">
        <v>32.82</v>
      </c>
      <c r="C70"/>
      <c r="E70"/>
      <c r="F70" s="20"/>
      <c r="G70" s="162"/>
    </row>
    <row r="71" spans="1:7" ht="13.15" customHeight="1">
      <c r="A71" s="285">
        <f t="shared" si="3"/>
        <v>69</v>
      </c>
      <c r="B71" s="397">
        <v>31.94</v>
      </c>
      <c r="C71"/>
      <c r="E71"/>
      <c r="F71" s="20"/>
      <c r="G71" s="162"/>
    </row>
    <row r="72" spans="1:7" ht="13.15" customHeight="1">
      <c r="A72" s="285">
        <f t="shared" si="3"/>
        <v>70</v>
      </c>
      <c r="B72" s="397">
        <v>33.950000000000003</v>
      </c>
      <c r="C72"/>
      <c r="E72"/>
      <c r="F72" s="20"/>
      <c r="G72" s="162"/>
    </row>
    <row r="73" spans="1:7" ht="13.15" customHeight="1">
      <c r="A73" s="285">
        <f t="shared" si="3"/>
        <v>71</v>
      </c>
      <c r="B73" s="397">
        <v>33.46</v>
      </c>
      <c r="C73"/>
      <c r="E73"/>
      <c r="F73" s="20"/>
      <c r="G73" s="162"/>
    </row>
    <row r="74" spans="1:7" ht="13.15" customHeight="1">
      <c r="A74" s="285">
        <f t="shared" si="3"/>
        <v>72</v>
      </c>
      <c r="B74" s="397">
        <v>33.83</v>
      </c>
      <c r="C74"/>
      <c r="E74"/>
      <c r="F74" s="20"/>
      <c r="G74" s="162"/>
    </row>
    <row r="75" spans="1:7" ht="13.15" customHeight="1">
      <c r="A75" s="285">
        <f t="shared" si="3"/>
        <v>73</v>
      </c>
      <c r="B75" s="397">
        <v>33.24</v>
      </c>
      <c r="C75"/>
      <c r="E75"/>
      <c r="F75" s="20"/>
      <c r="G75" s="162"/>
    </row>
    <row r="76" spans="1:7" ht="13.15" customHeight="1">
      <c r="A76" s="285">
        <f t="shared" si="3"/>
        <v>74</v>
      </c>
      <c r="B76" s="397">
        <v>32.729999999999997</v>
      </c>
      <c r="C76"/>
      <c r="E76"/>
      <c r="F76" s="20"/>
      <c r="G76" s="162"/>
    </row>
    <row r="77" spans="1:7" ht="13.15" customHeight="1">
      <c r="A77" s="285">
        <f t="shared" si="3"/>
        <v>75</v>
      </c>
      <c r="B77" s="397">
        <v>33.21</v>
      </c>
      <c r="C77"/>
      <c r="E77"/>
      <c r="F77" s="20"/>
      <c r="G77" s="162"/>
    </row>
    <row r="78" spans="1:7" ht="13.15" customHeight="1">
      <c r="A78" s="285">
        <f t="shared" si="3"/>
        <v>76</v>
      </c>
      <c r="B78" s="397">
        <v>33.35</v>
      </c>
      <c r="C78"/>
      <c r="E78"/>
      <c r="F78" s="20"/>
      <c r="G78" s="162"/>
    </row>
    <row r="79" spans="1:7" ht="13.15" customHeight="1">
      <c r="A79" s="285">
        <f t="shared" si="3"/>
        <v>77</v>
      </c>
      <c r="B79" s="397">
        <v>33.14</v>
      </c>
      <c r="C79"/>
      <c r="E79"/>
      <c r="F79" s="20"/>
      <c r="G79" s="162"/>
    </row>
    <row r="80" spans="1:7" ht="13.15" customHeight="1">
      <c r="A80" s="285">
        <f t="shared" si="3"/>
        <v>78</v>
      </c>
      <c r="B80" s="397">
        <v>33.29</v>
      </c>
      <c r="C80"/>
      <c r="E80"/>
      <c r="F80" s="20"/>
      <c r="G80" s="162"/>
    </row>
    <row r="81" spans="1:7" ht="13.15" customHeight="1">
      <c r="A81" s="285">
        <f t="shared" si="3"/>
        <v>79</v>
      </c>
      <c r="B81" s="397">
        <v>33.520000000000003</v>
      </c>
      <c r="C81"/>
      <c r="E81"/>
      <c r="F81" s="20"/>
      <c r="G81" s="162"/>
    </row>
    <row r="82" spans="1:7" ht="13.15" customHeight="1">
      <c r="A82" s="285">
        <f t="shared" si="3"/>
        <v>80</v>
      </c>
      <c r="B82" s="397">
        <v>33.25</v>
      </c>
      <c r="C82"/>
      <c r="E82"/>
      <c r="F82" s="20"/>
      <c r="G82" s="162"/>
    </row>
    <row r="83" spans="1:7" ht="13.15" customHeight="1">
      <c r="A83" s="285">
        <f t="shared" si="3"/>
        <v>81</v>
      </c>
      <c r="B83" s="397">
        <v>33.54</v>
      </c>
      <c r="C83"/>
      <c r="E83"/>
      <c r="F83" s="20"/>
      <c r="G83" s="162"/>
    </row>
    <row r="84" spans="1:7" ht="13.15" customHeight="1">
      <c r="A84" s="285">
        <f t="shared" si="3"/>
        <v>82</v>
      </c>
      <c r="B84" s="397">
        <v>33.369999999999997</v>
      </c>
      <c r="C84"/>
      <c r="E84"/>
      <c r="F84" s="20"/>
      <c r="G84" s="162"/>
    </row>
    <row r="85" spans="1:7" ht="13.15" customHeight="1">
      <c r="A85" s="285">
        <f t="shared" si="3"/>
        <v>83</v>
      </c>
      <c r="B85" s="397">
        <v>32.6</v>
      </c>
      <c r="C85"/>
      <c r="E85"/>
      <c r="F85" s="20"/>
      <c r="G85" s="162"/>
    </row>
    <row r="86" spans="1:7" ht="13.15" customHeight="1">
      <c r="A86" s="285">
        <f t="shared" si="3"/>
        <v>84</v>
      </c>
      <c r="B86" s="397">
        <v>33.04</v>
      </c>
      <c r="C86"/>
      <c r="E86"/>
      <c r="F86" s="20"/>
      <c r="G86" s="162"/>
    </row>
    <row r="87" spans="1:7" ht="13.15" customHeight="1">
      <c r="A87" s="285">
        <f t="shared" si="3"/>
        <v>85</v>
      </c>
      <c r="B87" s="397">
        <v>33.61</v>
      </c>
      <c r="C87"/>
      <c r="E87"/>
      <c r="F87" s="20"/>
      <c r="G87" s="162"/>
    </row>
    <row r="88" spans="1:7" ht="13.15" customHeight="1">
      <c r="A88" s="285">
        <f t="shared" si="3"/>
        <v>86</v>
      </c>
      <c r="B88" s="397">
        <v>33.89</v>
      </c>
      <c r="C88"/>
      <c r="E88"/>
      <c r="F88" s="20"/>
      <c r="G88" s="162"/>
    </row>
    <row r="89" spans="1:7" ht="13.15" customHeight="1">
      <c r="A89" s="285">
        <f t="shared" si="3"/>
        <v>87</v>
      </c>
      <c r="B89" s="397">
        <v>33.17</v>
      </c>
      <c r="C89"/>
      <c r="E89"/>
      <c r="F89" s="20"/>
      <c r="G89" s="162"/>
    </row>
    <row r="90" spans="1:7" ht="13.15" customHeight="1">
      <c r="A90" s="285">
        <f t="shared" si="3"/>
        <v>88</v>
      </c>
      <c r="B90" s="397">
        <v>33.57</v>
      </c>
      <c r="C90"/>
      <c r="E90"/>
      <c r="F90" s="20"/>
      <c r="G90" s="162"/>
    </row>
    <row r="91" spans="1:7" ht="13.15" customHeight="1">
      <c r="A91" s="285">
        <f t="shared" si="3"/>
        <v>89</v>
      </c>
      <c r="B91" s="397">
        <v>33.520000000000003</v>
      </c>
      <c r="C91"/>
      <c r="E91"/>
      <c r="F91" s="20"/>
      <c r="G91" s="162"/>
    </row>
    <row r="92" spans="1:7" ht="13.15" customHeight="1">
      <c r="A92" s="285">
        <f t="shared" si="3"/>
        <v>90</v>
      </c>
      <c r="B92" s="397">
        <v>33.520000000000003</v>
      </c>
      <c r="C92"/>
      <c r="E92"/>
      <c r="F92" s="20"/>
      <c r="G92" s="162"/>
    </row>
    <row r="93" spans="1:7" ht="13.15" customHeight="1">
      <c r="A93" s="285">
        <f t="shared" si="3"/>
        <v>91</v>
      </c>
      <c r="B93" s="397">
        <v>33.630000000000003</v>
      </c>
      <c r="C93"/>
      <c r="E93"/>
      <c r="F93" s="20"/>
      <c r="G93" s="162"/>
    </row>
    <row r="94" spans="1:7" ht="13.15" customHeight="1">
      <c r="A94" s="285">
        <f t="shared" si="3"/>
        <v>92</v>
      </c>
      <c r="B94" s="397">
        <v>33.42</v>
      </c>
      <c r="C94"/>
      <c r="E94"/>
      <c r="F94" s="20"/>
      <c r="G94" s="162"/>
    </row>
    <row r="95" spans="1:7" ht="13.15" customHeight="1">
      <c r="A95" s="285">
        <f t="shared" si="3"/>
        <v>93</v>
      </c>
      <c r="B95" s="397">
        <v>33.53</v>
      </c>
      <c r="C95"/>
      <c r="E95"/>
      <c r="F95" s="20"/>
      <c r="G95" s="162"/>
    </row>
    <row r="96" spans="1:7" ht="13.15" customHeight="1">
      <c r="A96" s="285">
        <f t="shared" si="3"/>
        <v>94</v>
      </c>
      <c r="B96" s="397">
        <v>32.659999999999997</v>
      </c>
      <c r="C96"/>
      <c r="E96"/>
      <c r="F96" s="20"/>
      <c r="G96" s="162"/>
    </row>
    <row r="97" spans="1:7" ht="13.15" customHeight="1">
      <c r="A97" s="285">
        <f t="shared" si="3"/>
        <v>95</v>
      </c>
      <c r="B97" s="397">
        <v>32.64</v>
      </c>
      <c r="C97"/>
      <c r="E97"/>
      <c r="F97" s="20"/>
      <c r="G97" s="162"/>
    </row>
    <row r="98" spans="1:7" ht="13.15" customHeight="1">
      <c r="A98" s="285">
        <f t="shared" si="3"/>
        <v>96</v>
      </c>
      <c r="B98" s="397">
        <v>32.619999999999997</v>
      </c>
      <c r="C98"/>
      <c r="E98"/>
      <c r="F98" s="20"/>
      <c r="G98" s="162"/>
    </row>
    <row r="99" spans="1:7" ht="13.15" customHeight="1">
      <c r="A99" s="285">
        <f t="shared" si="3"/>
        <v>97</v>
      </c>
      <c r="B99" s="397">
        <v>33.35</v>
      </c>
      <c r="C99"/>
      <c r="E99"/>
      <c r="F99" s="20"/>
      <c r="G99" s="162"/>
    </row>
    <row r="100" spans="1:7" ht="13.15" customHeight="1">
      <c r="A100" s="285">
        <f t="shared" si="3"/>
        <v>98</v>
      </c>
      <c r="B100" s="397">
        <v>32.82</v>
      </c>
      <c r="C100"/>
      <c r="E100"/>
      <c r="F100" s="20"/>
      <c r="G100" s="162"/>
    </row>
    <row r="101" spans="1:7" ht="13.15" customHeight="1">
      <c r="A101" s="285">
        <f t="shared" si="3"/>
        <v>99</v>
      </c>
      <c r="B101" s="397">
        <v>33.33</v>
      </c>
      <c r="C101"/>
      <c r="E101"/>
      <c r="F101" s="20"/>
      <c r="G101" s="162"/>
    </row>
    <row r="102" spans="1:7" ht="13.15" customHeight="1">
      <c r="A102" s="285">
        <f t="shared" si="3"/>
        <v>100</v>
      </c>
      <c r="B102" s="397">
        <v>33.64</v>
      </c>
      <c r="C102"/>
      <c r="E102"/>
      <c r="F102" s="20"/>
      <c r="G102" s="162"/>
    </row>
    <row r="103" spans="1:7" ht="13.15" customHeight="1">
      <c r="A103" s="285">
        <f t="shared" si="3"/>
        <v>101</v>
      </c>
      <c r="B103" s="397">
        <v>33.159999999999997</v>
      </c>
      <c r="C103"/>
      <c r="E103"/>
      <c r="F103" s="20"/>
      <c r="G103" s="162"/>
    </row>
    <row r="104" spans="1:7" ht="13.15" customHeight="1">
      <c r="A104" s="285">
        <f t="shared" si="3"/>
        <v>102</v>
      </c>
      <c r="B104" s="397">
        <v>33.89</v>
      </c>
      <c r="C104"/>
      <c r="E104"/>
      <c r="F104" s="20"/>
      <c r="G104" s="162"/>
    </row>
    <row r="105" spans="1:7" ht="13.15" customHeight="1">
      <c r="A105" s="285">
        <f t="shared" si="3"/>
        <v>103</v>
      </c>
      <c r="B105" s="397">
        <v>33.49</v>
      </c>
      <c r="C105"/>
      <c r="E105"/>
      <c r="F105" s="20"/>
      <c r="G105" s="162"/>
    </row>
    <row r="106" spans="1:7" ht="13.15" customHeight="1">
      <c r="A106" s="285">
        <f t="shared" si="3"/>
        <v>104</v>
      </c>
      <c r="B106" s="397">
        <v>33.96</v>
      </c>
      <c r="C106"/>
      <c r="E106"/>
      <c r="F106" s="20"/>
      <c r="G106" s="162"/>
    </row>
    <row r="107" spans="1:7" ht="13.15" customHeight="1">
      <c r="A107" s="285">
        <f t="shared" si="3"/>
        <v>105</v>
      </c>
      <c r="B107" s="397">
        <v>32.92</v>
      </c>
      <c r="C107"/>
      <c r="E107"/>
      <c r="F107" s="20"/>
      <c r="G107" s="162"/>
    </row>
    <row r="108" spans="1:7" ht="13.15" customHeight="1">
      <c r="A108" s="285">
        <f t="shared" si="3"/>
        <v>106</v>
      </c>
      <c r="B108" s="397">
        <v>33.96</v>
      </c>
      <c r="C108"/>
      <c r="E108"/>
      <c r="F108" s="20"/>
      <c r="G108" s="162"/>
    </row>
    <row r="109" spans="1:7" ht="13.15" customHeight="1">
      <c r="A109" s="285">
        <f t="shared" si="3"/>
        <v>107</v>
      </c>
      <c r="B109" s="397">
        <v>33.11</v>
      </c>
      <c r="C109"/>
      <c r="E109"/>
      <c r="F109" s="20"/>
      <c r="G109" s="162"/>
    </row>
    <row r="110" spans="1:7" ht="13.15" customHeight="1">
      <c r="A110" s="285">
        <f t="shared" si="3"/>
        <v>108</v>
      </c>
      <c r="B110" s="397">
        <v>33.96</v>
      </c>
      <c r="C110"/>
      <c r="E110"/>
      <c r="F110" s="20"/>
      <c r="G110" s="162"/>
    </row>
    <row r="111" spans="1:7" ht="13.15" customHeight="1">
      <c r="A111" s="285">
        <f t="shared" si="3"/>
        <v>109</v>
      </c>
      <c r="B111" s="397">
        <v>33.74</v>
      </c>
      <c r="C111"/>
      <c r="E111"/>
      <c r="F111" s="20"/>
      <c r="G111" s="162"/>
    </row>
    <row r="112" spans="1:7" ht="13.15" customHeight="1">
      <c r="A112" s="285">
        <f t="shared" si="3"/>
        <v>110</v>
      </c>
      <c r="B112" s="397">
        <v>33.01</v>
      </c>
      <c r="C112"/>
      <c r="E112"/>
      <c r="F112" s="20"/>
      <c r="G112" s="162"/>
    </row>
    <row r="113" spans="1:7" ht="13.15" customHeight="1">
      <c r="A113" s="285">
        <f t="shared" si="3"/>
        <v>111</v>
      </c>
      <c r="B113" s="397">
        <v>33.619999999999997</v>
      </c>
      <c r="C113"/>
      <c r="E113"/>
      <c r="F113" s="20"/>
      <c r="G113" s="162"/>
    </row>
    <row r="114" spans="1:7" ht="13.15" customHeight="1">
      <c r="A114" s="285">
        <f t="shared" si="3"/>
        <v>112</v>
      </c>
      <c r="B114" s="397">
        <v>32.869999999999997</v>
      </c>
      <c r="C114"/>
      <c r="E114"/>
      <c r="F114" s="20"/>
      <c r="G114" s="162"/>
    </row>
    <row r="115" spans="1:7" ht="13.15" customHeight="1">
      <c r="A115" s="285">
        <f t="shared" si="3"/>
        <v>113</v>
      </c>
      <c r="B115" s="397">
        <v>33.03</v>
      </c>
      <c r="C115"/>
      <c r="E115"/>
      <c r="F115" s="20"/>
      <c r="G115" s="162"/>
    </row>
    <row r="116" spans="1:7" ht="13.15" customHeight="1">
      <c r="A116" s="285">
        <f t="shared" si="3"/>
        <v>114</v>
      </c>
      <c r="B116" s="397">
        <v>32.799999999999997</v>
      </c>
      <c r="C116"/>
      <c r="E116"/>
      <c r="F116" s="20"/>
      <c r="G116" s="162"/>
    </row>
    <row r="117" spans="1:7" ht="13.15" customHeight="1">
      <c r="A117" s="285">
        <f t="shared" si="3"/>
        <v>115</v>
      </c>
      <c r="B117" s="397">
        <v>33.82</v>
      </c>
      <c r="C117"/>
      <c r="E117"/>
      <c r="F117" s="20"/>
      <c r="G117" s="162"/>
    </row>
    <row r="118" spans="1:7" ht="13.15" customHeight="1">
      <c r="A118" s="285">
        <f t="shared" si="3"/>
        <v>116</v>
      </c>
      <c r="B118" s="397">
        <v>31.83</v>
      </c>
      <c r="C118"/>
      <c r="E118"/>
      <c r="F118" s="20"/>
      <c r="G118" s="162"/>
    </row>
    <row r="119" spans="1:7" ht="13.15" customHeight="1">
      <c r="A119" s="285">
        <f t="shared" si="3"/>
        <v>117</v>
      </c>
      <c r="B119" s="397">
        <v>33.96</v>
      </c>
      <c r="C119"/>
      <c r="E119"/>
      <c r="F119" s="20"/>
      <c r="G119" s="162"/>
    </row>
    <row r="120" spans="1:7" ht="13.15" customHeight="1">
      <c r="A120" s="285">
        <f t="shared" si="3"/>
        <v>118</v>
      </c>
      <c r="B120" s="397">
        <v>33.409999999999997</v>
      </c>
      <c r="C120"/>
      <c r="E120"/>
      <c r="F120" s="20"/>
      <c r="G120" s="162"/>
    </row>
    <row r="121" spans="1:7" ht="13.15" customHeight="1">
      <c r="A121" s="285">
        <f t="shared" si="3"/>
        <v>119</v>
      </c>
      <c r="B121" s="397">
        <v>32.74</v>
      </c>
      <c r="C121"/>
      <c r="E121"/>
      <c r="F121" s="20"/>
      <c r="G121" s="162"/>
    </row>
    <row r="122" spans="1:7" ht="13.15" customHeight="1">
      <c r="A122" s="285">
        <f t="shared" si="3"/>
        <v>120</v>
      </c>
      <c r="B122" s="397">
        <v>33.520000000000003</v>
      </c>
      <c r="C122"/>
      <c r="E122"/>
      <c r="F122" s="20"/>
      <c r="G122" s="162"/>
    </row>
    <row r="123" spans="1:7" ht="13.15" customHeight="1">
      <c r="A123" s="285">
        <f t="shared" si="3"/>
        <v>121</v>
      </c>
      <c r="B123" s="397">
        <v>33.729999999999997</v>
      </c>
      <c r="C123"/>
      <c r="E123"/>
      <c r="F123" s="20"/>
      <c r="G123" s="162"/>
    </row>
    <row r="124" spans="1:7" ht="13.15" customHeight="1">
      <c r="A124" s="285">
        <f t="shared" si="3"/>
        <v>122</v>
      </c>
      <c r="B124" s="397">
        <v>31.93</v>
      </c>
      <c r="C124"/>
      <c r="E124"/>
      <c r="F124" s="20"/>
      <c r="G124" s="162"/>
    </row>
    <row r="125" spans="1:7" ht="13.15" customHeight="1">
      <c r="A125" s="285">
        <f t="shared" si="3"/>
        <v>123</v>
      </c>
      <c r="B125" s="397">
        <v>32.130000000000003</v>
      </c>
      <c r="C125"/>
      <c r="E125"/>
      <c r="F125" s="20"/>
      <c r="G125" s="162"/>
    </row>
    <row r="126" spans="1:7" ht="13.15" customHeight="1">
      <c r="A126" s="285">
        <f t="shared" si="3"/>
        <v>124</v>
      </c>
      <c r="B126" s="397">
        <v>33.549999999999997</v>
      </c>
      <c r="C126"/>
      <c r="E126"/>
      <c r="F126" s="20"/>
      <c r="G126" s="162"/>
    </row>
    <row r="127" spans="1:7" ht="13.15" customHeight="1">
      <c r="A127" s="285">
        <f t="shared" si="3"/>
        <v>125</v>
      </c>
      <c r="B127" s="397">
        <v>32.39</v>
      </c>
      <c r="C127"/>
      <c r="E127"/>
      <c r="F127" s="20"/>
      <c r="G127" s="162"/>
    </row>
    <row r="128" spans="1:7" ht="13.15" customHeight="1">
      <c r="A128" s="285">
        <f t="shared" si="3"/>
        <v>126</v>
      </c>
      <c r="B128" s="397">
        <v>33.96</v>
      </c>
      <c r="C128"/>
      <c r="E128"/>
      <c r="F128" s="20"/>
      <c r="G128" s="162"/>
    </row>
    <row r="129" spans="1:7" ht="13.15" customHeight="1">
      <c r="A129" s="285">
        <f t="shared" si="3"/>
        <v>127</v>
      </c>
      <c r="B129" s="397">
        <v>33.200000000000003</v>
      </c>
      <c r="C129"/>
      <c r="E129"/>
      <c r="F129" s="20"/>
      <c r="G129" s="162"/>
    </row>
    <row r="130" spans="1:7" ht="13.15" customHeight="1">
      <c r="A130" s="285">
        <f t="shared" si="3"/>
        <v>128</v>
      </c>
      <c r="B130" s="397">
        <v>33.08</v>
      </c>
      <c r="C130"/>
      <c r="E130"/>
      <c r="F130" s="20"/>
      <c r="G130" s="162"/>
    </row>
    <row r="131" spans="1:7" ht="13.15" customHeight="1">
      <c r="A131" s="285">
        <f t="shared" si="3"/>
        <v>129</v>
      </c>
      <c r="B131" s="397">
        <v>33.549999999999997</v>
      </c>
      <c r="C131"/>
      <c r="E131"/>
      <c r="F131" s="20"/>
      <c r="G131" s="162"/>
    </row>
    <row r="132" spans="1:7" ht="13.15" customHeight="1">
      <c r="A132" s="285">
        <f t="shared" si="3"/>
        <v>130</v>
      </c>
      <c r="B132" s="397">
        <v>33.1</v>
      </c>
      <c r="C132"/>
      <c r="E132"/>
      <c r="F132" s="20"/>
      <c r="G132" s="162"/>
    </row>
    <row r="133" spans="1:7" ht="13.15" customHeight="1">
      <c r="A133" s="285">
        <f t="shared" si="3"/>
        <v>131</v>
      </c>
      <c r="B133" s="397">
        <v>33.299999999999997</v>
      </c>
      <c r="C133"/>
      <c r="E133"/>
      <c r="F133" s="20"/>
      <c r="G133" s="162"/>
    </row>
    <row r="134" spans="1:7" ht="13.15" customHeight="1">
      <c r="A134" s="285">
        <f t="shared" ref="A134:A197" si="4">A133+1</f>
        <v>132</v>
      </c>
      <c r="B134" s="397">
        <v>33.81</v>
      </c>
      <c r="C134"/>
      <c r="E134"/>
      <c r="F134" s="20"/>
      <c r="G134" s="162"/>
    </row>
    <row r="135" spans="1:7" ht="13.15" customHeight="1">
      <c r="A135" s="285">
        <f t="shared" si="4"/>
        <v>133</v>
      </c>
      <c r="B135" s="397">
        <v>33.75</v>
      </c>
      <c r="C135"/>
      <c r="E135"/>
      <c r="F135" s="20"/>
      <c r="G135" s="162"/>
    </row>
    <row r="136" spans="1:7" ht="13.15" customHeight="1">
      <c r="A136" s="285">
        <f t="shared" si="4"/>
        <v>134</v>
      </c>
      <c r="B136" s="397">
        <v>33.5</v>
      </c>
      <c r="C136"/>
      <c r="E136"/>
      <c r="F136" s="20"/>
      <c r="G136" s="162"/>
    </row>
    <row r="137" spans="1:7" ht="13.15" customHeight="1">
      <c r="A137" s="285">
        <f t="shared" si="4"/>
        <v>135</v>
      </c>
      <c r="B137" s="397">
        <v>33.799999999999997</v>
      </c>
      <c r="C137"/>
      <c r="E137"/>
      <c r="F137" s="20"/>
      <c r="G137" s="162"/>
    </row>
    <row r="138" spans="1:7" ht="13.15" customHeight="1">
      <c r="A138" s="285">
        <f t="shared" si="4"/>
        <v>136</v>
      </c>
      <c r="B138" s="397">
        <v>33.24</v>
      </c>
      <c r="C138"/>
      <c r="E138"/>
      <c r="F138" s="20"/>
      <c r="G138" s="162"/>
    </row>
    <row r="139" spans="1:7" ht="13.15" customHeight="1">
      <c r="A139" s="285">
        <f t="shared" si="4"/>
        <v>137</v>
      </c>
      <c r="B139" s="397">
        <v>32.26</v>
      </c>
      <c r="C139"/>
      <c r="E139"/>
      <c r="F139" s="20"/>
      <c r="G139" s="162"/>
    </row>
    <row r="140" spans="1:7" ht="13.15" customHeight="1">
      <c r="A140" s="285">
        <f t="shared" si="4"/>
        <v>138</v>
      </c>
      <c r="B140" s="397">
        <v>33.270000000000003</v>
      </c>
      <c r="C140"/>
      <c r="E140"/>
      <c r="F140" s="20"/>
      <c r="G140" s="162"/>
    </row>
    <row r="141" spans="1:7" ht="13.15" customHeight="1">
      <c r="A141" s="285">
        <f t="shared" si="4"/>
        <v>139</v>
      </c>
      <c r="B141" s="397">
        <v>33.369999999999997</v>
      </c>
      <c r="C141"/>
      <c r="E141"/>
      <c r="F141" s="20"/>
      <c r="G141" s="162"/>
    </row>
    <row r="142" spans="1:7" ht="13.15" customHeight="1">
      <c r="A142" s="285">
        <f t="shared" si="4"/>
        <v>140</v>
      </c>
      <c r="B142" s="397">
        <v>33.409999999999997</v>
      </c>
      <c r="C142"/>
      <c r="E142"/>
      <c r="F142" s="20"/>
      <c r="G142" s="162"/>
    </row>
    <row r="143" spans="1:7" ht="13.15" customHeight="1">
      <c r="A143" s="285">
        <f t="shared" si="4"/>
        <v>141</v>
      </c>
      <c r="B143" s="397">
        <v>31.88</v>
      </c>
      <c r="C143"/>
      <c r="E143"/>
      <c r="F143" s="20"/>
      <c r="G143" s="162"/>
    </row>
    <row r="144" spans="1:7" ht="13.15" customHeight="1">
      <c r="A144" s="285">
        <f t="shared" si="4"/>
        <v>142</v>
      </c>
      <c r="B144" s="397">
        <v>33.65</v>
      </c>
      <c r="C144"/>
      <c r="E144"/>
      <c r="F144" s="20"/>
      <c r="G144" s="162"/>
    </row>
    <row r="145" spans="1:7" ht="13.15" customHeight="1">
      <c r="A145" s="285">
        <f t="shared" si="4"/>
        <v>143</v>
      </c>
      <c r="B145" s="397">
        <v>33.049999999999997</v>
      </c>
      <c r="C145"/>
      <c r="E145"/>
      <c r="F145" s="20"/>
      <c r="G145" s="162"/>
    </row>
    <row r="146" spans="1:7" ht="13.15" customHeight="1">
      <c r="A146" s="285">
        <f t="shared" si="4"/>
        <v>144</v>
      </c>
      <c r="B146" s="397">
        <v>33.33</v>
      </c>
      <c r="C146"/>
      <c r="E146"/>
      <c r="F146" s="20"/>
      <c r="G146" s="162"/>
    </row>
    <row r="147" spans="1:7" ht="13.15" customHeight="1">
      <c r="A147" s="285">
        <f t="shared" si="4"/>
        <v>145</v>
      </c>
      <c r="B147" s="397">
        <v>33.35</v>
      </c>
      <c r="C147"/>
      <c r="E147"/>
      <c r="F147" s="20"/>
      <c r="G147" s="162"/>
    </row>
    <row r="148" spans="1:7" ht="13.15" customHeight="1">
      <c r="A148" s="285">
        <f t="shared" si="4"/>
        <v>146</v>
      </c>
      <c r="B148" s="397">
        <v>33.19</v>
      </c>
      <c r="C148"/>
      <c r="E148"/>
      <c r="F148" s="20"/>
      <c r="G148" s="162"/>
    </row>
    <row r="149" spans="1:7" ht="13.15" customHeight="1">
      <c r="A149" s="285">
        <f t="shared" si="4"/>
        <v>147</v>
      </c>
      <c r="B149" s="397">
        <v>33.35</v>
      </c>
      <c r="C149"/>
      <c r="E149"/>
      <c r="F149" s="20"/>
      <c r="G149" s="162"/>
    </row>
    <row r="150" spans="1:7" ht="13.15" customHeight="1">
      <c r="A150" s="285">
        <f t="shared" si="4"/>
        <v>148</v>
      </c>
      <c r="B150" s="397">
        <v>33.1</v>
      </c>
      <c r="C150"/>
      <c r="E150"/>
      <c r="F150" s="20"/>
      <c r="G150" s="162"/>
    </row>
    <row r="151" spans="1:7" ht="13.15" customHeight="1">
      <c r="A151" s="285">
        <f t="shared" si="4"/>
        <v>149</v>
      </c>
      <c r="B151" s="397">
        <v>32.5</v>
      </c>
      <c r="C151"/>
      <c r="E151"/>
      <c r="F151" s="20"/>
      <c r="G151" s="162"/>
    </row>
    <row r="152" spans="1:7" ht="13.15" customHeight="1">
      <c r="A152" s="285">
        <f t="shared" si="4"/>
        <v>150</v>
      </c>
      <c r="B152" s="397">
        <v>33.15</v>
      </c>
      <c r="C152"/>
      <c r="E152"/>
      <c r="F152" s="20"/>
      <c r="G152" s="162"/>
    </row>
    <row r="153" spans="1:7" ht="13.15" customHeight="1">
      <c r="A153" s="285">
        <f t="shared" si="4"/>
        <v>151</v>
      </c>
      <c r="B153" s="397">
        <v>33.369999999999997</v>
      </c>
      <c r="C153"/>
      <c r="E153"/>
      <c r="F153" s="20"/>
      <c r="G153" s="162"/>
    </row>
    <row r="154" spans="1:7" ht="13.15" customHeight="1">
      <c r="A154" s="285">
        <f t="shared" si="4"/>
        <v>152</v>
      </c>
      <c r="B154" s="397">
        <v>31.57</v>
      </c>
      <c r="C154"/>
      <c r="E154"/>
      <c r="F154" s="20"/>
      <c r="G154" s="162"/>
    </row>
    <row r="155" spans="1:7" ht="13.15" customHeight="1">
      <c r="A155" s="285">
        <f t="shared" si="4"/>
        <v>153</v>
      </c>
      <c r="B155" s="397">
        <v>33.15</v>
      </c>
      <c r="C155"/>
      <c r="E155"/>
      <c r="F155" s="20"/>
      <c r="G155" s="162"/>
    </row>
    <row r="156" spans="1:7" ht="13.15" customHeight="1">
      <c r="A156" s="285">
        <f t="shared" si="4"/>
        <v>154</v>
      </c>
      <c r="B156" s="397">
        <v>33.46</v>
      </c>
      <c r="C156"/>
      <c r="E156"/>
      <c r="F156" s="20"/>
      <c r="G156" s="162"/>
    </row>
    <row r="157" spans="1:7" ht="13.15" customHeight="1">
      <c r="A157" s="285">
        <f t="shared" si="4"/>
        <v>155</v>
      </c>
      <c r="B157" s="397">
        <v>33.200000000000003</v>
      </c>
      <c r="C157"/>
      <c r="E157"/>
      <c r="F157" s="20"/>
      <c r="G157" s="162"/>
    </row>
    <row r="158" spans="1:7" ht="13.15" customHeight="1">
      <c r="A158" s="285">
        <f t="shared" si="4"/>
        <v>156</v>
      </c>
      <c r="B158" s="397">
        <v>33.340000000000003</v>
      </c>
      <c r="C158"/>
      <c r="E158"/>
      <c r="F158" s="20"/>
      <c r="G158" s="162"/>
    </row>
    <row r="159" spans="1:7" ht="13.15" customHeight="1">
      <c r="A159" s="285">
        <f t="shared" si="4"/>
        <v>157</v>
      </c>
      <c r="B159" s="398">
        <v>33.51</v>
      </c>
      <c r="C159"/>
      <c r="E159"/>
      <c r="F159" s="20"/>
      <c r="G159" s="162"/>
    </row>
    <row r="160" spans="1:7" ht="13.15" customHeight="1">
      <c r="A160" s="285">
        <f t="shared" si="4"/>
        <v>158</v>
      </c>
      <c r="B160" s="398">
        <v>33.46</v>
      </c>
      <c r="C160"/>
      <c r="E160"/>
      <c r="F160" s="20"/>
      <c r="G160" s="162"/>
    </row>
    <row r="161" spans="1:7" ht="13.15" customHeight="1">
      <c r="A161" s="285">
        <f t="shared" si="4"/>
        <v>159</v>
      </c>
      <c r="B161" s="398">
        <v>33.409999999999997</v>
      </c>
      <c r="C161"/>
      <c r="E161"/>
      <c r="F161" s="20"/>
      <c r="G161" s="162"/>
    </row>
    <row r="162" spans="1:7" ht="13.15" customHeight="1">
      <c r="A162" s="285">
        <f t="shared" si="4"/>
        <v>160</v>
      </c>
      <c r="B162" s="398">
        <v>33.49</v>
      </c>
      <c r="C162"/>
      <c r="E162"/>
      <c r="F162" s="20"/>
      <c r="G162" s="162"/>
    </row>
    <row r="163" spans="1:7" ht="13.15" customHeight="1">
      <c r="A163" s="285">
        <f t="shared" si="4"/>
        <v>161</v>
      </c>
      <c r="B163" s="398">
        <v>33.15</v>
      </c>
      <c r="C163"/>
      <c r="E163"/>
      <c r="F163" s="20"/>
      <c r="G163" s="162"/>
    </row>
    <row r="164" spans="1:7" ht="13.15" customHeight="1">
      <c r="A164" s="285">
        <f t="shared" si="4"/>
        <v>162</v>
      </c>
      <c r="B164" s="398">
        <v>33.270000000000003</v>
      </c>
      <c r="C164"/>
      <c r="E164"/>
      <c r="F164" s="20"/>
      <c r="G164" s="162"/>
    </row>
    <row r="165" spans="1:7" ht="13.15" customHeight="1">
      <c r="A165" s="285">
        <f t="shared" si="4"/>
        <v>163</v>
      </c>
      <c r="B165" s="398">
        <v>33.57</v>
      </c>
      <c r="C165"/>
      <c r="E165"/>
      <c r="F165" s="20"/>
      <c r="G165" s="162"/>
    </row>
    <row r="166" spans="1:7" ht="13.15" customHeight="1">
      <c r="A166" s="285">
        <f t="shared" si="4"/>
        <v>164</v>
      </c>
      <c r="B166" s="398">
        <v>31.34</v>
      </c>
      <c r="C166"/>
      <c r="E166"/>
      <c r="F166" s="20"/>
      <c r="G166" s="162"/>
    </row>
    <row r="167" spans="1:7" ht="13.15" customHeight="1">
      <c r="A167" s="285">
        <f t="shared" si="4"/>
        <v>165</v>
      </c>
      <c r="B167" s="398">
        <v>33.25</v>
      </c>
      <c r="C167"/>
      <c r="E167"/>
      <c r="F167" s="20"/>
      <c r="G167" s="162"/>
    </row>
    <row r="168" spans="1:7" ht="13.15" customHeight="1">
      <c r="A168" s="285">
        <f t="shared" si="4"/>
        <v>166</v>
      </c>
      <c r="B168" s="398">
        <v>33.270000000000003</v>
      </c>
      <c r="C168"/>
      <c r="E168"/>
      <c r="F168" s="20"/>
      <c r="G168" s="162"/>
    </row>
    <row r="169" spans="1:7" ht="13.15" customHeight="1">
      <c r="A169" s="285">
        <f t="shared" si="4"/>
        <v>167</v>
      </c>
      <c r="B169" s="397">
        <v>33.26</v>
      </c>
      <c r="C169"/>
      <c r="E169"/>
      <c r="F169" s="20"/>
      <c r="G169" s="162"/>
    </row>
    <row r="170" spans="1:7" ht="13.15" customHeight="1">
      <c r="A170" s="285">
        <f t="shared" si="4"/>
        <v>168</v>
      </c>
      <c r="B170" s="397">
        <v>33.74</v>
      </c>
      <c r="C170"/>
      <c r="E170"/>
      <c r="F170" s="20"/>
      <c r="G170" s="162"/>
    </row>
    <row r="171" spans="1:7" ht="13.15" customHeight="1">
      <c r="A171" s="285">
        <f t="shared" si="4"/>
        <v>169</v>
      </c>
      <c r="B171" s="397">
        <v>33.549999999999997</v>
      </c>
      <c r="C171"/>
      <c r="E171"/>
      <c r="F171" s="20"/>
      <c r="G171" s="162"/>
    </row>
    <row r="172" spans="1:7" ht="13.15" customHeight="1">
      <c r="A172" s="285">
        <f t="shared" si="4"/>
        <v>170</v>
      </c>
      <c r="B172" s="397">
        <v>33.229999999999997</v>
      </c>
      <c r="C172"/>
      <c r="E172"/>
      <c r="F172" s="20"/>
      <c r="G172" s="162"/>
    </row>
    <row r="173" spans="1:7" ht="13.15" customHeight="1">
      <c r="A173" s="285">
        <f t="shared" si="4"/>
        <v>171</v>
      </c>
      <c r="B173" s="397">
        <v>33.53</v>
      </c>
      <c r="C173"/>
      <c r="E173"/>
      <c r="F173" s="20"/>
      <c r="G173" s="162"/>
    </row>
    <row r="174" spans="1:7" ht="13.15" customHeight="1">
      <c r="A174" s="285">
        <f t="shared" si="4"/>
        <v>172</v>
      </c>
      <c r="B174" s="397">
        <v>33.5</v>
      </c>
      <c r="C174"/>
      <c r="E174"/>
      <c r="F174" s="20"/>
      <c r="G174" s="162"/>
    </row>
    <row r="175" spans="1:7" ht="13.15" customHeight="1">
      <c r="A175" s="285">
        <f t="shared" si="4"/>
        <v>173</v>
      </c>
      <c r="B175" s="397">
        <v>32</v>
      </c>
      <c r="C175"/>
      <c r="E175"/>
      <c r="F175" s="20"/>
      <c r="G175" s="162"/>
    </row>
    <row r="176" spans="1:7" ht="13.15" customHeight="1">
      <c r="A176" s="285">
        <f t="shared" si="4"/>
        <v>174</v>
      </c>
      <c r="B176" s="397">
        <v>33.97</v>
      </c>
      <c r="C176"/>
      <c r="E176"/>
      <c r="F176" s="20"/>
      <c r="G176" s="162"/>
    </row>
    <row r="177" spans="1:7" ht="13.15" customHeight="1">
      <c r="A177" s="285">
        <f t="shared" si="4"/>
        <v>175</v>
      </c>
      <c r="B177" s="397">
        <v>33.04</v>
      </c>
      <c r="C177"/>
      <c r="E177"/>
      <c r="F177" s="20"/>
      <c r="G177" s="162"/>
    </row>
    <row r="178" spans="1:7" ht="13.15" customHeight="1">
      <c r="A178" s="285">
        <f t="shared" si="4"/>
        <v>176</v>
      </c>
      <c r="B178" s="397">
        <v>32.82</v>
      </c>
      <c r="C178"/>
      <c r="E178"/>
      <c r="F178" s="20"/>
      <c r="G178" s="162"/>
    </row>
    <row r="179" spans="1:7" ht="13.15" customHeight="1">
      <c r="A179" s="285">
        <f t="shared" si="4"/>
        <v>177</v>
      </c>
      <c r="B179" s="397">
        <v>33.82</v>
      </c>
      <c r="C179"/>
      <c r="E179"/>
      <c r="F179" s="20"/>
      <c r="G179" s="162"/>
    </row>
    <row r="180" spans="1:7" ht="13.15" customHeight="1">
      <c r="A180" s="285">
        <f t="shared" si="4"/>
        <v>178</v>
      </c>
      <c r="B180" s="397">
        <v>33.619999999999997</v>
      </c>
      <c r="C180"/>
      <c r="E180"/>
      <c r="F180" s="20"/>
      <c r="G180" s="162"/>
    </row>
    <row r="181" spans="1:7" ht="13.15" customHeight="1">
      <c r="A181" s="285">
        <f t="shared" si="4"/>
        <v>179</v>
      </c>
      <c r="B181" s="397">
        <v>33.28</v>
      </c>
      <c r="C181"/>
      <c r="E181"/>
      <c r="F181" s="20"/>
      <c r="G181" s="162"/>
    </row>
    <row r="182" spans="1:7" ht="13.15" customHeight="1">
      <c r="A182" s="285">
        <f t="shared" si="4"/>
        <v>180</v>
      </c>
      <c r="B182" s="397">
        <v>33.96</v>
      </c>
      <c r="C182"/>
      <c r="E182"/>
      <c r="F182" s="20"/>
      <c r="G182" s="162"/>
    </row>
    <row r="183" spans="1:7" ht="13.15" customHeight="1">
      <c r="A183" s="285">
        <f t="shared" si="4"/>
        <v>181</v>
      </c>
      <c r="B183" s="397">
        <v>33.450000000000003</v>
      </c>
      <c r="C183"/>
      <c r="E183"/>
      <c r="F183" s="20"/>
      <c r="G183" s="162"/>
    </row>
    <row r="184" spans="1:7" ht="13.15" customHeight="1">
      <c r="A184" s="285">
        <f t="shared" si="4"/>
        <v>182</v>
      </c>
      <c r="B184" s="397">
        <v>32.08</v>
      </c>
      <c r="C184"/>
      <c r="E184"/>
      <c r="F184" s="20"/>
      <c r="G184" s="162"/>
    </row>
    <row r="185" spans="1:7" ht="13.15" customHeight="1">
      <c r="A185" s="285">
        <f t="shared" si="4"/>
        <v>183</v>
      </c>
      <c r="B185" s="397">
        <v>33.04</v>
      </c>
      <c r="C185"/>
      <c r="E185"/>
      <c r="F185" s="20"/>
      <c r="G185" s="162"/>
    </row>
    <row r="186" spans="1:7" ht="13.15" customHeight="1">
      <c r="A186" s="285">
        <f t="shared" si="4"/>
        <v>184</v>
      </c>
      <c r="B186" s="397">
        <v>31.99</v>
      </c>
      <c r="C186"/>
      <c r="E186"/>
      <c r="F186" s="20"/>
      <c r="G186" s="162"/>
    </row>
    <row r="187" spans="1:7" ht="13.15" customHeight="1">
      <c r="A187" s="285">
        <f t="shared" si="4"/>
        <v>185</v>
      </c>
      <c r="B187" s="397">
        <v>33.020000000000003</v>
      </c>
      <c r="C187"/>
      <c r="E187"/>
      <c r="F187" s="20"/>
      <c r="G187" s="162"/>
    </row>
    <row r="188" spans="1:7" ht="13.15" customHeight="1">
      <c r="A188" s="285">
        <f t="shared" si="4"/>
        <v>186</v>
      </c>
      <c r="B188" s="397">
        <v>32.97</v>
      </c>
      <c r="C188"/>
      <c r="E188"/>
      <c r="F188" s="20"/>
      <c r="G188" s="162"/>
    </row>
    <row r="189" spans="1:7" ht="13.15" customHeight="1">
      <c r="A189" s="285">
        <f t="shared" si="4"/>
        <v>187</v>
      </c>
      <c r="B189" s="397">
        <v>33.49</v>
      </c>
      <c r="C189"/>
      <c r="E189"/>
      <c r="F189" s="20"/>
      <c r="G189" s="162"/>
    </row>
    <row r="190" spans="1:7" ht="13.15" customHeight="1">
      <c r="A190" s="285">
        <f t="shared" si="4"/>
        <v>188</v>
      </c>
      <c r="B190" s="397">
        <v>33.340000000000003</v>
      </c>
      <c r="C190"/>
      <c r="E190"/>
      <c r="F190" s="20"/>
      <c r="G190" s="162"/>
    </row>
    <row r="191" spans="1:7" ht="13.15" customHeight="1">
      <c r="A191" s="285">
        <f t="shared" si="4"/>
        <v>189</v>
      </c>
      <c r="B191" s="397">
        <v>33.479999999999997</v>
      </c>
      <c r="C191"/>
      <c r="E191"/>
      <c r="F191" s="20"/>
      <c r="G191" s="162"/>
    </row>
    <row r="192" spans="1:7" ht="13.15" customHeight="1">
      <c r="A192" s="285">
        <f t="shared" si="4"/>
        <v>190</v>
      </c>
      <c r="B192" s="397">
        <v>33.46</v>
      </c>
      <c r="C192"/>
      <c r="E192"/>
      <c r="F192" s="20"/>
      <c r="G192" s="162"/>
    </row>
    <row r="193" spans="1:7" ht="13.15" customHeight="1">
      <c r="A193" s="285">
        <f t="shared" si="4"/>
        <v>191</v>
      </c>
      <c r="B193" s="397">
        <v>33.32</v>
      </c>
      <c r="C193"/>
      <c r="E193"/>
      <c r="F193" s="20"/>
      <c r="G193" s="162"/>
    </row>
    <row r="194" spans="1:7" ht="13.15" customHeight="1">
      <c r="A194" s="285">
        <f t="shared" si="4"/>
        <v>192</v>
      </c>
      <c r="B194" s="397">
        <v>33.619999999999997</v>
      </c>
      <c r="C194"/>
      <c r="E194"/>
      <c r="F194" s="20"/>
      <c r="G194" s="162"/>
    </row>
    <row r="195" spans="1:7" ht="13.15" customHeight="1">
      <c r="A195" s="285">
        <f t="shared" si="4"/>
        <v>193</v>
      </c>
      <c r="B195" s="397">
        <v>33.74</v>
      </c>
      <c r="C195"/>
      <c r="E195"/>
      <c r="F195" s="20"/>
      <c r="G195" s="162"/>
    </row>
    <row r="196" spans="1:7" ht="13.15" customHeight="1">
      <c r="A196" s="285">
        <f t="shared" si="4"/>
        <v>194</v>
      </c>
      <c r="B196" s="397">
        <v>33.799999999999997</v>
      </c>
      <c r="C196"/>
      <c r="E196"/>
      <c r="F196" s="20"/>
      <c r="G196" s="162"/>
    </row>
    <row r="197" spans="1:7" ht="13.15" customHeight="1">
      <c r="A197" s="285">
        <f t="shared" si="4"/>
        <v>195</v>
      </c>
      <c r="B197" s="397">
        <v>33.200000000000003</v>
      </c>
      <c r="C197"/>
      <c r="E197"/>
      <c r="F197" s="20"/>
      <c r="G197" s="162"/>
    </row>
    <row r="198" spans="1:7" ht="13.15" customHeight="1">
      <c r="A198" s="285">
        <f t="shared" ref="A198:A261" si="5">A197+1</f>
        <v>196</v>
      </c>
      <c r="B198" s="397">
        <v>33.78</v>
      </c>
      <c r="C198"/>
      <c r="E198"/>
      <c r="F198" s="20"/>
      <c r="G198" s="162"/>
    </row>
    <row r="199" spans="1:7" ht="13.15" customHeight="1">
      <c r="A199" s="285">
        <f t="shared" si="5"/>
        <v>197</v>
      </c>
      <c r="B199" s="397">
        <v>33.409999999999997</v>
      </c>
      <c r="C199"/>
      <c r="E199"/>
      <c r="F199" s="20"/>
      <c r="G199" s="162"/>
    </row>
    <row r="200" spans="1:7" ht="13.15" customHeight="1">
      <c r="A200" s="285">
        <f t="shared" si="5"/>
        <v>198</v>
      </c>
      <c r="B200" s="397">
        <v>33.65</v>
      </c>
      <c r="C200"/>
      <c r="E200"/>
      <c r="F200" s="20"/>
      <c r="G200" s="162"/>
    </row>
    <row r="201" spans="1:7" ht="13.15" customHeight="1">
      <c r="A201" s="285">
        <f t="shared" si="5"/>
        <v>199</v>
      </c>
      <c r="B201" s="397">
        <v>33.42</v>
      </c>
      <c r="C201"/>
      <c r="E201"/>
      <c r="F201" s="20"/>
      <c r="G201" s="162"/>
    </row>
    <row r="202" spans="1:7" ht="13.15" customHeight="1">
      <c r="A202" s="285">
        <f t="shared" si="5"/>
        <v>200</v>
      </c>
      <c r="B202" s="397">
        <v>33.32</v>
      </c>
      <c r="C202"/>
      <c r="E202"/>
      <c r="F202" s="20"/>
      <c r="G202" s="162"/>
    </row>
    <row r="203" spans="1:7" ht="13.15" customHeight="1">
      <c r="A203" s="285">
        <f t="shared" si="5"/>
        <v>201</v>
      </c>
      <c r="B203" s="397">
        <v>33.369999999999997</v>
      </c>
      <c r="C203"/>
      <c r="E203"/>
      <c r="F203" s="20"/>
      <c r="G203" s="162"/>
    </row>
    <row r="204" spans="1:7" ht="13.15" customHeight="1">
      <c r="A204" s="285">
        <f t="shared" si="5"/>
        <v>202</v>
      </c>
      <c r="B204" s="397">
        <v>33.17</v>
      </c>
      <c r="C204"/>
      <c r="E204"/>
      <c r="F204" s="20"/>
      <c r="G204" s="162"/>
    </row>
    <row r="205" spans="1:7" ht="13.15" customHeight="1">
      <c r="A205" s="285">
        <f t="shared" si="5"/>
        <v>203</v>
      </c>
      <c r="B205" s="397">
        <v>33.04</v>
      </c>
      <c r="C205"/>
      <c r="E205"/>
      <c r="F205" s="20"/>
      <c r="G205" s="162"/>
    </row>
    <row r="206" spans="1:7" ht="13.15" customHeight="1">
      <c r="A206" s="285">
        <f t="shared" si="5"/>
        <v>204</v>
      </c>
      <c r="B206" s="397">
        <v>33.21</v>
      </c>
      <c r="C206"/>
      <c r="E206"/>
      <c r="F206" s="20"/>
      <c r="G206" s="162"/>
    </row>
    <row r="207" spans="1:7" ht="13.15" customHeight="1">
      <c r="A207" s="285">
        <f t="shared" si="5"/>
        <v>205</v>
      </c>
      <c r="B207" s="397">
        <v>33.299999999999997</v>
      </c>
      <c r="C207"/>
      <c r="E207"/>
      <c r="F207" s="20"/>
      <c r="G207" s="162"/>
    </row>
    <row r="208" spans="1:7" ht="13.15" customHeight="1">
      <c r="A208" s="285">
        <f t="shared" si="5"/>
        <v>206</v>
      </c>
      <c r="B208" s="397">
        <v>32.94</v>
      </c>
      <c r="C208"/>
      <c r="E208"/>
      <c r="F208" s="20"/>
      <c r="G208" s="162"/>
    </row>
    <row r="209" spans="1:7" ht="13.15" customHeight="1">
      <c r="A209" s="285">
        <f t="shared" si="5"/>
        <v>207</v>
      </c>
      <c r="B209" s="397">
        <v>33.299999999999997</v>
      </c>
      <c r="C209"/>
      <c r="E209"/>
      <c r="F209" s="20"/>
      <c r="G209" s="162"/>
    </row>
    <row r="210" spans="1:7" ht="13.15" customHeight="1">
      <c r="A210" s="285">
        <f t="shared" si="5"/>
        <v>208</v>
      </c>
      <c r="B210" s="397">
        <v>32.97</v>
      </c>
      <c r="C210"/>
      <c r="E210"/>
      <c r="F210" s="20"/>
      <c r="G210" s="162"/>
    </row>
    <row r="211" spans="1:7" ht="13.15" customHeight="1">
      <c r="A211" s="285">
        <f t="shared" si="5"/>
        <v>209</v>
      </c>
      <c r="B211" s="397">
        <v>31.97</v>
      </c>
      <c r="C211"/>
      <c r="E211"/>
      <c r="F211" s="20"/>
      <c r="G211" s="162"/>
    </row>
    <row r="212" spans="1:7" ht="13.15" customHeight="1">
      <c r="A212" s="285">
        <f t="shared" si="5"/>
        <v>210</v>
      </c>
      <c r="B212" s="397">
        <v>33.26</v>
      </c>
      <c r="C212"/>
      <c r="E212"/>
      <c r="F212" s="20"/>
      <c r="G212" s="162"/>
    </row>
    <row r="213" spans="1:7" ht="13.15" customHeight="1">
      <c r="A213" s="285">
        <f t="shared" si="5"/>
        <v>211</v>
      </c>
      <c r="B213" s="397">
        <v>33.96</v>
      </c>
      <c r="C213"/>
      <c r="E213"/>
      <c r="F213" s="20"/>
      <c r="G213" s="162"/>
    </row>
    <row r="214" spans="1:7" ht="13.15" customHeight="1">
      <c r="A214" s="285">
        <f t="shared" si="5"/>
        <v>212</v>
      </c>
      <c r="B214" s="397">
        <v>33.6</v>
      </c>
      <c r="C214"/>
      <c r="E214"/>
      <c r="F214" s="20"/>
      <c r="G214" s="162"/>
    </row>
    <row r="215" spans="1:7" ht="13.15" customHeight="1">
      <c r="A215" s="285">
        <f t="shared" si="5"/>
        <v>213</v>
      </c>
      <c r="B215" s="397">
        <v>33.99</v>
      </c>
      <c r="C215"/>
      <c r="E215"/>
      <c r="F215" s="20"/>
      <c r="G215" s="162"/>
    </row>
    <row r="216" spans="1:7" ht="13.15" customHeight="1">
      <c r="A216" s="285">
        <f t="shared" si="5"/>
        <v>214</v>
      </c>
      <c r="B216" s="397">
        <v>33.96</v>
      </c>
      <c r="C216"/>
      <c r="E216"/>
      <c r="F216" s="20"/>
      <c r="G216" s="162"/>
    </row>
    <row r="217" spans="1:7" ht="13.15" customHeight="1">
      <c r="A217" s="285">
        <f t="shared" si="5"/>
        <v>215</v>
      </c>
      <c r="B217" s="397">
        <v>33.340000000000003</v>
      </c>
      <c r="C217"/>
      <c r="E217"/>
      <c r="F217" s="20"/>
      <c r="G217" s="162"/>
    </row>
    <row r="218" spans="1:7" ht="13.15" customHeight="1">
      <c r="A218" s="285">
        <f t="shared" si="5"/>
        <v>216</v>
      </c>
      <c r="B218" s="397">
        <v>33.51</v>
      </c>
      <c r="C218"/>
      <c r="E218"/>
      <c r="F218" s="20"/>
      <c r="G218" s="162"/>
    </row>
    <row r="219" spans="1:7" ht="13.15" customHeight="1">
      <c r="A219" s="285">
        <f t="shared" si="5"/>
        <v>217</v>
      </c>
      <c r="B219" s="397">
        <v>33.92</v>
      </c>
      <c r="C219"/>
      <c r="E219"/>
      <c r="F219" s="20"/>
      <c r="G219" s="162"/>
    </row>
    <row r="220" spans="1:7" ht="13.15" customHeight="1">
      <c r="A220" s="285">
        <f t="shared" si="5"/>
        <v>218</v>
      </c>
      <c r="B220" s="397">
        <v>33.61</v>
      </c>
      <c r="C220"/>
      <c r="E220"/>
      <c r="F220" s="20"/>
      <c r="G220" s="162"/>
    </row>
    <row r="221" spans="1:7" ht="13.15" customHeight="1">
      <c r="A221" s="285">
        <f t="shared" si="5"/>
        <v>219</v>
      </c>
      <c r="B221" s="397">
        <v>33.950000000000003</v>
      </c>
      <c r="C221"/>
      <c r="E221"/>
      <c r="F221" s="20"/>
      <c r="G221" s="162"/>
    </row>
    <row r="222" spans="1:7" ht="13.15" customHeight="1">
      <c r="A222" s="285">
        <f t="shared" si="5"/>
        <v>220</v>
      </c>
      <c r="B222" s="397">
        <v>33.950000000000003</v>
      </c>
      <c r="C222"/>
      <c r="E222"/>
      <c r="F222" s="20"/>
      <c r="G222" s="162"/>
    </row>
    <row r="223" spans="1:7" ht="13.15" customHeight="1">
      <c r="A223" s="285">
        <f t="shared" si="5"/>
        <v>221</v>
      </c>
      <c r="B223" s="397">
        <v>33.96</v>
      </c>
      <c r="C223"/>
      <c r="E223"/>
      <c r="F223" s="20"/>
      <c r="G223" s="162"/>
    </row>
    <row r="224" spans="1:7" ht="13.15" customHeight="1">
      <c r="A224" s="285">
        <f t="shared" si="5"/>
        <v>222</v>
      </c>
      <c r="B224" s="397">
        <v>33.83</v>
      </c>
      <c r="C224"/>
      <c r="E224"/>
      <c r="F224" s="20"/>
      <c r="G224" s="162"/>
    </row>
    <row r="225" spans="1:7" ht="13.15" customHeight="1">
      <c r="A225" s="285">
        <f t="shared" si="5"/>
        <v>223</v>
      </c>
      <c r="B225" s="397">
        <v>33.96</v>
      </c>
      <c r="C225"/>
      <c r="E225"/>
      <c r="F225" s="20"/>
      <c r="G225" s="162"/>
    </row>
    <row r="226" spans="1:7" ht="13.15" customHeight="1">
      <c r="A226" s="285">
        <f t="shared" si="5"/>
        <v>224</v>
      </c>
      <c r="B226" s="397">
        <v>33.72</v>
      </c>
      <c r="C226"/>
      <c r="E226"/>
      <c r="F226" s="20"/>
      <c r="G226" s="162"/>
    </row>
    <row r="227" spans="1:7" ht="13.15" customHeight="1">
      <c r="A227" s="285">
        <f t="shared" si="5"/>
        <v>225</v>
      </c>
      <c r="B227" s="397">
        <v>33.96</v>
      </c>
      <c r="C227"/>
      <c r="E227"/>
      <c r="F227" s="20"/>
      <c r="G227" s="162"/>
    </row>
    <row r="228" spans="1:7" ht="13.15" customHeight="1">
      <c r="A228" s="285">
        <f t="shared" si="5"/>
        <v>226</v>
      </c>
      <c r="B228" s="397">
        <v>33.590000000000003</v>
      </c>
      <c r="C228"/>
      <c r="E228"/>
      <c r="F228" s="20"/>
      <c r="G228" s="162"/>
    </row>
    <row r="229" spans="1:7" ht="13.15" customHeight="1">
      <c r="A229" s="285">
        <f t="shared" si="5"/>
        <v>227</v>
      </c>
      <c r="B229" s="397">
        <v>33.549999999999997</v>
      </c>
      <c r="C229"/>
      <c r="E229"/>
      <c r="F229" s="20"/>
      <c r="G229" s="162"/>
    </row>
    <row r="230" spans="1:7" ht="13.15" customHeight="1">
      <c r="A230" s="285">
        <f t="shared" si="5"/>
        <v>228</v>
      </c>
      <c r="B230" s="397">
        <v>33.81</v>
      </c>
      <c r="C230"/>
      <c r="E230"/>
      <c r="F230" s="20"/>
      <c r="G230" s="162"/>
    </row>
    <row r="231" spans="1:7" ht="13.15" customHeight="1">
      <c r="A231" s="285">
        <f t="shared" si="5"/>
        <v>229</v>
      </c>
      <c r="B231" s="397">
        <v>33.56</v>
      </c>
      <c r="C231"/>
      <c r="E231"/>
      <c r="F231" s="20"/>
      <c r="G231" s="162"/>
    </row>
    <row r="232" spans="1:7" ht="13.15" customHeight="1">
      <c r="A232" s="285">
        <f t="shared" si="5"/>
        <v>230</v>
      </c>
      <c r="B232" s="397">
        <v>33.020000000000003</v>
      </c>
      <c r="C232"/>
      <c r="E232"/>
      <c r="F232" s="20"/>
      <c r="G232" s="162"/>
    </row>
    <row r="233" spans="1:7" ht="13.15" customHeight="1">
      <c r="A233" s="285">
        <f t="shared" si="5"/>
        <v>231</v>
      </c>
      <c r="B233" s="397">
        <v>33.6</v>
      </c>
      <c r="C233"/>
      <c r="E233" s="190"/>
      <c r="F233" s="20"/>
      <c r="G233" s="162"/>
    </row>
    <row r="234" spans="1:7" ht="13.15" customHeight="1">
      <c r="A234" s="285">
        <f t="shared" si="5"/>
        <v>232</v>
      </c>
      <c r="B234" s="397">
        <v>33.57</v>
      </c>
      <c r="C234"/>
      <c r="E234" s="190"/>
      <c r="F234" s="20"/>
      <c r="G234" s="162"/>
    </row>
    <row r="235" spans="1:7" ht="13.15" customHeight="1">
      <c r="A235" s="285">
        <f t="shared" si="5"/>
        <v>233</v>
      </c>
      <c r="B235" s="397">
        <v>33.24</v>
      </c>
      <c r="C235"/>
      <c r="E235"/>
      <c r="F235" s="20"/>
      <c r="G235" s="162"/>
    </row>
    <row r="236" spans="1:7" ht="13.15" customHeight="1">
      <c r="A236" s="285">
        <f t="shared" si="5"/>
        <v>234</v>
      </c>
      <c r="B236" s="397">
        <v>33.57</v>
      </c>
      <c r="C236"/>
      <c r="E236"/>
      <c r="F236" s="20"/>
      <c r="G236" s="162"/>
    </row>
    <row r="237" spans="1:7" ht="13.15" customHeight="1">
      <c r="A237" s="285">
        <f t="shared" si="5"/>
        <v>235</v>
      </c>
      <c r="B237" s="397">
        <v>33.659999999999997</v>
      </c>
      <c r="C237"/>
      <c r="E237" s="190"/>
      <c r="F237" s="20"/>
      <c r="G237" s="162"/>
    </row>
    <row r="238" spans="1:7" ht="13.15" customHeight="1">
      <c r="A238" s="285">
        <f t="shared" si="5"/>
        <v>236</v>
      </c>
      <c r="B238" s="397">
        <v>33.24</v>
      </c>
      <c r="C238"/>
      <c r="E238" s="190"/>
      <c r="F238" s="20"/>
      <c r="G238" s="162"/>
    </row>
    <row r="239" spans="1:7" ht="13.15" customHeight="1">
      <c r="A239" s="285">
        <f t="shared" si="5"/>
        <v>237</v>
      </c>
      <c r="B239" s="397">
        <v>33.46</v>
      </c>
      <c r="C239"/>
      <c r="E239"/>
      <c r="F239" s="20"/>
      <c r="G239" s="162"/>
    </row>
    <row r="240" spans="1:7" ht="13.15" customHeight="1">
      <c r="A240" s="285">
        <f t="shared" si="5"/>
        <v>238</v>
      </c>
      <c r="B240" s="397">
        <v>33.32</v>
      </c>
      <c r="C240"/>
      <c r="E240"/>
      <c r="F240" s="20"/>
      <c r="G240" s="162"/>
    </row>
    <row r="241" spans="1:7" ht="13.15" customHeight="1">
      <c r="A241" s="285">
        <f t="shared" si="5"/>
        <v>239</v>
      </c>
      <c r="B241" s="397">
        <v>33.75</v>
      </c>
      <c r="C241"/>
      <c r="E241"/>
      <c r="F241" s="20"/>
      <c r="G241" s="162"/>
    </row>
    <row r="242" spans="1:7" ht="13.15" customHeight="1">
      <c r="A242" s="285">
        <f t="shared" si="5"/>
        <v>240</v>
      </c>
      <c r="B242" s="397">
        <v>31.9</v>
      </c>
      <c r="C242"/>
      <c r="E242"/>
      <c r="F242" s="20"/>
      <c r="G242" s="162"/>
    </row>
    <row r="243" spans="1:7" ht="13.15" customHeight="1">
      <c r="A243" s="285">
        <f t="shared" si="5"/>
        <v>241</v>
      </c>
      <c r="B243" s="397">
        <v>33.53</v>
      </c>
      <c r="C243"/>
      <c r="E243"/>
      <c r="F243" s="20"/>
      <c r="G243" s="162"/>
    </row>
    <row r="244" spans="1:7" ht="13.15" customHeight="1">
      <c r="A244" s="285">
        <f t="shared" si="5"/>
        <v>242</v>
      </c>
      <c r="B244" s="397">
        <v>33.380000000000003</v>
      </c>
      <c r="C244"/>
      <c r="E244"/>
      <c r="F244" s="20"/>
      <c r="G244" s="162"/>
    </row>
    <row r="245" spans="1:7" ht="13.15" customHeight="1">
      <c r="A245" s="285">
        <f t="shared" si="5"/>
        <v>243</v>
      </c>
      <c r="B245" s="397">
        <v>33.46</v>
      </c>
      <c r="C245"/>
      <c r="E245"/>
      <c r="F245" s="20"/>
      <c r="G245" s="162"/>
    </row>
    <row r="246" spans="1:7" ht="13.15" customHeight="1">
      <c r="A246" s="285">
        <f t="shared" si="5"/>
        <v>244</v>
      </c>
      <c r="B246" s="397">
        <v>33.950000000000003</v>
      </c>
      <c r="C246"/>
      <c r="E246"/>
      <c r="F246" s="20"/>
      <c r="G246" s="162"/>
    </row>
    <row r="247" spans="1:7" ht="13.15" customHeight="1">
      <c r="A247" s="285">
        <f t="shared" si="5"/>
        <v>245</v>
      </c>
      <c r="B247" s="397">
        <v>33.54</v>
      </c>
      <c r="C247"/>
      <c r="E247"/>
      <c r="F247" s="20"/>
      <c r="G247" s="162"/>
    </row>
    <row r="248" spans="1:7" ht="13.15" customHeight="1">
      <c r="A248" s="285">
        <f t="shared" si="5"/>
        <v>246</v>
      </c>
      <c r="B248" s="397">
        <v>33.96</v>
      </c>
      <c r="C248"/>
      <c r="E248"/>
      <c r="F248" s="20"/>
      <c r="G248" s="162"/>
    </row>
    <row r="249" spans="1:7" ht="13.15" customHeight="1">
      <c r="A249" s="285">
        <f t="shared" si="5"/>
        <v>247</v>
      </c>
      <c r="B249" s="397">
        <v>33.96</v>
      </c>
      <c r="C249"/>
      <c r="E249"/>
      <c r="F249" s="20"/>
      <c r="G249" s="162"/>
    </row>
    <row r="250" spans="1:7" ht="13.15" customHeight="1">
      <c r="A250" s="285">
        <f t="shared" si="5"/>
        <v>248</v>
      </c>
      <c r="B250" s="397">
        <v>33.96</v>
      </c>
      <c r="C250"/>
      <c r="E250"/>
      <c r="F250" s="20"/>
      <c r="G250" s="162"/>
    </row>
    <row r="251" spans="1:7" ht="13.15" customHeight="1">
      <c r="A251" s="285">
        <f t="shared" si="5"/>
        <v>249</v>
      </c>
      <c r="B251" s="397">
        <v>33.96</v>
      </c>
      <c r="C251"/>
      <c r="E251"/>
      <c r="F251" s="20"/>
      <c r="G251" s="162"/>
    </row>
    <row r="252" spans="1:7" ht="13.15" customHeight="1">
      <c r="A252" s="285">
        <f t="shared" si="5"/>
        <v>250</v>
      </c>
      <c r="B252" s="397">
        <v>33.96</v>
      </c>
      <c r="C252"/>
      <c r="E252"/>
      <c r="F252" s="20"/>
      <c r="G252" s="162"/>
    </row>
    <row r="253" spans="1:7" ht="13.15" customHeight="1">
      <c r="A253" s="285">
        <f t="shared" si="5"/>
        <v>251</v>
      </c>
      <c r="B253" s="397">
        <v>33.67</v>
      </c>
      <c r="C253"/>
      <c r="E253"/>
      <c r="F253" s="20"/>
      <c r="G253" s="162"/>
    </row>
    <row r="254" spans="1:7" ht="13.15" customHeight="1">
      <c r="A254" s="285">
        <f t="shared" si="5"/>
        <v>252</v>
      </c>
      <c r="B254" s="397">
        <v>33.96</v>
      </c>
      <c r="C254"/>
      <c r="E254"/>
      <c r="F254" s="20"/>
      <c r="G254" s="162"/>
    </row>
    <row r="255" spans="1:7" ht="13.15" customHeight="1">
      <c r="A255" s="285">
        <f t="shared" si="5"/>
        <v>253</v>
      </c>
      <c r="B255" s="397">
        <v>33.520000000000003</v>
      </c>
      <c r="C255"/>
      <c r="E255"/>
      <c r="F255" s="20"/>
      <c r="G255" s="162"/>
    </row>
    <row r="256" spans="1:7" ht="13.15" customHeight="1">
      <c r="A256" s="285">
        <f t="shared" si="5"/>
        <v>254</v>
      </c>
      <c r="B256" s="397">
        <v>30.68</v>
      </c>
      <c r="C256"/>
      <c r="E256"/>
      <c r="F256" s="20"/>
      <c r="G256" s="162"/>
    </row>
    <row r="257" spans="1:7" ht="13.15" customHeight="1">
      <c r="A257" s="285">
        <f t="shared" si="5"/>
        <v>255</v>
      </c>
      <c r="B257" s="397">
        <v>33.61</v>
      </c>
      <c r="C257"/>
      <c r="E257"/>
      <c r="F257" s="20"/>
      <c r="G257" s="162"/>
    </row>
    <row r="258" spans="1:7" ht="13.15" customHeight="1">
      <c r="A258" s="285">
        <f t="shared" si="5"/>
        <v>256</v>
      </c>
      <c r="B258" s="397">
        <v>33.93</v>
      </c>
      <c r="C258"/>
      <c r="E258"/>
      <c r="F258" s="20"/>
      <c r="G258" s="162"/>
    </row>
    <row r="259" spans="1:7" ht="13.15" customHeight="1">
      <c r="A259" s="285">
        <f t="shared" si="5"/>
        <v>257</v>
      </c>
      <c r="B259" s="397">
        <v>32.950000000000003</v>
      </c>
      <c r="C259"/>
      <c r="E259"/>
      <c r="F259" s="20"/>
      <c r="G259" s="162"/>
    </row>
    <row r="260" spans="1:7" ht="13.15" customHeight="1">
      <c r="A260" s="285">
        <f t="shared" si="5"/>
        <v>258</v>
      </c>
      <c r="B260" s="397">
        <v>33.97</v>
      </c>
      <c r="C260"/>
      <c r="E260"/>
      <c r="F260" s="20"/>
      <c r="G260" s="162"/>
    </row>
    <row r="261" spans="1:7" ht="13.15" customHeight="1">
      <c r="A261" s="285">
        <f t="shared" si="5"/>
        <v>259</v>
      </c>
      <c r="B261" s="397">
        <v>33.69</v>
      </c>
      <c r="C261"/>
      <c r="E261"/>
      <c r="F261" s="20"/>
      <c r="G261" s="162"/>
    </row>
    <row r="262" spans="1:7" ht="13.15" customHeight="1">
      <c r="A262" s="285">
        <f t="shared" ref="A262:A325" si="6">A261+1</f>
        <v>260</v>
      </c>
      <c r="B262" s="397">
        <v>33.659999999999997</v>
      </c>
      <c r="C262"/>
      <c r="E262"/>
      <c r="F262" s="20"/>
      <c r="G262" s="162"/>
    </row>
    <row r="263" spans="1:7" ht="13.15" customHeight="1">
      <c r="A263" s="285">
        <f t="shared" si="6"/>
        <v>261</v>
      </c>
      <c r="B263" s="397">
        <v>33.409999999999997</v>
      </c>
      <c r="C263"/>
      <c r="E263"/>
      <c r="F263" s="20"/>
      <c r="G263" s="162"/>
    </row>
    <row r="264" spans="1:7" ht="13.15" customHeight="1">
      <c r="A264" s="285">
        <f t="shared" si="6"/>
        <v>262</v>
      </c>
      <c r="B264" s="397">
        <v>33.5</v>
      </c>
      <c r="C264"/>
      <c r="E264"/>
      <c r="F264" s="20"/>
      <c r="G264" s="162"/>
    </row>
    <row r="265" spans="1:7" ht="13.15" customHeight="1">
      <c r="A265" s="285">
        <f t="shared" si="6"/>
        <v>263</v>
      </c>
      <c r="B265" s="397">
        <v>33.520000000000003</v>
      </c>
      <c r="C265"/>
      <c r="E265"/>
      <c r="F265" s="20"/>
      <c r="G265" s="162"/>
    </row>
    <row r="266" spans="1:7" ht="13.15" customHeight="1">
      <c r="A266" s="285">
        <f t="shared" si="6"/>
        <v>264</v>
      </c>
      <c r="B266" s="397">
        <v>33.409999999999997</v>
      </c>
      <c r="C266"/>
      <c r="E266"/>
      <c r="F266" s="20"/>
      <c r="G266" s="162"/>
    </row>
    <row r="267" spans="1:7" ht="13.15" customHeight="1">
      <c r="A267" s="285">
        <f t="shared" si="6"/>
        <v>265</v>
      </c>
      <c r="B267" s="397">
        <v>33.32</v>
      </c>
      <c r="C267"/>
      <c r="E267"/>
      <c r="F267" s="20"/>
      <c r="G267" s="162"/>
    </row>
    <row r="268" spans="1:7" ht="13.15" customHeight="1">
      <c r="A268" s="285">
        <f t="shared" si="6"/>
        <v>266</v>
      </c>
      <c r="B268" s="397">
        <v>33.49</v>
      </c>
      <c r="C268"/>
      <c r="E268"/>
      <c r="F268" s="20"/>
      <c r="G268" s="162"/>
    </row>
    <row r="269" spans="1:7" ht="13.15" customHeight="1">
      <c r="A269" s="285">
        <f t="shared" si="6"/>
        <v>267</v>
      </c>
      <c r="B269" s="397">
        <v>33.36</v>
      </c>
      <c r="C269"/>
      <c r="E269"/>
      <c r="F269" s="20"/>
      <c r="G269" s="162"/>
    </row>
    <row r="270" spans="1:7" ht="13.15" customHeight="1">
      <c r="A270" s="285">
        <f t="shared" si="6"/>
        <v>268</v>
      </c>
      <c r="B270" s="397">
        <v>33.53</v>
      </c>
      <c r="C270"/>
      <c r="E270"/>
      <c r="F270" s="20"/>
      <c r="G270" s="162"/>
    </row>
    <row r="271" spans="1:7" ht="13.15" customHeight="1">
      <c r="A271" s="285">
        <f t="shared" si="6"/>
        <v>269</v>
      </c>
      <c r="B271" s="397">
        <v>33.24</v>
      </c>
      <c r="C271"/>
      <c r="E271"/>
      <c r="F271" s="20"/>
      <c r="G271" s="162"/>
    </row>
    <row r="272" spans="1:7" ht="13.15" customHeight="1">
      <c r="A272" s="285">
        <f t="shared" si="6"/>
        <v>270</v>
      </c>
      <c r="B272" s="397">
        <v>33.32</v>
      </c>
      <c r="C272"/>
      <c r="E272"/>
      <c r="F272" s="20"/>
      <c r="G272" s="162"/>
    </row>
    <row r="273" spans="1:7" ht="13.15" customHeight="1">
      <c r="A273" s="285">
        <f t="shared" si="6"/>
        <v>271</v>
      </c>
      <c r="B273" s="397">
        <v>33.799999999999997</v>
      </c>
      <c r="C273"/>
      <c r="E273"/>
      <c r="F273" s="20"/>
      <c r="G273" s="162"/>
    </row>
    <row r="274" spans="1:7" ht="13.15" customHeight="1">
      <c r="A274" s="285">
        <f t="shared" si="6"/>
        <v>272</v>
      </c>
      <c r="B274" s="397">
        <v>33.299999999999997</v>
      </c>
      <c r="C274"/>
      <c r="E274"/>
      <c r="F274" s="20"/>
      <c r="G274" s="162"/>
    </row>
    <row r="275" spans="1:7" ht="13.15" customHeight="1">
      <c r="A275" s="285">
        <f t="shared" si="6"/>
        <v>273</v>
      </c>
      <c r="B275" s="397">
        <v>33.950000000000003</v>
      </c>
      <c r="C275"/>
      <c r="E275"/>
      <c r="F275" s="20"/>
      <c r="G275" s="162"/>
    </row>
    <row r="276" spans="1:7" ht="13.15" customHeight="1">
      <c r="A276" s="285">
        <f t="shared" si="6"/>
        <v>274</v>
      </c>
      <c r="B276" s="397">
        <v>33.369999999999997</v>
      </c>
      <c r="C276"/>
      <c r="E276"/>
      <c r="F276" s="20"/>
      <c r="G276" s="162"/>
    </row>
    <row r="277" spans="1:7" ht="13.15" customHeight="1">
      <c r="A277" s="285">
        <f t="shared" si="6"/>
        <v>275</v>
      </c>
      <c r="B277" s="397">
        <v>32.65</v>
      </c>
      <c r="C277"/>
      <c r="E277"/>
      <c r="F277" s="20"/>
      <c r="G277" s="162"/>
    </row>
    <row r="278" spans="1:7" ht="13.15" customHeight="1">
      <c r="A278" s="285">
        <f t="shared" si="6"/>
        <v>276</v>
      </c>
      <c r="B278" s="397">
        <v>33.32</v>
      </c>
      <c r="C278"/>
      <c r="E278"/>
      <c r="F278" s="20"/>
      <c r="G278" s="162"/>
    </row>
    <row r="279" spans="1:7" ht="13.15" customHeight="1">
      <c r="A279" s="285">
        <f t="shared" si="6"/>
        <v>277</v>
      </c>
      <c r="B279" s="397">
        <v>33.96</v>
      </c>
      <c r="C279"/>
      <c r="E279"/>
      <c r="F279" s="20"/>
      <c r="G279" s="162"/>
    </row>
    <row r="280" spans="1:7" ht="13.15" customHeight="1">
      <c r="A280" s="285">
        <f t="shared" si="6"/>
        <v>278</v>
      </c>
      <c r="B280" s="397">
        <v>33.74</v>
      </c>
      <c r="C280"/>
      <c r="E280"/>
      <c r="F280" s="20"/>
      <c r="G280" s="162"/>
    </row>
    <row r="281" spans="1:7" ht="13.15" customHeight="1">
      <c r="A281" s="285">
        <f t="shared" si="6"/>
        <v>279</v>
      </c>
      <c r="B281" s="397">
        <v>33.950000000000003</v>
      </c>
      <c r="C281"/>
      <c r="E281"/>
      <c r="F281" s="20"/>
      <c r="G281" s="162"/>
    </row>
    <row r="282" spans="1:7" ht="13.15" customHeight="1">
      <c r="A282" s="285">
        <f t="shared" si="6"/>
        <v>280</v>
      </c>
      <c r="B282" s="397">
        <v>33.22</v>
      </c>
      <c r="C282"/>
      <c r="E282"/>
      <c r="F282" s="20"/>
      <c r="G282" s="162"/>
    </row>
    <row r="283" spans="1:7" ht="13.15" customHeight="1">
      <c r="A283" s="285">
        <f t="shared" si="6"/>
        <v>281</v>
      </c>
      <c r="B283" s="397">
        <v>33.21</v>
      </c>
      <c r="C283"/>
      <c r="E283"/>
      <c r="F283" s="20"/>
      <c r="G283" s="162"/>
    </row>
    <row r="284" spans="1:7" ht="13.15" customHeight="1">
      <c r="A284" s="285">
        <f t="shared" si="6"/>
        <v>282</v>
      </c>
      <c r="B284" s="397">
        <v>33.35</v>
      </c>
      <c r="C284"/>
      <c r="E284"/>
      <c r="F284" s="20"/>
      <c r="G284" s="162"/>
    </row>
    <row r="285" spans="1:7" ht="13.15" customHeight="1">
      <c r="A285" s="285">
        <f t="shared" si="6"/>
        <v>283</v>
      </c>
      <c r="B285" s="397">
        <v>33.24</v>
      </c>
      <c r="C285"/>
      <c r="E285"/>
      <c r="F285" s="20"/>
      <c r="G285" s="162"/>
    </row>
    <row r="286" spans="1:7" ht="13.15" customHeight="1">
      <c r="A286" s="285">
        <f t="shared" si="6"/>
        <v>284</v>
      </c>
      <c r="B286" s="397">
        <v>33.35</v>
      </c>
      <c r="C286"/>
      <c r="E286"/>
      <c r="F286" s="20"/>
      <c r="G286" s="162"/>
    </row>
    <row r="287" spans="1:7" ht="13.15" customHeight="1">
      <c r="A287" s="285">
        <f t="shared" si="6"/>
        <v>285</v>
      </c>
      <c r="B287" s="397">
        <v>33.380000000000003</v>
      </c>
      <c r="C287"/>
      <c r="E287"/>
      <c r="F287" s="20"/>
      <c r="G287" s="162"/>
    </row>
    <row r="288" spans="1:7" ht="13.15" customHeight="1">
      <c r="A288" s="285">
        <f t="shared" si="6"/>
        <v>286</v>
      </c>
      <c r="B288" s="397">
        <v>33.380000000000003</v>
      </c>
      <c r="C288"/>
      <c r="E288"/>
      <c r="F288" s="20"/>
      <c r="G288" s="162"/>
    </row>
    <row r="289" spans="1:7" ht="13.15" customHeight="1">
      <c r="A289" s="285">
        <f t="shared" si="6"/>
        <v>287</v>
      </c>
      <c r="B289" s="397">
        <v>33.07</v>
      </c>
      <c r="C289"/>
      <c r="E289"/>
      <c r="F289" s="20"/>
      <c r="G289" s="162"/>
    </row>
    <row r="290" spans="1:7" ht="13.15" customHeight="1">
      <c r="A290" s="285">
        <f t="shared" si="6"/>
        <v>288</v>
      </c>
      <c r="B290" s="397">
        <v>33.64</v>
      </c>
      <c r="C290"/>
      <c r="E290"/>
      <c r="F290" s="20"/>
      <c r="G290" s="162"/>
    </row>
    <row r="291" spans="1:7" ht="13.15" customHeight="1">
      <c r="A291" s="285">
        <f t="shared" si="6"/>
        <v>289</v>
      </c>
      <c r="B291" s="397">
        <v>33.35</v>
      </c>
      <c r="C291"/>
      <c r="E291"/>
      <c r="F291" s="20"/>
      <c r="G291" s="162"/>
    </row>
    <row r="292" spans="1:7" ht="13.15" customHeight="1">
      <c r="A292" s="285">
        <f t="shared" si="6"/>
        <v>290</v>
      </c>
      <c r="B292" s="397">
        <v>31.77</v>
      </c>
      <c r="C292"/>
      <c r="E292"/>
      <c r="F292" s="20"/>
      <c r="G292" s="162"/>
    </row>
    <row r="293" spans="1:7" ht="13.15" customHeight="1">
      <c r="A293" s="285">
        <f t="shared" si="6"/>
        <v>291</v>
      </c>
      <c r="B293" s="397">
        <v>33.770000000000003</v>
      </c>
      <c r="C293"/>
      <c r="E293"/>
      <c r="F293" s="20"/>
      <c r="G293" s="162"/>
    </row>
    <row r="294" spans="1:7" ht="13.15" customHeight="1">
      <c r="A294" s="285">
        <f t="shared" si="6"/>
        <v>292</v>
      </c>
      <c r="B294" s="397">
        <v>33.04</v>
      </c>
      <c r="C294"/>
      <c r="E294"/>
      <c r="F294" s="20"/>
      <c r="G294" s="162"/>
    </row>
    <row r="295" spans="1:7" ht="13.15" customHeight="1">
      <c r="A295" s="285">
        <f t="shared" si="6"/>
        <v>293</v>
      </c>
      <c r="B295" s="397">
        <v>33.090000000000003</v>
      </c>
      <c r="C295"/>
      <c r="E295"/>
      <c r="F295" s="20"/>
      <c r="G295" s="162"/>
    </row>
    <row r="296" spans="1:7" ht="13.15" customHeight="1">
      <c r="A296" s="285">
        <f t="shared" si="6"/>
        <v>294</v>
      </c>
      <c r="B296" s="397">
        <v>33.840000000000003</v>
      </c>
      <c r="C296"/>
      <c r="E296"/>
      <c r="F296" s="20"/>
      <c r="G296" s="162"/>
    </row>
    <row r="297" spans="1:7" ht="13.15" customHeight="1">
      <c r="A297" s="285">
        <f t="shared" si="6"/>
        <v>295</v>
      </c>
      <c r="B297" s="397">
        <v>33.54</v>
      </c>
      <c r="C297"/>
      <c r="E297"/>
      <c r="F297" s="20"/>
      <c r="G297" s="162"/>
    </row>
    <row r="298" spans="1:7" ht="13.15" customHeight="1">
      <c r="A298" s="285">
        <f t="shared" si="6"/>
        <v>296</v>
      </c>
      <c r="B298" s="397">
        <v>31.8</v>
      </c>
      <c r="C298"/>
      <c r="E298"/>
      <c r="F298" s="20"/>
      <c r="G298" s="162"/>
    </row>
    <row r="299" spans="1:7" ht="13.15" customHeight="1">
      <c r="A299" s="285">
        <f t="shared" si="6"/>
        <v>297</v>
      </c>
      <c r="B299" s="397">
        <v>33.590000000000003</v>
      </c>
      <c r="C299"/>
      <c r="E299"/>
      <c r="F299" s="20"/>
      <c r="G299" s="162"/>
    </row>
    <row r="300" spans="1:7" ht="13.15" customHeight="1">
      <c r="A300" s="285">
        <f t="shared" si="6"/>
        <v>298</v>
      </c>
      <c r="B300" s="397">
        <v>33.49</v>
      </c>
      <c r="C300"/>
      <c r="E300"/>
      <c r="F300" s="20"/>
      <c r="G300" s="162"/>
    </row>
    <row r="301" spans="1:7" ht="13.15" customHeight="1">
      <c r="A301" s="285">
        <f t="shared" si="6"/>
        <v>299</v>
      </c>
      <c r="B301" s="397">
        <v>33.04</v>
      </c>
      <c r="C301"/>
      <c r="E301"/>
      <c r="F301" s="20"/>
      <c r="G301" s="162"/>
    </row>
    <row r="302" spans="1:7" ht="13.15" customHeight="1">
      <c r="A302" s="285">
        <f t="shared" si="6"/>
        <v>300</v>
      </c>
      <c r="B302" s="397">
        <v>33.200000000000003</v>
      </c>
      <c r="C302"/>
      <c r="E302"/>
      <c r="F302" s="20"/>
      <c r="G302" s="162"/>
    </row>
    <row r="303" spans="1:7" ht="13.15" customHeight="1">
      <c r="A303" s="285">
        <f t="shared" si="6"/>
        <v>301</v>
      </c>
      <c r="B303" s="397">
        <v>33</v>
      </c>
      <c r="C303"/>
      <c r="E303"/>
      <c r="F303" s="20"/>
      <c r="G303" s="162"/>
    </row>
    <row r="304" spans="1:7" ht="13.15" customHeight="1">
      <c r="A304" s="285">
        <f t="shared" si="6"/>
        <v>302</v>
      </c>
      <c r="B304" s="397">
        <v>31.87</v>
      </c>
      <c r="C304"/>
      <c r="E304"/>
      <c r="F304" s="20"/>
      <c r="G304" s="162"/>
    </row>
    <row r="305" spans="1:7" ht="13.15" customHeight="1">
      <c r="A305" s="285">
        <f t="shared" si="6"/>
        <v>303</v>
      </c>
      <c r="B305" s="397">
        <v>33.53</v>
      </c>
      <c r="C305"/>
      <c r="E305"/>
      <c r="F305" s="20"/>
      <c r="G305" s="162"/>
    </row>
    <row r="306" spans="1:7" ht="13.15" customHeight="1">
      <c r="A306" s="285">
        <f t="shared" si="6"/>
        <v>304</v>
      </c>
      <c r="B306" s="397">
        <v>33.770000000000003</v>
      </c>
      <c r="C306"/>
      <c r="E306"/>
      <c r="F306" s="20"/>
      <c r="G306" s="162"/>
    </row>
    <row r="307" spans="1:7" ht="13.15" customHeight="1">
      <c r="A307" s="285">
        <f t="shared" si="6"/>
        <v>305</v>
      </c>
      <c r="B307" s="397">
        <v>33.229999999999997</v>
      </c>
      <c r="C307"/>
      <c r="E307"/>
      <c r="F307" s="20"/>
      <c r="G307" s="162"/>
    </row>
    <row r="308" spans="1:7" ht="13.15" customHeight="1">
      <c r="A308" s="285">
        <f t="shared" si="6"/>
        <v>306</v>
      </c>
      <c r="B308" s="397">
        <v>33.630000000000003</v>
      </c>
      <c r="C308"/>
      <c r="E308"/>
      <c r="F308" s="20"/>
      <c r="G308" s="162"/>
    </row>
    <row r="309" spans="1:7" ht="13.15" customHeight="1">
      <c r="A309" s="285">
        <f t="shared" si="6"/>
        <v>307</v>
      </c>
      <c r="B309" s="286">
        <v>33.96</v>
      </c>
      <c r="C309"/>
      <c r="E309"/>
      <c r="F309" s="20"/>
      <c r="G309" s="162"/>
    </row>
    <row r="310" spans="1:7" ht="13.15" customHeight="1">
      <c r="A310" s="285">
        <f t="shared" si="6"/>
        <v>308</v>
      </c>
      <c r="B310" s="286">
        <v>33.049999999999997</v>
      </c>
      <c r="C310"/>
      <c r="E310"/>
      <c r="F310" s="20"/>
      <c r="G310" s="162"/>
    </row>
    <row r="311" spans="1:7" ht="13.15" customHeight="1">
      <c r="A311" s="285">
        <f t="shared" si="6"/>
        <v>309</v>
      </c>
      <c r="B311" s="286">
        <v>33.299999999999997</v>
      </c>
      <c r="C311"/>
      <c r="F311" s="20"/>
      <c r="G311" s="20"/>
    </row>
    <row r="312" spans="1:7" ht="13.15" customHeight="1">
      <c r="A312" s="285">
        <f t="shared" si="6"/>
        <v>310</v>
      </c>
      <c r="B312" s="286">
        <v>33.58</v>
      </c>
      <c r="C312"/>
      <c r="F312" s="20"/>
      <c r="G312" s="20"/>
    </row>
    <row r="313" spans="1:7" ht="13.15" customHeight="1">
      <c r="A313" s="285">
        <f t="shared" si="6"/>
        <v>311</v>
      </c>
      <c r="B313" s="286">
        <v>32.869999999999997</v>
      </c>
      <c r="C313"/>
      <c r="F313" s="20"/>
      <c r="G313" s="20"/>
    </row>
    <row r="314" spans="1:7" ht="13.15" customHeight="1">
      <c r="A314" s="285">
        <f t="shared" si="6"/>
        <v>312</v>
      </c>
      <c r="B314" s="286">
        <v>31.75</v>
      </c>
      <c r="C314"/>
      <c r="F314" s="20"/>
      <c r="G314" s="20"/>
    </row>
    <row r="315" spans="1:7" ht="13.15" customHeight="1">
      <c r="A315" s="285">
        <f t="shared" si="6"/>
        <v>313</v>
      </c>
      <c r="B315" s="286">
        <v>33.96</v>
      </c>
      <c r="C315"/>
      <c r="F315" s="20"/>
      <c r="G315" s="20"/>
    </row>
    <row r="316" spans="1:7" ht="13.15" customHeight="1">
      <c r="A316" s="285">
        <f t="shared" si="6"/>
        <v>314</v>
      </c>
      <c r="B316" s="286">
        <v>33.14</v>
      </c>
      <c r="C316"/>
      <c r="F316" s="20"/>
      <c r="G316" s="20"/>
    </row>
    <row r="317" spans="1:7" ht="13.15" customHeight="1">
      <c r="A317" s="285">
        <f t="shared" si="6"/>
        <v>315</v>
      </c>
      <c r="B317" s="286">
        <v>33.409999999999997</v>
      </c>
      <c r="C317"/>
      <c r="F317" s="20"/>
      <c r="G317" s="20"/>
    </row>
    <row r="318" spans="1:7" ht="13.15" customHeight="1">
      <c r="A318" s="285">
        <f t="shared" si="6"/>
        <v>316</v>
      </c>
      <c r="B318" s="286">
        <v>33.950000000000003</v>
      </c>
      <c r="C318"/>
      <c r="F318" s="20"/>
      <c r="G318" s="20"/>
    </row>
    <row r="319" spans="1:7" ht="13.15" customHeight="1">
      <c r="A319" s="285">
        <f t="shared" si="6"/>
        <v>317</v>
      </c>
      <c r="B319" s="286">
        <v>33.950000000000003</v>
      </c>
      <c r="C319"/>
      <c r="F319" s="20"/>
      <c r="G319" s="20"/>
    </row>
    <row r="320" spans="1:7" ht="13.15" customHeight="1">
      <c r="A320" s="285">
        <f t="shared" si="6"/>
        <v>318</v>
      </c>
      <c r="B320" s="286">
        <v>33.96</v>
      </c>
      <c r="C320"/>
      <c r="F320" s="20"/>
      <c r="G320" s="20"/>
    </row>
    <row r="321" spans="1:7" ht="13.15" customHeight="1">
      <c r="A321" s="285">
        <f t="shared" si="6"/>
        <v>319</v>
      </c>
      <c r="B321" s="286">
        <v>33.96</v>
      </c>
      <c r="C321"/>
      <c r="F321" s="20"/>
      <c r="G321" s="20"/>
    </row>
    <row r="322" spans="1:7" ht="13.15" customHeight="1">
      <c r="A322" s="285">
        <f t="shared" si="6"/>
        <v>320</v>
      </c>
      <c r="B322" s="286">
        <v>32.090000000000003</v>
      </c>
      <c r="C322"/>
      <c r="F322" s="20"/>
      <c r="G322" s="20"/>
    </row>
    <row r="323" spans="1:7" ht="13.15" customHeight="1">
      <c r="A323" s="285">
        <f t="shared" si="6"/>
        <v>321</v>
      </c>
      <c r="B323" s="286">
        <v>32.96</v>
      </c>
      <c r="C323"/>
      <c r="F323" s="20"/>
      <c r="G323" s="20"/>
    </row>
    <row r="324" spans="1:7" ht="13.15" customHeight="1">
      <c r="A324" s="285">
        <f t="shared" si="6"/>
        <v>322</v>
      </c>
      <c r="B324" s="286">
        <v>33.96</v>
      </c>
      <c r="C324"/>
      <c r="F324" s="20"/>
      <c r="G324" s="20"/>
    </row>
    <row r="325" spans="1:7" ht="13.15" customHeight="1">
      <c r="A325" s="285">
        <f t="shared" si="6"/>
        <v>323</v>
      </c>
      <c r="B325" s="286">
        <v>31.55</v>
      </c>
      <c r="C325"/>
      <c r="F325" s="20"/>
      <c r="G325" s="20"/>
    </row>
    <row r="326" spans="1:7" ht="13.15" customHeight="1">
      <c r="A326" s="285">
        <f t="shared" ref="A326:A380" si="7">A325+1</f>
        <v>324</v>
      </c>
      <c r="B326" s="286">
        <v>33.950000000000003</v>
      </c>
      <c r="C326"/>
      <c r="F326" s="20"/>
      <c r="G326" s="20"/>
    </row>
    <row r="327" spans="1:7" ht="13.15" customHeight="1">
      <c r="A327" s="285">
        <f t="shared" si="7"/>
        <v>325</v>
      </c>
      <c r="B327" s="286">
        <v>33.79</v>
      </c>
      <c r="C327"/>
      <c r="F327" s="20"/>
      <c r="G327" s="20"/>
    </row>
    <row r="328" spans="1:7" ht="13.15" customHeight="1">
      <c r="A328" s="285">
        <f t="shared" si="7"/>
        <v>326</v>
      </c>
      <c r="B328" s="286">
        <v>33.71</v>
      </c>
      <c r="C328"/>
      <c r="F328" s="20"/>
      <c r="G328" s="20"/>
    </row>
    <row r="329" spans="1:7" ht="13.15" customHeight="1">
      <c r="A329" s="285">
        <f t="shared" si="7"/>
        <v>327</v>
      </c>
      <c r="B329" s="286">
        <v>33.950000000000003</v>
      </c>
      <c r="C329"/>
      <c r="F329" s="20"/>
      <c r="G329" s="20"/>
    </row>
    <row r="330" spans="1:7" ht="13.15" customHeight="1">
      <c r="A330" s="285">
        <f t="shared" si="7"/>
        <v>328</v>
      </c>
      <c r="B330" s="286">
        <v>33.950000000000003</v>
      </c>
      <c r="C330"/>
      <c r="F330" s="20"/>
      <c r="G330" s="20"/>
    </row>
    <row r="331" spans="1:7" ht="13.15" customHeight="1">
      <c r="A331" s="285">
        <f t="shared" si="7"/>
        <v>329</v>
      </c>
      <c r="B331" s="286">
        <v>33.96</v>
      </c>
      <c r="C331"/>
      <c r="F331" s="20"/>
      <c r="G331" s="20"/>
    </row>
    <row r="332" spans="1:7" ht="13.15" customHeight="1">
      <c r="A332" s="285">
        <f t="shared" si="7"/>
        <v>330</v>
      </c>
      <c r="B332" s="286">
        <v>33.96</v>
      </c>
      <c r="C332"/>
      <c r="F332" s="20"/>
      <c r="G332" s="20"/>
    </row>
    <row r="333" spans="1:7" ht="13.15" customHeight="1">
      <c r="A333" s="285">
        <f t="shared" si="7"/>
        <v>331</v>
      </c>
      <c r="B333" s="286">
        <v>33.96</v>
      </c>
      <c r="C333"/>
      <c r="F333" s="20"/>
      <c r="G333" s="20"/>
    </row>
    <row r="334" spans="1:7" ht="13.15" customHeight="1">
      <c r="A334" s="285">
        <f t="shared" si="7"/>
        <v>332</v>
      </c>
      <c r="B334" s="286">
        <v>33.65</v>
      </c>
      <c r="C334"/>
      <c r="F334" s="20"/>
      <c r="G334" s="20"/>
    </row>
    <row r="335" spans="1:7" ht="13.15" customHeight="1">
      <c r="A335" s="285">
        <f t="shared" si="7"/>
        <v>333</v>
      </c>
      <c r="B335" s="286">
        <v>33.96</v>
      </c>
      <c r="C335"/>
      <c r="F335" s="20"/>
      <c r="G335" s="20"/>
    </row>
    <row r="336" spans="1:7" ht="13.15" customHeight="1">
      <c r="A336" s="285">
        <f t="shared" si="7"/>
        <v>334</v>
      </c>
      <c r="B336" s="286">
        <v>33.96</v>
      </c>
      <c r="C336"/>
      <c r="F336" s="20"/>
      <c r="G336" s="20"/>
    </row>
    <row r="337" spans="1:7" ht="13.15" customHeight="1">
      <c r="A337" s="285">
        <f t="shared" si="7"/>
        <v>335</v>
      </c>
      <c r="B337" s="286">
        <v>33.950000000000003</v>
      </c>
      <c r="C337"/>
      <c r="F337" s="20"/>
      <c r="G337" s="20"/>
    </row>
    <row r="338" spans="1:7" ht="13.15" customHeight="1">
      <c r="A338" s="285">
        <f t="shared" si="7"/>
        <v>336</v>
      </c>
      <c r="B338" s="286">
        <v>33.96</v>
      </c>
      <c r="C338"/>
      <c r="F338" s="20"/>
      <c r="G338" s="20"/>
    </row>
    <row r="339" spans="1:7" ht="13.15" customHeight="1">
      <c r="A339" s="285">
        <f t="shared" si="7"/>
        <v>337</v>
      </c>
      <c r="B339" s="287">
        <v>33.96</v>
      </c>
      <c r="C339"/>
      <c r="F339" s="20"/>
      <c r="G339" s="20"/>
    </row>
    <row r="340" spans="1:7" ht="13.15" customHeight="1">
      <c r="A340" s="285">
        <f t="shared" si="7"/>
        <v>338</v>
      </c>
      <c r="B340" s="287">
        <v>33.51</v>
      </c>
      <c r="C340"/>
      <c r="F340" s="20"/>
      <c r="G340" s="20"/>
    </row>
    <row r="341" spans="1:7" ht="13.15" customHeight="1">
      <c r="A341" s="285">
        <f t="shared" si="7"/>
        <v>339</v>
      </c>
      <c r="B341" s="287">
        <v>33.950000000000003</v>
      </c>
      <c r="C341"/>
      <c r="F341" s="20"/>
      <c r="G341" s="20"/>
    </row>
    <row r="342" spans="1:7" ht="13.15" customHeight="1">
      <c r="A342" s="285">
        <f t="shared" si="7"/>
        <v>340</v>
      </c>
      <c r="B342" s="287">
        <v>33.950000000000003</v>
      </c>
      <c r="C342"/>
      <c r="F342" s="20"/>
      <c r="G342" s="20"/>
    </row>
    <row r="343" spans="1:7" ht="13.15" customHeight="1">
      <c r="A343" s="285">
        <f t="shared" si="7"/>
        <v>341</v>
      </c>
      <c r="B343" s="287">
        <v>33.71</v>
      </c>
      <c r="C343"/>
      <c r="F343" s="20"/>
      <c r="G343" s="20"/>
    </row>
    <row r="344" spans="1:7" ht="13.15" customHeight="1">
      <c r="A344" s="285">
        <f t="shared" si="7"/>
        <v>342</v>
      </c>
      <c r="B344" s="287">
        <v>33.96</v>
      </c>
      <c r="C344"/>
      <c r="F344" s="20"/>
      <c r="G344" s="20"/>
    </row>
    <row r="345" spans="1:7" ht="13.15" customHeight="1">
      <c r="A345" s="285">
        <f t="shared" si="7"/>
        <v>343</v>
      </c>
      <c r="B345" s="287">
        <v>33.25</v>
      </c>
      <c r="C345"/>
      <c r="F345" s="20"/>
      <c r="G345" s="20"/>
    </row>
    <row r="346" spans="1:7" ht="13.15" customHeight="1">
      <c r="A346" s="285">
        <f t="shared" si="7"/>
        <v>344</v>
      </c>
      <c r="B346" s="287">
        <v>31.67</v>
      </c>
      <c r="C346"/>
      <c r="F346" s="20"/>
      <c r="G346" s="20"/>
    </row>
    <row r="347" spans="1:7" ht="13.15" customHeight="1">
      <c r="A347" s="285">
        <f t="shared" si="7"/>
        <v>345</v>
      </c>
      <c r="B347" s="287">
        <v>32.700000000000003</v>
      </c>
      <c r="C347"/>
      <c r="F347" s="20"/>
      <c r="G347" s="20"/>
    </row>
    <row r="348" spans="1:7" ht="13.15" customHeight="1">
      <c r="A348" s="285">
        <f t="shared" si="7"/>
        <v>346</v>
      </c>
      <c r="B348" s="287">
        <v>33.33</v>
      </c>
      <c r="C348"/>
      <c r="F348" s="20"/>
      <c r="G348" s="20"/>
    </row>
    <row r="349" spans="1:7" ht="13.15" customHeight="1">
      <c r="A349" s="285">
        <f t="shared" si="7"/>
        <v>347</v>
      </c>
      <c r="B349" s="286">
        <v>33.909999999999997</v>
      </c>
      <c r="C349"/>
      <c r="F349" s="20"/>
      <c r="G349" s="20"/>
    </row>
    <row r="350" spans="1:7" ht="13.15" customHeight="1">
      <c r="A350" s="285">
        <f t="shared" si="7"/>
        <v>348</v>
      </c>
      <c r="B350" s="286">
        <v>33.15</v>
      </c>
      <c r="C350"/>
      <c r="F350" s="20"/>
      <c r="G350" s="20"/>
    </row>
    <row r="351" spans="1:7" ht="13.15" customHeight="1">
      <c r="A351" s="285">
        <f t="shared" si="7"/>
        <v>349</v>
      </c>
      <c r="B351" s="286">
        <v>33.729999999999997</v>
      </c>
      <c r="C351"/>
      <c r="F351" s="20"/>
      <c r="G351" s="20"/>
    </row>
    <row r="352" spans="1:7" ht="13.15" customHeight="1">
      <c r="A352" s="285">
        <f t="shared" si="7"/>
        <v>350</v>
      </c>
      <c r="B352" s="286">
        <v>33.33</v>
      </c>
      <c r="C352"/>
      <c r="F352" s="20"/>
      <c r="G352" s="20"/>
    </row>
    <row r="353" spans="1:7" ht="13.15" customHeight="1">
      <c r="A353" s="285">
        <f t="shared" si="7"/>
        <v>351</v>
      </c>
      <c r="B353" s="286">
        <v>33.74</v>
      </c>
      <c r="C353"/>
      <c r="F353" s="20"/>
      <c r="G353" s="20"/>
    </row>
    <row r="354" spans="1:7" ht="13.15" customHeight="1">
      <c r="A354" s="285">
        <f t="shared" si="7"/>
        <v>352</v>
      </c>
      <c r="B354" s="286">
        <v>33.47</v>
      </c>
      <c r="C354"/>
      <c r="F354" s="20"/>
      <c r="G354" s="20"/>
    </row>
    <row r="355" spans="1:7" ht="13.15" customHeight="1">
      <c r="A355" s="285">
        <f t="shared" si="7"/>
        <v>353</v>
      </c>
      <c r="B355" s="286">
        <v>32.97</v>
      </c>
      <c r="C355"/>
      <c r="F355" s="20"/>
      <c r="G355" s="20"/>
    </row>
    <row r="356" spans="1:7" ht="13.15" customHeight="1">
      <c r="A356" s="285">
        <f t="shared" si="7"/>
        <v>354</v>
      </c>
      <c r="B356" s="286">
        <v>33.54</v>
      </c>
      <c r="C356"/>
      <c r="F356" s="20"/>
      <c r="G356" s="20"/>
    </row>
    <row r="357" spans="1:7" ht="13.15" customHeight="1">
      <c r="A357" s="285">
        <f t="shared" si="7"/>
        <v>355</v>
      </c>
      <c r="B357" s="286">
        <v>33.43</v>
      </c>
      <c r="C357"/>
      <c r="F357" s="20"/>
      <c r="G357" s="20"/>
    </row>
    <row r="358" spans="1:7" ht="13.15" customHeight="1">
      <c r="A358" s="285">
        <f t="shared" si="7"/>
        <v>356</v>
      </c>
      <c r="B358" s="286">
        <v>33.68</v>
      </c>
      <c r="C358"/>
      <c r="F358" s="20"/>
      <c r="G358" s="20"/>
    </row>
    <row r="359" spans="1:7" ht="13.15" customHeight="1">
      <c r="A359" s="285">
        <f t="shared" si="7"/>
        <v>357</v>
      </c>
      <c r="B359" s="286">
        <v>33.630000000000003</v>
      </c>
      <c r="C359"/>
      <c r="F359" s="20"/>
      <c r="G359" s="20"/>
    </row>
    <row r="360" spans="1:7" ht="13.15" customHeight="1">
      <c r="A360" s="285">
        <f t="shared" si="7"/>
        <v>358</v>
      </c>
      <c r="B360" s="286">
        <v>33.47</v>
      </c>
      <c r="C360"/>
      <c r="F360" s="20"/>
      <c r="G360" s="20"/>
    </row>
    <row r="361" spans="1:7" ht="13.15" customHeight="1">
      <c r="A361" s="285">
        <f t="shared" si="7"/>
        <v>359</v>
      </c>
      <c r="B361" s="286">
        <v>31.55</v>
      </c>
      <c r="C361"/>
      <c r="F361" s="20"/>
      <c r="G361" s="20"/>
    </row>
    <row r="362" spans="1:7" ht="13.15" customHeight="1">
      <c r="A362" s="285">
        <f t="shared" si="7"/>
        <v>360</v>
      </c>
      <c r="B362" s="286">
        <v>33.479999999999997</v>
      </c>
      <c r="C362"/>
      <c r="F362" s="20"/>
      <c r="G362" s="20"/>
    </row>
    <row r="363" spans="1:7" ht="13.15" customHeight="1">
      <c r="A363" s="285">
        <f t="shared" si="7"/>
        <v>361</v>
      </c>
      <c r="B363" s="286">
        <v>33.380000000000003</v>
      </c>
      <c r="C363"/>
      <c r="F363" s="20"/>
      <c r="G363" s="20"/>
    </row>
    <row r="364" spans="1:7" ht="13.15" customHeight="1">
      <c r="A364" s="285">
        <f t="shared" si="7"/>
        <v>362</v>
      </c>
      <c r="B364" s="286">
        <v>33.08</v>
      </c>
      <c r="C364"/>
      <c r="F364" s="20"/>
      <c r="G364" s="20"/>
    </row>
    <row r="365" spans="1:7" ht="13.15" customHeight="1">
      <c r="A365" s="285">
        <f t="shared" si="7"/>
        <v>363</v>
      </c>
      <c r="B365" s="286">
        <v>33.67</v>
      </c>
      <c r="C365"/>
      <c r="F365" s="20"/>
      <c r="G365" s="20"/>
    </row>
    <row r="366" spans="1:7" ht="13.15" customHeight="1">
      <c r="A366" s="285">
        <f t="shared" si="7"/>
        <v>364</v>
      </c>
      <c r="B366" s="286">
        <v>33.270000000000003</v>
      </c>
      <c r="C366"/>
      <c r="F366" s="20"/>
      <c r="G366" s="20"/>
    </row>
    <row r="367" spans="1:7" ht="13.15" customHeight="1">
      <c r="A367" s="285">
        <f t="shared" si="7"/>
        <v>365</v>
      </c>
      <c r="B367" s="286">
        <v>33.549999999999997</v>
      </c>
      <c r="C367"/>
      <c r="F367" s="20"/>
      <c r="G367" s="20"/>
    </row>
    <row r="368" spans="1:7" ht="13.15" customHeight="1">
      <c r="A368" s="285">
        <f t="shared" si="7"/>
        <v>366</v>
      </c>
      <c r="B368" s="286">
        <v>33.29</v>
      </c>
      <c r="C368"/>
      <c r="F368" s="20"/>
      <c r="G368" s="20"/>
    </row>
    <row r="369" spans="1:7" ht="13.15" customHeight="1">
      <c r="A369" s="285">
        <f t="shared" si="7"/>
        <v>367</v>
      </c>
      <c r="B369" s="286">
        <v>33.729999999999997</v>
      </c>
      <c r="C369"/>
      <c r="F369" s="20"/>
      <c r="G369" s="20"/>
    </row>
    <row r="370" spans="1:7" ht="13.15" customHeight="1">
      <c r="A370" s="285">
        <f t="shared" si="7"/>
        <v>368</v>
      </c>
      <c r="B370" s="286">
        <v>33.15</v>
      </c>
      <c r="C370"/>
      <c r="F370" s="20"/>
      <c r="G370" s="20"/>
    </row>
    <row r="371" spans="1:7" ht="13.15" customHeight="1">
      <c r="A371" s="285">
        <f t="shared" si="7"/>
        <v>369</v>
      </c>
      <c r="B371" s="286">
        <v>33.49</v>
      </c>
      <c r="C371"/>
      <c r="F371" s="20"/>
      <c r="G371" s="20"/>
    </row>
    <row r="372" spans="1:7" ht="13.15" customHeight="1">
      <c r="A372" s="285">
        <f t="shared" si="7"/>
        <v>370</v>
      </c>
      <c r="B372" s="288">
        <v>33.96</v>
      </c>
      <c r="C372"/>
      <c r="F372" s="20"/>
      <c r="G372" s="20"/>
    </row>
    <row r="373" spans="1:7" ht="13.15" customHeight="1">
      <c r="A373" s="285">
        <f t="shared" si="7"/>
        <v>371</v>
      </c>
      <c r="B373" s="288">
        <v>33.950000000000003</v>
      </c>
      <c r="C373"/>
      <c r="F373" s="20"/>
      <c r="G373" s="20"/>
    </row>
    <row r="374" spans="1:7" ht="13.15" customHeight="1">
      <c r="A374" s="285">
        <f t="shared" si="7"/>
        <v>372</v>
      </c>
      <c r="B374" s="288">
        <v>33.94</v>
      </c>
      <c r="C374"/>
      <c r="F374" s="20"/>
      <c r="G374" s="20"/>
    </row>
    <row r="375" spans="1:7" ht="13.15" customHeight="1">
      <c r="A375" s="285">
        <f t="shared" si="7"/>
        <v>373</v>
      </c>
      <c r="B375" s="288">
        <v>33.950000000000003</v>
      </c>
      <c r="C375"/>
      <c r="F375" s="20"/>
      <c r="G375" s="20"/>
    </row>
    <row r="376" spans="1:7" ht="13.15" customHeight="1">
      <c r="A376" s="285">
        <f t="shared" si="7"/>
        <v>374</v>
      </c>
      <c r="B376" s="289">
        <v>33.950000000000003</v>
      </c>
      <c r="C376"/>
      <c r="F376" s="20"/>
      <c r="G376" s="20"/>
    </row>
    <row r="377" spans="1:7" ht="13.15" customHeight="1">
      <c r="A377" s="285">
        <f t="shared" si="7"/>
        <v>375</v>
      </c>
      <c r="B377" s="289">
        <v>33.96</v>
      </c>
      <c r="C377"/>
      <c r="F377" s="20"/>
      <c r="G377" s="20"/>
    </row>
    <row r="378" spans="1:7" ht="13.15" customHeight="1">
      <c r="A378" s="285">
        <f t="shared" si="7"/>
        <v>376</v>
      </c>
      <c r="B378" s="289">
        <v>33.950000000000003</v>
      </c>
      <c r="C378"/>
      <c r="F378" s="20"/>
      <c r="G378" s="20"/>
    </row>
    <row r="379" spans="1:7" ht="13.15" customHeight="1">
      <c r="A379" s="285">
        <f t="shared" si="7"/>
        <v>377</v>
      </c>
      <c r="B379" s="289">
        <v>33.96</v>
      </c>
      <c r="C379"/>
      <c r="F379" s="20"/>
      <c r="G379" s="20"/>
    </row>
    <row r="380" spans="1:7" ht="13.15" customHeight="1">
      <c r="A380" s="285">
        <f t="shared" si="7"/>
        <v>378</v>
      </c>
      <c r="B380" s="289">
        <v>33.96</v>
      </c>
      <c r="C380"/>
      <c r="F380" s="20"/>
      <c r="G380" s="20"/>
    </row>
    <row r="381" spans="1:7" ht="13.15" customHeight="1">
      <c r="A381" s="285"/>
      <c r="B381" s="289"/>
      <c r="C381"/>
      <c r="F381" s="20"/>
      <c r="G381" s="20"/>
    </row>
    <row r="382" spans="1:7" ht="13.15" customHeight="1">
      <c r="A382" s="285"/>
      <c r="B382" s="289"/>
      <c r="C382"/>
      <c r="F382" s="20"/>
      <c r="G382" s="20"/>
    </row>
    <row r="383" spans="1:7" ht="13.15" customHeight="1">
      <c r="A383" s="285"/>
      <c r="B383" s="289"/>
      <c r="C383"/>
      <c r="F383" s="20"/>
      <c r="G383" s="20"/>
    </row>
    <row r="384" spans="1:7" ht="13.15" customHeight="1">
      <c r="A384" s="285"/>
      <c r="B384" s="289"/>
      <c r="C384"/>
      <c r="F384" s="20"/>
      <c r="G384" s="20"/>
    </row>
    <row r="385" spans="1:7" ht="13.15" customHeight="1">
      <c r="A385" s="285"/>
      <c r="B385" s="289"/>
      <c r="C385"/>
      <c r="F385" s="20"/>
      <c r="G385" s="20"/>
    </row>
    <row r="386" spans="1:7" ht="13.15" customHeight="1">
      <c r="A386" s="285"/>
      <c r="B386" s="289"/>
      <c r="C386"/>
      <c r="F386" s="20"/>
      <c r="G386" s="20"/>
    </row>
    <row r="387" spans="1:7" ht="13.15" customHeight="1">
      <c r="A387" s="285"/>
      <c r="B387" s="289"/>
      <c r="C387"/>
      <c r="F387" s="20"/>
      <c r="G387" s="20"/>
    </row>
    <row r="388" spans="1:7" ht="13.15" customHeight="1">
      <c r="A388" s="285"/>
      <c r="B388" s="289"/>
      <c r="C388"/>
      <c r="F388" s="20"/>
      <c r="G388" s="20"/>
    </row>
    <row r="389" spans="1:7" ht="13.15" customHeight="1" thickBot="1">
      <c r="A389" s="285"/>
      <c r="B389" s="307"/>
      <c r="C389"/>
    </row>
    <row r="390" spans="1:7" ht="12.75">
      <c r="C390"/>
    </row>
    <row r="391" spans="1:7" ht="12.75">
      <c r="C391"/>
    </row>
    <row r="392" spans="1:7" ht="12.75">
      <c r="C392"/>
    </row>
    <row r="393" spans="1:7" ht="12.75">
      <c r="C393"/>
    </row>
    <row r="394" spans="1:7" ht="12.75">
      <c r="C394"/>
    </row>
    <row r="395" spans="1:7" ht="12.75">
      <c r="C395"/>
    </row>
    <row r="396" spans="1:7" ht="12.75">
      <c r="C396"/>
    </row>
    <row r="397" spans="1:7" ht="12.75">
      <c r="C397"/>
    </row>
    <row r="398" spans="1:7" ht="12.75">
      <c r="C398"/>
    </row>
    <row r="399" spans="1:7" ht="12.75">
      <c r="C399"/>
    </row>
    <row r="400" spans="1:7" ht="12.75">
      <c r="C400"/>
    </row>
    <row r="401" spans="3:3" ht="12.75">
      <c r="C401"/>
    </row>
    <row r="402" spans="3:3" ht="12.75">
      <c r="C402"/>
    </row>
    <row r="403" spans="3:3" ht="12.75">
      <c r="C403"/>
    </row>
    <row r="404" spans="3:3" ht="12.75">
      <c r="C404"/>
    </row>
    <row r="405" spans="3:3" ht="12.75">
      <c r="C405"/>
    </row>
    <row r="406" spans="3:3" ht="12.75">
      <c r="C406"/>
    </row>
    <row r="407" spans="3:3" ht="12.75">
      <c r="C407"/>
    </row>
    <row r="408" spans="3:3" ht="12.75">
      <c r="C408"/>
    </row>
    <row r="409" spans="3:3" ht="12.75">
      <c r="C409"/>
    </row>
    <row r="410" spans="3:3" ht="12.75">
      <c r="C410"/>
    </row>
    <row r="411" spans="3:3" ht="12.75">
      <c r="C411"/>
    </row>
    <row r="412" spans="3:3" ht="12.75">
      <c r="C412"/>
    </row>
    <row r="413" spans="3:3" ht="12.75">
      <c r="C413"/>
    </row>
    <row r="414" spans="3:3" ht="12.75">
      <c r="C414"/>
    </row>
    <row r="415" spans="3:3" ht="12.75">
      <c r="C415"/>
    </row>
    <row r="416" spans="3:3" ht="12.75">
      <c r="C416"/>
    </row>
    <row r="417" spans="3:3" ht="12.75">
      <c r="C417"/>
    </row>
    <row r="418" spans="3:3" ht="12.75">
      <c r="C418"/>
    </row>
    <row r="419" spans="3:3" ht="12.75">
      <c r="C419"/>
    </row>
  </sheetData>
  <autoFilter ref="A2:B2" xr:uid="{ADBCD166-891B-4FA8-ABC6-D8CC1DE51925}">
    <sortState xmlns:xlrd2="http://schemas.microsoft.com/office/spreadsheetml/2017/richdata2" ref="A3:B389">
      <sortCondition ref="A2"/>
    </sortState>
  </autoFilter>
  <sortState xmlns:xlrd2="http://schemas.microsoft.com/office/spreadsheetml/2017/richdata2" ref="F4:G18">
    <sortCondition ref="G4:G18"/>
  </sortState>
  <mergeCells count="2">
    <mergeCell ref="I9:K9"/>
    <mergeCell ref="I1:J1"/>
  </mergeCells>
  <phoneticPr fontId="8" type="noConversion"/>
  <conditionalFormatting sqref="I3:I6 I7:J8 I9">
    <cfRule type="expression" dxfId="1" priority="3" stopIfTrue="1">
      <formula>"$O7=in"</formula>
    </cfRule>
  </conditionalFormatting>
  <conditionalFormatting sqref="I11:I18 I19:J23">
    <cfRule type="expression" dxfId="0" priority="2" stopIfTrue="1">
      <formula>"$O7=in"</formula>
    </cfRule>
  </conditionalFormatting>
  <pageMargins left="0.7" right="0.7" top="0.75" bottom="0.75" header="0.3" footer="0.3"/>
  <pageSetup orientation="portrait" r:id="rId1"/>
  <headerFooter>
    <oddHeader>&amp;L&amp;"Calibri"&amp;9&amp;K000000Classification: Internal&amp;1#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4BE5F-A30D-400D-ACA0-1229FCDF3186}">
  <sheetPr>
    <pageSetUpPr fitToPage="1"/>
  </sheetPr>
  <dimension ref="A1:Y426"/>
  <sheetViews>
    <sheetView showGridLines="0" defaultGridColor="0" topLeftCell="A399" colorId="10" zoomScale="90" zoomScaleNormal="90" zoomScaleSheetLayoutView="90" workbookViewId="0">
      <selection activeCell="L422" sqref="L422"/>
    </sheetView>
  </sheetViews>
  <sheetFormatPr defaultColWidth="11.42578125" defaultRowHeight="12.75"/>
  <cols>
    <col min="1" max="1" width="1.42578125" customWidth="1"/>
    <col min="2" max="2" width="15" style="1" customWidth="1"/>
    <col min="3" max="3" width="5.5703125" style="20" customWidth="1"/>
    <col min="4" max="4" width="14.85546875" style="4" customWidth="1"/>
    <col min="5" max="5" width="11.28515625" style="4" customWidth="1"/>
    <col min="6" max="6" width="8.42578125" style="164" customWidth="1"/>
    <col min="7" max="7" width="10.5703125" style="164" customWidth="1"/>
    <col min="8" max="8" width="9.42578125" style="164" bestFit="1" customWidth="1"/>
    <col min="9" max="9" width="9.5703125" style="164" customWidth="1"/>
    <col min="10" max="10" width="12.28515625" style="164" customWidth="1"/>
    <col min="11" max="11" width="17.42578125" style="172" customWidth="1"/>
    <col min="12" max="12" width="13.42578125" style="9" customWidth="1"/>
    <col min="13" max="13" width="13.7109375" customWidth="1"/>
    <col min="14" max="16" width="11.42578125" customWidth="1"/>
    <col min="17" max="17" width="14.42578125" customWidth="1"/>
    <col min="18" max="18" width="35.5703125" customWidth="1"/>
    <col min="19" max="19" width="11.42578125" customWidth="1"/>
  </cols>
  <sheetData>
    <row r="1" spans="1:20">
      <c r="B1"/>
      <c r="C1"/>
      <c r="D1"/>
      <c r="E1"/>
      <c r="F1"/>
      <c r="G1"/>
      <c r="H1"/>
      <c r="I1"/>
      <c r="J1"/>
      <c r="K1"/>
      <c r="L1"/>
    </row>
    <row r="2" spans="1:20" ht="15.75">
      <c r="A2" s="21"/>
      <c r="B2" s="5"/>
      <c r="C2" s="19"/>
      <c r="D2" s="16"/>
      <c r="E2" s="3"/>
      <c r="F2" s="213"/>
      <c r="G2" s="214"/>
      <c r="H2" s="213"/>
      <c r="I2" s="213" t="s">
        <v>71</v>
      </c>
      <c r="J2" s="170"/>
      <c r="K2" s="170"/>
      <c r="L2" s="227"/>
      <c r="M2" s="228"/>
      <c r="N2" s="18"/>
    </row>
    <row r="3" spans="1:20" ht="2.25" customHeight="1">
      <c r="B3" s="6"/>
      <c r="C3" s="8"/>
      <c r="D3" s="14"/>
      <c r="E3" s="174"/>
      <c r="F3" s="210"/>
      <c r="G3" s="211"/>
      <c r="H3" s="216"/>
      <c r="I3" s="212"/>
      <c r="K3" s="171"/>
      <c r="L3" s="229" t="s">
        <v>175</v>
      </c>
      <c r="M3" s="161"/>
    </row>
    <row r="4" spans="1:20" ht="17.25" customHeight="1">
      <c r="B4" s="6"/>
      <c r="C4" s="8"/>
      <c r="D4" s="14"/>
      <c r="E4" s="14"/>
      <c r="F4" s="163"/>
      <c r="G4" s="215"/>
      <c r="H4" s="217" t="s">
        <v>190</v>
      </c>
      <c r="I4" s="215"/>
      <c r="K4" s="171"/>
      <c r="L4" s="23"/>
      <c r="M4" s="22"/>
    </row>
    <row r="5" spans="1:20" ht="21.75" customHeight="1">
      <c r="B5" s="6"/>
      <c r="C5" s="8"/>
      <c r="D5" s="14"/>
      <c r="E5" s="14"/>
      <c r="F5" s="163"/>
      <c r="G5" s="165"/>
      <c r="H5" s="163"/>
      <c r="I5" s="165"/>
      <c r="K5" s="219" t="s">
        <v>94</v>
      </c>
      <c r="L5" s="226">
        <v>44347</v>
      </c>
      <c r="M5" s="22"/>
    </row>
    <row r="6" spans="1:20" ht="18">
      <c r="B6" s="12"/>
      <c r="C6" s="260"/>
      <c r="D6" s="194" t="s">
        <v>83</v>
      </c>
      <c r="E6" s="484" t="s">
        <v>66</v>
      </c>
      <c r="F6" s="485"/>
      <c r="G6" s="234" t="s">
        <v>0</v>
      </c>
      <c r="H6" s="235" t="s">
        <v>186</v>
      </c>
      <c r="K6" s="218" t="s">
        <v>135</v>
      </c>
      <c r="L6" s="220" t="s">
        <v>191</v>
      </c>
      <c r="M6" s="7"/>
    </row>
    <row r="7" spans="1:20">
      <c r="B7" s="24"/>
      <c r="C7" s="8"/>
      <c r="D7" s="194" t="s">
        <v>82</v>
      </c>
      <c r="E7" s="484" t="s">
        <v>77</v>
      </c>
      <c r="F7" s="485"/>
      <c r="G7" s="234" t="s">
        <v>1</v>
      </c>
      <c r="H7" s="236" t="s">
        <v>153</v>
      </c>
      <c r="I7" s="173"/>
      <c r="J7" s="20"/>
      <c r="K7" s="218" t="s">
        <v>123</v>
      </c>
      <c r="L7" s="220" t="s">
        <v>183</v>
      </c>
      <c r="M7" s="7"/>
    </row>
    <row r="8" spans="1:20">
      <c r="B8" s="6"/>
      <c r="C8" s="8"/>
      <c r="D8" s="194" t="s">
        <v>68</v>
      </c>
      <c r="E8" s="484" t="s">
        <v>78</v>
      </c>
      <c r="F8" s="485"/>
      <c r="G8" s="234"/>
      <c r="H8" s="235"/>
      <c r="I8" s="169"/>
      <c r="K8" s="171"/>
      <c r="L8" s="221"/>
      <c r="M8" s="7"/>
    </row>
    <row r="9" spans="1:20">
      <c r="B9" s="6"/>
      <c r="C9" s="8"/>
      <c r="D9" s="194" t="s">
        <v>67</v>
      </c>
      <c r="E9" s="486" t="s">
        <v>79</v>
      </c>
      <c r="F9" s="487"/>
      <c r="G9" s="234" t="s">
        <v>2</v>
      </c>
      <c r="H9" s="251">
        <v>85</v>
      </c>
      <c r="I9" s="167"/>
      <c r="J9" s="167"/>
      <c r="K9" s="219" t="s">
        <v>27</v>
      </c>
      <c r="L9" s="262">
        <v>11334.88</v>
      </c>
      <c r="M9" s="2" t="s">
        <v>30</v>
      </c>
    </row>
    <row r="10" spans="1:20">
      <c r="B10" s="6"/>
      <c r="C10" s="8"/>
      <c r="D10" s="194" t="s">
        <v>3</v>
      </c>
      <c r="E10" s="488">
        <v>26</v>
      </c>
      <c r="F10" s="489"/>
      <c r="G10" s="234" t="s">
        <v>4</v>
      </c>
      <c r="H10" s="257">
        <v>12.3</v>
      </c>
      <c r="I10" s="168"/>
      <c r="K10" s="219" t="s">
        <v>5</v>
      </c>
      <c r="L10" s="261">
        <v>21232</v>
      </c>
      <c r="M10" s="2" t="s">
        <v>30</v>
      </c>
    </row>
    <row r="11" spans="1:20">
      <c r="B11" s="6"/>
      <c r="C11" s="8"/>
      <c r="D11" s="194" t="s">
        <v>6</v>
      </c>
      <c r="E11" s="490" t="s">
        <v>81</v>
      </c>
      <c r="F11" s="491"/>
      <c r="G11" s="234" t="s">
        <v>7</v>
      </c>
      <c r="H11" s="237">
        <f>(65.45-H10)/65.45</f>
        <v>0.81207028265851799</v>
      </c>
      <c r="I11" s="168"/>
      <c r="K11" s="219" t="s">
        <v>73</v>
      </c>
      <c r="L11" s="261">
        <v>21222</v>
      </c>
      <c r="M11" s="2" t="s">
        <v>30</v>
      </c>
      <c r="O11" s="13"/>
    </row>
    <row r="12" spans="1:20">
      <c r="B12" s="6"/>
      <c r="C12" s="185"/>
      <c r="D12" s="194" t="s">
        <v>21</v>
      </c>
      <c r="E12" s="197">
        <f>F12/12</f>
        <v>0.39799999999999996</v>
      </c>
      <c r="F12" s="196">
        <v>4.7759999999999998</v>
      </c>
      <c r="G12" s="166"/>
      <c r="H12" s="195"/>
      <c r="I12" s="168"/>
      <c r="K12" s="219" t="s">
        <v>72</v>
      </c>
      <c r="L12" s="263">
        <f>F15+J15</f>
        <v>11354.509999999998</v>
      </c>
      <c r="M12" s="2" t="s">
        <v>30</v>
      </c>
      <c r="Q12" s="191"/>
    </row>
    <row r="13" spans="1:20" ht="13.15" customHeight="1">
      <c r="B13" s="323" t="s">
        <v>8</v>
      </c>
      <c r="C13" s="324"/>
      <c r="D13" s="325"/>
      <c r="E13" s="324" t="s">
        <v>9</v>
      </c>
      <c r="F13" s="325" t="s">
        <v>9</v>
      </c>
      <c r="G13" s="326" t="s">
        <v>22</v>
      </c>
      <c r="H13" s="326" t="s">
        <v>9</v>
      </c>
      <c r="I13" s="327" t="s">
        <v>10</v>
      </c>
      <c r="J13" s="325" t="s">
        <v>11</v>
      </c>
      <c r="K13" s="328" t="s">
        <v>12</v>
      </c>
      <c r="L13" s="496" t="s">
        <v>20</v>
      </c>
      <c r="M13" s="497"/>
    </row>
    <row r="14" spans="1:20" ht="14.1" customHeight="1">
      <c r="B14" s="329" t="s">
        <v>13</v>
      </c>
      <c r="C14" s="329" t="s">
        <v>24</v>
      </c>
      <c r="D14" s="330" t="s">
        <v>23</v>
      </c>
      <c r="E14" s="330" t="s">
        <v>15</v>
      </c>
      <c r="F14" s="331" t="s">
        <v>16</v>
      </c>
      <c r="G14" s="332" t="s">
        <v>16</v>
      </c>
      <c r="H14" s="332" t="s">
        <v>17</v>
      </c>
      <c r="I14" s="333" t="s">
        <v>16</v>
      </c>
      <c r="J14" s="331" t="s">
        <v>18</v>
      </c>
      <c r="K14" s="334" t="s">
        <v>19</v>
      </c>
      <c r="L14" s="498"/>
      <c r="M14" s="499"/>
    </row>
    <row r="15" spans="1:20" ht="17.100000000000001" customHeight="1">
      <c r="B15" s="467" t="s">
        <v>116</v>
      </c>
      <c r="C15" s="469" t="s">
        <v>181</v>
      </c>
      <c r="D15" s="470" t="s">
        <v>115</v>
      </c>
      <c r="E15" s="470"/>
      <c r="F15" s="301">
        <v>19.63</v>
      </c>
      <c r="G15" s="301">
        <f t="shared" ref="G15:G23" si="0">F15</f>
        <v>19.63</v>
      </c>
      <c r="H15" s="182" t="s">
        <v>25</v>
      </c>
      <c r="I15" s="301">
        <v>0</v>
      </c>
      <c r="J15" s="303">
        <f>IF(I15="","",$L$9-I15)</f>
        <v>11334.88</v>
      </c>
      <c r="K15" s="183">
        <f t="shared" ref="K15:K78" si="1">$H$9+(I15*$E$10*$H$11/1000)</f>
        <v>85</v>
      </c>
      <c r="L15" s="503" t="s">
        <v>125</v>
      </c>
      <c r="M15" s="503"/>
      <c r="N15" s="13"/>
      <c r="T15" s="191"/>
    </row>
    <row r="16" spans="1:20" ht="17.850000000000001" customHeight="1">
      <c r="B16" s="467"/>
      <c r="C16" s="469"/>
      <c r="D16" s="471" t="s">
        <v>114</v>
      </c>
      <c r="E16" s="472"/>
      <c r="F16" s="301">
        <v>2.69</v>
      </c>
      <c r="G16" s="301">
        <f t="shared" si="0"/>
        <v>2.69</v>
      </c>
      <c r="H16" s="181" t="str">
        <f t="shared" ref="H16:H78" si="2">IF(F16="","OUT","IN")</f>
        <v>IN</v>
      </c>
      <c r="I16" s="301">
        <f>IF(H16="IN",I15+G16,I15)</f>
        <v>2.69</v>
      </c>
      <c r="J16" s="301">
        <f>IF(I16="","",$L$9-I16)</f>
        <v>11332.189999999999</v>
      </c>
      <c r="K16" s="183">
        <f t="shared" si="1"/>
        <v>85.056796195569135</v>
      </c>
      <c r="L16" s="473" t="s">
        <v>188</v>
      </c>
      <c r="M16" s="473"/>
      <c r="N16" s="13"/>
    </row>
    <row r="17" spans="2:25" ht="18" customHeight="1">
      <c r="B17" s="467"/>
      <c r="C17" s="469"/>
      <c r="D17" s="470" t="s">
        <v>121</v>
      </c>
      <c r="E17" s="470"/>
      <c r="F17" s="301">
        <v>7.92</v>
      </c>
      <c r="G17" s="301">
        <f t="shared" si="0"/>
        <v>7.92</v>
      </c>
      <c r="H17" s="181" t="str">
        <f t="shared" si="2"/>
        <v>IN</v>
      </c>
      <c r="I17" s="301">
        <f>IF(H17="IN",I16+G17,I16)</f>
        <v>10.61</v>
      </c>
      <c r="J17" s="301">
        <f>IF(I17="","",$L$9-I17)</f>
        <v>11324.269999999999</v>
      </c>
      <c r="K17" s="183">
        <f t="shared" si="1"/>
        <v>85.224017708174173</v>
      </c>
      <c r="L17" s="508"/>
      <c r="M17" s="508"/>
      <c r="N17" s="13"/>
    </row>
    <row r="18" spans="2:25" ht="13.5" customHeight="1">
      <c r="B18" s="185">
        <v>1</v>
      </c>
      <c r="C18" s="185"/>
      <c r="D18" s="186">
        <v>7</v>
      </c>
      <c r="E18" s="259">
        <v>1</v>
      </c>
      <c r="F18" s="186">
        <v>33.340000000000003</v>
      </c>
      <c r="G18" s="304">
        <f>F18-($E$12)</f>
        <v>32.942</v>
      </c>
      <c r="H18" s="187" t="str">
        <f t="shared" si="2"/>
        <v>IN</v>
      </c>
      <c r="I18" s="265">
        <f t="shared" ref="I18:I81" si="3">IF(H18="IN",I17+G18,I17)</f>
        <v>43.552</v>
      </c>
      <c r="J18" s="265">
        <f t="shared" ref="J18:J81" si="4">IF(I18="","",$L$9-I18)</f>
        <v>11291.328</v>
      </c>
      <c r="K18" s="269">
        <f t="shared" si="1"/>
        <v>85.919549408708932</v>
      </c>
      <c r="L18" s="254"/>
      <c r="M18" s="255"/>
      <c r="N18" s="13"/>
      <c r="P18" s="208"/>
      <c r="Q18" s="208"/>
      <c r="R18" s="13"/>
      <c r="W18" s="13"/>
    </row>
    <row r="19" spans="2:25" ht="13.5" customHeight="1">
      <c r="B19" s="463" t="s">
        <v>118</v>
      </c>
      <c r="C19" s="464">
        <v>11889450</v>
      </c>
      <c r="D19" s="466" t="s">
        <v>121</v>
      </c>
      <c r="E19" s="466"/>
      <c r="F19" s="302">
        <v>6.22</v>
      </c>
      <c r="G19" s="305">
        <f t="shared" ref="G19" si="5">F19-($E$12)</f>
        <v>5.8220000000000001</v>
      </c>
      <c r="H19" s="184" t="str">
        <f t="shared" si="2"/>
        <v>IN</v>
      </c>
      <c r="I19" s="302">
        <f t="shared" si="3"/>
        <v>49.374000000000002</v>
      </c>
      <c r="J19" s="302">
        <f t="shared" si="4"/>
        <v>11285.505999999999</v>
      </c>
      <c r="K19" s="280">
        <f t="shared" si="1"/>
        <v>86.042474111535526</v>
      </c>
      <c r="L19" s="450" t="s">
        <v>124</v>
      </c>
      <c r="M19" s="450"/>
      <c r="N19" s="13"/>
      <c r="P19" s="208"/>
      <c r="Q19" s="208"/>
      <c r="R19" s="13"/>
      <c r="W19" s="13"/>
    </row>
    <row r="20" spans="2:25" ht="13.35" customHeight="1">
      <c r="B20" s="463"/>
      <c r="C20" s="464"/>
      <c r="D20" s="465" t="s">
        <v>128</v>
      </c>
      <c r="E20" s="465"/>
      <c r="F20" s="302">
        <v>12</v>
      </c>
      <c r="G20" s="302">
        <f t="shared" si="0"/>
        <v>12</v>
      </c>
      <c r="H20" s="184" t="str">
        <f t="shared" si="2"/>
        <v>IN</v>
      </c>
      <c r="I20" s="302">
        <f t="shared" si="3"/>
        <v>61.374000000000002</v>
      </c>
      <c r="J20" s="301">
        <f t="shared" si="4"/>
        <v>11273.505999999999</v>
      </c>
      <c r="K20" s="280">
        <f t="shared" si="1"/>
        <v>86.295840039724979</v>
      </c>
      <c r="L20" s="468" t="s">
        <v>189</v>
      </c>
      <c r="M20" s="468"/>
      <c r="N20" s="13"/>
      <c r="V20" s="191"/>
      <c r="W20" s="13"/>
    </row>
    <row r="21" spans="2:25" ht="13.35" customHeight="1">
      <c r="B21" s="463"/>
      <c r="C21" s="464"/>
      <c r="D21" s="258" t="s">
        <v>129</v>
      </c>
      <c r="E21" s="258"/>
      <c r="F21" s="302">
        <v>3.68</v>
      </c>
      <c r="G21" s="302">
        <f t="shared" si="0"/>
        <v>3.68</v>
      </c>
      <c r="H21" s="184" t="str">
        <f t="shared" si="2"/>
        <v>IN</v>
      </c>
      <c r="I21" s="302">
        <f t="shared" si="3"/>
        <v>65.054000000000002</v>
      </c>
      <c r="J21" s="302">
        <f t="shared" si="4"/>
        <v>11269.825999999999</v>
      </c>
      <c r="K21" s="280">
        <f t="shared" si="1"/>
        <v>86.373538924369754</v>
      </c>
      <c r="L21" s="457" t="s">
        <v>173</v>
      </c>
      <c r="M21" s="458"/>
      <c r="N21" s="13"/>
      <c r="P21" s="208"/>
      <c r="Q21" s="208"/>
    </row>
    <row r="22" spans="2:25" ht="13.35" customHeight="1">
      <c r="B22" s="463"/>
      <c r="C22" s="464"/>
      <c r="D22" s="258" t="s">
        <v>122</v>
      </c>
      <c r="E22" s="258"/>
      <c r="F22" s="302">
        <v>0.97</v>
      </c>
      <c r="G22" s="302">
        <f t="shared" si="0"/>
        <v>0.97</v>
      </c>
      <c r="H22" s="184" t="str">
        <f t="shared" si="2"/>
        <v>IN</v>
      </c>
      <c r="I22" s="302">
        <f t="shared" si="3"/>
        <v>66.024000000000001</v>
      </c>
      <c r="J22" s="302">
        <f t="shared" si="4"/>
        <v>11268.856</v>
      </c>
      <c r="K22" s="280">
        <f t="shared" si="1"/>
        <v>86.394019336898396</v>
      </c>
      <c r="L22" s="457" t="s">
        <v>174</v>
      </c>
      <c r="M22" s="458"/>
      <c r="N22" s="13"/>
      <c r="P22" s="209"/>
      <c r="Q22" s="209"/>
    </row>
    <row r="23" spans="2:25" ht="13.35" customHeight="1" thickBot="1">
      <c r="B23" s="463"/>
      <c r="C23" s="464"/>
      <c r="D23" s="466" t="s">
        <v>121</v>
      </c>
      <c r="E23" s="466"/>
      <c r="F23" s="302">
        <v>7.92</v>
      </c>
      <c r="G23" s="302">
        <f t="shared" si="0"/>
        <v>7.92</v>
      </c>
      <c r="H23" s="184" t="str">
        <f t="shared" si="2"/>
        <v>IN</v>
      </c>
      <c r="I23" s="302">
        <f t="shared" si="3"/>
        <v>73.944000000000003</v>
      </c>
      <c r="J23" s="302">
        <f t="shared" si="4"/>
        <v>11260.936</v>
      </c>
      <c r="K23" s="280">
        <f t="shared" si="1"/>
        <v>86.561240849503434</v>
      </c>
      <c r="L23" s="504" t="s">
        <v>126</v>
      </c>
      <c r="M23" s="505"/>
      <c r="N23" s="13"/>
      <c r="V23" s="13"/>
    </row>
    <row r="24" spans="2:25" ht="13.35" customHeight="1" thickBot="1">
      <c r="B24" s="185">
        <v>2</v>
      </c>
      <c r="C24" s="185"/>
      <c r="D24" s="186">
        <v>7</v>
      </c>
      <c r="E24" s="179">
        <f>E18+1</f>
        <v>2</v>
      </c>
      <c r="F24" s="186">
        <v>32.96</v>
      </c>
      <c r="G24" s="186">
        <f t="shared" ref="G24:G82" si="6">F24-($E$12)</f>
        <v>32.561999999999998</v>
      </c>
      <c r="H24" s="187" t="str">
        <f t="shared" si="2"/>
        <v>IN</v>
      </c>
      <c r="I24" s="265">
        <f t="shared" si="3"/>
        <v>106.506</v>
      </c>
      <c r="J24" s="265">
        <f t="shared" si="4"/>
        <v>11228.374</v>
      </c>
      <c r="K24" s="269">
        <f t="shared" si="1"/>
        <v>87.248749295645524</v>
      </c>
      <c r="L24" s="447"/>
      <c r="M24" s="447"/>
      <c r="N24" s="13"/>
      <c r="O24" s="492" t="s">
        <v>84</v>
      </c>
      <c r="P24" s="493"/>
      <c r="R24" s="222" t="s">
        <v>117</v>
      </c>
      <c r="S24" s="231" t="s">
        <v>87</v>
      </c>
      <c r="V24" s="13"/>
    </row>
    <row r="25" spans="2:25" s="10" customFormat="1" ht="14.1" customHeight="1" thickBot="1">
      <c r="B25" s="185">
        <v>3</v>
      </c>
      <c r="C25" s="185"/>
      <c r="D25" s="186">
        <v>7</v>
      </c>
      <c r="E25" s="179">
        <f>E24+1</f>
        <v>3</v>
      </c>
      <c r="F25" s="186">
        <v>33.450000000000003</v>
      </c>
      <c r="G25" s="186">
        <f t="shared" si="6"/>
        <v>33.052</v>
      </c>
      <c r="H25" s="187" t="str">
        <f t="shared" ref="H25:H88" si="7">IF(F25="","OUT","IN")</f>
        <v>IN</v>
      </c>
      <c r="I25" s="265">
        <f t="shared" si="3"/>
        <v>139.55799999999999</v>
      </c>
      <c r="J25" s="265">
        <f t="shared" si="4"/>
        <v>11195.322</v>
      </c>
      <c r="K25" s="269">
        <f t="shared" si="1"/>
        <v>87.946603517188692</v>
      </c>
      <c r="L25" s="501" t="s">
        <v>31</v>
      </c>
      <c r="M25" s="502"/>
      <c r="N25" s="13"/>
      <c r="O25" s="494"/>
      <c r="P25" s="495"/>
      <c r="R25" s="223" t="s">
        <v>120</v>
      </c>
      <c r="S25" s="224">
        <v>2.74</v>
      </c>
    </row>
    <row r="26" spans="2:25" s="10" customFormat="1" ht="14.1" customHeight="1" thickBot="1">
      <c r="B26" s="185">
        <f t="shared" ref="B26:B88" si="8">B25+1</f>
        <v>4</v>
      </c>
      <c r="C26" s="185"/>
      <c r="D26" s="186">
        <v>7</v>
      </c>
      <c r="E26" s="179">
        <f>E25+1</f>
        <v>4</v>
      </c>
      <c r="F26" s="186">
        <v>31.71</v>
      </c>
      <c r="G26" s="186">
        <f t="shared" si="6"/>
        <v>31.312000000000001</v>
      </c>
      <c r="H26" s="187" t="str">
        <f t="shared" si="2"/>
        <v>IN</v>
      </c>
      <c r="I26" s="265">
        <f t="shared" si="3"/>
        <v>170.87</v>
      </c>
      <c r="J26" s="265">
        <f t="shared" si="4"/>
        <v>11164.009999999998</v>
      </c>
      <c r="K26" s="269">
        <f t="shared" si="1"/>
        <v>88.607719679144381</v>
      </c>
      <c r="L26" s="230">
        <v>11254.88</v>
      </c>
      <c r="M26" s="230">
        <v>11299.71</v>
      </c>
      <c r="N26" s="13"/>
      <c r="O26" s="206" t="s">
        <v>85</v>
      </c>
      <c r="P26" s="207" t="s">
        <v>86</v>
      </c>
      <c r="R26" s="223" t="s">
        <v>88</v>
      </c>
      <c r="S26" s="225">
        <v>6.86</v>
      </c>
      <c r="V26" s="193"/>
      <c r="X26" s="15"/>
      <c r="Y26" s="15"/>
    </row>
    <row r="27" spans="2:25" s="10" customFormat="1" ht="14.1" customHeight="1" thickBot="1">
      <c r="B27" s="185">
        <f t="shared" si="8"/>
        <v>5</v>
      </c>
      <c r="C27" s="185"/>
      <c r="D27" s="186">
        <v>7</v>
      </c>
      <c r="E27" s="179">
        <f t="shared" ref="E27:E90" si="9">E26+1</f>
        <v>5</v>
      </c>
      <c r="F27" s="186">
        <v>31.74</v>
      </c>
      <c r="G27" s="186">
        <f t="shared" si="6"/>
        <v>31.341999999999999</v>
      </c>
      <c r="H27" s="187" t="str">
        <f t="shared" si="7"/>
        <v>IN</v>
      </c>
      <c r="I27" s="265">
        <f t="shared" si="3"/>
        <v>202.21199999999999</v>
      </c>
      <c r="J27" s="265">
        <f t="shared" si="4"/>
        <v>11132.668</v>
      </c>
      <c r="K27" s="269">
        <f t="shared" si="1"/>
        <v>89.269469255920555</v>
      </c>
      <c r="L27" s="447"/>
      <c r="M27" s="447"/>
      <c r="N27" s="13"/>
      <c r="O27" s="204">
        <f>J20-L26</f>
        <v>18.626000000000204</v>
      </c>
      <c r="P27" s="205">
        <f>M26-J20</f>
        <v>26.203999999999724</v>
      </c>
      <c r="R27" s="223" t="s">
        <v>89</v>
      </c>
      <c r="S27" s="225">
        <v>8.86</v>
      </c>
      <c r="V27" s="193"/>
      <c r="W27"/>
      <c r="X27" s="15"/>
      <c r="Y27" s="15"/>
    </row>
    <row r="28" spans="2:25" s="10" customFormat="1" ht="14.1" customHeight="1" thickBot="1">
      <c r="B28" s="185">
        <f t="shared" si="8"/>
        <v>6</v>
      </c>
      <c r="C28" s="185"/>
      <c r="D28" s="186">
        <v>7</v>
      </c>
      <c r="E28" s="179">
        <f t="shared" si="9"/>
        <v>6</v>
      </c>
      <c r="F28" s="186">
        <v>33</v>
      </c>
      <c r="G28" s="186">
        <f t="shared" si="6"/>
        <v>32.601999999999997</v>
      </c>
      <c r="H28" s="187" t="str">
        <f t="shared" si="2"/>
        <v>IN</v>
      </c>
      <c r="I28" s="265">
        <f t="shared" si="3"/>
        <v>234.81399999999999</v>
      </c>
      <c r="J28" s="265">
        <f t="shared" si="4"/>
        <v>11100.065999999999</v>
      </c>
      <c r="K28" s="269">
        <f t="shared" si="1"/>
        <v>89.957822255156614</v>
      </c>
      <c r="L28" s="198" t="s">
        <v>97</v>
      </c>
      <c r="M28" s="199">
        <f>J22+S25</f>
        <v>11271.596</v>
      </c>
      <c r="N28" s="13"/>
      <c r="R28" s="223" t="s">
        <v>119</v>
      </c>
      <c r="S28" s="224">
        <v>14.71</v>
      </c>
    </row>
    <row r="29" spans="2:25" s="10" customFormat="1" ht="14.1" customHeight="1">
      <c r="B29" s="185">
        <f t="shared" si="8"/>
        <v>7</v>
      </c>
      <c r="C29" s="185"/>
      <c r="D29" s="186">
        <v>7</v>
      </c>
      <c r="E29" s="179">
        <f t="shared" si="9"/>
        <v>7</v>
      </c>
      <c r="F29" s="186">
        <v>33.33</v>
      </c>
      <c r="G29" s="186">
        <f t="shared" si="6"/>
        <v>32.931999999999995</v>
      </c>
      <c r="H29" s="187" t="str">
        <f t="shared" si="7"/>
        <v>IN</v>
      </c>
      <c r="I29" s="265">
        <f t="shared" si="3"/>
        <v>267.74599999999998</v>
      </c>
      <c r="J29" s="265">
        <f t="shared" si="4"/>
        <v>11067.134</v>
      </c>
      <c r="K29" s="269">
        <f t="shared" si="1"/>
        <v>90.653142817417873</v>
      </c>
      <c r="L29" s="200" t="s">
        <v>98</v>
      </c>
      <c r="M29" s="201">
        <f>J22+S28</f>
        <v>11283.565999999999</v>
      </c>
      <c r="N29" s="506"/>
      <c r="O29" s="507"/>
      <c r="P29" s="507"/>
      <c r="R29" s="9"/>
      <c r="S29" s="9"/>
      <c r="V29"/>
    </row>
    <row r="30" spans="2:25" s="10" customFormat="1" ht="14.1" customHeight="1" thickBot="1">
      <c r="B30" s="185">
        <f t="shared" si="8"/>
        <v>8</v>
      </c>
      <c r="C30" s="185"/>
      <c r="D30" s="186">
        <v>7</v>
      </c>
      <c r="E30" s="179">
        <f t="shared" si="9"/>
        <v>8</v>
      </c>
      <c r="F30" s="186">
        <v>33.03</v>
      </c>
      <c r="G30" s="186">
        <f t="shared" si="6"/>
        <v>32.631999999999998</v>
      </c>
      <c r="H30" s="187" t="str">
        <f t="shared" si="2"/>
        <v>IN</v>
      </c>
      <c r="I30" s="265">
        <f t="shared" si="3"/>
        <v>300.37799999999999</v>
      </c>
      <c r="J30" s="265">
        <f t="shared" si="4"/>
        <v>11034.501999999999</v>
      </c>
      <c r="K30" s="269">
        <f t="shared" si="1"/>
        <v>91.342129231474402</v>
      </c>
      <c r="L30" s="200" t="s">
        <v>99</v>
      </c>
      <c r="M30" s="201">
        <f>J22+S26</f>
        <v>11275.716</v>
      </c>
      <c r="N30" s="506"/>
      <c r="O30" s="507"/>
      <c r="P30" s="507"/>
      <c r="R30" s="500"/>
      <c r="S30" s="500"/>
      <c r="V30"/>
    </row>
    <row r="31" spans="2:25" s="10" customFormat="1" ht="14.1" customHeight="1" thickBot="1">
      <c r="B31" s="185">
        <f t="shared" si="8"/>
        <v>9</v>
      </c>
      <c r="C31" s="185"/>
      <c r="D31" s="186">
        <v>7</v>
      </c>
      <c r="E31" s="179">
        <f t="shared" si="9"/>
        <v>9</v>
      </c>
      <c r="F31" s="186">
        <v>33.76</v>
      </c>
      <c r="G31" s="186">
        <f t="shared" si="6"/>
        <v>33.361999999999995</v>
      </c>
      <c r="H31" s="187" t="str">
        <f t="shared" si="7"/>
        <v>IN</v>
      </c>
      <c r="I31" s="265">
        <f t="shared" si="3"/>
        <v>333.74</v>
      </c>
      <c r="J31" s="265">
        <f t="shared" si="4"/>
        <v>11001.14</v>
      </c>
      <c r="K31" s="269">
        <f t="shared" si="1"/>
        <v>92.046528739495798</v>
      </c>
      <c r="L31" s="202" t="s">
        <v>100</v>
      </c>
      <c r="M31" s="203">
        <f>J22+S27</f>
        <v>11277.716</v>
      </c>
      <c r="N31" s="506"/>
      <c r="O31" s="507"/>
      <c r="P31" s="507"/>
      <c r="R31" s="222" t="s">
        <v>90</v>
      </c>
      <c r="S31" s="231" t="s">
        <v>87</v>
      </c>
      <c r="V31"/>
    </row>
    <row r="32" spans="2:25" s="11" customFormat="1" ht="13.35" customHeight="1" thickBot="1">
      <c r="B32" s="185">
        <f t="shared" si="8"/>
        <v>10</v>
      </c>
      <c r="C32" s="185"/>
      <c r="D32" s="186">
        <v>7</v>
      </c>
      <c r="E32" s="179">
        <f t="shared" si="9"/>
        <v>10</v>
      </c>
      <c r="F32" s="186">
        <v>33.6</v>
      </c>
      <c r="G32" s="186">
        <f t="shared" si="6"/>
        <v>33.201999999999998</v>
      </c>
      <c r="H32" s="187" t="str">
        <f t="shared" si="2"/>
        <v>IN</v>
      </c>
      <c r="I32" s="265">
        <f t="shared" si="3"/>
        <v>366.94200000000001</v>
      </c>
      <c r="J32" s="265">
        <f t="shared" si="4"/>
        <v>10967.937999999998</v>
      </c>
      <c r="K32" s="269">
        <f t="shared" si="1"/>
        <v>92.74755003514133</v>
      </c>
      <c r="L32" s="447"/>
      <c r="M32" s="447"/>
      <c r="N32" s="506"/>
      <c r="O32" s="507"/>
      <c r="P32" s="507"/>
      <c r="R32" s="223" t="s">
        <v>91</v>
      </c>
      <c r="S32" s="224">
        <v>3.67</v>
      </c>
    </row>
    <row r="33" spans="2:19" s="11" customFormat="1" ht="13.35" customHeight="1" thickBot="1">
      <c r="B33" s="185">
        <f t="shared" si="8"/>
        <v>11</v>
      </c>
      <c r="C33" s="185"/>
      <c r="D33" s="186">
        <v>7</v>
      </c>
      <c r="E33" s="179">
        <f t="shared" si="9"/>
        <v>11</v>
      </c>
      <c r="F33" s="186">
        <v>32.21</v>
      </c>
      <c r="G33" s="186">
        <f t="shared" si="6"/>
        <v>31.812000000000001</v>
      </c>
      <c r="H33" s="187" t="str">
        <f t="shared" si="7"/>
        <v>IN</v>
      </c>
      <c r="I33" s="265">
        <f t="shared" si="3"/>
        <v>398.75400000000002</v>
      </c>
      <c r="J33" s="265">
        <f t="shared" si="4"/>
        <v>10936.125999999998</v>
      </c>
      <c r="K33" s="269">
        <f t="shared" si="1"/>
        <v>93.419223110771583</v>
      </c>
      <c r="L33" s="444"/>
      <c r="M33" s="444"/>
      <c r="N33" s="13"/>
      <c r="R33" s="223" t="s">
        <v>92</v>
      </c>
      <c r="S33" s="225">
        <v>15.96</v>
      </c>
    </row>
    <row r="34" spans="2:19" s="11" customFormat="1" ht="13.35" customHeight="1" thickBot="1">
      <c r="B34" s="185">
        <f t="shared" si="8"/>
        <v>12</v>
      </c>
      <c r="C34" s="185"/>
      <c r="D34" s="186">
        <v>7</v>
      </c>
      <c r="E34" s="179">
        <f t="shared" si="9"/>
        <v>12</v>
      </c>
      <c r="F34" s="186">
        <v>33.07</v>
      </c>
      <c r="G34" s="186">
        <f t="shared" si="6"/>
        <v>32.671999999999997</v>
      </c>
      <c r="H34" s="187" t="str">
        <f t="shared" si="2"/>
        <v>IN</v>
      </c>
      <c r="I34" s="265">
        <f t="shared" si="3"/>
        <v>431.42600000000004</v>
      </c>
      <c r="J34" s="265">
        <f t="shared" si="4"/>
        <v>10903.454</v>
      </c>
      <c r="K34" s="269">
        <f t="shared" si="1"/>
        <v>94.109054077922082</v>
      </c>
      <c r="L34" s="451" t="s">
        <v>187</v>
      </c>
      <c r="M34" s="452"/>
      <c r="N34" s="13"/>
      <c r="R34" s="223" t="s">
        <v>93</v>
      </c>
      <c r="S34" s="224">
        <v>11.17</v>
      </c>
    </row>
    <row r="35" spans="2:19" s="11" customFormat="1" ht="13.35" customHeight="1">
      <c r="B35" s="185">
        <f t="shared" si="8"/>
        <v>13</v>
      </c>
      <c r="C35" s="185"/>
      <c r="D35" s="186">
        <v>7</v>
      </c>
      <c r="E35" s="179">
        <f t="shared" si="9"/>
        <v>13</v>
      </c>
      <c r="F35" s="186">
        <v>33.130000000000003</v>
      </c>
      <c r="G35" s="186">
        <f t="shared" si="6"/>
        <v>32.731999999999999</v>
      </c>
      <c r="H35" s="187" t="str">
        <f t="shared" si="7"/>
        <v>IN</v>
      </c>
      <c r="I35" s="265">
        <f t="shared" si="3"/>
        <v>464.15800000000002</v>
      </c>
      <c r="J35" s="265">
        <f t="shared" si="4"/>
        <v>10870.722</v>
      </c>
      <c r="K35" s="269">
        <f t="shared" si="1"/>
        <v>94.800151874713521</v>
      </c>
      <c r="L35" s="453"/>
      <c r="M35" s="454"/>
      <c r="N35" s="13"/>
      <c r="R35" s="233"/>
      <c r="S35" s="232"/>
    </row>
    <row r="36" spans="2:19" s="11" customFormat="1" ht="13.35" customHeight="1">
      <c r="B36" s="185">
        <f t="shared" si="8"/>
        <v>14</v>
      </c>
      <c r="C36" s="185"/>
      <c r="D36" s="186">
        <v>7</v>
      </c>
      <c r="E36" s="179">
        <f t="shared" si="9"/>
        <v>14</v>
      </c>
      <c r="F36" s="186">
        <v>32.21</v>
      </c>
      <c r="G36" s="186">
        <f t="shared" si="6"/>
        <v>31.812000000000001</v>
      </c>
      <c r="H36" s="187" t="str">
        <f t="shared" si="2"/>
        <v>IN</v>
      </c>
      <c r="I36" s="265">
        <f t="shared" si="3"/>
        <v>495.97</v>
      </c>
      <c r="J36" s="265">
        <f t="shared" si="4"/>
        <v>10838.91</v>
      </c>
      <c r="K36" s="269">
        <f t="shared" si="1"/>
        <v>95.471824950343773</v>
      </c>
      <c r="L36" s="453"/>
      <c r="M36" s="454"/>
      <c r="N36" s="13"/>
      <c r="P36"/>
    </row>
    <row r="37" spans="2:19" s="11" customFormat="1" ht="13.35" customHeight="1">
      <c r="B37" s="185">
        <f t="shared" si="8"/>
        <v>15</v>
      </c>
      <c r="C37" s="185"/>
      <c r="D37" s="186">
        <v>7</v>
      </c>
      <c r="E37" s="179">
        <f t="shared" si="9"/>
        <v>15</v>
      </c>
      <c r="F37" s="186">
        <v>33.43</v>
      </c>
      <c r="G37" s="186">
        <f t="shared" si="6"/>
        <v>33.031999999999996</v>
      </c>
      <c r="H37" s="187" t="str">
        <f t="shared" si="7"/>
        <v>IN</v>
      </c>
      <c r="I37" s="265">
        <f t="shared" si="3"/>
        <v>529.00200000000007</v>
      </c>
      <c r="J37" s="265">
        <f t="shared" si="4"/>
        <v>10805.877999999999</v>
      </c>
      <c r="K37" s="269">
        <f t="shared" si="1"/>
        <v>96.169256895339956</v>
      </c>
      <c r="L37" s="453"/>
      <c r="M37" s="454"/>
      <c r="N37" s="13"/>
      <c r="P37"/>
    </row>
    <row r="38" spans="2:19" s="11" customFormat="1" ht="13.35" customHeight="1" thickBot="1">
      <c r="B38" s="185">
        <f t="shared" si="8"/>
        <v>16</v>
      </c>
      <c r="C38" s="185"/>
      <c r="D38" s="186">
        <v>7</v>
      </c>
      <c r="E38" s="179">
        <f t="shared" si="9"/>
        <v>16</v>
      </c>
      <c r="F38" s="186">
        <v>33.200000000000003</v>
      </c>
      <c r="G38" s="186">
        <f t="shared" si="6"/>
        <v>32.802</v>
      </c>
      <c r="H38" s="187" t="str">
        <f t="shared" si="2"/>
        <v>IN</v>
      </c>
      <c r="I38" s="265">
        <f t="shared" si="3"/>
        <v>561.80400000000009</v>
      </c>
      <c r="J38" s="265">
        <f t="shared" si="4"/>
        <v>10773.075999999999</v>
      </c>
      <c r="K38" s="269">
        <f t="shared" si="1"/>
        <v>96.861832660045835</v>
      </c>
      <c r="L38" s="455"/>
      <c r="M38" s="456"/>
      <c r="N38" s="13"/>
    </row>
    <row r="39" spans="2:19" s="11" customFormat="1" ht="13.35" customHeight="1">
      <c r="B39" s="185">
        <f t="shared" si="8"/>
        <v>17</v>
      </c>
      <c r="C39" s="185"/>
      <c r="D39" s="186">
        <v>7</v>
      </c>
      <c r="E39" s="179">
        <f t="shared" si="9"/>
        <v>17</v>
      </c>
      <c r="F39" s="186">
        <v>31.86</v>
      </c>
      <c r="G39" s="186">
        <f t="shared" si="6"/>
        <v>31.462</v>
      </c>
      <c r="H39" s="187" t="str">
        <f t="shared" si="7"/>
        <v>IN</v>
      </c>
      <c r="I39" s="265">
        <f t="shared" si="3"/>
        <v>593.26600000000008</v>
      </c>
      <c r="J39" s="265">
        <f t="shared" si="4"/>
        <v>10741.614</v>
      </c>
      <c r="K39" s="269">
        <f t="shared" si="1"/>
        <v>97.526115896103903</v>
      </c>
      <c r="L39" s="444"/>
      <c r="M39" s="444"/>
      <c r="N39" s="13"/>
    </row>
    <row r="40" spans="2:19" s="11" customFormat="1" ht="13.35" customHeight="1" thickBot="1">
      <c r="B40" s="185">
        <f t="shared" si="8"/>
        <v>18</v>
      </c>
      <c r="C40" s="185"/>
      <c r="D40" s="186">
        <v>7</v>
      </c>
      <c r="E40" s="179">
        <f t="shared" si="9"/>
        <v>18</v>
      </c>
      <c r="F40" s="186">
        <v>33.58</v>
      </c>
      <c r="G40" s="186">
        <f t="shared" si="6"/>
        <v>33.181999999999995</v>
      </c>
      <c r="H40" s="187" t="str">
        <f t="shared" si="2"/>
        <v>IN</v>
      </c>
      <c r="I40" s="265">
        <f t="shared" si="3"/>
        <v>626.44800000000009</v>
      </c>
      <c r="J40" s="265">
        <f t="shared" si="4"/>
        <v>10708.431999999999</v>
      </c>
      <c r="K40" s="269">
        <f t="shared" si="1"/>
        <v>98.22671491520245</v>
      </c>
      <c r="L40" s="444"/>
      <c r="M40" s="444"/>
      <c r="N40" s="13"/>
    </row>
    <row r="41" spans="2:19" s="11" customFormat="1" ht="13.35" customHeight="1">
      <c r="B41" s="185">
        <f t="shared" si="8"/>
        <v>19</v>
      </c>
      <c r="C41" s="185"/>
      <c r="D41" s="186">
        <v>7</v>
      </c>
      <c r="E41" s="179">
        <f t="shared" si="9"/>
        <v>19</v>
      </c>
      <c r="F41" s="186">
        <v>33.200000000000003</v>
      </c>
      <c r="G41" s="186">
        <f t="shared" si="6"/>
        <v>32.802</v>
      </c>
      <c r="H41" s="187" t="str">
        <f t="shared" si="7"/>
        <v>IN</v>
      </c>
      <c r="I41" s="265">
        <f t="shared" si="3"/>
        <v>659.25000000000011</v>
      </c>
      <c r="J41" s="265">
        <f t="shared" si="4"/>
        <v>10675.63</v>
      </c>
      <c r="K41" s="269">
        <f t="shared" si="1"/>
        <v>98.919290679908329</v>
      </c>
      <c r="L41" s="459" t="s">
        <v>101</v>
      </c>
      <c r="M41" s="460"/>
      <c r="N41" s="13"/>
      <c r="Q41"/>
    </row>
    <row r="42" spans="2:19" s="11" customFormat="1" ht="13.35" customHeight="1" thickBot="1">
      <c r="B42" s="185">
        <f t="shared" si="8"/>
        <v>20</v>
      </c>
      <c r="C42" s="185"/>
      <c r="D42" s="186">
        <v>7</v>
      </c>
      <c r="E42" s="179">
        <f t="shared" si="9"/>
        <v>20</v>
      </c>
      <c r="F42" s="186">
        <v>32.61</v>
      </c>
      <c r="G42" s="186">
        <f t="shared" si="6"/>
        <v>32.211999999999996</v>
      </c>
      <c r="H42" s="187" t="str">
        <f t="shared" si="2"/>
        <v>IN</v>
      </c>
      <c r="I42" s="265">
        <f t="shared" si="3"/>
        <v>691.4620000000001</v>
      </c>
      <c r="J42" s="265">
        <f t="shared" si="4"/>
        <v>10643.418</v>
      </c>
      <c r="K42" s="269">
        <f t="shared" si="1"/>
        <v>99.599409286478235</v>
      </c>
      <c r="L42" s="461" t="s">
        <v>102</v>
      </c>
      <c r="M42" s="462"/>
      <c r="N42" s="13"/>
    </row>
    <row r="43" spans="2:19" s="11" customFormat="1" ht="13.35" customHeight="1">
      <c r="B43" s="185">
        <f t="shared" si="8"/>
        <v>21</v>
      </c>
      <c r="C43" s="185"/>
      <c r="D43" s="186">
        <v>7</v>
      </c>
      <c r="E43" s="179">
        <f t="shared" si="9"/>
        <v>21</v>
      </c>
      <c r="F43" s="186">
        <v>33.950000000000003</v>
      </c>
      <c r="G43" s="186">
        <f t="shared" si="6"/>
        <v>33.552</v>
      </c>
      <c r="H43" s="187" t="str">
        <f t="shared" si="7"/>
        <v>IN</v>
      </c>
      <c r="I43" s="265">
        <f t="shared" si="3"/>
        <v>725.01400000000012</v>
      </c>
      <c r="J43" s="265">
        <f t="shared" si="4"/>
        <v>10609.865999999998</v>
      </c>
      <c r="K43" s="269">
        <f t="shared" si="1"/>
        <v>100.30782042169595</v>
      </c>
      <c r="L43" s="444"/>
      <c r="M43" s="444"/>
      <c r="N43" s="13"/>
    </row>
    <row r="44" spans="2:19" s="11" customFormat="1" ht="13.35" customHeight="1">
      <c r="B44" s="185">
        <f t="shared" si="8"/>
        <v>22</v>
      </c>
      <c r="C44" s="185"/>
      <c r="D44" s="186">
        <v>7</v>
      </c>
      <c r="E44" s="179">
        <f t="shared" si="9"/>
        <v>22</v>
      </c>
      <c r="F44" s="186">
        <v>33.89</v>
      </c>
      <c r="G44" s="186">
        <f t="shared" si="6"/>
        <v>33.491999999999997</v>
      </c>
      <c r="H44" s="187" t="str">
        <f t="shared" si="2"/>
        <v>IN</v>
      </c>
      <c r="I44" s="265">
        <f t="shared" si="3"/>
        <v>758.50600000000009</v>
      </c>
      <c r="J44" s="265">
        <f t="shared" si="4"/>
        <v>10576.374</v>
      </c>
      <c r="K44" s="269">
        <f t="shared" si="1"/>
        <v>101.01496472727273</v>
      </c>
      <c r="L44" s="444"/>
      <c r="M44" s="444"/>
      <c r="N44" s="13"/>
    </row>
    <row r="45" spans="2:19" s="11" customFormat="1" ht="13.35" customHeight="1">
      <c r="B45" s="185">
        <f t="shared" si="8"/>
        <v>23</v>
      </c>
      <c r="C45" s="185"/>
      <c r="D45" s="186">
        <v>7</v>
      </c>
      <c r="E45" s="179">
        <f t="shared" si="9"/>
        <v>23</v>
      </c>
      <c r="F45" s="186">
        <v>33.25</v>
      </c>
      <c r="G45" s="186">
        <f t="shared" si="6"/>
        <v>32.851999999999997</v>
      </c>
      <c r="H45" s="187" t="str">
        <f t="shared" si="7"/>
        <v>IN</v>
      </c>
      <c r="I45" s="265">
        <f t="shared" si="3"/>
        <v>791.35800000000006</v>
      </c>
      <c r="J45" s="265">
        <f t="shared" si="4"/>
        <v>10543.521999999999</v>
      </c>
      <c r="K45" s="269">
        <f t="shared" si="1"/>
        <v>101.70859618334606</v>
      </c>
      <c r="L45" s="444"/>
      <c r="M45" s="444"/>
      <c r="N45" s="13"/>
    </row>
    <row r="46" spans="2:19" s="11" customFormat="1" ht="13.35" customHeight="1">
      <c r="B46" s="185">
        <f t="shared" si="8"/>
        <v>24</v>
      </c>
      <c r="C46" s="185"/>
      <c r="D46" s="186">
        <v>7</v>
      </c>
      <c r="E46" s="179">
        <f t="shared" si="9"/>
        <v>24</v>
      </c>
      <c r="F46" s="186">
        <v>33.53</v>
      </c>
      <c r="G46" s="186">
        <f t="shared" si="6"/>
        <v>33.131999999999998</v>
      </c>
      <c r="H46" s="187" t="str">
        <f t="shared" si="2"/>
        <v>IN</v>
      </c>
      <c r="I46" s="265">
        <f t="shared" si="3"/>
        <v>824.49</v>
      </c>
      <c r="J46" s="265">
        <f t="shared" si="4"/>
        <v>10510.39</v>
      </c>
      <c r="K46" s="269">
        <f t="shared" si="1"/>
        <v>102.40813951107717</v>
      </c>
      <c r="L46" s="444"/>
      <c r="M46" s="444"/>
      <c r="N46" s="13"/>
    </row>
    <row r="47" spans="2:19" s="11" customFormat="1" ht="13.35" customHeight="1">
      <c r="B47" s="185">
        <f t="shared" si="8"/>
        <v>25</v>
      </c>
      <c r="C47" s="185"/>
      <c r="D47" s="186">
        <v>7</v>
      </c>
      <c r="E47" s="179">
        <f t="shared" si="9"/>
        <v>25</v>
      </c>
      <c r="F47" s="186">
        <v>33.950000000000003</v>
      </c>
      <c r="G47" s="186">
        <f t="shared" si="6"/>
        <v>33.552</v>
      </c>
      <c r="H47" s="187" t="str">
        <f t="shared" si="7"/>
        <v>IN</v>
      </c>
      <c r="I47" s="265">
        <f t="shared" si="3"/>
        <v>858.04200000000003</v>
      </c>
      <c r="J47" s="265">
        <f t="shared" si="4"/>
        <v>10476.838</v>
      </c>
      <c r="K47" s="269">
        <f t="shared" si="1"/>
        <v>103.11655064629488</v>
      </c>
      <c r="L47" s="444"/>
      <c r="M47" s="444"/>
      <c r="N47" s="13"/>
    </row>
    <row r="48" spans="2:19" s="11" customFormat="1" ht="13.35" customHeight="1">
      <c r="B48" s="185">
        <f t="shared" si="8"/>
        <v>26</v>
      </c>
      <c r="C48" s="185"/>
      <c r="D48" s="186">
        <v>7</v>
      </c>
      <c r="E48" s="179">
        <f t="shared" si="9"/>
        <v>26</v>
      </c>
      <c r="F48" s="186">
        <v>32.79</v>
      </c>
      <c r="G48" s="186">
        <f t="shared" si="6"/>
        <v>32.391999999999996</v>
      </c>
      <c r="H48" s="187" t="str">
        <f t="shared" si="2"/>
        <v>IN</v>
      </c>
      <c r="I48" s="265">
        <f t="shared" si="3"/>
        <v>890.43399999999997</v>
      </c>
      <c r="J48" s="265">
        <f t="shared" si="4"/>
        <v>10444.446</v>
      </c>
      <c r="K48" s="269">
        <f t="shared" si="1"/>
        <v>103.80046974178762</v>
      </c>
      <c r="L48" s="444"/>
      <c r="M48" s="444"/>
      <c r="N48" s="13"/>
    </row>
    <row r="49" spans="2:15" s="11" customFormat="1" ht="13.35" customHeight="1">
      <c r="B49" s="185">
        <f t="shared" si="8"/>
        <v>27</v>
      </c>
      <c r="C49" s="185"/>
      <c r="D49" s="186">
        <v>7</v>
      </c>
      <c r="E49" s="179">
        <f t="shared" si="9"/>
        <v>27</v>
      </c>
      <c r="F49" s="186">
        <v>33.96</v>
      </c>
      <c r="G49" s="186">
        <f t="shared" si="6"/>
        <v>33.561999999999998</v>
      </c>
      <c r="H49" s="187" t="str">
        <f t="shared" si="7"/>
        <v>IN</v>
      </c>
      <c r="I49" s="265">
        <f t="shared" si="3"/>
        <v>923.99599999999998</v>
      </c>
      <c r="J49" s="265">
        <f t="shared" si="4"/>
        <v>10410.884</v>
      </c>
      <c r="K49" s="269">
        <f t="shared" si="1"/>
        <v>104.50909201527884</v>
      </c>
      <c r="L49" s="444"/>
      <c r="M49" s="444"/>
      <c r="N49" s="13"/>
    </row>
    <row r="50" spans="2:15" s="11" customFormat="1" ht="13.35" customHeight="1">
      <c r="B50" s="185">
        <f t="shared" si="8"/>
        <v>28</v>
      </c>
      <c r="C50" s="185"/>
      <c r="D50" s="186">
        <v>7</v>
      </c>
      <c r="E50" s="179">
        <f t="shared" si="9"/>
        <v>28</v>
      </c>
      <c r="F50" s="186">
        <v>33.380000000000003</v>
      </c>
      <c r="G50" s="186">
        <f t="shared" si="6"/>
        <v>32.981999999999999</v>
      </c>
      <c r="H50" s="187" t="str">
        <f t="shared" si="2"/>
        <v>IN</v>
      </c>
      <c r="I50" s="265">
        <f t="shared" si="3"/>
        <v>956.97799999999995</v>
      </c>
      <c r="J50" s="265">
        <f t="shared" si="4"/>
        <v>10377.902</v>
      </c>
      <c r="K50" s="269">
        <f t="shared" si="1"/>
        <v>105.20546826890757</v>
      </c>
      <c r="L50" s="444"/>
      <c r="M50" s="444"/>
      <c r="N50" s="13"/>
    </row>
    <row r="51" spans="2:15" s="11" customFormat="1" ht="13.35" customHeight="1">
      <c r="B51" s="185">
        <f t="shared" si="8"/>
        <v>29</v>
      </c>
      <c r="C51" s="185"/>
      <c r="D51" s="186">
        <v>7</v>
      </c>
      <c r="E51" s="179">
        <f t="shared" si="9"/>
        <v>29</v>
      </c>
      <c r="F51" s="186">
        <v>33.03</v>
      </c>
      <c r="G51" s="186">
        <f t="shared" si="6"/>
        <v>32.631999999999998</v>
      </c>
      <c r="H51" s="187" t="str">
        <f t="shared" si="7"/>
        <v>IN</v>
      </c>
      <c r="I51" s="265">
        <f t="shared" si="3"/>
        <v>989.6099999999999</v>
      </c>
      <c r="J51" s="265">
        <f t="shared" si="4"/>
        <v>10345.269999999999</v>
      </c>
      <c r="K51" s="269">
        <f t="shared" si="1"/>
        <v>105.8944546829641</v>
      </c>
      <c r="L51" s="444"/>
      <c r="M51" s="444"/>
      <c r="N51" s="13"/>
    </row>
    <row r="52" spans="2:15" s="11" customFormat="1" ht="13.35" customHeight="1">
      <c r="B52" s="185">
        <f t="shared" si="8"/>
        <v>30</v>
      </c>
      <c r="C52" s="185"/>
      <c r="D52" s="186">
        <v>7</v>
      </c>
      <c r="E52" s="179">
        <f t="shared" si="9"/>
        <v>30</v>
      </c>
      <c r="F52" s="186">
        <v>33.93</v>
      </c>
      <c r="G52" s="186">
        <f t="shared" si="6"/>
        <v>33.531999999999996</v>
      </c>
      <c r="H52" s="187" t="str">
        <f t="shared" si="2"/>
        <v>IN</v>
      </c>
      <c r="I52" s="265">
        <f t="shared" si="3"/>
        <v>1023.1419999999999</v>
      </c>
      <c r="J52" s="265">
        <f t="shared" si="4"/>
        <v>10311.737999999999</v>
      </c>
      <c r="K52" s="269">
        <f t="shared" si="1"/>
        <v>106.60244354163484</v>
      </c>
      <c r="L52" s="444"/>
      <c r="M52" s="444"/>
      <c r="N52" s="13"/>
    </row>
    <row r="53" spans="2:15" s="11" customFormat="1" ht="13.35" customHeight="1">
      <c r="B53" s="185">
        <f t="shared" si="8"/>
        <v>31</v>
      </c>
      <c r="C53" s="185"/>
      <c r="D53" s="186">
        <v>7</v>
      </c>
      <c r="E53" s="179">
        <f t="shared" si="9"/>
        <v>31</v>
      </c>
      <c r="F53" s="186">
        <v>33.03</v>
      </c>
      <c r="G53" s="186">
        <f t="shared" si="6"/>
        <v>32.631999999999998</v>
      </c>
      <c r="H53" s="187" t="str">
        <f t="shared" si="7"/>
        <v>IN</v>
      </c>
      <c r="I53" s="265">
        <f t="shared" si="3"/>
        <v>1055.7739999999999</v>
      </c>
      <c r="J53" s="265">
        <f t="shared" si="4"/>
        <v>10279.106</v>
      </c>
      <c r="K53" s="269">
        <f t="shared" si="1"/>
        <v>107.29142995569137</v>
      </c>
      <c r="L53" s="444"/>
      <c r="M53" s="444"/>
      <c r="N53" s="13"/>
    </row>
    <row r="54" spans="2:15" s="11" customFormat="1" ht="13.35" customHeight="1">
      <c r="B54" s="185">
        <f t="shared" si="8"/>
        <v>32</v>
      </c>
      <c r="C54" s="185"/>
      <c r="D54" s="186">
        <v>7</v>
      </c>
      <c r="E54" s="179">
        <f t="shared" si="9"/>
        <v>32</v>
      </c>
      <c r="F54" s="186">
        <v>33.61</v>
      </c>
      <c r="G54" s="186">
        <f t="shared" si="6"/>
        <v>33.211999999999996</v>
      </c>
      <c r="H54" s="187" t="str">
        <f t="shared" si="2"/>
        <v>IN</v>
      </c>
      <c r="I54" s="265">
        <f t="shared" si="3"/>
        <v>1088.9859999999999</v>
      </c>
      <c r="J54" s="265">
        <f t="shared" si="4"/>
        <v>10245.894</v>
      </c>
      <c r="K54" s="269">
        <f t="shared" si="1"/>
        <v>107.99266238961039</v>
      </c>
      <c r="L54" s="444"/>
      <c r="M54" s="444"/>
      <c r="N54" s="13"/>
    </row>
    <row r="55" spans="2:15" s="11" customFormat="1" ht="13.35" customHeight="1">
      <c r="B55" s="185">
        <f t="shared" si="8"/>
        <v>33</v>
      </c>
      <c r="C55" s="185"/>
      <c r="D55" s="186">
        <v>7</v>
      </c>
      <c r="E55" s="179">
        <f t="shared" si="9"/>
        <v>33</v>
      </c>
      <c r="F55" s="186">
        <v>33.6</v>
      </c>
      <c r="G55" s="186">
        <f t="shared" si="6"/>
        <v>33.201999999999998</v>
      </c>
      <c r="H55" s="187" t="str">
        <f t="shared" si="7"/>
        <v>IN</v>
      </c>
      <c r="I55" s="265">
        <f t="shared" si="3"/>
        <v>1122.1879999999999</v>
      </c>
      <c r="J55" s="265">
        <f t="shared" si="4"/>
        <v>10212.691999999999</v>
      </c>
      <c r="K55" s="269">
        <f t="shared" si="1"/>
        <v>108.69368368525592</v>
      </c>
      <c r="L55" s="444"/>
      <c r="M55" s="444"/>
      <c r="N55" s="13"/>
    </row>
    <row r="56" spans="2:15" s="11" customFormat="1" ht="13.35" customHeight="1">
      <c r="B56" s="185">
        <f t="shared" si="8"/>
        <v>34</v>
      </c>
      <c r="C56" s="185"/>
      <c r="D56" s="186">
        <v>7</v>
      </c>
      <c r="E56" s="179">
        <f t="shared" si="9"/>
        <v>34</v>
      </c>
      <c r="F56" s="186">
        <v>33.28</v>
      </c>
      <c r="G56" s="186">
        <f t="shared" si="6"/>
        <v>32.881999999999998</v>
      </c>
      <c r="H56" s="187" t="str">
        <f t="shared" si="2"/>
        <v>IN</v>
      </c>
      <c r="I56" s="265">
        <f t="shared" si="3"/>
        <v>1155.07</v>
      </c>
      <c r="J56" s="265">
        <f t="shared" si="4"/>
        <v>10179.81</v>
      </c>
      <c r="K56" s="269">
        <f t="shared" si="1"/>
        <v>109.38794855614974</v>
      </c>
      <c r="L56" s="444"/>
      <c r="M56" s="444"/>
      <c r="N56" s="13"/>
    </row>
    <row r="57" spans="2:15" s="11" customFormat="1" ht="13.35" customHeight="1">
      <c r="B57" s="185">
        <f t="shared" si="8"/>
        <v>35</v>
      </c>
      <c r="C57" s="185"/>
      <c r="D57" s="186">
        <v>7</v>
      </c>
      <c r="E57" s="179">
        <f t="shared" si="9"/>
        <v>35</v>
      </c>
      <c r="F57" s="186">
        <v>33.03</v>
      </c>
      <c r="G57" s="186">
        <f t="shared" si="6"/>
        <v>32.631999999999998</v>
      </c>
      <c r="H57" s="187" t="str">
        <f t="shared" si="7"/>
        <v>IN</v>
      </c>
      <c r="I57" s="265">
        <f t="shared" si="3"/>
        <v>1187.702</v>
      </c>
      <c r="J57" s="265">
        <f t="shared" si="4"/>
        <v>10147.178</v>
      </c>
      <c r="K57" s="269">
        <f t="shared" si="1"/>
        <v>110.07693497020627</v>
      </c>
      <c r="L57" s="444"/>
      <c r="M57" s="444"/>
      <c r="N57" s="13"/>
    </row>
    <row r="58" spans="2:15" s="11" customFormat="1" ht="13.35" customHeight="1">
      <c r="B58" s="185">
        <f t="shared" si="8"/>
        <v>36</v>
      </c>
      <c r="C58" s="185"/>
      <c r="D58" s="186">
        <v>7</v>
      </c>
      <c r="E58" s="179">
        <f t="shared" si="9"/>
        <v>36</v>
      </c>
      <c r="F58" s="186">
        <v>33.51</v>
      </c>
      <c r="G58" s="186">
        <f t="shared" si="6"/>
        <v>33.111999999999995</v>
      </c>
      <c r="H58" s="187" t="str">
        <f t="shared" si="2"/>
        <v>IN</v>
      </c>
      <c r="I58" s="265">
        <f t="shared" si="3"/>
        <v>1220.8140000000001</v>
      </c>
      <c r="J58" s="265">
        <f t="shared" si="4"/>
        <v>10114.065999999999</v>
      </c>
      <c r="K58" s="269">
        <f t="shared" si="1"/>
        <v>110.77605602139037</v>
      </c>
      <c r="L58" s="444"/>
      <c r="M58" s="444"/>
      <c r="N58" s="13"/>
    </row>
    <row r="59" spans="2:15" s="11" customFormat="1" ht="13.35" customHeight="1">
      <c r="B59" s="185">
        <f t="shared" si="8"/>
        <v>37</v>
      </c>
      <c r="C59" s="185"/>
      <c r="D59" s="186">
        <v>7</v>
      </c>
      <c r="E59" s="179">
        <f t="shared" si="9"/>
        <v>37</v>
      </c>
      <c r="F59" s="186">
        <v>33.950000000000003</v>
      </c>
      <c r="G59" s="186">
        <f t="shared" si="6"/>
        <v>33.552</v>
      </c>
      <c r="H59" s="187" t="str">
        <f t="shared" si="7"/>
        <v>IN</v>
      </c>
      <c r="I59" s="265">
        <f t="shared" si="3"/>
        <v>1254.366</v>
      </c>
      <c r="J59" s="265">
        <f t="shared" si="4"/>
        <v>10080.513999999999</v>
      </c>
      <c r="K59" s="269">
        <f t="shared" si="1"/>
        <v>111.4844671566081</v>
      </c>
      <c r="L59" s="444"/>
      <c r="M59" s="444"/>
      <c r="N59" s="13"/>
    </row>
    <row r="60" spans="2:15" s="11" customFormat="1" ht="13.35" customHeight="1">
      <c r="B60" s="185">
        <f t="shared" si="8"/>
        <v>38</v>
      </c>
      <c r="C60" s="185"/>
      <c r="D60" s="186">
        <v>7</v>
      </c>
      <c r="E60" s="179">
        <f t="shared" si="9"/>
        <v>38</v>
      </c>
      <c r="F60" s="186">
        <v>33.96</v>
      </c>
      <c r="G60" s="186">
        <f t="shared" si="6"/>
        <v>33.561999999999998</v>
      </c>
      <c r="H60" s="187" t="str">
        <f t="shared" si="2"/>
        <v>IN</v>
      </c>
      <c r="I60" s="408">
        <f t="shared" si="3"/>
        <v>1287.9279999999999</v>
      </c>
      <c r="J60" s="265">
        <f t="shared" si="4"/>
        <v>10046.951999999999</v>
      </c>
      <c r="K60" s="269">
        <f t="shared" si="1"/>
        <v>112.19308943009932</v>
      </c>
      <c r="L60" s="274" t="s">
        <v>185</v>
      </c>
      <c r="M60" s="405"/>
      <c r="N60" s="13"/>
    </row>
    <row r="61" spans="2:15" s="11" customFormat="1" ht="13.35" customHeight="1">
      <c r="B61" s="185">
        <f t="shared" si="8"/>
        <v>39</v>
      </c>
      <c r="C61" s="185"/>
      <c r="D61" s="186">
        <v>7</v>
      </c>
      <c r="E61" s="179">
        <f t="shared" si="9"/>
        <v>39</v>
      </c>
      <c r="F61" s="186">
        <v>33.96</v>
      </c>
      <c r="G61" s="186">
        <f t="shared" si="6"/>
        <v>33.561999999999998</v>
      </c>
      <c r="H61" s="187" t="str">
        <f t="shared" si="7"/>
        <v>IN</v>
      </c>
      <c r="I61" s="265">
        <f t="shared" si="3"/>
        <v>1321.4899999999998</v>
      </c>
      <c r="J61" s="265">
        <f t="shared" si="4"/>
        <v>10013.39</v>
      </c>
      <c r="K61" s="269">
        <f t="shared" si="1"/>
        <v>112.90171170359052</v>
      </c>
      <c r="L61" s="275" t="s">
        <v>139</v>
      </c>
      <c r="M61" s="406"/>
      <c r="N61" s="407"/>
      <c r="O61" s="407"/>
    </row>
    <row r="62" spans="2:15" s="11" customFormat="1" ht="13.35" customHeight="1">
      <c r="B62" s="185">
        <f t="shared" si="8"/>
        <v>40</v>
      </c>
      <c r="C62" s="185"/>
      <c r="D62" s="186">
        <v>7</v>
      </c>
      <c r="E62" s="179">
        <f t="shared" si="9"/>
        <v>40</v>
      </c>
      <c r="F62" s="186">
        <v>33.96</v>
      </c>
      <c r="G62" s="186">
        <f t="shared" si="6"/>
        <v>33.561999999999998</v>
      </c>
      <c r="H62" s="187" t="str">
        <f t="shared" si="2"/>
        <v>IN</v>
      </c>
      <c r="I62" s="265">
        <f t="shared" si="3"/>
        <v>1355.0519999999997</v>
      </c>
      <c r="J62" s="265">
        <f t="shared" si="4"/>
        <v>9979.8279999999995</v>
      </c>
      <c r="K62" s="269">
        <f t="shared" si="1"/>
        <v>113.61033397708174</v>
      </c>
      <c r="L62" s="275"/>
      <c r="M62" s="406"/>
      <c r="N62" s="407"/>
      <c r="O62" s="407"/>
    </row>
    <row r="63" spans="2:15" s="11" customFormat="1" ht="13.35" customHeight="1">
      <c r="B63" s="185">
        <f t="shared" si="8"/>
        <v>41</v>
      </c>
      <c r="C63" s="185"/>
      <c r="D63" s="186">
        <v>7</v>
      </c>
      <c r="E63" s="179">
        <f t="shared" si="9"/>
        <v>41</v>
      </c>
      <c r="F63" s="186">
        <v>33.71</v>
      </c>
      <c r="G63" s="186">
        <f t="shared" si="6"/>
        <v>33.311999999999998</v>
      </c>
      <c r="H63" s="187" t="str">
        <f t="shared" si="7"/>
        <v>IN</v>
      </c>
      <c r="I63" s="265">
        <f t="shared" si="3"/>
        <v>1388.3639999999996</v>
      </c>
      <c r="J63" s="265">
        <f t="shared" si="4"/>
        <v>9946.5159999999996</v>
      </c>
      <c r="K63" s="269">
        <f t="shared" si="1"/>
        <v>114.31367779373568</v>
      </c>
      <c r="L63" s="475"/>
      <c r="M63" s="475"/>
      <c r="N63" s="407"/>
      <c r="O63" s="407"/>
    </row>
    <row r="64" spans="2:15" s="11" customFormat="1" ht="13.35" customHeight="1">
      <c r="B64" s="185">
        <f t="shared" si="8"/>
        <v>42</v>
      </c>
      <c r="C64" s="185"/>
      <c r="D64" s="186">
        <v>7</v>
      </c>
      <c r="E64" s="179">
        <f t="shared" si="9"/>
        <v>42</v>
      </c>
      <c r="F64" s="186">
        <v>33.96</v>
      </c>
      <c r="G64" s="186">
        <f t="shared" si="6"/>
        <v>33.561999999999998</v>
      </c>
      <c r="H64" s="187" t="str">
        <f t="shared" si="2"/>
        <v>IN</v>
      </c>
      <c r="I64" s="265">
        <f t="shared" si="3"/>
        <v>1421.9259999999995</v>
      </c>
      <c r="J64" s="265">
        <f t="shared" si="4"/>
        <v>9912.9539999999997</v>
      </c>
      <c r="K64" s="269">
        <f t="shared" si="1"/>
        <v>115.02230006722688</v>
      </c>
      <c r="L64" s="476"/>
      <c r="M64" s="477"/>
      <c r="N64" s="13"/>
    </row>
    <row r="65" spans="2:14" s="11" customFormat="1" ht="13.35" customHeight="1">
      <c r="B65" s="185">
        <f t="shared" si="8"/>
        <v>43</v>
      </c>
      <c r="C65" s="185"/>
      <c r="D65" s="186">
        <v>7</v>
      </c>
      <c r="E65" s="179">
        <f t="shared" si="9"/>
        <v>43</v>
      </c>
      <c r="F65" s="186">
        <v>33.96</v>
      </c>
      <c r="G65" s="186">
        <f t="shared" si="6"/>
        <v>33.561999999999998</v>
      </c>
      <c r="H65" s="187" t="str">
        <f t="shared" si="7"/>
        <v>IN</v>
      </c>
      <c r="I65" s="265">
        <f t="shared" si="3"/>
        <v>1455.4879999999994</v>
      </c>
      <c r="J65" s="265">
        <f t="shared" si="4"/>
        <v>9879.3919999999998</v>
      </c>
      <c r="K65" s="269">
        <f t="shared" si="1"/>
        <v>115.7309223407181</v>
      </c>
      <c r="L65" s="444"/>
      <c r="M65" s="442"/>
      <c r="N65" s="13"/>
    </row>
    <row r="66" spans="2:14" s="11" customFormat="1" ht="13.35" customHeight="1">
      <c r="B66" s="185">
        <f t="shared" si="8"/>
        <v>44</v>
      </c>
      <c r="C66" s="185"/>
      <c r="D66" s="186">
        <v>7</v>
      </c>
      <c r="E66" s="179">
        <f t="shared" si="9"/>
        <v>44</v>
      </c>
      <c r="F66" s="186">
        <v>32.369999999999997</v>
      </c>
      <c r="G66" s="186">
        <f t="shared" si="6"/>
        <v>31.971999999999998</v>
      </c>
      <c r="H66" s="187" t="str">
        <f t="shared" si="2"/>
        <v>IN</v>
      </c>
      <c r="I66" s="265">
        <f t="shared" si="3"/>
        <v>1487.4599999999994</v>
      </c>
      <c r="J66" s="265">
        <f t="shared" si="4"/>
        <v>9847.42</v>
      </c>
      <c r="K66" s="269">
        <f t="shared" si="1"/>
        <v>116.40597362872421</v>
      </c>
      <c r="L66" s="444"/>
      <c r="M66" s="444"/>
      <c r="N66" s="13"/>
    </row>
    <row r="67" spans="2:14" s="11" customFormat="1" ht="13.35" customHeight="1">
      <c r="B67" s="185">
        <f t="shared" si="8"/>
        <v>45</v>
      </c>
      <c r="C67" s="185"/>
      <c r="D67" s="186">
        <v>7</v>
      </c>
      <c r="E67" s="179">
        <f t="shared" si="9"/>
        <v>45</v>
      </c>
      <c r="F67" s="186">
        <v>33.96</v>
      </c>
      <c r="G67" s="186">
        <f t="shared" si="6"/>
        <v>33.561999999999998</v>
      </c>
      <c r="H67" s="187" t="str">
        <f t="shared" si="7"/>
        <v>IN</v>
      </c>
      <c r="I67" s="265">
        <f t="shared" si="3"/>
        <v>1521.0219999999993</v>
      </c>
      <c r="J67" s="265">
        <f t="shared" si="4"/>
        <v>9813.8580000000002</v>
      </c>
      <c r="K67" s="269">
        <f t="shared" si="1"/>
        <v>117.11459590221541</v>
      </c>
      <c r="L67" s="444"/>
      <c r="M67" s="444"/>
      <c r="N67" s="13"/>
    </row>
    <row r="68" spans="2:14" s="11" customFormat="1" ht="13.35" customHeight="1">
      <c r="B68" s="185">
        <f t="shared" si="8"/>
        <v>46</v>
      </c>
      <c r="C68" s="185"/>
      <c r="D68" s="186">
        <v>7</v>
      </c>
      <c r="E68" s="179">
        <f t="shared" si="9"/>
        <v>46</v>
      </c>
      <c r="F68" s="186">
        <v>33.42</v>
      </c>
      <c r="G68" s="186">
        <f t="shared" si="6"/>
        <v>33.021999999999998</v>
      </c>
      <c r="H68" s="187" t="str">
        <f t="shared" si="2"/>
        <v>IN</v>
      </c>
      <c r="I68" s="265">
        <f t="shared" si="3"/>
        <v>1554.0439999999992</v>
      </c>
      <c r="J68" s="265">
        <f t="shared" si="4"/>
        <v>9780.8359999999993</v>
      </c>
      <c r="K68" s="269">
        <f t="shared" si="1"/>
        <v>117.8118167089381</v>
      </c>
      <c r="L68" s="444"/>
      <c r="M68" s="444"/>
      <c r="N68" s="13"/>
    </row>
    <row r="69" spans="2:14" s="11" customFormat="1" ht="13.35" customHeight="1">
      <c r="B69" s="185">
        <f t="shared" si="8"/>
        <v>47</v>
      </c>
      <c r="C69" s="185"/>
      <c r="D69" s="186">
        <v>7</v>
      </c>
      <c r="E69" s="179">
        <f t="shared" si="9"/>
        <v>47</v>
      </c>
      <c r="F69" s="186">
        <v>33.57</v>
      </c>
      <c r="G69" s="186">
        <f t="shared" si="6"/>
        <v>33.171999999999997</v>
      </c>
      <c r="H69" s="187" t="str">
        <f t="shared" si="7"/>
        <v>IN</v>
      </c>
      <c r="I69" s="265">
        <f t="shared" si="3"/>
        <v>1587.2159999999992</v>
      </c>
      <c r="J69" s="265">
        <f t="shared" si="4"/>
        <v>9747.6640000000007</v>
      </c>
      <c r="K69" s="269">
        <f t="shared" si="1"/>
        <v>118.51220458976316</v>
      </c>
      <c r="L69" s="447"/>
      <c r="M69" s="447"/>
      <c r="N69" s="13"/>
    </row>
    <row r="70" spans="2:14" s="11" customFormat="1" ht="13.35" customHeight="1">
      <c r="B70" s="185">
        <f t="shared" si="8"/>
        <v>48</v>
      </c>
      <c r="C70" s="185"/>
      <c r="D70" s="186">
        <v>7</v>
      </c>
      <c r="E70" s="179">
        <f t="shared" si="9"/>
        <v>48</v>
      </c>
      <c r="F70" s="186">
        <v>33.96</v>
      </c>
      <c r="G70" s="186">
        <f t="shared" si="6"/>
        <v>33.561999999999998</v>
      </c>
      <c r="H70" s="187" t="str">
        <f t="shared" si="2"/>
        <v>IN</v>
      </c>
      <c r="I70" s="265">
        <f t="shared" si="3"/>
        <v>1620.7779999999991</v>
      </c>
      <c r="J70" s="265">
        <f t="shared" si="4"/>
        <v>9714.1020000000008</v>
      </c>
      <c r="K70" s="269">
        <f t="shared" si="1"/>
        <v>119.22082686325436</v>
      </c>
      <c r="L70" s="447"/>
      <c r="M70" s="447"/>
      <c r="N70" s="13"/>
    </row>
    <row r="71" spans="2:14" s="11" customFormat="1" ht="13.35" customHeight="1">
      <c r="B71" s="185">
        <f t="shared" si="8"/>
        <v>49</v>
      </c>
      <c r="C71" s="185"/>
      <c r="D71" s="186">
        <v>7</v>
      </c>
      <c r="E71" s="179">
        <f t="shared" si="9"/>
        <v>49</v>
      </c>
      <c r="F71" s="186">
        <v>33.700000000000003</v>
      </c>
      <c r="G71" s="186">
        <f t="shared" si="6"/>
        <v>33.302</v>
      </c>
      <c r="H71" s="187" t="str">
        <f t="shared" si="7"/>
        <v>IN</v>
      </c>
      <c r="I71" s="265">
        <f t="shared" si="3"/>
        <v>1654.079999999999</v>
      </c>
      <c r="J71" s="265">
        <f t="shared" si="4"/>
        <v>9680.7999999999993</v>
      </c>
      <c r="K71" s="269">
        <f t="shared" si="1"/>
        <v>119.92395954163482</v>
      </c>
      <c r="L71" s="447"/>
      <c r="M71" s="447"/>
      <c r="N71" s="13"/>
    </row>
    <row r="72" spans="2:14" s="11" customFormat="1" ht="13.35" customHeight="1">
      <c r="B72" s="185">
        <f t="shared" si="8"/>
        <v>50</v>
      </c>
      <c r="C72" s="185"/>
      <c r="D72" s="186">
        <v>7</v>
      </c>
      <c r="E72" s="179">
        <f t="shared" si="9"/>
        <v>50</v>
      </c>
      <c r="F72" s="186">
        <v>33.590000000000003</v>
      </c>
      <c r="G72" s="186">
        <f t="shared" si="6"/>
        <v>33.192</v>
      </c>
      <c r="H72" s="187" t="str">
        <f t="shared" si="2"/>
        <v>IN</v>
      </c>
      <c r="I72" s="265">
        <f t="shared" si="3"/>
        <v>1687.271999999999</v>
      </c>
      <c r="J72" s="265">
        <f t="shared" si="4"/>
        <v>9647.6080000000002</v>
      </c>
      <c r="K72" s="269">
        <f t="shared" si="1"/>
        <v>120.62476969900685</v>
      </c>
      <c r="L72" s="447"/>
      <c r="M72" s="447"/>
      <c r="N72" s="13"/>
    </row>
    <row r="73" spans="2:14" s="11" customFormat="1" ht="13.35" customHeight="1">
      <c r="B73" s="185">
        <f t="shared" si="8"/>
        <v>51</v>
      </c>
      <c r="C73" s="185"/>
      <c r="D73" s="186">
        <v>7</v>
      </c>
      <c r="E73" s="179">
        <f t="shared" si="9"/>
        <v>51</v>
      </c>
      <c r="F73" s="186">
        <v>33.67</v>
      </c>
      <c r="G73" s="186">
        <f t="shared" si="6"/>
        <v>33.271999999999998</v>
      </c>
      <c r="H73" s="187" t="str">
        <f t="shared" si="7"/>
        <v>IN</v>
      </c>
      <c r="I73" s="265">
        <f t="shared" si="3"/>
        <v>1720.543999999999</v>
      </c>
      <c r="J73" s="265">
        <f t="shared" si="4"/>
        <v>9614.3359999999993</v>
      </c>
      <c r="K73" s="269">
        <f t="shared" si="1"/>
        <v>121.32726896256682</v>
      </c>
      <c r="L73" s="447"/>
      <c r="M73" s="447"/>
      <c r="N73" s="13"/>
    </row>
    <row r="74" spans="2:14" s="11" customFormat="1" ht="13.35" customHeight="1">
      <c r="B74" s="185">
        <f t="shared" si="8"/>
        <v>52</v>
      </c>
      <c r="C74" s="185"/>
      <c r="D74" s="186">
        <v>7</v>
      </c>
      <c r="E74" s="179">
        <f t="shared" si="9"/>
        <v>52</v>
      </c>
      <c r="F74" s="186">
        <v>33.590000000000003</v>
      </c>
      <c r="G74" s="186">
        <f t="shared" si="6"/>
        <v>33.192</v>
      </c>
      <c r="H74" s="187" t="str">
        <f t="shared" si="2"/>
        <v>IN</v>
      </c>
      <c r="I74" s="265">
        <f t="shared" si="3"/>
        <v>1753.735999999999</v>
      </c>
      <c r="J74" s="265">
        <f t="shared" si="4"/>
        <v>9581.1440000000002</v>
      </c>
      <c r="K74" s="269">
        <f t="shared" si="1"/>
        <v>122.02807911993887</v>
      </c>
      <c r="L74" s="474"/>
      <c r="M74" s="474"/>
      <c r="N74" s="13"/>
    </row>
    <row r="75" spans="2:14" s="11" customFormat="1" ht="13.35" customHeight="1">
      <c r="B75" s="185">
        <f t="shared" si="8"/>
        <v>53</v>
      </c>
      <c r="C75" s="185"/>
      <c r="D75" s="186">
        <v>7</v>
      </c>
      <c r="E75" s="179">
        <f t="shared" si="9"/>
        <v>53</v>
      </c>
      <c r="F75" s="186">
        <v>33.49</v>
      </c>
      <c r="G75" s="186">
        <f t="shared" si="6"/>
        <v>33.091999999999999</v>
      </c>
      <c r="H75" s="187" t="str">
        <f t="shared" si="7"/>
        <v>IN</v>
      </c>
      <c r="I75" s="265">
        <f t="shared" si="3"/>
        <v>1786.8279999999991</v>
      </c>
      <c r="J75" s="265">
        <f t="shared" si="4"/>
        <v>9548.0519999999997</v>
      </c>
      <c r="K75" s="269">
        <f t="shared" si="1"/>
        <v>122.726777894576</v>
      </c>
      <c r="L75" s="447"/>
      <c r="M75" s="447"/>
      <c r="N75" s="13"/>
    </row>
    <row r="76" spans="2:14" s="11" customFormat="1" ht="13.35" customHeight="1">
      <c r="B76" s="185">
        <f t="shared" si="8"/>
        <v>54</v>
      </c>
      <c r="C76" s="185"/>
      <c r="D76" s="186">
        <v>7</v>
      </c>
      <c r="E76" s="179">
        <f t="shared" si="9"/>
        <v>54</v>
      </c>
      <c r="F76" s="186">
        <v>33.96</v>
      </c>
      <c r="G76" s="186">
        <f t="shared" si="6"/>
        <v>33.561999999999998</v>
      </c>
      <c r="H76" s="187" t="str">
        <f t="shared" si="2"/>
        <v>IN</v>
      </c>
      <c r="I76" s="265">
        <f t="shared" si="3"/>
        <v>1820.389999999999</v>
      </c>
      <c r="J76" s="265">
        <f t="shared" si="4"/>
        <v>9514.49</v>
      </c>
      <c r="K76" s="269">
        <f t="shared" si="1"/>
        <v>123.43540016806722</v>
      </c>
      <c r="L76" s="447"/>
      <c r="M76" s="447"/>
      <c r="N76" s="13"/>
    </row>
    <row r="77" spans="2:14" s="11" customFormat="1" ht="13.35" customHeight="1">
      <c r="B77" s="188">
        <f t="shared" si="8"/>
        <v>55</v>
      </c>
      <c r="C77" s="188"/>
      <c r="D77" s="265">
        <v>7</v>
      </c>
      <c r="E77" s="179">
        <f t="shared" si="9"/>
        <v>55</v>
      </c>
      <c r="F77" s="186">
        <v>33.950000000000003</v>
      </c>
      <c r="G77" s="186">
        <f t="shared" si="6"/>
        <v>33.552</v>
      </c>
      <c r="H77" s="187" t="str">
        <f t="shared" si="7"/>
        <v>IN</v>
      </c>
      <c r="I77" s="265">
        <f t="shared" si="3"/>
        <v>1853.9419999999989</v>
      </c>
      <c r="J77" s="265">
        <f t="shared" si="4"/>
        <v>9480.9380000000001</v>
      </c>
      <c r="K77" s="269">
        <f t="shared" si="1"/>
        <v>124.14381130328493</v>
      </c>
      <c r="L77" s="447"/>
      <c r="M77" s="447"/>
      <c r="N77" s="13"/>
    </row>
    <row r="78" spans="2:14" s="11" customFormat="1" ht="13.35" customHeight="1">
      <c r="B78" s="185">
        <f t="shared" si="8"/>
        <v>56</v>
      </c>
      <c r="C78" s="185"/>
      <c r="D78" s="186">
        <v>7</v>
      </c>
      <c r="E78" s="179">
        <f t="shared" si="9"/>
        <v>56</v>
      </c>
      <c r="F78" s="186">
        <v>33.83</v>
      </c>
      <c r="G78" s="186">
        <f t="shared" si="6"/>
        <v>33.431999999999995</v>
      </c>
      <c r="H78" s="187" t="str">
        <f t="shared" si="2"/>
        <v>IN</v>
      </c>
      <c r="I78" s="265">
        <f t="shared" si="3"/>
        <v>1887.3739999999989</v>
      </c>
      <c r="J78" s="265">
        <f t="shared" si="4"/>
        <v>9447.5060000000012</v>
      </c>
      <c r="K78" s="269">
        <f t="shared" si="1"/>
        <v>124.84968877922076</v>
      </c>
      <c r="L78" s="447"/>
      <c r="M78" s="447"/>
      <c r="N78" s="13"/>
    </row>
    <row r="79" spans="2:14" s="11" customFormat="1" ht="13.35" customHeight="1">
      <c r="B79" s="185">
        <f t="shared" si="8"/>
        <v>57</v>
      </c>
      <c r="C79" s="185"/>
      <c r="D79" s="186">
        <v>7</v>
      </c>
      <c r="E79" s="179">
        <f t="shared" si="9"/>
        <v>57</v>
      </c>
      <c r="F79" s="186">
        <v>33.950000000000003</v>
      </c>
      <c r="G79" s="186">
        <f t="shared" si="6"/>
        <v>33.552</v>
      </c>
      <c r="H79" s="187" t="str">
        <f t="shared" si="7"/>
        <v>IN</v>
      </c>
      <c r="I79" s="265">
        <f t="shared" si="3"/>
        <v>1920.9259999999988</v>
      </c>
      <c r="J79" s="265">
        <f t="shared" si="4"/>
        <v>9413.9539999999997</v>
      </c>
      <c r="K79" s="269">
        <f t="shared" ref="K79:K142" si="10">$H$9+(I79*$E$10*$H$11/1000)</f>
        <v>125.55809991443849</v>
      </c>
      <c r="L79" s="447"/>
      <c r="M79" s="447"/>
      <c r="N79" s="13"/>
    </row>
    <row r="80" spans="2:14" s="11" customFormat="1" ht="13.35" customHeight="1">
      <c r="B80" s="185">
        <f t="shared" si="8"/>
        <v>58</v>
      </c>
      <c r="C80" s="185"/>
      <c r="D80" s="186">
        <v>7</v>
      </c>
      <c r="E80" s="179">
        <f t="shared" si="9"/>
        <v>58</v>
      </c>
      <c r="F80" s="186">
        <v>33.22</v>
      </c>
      <c r="G80" s="186">
        <f t="shared" si="6"/>
        <v>32.821999999999996</v>
      </c>
      <c r="H80" s="187" t="str">
        <f t="shared" si="7"/>
        <v>IN</v>
      </c>
      <c r="I80" s="265">
        <f t="shared" si="3"/>
        <v>1953.7479999999987</v>
      </c>
      <c r="J80" s="265">
        <f t="shared" si="4"/>
        <v>9381.1320000000014</v>
      </c>
      <c r="K80" s="269">
        <f t="shared" si="10"/>
        <v>126.25109795569134</v>
      </c>
      <c r="L80" s="447"/>
      <c r="M80" s="447"/>
      <c r="N80" s="13"/>
    </row>
    <row r="81" spans="2:14" s="11" customFormat="1" ht="13.35" customHeight="1">
      <c r="B81" s="185">
        <f t="shared" si="8"/>
        <v>59</v>
      </c>
      <c r="C81" s="185"/>
      <c r="D81" s="186">
        <v>7</v>
      </c>
      <c r="E81" s="179">
        <f t="shared" si="9"/>
        <v>59</v>
      </c>
      <c r="F81" s="186">
        <v>33.96</v>
      </c>
      <c r="G81" s="186">
        <f t="shared" si="6"/>
        <v>33.561999999999998</v>
      </c>
      <c r="H81" s="187" t="str">
        <f t="shared" si="7"/>
        <v>IN</v>
      </c>
      <c r="I81" s="265">
        <f t="shared" si="3"/>
        <v>1987.3099999999986</v>
      </c>
      <c r="J81" s="265">
        <f t="shared" si="4"/>
        <v>9347.57</v>
      </c>
      <c r="K81" s="269">
        <f t="shared" si="10"/>
        <v>126.95972022918255</v>
      </c>
      <c r="L81" s="444"/>
      <c r="M81" s="444"/>
      <c r="N81" s="13"/>
    </row>
    <row r="82" spans="2:14" s="11" customFormat="1" ht="13.35" customHeight="1">
      <c r="B82" s="185">
        <f t="shared" si="8"/>
        <v>60</v>
      </c>
      <c r="C82" s="185"/>
      <c r="D82" s="186">
        <v>7</v>
      </c>
      <c r="E82" s="179">
        <f t="shared" si="9"/>
        <v>60</v>
      </c>
      <c r="F82" s="186">
        <v>33.96</v>
      </c>
      <c r="G82" s="186">
        <f t="shared" si="6"/>
        <v>33.561999999999998</v>
      </c>
      <c r="H82" s="187" t="str">
        <f t="shared" si="7"/>
        <v>IN</v>
      </c>
      <c r="I82" s="265">
        <f t="shared" ref="I82:I145" si="11">IF(H82="IN",I81+G82,I81)</f>
        <v>2020.8719999999985</v>
      </c>
      <c r="J82" s="265">
        <f t="shared" ref="J82:J145" si="12">IF(I82="","",$L$9-I82)</f>
        <v>9314.0080000000016</v>
      </c>
      <c r="K82" s="269">
        <f t="shared" si="10"/>
        <v>127.66834250267377</v>
      </c>
      <c r="L82" s="447"/>
      <c r="M82" s="447"/>
      <c r="N82" s="13"/>
    </row>
    <row r="83" spans="2:14" s="11" customFormat="1" ht="13.35" customHeight="1">
      <c r="B83" s="185">
        <f t="shared" si="8"/>
        <v>61</v>
      </c>
      <c r="C83" s="185"/>
      <c r="D83" s="186">
        <v>7</v>
      </c>
      <c r="E83" s="179">
        <f t="shared" si="9"/>
        <v>61</v>
      </c>
      <c r="F83" s="186">
        <v>33.950000000000003</v>
      </c>
      <c r="G83" s="186">
        <f t="shared" ref="G83:G146" si="13">F83-($E$12)</f>
        <v>33.552</v>
      </c>
      <c r="H83" s="187" t="str">
        <f t="shared" si="7"/>
        <v>IN</v>
      </c>
      <c r="I83" s="265">
        <f t="shared" si="11"/>
        <v>2054.4239999999986</v>
      </c>
      <c r="J83" s="265">
        <f t="shared" si="12"/>
        <v>9280.4560000000001</v>
      </c>
      <c r="K83" s="269">
        <f t="shared" si="10"/>
        <v>128.37675363789148</v>
      </c>
      <c r="L83" s="447"/>
      <c r="M83" s="447"/>
      <c r="N83" s="13"/>
    </row>
    <row r="84" spans="2:14" s="11" customFormat="1" ht="13.35" customHeight="1">
      <c r="B84" s="185">
        <f t="shared" si="8"/>
        <v>62</v>
      </c>
      <c r="C84" s="185"/>
      <c r="D84" s="186">
        <v>7</v>
      </c>
      <c r="E84" s="179">
        <f t="shared" si="9"/>
        <v>62</v>
      </c>
      <c r="F84" s="186">
        <v>32.14</v>
      </c>
      <c r="G84" s="186">
        <f t="shared" si="13"/>
        <v>31.742000000000001</v>
      </c>
      <c r="H84" s="187" t="str">
        <f t="shared" si="7"/>
        <v>IN</v>
      </c>
      <c r="I84" s="265">
        <f t="shared" si="11"/>
        <v>2086.1659999999988</v>
      </c>
      <c r="J84" s="265">
        <f t="shared" si="12"/>
        <v>9248.7139999999999</v>
      </c>
      <c r="K84" s="269">
        <f t="shared" si="10"/>
        <v>129.04694874560732</v>
      </c>
      <c r="L84" s="447"/>
      <c r="M84" s="447"/>
      <c r="N84" s="13"/>
    </row>
    <row r="85" spans="2:14" s="11" customFormat="1" ht="13.35" customHeight="1">
      <c r="B85" s="185">
        <f t="shared" si="8"/>
        <v>63</v>
      </c>
      <c r="C85" s="185"/>
      <c r="D85" s="186">
        <v>7</v>
      </c>
      <c r="E85" s="179">
        <f t="shared" si="9"/>
        <v>63</v>
      </c>
      <c r="F85" s="186">
        <v>33.96</v>
      </c>
      <c r="G85" s="186">
        <f t="shared" si="13"/>
        <v>33.561999999999998</v>
      </c>
      <c r="H85" s="187" t="str">
        <f t="shared" si="7"/>
        <v>IN</v>
      </c>
      <c r="I85" s="265">
        <f t="shared" si="11"/>
        <v>2119.7279999999987</v>
      </c>
      <c r="J85" s="265">
        <f t="shared" si="12"/>
        <v>9215.152</v>
      </c>
      <c r="K85" s="269">
        <f t="shared" si="10"/>
        <v>129.75557101909851</v>
      </c>
      <c r="L85" s="447"/>
      <c r="M85" s="447"/>
      <c r="N85" s="13"/>
    </row>
    <row r="86" spans="2:14" s="11" customFormat="1" ht="13.35" customHeight="1">
      <c r="B86" s="185">
        <f t="shared" si="8"/>
        <v>64</v>
      </c>
      <c r="C86" s="185"/>
      <c r="D86" s="186">
        <v>7</v>
      </c>
      <c r="E86" s="179">
        <f t="shared" si="9"/>
        <v>64</v>
      </c>
      <c r="F86" s="186">
        <v>33.950000000000003</v>
      </c>
      <c r="G86" s="186">
        <f t="shared" si="13"/>
        <v>33.552</v>
      </c>
      <c r="H86" s="187" t="str">
        <f t="shared" si="7"/>
        <v>IN</v>
      </c>
      <c r="I86" s="265">
        <f t="shared" si="11"/>
        <v>2153.2799999999988</v>
      </c>
      <c r="J86" s="265">
        <f t="shared" si="12"/>
        <v>9181.6</v>
      </c>
      <c r="K86" s="269">
        <f t="shared" si="10"/>
        <v>130.46398215431626</v>
      </c>
      <c r="L86" s="447"/>
      <c r="M86" s="447"/>
      <c r="N86" s="13"/>
    </row>
    <row r="87" spans="2:14" s="11" customFormat="1" ht="13.35" customHeight="1">
      <c r="B87" s="185">
        <f t="shared" si="8"/>
        <v>65</v>
      </c>
      <c r="C87" s="185"/>
      <c r="D87" s="186">
        <v>7</v>
      </c>
      <c r="E87" s="179">
        <f t="shared" si="9"/>
        <v>65</v>
      </c>
      <c r="F87" s="186">
        <v>33.950000000000003</v>
      </c>
      <c r="G87" s="186">
        <f t="shared" si="13"/>
        <v>33.552</v>
      </c>
      <c r="H87" s="187" t="str">
        <f t="shared" si="7"/>
        <v>IN</v>
      </c>
      <c r="I87" s="265">
        <f t="shared" si="11"/>
        <v>2186.831999999999</v>
      </c>
      <c r="J87" s="265">
        <f t="shared" si="12"/>
        <v>9148.0480000000007</v>
      </c>
      <c r="K87" s="269">
        <f t="shared" si="10"/>
        <v>131.17239328953397</v>
      </c>
      <c r="L87" s="447"/>
      <c r="M87" s="447"/>
      <c r="N87" s="13"/>
    </row>
    <row r="88" spans="2:14" s="11" customFormat="1" ht="13.35" customHeight="1">
      <c r="B88" s="185">
        <f t="shared" si="8"/>
        <v>66</v>
      </c>
      <c r="C88" s="185"/>
      <c r="D88" s="186">
        <v>7</v>
      </c>
      <c r="E88" s="179">
        <f t="shared" si="9"/>
        <v>66</v>
      </c>
      <c r="F88" s="186">
        <v>33.950000000000003</v>
      </c>
      <c r="G88" s="186">
        <f t="shared" si="13"/>
        <v>33.552</v>
      </c>
      <c r="H88" s="187" t="str">
        <f t="shared" si="7"/>
        <v>IN</v>
      </c>
      <c r="I88" s="265">
        <f t="shared" si="11"/>
        <v>2220.3839999999991</v>
      </c>
      <c r="J88" s="265">
        <f t="shared" si="12"/>
        <v>9114.4959999999992</v>
      </c>
      <c r="K88" s="269">
        <f t="shared" si="10"/>
        <v>131.88080442475172</v>
      </c>
      <c r="L88" s="447"/>
      <c r="M88" s="447"/>
      <c r="N88" s="13"/>
    </row>
    <row r="89" spans="2:14" s="11" customFormat="1" ht="13.35" customHeight="1">
      <c r="B89" s="185">
        <f t="shared" ref="B89:B153" si="14">B88+1</f>
        <v>67</v>
      </c>
      <c r="C89" s="185"/>
      <c r="D89" s="186">
        <v>7</v>
      </c>
      <c r="E89" s="179">
        <f t="shared" si="9"/>
        <v>67</v>
      </c>
      <c r="F89" s="186">
        <v>33.950000000000003</v>
      </c>
      <c r="G89" s="186">
        <f t="shared" si="13"/>
        <v>33.552</v>
      </c>
      <c r="H89" s="187" t="str">
        <f t="shared" ref="H89:H152" si="15">IF(F89="","OUT","IN")</f>
        <v>IN</v>
      </c>
      <c r="I89" s="265">
        <f t="shared" si="11"/>
        <v>2253.9359999999992</v>
      </c>
      <c r="J89" s="265">
        <f t="shared" si="12"/>
        <v>9080.9439999999995</v>
      </c>
      <c r="K89" s="269">
        <f t="shared" si="10"/>
        <v>132.58921555996943</v>
      </c>
      <c r="L89" s="447"/>
      <c r="M89" s="447"/>
      <c r="N89" s="13"/>
    </row>
    <row r="90" spans="2:14" s="11" customFormat="1" ht="13.35" customHeight="1">
      <c r="B90" s="185">
        <f t="shared" si="14"/>
        <v>68</v>
      </c>
      <c r="C90" s="185"/>
      <c r="D90" s="186">
        <v>7</v>
      </c>
      <c r="E90" s="179">
        <f t="shared" si="9"/>
        <v>68</v>
      </c>
      <c r="F90" s="186">
        <v>32.82</v>
      </c>
      <c r="G90" s="186">
        <f t="shared" si="13"/>
        <v>32.421999999999997</v>
      </c>
      <c r="H90" s="187" t="str">
        <f t="shared" si="15"/>
        <v>IN</v>
      </c>
      <c r="I90" s="265">
        <f t="shared" si="11"/>
        <v>2286.3579999999993</v>
      </c>
      <c r="J90" s="265">
        <f t="shared" si="12"/>
        <v>9048.5220000000008</v>
      </c>
      <c r="K90" s="269">
        <f t="shared" si="10"/>
        <v>133.27376807028264</v>
      </c>
      <c r="L90" s="447"/>
      <c r="M90" s="447"/>
      <c r="N90" s="13"/>
    </row>
    <row r="91" spans="2:14" s="11" customFormat="1" ht="13.35" customHeight="1">
      <c r="B91" s="185">
        <f t="shared" si="14"/>
        <v>69</v>
      </c>
      <c r="C91" s="185"/>
      <c r="D91" s="186">
        <v>7</v>
      </c>
      <c r="E91" s="179">
        <f t="shared" ref="E91:E154" si="16">E90+1</f>
        <v>69</v>
      </c>
      <c r="F91" s="186">
        <v>31.94</v>
      </c>
      <c r="G91" s="186">
        <f t="shared" si="13"/>
        <v>31.542000000000002</v>
      </c>
      <c r="H91" s="187" t="str">
        <f t="shared" si="15"/>
        <v>IN</v>
      </c>
      <c r="I91" s="265">
        <f t="shared" si="11"/>
        <v>2317.8999999999992</v>
      </c>
      <c r="J91" s="265">
        <f t="shared" si="12"/>
        <v>9016.98</v>
      </c>
      <c r="K91" s="269">
        <f t="shared" si="10"/>
        <v>133.93974041252864</v>
      </c>
      <c r="L91" s="447"/>
      <c r="M91" s="447"/>
      <c r="N91" s="13"/>
    </row>
    <row r="92" spans="2:14" s="11" customFormat="1" ht="13.35" customHeight="1">
      <c r="B92" s="185">
        <f t="shared" si="14"/>
        <v>70</v>
      </c>
      <c r="C92" s="185"/>
      <c r="D92" s="186">
        <v>7</v>
      </c>
      <c r="E92" s="179">
        <f t="shared" si="16"/>
        <v>70</v>
      </c>
      <c r="F92" s="186">
        <v>33.950000000000003</v>
      </c>
      <c r="G92" s="186">
        <f t="shared" si="13"/>
        <v>33.552</v>
      </c>
      <c r="H92" s="187" t="str">
        <f t="shared" si="15"/>
        <v>IN</v>
      </c>
      <c r="I92" s="265">
        <f t="shared" si="11"/>
        <v>2351.4519999999993</v>
      </c>
      <c r="J92" s="265">
        <f t="shared" si="12"/>
        <v>8983.4279999999999</v>
      </c>
      <c r="K92" s="269">
        <f t="shared" si="10"/>
        <v>134.64815154774635</v>
      </c>
      <c r="L92" s="447"/>
      <c r="M92" s="447"/>
      <c r="N92" s="13"/>
    </row>
    <row r="93" spans="2:14" s="11" customFormat="1" ht="13.35" customHeight="1">
      <c r="B93" s="185">
        <f t="shared" si="14"/>
        <v>71</v>
      </c>
      <c r="C93" s="185"/>
      <c r="D93" s="186">
        <v>7</v>
      </c>
      <c r="E93" s="179">
        <f t="shared" si="16"/>
        <v>71</v>
      </c>
      <c r="F93" s="186">
        <v>33.46</v>
      </c>
      <c r="G93" s="186">
        <f t="shared" si="13"/>
        <v>33.061999999999998</v>
      </c>
      <c r="H93" s="187" t="str">
        <f t="shared" si="15"/>
        <v>IN</v>
      </c>
      <c r="I93" s="265">
        <f t="shared" si="11"/>
        <v>2384.5139999999992</v>
      </c>
      <c r="J93" s="265">
        <f t="shared" si="12"/>
        <v>8950.366</v>
      </c>
      <c r="K93" s="269">
        <f t="shared" si="10"/>
        <v>135.34621690756302</v>
      </c>
      <c r="L93" s="447"/>
      <c r="M93" s="447"/>
      <c r="N93" s="13"/>
    </row>
    <row r="94" spans="2:14" s="11" customFormat="1" ht="13.35" customHeight="1">
      <c r="B94" s="185">
        <f t="shared" si="14"/>
        <v>72</v>
      </c>
      <c r="C94" s="188"/>
      <c r="D94" s="186">
        <v>7</v>
      </c>
      <c r="E94" s="179">
        <f t="shared" si="16"/>
        <v>72</v>
      </c>
      <c r="F94" s="186">
        <v>33.83</v>
      </c>
      <c r="G94" s="186">
        <f t="shared" si="13"/>
        <v>33.431999999999995</v>
      </c>
      <c r="H94" s="187" t="str">
        <f t="shared" si="15"/>
        <v>IN</v>
      </c>
      <c r="I94" s="265">
        <f t="shared" si="11"/>
        <v>2417.945999999999</v>
      </c>
      <c r="J94" s="265">
        <f t="shared" si="12"/>
        <v>8916.9340000000011</v>
      </c>
      <c r="K94" s="269">
        <f t="shared" si="10"/>
        <v>136.05209438349883</v>
      </c>
      <c r="L94" s="447"/>
      <c r="M94" s="447"/>
      <c r="N94" s="13"/>
    </row>
    <row r="95" spans="2:14" s="11" customFormat="1" ht="13.35" customHeight="1">
      <c r="B95" s="185">
        <f t="shared" si="14"/>
        <v>73</v>
      </c>
      <c r="C95" s="188"/>
      <c r="D95" s="186">
        <v>7</v>
      </c>
      <c r="E95" s="179">
        <f t="shared" si="16"/>
        <v>73</v>
      </c>
      <c r="F95" s="186">
        <v>33.24</v>
      </c>
      <c r="G95" s="186">
        <f t="shared" si="13"/>
        <v>32.841999999999999</v>
      </c>
      <c r="H95" s="187" t="str">
        <f t="shared" si="15"/>
        <v>IN</v>
      </c>
      <c r="I95" s="265">
        <f t="shared" si="11"/>
        <v>2450.7879999999991</v>
      </c>
      <c r="J95" s="265">
        <f t="shared" si="12"/>
        <v>8884.0920000000006</v>
      </c>
      <c r="K95" s="269">
        <f t="shared" si="10"/>
        <v>136.7455147012987</v>
      </c>
      <c r="L95" s="447"/>
      <c r="M95" s="447"/>
      <c r="N95" s="13"/>
    </row>
    <row r="96" spans="2:14" s="11" customFormat="1" ht="13.35" customHeight="1">
      <c r="B96" s="185">
        <f t="shared" si="14"/>
        <v>74</v>
      </c>
      <c r="C96" s="188"/>
      <c r="D96" s="186">
        <v>7</v>
      </c>
      <c r="E96" s="179">
        <f t="shared" si="16"/>
        <v>74</v>
      </c>
      <c r="F96" s="186">
        <v>32.729999999999997</v>
      </c>
      <c r="G96" s="186">
        <f t="shared" si="13"/>
        <v>32.331999999999994</v>
      </c>
      <c r="H96" s="187" t="str">
        <f t="shared" si="15"/>
        <v>IN</v>
      </c>
      <c r="I96" s="265">
        <f t="shared" si="11"/>
        <v>2483.119999999999</v>
      </c>
      <c r="J96" s="265">
        <f t="shared" si="12"/>
        <v>8851.76</v>
      </c>
      <c r="K96" s="269">
        <f t="shared" si="10"/>
        <v>137.42816696715047</v>
      </c>
      <c r="L96" s="447"/>
      <c r="M96" s="447"/>
      <c r="N96" s="13"/>
    </row>
    <row r="97" spans="1:14" s="11" customFormat="1" ht="13.35" customHeight="1">
      <c r="B97" s="185">
        <f t="shared" si="14"/>
        <v>75</v>
      </c>
      <c r="C97" s="188"/>
      <c r="D97" s="186">
        <v>7</v>
      </c>
      <c r="E97" s="179">
        <f t="shared" si="16"/>
        <v>75</v>
      </c>
      <c r="F97" s="186">
        <v>33.21</v>
      </c>
      <c r="G97" s="186">
        <f t="shared" si="13"/>
        <v>32.811999999999998</v>
      </c>
      <c r="H97" s="187" t="str">
        <f t="shared" si="15"/>
        <v>IN</v>
      </c>
      <c r="I97" s="265">
        <f t="shared" si="11"/>
        <v>2515.9319999999989</v>
      </c>
      <c r="J97" s="265">
        <f t="shared" si="12"/>
        <v>8818.9480000000003</v>
      </c>
      <c r="K97" s="269">
        <f t="shared" si="10"/>
        <v>138.12095387012985</v>
      </c>
      <c r="L97" s="447"/>
      <c r="M97" s="447"/>
      <c r="N97" s="13"/>
    </row>
    <row r="98" spans="1:14" s="11" customFormat="1" ht="13.35" customHeight="1">
      <c r="A98" s="311"/>
      <c r="B98" s="188">
        <f t="shared" si="14"/>
        <v>76</v>
      </c>
      <c r="C98" s="188"/>
      <c r="D98" s="265">
        <v>7</v>
      </c>
      <c r="E98" s="312">
        <f t="shared" si="16"/>
        <v>76</v>
      </c>
      <c r="F98" s="186">
        <v>33.35</v>
      </c>
      <c r="G98" s="265">
        <f t="shared" si="13"/>
        <v>32.951999999999998</v>
      </c>
      <c r="H98" s="189" t="s">
        <v>110</v>
      </c>
      <c r="I98" s="265">
        <f t="shared" si="11"/>
        <v>2548.8839999999991</v>
      </c>
      <c r="J98" s="265">
        <f t="shared" si="12"/>
        <v>8785.9959999999992</v>
      </c>
      <c r="K98" s="269">
        <f t="shared" si="10"/>
        <v>138.81669670893811</v>
      </c>
      <c r="L98" s="447"/>
      <c r="M98" s="447"/>
      <c r="N98" s="13"/>
    </row>
    <row r="99" spans="1:14" s="11" customFormat="1">
      <c r="B99" s="185">
        <f t="shared" si="14"/>
        <v>77</v>
      </c>
      <c r="C99" s="188"/>
      <c r="D99" s="186">
        <v>7</v>
      </c>
      <c r="E99" s="179">
        <f t="shared" si="16"/>
        <v>77</v>
      </c>
      <c r="F99" s="186">
        <v>33.14</v>
      </c>
      <c r="G99" s="186">
        <f t="shared" si="13"/>
        <v>32.741999999999997</v>
      </c>
      <c r="H99" s="187" t="str">
        <f t="shared" si="15"/>
        <v>IN</v>
      </c>
      <c r="I99" s="265">
        <f t="shared" si="11"/>
        <v>2581.6259999999993</v>
      </c>
      <c r="J99" s="265">
        <f t="shared" si="12"/>
        <v>8753.2540000000008</v>
      </c>
      <c r="K99" s="269">
        <f t="shared" si="10"/>
        <v>139.50800564400305</v>
      </c>
      <c r="L99" s="447"/>
      <c r="M99" s="447"/>
      <c r="N99" s="13"/>
    </row>
    <row r="100" spans="1:14" s="11" customFormat="1">
      <c r="B100" s="185">
        <f t="shared" si="14"/>
        <v>78</v>
      </c>
      <c r="C100" s="188"/>
      <c r="D100" s="186">
        <v>7</v>
      </c>
      <c r="E100" s="179">
        <f t="shared" si="16"/>
        <v>78</v>
      </c>
      <c r="F100" s="186">
        <v>33.29</v>
      </c>
      <c r="G100" s="186">
        <f t="shared" si="13"/>
        <v>32.891999999999996</v>
      </c>
      <c r="H100" s="187" t="str">
        <f t="shared" si="15"/>
        <v>IN</v>
      </c>
      <c r="I100" s="265">
        <f t="shared" si="11"/>
        <v>2614.5179999999991</v>
      </c>
      <c r="J100" s="265">
        <f t="shared" si="12"/>
        <v>8720.362000000001</v>
      </c>
      <c r="K100" s="269">
        <f t="shared" si="10"/>
        <v>140.20248165317034</v>
      </c>
      <c r="L100" s="447"/>
      <c r="M100" s="447"/>
      <c r="N100" s="13"/>
    </row>
    <row r="101" spans="1:14" s="11" customFormat="1">
      <c r="B101" s="185">
        <f t="shared" si="14"/>
        <v>79</v>
      </c>
      <c r="C101" s="188"/>
      <c r="D101" s="186">
        <v>7</v>
      </c>
      <c r="E101" s="179">
        <f t="shared" si="16"/>
        <v>79</v>
      </c>
      <c r="F101" s="186">
        <v>33.520000000000003</v>
      </c>
      <c r="G101" s="186">
        <f t="shared" si="13"/>
        <v>33.122</v>
      </c>
      <c r="H101" s="187" t="str">
        <f t="shared" si="15"/>
        <v>IN</v>
      </c>
      <c r="I101" s="265">
        <f t="shared" si="11"/>
        <v>2647.639999999999</v>
      </c>
      <c r="J101" s="265">
        <f t="shared" si="12"/>
        <v>8687.24</v>
      </c>
      <c r="K101" s="269">
        <f t="shared" si="10"/>
        <v>140.90181384262794</v>
      </c>
      <c r="L101" s="447"/>
      <c r="M101" s="447"/>
      <c r="N101" s="13"/>
    </row>
    <row r="102" spans="1:14" s="11" customFormat="1">
      <c r="B102" s="185">
        <f t="shared" si="14"/>
        <v>80</v>
      </c>
      <c r="C102" s="188"/>
      <c r="D102" s="186">
        <v>7</v>
      </c>
      <c r="E102" s="179">
        <f t="shared" si="16"/>
        <v>80</v>
      </c>
      <c r="F102" s="186">
        <v>33.25</v>
      </c>
      <c r="G102" s="186">
        <f t="shared" si="13"/>
        <v>32.851999999999997</v>
      </c>
      <c r="H102" s="187" t="str">
        <f t="shared" si="15"/>
        <v>IN</v>
      </c>
      <c r="I102" s="265">
        <f t="shared" si="11"/>
        <v>2680.4919999999988</v>
      </c>
      <c r="J102" s="265">
        <f t="shared" si="12"/>
        <v>8654.3880000000008</v>
      </c>
      <c r="K102" s="269">
        <f t="shared" si="10"/>
        <v>141.59544529870129</v>
      </c>
      <c r="L102" s="447"/>
      <c r="M102" s="447"/>
      <c r="N102" s="13"/>
    </row>
    <row r="103" spans="1:14" s="11" customFormat="1">
      <c r="B103" s="185">
        <f t="shared" si="14"/>
        <v>81</v>
      </c>
      <c r="C103" s="188"/>
      <c r="D103" s="186">
        <v>7</v>
      </c>
      <c r="E103" s="179">
        <f t="shared" si="16"/>
        <v>81</v>
      </c>
      <c r="F103" s="186">
        <v>33.54</v>
      </c>
      <c r="G103" s="186">
        <f t="shared" si="13"/>
        <v>33.141999999999996</v>
      </c>
      <c r="H103" s="187" t="str">
        <f t="shared" si="15"/>
        <v>IN</v>
      </c>
      <c r="I103" s="265">
        <f t="shared" si="11"/>
        <v>2713.6339999999987</v>
      </c>
      <c r="J103" s="265">
        <f t="shared" si="12"/>
        <v>8621.246000000001</v>
      </c>
      <c r="K103" s="269">
        <f t="shared" si="10"/>
        <v>142.29519976470584</v>
      </c>
      <c r="L103" s="447"/>
      <c r="M103" s="447"/>
      <c r="N103" s="13"/>
    </row>
    <row r="104" spans="1:14" s="11" customFormat="1">
      <c r="B104" s="185">
        <f t="shared" si="14"/>
        <v>82</v>
      </c>
      <c r="C104" s="188"/>
      <c r="D104" s="186">
        <v>7</v>
      </c>
      <c r="E104" s="179">
        <f t="shared" si="16"/>
        <v>82</v>
      </c>
      <c r="F104" s="186">
        <v>33.369999999999997</v>
      </c>
      <c r="G104" s="186">
        <f t="shared" si="13"/>
        <v>32.971999999999994</v>
      </c>
      <c r="H104" s="187" t="str">
        <f t="shared" si="15"/>
        <v>IN</v>
      </c>
      <c r="I104" s="265">
        <f t="shared" si="11"/>
        <v>2746.6059999999989</v>
      </c>
      <c r="J104" s="265">
        <f t="shared" si="12"/>
        <v>8588.2740000000013</v>
      </c>
      <c r="K104" s="269">
        <f t="shared" si="10"/>
        <v>142.9913648800611</v>
      </c>
      <c r="L104" s="447"/>
      <c r="M104" s="447"/>
      <c r="N104" s="13"/>
    </row>
    <row r="105" spans="1:14" s="11" customFormat="1">
      <c r="B105" s="185">
        <f t="shared" si="14"/>
        <v>83</v>
      </c>
      <c r="C105" s="188"/>
      <c r="D105" s="186">
        <v>7</v>
      </c>
      <c r="E105" s="179">
        <f t="shared" si="16"/>
        <v>83</v>
      </c>
      <c r="F105" s="186">
        <v>32.6</v>
      </c>
      <c r="G105" s="186">
        <f t="shared" si="13"/>
        <v>32.201999999999998</v>
      </c>
      <c r="H105" s="187" t="str">
        <f t="shared" si="15"/>
        <v>IN</v>
      </c>
      <c r="I105" s="265">
        <f t="shared" si="11"/>
        <v>2778.8079999999991</v>
      </c>
      <c r="J105" s="265">
        <f t="shared" si="12"/>
        <v>8556.0720000000001</v>
      </c>
      <c r="K105" s="269">
        <f t="shared" si="10"/>
        <v>143.67127234835749</v>
      </c>
      <c r="L105" s="447"/>
      <c r="M105" s="447"/>
      <c r="N105" s="13"/>
    </row>
    <row r="106" spans="1:14" s="11" customFormat="1">
      <c r="B106" s="185">
        <f t="shared" si="14"/>
        <v>84</v>
      </c>
      <c r="C106" s="188"/>
      <c r="D106" s="186">
        <v>7</v>
      </c>
      <c r="E106" s="179">
        <f t="shared" si="16"/>
        <v>84</v>
      </c>
      <c r="F106" s="186">
        <v>33.04</v>
      </c>
      <c r="G106" s="186">
        <f t="shared" si="13"/>
        <v>32.641999999999996</v>
      </c>
      <c r="H106" s="187" t="str">
        <f t="shared" si="15"/>
        <v>IN</v>
      </c>
      <c r="I106" s="265">
        <f t="shared" si="11"/>
        <v>2811.4499999999989</v>
      </c>
      <c r="J106" s="265">
        <f t="shared" si="12"/>
        <v>8523.43</v>
      </c>
      <c r="K106" s="269">
        <f t="shared" si="10"/>
        <v>144.36046990068752</v>
      </c>
      <c r="L106" s="447"/>
      <c r="M106" s="447"/>
      <c r="N106" s="13"/>
    </row>
    <row r="107" spans="1:14" s="11" customFormat="1">
      <c r="B107" s="185">
        <f t="shared" si="14"/>
        <v>85</v>
      </c>
      <c r="C107" s="188"/>
      <c r="D107" s="186">
        <v>7</v>
      </c>
      <c r="E107" s="179">
        <f t="shared" si="16"/>
        <v>85</v>
      </c>
      <c r="F107" s="186">
        <v>33.61</v>
      </c>
      <c r="G107" s="186">
        <f t="shared" si="13"/>
        <v>33.211999999999996</v>
      </c>
      <c r="H107" s="187" t="str">
        <f t="shared" si="15"/>
        <v>IN</v>
      </c>
      <c r="I107" s="265">
        <f t="shared" si="11"/>
        <v>2844.6619999999989</v>
      </c>
      <c r="J107" s="265">
        <f t="shared" si="12"/>
        <v>8490.2180000000008</v>
      </c>
      <c r="K107" s="269">
        <f t="shared" si="10"/>
        <v>145.06170233460654</v>
      </c>
      <c r="L107" s="447"/>
      <c r="M107" s="447"/>
      <c r="N107" s="13"/>
    </row>
    <row r="108" spans="1:14" s="11" customFormat="1">
      <c r="B108" s="185">
        <f t="shared" si="14"/>
        <v>86</v>
      </c>
      <c r="C108" s="188"/>
      <c r="D108" s="186">
        <v>7</v>
      </c>
      <c r="E108" s="179">
        <f t="shared" si="16"/>
        <v>86</v>
      </c>
      <c r="F108" s="186">
        <v>33.89</v>
      </c>
      <c r="G108" s="186">
        <f t="shared" si="13"/>
        <v>33.491999999999997</v>
      </c>
      <c r="H108" s="187" t="str">
        <f t="shared" si="15"/>
        <v>IN</v>
      </c>
      <c r="I108" s="265">
        <f t="shared" si="11"/>
        <v>2878.1539999999991</v>
      </c>
      <c r="J108" s="265">
        <f t="shared" si="12"/>
        <v>8456.7260000000006</v>
      </c>
      <c r="K108" s="269">
        <f t="shared" si="10"/>
        <v>145.76884664018331</v>
      </c>
      <c r="L108" s="447"/>
      <c r="M108" s="447"/>
      <c r="N108" s="13"/>
    </row>
    <row r="109" spans="1:14" s="11" customFormat="1">
      <c r="B109" s="185">
        <f t="shared" si="14"/>
        <v>87</v>
      </c>
      <c r="C109" s="188"/>
      <c r="D109" s="186">
        <v>7</v>
      </c>
      <c r="E109" s="179">
        <f t="shared" si="16"/>
        <v>87</v>
      </c>
      <c r="F109" s="186">
        <v>33.17</v>
      </c>
      <c r="G109" s="186">
        <f t="shared" si="13"/>
        <v>32.771999999999998</v>
      </c>
      <c r="H109" s="187" t="str">
        <f t="shared" si="15"/>
        <v>IN</v>
      </c>
      <c r="I109" s="265">
        <f t="shared" si="11"/>
        <v>2910.925999999999</v>
      </c>
      <c r="J109" s="265">
        <f t="shared" si="12"/>
        <v>8423.9539999999997</v>
      </c>
      <c r="K109" s="269">
        <f t="shared" si="10"/>
        <v>146.46078899006875</v>
      </c>
      <c r="L109" s="447"/>
      <c r="M109" s="447"/>
      <c r="N109" s="13"/>
    </row>
    <row r="110" spans="1:14" s="11" customFormat="1">
      <c r="B110" s="185">
        <f t="shared" si="14"/>
        <v>88</v>
      </c>
      <c r="C110" s="188"/>
      <c r="D110" s="186">
        <v>7</v>
      </c>
      <c r="E110" s="179">
        <f t="shared" si="16"/>
        <v>88</v>
      </c>
      <c r="F110" s="186">
        <v>33.57</v>
      </c>
      <c r="G110" s="186">
        <f t="shared" si="13"/>
        <v>33.171999999999997</v>
      </c>
      <c r="H110" s="187" t="str">
        <f t="shared" si="15"/>
        <v>IN</v>
      </c>
      <c r="I110" s="265">
        <f t="shared" si="11"/>
        <v>2944.097999999999</v>
      </c>
      <c r="J110" s="265">
        <f t="shared" si="12"/>
        <v>8390.7819999999992</v>
      </c>
      <c r="K110" s="269">
        <f t="shared" si="10"/>
        <v>147.1611768708938</v>
      </c>
      <c r="L110" s="447"/>
      <c r="M110" s="447"/>
      <c r="N110" s="13"/>
    </row>
    <row r="111" spans="1:14" s="11" customFormat="1">
      <c r="B111" s="185">
        <f t="shared" si="14"/>
        <v>89</v>
      </c>
      <c r="C111" s="185"/>
      <c r="D111" s="186">
        <v>7</v>
      </c>
      <c r="E111" s="179">
        <f t="shared" si="16"/>
        <v>89</v>
      </c>
      <c r="F111" s="186">
        <v>33.520000000000003</v>
      </c>
      <c r="G111" s="186">
        <f t="shared" si="13"/>
        <v>33.122</v>
      </c>
      <c r="H111" s="187" t="str">
        <f t="shared" si="15"/>
        <v>IN</v>
      </c>
      <c r="I111" s="265">
        <f t="shared" si="11"/>
        <v>2977.2199999999989</v>
      </c>
      <c r="J111" s="265">
        <f t="shared" si="12"/>
        <v>8357.66</v>
      </c>
      <c r="K111" s="269">
        <f t="shared" si="10"/>
        <v>147.8605090603514</v>
      </c>
      <c r="L111" s="447"/>
      <c r="M111" s="447"/>
      <c r="N111" s="13"/>
    </row>
    <row r="112" spans="1:14" s="11" customFormat="1">
      <c r="B112" s="185">
        <f t="shared" si="14"/>
        <v>90</v>
      </c>
      <c r="C112" s="185"/>
      <c r="D112" s="186">
        <v>7</v>
      </c>
      <c r="E112" s="179">
        <f t="shared" si="16"/>
        <v>90</v>
      </c>
      <c r="F112" s="186">
        <v>33.520000000000003</v>
      </c>
      <c r="G112" s="186">
        <f t="shared" si="13"/>
        <v>33.122</v>
      </c>
      <c r="H112" s="187" t="str">
        <f t="shared" si="15"/>
        <v>IN</v>
      </c>
      <c r="I112" s="265">
        <f t="shared" si="11"/>
        <v>3010.3419999999987</v>
      </c>
      <c r="J112" s="265">
        <f t="shared" si="12"/>
        <v>8324.5380000000005</v>
      </c>
      <c r="K112" s="269">
        <f t="shared" si="10"/>
        <v>148.55984124980898</v>
      </c>
      <c r="L112" s="447"/>
      <c r="M112" s="447"/>
      <c r="N112" s="13"/>
    </row>
    <row r="113" spans="2:14" s="11" customFormat="1" ht="13.35" customHeight="1">
      <c r="B113" s="185">
        <f t="shared" si="14"/>
        <v>91</v>
      </c>
      <c r="C113" s="185"/>
      <c r="D113" s="186">
        <v>7</v>
      </c>
      <c r="E113" s="179">
        <f t="shared" si="16"/>
        <v>91</v>
      </c>
      <c r="F113" s="186">
        <v>33.630000000000003</v>
      </c>
      <c r="G113" s="186">
        <f t="shared" si="13"/>
        <v>33.231999999999999</v>
      </c>
      <c r="H113" s="187" t="str">
        <f t="shared" si="15"/>
        <v>IN</v>
      </c>
      <c r="I113" s="265">
        <f t="shared" si="11"/>
        <v>3043.5739999999987</v>
      </c>
      <c r="J113" s="265">
        <f t="shared" si="12"/>
        <v>8291.3060000000005</v>
      </c>
      <c r="K113" s="269">
        <f t="shared" si="10"/>
        <v>149.261495960275</v>
      </c>
      <c r="L113" s="447"/>
      <c r="M113" s="447"/>
      <c r="N113" s="13"/>
    </row>
    <row r="114" spans="2:14" s="11" customFormat="1" ht="13.35" customHeight="1">
      <c r="B114" s="185">
        <f t="shared" si="14"/>
        <v>92</v>
      </c>
      <c r="C114" s="185"/>
      <c r="D114" s="186">
        <v>7</v>
      </c>
      <c r="E114" s="179">
        <f t="shared" si="16"/>
        <v>92</v>
      </c>
      <c r="F114" s="186">
        <v>33.42</v>
      </c>
      <c r="G114" s="186">
        <f t="shared" si="13"/>
        <v>33.021999999999998</v>
      </c>
      <c r="H114" s="187" t="str">
        <f t="shared" si="15"/>
        <v>IN</v>
      </c>
      <c r="I114" s="265">
        <f t="shared" si="11"/>
        <v>3076.5959999999986</v>
      </c>
      <c r="J114" s="265">
        <f t="shared" si="12"/>
        <v>8258.2839999999997</v>
      </c>
      <c r="K114" s="269">
        <f t="shared" si="10"/>
        <v>149.95871676699767</v>
      </c>
      <c r="L114" s="447"/>
      <c r="M114" s="447"/>
      <c r="N114" s="13"/>
    </row>
    <row r="115" spans="2:14" s="11" customFormat="1" ht="13.35" customHeight="1">
      <c r="B115" s="185">
        <f t="shared" si="14"/>
        <v>93</v>
      </c>
      <c r="C115" s="185"/>
      <c r="D115" s="186">
        <v>7</v>
      </c>
      <c r="E115" s="179">
        <f t="shared" si="16"/>
        <v>93</v>
      </c>
      <c r="F115" s="186">
        <v>33.53</v>
      </c>
      <c r="G115" s="186">
        <f t="shared" si="13"/>
        <v>33.131999999999998</v>
      </c>
      <c r="H115" s="187" t="str">
        <f t="shared" si="15"/>
        <v>IN</v>
      </c>
      <c r="I115" s="265">
        <f t="shared" si="11"/>
        <v>3109.7279999999987</v>
      </c>
      <c r="J115" s="265">
        <f t="shared" si="12"/>
        <v>8225.152</v>
      </c>
      <c r="K115" s="269">
        <f t="shared" si="10"/>
        <v>150.6582600947288</v>
      </c>
      <c r="L115" s="447"/>
      <c r="M115" s="447"/>
      <c r="N115" s="13"/>
    </row>
    <row r="116" spans="2:14" s="11" customFormat="1" ht="13.35" customHeight="1">
      <c r="B116" s="185">
        <f t="shared" si="14"/>
        <v>94</v>
      </c>
      <c r="C116" s="188"/>
      <c r="D116" s="186">
        <v>7</v>
      </c>
      <c r="E116" s="179">
        <f t="shared" si="16"/>
        <v>94</v>
      </c>
      <c r="F116" s="186">
        <v>32.659999999999997</v>
      </c>
      <c r="G116" s="186">
        <f t="shared" si="13"/>
        <v>32.261999999999993</v>
      </c>
      <c r="H116" s="187" t="str">
        <f t="shared" si="15"/>
        <v>IN</v>
      </c>
      <c r="I116" s="265">
        <f t="shared" si="11"/>
        <v>3141.9899999999989</v>
      </c>
      <c r="J116" s="265">
        <f t="shared" si="12"/>
        <v>8192.89</v>
      </c>
      <c r="K116" s="269">
        <f t="shared" si="10"/>
        <v>151.33943439266613</v>
      </c>
      <c r="L116" s="447"/>
      <c r="M116" s="447"/>
      <c r="N116" s="13"/>
    </row>
    <row r="117" spans="2:14" s="11" customFormat="1" ht="13.35" customHeight="1">
      <c r="B117" s="185">
        <f t="shared" si="14"/>
        <v>95</v>
      </c>
      <c r="C117" s="188"/>
      <c r="D117" s="186">
        <v>7</v>
      </c>
      <c r="E117" s="179">
        <f t="shared" si="16"/>
        <v>95</v>
      </c>
      <c r="F117" s="186">
        <v>32.64</v>
      </c>
      <c r="G117" s="186">
        <f t="shared" si="13"/>
        <v>32.241999999999997</v>
      </c>
      <c r="H117" s="187" t="str">
        <f t="shared" si="15"/>
        <v>IN</v>
      </c>
      <c r="I117" s="265">
        <f t="shared" si="11"/>
        <v>3174.2319999999991</v>
      </c>
      <c r="J117" s="265">
        <f t="shared" si="12"/>
        <v>8160.6480000000001</v>
      </c>
      <c r="K117" s="269">
        <f t="shared" si="10"/>
        <v>152.02018641405652</v>
      </c>
      <c r="L117" s="447"/>
      <c r="M117" s="447"/>
      <c r="N117" s="13"/>
    </row>
    <row r="118" spans="2:14" s="11" customFormat="1" ht="13.35" customHeight="1">
      <c r="B118" s="185">
        <f t="shared" si="14"/>
        <v>96</v>
      </c>
      <c r="C118" s="188"/>
      <c r="D118" s="186">
        <v>7</v>
      </c>
      <c r="E118" s="179">
        <f t="shared" si="16"/>
        <v>96</v>
      </c>
      <c r="F118" s="186">
        <v>32.619999999999997</v>
      </c>
      <c r="G118" s="186">
        <f t="shared" si="13"/>
        <v>32.221999999999994</v>
      </c>
      <c r="H118" s="187" t="str">
        <f t="shared" si="15"/>
        <v>IN</v>
      </c>
      <c r="I118" s="265">
        <f t="shared" si="11"/>
        <v>3206.4539999999993</v>
      </c>
      <c r="J118" s="265">
        <f t="shared" si="12"/>
        <v>8128.4259999999995</v>
      </c>
      <c r="K118" s="269">
        <f t="shared" si="10"/>
        <v>152.70051615889992</v>
      </c>
      <c r="L118" s="447"/>
      <c r="M118" s="447"/>
      <c r="N118" s="13"/>
    </row>
    <row r="119" spans="2:14" s="11" customFormat="1" ht="13.35" customHeight="1">
      <c r="B119" s="185">
        <f t="shared" si="14"/>
        <v>97</v>
      </c>
      <c r="C119" s="188"/>
      <c r="D119" s="186">
        <v>7</v>
      </c>
      <c r="E119" s="179">
        <f t="shared" si="16"/>
        <v>97</v>
      </c>
      <c r="F119" s="186">
        <v>33.35</v>
      </c>
      <c r="G119" s="186">
        <f t="shared" si="13"/>
        <v>32.951999999999998</v>
      </c>
      <c r="H119" s="187" t="str">
        <f t="shared" si="15"/>
        <v>IN</v>
      </c>
      <c r="I119" s="265">
        <f t="shared" si="11"/>
        <v>3239.405999999999</v>
      </c>
      <c r="J119" s="265">
        <f t="shared" si="12"/>
        <v>8095.4740000000002</v>
      </c>
      <c r="K119" s="269">
        <f t="shared" si="10"/>
        <v>153.39625899770817</v>
      </c>
      <c r="L119" s="447"/>
      <c r="M119" s="447"/>
      <c r="N119" s="13"/>
    </row>
    <row r="120" spans="2:14" s="11" customFormat="1" ht="13.35" customHeight="1">
      <c r="B120" s="185">
        <f t="shared" si="14"/>
        <v>98</v>
      </c>
      <c r="C120" s="188"/>
      <c r="D120" s="186">
        <v>7</v>
      </c>
      <c r="E120" s="179">
        <f t="shared" si="16"/>
        <v>98</v>
      </c>
      <c r="F120" s="186">
        <v>32.82</v>
      </c>
      <c r="G120" s="186">
        <f t="shared" si="13"/>
        <v>32.421999999999997</v>
      </c>
      <c r="H120" s="187" t="str">
        <f t="shared" si="15"/>
        <v>IN</v>
      </c>
      <c r="I120" s="265">
        <f t="shared" si="11"/>
        <v>3271.8279999999991</v>
      </c>
      <c r="J120" s="265">
        <f t="shared" si="12"/>
        <v>8063.0519999999997</v>
      </c>
      <c r="K120" s="269">
        <f t="shared" si="10"/>
        <v>154.08081150802138</v>
      </c>
      <c r="L120" s="447"/>
      <c r="M120" s="447"/>
      <c r="N120" s="13"/>
    </row>
    <row r="121" spans="2:14" s="11" customFormat="1">
      <c r="B121" s="185">
        <f t="shared" si="14"/>
        <v>99</v>
      </c>
      <c r="C121" s="188"/>
      <c r="D121" s="186">
        <v>7</v>
      </c>
      <c r="E121" s="179">
        <f t="shared" si="16"/>
        <v>99</v>
      </c>
      <c r="F121" s="186">
        <v>33.33</v>
      </c>
      <c r="G121" s="186">
        <f t="shared" si="13"/>
        <v>32.931999999999995</v>
      </c>
      <c r="H121" s="187" t="str">
        <f t="shared" si="15"/>
        <v>IN</v>
      </c>
      <c r="I121" s="265">
        <f t="shared" si="11"/>
        <v>3304.7599999999989</v>
      </c>
      <c r="J121" s="265">
        <f t="shared" si="12"/>
        <v>8030.1200000000008</v>
      </c>
      <c r="K121" s="269">
        <f t="shared" si="10"/>
        <v>154.77613207028264</v>
      </c>
      <c r="L121" s="447"/>
      <c r="M121" s="447"/>
      <c r="N121" s="13"/>
    </row>
    <row r="122" spans="2:14" s="11" customFormat="1">
      <c r="B122" s="185">
        <f t="shared" si="14"/>
        <v>100</v>
      </c>
      <c r="C122" s="188"/>
      <c r="D122" s="186">
        <v>7</v>
      </c>
      <c r="E122" s="179">
        <f t="shared" si="16"/>
        <v>100</v>
      </c>
      <c r="F122" s="186">
        <v>33.64</v>
      </c>
      <c r="G122" s="186">
        <f t="shared" si="13"/>
        <v>33.241999999999997</v>
      </c>
      <c r="H122" s="187" t="str">
        <f t="shared" si="15"/>
        <v>IN</v>
      </c>
      <c r="I122" s="265">
        <f t="shared" si="11"/>
        <v>3338.001999999999</v>
      </c>
      <c r="J122" s="265">
        <f t="shared" si="12"/>
        <v>7996.8780000000006</v>
      </c>
      <c r="K122" s="269">
        <f t="shared" si="10"/>
        <v>155.47799791902213</v>
      </c>
      <c r="L122" s="447"/>
      <c r="M122" s="447"/>
      <c r="N122" s="13"/>
    </row>
    <row r="123" spans="2:14" s="11" customFormat="1">
      <c r="B123" s="185">
        <f t="shared" si="14"/>
        <v>101</v>
      </c>
      <c r="C123" s="188"/>
      <c r="D123" s="186">
        <v>7</v>
      </c>
      <c r="E123" s="179">
        <f t="shared" si="16"/>
        <v>101</v>
      </c>
      <c r="F123" s="186">
        <v>33.159999999999997</v>
      </c>
      <c r="G123" s="186">
        <f t="shared" si="13"/>
        <v>32.761999999999993</v>
      </c>
      <c r="H123" s="187" t="str">
        <f t="shared" si="15"/>
        <v>IN</v>
      </c>
      <c r="I123" s="265">
        <f t="shared" si="11"/>
        <v>3370.7639999999992</v>
      </c>
      <c r="J123" s="265">
        <f t="shared" si="12"/>
        <v>7964.116</v>
      </c>
      <c r="K123" s="269">
        <f t="shared" si="10"/>
        <v>156.16972913063404</v>
      </c>
      <c r="L123" s="447"/>
      <c r="M123" s="447"/>
      <c r="N123" s="13"/>
    </row>
    <row r="124" spans="2:14" s="11" customFormat="1">
      <c r="B124" s="185">
        <f t="shared" si="14"/>
        <v>102</v>
      </c>
      <c r="C124" s="188"/>
      <c r="D124" s="186">
        <v>7</v>
      </c>
      <c r="E124" s="179">
        <f t="shared" si="16"/>
        <v>102</v>
      </c>
      <c r="F124" s="186">
        <v>33.89</v>
      </c>
      <c r="G124" s="186">
        <f t="shared" si="13"/>
        <v>33.491999999999997</v>
      </c>
      <c r="H124" s="187" t="str">
        <f t="shared" si="15"/>
        <v>IN</v>
      </c>
      <c r="I124" s="265">
        <f t="shared" si="11"/>
        <v>3404.2559999999994</v>
      </c>
      <c r="J124" s="265">
        <f t="shared" si="12"/>
        <v>7930.6239999999998</v>
      </c>
      <c r="K124" s="269">
        <f t="shared" si="10"/>
        <v>156.87687343621084</v>
      </c>
      <c r="L124" s="447"/>
      <c r="M124" s="447"/>
      <c r="N124" s="13"/>
    </row>
    <row r="125" spans="2:14" s="11" customFormat="1">
      <c r="B125" s="185">
        <f t="shared" si="14"/>
        <v>103</v>
      </c>
      <c r="C125" s="188"/>
      <c r="D125" s="186">
        <v>7</v>
      </c>
      <c r="E125" s="179">
        <f t="shared" si="16"/>
        <v>103</v>
      </c>
      <c r="F125" s="186">
        <v>33.49</v>
      </c>
      <c r="G125" s="186">
        <f t="shared" si="13"/>
        <v>33.091999999999999</v>
      </c>
      <c r="H125" s="187" t="str">
        <f t="shared" si="15"/>
        <v>IN</v>
      </c>
      <c r="I125" s="265">
        <f t="shared" si="11"/>
        <v>3437.3479999999995</v>
      </c>
      <c r="J125" s="265">
        <f t="shared" si="12"/>
        <v>7897.5319999999992</v>
      </c>
      <c r="K125" s="269">
        <f t="shared" si="10"/>
        <v>157.57557221084795</v>
      </c>
      <c r="L125" s="447"/>
      <c r="M125" s="447"/>
      <c r="N125" s="13"/>
    </row>
    <row r="126" spans="2:14" s="11" customFormat="1">
      <c r="B126" s="185">
        <f t="shared" si="14"/>
        <v>104</v>
      </c>
      <c r="C126" s="185"/>
      <c r="D126" s="186">
        <v>7</v>
      </c>
      <c r="E126" s="179">
        <f t="shared" si="16"/>
        <v>104</v>
      </c>
      <c r="F126" s="186">
        <v>33.96</v>
      </c>
      <c r="G126" s="186">
        <f t="shared" si="13"/>
        <v>33.561999999999998</v>
      </c>
      <c r="H126" s="187" t="str">
        <f t="shared" si="15"/>
        <v>IN</v>
      </c>
      <c r="I126" s="265">
        <f t="shared" si="11"/>
        <v>3470.9099999999994</v>
      </c>
      <c r="J126" s="265">
        <f t="shared" si="12"/>
        <v>7863.9699999999993</v>
      </c>
      <c r="K126" s="269">
        <f t="shared" si="10"/>
        <v>158.2841944843392</v>
      </c>
      <c r="L126" s="447"/>
      <c r="M126" s="447"/>
      <c r="N126" s="13"/>
    </row>
    <row r="127" spans="2:14" s="11" customFormat="1">
      <c r="B127" s="185">
        <f t="shared" si="14"/>
        <v>105</v>
      </c>
      <c r="C127" s="185"/>
      <c r="D127" s="186">
        <v>7</v>
      </c>
      <c r="E127" s="179">
        <f t="shared" si="16"/>
        <v>105</v>
      </c>
      <c r="F127" s="186">
        <v>32.92</v>
      </c>
      <c r="G127" s="186">
        <f t="shared" si="13"/>
        <v>32.521999999999998</v>
      </c>
      <c r="H127" s="187" t="str">
        <f t="shared" si="15"/>
        <v>IN</v>
      </c>
      <c r="I127" s="265">
        <f t="shared" si="11"/>
        <v>3503.4319999999993</v>
      </c>
      <c r="J127" s="265">
        <f t="shared" si="12"/>
        <v>7831.4480000000003</v>
      </c>
      <c r="K127" s="269">
        <f t="shared" si="10"/>
        <v>158.97085837738732</v>
      </c>
      <c r="L127" s="444"/>
      <c r="M127" s="444"/>
      <c r="N127" s="13"/>
    </row>
    <row r="128" spans="2:14" s="11" customFormat="1">
      <c r="B128" s="185">
        <f t="shared" si="14"/>
        <v>106</v>
      </c>
      <c r="C128" s="185"/>
      <c r="D128" s="186">
        <v>7</v>
      </c>
      <c r="E128" s="179">
        <f t="shared" si="16"/>
        <v>106</v>
      </c>
      <c r="F128" s="186">
        <v>33.96</v>
      </c>
      <c r="G128" s="186">
        <f t="shared" si="13"/>
        <v>33.561999999999998</v>
      </c>
      <c r="H128" s="187" t="str">
        <f t="shared" si="15"/>
        <v>IN</v>
      </c>
      <c r="I128" s="265">
        <f t="shared" si="11"/>
        <v>3536.9939999999992</v>
      </c>
      <c r="J128" s="265">
        <f t="shared" si="12"/>
        <v>7797.8860000000004</v>
      </c>
      <c r="K128" s="269">
        <f t="shared" si="10"/>
        <v>159.67948065087853</v>
      </c>
      <c r="L128" s="444"/>
      <c r="M128" s="444"/>
      <c r="N128" s="13"/>
    </row>
    <row r="129" spans="2:14" s="11" customFormat="1">
      <c r="B129" s="185">
        <f t="shared" si="14"/>
        <v>107</v>
      </c>
      <c r="C129" s="185"/>
      <c r="D129" s="186">
        <v>7</v>
      </c>
      <c r="E129" s="179">
        <f t="shared" si="16"/>
        <v>107</v>
      </c>
      <c r="F129" s="186">
        <v>33.11</v>
      </c>
      <c r="G129" s="186">
        <f t="shared" si="13"/>
        <v>32.711999999999996</v>
      </c>
      <c r="H129" s="187" t="str">
        <f t="shared" si="15"/>
        <v>IN</v>
      </c>
      <c r="I129" s="265">
        <f t="shared" si="11"/>
        <v>3569.7059999999992</v>
      </c>
      <c r="J129" s="265">
        <f t="shared" si="12"/>
        <v>7765.174</v>
      </c>
      <c r="K129" s="269">
        <f t="shared" si="10"/>
        <v>160.37015617112297</v>
      </c>
      <c r="L129" s="444"/>
      <c r="M129" s="444"/>
      <c r="N129" s="13"/>
    </row>
    <row r="130" spans="2:14" s="11" customFormat="1">
      <c r="B130" s="185">
        <f t="shared" si="14"/>
        <v>108</v>
      </c>
      <c r="C130" s="185"/>
      <c r="D130" s="186">
        <v>7</v>
      </c>
      <c r="E130" s="179">
        <f t="shared" si="16"/>
        <v>108</v>
      </c>
      <c r="F130" s="186">
        <v>33.96</v>
      </c>
      <c r="G130" s="186">
        <f t="shared" si="13"/>
        <v>33.561999999999998</v>
      </c>
      <c r="H130" s="187" t="str">
        <f t="shared" si="15"/>
        <v>IN</v>
      </c>
      <c r="I130" s="265">
        <f t="shared" si="11"/>
        <v>3603.2679999999991</v>
      </c>
      <c r="J130" s="265">
        <f t="shared" si="12"/>
        <v>7731.6120000000001</v>
      </c>
      <c r="K130" s="269">
        <f t="shared" si="10"/>
        <v>161.07877844461422</v>
      </c>
      <c r="L130" s="444"/>
      <c r="M130" s="444"/>
      <c r="N130" s="13"/>
    </row>
    <row r="131" spans="2:14" s="11" customFormat="1">
      <c r="B131" s="185">
        <f t="shared" si="14"/>
        <v>109</v>
      </c>
      <c r="C131" s="188"/>
      <c r="D131" s="186">
        <v>7</v>
      </c>
      <c r="E131" s="179">
        <f t="shared" si="16"/>
        <v>109</v>
      </c>
      <c r="F131" s="186">
        <v>33.74</v>
      </c>
      <c r="G131" s="186">
        <f t="shared" si="13"/>
        <v>33.341999999999999</v>
      </c>
      <c r="H131" s="187" t="str">
        <f t="shared" si="15"/>
        <v>IN</v>
      </c>
      <c r="I131" s="265">
        <f t="shared" si="11"/>
        <v>3636.6099999999992</v>
      </c>
      <c r="J131" s="265">
        <f t="shared" si="12"/>
        <v>7698.27</v>
      </c>
      <c r="K131" s="269">
        <f t="shared" si="10"/>
        <v>161.78275567608861</v>
      </c>
      <c r="L131" s="444"/>
      <c r="M131" s="444"/>
      <c r="N131" s="13"/>
    </row>
    <row r="132" spans="2:14" s="11" customFormat="1">
      <c r="B132" s="185">
        <f t="shared" si="14"/>
        <v>110</v>
      </c>
      <c r="C132" s="188"/>
      <c r="D132" s="186">
        <v>7</v>
      </c>
      <c r="E132" s="179">
        <f t="shared" si="16"/>
        <v>110</v>
      </c>
      <c r="F132" s="186">
        <v>33.01</v>
      </c>
      <c r="G132" s="186">
        <f t="shared" si="13"/>
        <v>32.611999999999995</v>
      </c>
      <c r="H132" s="187" t="str">
        <f t="shared" si="15"/>
        <v>IN</v>
      </c>
      <c r="I132" s="265">
        <f t="shared" si="11"/>
        <v>3669.2219999999993</v>
      </c>
      <c r="J132" s="265">
        <f t="shared" si="12"/>
        <v>7665.6579999999994</v>
      </c>
      <c r="K132" s="269">
        <f t="shared" si="10"/>
        <v>162.47131981359814</v>
      </c>
      <c r="L132" s="447"/>
      <c r="M132" s="447"/>
      <c r="N132" s="13"/>
    </row>
    <row r="133" spans="2:14" s="11" customFormat="1">
      <c r="B133" s="185">
        <f t="shared" si="14"/>
        <v>111</v>
      </c>
      <c r="C133" s="188"/>
      <c r="D133" s="186">
        <v>7</v>
      </c>
      <c r="E133" s="179">
        <f t="shared" si="16"/>
        <v>111</v>
      </c>
      <c r="F133" s="186">
        <v>33.619999999999997</v>
      </c>
      <c r="G133" s="186">
        <f t="shared" si="13"/>
        <v>33.221999999999994</v>
      </c>
      <c r="H133" s="187" t="str">
        <f t="shared" si="15"/>
        <v>IN</v>
      </c>
      <c r="I133" s="265">
        <f t="shared" si="11"/>
        <v>3702.4439999999995</v>
      </c>
      <c r="J133" s="265">
        <f t="shared" si="12"/>
        <v>7632.4359999999997</v>
      </c>
      <c r="K133" s="269">
        <f t="shared" si="10"/>
        <v>163.17276338579069</v>
      </c>
      <c r="L133" s="447"/>
      <c r="M133" s="447"/>
      <c r="N133" s="13"/>
    </row>
    <row r="134" spans="2:14" s="11" customFormat="1" ht="13.35" customHeight="1">
      <c r="B134" s="185">
        <f t="shared" si="14"/>
        <v>112</v>
      </c>
      <c r="C134" s="188"/>
      <c r="D134" s="186">
        <v>7</v>
      </c>
      <c r="E134" s="179">
        <f t="shared" si="16"/>
        <v>112</v>
      </c>
      <c r="F134" s="186">
        <v>32.869999999999997</v>
      </c>
      <c r="G134" s="186">
        <f t="shared" si="13"/>
        <v>32.471999999999994</v>
      </c>
      <c r="H134" s="187" t="str">
        <f t="shared" si="15"/>
        <v>IN</v>
      </c>
      <c r="I134" s="265">
        <f t="shared" si="11"/>
        <v>3734.9159999999997</v>
      </c>
      <c r="J134" s="265">
        <f t="shared" si="12"/>
        <v>7599.9639999999999</v>
      </c>
      <c r="K134" s="269">
        <f t="shared" si="10"/>
        <v>163.85837158747137</v>
      </c>
      <c r="L134" s="447"/>
      <c r="M134" s="447"/>
      <c r="N134" s="13"/>
    </row>
    <row r="135" spans="2:14" s="11" customFormat="1" ht="13.35" customHeight="1">
      <c r="B135" s="185">
        <f t="shared" si="14"/>
        <v>113</v>
      </c>
      <c r="C135" s="188"/>
      <c r="D135" s="186">
        <v>7</v>
      </c>
      <c r="E135" s="179">
        <f t="shared" si="16"/>
        <v>113</v>
      </c>
      <c r="F135" s="186">
        <v>33.03</v>
      </c>
      <c r="G135" s="186">
        <f t="shared" si="13"/>
        <v>32.631999999999998</v>
      </c>
      <c r="H135" s="187" t="str">
        <f t="shared" si="15"/>
        <v>IN</v>
      </c>
      <c r="I135" s="265">
        <f t="shared" si="11"/>
        <v>3767.5479999999998</v>
      </c>
      <c r="J135" s="265">
        <f t="shared" si="12"/>
        <v>7567.3319999999994</v>
      </c>
      <c r="K135" s="269">
        <f t="shared" si="10"/>
        <v>164.54735800152787</v>
      </c>
      <c r="L135" s="447"/>
      <c r="M135" s="447"/>
      <c r="N135" s="13"/>
    </row>
    <row r="136" spans="2:14" s="11" customFormat="1">
      <c r="B136" s="185">
        <f t="shared" si="14"/>
        <v>114</v>
      </c>
      <c r="C136" s="188"/>
      <c r="D136" s="186">
        <v>7</v>
      </c>
      <c r="E136" s="179">
        <f t="shared" si="16"/>
        <v>114</v>
      </c>
      <c r="F136" s="186">
        <v>32.799999999999997</v>
      </c>
      <c r="G136" s="186">
        <f t="shared" si="13"/>
        <v>32.401999999999994</v>
      </c>
      <c r="H136" s="187" t="str">
        <f t="shared" si="15"/>
        <v>IN</v>
      </c>
      <c r="I136" s="265">
        <f t="shared" si="11"/>
        <v>3799.95</v>
      </c>
      <c r="J136" s="265">
        <f t="shared" si="12"/>
        <v>7534.9299999999994</v>
      </c>
      <c r="K136" s="269">
        <f t="shared" si="10"/>
        <v>165.23148823529414</v>
      </c>
      <c r="L136" s="447"/>
      <c r="M136" s="447"/>
      <c r="N136" s="13"/>
    </row>
    <row r="137" spans="2:14" s="11" customFormat="1">
      <c r="B137" s="185">
        <f t="shared" si="14"/>
        <v>115</v>
      </c>
      <c r="C137" s="185"/>
      <c r="D137" s="186">
        <v>7</v>
      </c>
      <c r="E137" s="179">
        <f t="shared" si="16"/>
        <v>115</v>
      </c>
      <c r="F137" s="186">
        <v>33.82</v>
      </c>
      <c r="G137" s="186">
        <f t="shared" si="13"/>
        <v>33.421999999999997</v>
      </c>
      <c r="H137" s="187" t="str">
        <f t="shared" si="15"/>
        <v>IN</v>
      </c>
      <c r="I137" s="265">
        <f t="shared" si="11"/>
        <v>3833.3719999999998</v>
      </c>
      <c r="J137" s="265">
        <f t="shared" si="12"/>
        <v>7501.5079999999998</v>
      </c>
      <c r="K137" s="269">
        <f t="shared" si="10"/>
        <v>165.93715457295644</v>
      </c>
      <c r="L137" s="447"/>
      <c r="M137" s="447"/>
      <c r="N137" s="13"/>
    </row>
    <row r="138" spans="2:14" s="11" customFormat="1">
      <c r="B138" s="185">
        <f t="shared" si="14"/>
        <v>116</v>
      </c>
      <c r="C138" s="188"/>
      <c r="D138" s="186">
        <v>7</v>
      </c>
      <c r="E138" s="179">
        <f t="shared" si="16"/>
        <v>116</v>
      </c>
      <c r="F138" s="186">
        <v>31.83</v>
      </c>
      <c r="G138" s="186">
        <f t="shared" si="13"/>
        <v>31.431999999999999</v>
      </c>
      <c r="H138" s="187" t="str">
        <f t="shared" si="15"/>
        <v>IN</v>
      </c>
      <c r="I138" s="265">
        <f t="shared" si="11"/>
        <v>3864.8039999999996</v>
      </c>
      <c r="J138" s="265">
        <f t="shared" si="12"/>
        <v>7470.0759999999991</v>
      </c>
      <c r="K138" s="269">
        <f t="shared" si="10"/>
        <v>166.60080439419403</v>
      </c>
      <c r="L138" s="444"/>
      <c r="M138" s="444"/>
      <c r="N138" s="13"/>
    </row>
    <row r="139" spans="2:14" s="11" customFormat="1">
      <c r="B139" s="185">
        <f t="shared" si="14"/>
        <v>117</v>
      </c>
      <c r="C139" s="188"/>
      <c r="D139" s="186">
        <v>7</v>
      </c>
      <c r="E139" s="179">
        <f t="shared" si="16"/>
        <v>117</v>
      </c>
      <c r="F139" s="186">
        <v>33.96</v>
      </c>
      <c r="G139" s="186">
        <f t="shared" si="13"/>
        <v>33.561999999999998</v>
      </c>
      <c r="H139" s="187" t="str">
        <f t="shared" si="15"/>
        <v>IN</v>
      </c>
      <c r="I139" s="265">
        <f t="shared" si="11"/>
        <v>3898.3659999999995</v>
      </c>
      <c r="J139" s="265">
        <f t="shared" si="12"/>
        <v>7436.5139999999992</v>
      </c>
      <c r="K139" s="269">
        <f t="shared" si="10"/>
        <v>167.30942666768527</v>
      </c>
      <c r="L139" s="447"/>
      <c r="M139" s="447"/>
      <c r="N139" s="13"/>
    </row>
    <row r="140" spans="2:14" s="11" customFormat="1">
      <c r="B140" s="185">
        <f t="shared" si="14"/>
        <v>118</v>
      </c>
      <c r="C140" s="188"/>
      <c r="D140" s="186">
        <v>7</v>
      </c>
      <c r="E140" s="179">
        <f t="shared" si="16"/>
        <v>118</v>
      </c>
      <c r="F140" s="186">
        <v>33.409999999999997</v>
      </c>
      <c r="G140" s="186">
        <f t="shared" si="13"/>
        <v>33.011999999999993</v>
      </c>
      <c r="H140" s="187" t="str">
        <f t="shared" si="15"/>
        <v>IN</v>
      </c>
      <c r="I140" s="265">
        <f t="shared" si="11"/>
        <v>3931.3779999999997</v>
      </c>
      <c r="J140" s="265">
        <f t="shared" si="12"/>
        <v>7403.5019999999995</v>
      </c>
      <c r="K140" s="269">
        <f t="shared" si="10"/>
        <v>168.00643633613447</v>
      </c>
      <c r="L140" s="447"/>
      <c r="M140" s="447"/>
      <c r="N140" s="13"/>
    </row>
    <row r="141" spans="2:14" s="11" customFormat="1">
      <c r="B141" s="185">
        <f t="shared" si="14"/>
        <v>119</v>
      </c>
      <c r="C141" s="188"/>
      <c r="D141" s="186">
        <v>7</v>
      </c>
      <c r="E141" s="179">
        <f t="shared" si="16"/>
        <v>119</v>
      </c>
      <c r="F141" s="186">
        <v>32.74</v>
      </c>
      <c r="G141" s="186">
        <f t="shared" si="13"/>
        <v>32.341999999999999</v>
      </c>
      <c r="H141" s="187" t="str">
        <f t="shared" si="15"/>
        <v>IN</v>
      </c>
      <c r="I141" s="265">
        <f t="shared" si="11"/>
        <v>3963.72</v>
      </c>
      <c r="J141" s="265">
        <f t="shared" si="12"/>
        <v>7371.16</v>
      </c>
      <c r="K141" s="269">
        <f t="shared" si="10"/>
        <v>168.68929974025974</v>
      </c>
      <c r="L141" s="447"/>
      <c r="M141" s="447"/>
      <c r="N141" s="13"/>
    </row>
    <row r="142" spans="2:14" s="11" customFormat="1">
      <c r="B142" s="185">
        <f t="shared" si="14"/>
        <v>120</v>
      </c>
      <c r="C142" s="188"/>
      <c r="D142" s="186">
        <v>7</v>
      </c>
      <c r="E142" s="179">
        <f t="shared" si="16"/>
        <v>120</v>
      </c>
      <c r="F142" s="186">
        <v>33.520000000000003</v>
      </c>
      <c r="G142" s="186">
        <f t="shared" si="13"/>
        <v>33.122</v>
      </c>
      <c r="H142" s="187" t="str">
        <f t="shared" si="15"/>
        <v>IN</v>
      </c>
      <c r="I142" s="265">
        <f t="shared" si="11"/>
        <v>3996.8419999999996</v>
      </c>
      <c r="J142" s="265">
        <f t="shared" si="12"/>
        <v>7338.0379999999996</v>
      </c>
      <c r="K142" s="269">
        <f t="shared" si="10"/>
        <v>169.38863192971735</v>
      </c>
      <c r="L142" s="447"/>
      <c r="M142" s="447"/>
      <c r="N142" s="13"/>
    </row>
    <row r="143" spans="2:14" s="11" customFormat="1">
      <c r="B143" s="185">
        <f t="shared" si="14"/>
        <v>121</v>
      </c>
      <c r="C143" s="188"/>
      <c r="D143" s="186">
        <v>7</v>
      </c>
      <c r="E143" s="179">
        <f t="shared" si="16"/>
        <v>121</v>
      </c>
      <c r="F143" s="186">
        <v>33.729999999999997</v>
      </c>
      <c r="G143" s="186">
        <f t="shared" si="13"/>
        <v>33.331999999999994</v>
      </c>
      <c r="H143" s="187" t="str">
        <f t="shared" si="15"/>
        <v>IN</v>
      </c>
      <c r="I143" s="265">
        <f t="shared" si="11"/>
        <v>4030.1739999999995</v>
      </c>
      <c r="J143" s="265">
        <f t="shared" si="12"/>
        <v>7304.7060000000001</v>
      </c>
      <c r="K143" s="269">
        <f t="shared" ref="K143:K206" si="17">$H$9+(I143*$E$10*$H$11/1000)</f>
        <v>170.09239802291825</v>
      </c>
      <c r="L143" s="447"/>
      <c r="M143" s="447"/>
      <c r="N143" s="13"/>
    </row>
    <row r="144" spans="2:14" s="11" customFormat="1">
      <c r="B144" s="185">
        <f t="shared" si="14"/>
        <v>122</v>
      </c>
      <c r="C144" s="188"/>
      <c r="D144" s="186">
        <v>7</v>
      </c>
      <c r="E144" s="179">
        <f t="shared" si="16"/>
        <v>122</v>
      </c>
      <c r="F144" s="186">
        <v>31.93</v>
      </c>
      <c r="G144" s="186">
        <f t="shared" si="13"/>
        <v>31.532</v>
      </c>
      <c r="H144" s="187" t="str">
        <f t="shared" si="15"/>
        <v>IN</v>
      </c>
      <c r="I144" s="265">
        <f t="shared" si="11"/>
        <v>4061.7059999999997</v>
      </c>
      <c r="J144" s="265">
        <f t="shared" si="12"/>
        <v>7273.1739999999991</v>
      </c>
      <c r="K144" s="269">
        <f t="shared" si="17"/>
        <v>170.75815922689077</v>
      </c>
      <c r="L144" s="447"/>
      <c r="M144" s="447"/>
      <c r="N144" s="13"/>
    </row>
    <row r="145" spans="2:14" s="11" customFormat="1">
      <c r="B145" s="185">
        <f t="shared" si="14"/>
        <v>123</v>
      </c>
      <c r="C145" s="188"/>
      <c r="D145" s="186">
        <v>7</v>
      </c>
      <c r="E145" s="179">
        <f t="shared" si="16"/>
        <v>123</v>
      </c>
      <c r="F145" s="186">
        <v>32.130000000000003</v>
      </c>
      <c r="G145" s="186">
        <f t="shared" si="13"/>
        <v>31.732000000000003</v>
      </c>
      <c r="H145" s="187" t="str">
        <f t="shared" si="15"/>
        <v>IN</v>
      </c>
      <c r="I145" s="265">
        <f t="shared" si="11"/>
        <v>4093.4379999999996</v>
      </c>
      <c r="J145" s="265">
        <f t="shared" si="12"/>
        <v>7241.4419999999991</v>
      </c>
      <c r="K145" s="269">
        <f t="shared" si="17"/>
        <v>171.42814319633308</v>
      </c>
      <c r="L145" s="447"/>
      <c r="M145" s="447"/>
      <c r="N145" s="13"/>
    </row>
    <row r="146" spans="2:14" s="11" customFormat="1">
      <c r="B146" s="185">
        <f t="shared" si="14"/>
        <v>124</v>
      </c>
      <c r="C146" s="188"/>
      <c r="D146" s="186">
        <v>7</v>
      </c>
      <c r="E146" s="179">
        <f t="shared" si="16"/>
        <v>124</v>
      </c>
      <c r="F146" s="186">
        <v>33.549999999999997</v>
      </c>
      <c r="G146" s="186">
        <f t="shared" si="13"/>
        <v>33.151999999999994</v>
      </c>
      <c r="H146" s="187" t="str">
        <f t="shared" si="15"/>
        <v>IN</v>
      </c>
      <c r="I146" s="265">
        <f t="shared" ref="I146:I209" si="18">IF(H146="IN",I145+G146,I145)</f>
        <v>4126.5899999999992</v>
      </c>
      <c r="J146" s="265">
        <f t="shared" ref="J146:J209" si="19">IF(I146="","",$L$9-I146)</f>
        <v>7208.29</v>
      </c>
      <c r="K146" s="269">
        <f t="shared" si="17"/>
        <v>172.12810880061113</v>
      </c>
      <c r="L146" s="252"/>
      <c r="M146" s="253"/>
      <c r="N146" s="13"/>
    </row>
    <row r="147" spans="2:14" s="11" customFormat="1">
      <c r="B147" s="185">
        <f t="shared" si="14"/>
        <v>125</v>
      </c>
      <c r="C147" s="188"/>
      <c r="D147" s="186">
        <v>7</v>
      </c>
      <c r="E147" s="179">
        <f t="shared" si="16"/>
        <v>125</v>
      </c>
      <c r="F147" s="186">
        <v>32.39</v>
      </c>
      <c r="G147" s="186">
        <f t="shared" ref="G147:G210" si="20">F147-($E$12)</f>
        <v>31.992000000000001</v>
      </c>
      <c r="H147" s="187" t="str">
        <f t="shared" si="15"/>
        <v>IN</v>
      </c>
      <c r="I147" s="265">
        <f t="shared" si="18"/>
        <v>4158.5819999999994</v>
      </c>
      <c r="J147" s="265">
        <f t="shared" si="19"/>
        <v>7176.2979999999998</v>
      </c>
      <c r="K147" s="269">
        <f t="shared" si="17"/>
        <v>172.80358236516423</v>
      </c>
      <c r="L147" s="478"/>
      <c r="M147" s="479"/>
      <c r="N147" s="13"/>
    </row>
    <row r="148" spans="2:14" s="11" customFormat="1">
      <c r="B148" s="185">
        <f t="shared" si="14"/>
        <v>126</v>
      </c>
      <c r="C148" s="188"/>
      <c r="D148" s="186">
        <v>7</v>
      </c>
      <c r="E148" s="179">
        <f t="shared" si="16"/>
        <v>126</v>
      </c>
      <c r="F148" s="186">
        <v>33.96</v>
      </c>
      <c r="G148" s="186">
        <f t="shared" si="20"/>
        <v>33.561999999999998</v>
      </c>
      <c r="H148" s="187" t="str">
        <f t="shared" si="15"/>
        <v>IN</v>
      </c>
      <c r="I148" s="265">
        <f t="shared" si="18"/>
        <v>4192.1439999999993</v>
      </c>
      <c r="J148" s="265">
        <f t="shared" si="19"/>
        <v>7142.7359999999999</v>
      </c>
      <c r="K148" s="269">
        <f t="shared" si="17"/>
        <v>173.51220463865545</v>
      </c>
      <c r="L148" s="480"/>
      <c r="M148" s="481"/>
      <c r="N148" s="13"/>
    </row>
    <row r="149" spans="2:14" s="11" customFormat="1">
      <c r="B149" s="185">
        <f t="shared" si="14"/>
        <v>127</v>
      </c>
      <c r="C149" s="185"/>
      <c r="D149" s="186">
        <v>7</v>
      </c>
      <c r="E149" s="179">
        <f t="shared" si="16"/>
        <v>127</v>
      </c>
      <c r="F149" s="186">
        <v>33.200000000000003</v>
      </c>
      <c r="G149" s="186">
        <f t="shared" si="20"/>
        <v>32.802</v>
      </c>
      <c r="H149" s="187" t="str">
        <f t="shared" si="15"/>
        <v>IN</v>
      </c>
      <c r="I149" s="265">
        <f t="shared" si="18"/>
        <v>4224.945999999999</v>
      </c>
      <c r="J149" s="265">
        <f t="shared" si="19"/>
        <v>7109.9340000000002</v>
      </c>
      <c r="K149" s="269">
        <f t="shared" si="17"/>
        <v>174.20478040336133</v>
      </c>
      <c r="L149" s="447"/>
      <c r="M149" s="447"/>
      <c r="N149" s="13"/>
    </row>
    <row r="150" spans="2:14" s="11" customFormat="1">
      <c r="B150" s="185">
        <f t="shared" si="14"/>
        <v>128</v>
      </c>
      <c r="C150" s="185"/>
      <c r="D150" s="186">
        <v>7</v>
      </c>
      <c r="E150" s="179">
        <f t="shared" si="16"/>
        <v>128</v>
      </c>
      <c r="F150" s="186">
        <v>33.08</v>
      </c>
      <c r="G150" s="186">
        <f t="shared" si="20"/>
        <v>32.681999999999995</v>
      </c>
      <c r="H150" s="187" t="str">
        <f t="shared" si="15"/>
        <v>IN</v>
      </c>
      <c r="I150" s="265">
        <f t="shared" si="18"/>
        <v>4257.6279999999988</v>
      </c>
      <c r="J150" s="265">
        <f t="shared" si="19"/>
        <v>7077.2520000000004</v>
      </c>
      <c r="K150" s="269">
        <f t="shared" si="17"/>
        <v>174.8948225087853</v>
      </c>
      <c r="L150" s="447"/>
      <c r="M150" s="447"/>
      <c r="N150" s="13"/>
    </row>
    <row r="151" spans="2:14">
      <c r="B151" s="185">
        <f t="shared" si="14"/>
        <v>129</v>
      </c>
      <c r="C151" s="185"/>
      <c r="D151" s="186">
        <v>7</v>
      </c>
      <c r="E151" s="179">
        <f t="shared" si="16"/>
        <v>129</v>
      </c>
      <c r="F151" s="186">
        <v>33.549999999999997</v>
      </c>
      <c r="G151" s="186">
        <f t="shared" si="20"/>
        <v>33.151999999999994</v>
      </c>
      <c r="H151" s="187" t="str">
        <f t="shared" si="15"/>
        <v>IN</v>
      </c>
      <c r="I151" s="265">
        <f t="shared" si="18"/>
        <v>4290.7799999999988</v>
      </c>
      <c r="J151" s="265">
        <f t="shared" si="19"/>
        <v>7044.1</v>
      </c>
      <c r="K151" s="269">
        <f t="shared" si="17"/>
        <v>175.59478811306337</v>
      </c>
      <c r="L151" s="447"/>
      <c r="M151" s="447"/>
      <c r="N151" s="13"/>
    </row>
    <row r="152" spans="2:14">
      <c r="B152" s="185">
        <f t="shared" si="14"/>
        <v>130</v>
      </c>
      <c r="C152" s="185"/>
      <c r="D152" s="186">
        <v>7</v>
      </c>
      <c r="E152" s="179">
        <f t="shared" si="16"/>
        <v>130</v>
      </c>
      <c r="F152" s="186">
        <v>33.1</v>
      </c>
      <c r="G152" s="186">
        <f t="shared" si="20"/>
        <v>32.701999999999998</v>
      </c>
      <c r="H152" s="187" t="str">
        <f t="shared" si="15"/>
        <v>IN</v>
      </c>
      <c r="I152" s="265">
        <f t="shared" si="18"/>
        <v>4323.4819999999991</v>
      </c>
      <c r="J152" s="265">
        <f t="shared" si="19"/>
        <v>7011.3980000000001</v>
      </c>
      <c r="K152" s="269">
        <f t="shared" si="17"/>
        <v>176.28525249503437</v>
      </c>
      <c r="L152" s="447"/>
      <c r="M152" s="447"/>
      <c r="N152" s="13"/>
    </row>
    <row r="153" spans="2:14">
      <c r="B153" s="185">
        <f t="shared" si="14"/>
        <v>131</v>
      </c>
      <c r="C153" s="185"/>
      <c r="D153" s="186">
        <v>7</v>
      </c>
      <c r="E153" s="179">
        <f t="shared" si="16"/>
        <v>131</v>
      </c>
      <c r="F153" s="186">
        <v>33.299999999999997</v>
      </c>
      <c r="G153" s="186">
        <f t="shared" si="20"/>
        <v>32.901999999999994</v>
      </c>
      <c r="H153" s="187" t="str">
        <f t="shared" ref="H153:H216" si="21">IF(F153="","OUT","IN")</f>
        <v>IN</v>
      </c>
      <c r="I153" s="265">
        <f t="shared" si="18"/>
        <v>4356.3839999999991</v>
      </c>
      <c r="J153" s="265">
        <f t="shared" si="19"/>
        <v>6978.4960000000001</v>
      </c>
      <c r="K153" s="269">
        <f t="shared" si="17"/>
        <v>176.97993964247516</v>
      </c>
      <c r="L153" s="447"/>
      <c r="M153" s="447"/>
      <c r="N153" s="13"/>
    </row>
    <row r="154" spans="2:14">
      <c r="B154" s="185">
        <f t="shared" ref="B154:B217" si="22">B153+1</f>
        <v>132</v>
      </c>
      <c r="C154" s="185"/>
      <c r="D154" s="186">
        <v>7</v>
      </c>
      <c r="E154" s="179">
        <f t="shared" si="16"/>
        <v>132</v>
      </c>
      <c r="F154" s="186">
        <v>33.81</v>
      </c>
      <c r="G154" s="186">
        <f t="shared" si="20"/>
        <v>33.411999999999999</v>
      </c>
      <c r="H154" s="187" t="str">
        <f t="shared" si="21"/>
        <v>IN</v>
      </c>
      <c r="I154" s="265">
        <f t="shared" si="18"/>
        <v>4389.7959999999994</v>
      </c>
      <c r="J154" s="265">
        <f t="shared" si="19"/>
        <v>6945.0839999999998</v>
      </c>
      <c r="K154" s="269">
        <f t="shared" si="17"/>
        <v>177.68539484186402</v>
      </c>
      <c r="L154" s="447"/>
      <c r="M154" s="447"/>
      <c r="N154" s="13"/>
    </row>
    <row r="155" spans="2:14">
      <c r="B155" s="185">
        <f t="shared" si="22"/>
        <v>133</v>
      </c>
      <c r="C155" s="185"/>
      <c r="D155" s="186">
        <v>7</v>
      </c>
      <c r="E155" s="179">
        <f t="shared" ref="E155:E218" si="23">E154+1</f>
        <v>133</v>
      </c>
      <c r="F155" s="186">
        <v>33.75</v>
      </c>
      <c r="G155" s="186">
        <f t="shared" si="20"/>
        <v>33.351999999999997</v>
      </c>
      <c r="H155" s="187" t="str">
        <f t="shared" si="21"/>
        <v>IN</v>
      </c>
      <c r="I155" s="265">
        <f t="shared" si="18"/>
        <v>4423.1479999999992</v>
      </c>
      <c r="J155" s="265">
        <f t="shared" si="19"/>
        <v>6911.732</v>
      </c>
      <c r="K155" s="269">
        <f t="shared" si="17"/>
        <v>178.38958321161192</v>
      </c>
      <c r="L155" s="447"/>
      <c r="M155" s="447"/>
      <c r="N155" s="13"/>
    </row>
    <row r="156" spans="2:14">
      <c r="B156" s="185">
        <f t="shared" si="22"/>
        <v>134</v>
      </c>
      <c r="C156" s="185"/>
      <c r="D156" s="186">
        <v>7</v>
      </c>
      <c r="E156" s="179">
        <f t="shared" si="23"/>
        <v>134</v>
      </c>
      <c r="F156" s="186">
        <v>33.5</v>
      </c>
      <c r="G156" s="186">
        <f t="shared" si="20"/>
        <v>33.101999999999997</v>
      </c>
      <c r="H156" s="187" t="str">
        <f t="shared" si="21"/>
        <v>IN</v>
      </c>
      <c r="I156" s="265">
        <f t="shared" si="18"/>
        <v>4456.2499999999991</v>
      </c>
      <c r="J156" s="265">
        <f t="shared" si="19"/>
        <v>6878.63</v>
      </c>
      <c r="K156" s="269">
        <f t="shared" si="17"/>
        <v>179.08849312452253</v>
      </c>
      <c r="L156" s="447"/>
      <c r="M156" s="447"/>
      <c r="N156" s="13"/>
    </row>
    <row r="157" spans="2:14">
      <c r="B157" s="185">
        <f t="shared" si="22"/>
        <v>135</v>
      </c>
      <c r="C157" s="185"/>
      <c r="D157" s="186">
        <v>7</v>
      </c>
      <c r="E157" s="179">
        <f t="shared" si="23"/>
        <v>135</v>
      </c>
      <c r="F157" s="186">
        <v>33.799999999999997</v>
      </c>
      <c r="G157" s="186">
        <f t="shared" si="20"/>
        <v>33.401999999999994</v>
      </c>
      <c r="H157" s="187" t="str">
        <f t="shared" si="21"/>
        <v>IN</v>
      </c>
      <c r="I157" s="265">
        <f t="shared" si="18"/>
        <v>4489.6519999999991</v>
      </c>
      <c r="J157" s="265">
        <f t="shared" si="19"/>
        <v>6845.2280000000001</v>
      </c>
      <c r="K157" s="269">
        <f t="shared" si="17"/>
        <v>179.79373718563789</v>
      </c>
      <c r="L157" s="447"/>
      <c r="M157" s="447"/>
      <c r="N157" s="13"/>
    </row>
    <row r="158" spans="2:14">
      <c r="B158" s="185">
        <f t="shared" si="22"/>
        <v>136</v>
      </c>
      <c r="C158" s="185"/>
      <c r="D158" s="186">
        <v>7</v>
      </c>
      <c r="E158" s="179">
        <f t="shared" si="23"/>
        <v>136</v>
      </c>
      <c r="F158" s="186">
        <v>33.24</v>
      </c>
      <c r="G158" s="186">
        <f t="shared" si="20"/>
        <v>32.841999999999999</v>
      </c>
      <c r="H158" s="187" t="str">
        <f t="shared" si="21"/>
        <v>IN</v>
      </c>
      <c r="I158" s="265">
        <f t="shared" si="18"/>
        <v>4522.4939999999988</v>
      </c>
      <c r="J158" s="265">
        <f t="shared" si="19"/>
        <v>6812.3860000000004</v>
      </c>
      <c r="K158" s="269">
        <f t="shared" si="17"/>
        <v>180.48715750343771</v>
      </c>
      <c r="L158" s="447"/>
      <c r="M158" s="447"/>
      <c r="N158" s="13"/>
    </row>
    <row r="159" spans="2:14">
      <c r="B159" s="185">
        <f t="shared" si="22"/>
        <v>137</v>
      </c>
      <c r="C159" s="185"/>
      <c r="D159" s="186">
        <v>7</v>
      </c>
      <c r="E159" s="179">
        <f t="shared" si="23"/>
        <v>137</v>
      </c>
      <c r="F159" s="186">
        <v>32.26</v>
      </c>
      <c r="G159" s="186">
        <f t="shared" si="20"/>
        <v>31.861999999999998</v>
      </c>
      <c r="H159" s="187" t="str">
        <f t="shared" si="21"/>
        <v>IN</v>
      </c>
      <c r="I159" s="265">
        <f t="shared" si="18"/>
        <v>4554.3559999999989</v>
      </c>
      <c r="J159" s="265">
        <f t="shared" si="19"/>
        <v>6780.5240000000003</v>
      </c>
      <c r="K159" s="269">
        <f t="shared" si="17"/>
        <v>181.15988627043544</v>
      </c>
      <c r="L159" s="447"/>
      <c r="M159" s="447"/>
      <c r="N159" s="13"/>
    </row>
    <row r="160" spans="2:14">
      <c r="B160" s="185">
        <f t="shared" si="22"/>
        <v>138</v>
      </c>
      <c r="C160" s="185"/>
      <c r="D160" s="186">
        <v>7</v>
      </c>
      <c r="E160" s="179">
        <f t="shared" si="23"/>
        <v>138</v>
      </c>
      <c r="F160" s="186">
        <v>33.270000000000003</v>
      </c>
      <c r="G160" s="186">
        <f t="shared" si="20"/>
        <v>32.872</v>
      </c>
      <c r="H160" s="187" t="str">
        <f t="shared" si="21"/>
        <v>IN</v>
      </c>
      <c r="I160" s="265">
        <f t="shared" si="18"/>
        <v>4587.2279999999992</v>
      </c>
      <c r="J160" s="265">
        <f t="shared" si="19"/>
        <v>6747.652</v>
      </c>
      <c r="K160" s="269">
        <f t="shared" si="17"/>
        <v>181.85394000305575</v>
      </c>
      <c r="L160" s="447"/>
      <c r="M160" s="447"/>
      <c r="N160" s="13"/>
    </row>
    <row r="161" spans="2:14">
      <c r="B161" s="185">
        <f t="shared" si="22"/>
        <v>139</v>
      </c>
      <c r="C161" s="185"/>
      <c r="D161" s="186">
        <v>7</v>
      </c>
      <c r="E161" s="179">
        <f t="shared" si="23"/>
        <v>139</v>
      </c>
      <c r="F161" s="186">
        <v>33.369999999999997</v>
      </c>
      <c r="G161" s="186">
        <f t="shared" si="20"/>
        <v>32.971999999999994</v>
      </c>
      <c r="H161" s="187" t="str">
        <f t="shared" si="21"/>
        <v>IN</v>
      </c>
      <c r="I161" s="265">
        <f t="shared" si="18"/>
        <v>4620.1999999999989</v>
      </c>
      <c r="J161" s="265">
        <f t="shared" si="19"/>
        <v>6714.68</v>
      </c>
      <c r="K161" s="269">
        <f t="shared" si="17"/>
        <v>182.55010511841098</v>
      </c>
      <c r="L161" s="447"/>
      <c r="M161" s="447"/>
      <c r="N161" s="13"/>
    </row>
    <row r="162" spans="2:14">
      <c r="B162" s="185">
        <f t="shared" si="22"/>
        <v>140</v>
      </c>
      <c r="C162" s="185"/>
      <c r="D162" s="186">
        <v>7</v>
      </c>
      <c r="E162" s="179">
        <f t="shared" si="23"/>
        <v>140</v>
      </c>
      <c r="F162" s="186">
        <v>33.409999999999997</v>
      </c>
      <c r="G162" s="186">
        <f t="shared" si="20"/>
        <v>33.011999999999993</v>
      </c>
      <c r="H162" s="187" t="str">
        <f t="shared" si="21"/>
        <v>IN</v>
      </c>
      <c r="I162" s="265">
        <f t="shared" si="18"/>
        <v>4653.2119999999986</v>
      </c>
      <c r="J162" s="265">
        <f t="shared" si="19"/>
        <v>6681.6680000000006</v>
      </c>
      <c r="K162" s="269">
        <f t="shared" si="17"/>
        <v>183.24711478686015</v>
      </c>
      <c r="L162" s="447"/>
      <c r="M162" s="447"/>
      <c r="N162" s="13"/>
    </row>
    <row r="163" spans="2:14">
      <c r="B163" s="185">
        <f t="shared" si="22"/>
        <v>141</v>
      </c>
      <c r="C163" s="185"/>
      <c r="D163" s="186">
        <v>7</v>
      </c>
      <c r="E163" s="179">
        <f t="shared" si="23"/>
        <v>141</v>
      </c>
      <c r="F163" s="186">
        <v>31.88</v>
      </c>
      <c r="G163" s="186">
        <f t="shared" si="20"/>
        <v>31.481999999999999</v>
      </c>
      <c r="H163" s="187" t="str">
        <f t="shared" si="21"/>
        <v>IN</v>
      </c>
      <c r="I163" s="265">
        <f t="shared" si="18"/>
        <v>4684.6939999999986</v>
      </c>
      <c r="J163" s="265">
        <f t="shared" si="19"/>
        <v>6650.1860000000006</v>
      </c>
      <c r="K163" s="269">
        <f t="shared" si="17"/>
        <v>183.91182029946521</v>
      </c>
      <c r="L163" s="447"/>
      <c r="M163" s="447"/>
      <c r="N163" s="13"/>
    </row>
    <row r="164" spans="2:14">
      <c r="B164" s="185">
        <f t="shared" si="22"/>
        <v>142</v>
      </c>
      <c r="C164" s="185"/>
      <c r="D164" s="186">
        <v>7</v>
      </c>
      <c r="E164" s="179">
        <f t="shared" si="23"/>
        <v>142</v>
      </c>
      <c r="F164" s="186">
        <v>33.65</v>
      </c>
      <c r="G164" s="186">
        <f t="shared" si="20"/>
        <v>33.251999999999995</v>
      </c>
      <c r="H164" s="187" t="str">
        <f t="shared" si="21"/>
        <v>IN</v>
      </c>
      <c r="I164" s="265">
        <f t="shared" si="18"/>
        <v>4717.945999999999</v>
      </c>
      <c r="J164" s="265">
        <f t="shared" si="19"/>
        <v>6616.9340000000002</v>
      </c>
      <c r="K164" s="269">
        <f t="shared" si="17"/>
        <v>184.61389728647822</v>
      </c>
      <c r="L164" s="447"/>
      <c r="M164" s="447"/>
      <c r="N164" s="13"/>
    </row>
    <row r="165" spans="2:14">
      <c r="B165" s="185">
        <f t="shared" si="22"/>
        <v>143</v>
      </c>
      <c r="C165" s="185"/>
      <c r="D165" s="186">
        <v>7</v>
      </c>
      <c r="E165" s="179">
        <f t="shared" si="23"/>
        <v>143</v>
      </c>
      <c r="F165" s="186">
        <v>33.049999999999997</v>
      </c>
      <c r="G165" s="186">
        <f t="shared" si="20"/>
        <v>32.651999999999994</v>
      </c>
      <c r="H165" s="187" t="str">
        <f t="shared" si="21"/>
        <v>IN</v>
      </c>
      <c r="I165" s="265">
        <f t="shared" si="18"/>
        <v>4750.597999999999</v>
      </c>
      <c r="J165" s="265">
        <f t="shared" si="19"/>
        <v>6584.2820000000002</v>
      </c>
      <c r="K165" s="269">
        <f t="shared" si="17"/>
        <v>185.30330597708172</v>
      </c>
      <c r="L165" s="447"/>
      <c r="M165" s="447"/>
      <c r="N165" s="13"/>
    </row>
    <row r="166" spans="2:14">
      <c r="B166" s="185">
        <f t="shared" si="22"/>
        <v>144</v>
      </c>
      <c r="C166" s="185"/>
      <c r="D166" s="186">
        <v>7</v>
      </c>
      <c r="E166" s="179">
        <f t="shared" si="23"/>
        <v>144</v>
      </c>
      <c r="F166" s="186">
        <v>33.33</v>
      </c>
      <c r="G166" s="186">
        <f t="shared" si="20"/>
        <v>32.931999999999995</v>
      </c>
      <c r="H166" s="187" t="str">
        <f t="shared" si="21"/>
        <v>IN</v>
      </c>
      <c r="I166" s="265">
        <f t="shared" si="18"/>
        <v>4783.5299999999988</v>
      </c>
      <c r="J166" s="265">
        <f t="shared" si="19"/>
        <v>6551.35</v>
      </c>
      <c r="K166" s="269">
        <f t="shared" si="17"/>
        <v>185.99862653934298</v>
      </c>
      <c r="L166" s="447"/>
      <c r="M166" s="447"/>
      <c r="N166" s="13"/>
    </row>
    <row r="167" spans="2:14">
      <c r="B167" s="185">
        <f t="shared" si="22"/>
        <v>145</v>
      </c>
      <c r="C167" s="185"/>
      <c r="D167" s="186">
        <v>7</v>
      </c>
      <c r="E167" s="179">
        <f t="shared" si="23"/>
        <v>145</v>
      </c>
      <c r="F167" s="186">
        <v>33.35</v>
      </c>
      <c r="G167" s="186">
        <f t="shared" si="20"/>
        <v>32.951999999999998</v>
      </c>
      <c r="H167" s="187" t="str">
        <f t="shared" si="21"/>
        <v>IN</v>
      </c>
      <c r="I167" s="265">
        <f t="shared" si="18"/>
        <v>4816.4819999999991</v>
      </c>
      <c r="J167" s="265">
        <f t="shared" si="19"/>
        <v>6518.3980000000001</v>
      </c>
      <c r="K167" s="269">
        <f t="shared" si="17"/>
        <v>186.69436937815124</v>
      </c>
      <c r="L167" s="447"/>
      <c r="M167" s="447"/>
      <c r="N167" s="13"/>
    </row>
    <row r="168" spans="2:14">
      <c r="B168" s="185">
        <f t="shared" si="22"/>
        <v>146</v>
      </c>
      <c r="C168" s="185"/>
      <c r="D168" s="186">
        <v>7</v>
      </c>
      <c r="E168" s="179">
        <f t="shared" si="23"/>
        <v>146</v>
      </c>
      <c r="F168" s="186">
        <v>33.19</v>
      </c>
      <c r="G168" s="186">
        <f t="shared" si="20"/>
        <v>32.791999999999994</v>
      </c>
      <c r="H168" s="187" t="str">
        <f t="shared" si="21"/>
        <v>IN</v>
      </c>
      <c r="I168" s="265">
        <f t="shared" si="18"/>
        <v>4849.2739999999994</v>
      </c>
      <c r="J168" s="265">
        <f t="shared" si="19"/>
        <v>6485.6059999999998</v>
      </c>
      <c r="K168" s="269">
        <f t="shared" si="17"/>
        <v>187.38673400458364</v>
      </c>
      <c r="L168" s="447"/>
      <c r="M168" s="447"/>
      <c r="N168" s="13"/>
    </row>
    <row r="169" spans="2:14">
      <c r="B169" s="185">
        <f t="shared" si="22"/>
        <v>147</v>
      </c>
      <c r="C169" s="185"/>
      <c r="D169" s="186">
        <v>7</v>
      </c>
      <c r="E169" s="179">
        <f t="shared" si="23"/>
        <v>147</v>
      </c>
      <c r="F169" s="186">
        <v>33.35</v>
      </c>
      <c r="G169" s="186">
        <f t="shared" si="20"/>
        <v>32.951999999999998</v>
      </c>
      <c r="H169" s="187" t="str">
        <f t="shared" si="21"/>
        <v>IN</v>
      </c>
      <c r="I169" s="265">
        <f t="shared" si="18"/>
        <v>4882.2259999999997</v>
      </c>
      <c r="J169" s="265">
        <f t="shared" si="19"/>
        <v>6452.6539999999995</v>
      </c>
      <c r="K169" s="269">
        <f t="shared" si="17"/>
        <v>188.08247684339187</v>
      </c>
      <c r="L169" s="447"/>
      <c r="M169" s="447"/>
      <c r="N169" s="13"/>
    </row>
    <row r="170" spans="2:14">
      <c r="B170" s="185">
        <f t="shared" si="22"/>
        <v>148</v>
      </c>
      <c r="C170" s="185"/>
      <c r="D170" s="186">
        <v>7</v>
      </c>
      <c r="E170" s="179">
        <f t="shared" si="23"/>
        <v>148</v>
      </c>
      <c r="F170" s="186">
        <v>33.1</v>
      </c>
      <c r="G170" s="186">
        <f t="shared" si="20"/>
        <v>32.701999999999998</v>
      </c>
      <c r="H170" s="187" t="str">
        <f t="shared" si="21"/>
        <v>IN</v>
      </c>
      <c r="I170" s="265">
        <f t="shared" si="18"/>
        <v>4914.9279999999999</v>
      </c>
      <c r="J170" s="265">
        <f t="shared" si="19"/>
        <v>6419.9519999999993</v>
      </c>
      <c r="K170" s="269">
        <f t="shared" si="17"/>
        <v>188.77294122536287</v>
      </c>
      <c r="L170" s="447"/>
      <c r="M170" s="447"/>
      <c r="N170" s="13"/>
    </row>
    <row r="171" spans="2:14">
      <c r="B171" s="185">
        <f t="shared" si="22"/>
        <v>149</v>
      </c>
      <c r="C171" s="185"/>
      <c r="D171" s="186">
        <v>7</v>
      </c>
      <c r="E171" s="179">
        <f t="shared" si="23"/>
        <v>149</v>
      </c>
      <c r="F171" s="186">
        <v>32.5</v>
      </c>
      <c r="G171" s="186">
        <f t="shared" si="20"/>
        <v>32.101999999999997</v>
      </c>
      <c r="H171" s="187" t="str">
        <f t="shared" si="21"/>
        <v>IN</v>
      </c>
      <c r="I171" s="265">
        <f t="shared" si="18"/>
        <v>4947.03</v>
      </c>
      <c r="J171" s="265">
        <f t="shared" si="19"/>
        <v>6387.8499999999995</v>
      </c>
      <c r="K171" s="269">
        <f t="shared" si="17"/>
        <v>189.45073731092438</v>
      </c>
      <c r="L171" s="447"/>
      <c r="M171" s="447"/>
      <c r="N171" s="13"/>
    </row>
    <row r="172" spans="2:14">
      <c r="B172" s="185">
        <f t="shared" si="22"/>
        <v>150</v>
      </c>
      <c r="C172" s="185"/>
      <c r="D172" s="186">
        <v>7</v>
      </c>
      <c r="E172" s="179">
        <f t="shared" si="23"/>
        <v>150</v>
      </c>
      <c r="F172" s="186">
        <v>33.15</v>
      </c>
      <c r="G172" s="186">
        <f t="shared" si="20"/>
        <v>32.751999999999995</v>
      </c>
      <c r="H172" s="187" t="str">
        <f t="shared" si="21"/>
        <v>IN</v>
      </c>
      <c r="I172" s="265">
        <f t="shared" si="18"/>
        <v>4979.7820000000002</v>
      </c>
      <c r="J172" s="265">
        <f t="shared" si="19"/>
        <v>6355.097999999999</v>
      </c>
      <c r="K172" s="269">
        <f t="shared" si="17"/>
        <v>190.14225738426279</v>
      </c>
      <c r="L172" s="447"/>
      <c r="M172" s="447"/>
      <c r="N172" s="13"/>
    </row>
    <row r="173" spans="2:14">
      <c r="B173" s="185">
        <f t="shared" si="22"/>
        <v>151</v>
      </c>
      <c r="C173" s="185"/>
      <c r="D173" s="186">
        <v>7</v>
      </c>
      <c r="E173" s="179">
        <f t="shared" si="23"/>
        <v>151</v>
      </c>
      <c r="F173" s="186">
        <v>33.369999999999997</v>
      </c>
      <c r="G173" s="186">
        <f t="shared" si="20"/>
        <v>32.971999999999994</v>
      </c>
      <c r="H173" s="187" t="str">
        <f t="shared" si="21"/>
        <v>IN</v>
      </c>
      <c r="I173" s="265">
        <f t="shared" si="18"/>
        <v>5012.7539999999999</v>
      </c>
      <c r="J173" s="265">
        <f t="shared" si="19"/>
        <v>6322.1259999999993</v>
      </c>
      <c r="K173" s="269">
        <f t="shared" si="17"/>
        <v>190.83842249961805</v>
      </c>
      <c r="L173" s="447"/>
      <c r="M173" s="447"/>
      <c r="N173" s="13"/>
    </row>
    <row r="174" spans="2:14">
      <c r="B174" s="185">
        <f t="shared" si="22"/>
        <v>152</v>
      </c>
      <c r="C174" s="185"/>
      <c r="D174" s="186">
        <v>7</v>
      </c>
      <c r="E174" s="179">
        <f t="shared" si="23"/>
        <v>152</v>
      </c>
      <c r="F174" s="186">
        <v>31.57</v>
      </c>
      <c r="G174" s="186">
        <f t="shared" si="20"/>
        <v>31.172000000000001</v>
      </c>
      <c r="H174" s="187" t="str">
        <f t="shared" si="21"/>
        <v>IN</v>
      </c>
      <c r="I174" s="265">
        <f t="shared" si="18"/>
        <v>5043.9259999999995</v>
      </c>
      <c r="J174" s="265">
        <f t="shared" si="19"/>
        <v>6290.9539999999997</v>
      </c>
      <c r="K174" s="269">
        <f t="shared" si="17"/>
        <v>191.49658272574487</v>
      </c>
      <c r="L174" s="447"/>
      <c r="M174" s="447"/>
      <c r="N174" s="13"/>
    </row>
    <row r="175" spans="2:14">
      <c r="B175" s="185">
        <f t="shared" si="22"/>
        <v>153</v>
      </c>
      <c r="C175" s="185"/>
      <c r="D175" s="186">
        <v>7</v>
      </c>
      <c r="E175" s="179">
        <f t="shared" si="23"/>
        <v>153</v>
      </c>
      <c r="F175" s="186">
        <v>33.15</v>
      </c>
      <c r="G175" s="186">
        <f t="shared" si="20"/>
        <v>32.751999999999995</v>
      </c>
      <c r="H175" s="187" t="str">
        <f t="shared" si="21"/>
        <v>IN</v>
      </c>
      <c r="I175" s="265">
        <f t="shared" si="18"/>
        <v>5076.6779999999999</v>
      </c>
      <c r="J175" s="265">
        <f t="shared" si="19"/>
        <v>6258.2019999999993</v>
      </c>
      <c r="K175" s="269">
        <f t="shared" si="17"/>
        <v>192.18810279908325</v>
      </c>
      <c r="L175" s="447"/>
      <c r="M175" s="447"/>
      <c r="N175" s="13"/>
    </row>
    <row r="176" spans="2:14">
      <c r="B176" s="185">
        <f t="shared" si="22"/>
        <v>154</v>
      </c>
      <c r="C176" s="185"/>
      <c r="D176" s="186">
        <v>7</v>
      </c>
      <c r="E176" s="179">
        <f t="shared" si="23"/>
        <v>154</v>
      </c>
      <c r="F176" s="186">
        <v>33.46</v>
      </c>
      <c r="G176" s="186">
        <f t="shared" si="20"/>
        <v>33.061999999999998</v>
      </c>
      <c r="H176" s="187" t="str">
        <f t="shared" si="21"/>
        <v>IN</v>
      </c>
      <c r="I176" s="265">
        <f t="shared" si="18"/>
        <v>5109.74</v>
      </c>
      <c r="J176" s="265">
        <f t="shared" si="19"/>
        <v>6225.1399999999994</v>
      </c>
      <c r="K176" s="269">
        <f t="shared" si="17"/>
        <v>192.88616815889992</v>
      </c>
      <c r="L176" s="447"/>
      <c r="M176" s="447"/>
      <c r="N176" s="13"/>
    </row>
    <row r="177" spans="2:14">
      <c r="B177" s="185">
        <f t="shared" si="22"/>
        <v>155</v>
      </c>
      <c r="C177" s="185"/>
      <c r="D177" s="186">
        <v>7</v>
      </c>
      <c r="E177" s="179">
        <f t="shared" si="23"/>
        <v>155</v>
      </c>
      <c r="F177" s="186">
        <v>33.200000000000003</v>
      </c>
      <c r="G177" s="186">
        <f t="shared" si="20"/>
        <v>32.802</v>
      </c>
      <c r="H177" s="187" t="str">
        <f t="shared" si="21"/>
        <v>IN</v>
      </c>
      <c r="I177" s="265">
        <f t="shared" si="18"/>
        <v>5142.5419999999995</v>
      </c>
      <c r="J177" s="265">
        <f t="shared" si="19"/>
        <v>6192.3379999999997</v>
      </c>
      <c r="K177" s="269">
        <f t="shared" si="17"/>
        <v>193.5787439236058</v>
      </c>
      <c r="L177" s="447"/>
      <c r="M177" s="447"/>
      <c r="N177" s="13"/>
    </row>
    <row r="178" spans="2:14">
      <c r="B178" s="185">
        <f t="shared" si="22"/>
        <v>156</v>
      </c>
      <c r="C178" s="185"/>
      <c r="D178" s="186">
        <v>7</v>
      </c>
      <c r="E178" s="179">
        <f t="shared" si="23"/>
        <v>156</v>
      </c>
      <c r="F178" s="186">
        <v>33.340000000000003</v>
      </c>
      <c r="G178" s="186">
        <f t="shared" si="20"/>
        <v>32.942</v>
      </c>
      <c r="H178" s="187" t="str">
        <f t="shared" si="21"/>
        <v>IN</v>
      </c>
      <c r="I178" s="265">
        <f t="shared" si="18"/>
        <v>5175.4839999999995</v>
      </c>
      <c r="J178" s="265">
        <f t="shared" si="19"/>
        <v>6159.3959999999997</v>
      </c>
      <c r="K178" s="269">
        <f t="shared" si="17"/>
        <v>194.27427562414056</v>
      </c>
      <c r="L178" s="447"/>
      <c r="M178" s="447"/>
      <c r="N178" s="13"/>
    </row>
    <row r="179" spans="2:14">
      <c r="B179" s="185">
        <f t="shared" si="22"/>
        <v>157</v>
      </c>
      <c r="C179" s="185"/>
      <c r="D179" s="186">
        <v>7</v>
      </c>
      <c r="E179" s="179">
        <f t="shared" si="23"/>
        <v>157</v>
      </c>
      <c r="F179" s="396">
        <v>33.51</v>
      </c>
      <c r="G179" s="186">
        <f t="shared" si="20"/>
        <v>33.111999999999995</v>
      </c>
      <c r="H179" s="187" t="str">
        <f t="shared" si="21"/>
        <v>IN</v>
      </c>
      <c r="I179" s="265">
        <f t="shared" si="18"/>
        <v>5208.5959999999995</v>
      </c>
      <c r="J179" s="265">
        <f t="shared" si="19"/>
        <v>6126.2839999999997</v>
      </c>
      <c r="K179" s="269">
        <f t="shared" si="17"/>
        <v>194.97339667532466</v>
      </c>
      <c r="L179" s="447"/>
      <c r="M179" s="447"/>
      <c r="N179" s="13"/>
    </row>
    <row r="180" spans="2:14">
      <c r="B180" s="185">
        <f t="shared" si="22"/>
        <v>158</v>
      </c>
      <c r="C180" s="185"/>
      <c r="D180" s="186">
        <v>7</v>
      </c>
      <c r="E180" s="179">
        <f t="shared" si="23"/>
        <v>158</v>
      </c>
      <c r="F180" s="396">
        <v>33.46</v>
      </c>
      <c r="G180" s="186">
        <f t="shared" si="20"/>
        <v>33.061999999999998</v>
      </c>
      <c r="H180" s="187" t="str">
        <f t="shared" si="21"/>
        <v>IN</v>
      </c>
      <c r="I180" s="265">
        <f t="shared" si="18"/>
        <v>5241.6579999999994</v>
      </c>
      <c r="J180" s="265">
        <f t="shared" si="19"/>
        <v>6093.2219999999998</v>
      </c>
      <c r="K180" s="269">
        <f t="shared" si="17"/>
        <v>195.6714620351413</v>
      </c>
      <c r="L180" s="447"/>
      <c r="M180" s="447"/>
      <c r="N180" s="13"/>
    </row>
    <row r="181" spans="2:14">
      <c r="B181" s="185">
        <f t="shared" si="22"/>
        <v>159</v>
      </c>
      <c r="C181" s="185"/>
      <c r="D181" s="186">
        <v>7</v>
      </c>
      <c r="E181" s="179">
        <f t="shared" si="23"/>
        <v>159</v>
      </c>
      <c r="F181" s="396">
        <v>33.409999999999997</v>
      </c>
      <c r="G181" s="186">
        <f t="shared" si="20"/>
        <v>33.011999999999993</v>
      </c>
      <c r="H181" s="187" t="str">
        <f t="shared" si="21"/>
        <v>IN</v>
      </c>
      <c r="I181" s="265">
        <f t="shared" si="18"/>
        <v>5274.6699999999992</v>
      </c>
      <c r="J181" s="265">
        <f t="shared" si="19"/>
        <v>6060.21</v>
      </c>
      <c r="K181" s="269">
        <f t="shared" si="17"/>
        <v>196.3684717035905</v>
      </c>
      <c r="L181" s="447"/>
      <c r="M181" s="447"/>
      <c r="N181" s="13"/>
    </row>
    <row r="182" spans="2:14">
      <c r="B182" s="185">
        <f t="shared" si="22"/>
        <v>160</v>
      </c>
      <c r="C182" s="185"/>
      <c r="D182" s="186">
        <v>7</v>
      </c>
      <c r="E182" s="179">
        <f t="shared" si="23"/>
        <v>160</v>
      </c>
      <c r="F182" s="396">
        <v>33.49</v>
      </c>
      <c r="G182" s="186">
        <f t="shared" si="20"/>
        <v>33.091999999999999</v>
      </c>
      <c r="H182" s="187" t="str">
        <f t="shared" si="21"/>
        <v>IN</v>
      </c>
      <c r="I182" s="265">
        <f t="shared" si="18"/>
        <v>5307.7619999999988</v>
      </c>
      <c r="J182" s="265">
        <f t="shared" si="19"/>
        <v>6027.1180000000004</v>
      </c>
      <c r="K182" s="269">
        <f t="shared" si="17"/>
        <v>197.06717047822764</v>
      </c>
      <c r="L182" s="447"/>
      <c r="M182" s="447"/>
      <c r="N182" s="13"/>
    </row>
    <row r="183" spans="2:14">
      <c r="B183" s="185">
        <f t="shared" si="22"/>
        <v>161</v>
      </c>
      <c r="C183" s="185"/>
      <c r="D183" s="186">
        <v>7</v>
      </c>
      <c r="E183" s="179">
        <f t="shared" si="23"/>
        <v>161</v>
      </c>
      <c r="F183" s="396">
        <v>33.15</v>
      </c>
      <c r="G183" s="186">
        <f t="shared" si="20"/>
        <v>32.751999999999995</v>
      </c>
      <c r="H183" s="187" t="str">
        <f t="shared" si="21"/>
        <v>IN</v>
      </c>
      <c r="I183" s="265">
        <f t="shared" si="18"/>
        <v>5340.5139999999992</v>
      </c>
      <c r="J183" s="265">
        <f t="shared" si="19"/>
        <v>5994.366</v>
      </c>
      <c r="K183" s="269">
        <f t="shared" si="17"/>
        <v>197.75869055156608</v>
      </c>
      <c r="L183" s="447"/>
      <c r="M183" s="447"/>
      <c r="N183" s="13"/>
    </row>
    <row r="184" spans="2:14">
      <c r="B184" s="185">
        <f t="shared" si="22"/>
        <v>162</v>
      </c>
      <c r="C184" s="185"/>
      <c r="D184" s="186">
        <v>7</v>
      </c>
      <c r="E184" s="179">
        <f t="shared" si="23"/>
        <v>162</v>
      </c>
      <c r="F184" s="396">
        <v>33.270000000000003</v>
      </c>
      <c r="G184" s="186">
        <f t="shared" si="20"/>
        <v>32.872</v>
      </c>
      <c r="H184" s="187" t="str">
        <f t="shared" si="21"/>
        <v>IN</v>
      </c>
      <c r="I184" s="265">
        <f t="shared" si="18"/>
        <v>5373.3859999999995</v>
      </c>
      <c r="J184" s="265">
        <f t="shared" si="19"/>
        <v>5961.4939999999997</v>
      </c>
      <c r="K184" s="269">
        <f t="shared" si="17"/>
        <v>198.45274428418639</v>
      </c>
      <c r="L184" s="447"/>
      <c r="M184" s="447"/>
      <c r="N184" s="13"/>
    </row>
    <row r="185" spans="2:14">
      <c r="B185" s="185">
        <f t="shared" si="22"/>
        <v>163</v>
      </c>
      <c r="C185" s="185"/>
      <c r="D185" s="186">
        <v>7</v>
      </c>
      <c r="E185" s="179">
        <f t="shared" si="23"/>
        <v>163</v>
      </c>
      <c r="F185" s="396">
        <v>33.57</v>
      </c>
      <c r="G185" s="186">
        <f t="shared" si="20"/>
        <v>33.171999999999997</v>
      </c>
      <c r="H185" s="187" t="str">
        <f t="shared" si="21"/>
        <v>IN</v>
      </c>
      <c r="I185" s="265">
        <f t="shared" si="18"/>
        <v>5406.5579999999991</v>
      </c>
      <c r="J185" s="265">
        <f t="shared" si="19"/>
        <v>5928.3220000000001</v>
      </c>
      <c r="K185" s="269">
        <f t="shared" si="17"/>
        <v>199.15313216501144</v>
      </c>
      <c r="L185" s="447"/>
      <c r="M185" s="447"/>
      <c r="N185" s="13"/>
    </row>
    <row r="186" spans="2:14">
      <c r="B186" s="185">
        <f t="shared" si="22"/>
        <v>164</v>
      </c>
      <c r="C186" s="185"/>
      <c r="D186" s="186">
        <v>7</v>
      </c>
      <c r="E186" s="179">
        <f t="shared" si="23"/>
        <v>164</v>
      </c>
      <c r="F186" s="396">
        <v>31.34</v>
      </c>
      <c r="G186" s="186">
        <f t="shared" si="20"/>
        <v>30.942</v>
      </c>
      <c r="H186" s="187" t="str">
        <f t="shared" si="21"/>
        <v>IN</v>
      </c>
      <c r="I186" s="265">
        <f t="shared" si="18"/>
        <v>5437.4999999999991</v>
      </c>
      <c r="J186" s="265">
        <f t="shared" si="19"/>
        <v>5897.38</v>
      </c>
      <c r="K186" s="269">
        <f t="shared" si="17"/>
        <v>199.80643621084795</v>
      </c>
      <c r="L186" s="447"/>
      <c r="M186" s="447"/>
      <c r="N186" s="13"/>
    </row>
    <row r="187" spans="2:14">
      <c r="B187" s="185">
        <f t="shared" si="22"/>
        <v>165</v>
      </c>
      <c r="C187" s="185"/>
      <c r="D187" s="186">
        <v>7</v>
      </c>
      <c r="E187" s="179">
        <f t="shared" si="23"/>
        <v>165</v>
      </c>
      <c r="F187" s="396">
        <v>33.25</v>
      </c>
      <c r="G187" s="186">
        <f t="shared" si="20"/>
        <v>32.851999999999997</v>
      </c>
      <c r="H187" s="187" t="str">
        <f t="shared" si="21"/>
        <v>IN</v>
      </c>
      <c r="I187" s="265">
        <f t="shared" si="18"/>
        <v>5470.351999999999</v>
      </c>
      <c r="J187" s="265">
        <f t="shared" si="19"/>
        <v>5864.5280000000002</v>
      </c>
      <c r="K187" s="269">
        <f t="shared" si="17"/>
        <v>200.5000676669213</v>
      </c>
      <c r="L187" s="447"/>
      <c r="M187" s="447"/>
      <c r="N187" s="13"/>
    </row>
    <row r="188" spans="2:14">
      <c r="B188" s="185">
        <f t="shared" si="22"/>
        <v>166</v>
      </c>
      <c r="C188" s="185"/>
      <c r="D188" s="186">
        <v>7</v>
      </c>
      <c r="E188" s="179">
        <f t="shared" si="23"/>
        <v>166</v>
      </c>
      <c r="F188" s="396">
        <v>33.270000000000003</v>
      </c>
      <c r="G188" s="186">
        <f t="shared" si="20"/>
        <v>32.872</v>
      </c>
      <c r="H188" s="187" t="str">
        <f t="shared" si="21"/>
        <v>IN</v>
      </c>
      <c r="I188" s="265">
        <f t="shared" si="18"/>
        <v>5503.2239999999993</v>
      </c>
      <c r="J188" s="265">
        <f t="shared" si="19"/>
        <v>5831.6559999999999</v>
      </c>
      <c r="K188" s="269">
        <f t="shared" si="17"/>
        <v>201.19412139954164</v>
      </c>
      <c r="L188" s="447"/>
      <c r="M188" s="447"/>
      <c r="N188" s="13"/>
    </row>
    <row r="189" spans="2:14">
      <c r="B189" s="185">
        <f t="shared" si="22"/>
        <v>167</v>
      </c>
      <c r="C189" s="185"/>
      <c r="D189" s="186">
        <v>7</v>
      </c>
      <c r="E189" s="179">
        <f t="shared" si="23"/>
        <v>167</v>
      </c>
      <c r="F189" s="186">
        <v>33.26</v>
      </c>
      <c r="G189" s="186">
        <f t="shared" si="20"/>
        <v>32.861999999999995</v>
      </c>
      <c r="H189" s="187" t="str">
        <f t="shared" si="21"/>
        <v>IN</v>
      </c>
      <c r="I189" s="265">
        <f t="shared" si="18"/>
        <v>5536.0859999999993</v>
      </c>
      <c r="J189" s="265">
        <f t="shared" si="19"/>
        <v>5798.7939999999999</v>
      </c>
      <c r="K189" s="269">
        <f t="shared" si="17"/>
        <v>201.88796399388843</v>
      </c>
      <c r="L189" s="447"/>
      <c r="M189" s="447"/>
      <c r="N189" s="13"/>
    </row>
    <row r="190" spans="2:14">
      <c r="B190" s="185">
        <f t="shared" si="22"/>
        <v>168</v>
      </c>
      <c r="C190" s="185"/>
      <c r="D190" s="186">
        <v>7</v>
      </c>
      <c r="E190" s="179">
        <f t="shared" si="23"/>
        <v>168</v>
      </c>
      <c r="F190" s="186">
        <v>33.74</v>
      </c>
      <c r="G190" s="186">
        <f t="shared" si="20"/>
        <v>33.341999999999999</v>
      </c>
      <c r="H190" s="187" t="str">
        <f t="shared" si="21"/>
        <v>IN</v>
      </c>
      <c r="I190" s="265">
        <f t="shared" si="18"/>
        <v>5569.427999999999</v>
      </c>
      <c r="J190" s="265">
        <f t="shared" si="19"/>
        <v>5765.4520000000002</v>
      </c>
      <c r="K190" s="269">
        <f t="shared" si="17"/>
        <v>202.59194122536286</v>
      </c>
      <c r="L190" s="447"/>
      <c r="M190" s="447"/>
      <c r="N190" s="13"/>
    </row>
    <row r="191" spans="2:14">
      <c r="B191" s="185">
        <f t="shared" si="22"/>
        <v>169</v>
      </c>
      <c r="C191" s="185"/>
      <c r="D191" s="186">
        <v>7</v>
      </c>
      <c r="E191" s="179">
        <f t="shared" si="23"/>
        <v>169</v>
      </c>
      <c r="F191" s="186">
        <v>33.549999999999997</v>
      </c>
      <c r="G191" s="186">
        <f t="shared" si="20"/>
        <v>33.151999999999994</v>
      </c>
      <c r="H191" s="187" t="str">
        <f t="shared" si="21"/>
        <v>IN</v>
      </c>
      <c r="I191" s="265">
        <f t="shared" si="18"/>
        <v>5602.579999999999</v>
      </c>
      <c r="J191" s="265">
        <f t="shared" si="19"/>
        <v>5732.3</v>
      </c>
      <c r="K191" s="269">
        <f t="shared" si="17"/>
        <v>203.29190682964094</v>
      </c>
      <c r="L191" s="447"/>
      <c r="M191" s="447"/>
      <c r="N191" s="13"/>
    </row>
    <row r="192" spans="2:14">
      <c r="B192" s="185">
        <f t="shared" si="22"/>
        <v>170</v>
      </c>
      <c r="C192" s="185"/>
      <c r="D192" s="186">
        <v>7</v>
      </c>
      <c r="E192" s="179">
        <f t="shared" si="23"/>
        <v>170</v>
      </c>
      <c r="F192" s="186">
        <v>33.229999999999997</v>
      </c>
      <c r="G192" s="186">
        <f t="shared" si="20"/>
        <v>32.831999999999994</v>
      </c>
      <c r="H192" s="187" t="str">
        <f t="shared" si="21"/>
        <v>IN</v>
      </c>
      <c r="I192" s="265">
        <f t="shared" si="18"/>
        <v>5635.4119999999994</v>
      </c>
      <c r="J192" s="265">
        <f t="shared" si="19"/>
        <v>5699.4679999999998</v>
      </c>
      <c r="K192" s="269">
        <f t="shared" si="17"/>
        <v>203.98511600916729</v>
      </c>
      <c r="L192" s="447"/>
      <c r="M192" s="447"/>
      <c r="N192" s="13"/>
    </row>
    <row r="193" spans="2:14">
      <c r="B193" s="185">
        <f t="shared" si="22"/>
        <v>171</v>
      </c>
      <c r="C193" s="185"/>
      <c r="D193" s="186">
        <v>7</v>
      </c>
      <c r="E193" s="179">
        <f t="shared" si="23"/>
        <v>171</v>
      </c>
      <c r="F193" s="186">
        <v>33.53</v>
      </c>
      <c r="G193" s="186">
        <f t="shared" si="20"/>
        <v>33.131999999999998</v>
      </c>
      <c r="H193" s="187" t="str">
        <f t="shared" si="21"/>
        <v>IN</v>
      </c>
      <c r="I193" s="265">
        <f t="shared" si="18"/>
        <v>5668.543999999999</v>
      </c>
      <c r="J193" s="265">
        <f t="shared" si="19"/>
        <v>5666.3360000000002</v>
      </c>
      <c r="K193" s="269">
        <f t="shared" si="17"/>
        <v>204.68465933689839</v>
      </c>
      <c r="L193" s="447"/>
      <c r="M193" s="447"/>
      <c r="N193" s="13"/>
    </row>
    <row r="194" spans="2:14">
      <c r="B194" s="185">
        <f t="shared" si="22"/>
        <v>172</v>
      </c>
      <c r="C194" s="185"/>
      <c r="D194" s="186">
        <v>7</v>
      </c>
      <c r="E194" s="179">
        <f t="shared" si="23"/>
        <v>172</v>
      </c>
      <c r="F194" s="186">
        <v>33.5</v>
      </c>
      <c r="G194" s="186">
        <f t="shared" si="20"/>
        <v>33.101999999999997</v>
      </c>
      <c r="H194" s="187" t="str">
        <f t="shared" si="21"/>
        <v>IN</v>
      </c>
      <c r="I194" s="265">
        <f t="shared" si="18"/>
        <v>5701.6459999999988</v>
      </c>
      <c r="J194" s="265">
        <f t="shared" si="19"/>
        <v>5633.2340000000004</v>
      </c>
      <c r="K194" s="269">
        <f t="shared" si="17"/>
        <v>205.383569249809</v>
      </c>
      <c r="L194" s="447"/>
      <c r="M194" s="447"/>
      <c r="N194" s="13"/>
    </row>
    <row r="195" spans="2:14">
      <c r="B195" s="185">
        <f t="shared" si="22"/>
        <v>173</v>
      </c>
      <c r="C195" s="185"/>
      <c r="D195" s="186">
        <v>7</v>
      </c>
      <c r="E195" s="179">
        <f t="shared" si="23"/>
        <v>173</v>
      </c>
      <c r="F195" s="186">
        <v>32</v>
      </c>
      <c r="G195" s="186">
        <f t="shared" si="20"/>
        <v>31.602</v>
      </c>
      <c r="H195" s="187" t="str">
        <f t="shared" si="21"/>
        <v>IN</v>
      </c>
      <c r="I195" s="265">
        <f t="shared" si="18"/>
        <v>5733.2479999999987</v>
      </c>
      <c r="J195" s="265">
        <f t="shared" si="19"/>
        <v>5601.6320000000005</v>
      </c>
      <c r="K195" s="269">
        <f t="shared" si="17"/>
        <v>206.05080842169593</v>
      </c>
      <c r="L195" s="447"/>
      <c r="M195" s="447"/>
      <c r="N195" s="13"/>
    </row>
    <row r="196" spans="2:14">
      <c r="B196" s="185">
        <f t="shared" si="22"/>
        <v>174</v>
      </c>
      <c r="C196" s="185"/>
      <c r="D196" s="186">
        <v>7</v>
      </c>
      <c r="E196" s="179">
        <f t="shared" si="23"/>
        <v>174</v>
      </c>
      <c r="F196" s="186">
        <v>33.97</v>
      </c>
      <c r="G196" s="186">
        <f t="shared" si="20"/>
        <v>33.571999999999996</v>
      </c>
      <c r="H196" s="187" t="str">
        <f t="shared" si="21"/>
        <v>IN</v>
      </c>
      <c r="I196" s="265">
        <f t="shared" si="18"/>
        <v>5766.8199999999988</v>
      </c>
      <c r="J196" s="265">
        <f t="shared" si="19"/>
        <v>5568.06</v>
      </c>
      <c r="K196" s="269">
        <f t="shared" si="17"/>
        <v>206.75964183346065</v>
      </c>
      <c r="L196" s="447"/>
      <c r="M196" s="447"/>
      <c r="N196" s="13"/>
    </row>
    <row r="197" spans="2:14">
      <c r="B197" s="185">
        <f t="shared" si="22"/>
        <v>175</v>
      </c>
      <c r="C197" s="185"/>
      <c r="D197" s="186">
        <v>7</v>
      </c>
      <c r="E197" s="179">
        <f t="shared" si="23"/>
        <v>175</v>
      </c>
      <c r="F197" s="186">
        <v>33.04</v>
      </c>
      <c r="G197" s="186">
        <f t="shared" si="20"/>
        <v>32.641999999999996</v>
      </c>
      <c r="H197" s="187" t="str">
        <f t="shared" si="21"/>
        <v>IN</v>
      </c>
      <c r="I197" s="265">
        <f t="shared" si="18"/>
        <v>5799.4619999999986</v>
      </c>
      <c r="J197" s="265">
        <f t="shared" si="19"/>
        <v>5535.4180000000006</v>
      </c>
      <c r="K197" s="269">
        <f t="shared" si="17"/>
        <v>207.44883938579065</v>
      </c>
      <c r="L197" s="447"/>
      <c r="M197" s="447"/>
      <c r="N197" s="13"/>
    </row>
    <row r="198" spans="2:14">
      <c r="B198" s="185">
        <f t="shared" si="22"/>
        <v>176</v>
      </c>
      <c r="C198" s="185"/>
      <c r="D198" s="186">
        <v>7</v>
      </c>
      <c r="E198" s="179">
        <f t="shared" si="23"/>
        <v>176</v>
      </c>
      <c r="F198" s="186">
        <v>32.82</v>
      </c>
      <c r="G198" s="186">
        <f t="shared" si="20"/>
        <v>32.421999999999997</v>
      </c>
      <c r="H198" s="187" t="str">
        <f t="shared" si="21"/>
        <v>IN</v>
      </c>
      <c r="I198" s="265">
        <f t="shared" si="18"/>
        <v>5831.8839999999982</v>
      </c>
      <c r="J198" s="265">
        <f t="shared" si="19"/>
        <v>5502.996000000001</v>
      </c>
      <c r="K198" s="269">
        <f t="shared" si="17"/>
        <v>208.13339189610386</v>
      </c>
      <c r="L198" s="447"/>
      <c r="M198" s="447"/>
      <c r="N198" s="13"/>
    </row>
    <row r="199" spans="2:14">
      <c r="B199" s="185">
        <f t="shared" si="22"/>
        <v>177</v>
      </c>
      <c r="C199" s="185"/>
      <c r="D199" s="186">
        <v>7</v>
      </c>
      <c r="E199" s="179">
        <f t="shared" si="23"/>
        <v>177</v>
      </c>
      <c r="F199" s="186">
        <v>33.82</v>
      </c>
      <c r="G199" s="186">
        <f t="shared" si="20"/>
        <v>33.421999999999997</v>
      </c>
      <c r="H199" s="187" t="str">
        <f t="shared" si="21"/>
        <v>IN</v>
      </c>
      <c r="I199" s="265">
        <f t="shared" si="18"/>
        <v>5865.3059999999978</v>
      </c>
      <c r="J199" s="265">
        <f t="shared" si="19"/>
        <v>5469.5740000000014</v>
      </c>
      <c r="K199" s="269">
        <f t="shared" si="17"/>
        <v>208.8390582337662</v>
      </c>
      <c r="L199" s="447"/>
      <c r="M199" s="447"/>
      <c r="N199" s="13"/>
    </row>
    <row r="200" spans="2:14">
      <c r="B200" s="185">
        <f t="shared" si="22"/>
        <v>178</v>
      </c>
      <c r="C200" s="185"/>
      <c r="D200" s="186">
        <v>7</v>
      </c>
      <c r="E200" s="179">
        <f t="shared" si="23"/>
        <v>178</v>
      </c>
      <c r="F200" s="186">
        <v>33.619999999999997</v>
      </c>
      <c r="G200" s="186">
        <f t="shared" si="20"/>
        <v>33.221999999999994</v>
      </c>
      <c r="H200" s="187" t="str">
        <f t="shared" si="21"/>
        <v>IN</v>
      </c>
      <c r="I200" s="265">
        <f t="shared" si="18"/>
        <v>5898.5279999999975</v>
      </c>
      <c r="J200" s="265">
        <f t="shared" si="19"/>
        <v>5436.3520000000017</v>
      </c>
      <c r="K200" s="269">
        <f t="shared" si="17"/>
        <v>209.54050180595868</v>
      </c>
      <c r="L200" s="447"/>
      <c r="M200" s="447"/>
      <c r="N200" s="13"/>
    </row>
    <row r="201" spans="2:14">
      <c r="B201" s="185">
        <f t="shared" si="22"/>
        <v>179</v>
      </c>
      <c r="C201" s="185"/>
      <c r="D201" s="186">
        <v>7</v>
      </c>
      <c r="E201" s="179">
        <f t="shared" si="23"/>
        <v>179</v>
      </c>
      <c r="F201" s="186">
        <v>33.28</v>
      </c>
      <c r="G201" s="186">
        <f t="shared" si="20"/>
        <v>32.881999999999998</v>
      </c>
      <c r="H201" s="187" t="str">
        <f t="shared" si="21"/>
        <v>IN</v>
      </c>
      <c r="I201" s="265">
        <f t="shared" si="18"/>
        <v>5931.4099999999971</v>
      </c>
      <c r="J201" s="265">
        <f t="shared" si="19"/>
        <v>5403.4700000000021</v>
      </c>
      <c r="K201" s="269">
        <f t="shared" si="17"/>
        <v>210.23476667685247</v>
      </c>
      <c r="L201" s="447"/>
      <c r="M201" s="447"/>
      <c r="N201" s="13"/>
    </row>
    <row r="202" spans="2:14">
      <c r="B202" s="185">
        <f t="shared" si="22"/>
        <v>180</v>
      </c>
      <c r="C202" s="185"/>
      <c r="D202" s="186">
        <v>7</v>
      </c>
      <c r="E202" s="179">
        <f t="shared" si="23"/>
        <v>180</v>
      </c>
      <c r="F202" s="186">
        <v>33.96</v>
      </c>
      <c r="G202" s="186">
        <f t="shared" si="20"/>
        <v>33.561999999999998</v>
      </c>
      <c r="H202" s="187" t="str">
        <f t="shared" si="21"/>
        <v>IN</v>
      </c>
      <c r="I202" s="265">
        <f t="shared" si="18"/>
        <v>5964.971999999997</v>
      </c>
      <c r="J202" s="265">
        <f t="shared" si="19"/>
        <v>5369.9080000000022</v>
      </c>
      <c r="K202" s="269">
        <f t="shared" si="17"/>
        <v>210.94338895034372</v>
      </c>
      <c r="L202" s="447"/>
      <c r="M202" s="447"/>
      <c r="N202" s="13"/>
    </row>
    <row r="203" spans="2:14">
      <c r="B203" s="185">
        <f t="shared" si="22"/>
        <v>181</v>
      </c>
      <c r="C203" s="185"/>
      <c r="D203" s="186">
        <v>7</v>
      </c>
      <c r="E203" s="179">
        <f t="shared" si="23"/>
        <v>181</v>
      </c>
      <c r="F203" s="186">
        <v>33.450000000000003</v>
      </c>
      <c r="G203" s="186">
        <f t="shared" si="20"/>
        <v>33.052</v>
      </c>
      <c r="H203" s="187" t="str">
        <f t="shared" si="21"/>
        <v>IN</v>
      </c>
      <c r="I203" s="265">
        <f t="shared" si="18"/>
        <v>5998.0239999999967</v>
      </c>
      <c r="J203" s="265">
        <f t="shared" si="19"/>
        <v>5336.8560000000025</v>
      </c>
      <c r="K203" s="269">
        <f t="shared" si="17"/>
        <v>211.64124317188686</v>
      </c>
      <c r="L203" s="447"/>
      <c r="M203" s="447"/>
      <c r="N203" s="13"/>
    </row>
    <row r="204" spans="2:14">
      <c r="B204" s="185">
        <f t="shared" si="22"/>
        <v>182</v>
      </c>
      <c r="C204" s="185"/>
      <c r="D204" s="186">
        <v>7</v>
      </c>
      <c r="E204" s="179">
        <f t="shared" si="23"/>
        <v>182</v>
      </c>
      <c r="F204" s="186">
        <v>32.08</v>
      </c>
      <c r="G204" s="186">
        <f t="shared" si="20"/>
        <v>31.681999999999999</v>
      </c>
      <c r="H204" s="187" t="str">
        <f t="shared" si="21"/>
        <v>IN</v>
      </c>
      <c r="I204" s="265">
        <f t="shared" si="18"/>
        <v>6029.7059999999965</v>
      </c>
      <c r="J204" s="265">
        <f t="shared" si="19"/>
        <v>5305.1740000000027</v>
      </c>
      <c r="K204" s="269">
        <f t="shared" si="17"/>
        <v>212.31017144996173</v>
      </c>
      <c r="L204" s="447"/>
      <c r="M204" s="447"/>
      <c r="N204" s="13"/>
    </row>
    <row r="205" spans="2:14">
      <c r="B205" s="185">
        <f t="shared" si="22"/>
        <v>183</v>
      </c>
      <c r="C205" s="185"/>
      <c r="D205" s="186">
        <v>7</v>
      </c>
      <c r="E205" s="179">
        <f t="shared" si="23"/>
        <v>183</v>
      </c>
      <c r="F205" s="186">
        <v>33.04</v>
      </c>
      <c r="G205" s="186">
        <f t="shared" si="20"/>
        <v>32.641999999999996</v>
      </c>
      <c r="H205" s="187" t="str">
        <f t="shared" si="21"/>
        <v>IN</v>
      </c>
      <c r="I205" s="265">
        <f t="shared" si="18"/>
        <v>6062.3479999999963</v>
      </c>
      <c r="J205" s="265">
        <f t="shared" si="19"/>
        <v>5272.5320000000029</v>
      </c>
      <c r="K205" s="269">
        <f t="shared" si="17"/>
        <v>212.99936900229176</v>
      </c>
      <c r="L205" s="447"/>
      <c r="M205" s="447"/>
      <c r="N205" s="13"/>
    </row>
    <row r="206" spans="2:14">
      <c r="B206" s="185">
        <f t="shared" si="22"/>
        <v>184</v>
      </c>
      <c r="C206" s="185"/>
      <c r="D206" s="186">
        <v>7</v>
      </c>
      <c r="E206" s="179">
        <f t="shared" si="23"/>
        <v>184</v>
      </c>
      <c r="F206" s="186">
        <v>31.99</v>
      </c>
      <c r="G206" s="186">
        <f t="shared" si="20"/>
        <v>31.591999999999999</v>
      </c>
      <c r="H206" s="187" t="str">
        <f t="shared" si="21"/>
        <v>IN</v>
      </c>
      <c r="I206" s="265">
        <f t="shared" si="18"/>
        <v>6093.939999999996</v>
      </c>
      <c r="J206" s="265">
        <f t="shared" si="19"/>
        <v>5240.9400000000032</v>
      </c>
      <c r="K206" s="269">
        <f t="shared" si="17"/>
        <v>213.66639703590519</v>
      </c>
      <c r="L206" s="447"/>
      <c r="M206" s="447"/>
      <c r="N206" s="13"/>
    </row>
    <row r="207" spans="2:14">
      <c r="B207" s="185">
        <f t="shared" si="22"/>
        <v>185</v>
      </c>
      <c r="C207" s="188"/>
      <c r="D207" s="186">
        <v>7</v>
      </c>
      <c r="E207" s="179">
        <f t="shared" si="23"/>
        <v>185</v>
      </c>
      <c r="F207" s="186">
        <v>33.020000000000003</v>
      </c>
      <c r="G207" s="186">
        <f t="shared" si="20"/>
        <v>32.622</v>
      </c>
      <c r="H207" s="187" t="str">
        <f t="shared" si="21"/>
        <v>IN</v>
      </c>
      <c r="I207" s="265">
        <f t="shared" si="18"/>
        <v>6126.5619999999963</v>
      </c>
      <c r="J207" s="265">
        <f t="shared" si="19"/>
        <v>5208.3180000000029</v>
      </c>
      <c r="K207" s="269">
        <f t="shared" ref="K207:K270" si="24">$H$9+(I207*$E$10*$H$11/1000)</f>
        <v>214.35517231168825</v>
      </c>
      <c r="L207" s="447"/>
      <c r="M207" s="447"/>
      <c r="N207" s="13"/>
    </row>
    <row r="208" spans="2:14">
      <c r="B208" s="185">
        <f t="shared" si="22"/>
        <v>186</v>
      </c>
      <c r="C208" s="188"/>
      <c r="D208" s="186">
        <v>7</v>
      </c>
      <c r="E208" s="179">
        <f t="shared" si="23"/>
        <v>186</v>
      </c>
      <c r="F208" s="186">
        <v>32.97</v>
      </c>
      <c r="G208" s="186">
        <f t="shared" si="20"/>
        <v>32.571999999999996</v>
      </c>
      <c r="H208" s="187" t="str">
        <f t="shared" si="21"/>
        <v>IN</v>
      </c>
      <c r="I208" s="265">
        <f t="shared" si="18"/>
        <v>6159.1339999999964</v>
      </c>
      <c r="J208" s="265">
        <f t="shared" si="19"/>
        <v>5175.7460000000028</v>
      </c>
      <c r="K208" s="269">
        <f t="shared" si="24"/>
        <v>215.04289189610384</v>
      </c>
      <c r="L208" s="447"/>
      <c r="M208" s="447"/>
      <c r="N208" s="13"/>
    </row>
    <row r="209" spans="2:14">
      <c r="B209" s="185">
        <f t="shared" si="22"/>
        <v>187</v>
      </c>
      <c r="C209" s="188"/>
      <c r="D209" s="186">
        <v>7</v>
      </c>
      <c r="E209" s="179">
        <f t="shared" si="23"/>
        <v>187</v>
      </c>
      <c r="F209" s="186">
        <v>33.49</v>
      </c>
      <c r="G209" s="186">
        <f t="shared" si="20"/>
        <v>33.091999999999999</v>
      </c>
      <c r="H209" s="187" t="str">
        <f t="shared" si="21"/>
        <v>IN</v>
      </c>
      <c r="I209" s="265">
        <f t="shared" si="18"/>
        <v>6192.225999999996</v>
      </c>
      <c r="J209" s="265">
        <f t="shared" si="19"/>
        <v>5142.6540000000032</v>
      </c>
      <c r="K209" s="269">
        <f t="shared" si="24"/>
        <v>215.74159067074095</v>
      </c>
      <c r="L209" s="447"/>
      <c r="M209" s="447"/>
      <c r="N209" s="13"/>
    </row>
    <row r="210" spans="2:14">
      <c r="B210" s="185">
        <f t="shared" si="22"/>
        <v>188</v>
      </c>
      <c r="C210" s="188"/>
      <c r="D210" s="186">
        <v>7</v>
      </c>
      <c r="E210" s="179">
        <f t="shared" si="23"/>
        <v>188</v>
      </c>
      <c r="F210" s="186">
        <v>33.340000000000003</v>
      </c>
      <c r="G210" s="186">
        <f t="shared" si="20"/>
        <v>32.942</v>
      </c>
      <c r="H210" s="187" t="str">
        <f t="shared" si="21"/>
        <v>IN</v>
      </c>
      <c r="I210" s="265">
        <f t="shared" ref="I210:I273" si="25">IF(H210="IN",I209+G210,I209)</f>
        <v>6225.167999999996</v>
      </c>
      <c r="J210" s="265">
        <f t="shared" ref="J210:J273" si="26">IF(I210="","",$L$9-I210)</f>
        <v>5109.7120000000032</v>
      </c>
      <c r="K210" s="269">
        <f t="shared" si="24"/>
        <v>216.43712237127571</v>
      </c>
      <c r="L210" s="447"/>
      <c r="M210" s="447"/>
      <c r="N210" s="13"/>
    </row>
    <row r="211" spans="2:14">
      <c r="B211" s="185">
        <f t="shared" si="22"/>
        <v>189</v>
      </c>
      <c r="C211" s="188"/>
      <c r="D211" s="186">
        <v>7</v>
      </c>
      <c r="E211" s="179">
        <f t="shared" si="23"/>
        <v>189</v>
      </c>
      <c r="F211" s="186">
        <v>33.479999999999997</v>
      </c>
      <c r="G211" s="186">
        <f t="shared" ref="G211:G274" si="27">F211-($E$12)</f>
        <v>33.081999999999994</v>
      </c>
      <c r="H211" s="187" t="str">
        <f t="shared" si="21"/>
        <v>IN</v>
      </c>
      <c r="I211" s="265">
        <f t="shared" si="25"/>
        <v>6258.2499999999964</v>
      </c>
      <c r="J211" s="265">
        <f t="shared" si="26"/>
        <v>5076.6300000000028</v>
      </c>
      <c r="K211" s="269">
        <f t="shared" si="24"/>
        <v>217.13561000763937</v>
      </c>
      <c r="L211" s="447"/>
      <c r="M211" s="447"/>
      <c r="N211" s="13"/>
    </row>
    <row r="212" spans="2:14">
      <c r="B212" s="185">
        <f t="shared" si="22"/>
        <v>190</v>
      </c>
      <c r="C212" s="188"/>
      <c r="D212" s="186">
        <v>7</v>
      </c>
      <c r="E212" s="179">
        <f t="shared" si="23"/>
        <v>190</v>
      </c>
      <c r="F212" s="186">
        <v>33.46</v>
      </c>
      <c r="G212" s="186">
        <f t="shared" si="27"/>
        <v>33.061999999999998</v>
      </c>
      <c r="H212" s="187" t="str">
        <f t="shared" si="21"/>
        <v>IN</v>
      </c>
      <c r="I212" s="265">
        <f t="shared" si="25"/>
        <v>6291.3119999999963</v>
      </c>
      <c r="J212" s="265">
        <f t="shared" si="26"/>
        <v>5043.5680000000029</v>
      </c>
      <c r="K212" s="269">
        <f t="shared" si="24"/>
        <v>217.83367536745601</v>
      </c>
      <c r="L212" s="447"/>
      <c r="M212" s="447"/>
      <c r="N212" s="13"/>
    </row>
    <row r="213" spans="2:14">
      <c r="B213" s="188">
        <f t="shared" si="22"/>
        <v>191</v>
      </c>
      <c r="C213" s="188"/>
      <c r="D213" s="265">
        <v>7</v>
      </c>
      <c r="E213" s="179">
        <f t="shared" si="23"/>
        <v>191</v>
      </c>
      <c r="F213" s="186">
        <v>33.32</v>
      </c>
      <c r="G213" s="186">
        <f t="shared" si="27"/>
        <v>32.921999999999997</v>
      </c>
      <c r="H213" s="187" t="str">
        <f t="shared" si="21"/>
        <v>IN</v>
      </c>
      <c r="I213" s="265">
        <f t="shared" si="25"/>
        <v>6324.2339999999958</v>
      </c>
      <c r="J213" s="265">
        <f t="shared" si="26"/>
        <v>5010.6460000000034</v>
      </c>
      <c r="K213" s="269">
        <f t="shared" si="24"/>
        <v>218.52878479144377</v>
      </c>
      <c r="L213" s="447"/>
      <c r="M213" s="447"/>
      <c r="N213" s="13"/>
    </row>
    <row r="214" spans="2:14">
      <c r="B214" s="185">
        <f t="shared" si="22"/>
        <v>192</v>
      </c>
      <c r="C214" s="185"/>
      <c r="D214" s="186">
        <v>7</v>
      </c>
      <c r="E214" s="179">
        <f t="shared" si="23"/>
        <v>192</v>
      </c>
      <c r="F214" s="186">
        <v>33.619999999999997</v>
      </c>
      <c r="G214" s="186">
        <f t="shared" si="27"/>
        <v>33.221999999999994</v>
      </c>
      <c r="H214" s="187" t="str">
        <f t="shared" si="21"/>
        <v>IN</v>
      </c>
      <c r="I214" s="265">
        <f t="shared" si="25"/>
        <v>6357.4559999999956</v>
      </c>
      <c r="J214" s="265">
        <f t="shared" si="26"/>
        <v>4977.4240000000036</v>
      </c>
      <c r="K214" s="269">
        <f t="shared" si="24"/>
        <v>219.23022836363626</v>
      </c>
      <c r="L214" s="447"/>
      <c r="M214" s="447"/>
      <c r="N214" s="13"/>
    </row>
    <row r="215" spans="2:14">
      <c r="B215" s="185">
        <f t="shared" si="22"/>
        <v>193</v>
      </c>
      <c r="C215" s="185"/>
      <c r="D215" s="186">
        <v>7</v>
      </c>
      <c r="E215" s="179">
        <f t="shared" si="23"/>
        <v>193</v>
      </c>
      <c r="F215" s="186">
        <v>33.74</v>
      </c>
      <c r="G215" s="186">
        <f t="shared" si="27"/>
        <v>33.341999999999999</v>
      </c>
      <c r="H215" s="187" t="str">
        <f t="shared" si="21"/>
        <v>IN</v>
      </c>
      <c r="I215" s="265">
        <f t="shared" si="25"/>
        <v>6390.7979999999952</v>
      </c>
      <c r="J215" s="265">
        <f t="shared" si="26"/>
        <v>4944.082000000004</v>
      </c>
      <c r="K215" s="269">
        <f t="shared" si="24"/>
        <v>219.93420559511068</v>
      </c>
      <c r="L215" s="447"/>
      <c r="M215" s="447"/>
      <c r="N215" s="13"/>
    </row>
    <row r="216" spans="2:14">
      <c r="B216" s="185">
        <f t="shared" si="22"/>
        <v>194</v>
      </c>
      <c r="C216" s="185"/>
      <c r="D216" s="186">
        <v>7</v>
      </c>
      <c r="E216" s="179">
        <f t="shared" si="23"/>
        <v>194</v>
      </c>
      <c r="F216" s="186">
        <v>33.799999999999997</v>
      </c>
      <c r="G216" s="186">
        <f t="shared" si="27"/>
        <v>33.401999999999994</v>
      </c>
      <c r="H216" s="187" t="str">
        <f t="shared" si="21"/>
        <v>IN</v>
      </c>
      <c r="I216" s="265">
        <f t="shared" si="25"/>
        <v>6424.1999999999953</v>
      </c>
      <c r="J216" s="265">
        <f t="shared" si="26"/>
        <v>4910.6800000000039</v>
      </c>
      <c r="K216" s="269">
        <f t="shared" si="24"/>
        <v>220.63944965622602</v>
      </c>
      <c r="L216" s="447"/>
      <c r="M216" s="447"/>
      <c r="N216" s="13"/>
    </row>
    <row r="217" spans="2:14">
      <c r="B217" s="185">
        <f t="shared" si="22"/>
        <v>195</v>
      </c>
      <c r="C217" s="185"/>
      <c r="D217" s="186">
        <v>7</v>
      </c>
      <c r="E217" s="179">
        <f t="shared" si="23"/>
        <v>195</v>
      </c>
      <c r="F217" s="186">
        <v>33.200000000000003</v>
      </c>
      <c r="G217" s="186">
        <f t="shared" si="27"/>
        <v>32.802</v>
      </c>
      <c r="H217" s="187" t="str">
        <f t="shared" ref="H217:H280" si="28">IF(F217="","OUT","IN")</f>
        <v>IN</v>
      </c>
      <c r="I217" s="265">
        <f t="shared" si="25"/>
        <v>6457.001999999995</v>
      </c>
      <c r="J217" s="265">
        <f t="shared" si="26"/>
        <v>4877.8780000000042</v>
      </c>
      <c r="K217" s="269">
        <f t="shared" si="24"/>
        <v>221.33202542093193</v>
      </c>
      <c r="L217" s="447"/>
      <c r="M217" s="447"/>
      <c r="N217" s="13"/>
    </row>
    <row r="218" spans="2:14">
      <c r="B218" s="185">
        <f t="shared" ref="B218:B281" si="29">B217+1</f>
        <v>196</v>
      </c>
      <c r="C218" s="185"/>
      <c r="D218" s="186">
        <v>7</v>
      </c>
      <c r="E218" s="179">
        <f t="shared" si="23"/>
        <v>196</v>
      </c>
      <c r="F218" s="186">
        <v>33.78</v>
      </c>
      <c r="G218" s="186">
        <f t="shared" si="27"/>
        <v>33.381999999999998</v>
      </c>
      <c r="H218" s="187" t="str">
        <f t="shared" si="28"/>
        <v>IN</v>
      </c>
      <c r="I218" s="265">
        <f t="shared" si="25"/>
        <v>6490.3839999999946</v>
      </c>
      <c r="J218" s="265">
        <f t="shared" si="26"/>
        <v>4844.4960000000046</v>
      </c>
      <c r="K218" s="269">
        <f t="shared" si="24"/>
        <v>222.03684720550027</v>
      </c>
      <c r="L218" s="447"/>
      <c r="M218" s="447"/>
      <c r="N218" s="13"/>
    </row>
    <row r="219" spans="2:14">
      <c r="B219" s="185">
        <f t="shared" si="29"/>
        <v>197</v>
      </c>
      <c r="C219" s="185"/>
      <c r="D219" s="186">
        <v>7</v>
      </c>
      <c r="E219" s="179">
        <f t="shared" ref="E219:E282" si="30">E218+1</f>
        <v>197</v>
      </c>
      <c r="F219" s="186">
        <v>33.409999999999997</v>
      </c>
      <c r="G219" s="186">
        <f t="shared" si="27"/>
        <v>33.011999999999993</v>
      </c>
      <c r="H219" s="187" t="str">
        <f t="shared" si="28"/>
        <v>IN</v>
      </c>
      <c r="I219" s="265">
        <f t="shared" si="25"/>
        <v>6523.3959999999943</v>
      </c>
      <c r="J219" s="265">
        <f t="shared" si="26"/>
        <v>4811.4840000000049</v>
      </c>
      <c r="K219" s="269">
        <f t="shared" si="24"/>
        <v>222.73385687394946</v>
      </c>
      <c r="L219" s="447"/>
      <c r="M219" s="447"/>
      <c r="N219" s="13"/>
    </row>
    <row r="220" spans="2:14">
      <c r="B220" s="185">
        <f t="shared" si="29"/>
        <v>198</v>
      </c>
      <c r="C220" s="185"/>
      <c r="D220" s="186">
        <v>7</v>
      </c>
      <c r="E220" s="179">
        <f t="shared" si="30"/>
        <v>198</v>
      </c>
      <c r="F220" s="186">
        <v>33.65</v>
      </c>
      <c r="G220" s="186">
        <f t="shared" si="27"/>
        <v>33.251999999999995</v>
      </c>
      <c r="H220" s="187" t="str">
        <f t="shared" si="28"/>
        <v>IN</v>
      </c>
      <c r="I220" s="265">
        <f t="shared" si="25"/>
        <v>6556.6479999999947</v>
      </c>
      <c r="J220" s="265">
        <f t="shared" si="26"/>
        <v>4778.2320000000045</v>
      </c>
      <c r="K220" s="269">
        <f t="shared" si="24"/>
        <v>223.43593386096245</v>
      </c>
      <c r="L220" s="447"/>
      <c r="M220" s="447"/>
      <c r="N220" s="13"/>
    </row>
    <row r="221" spans="2:14">
      <c r="B221" s="185">
        <f t="shared" si="29"/>
        <v>199</v>
      </c>
      <c r="C221" s="188"/>
      <c r="D221" s="186">
        <v>7</v>
      </c>
      <c r="E221" s="179">
        <f t="shared" si="30"/>
        <v>199</v>
      </c>
      <c r="F221" s="186">
        <v>33.42</v>
      </c>
      <c r="G221" s="186">
        <f t="shared" si="27"/>
        <v>33.021999999999998</v>
      </c>
      <c r="H221" s="187" t="str">
        <f t="shared" si="28"/>
        <v>IN</v>
      </c>
      <c r="I221" s="265">
        <f t="shared" si="25"/>
        <v>6589.6699999999946</v>
      </c>
      <c r="J221" s="265">
        <f t="shared" si="26"/>
        <v>4745.2100000000046</v>
      </c>
      <c r="K221" s="269">
        <f t="shared" si="24"/>
        <v>224.13315466768515</v>
      </c>
      <c r="L221" s="447"/>
      <c r="M221" s="447"/>
      <c r="N221" s="13"/>
    </row>
    <row r="222" spans="2:14">
      <c r="B222" s="185">
        <f t="shared" si="29"/>
        <v>200</v>
      </c>
      <c r="C222" s="185"/>
      <c r="D222" s="186">
        <v>7</v>
      </c>
      <c r="E222" s="179">
        <f t="shared" si="30"/>
        <v>200</v>
      </c>
      <c r="F222" s="186">
        <v>33.32</v>
      </c>
      <c r="G222" s="186">
        <f t="shared" si="27"/>
        <v>32.921999999999997</v>
      </c>
      <c r="H222" s="187" t="str">
        <f t="shared" si="28"/>
        <v>IN</v>
      </c>
      <c r="I222" s="265">
        <f t="shared" si="25"/>
        <v>6622.5919999999942</v>
      </c>
      <c r="J222" s="265">
        <f t="shared" si="26"/>
        <v>4712.288000000005</v>
      </c>
      <c r="K222" s="269">
        <f t="shared" si="24"/>
        <v>224.82826409167293</v>
      </c>
      <c r="L222" s="447"/>
      <c r="M222" s="447"/>
      <c r="N222" s="13"/>
    </row>
    <row r="223" spans="2:14">
      <c r="B223" s="185">
        <f t="shared" si="29"/>
        <v>201</v>
      </c>
      <c r="C223" s="185"/>
      <c r="D223" s="186">
        <v>7</v>
      </c>
      <c r="E223" s="179">
        <f t="shared" si="30"/>
        <v>201</v>
      </c>
      <c r="F223" s="186">
        <v>33.369999999999997</v>
      </c>
      <c r="G223" s="186">
        <f t="shared" si="27"/>
        <v>32.971999999999994</v>
      </c>
      <c r="H223" s="187" t="str">
        <f t="shared" si="28"/>
        <v>IN</v>
      </c>
      <c r="I223" s="265">
        <f t="shared" si="25"/>
        <v>6655.5639999999939</v>
      </c>
      <c r="J223" s="265">
        <f t="shared" si="26"/>
        <v>4679.3160000000053</v>
      </c>
      <c r="K223" s="269">
        <f t="shared" si="24"/>
        <v>225.52442920702816</v>
      </c>
      <c r="L223" s="447"/>
      <c r="M223" s="447"/>
      <c r="N223" s="13"/>
    </row>
    <row r="224" spans="2:14">
      <c r="B224" s="185">
        <f t="shared" si="29"/>
        <v>202</v>
      </c>
      <c r="C224" s="185"/>
      <c r="D224" s="186">
        <v>7</v>
      </c>
      <c r="E224" s="179">
        <f t="shared" si="30"/>
        <v>202</v>
      </c>
      <c r="F224" s="186">
        <v>33.17</v>
      </c>
      <c r="G224" s="186">
        <f t="shared" si="27"/>
        <v>32.771999999999998</v>
      </c>
      <c r="H224" s="187" t="str">
        <f t="shared" si="28"/>
        <v>IN</v>
      </c>
      <c r="I224" s="265">
        <f t="shared" si="25"/>
        <v>6688.3359999999939</v>
      </c>
      <c r="J224" s="265">
        <f t="shared" si="26"/>
        <v>4646.5440000000053</v>
      </c>
      <c r="K224" s="269">
        <f t="shared" si="24"/>
        <v>226.21637155691354</v>
      </c>
      <c r="L224" s="447"/>
      <c r="M224" s="447"/>
      <c r="N224" s="13"/>
    </row>
    <row r="225" spans="2:14">
      <c r="B225" s="185">
        <f t="shared" si="29"/>
        <v>203</v>
      </c>
      <c r="C225" s="185"/>
      <c r="D225" s="186">
        <v>7</v>
      </c>
      <c r="E225" s="179">
        <f t="shared" si="30"/>
        <v>203</v>
      </c>
      <c r="F225" s="186">
        <v>33.04</v>
      </c>
      <c r="G225" s="186">
        <f t="shared" si="27"/>
        <v>32.641999999999996</v>
      </c>
      <c r="H225" s="187" t="str">
        <f t="shared" si="28"/>
        <v>IN</v>
      </c>
      <c r="I225" s="265">
        <f t="shared" si="25"/>
        <v>6720.9779999999937</v>
      </c>
      <c r="J225" s="265">
        <f t="shared" si="26"/>
        <v>4613.9020000000055</v>
      </c>
      <c r="K225" s="269">
        <f t="shared" si="24"/>
        <v>226.90556910924357</v>
      </c>
      <c r="L225" s="447"/>
      <c r="M225" s="447"/>
      <c r="N225" s="13"/>
    </row>
    <row r="226" spans="2:14">
      <c r="B226" s="185">
        <f t="shared" si="29"/>
        <v>204</v>
      </c>
      <c r="C226" s="185"/>
      <c r="D226" s="186">
        <v>7</v>
      </c>
      <c r="E226" s="179">
        <f t="shared" si="30"/>
        <v>204</v>
      </c>
      <c r="F226" s="186">
        <v>33.21</v>
      </c>
      <c r="G226" s="186">
        <f t="shared" si="27"/>
        <v>32.811999999999998</v>
      </c>
      <c r="H226" s="187" t="str">
        <f t="shared" si="28"/>
        <v>IN</v>
      </c>
      <c r="I226" s="265">
        <f t="shared" si="25"/>
        <v>6753.7899999999936</v>
      </c>
      <c r="J226" s="265">
        <f t="shared" si="26"/>
        <v>4581.0900000000056</v>
      </c>
      <c r="K226" s="269">
        <f t="shared" si="24"/>
        <v>227.59835601222295</v>
      </c>
      <c r="L226" s="447"/>
      <c r="M226" s="447"/>
      <c r="N226" s="13"/>
    </row>
    <row r="227" spans="2:14">
      <c r="B227" s="185">
        <f t="shared" si="29"/>
        <v>205</v>
      </c>
      <c r="C227" s="185"/>
      <c r="D227" s="186">
        <v>7</v>
      </c>
      <c r="E227" s="179">
        <f t="shared" si="30"/>
        <v>205</v>
      </c>
      <c r="F227" s="186">
        <v>33.299999999999997</v>
      </c>
      <c r="G227" s="186">
        <f t="shared" si="27"/>
        <v>32.901999999999994</v>
      </c>
      <c r="H227" s="187" t="str">
        <f t="shared" si="28"/>
        <v>IN</v>
      </c>
      <c r="I227" s="265">
        <f t="shared" si="25"/>
        <v>6786.6919999999936</v>
      </c>
      <c r="J227" s="265">
        <f t="shared" si="26"/>
        <v>4548.1880000000056</v>
      </c>
      <c r="K227" s="269">
        <f t="shared" si="24"/>
        <v>228.29304315966374</v>
      </c>
      <c r="L227" s="447"/>
      <c r="M227" s="447"/>
      <c r="N227" s="13"/>
    </row>
    <row r="228" spans="2:14">
      <c r="B228" s="185">
        <f t="shared" si="29"/>
        <v>206</v>
      </c>
      <c r="C228" s="185"/>
      <c r="D228" s="186">
        <v>7</v>
      </c>
      <c r="E228" s="179">
        <f t="shared" si="30"/>
        <v>206</v>
      </c>
      <c r="F228" s="186">
        <v>32.94</v>
      </c>
      <c r="G228" s="186">
        <f t="shared" si="27"/>
        <v>32.541999999999994</v>
      </c>
      <c r="H228" s="187" t="str">
        <f t="shared" si="28"/>
        <v>IN</v>
      </c>
      <c r="I228" s="265">
        <f t="shared" si="25"/>
        <v>6819.233999999994</v>
      </c>
      <c r="J228" s="265">
        <f t="shared" si="26"/>
        <v>4515.6460000000052</v>
      </c>
      <c r="K228" s="269">
        <f t="shared" si="24"/>
        <v>228.98012932925886</v>
      </c>
      <c r="L228" s="447"/>
      <c r="M228" s="447"/>
      <c r="N228" s="13"/>
    </row>
    <row r="229" spans="2:14">
      <c r="B229" s="185">
        <f t="shared" si="29"/>
        <v>207</v>
      </c>
      <c r="C229" s="185"/>
      <c r="D229" s="186">
        <v>7</v>
      </c>
      <c r="E229" s="179">
        <f t="shared" si="30"/>
        <v>207</v>
      </c>
      <c r="F229" s="186">
        <v>33.299999999999997</v>
      </c>
      <c r="G229" s="186">
        <f t="shared" si="27"/>
        <v>32.901999999999994</v>
      </c>
      <c r="H229" s="187" t="str">
        <f t="shared" si="28"/>
        <v>IN</v>
      </c>
      <c r="I229" s="265">
        <f t="shared" si="25"/>
        <v>6852.1359999999941</v>
      </c>
      <c r="J229" s="265">
        <f t="shared" si="26"/>
        <v>4482.7440000000051</v>
      </c>
      <c r="K229" s="269">
        <f t="shared" si="24"/>
        <v>229.67481647669968</v>
      </c>
      <c r="L229" s="447"/>
      <c r="M229" s="447"/>
      <c r="N229" s="13"/>
    </row>
    <row r="230" spans="2:14">
      <c r="B230" s="185">
        <f t="shared" si="29"/>
        <v>208</v>
      </c>
      <c r="C230" s="185"/>
      <c r="D230" s="186">
        <v>7</v>
      </c>
      <c r="E230" s="179">
        <f t="shared" si="30"/>
        <v>208</v>
      </c>
      <c r="F230" s="186">
        <v>32.97</v>
      </c>
      <c r="G230" s="186">
        <f t="shared" si="27"/>
        <v>32.571999999999996</v>
      </c>
      <c r="H230" s="187" t="str">
        <f t="shared" si="28"/>
        <v>IN</v>
      </c>
      <c r="I230" s="265">
        <f t="shared" si="25"/>
        <v>6884.7079999999942</v>
      </c>
      <c r="J230" s="265">
        <f t="shared" si="26"/>
        <v>4450.172000000005</v>
      </c>
      <c r="K230" s="269">
        <f t="shared" si="24"/>
        <v>230.36253606111524</v>
      </c>
      <c r="L230" s="447"/>
      <c r="M230" s="447"/>
      <c r="N230" s="13"/>
    </row>
    <row r="231" spans="2:14">
      <c r="B231" s="185">
        <f t="shared" si="29"/>
        <v>209</v>
      </c>
      <c r="C231" s="185"/>
      <c r="D231" s="186">
        <v>7</v>
      </c>
      <c r="E231" s="179">
        <f t="shared" si="30"/>
        <v>209</v>
      </c>
      <c r="F231" s="186">
        <v>31.97</v>
      </c>
      <c r="G231" s="186">
        <f t="shared" si="27"/>
        <v>31.571999999999999</v>
      </c>
      <c r="H231" s="187" t="str">
        <f t="shared" si="28"/>
        <v>IN</v>
      </c>
      <c r="I231" s="265">
        <f t="shared" si="25"/>
        <v>6916.2799999999943</v>
      </c>
      <c r="J231" s="265">
        <f t="shared" si="26"/>
        <v>4418.6000000000049</v>
      </c>
      <c r="K231" s="269">
        <f t="shared" si="24"/>
        <v>231.0291418181817</v>
      </c>
      <c r="L231" s="447"/>
      <c r="M231" s="447"/>
      <c r="N231" s="13"/>
    </row>
    <row r="232" spans="2:14">
      <c r="B232" s="185">
        <f t="shared" si="29"/>
        <v>210</v>
      </c>
      <c r="C232" s="185"/>
      <c r="D232" s="186">
        <v>7</v>
      </c>
      <c r="E232" s="179">
        <f t="shared" si="30"/>
        <v>210</v>
      </c>
      <c r="F232" s="186">
        <v>33.26</v>
      </c>
      <c r="G232" s="186">
        <f t="shared" si="27"/>
        <v>32.861999999999995</v>
      </c>
      <c r="H232" s="187" t="str">
        <f t="shared" si="28"/>
        <v>IN</v>
      </c>
      <c r="I232" s="265">
        <f t="shared" si="25"/>
        <v>6949.1419999999944</v>
      </c>
      <c r="J232" s="265">
        <f t="shared" si="26"/>
        <v>4385.7380000000048</v>
      </c>
      <c r="K232" s="269">
        <f t="shared" si="24"/>
        <v>231.72298441252855</v>
      </c>
      <c r="L232" s="447"/>
      <c r="M232" s="447"/>
      <c r="N232" s="13"/>
    </row>
    <row r="233" spans="2:14">
      <c r="B233" s="185">
        <f t="shared" si="29"/>
        <v>211</v>
      </c>
      <c r="C233" s="185"/>
      <c r="D233" s="186">
        <v>7</v>
      </c>
      <c r="E233" s="179">
        <f t="shared" si="30"/>
        <v>211</v>
      </c>
      <c r="F233" s="186">
        <v>33.96</v>
      </c>
      <c r="G233" s="186">
        <f t="shared" si="27"/>
        <v>33.561999999999998</v>
      </c>
      <c r="H233" s="187" t="str">
        <f t="shared" si="28"/>
        <v>IN</v>
      </c>
      <c r="I233" s="265">
        <f t="shared" si="25"/>
        <v>6982.7039999999943</v>
      </c>
      <c r="J233" s="265">
        <f t="shared" si="26"/>
        <v>4352.1760000000049</v>
      </c>
      <c r="K233" s="269">
        <f t="shared" si="24"/>
        <v>232.43160668601973</v>
      </c>
      <c r="L233" s="447"/>
      <c r="M233" s="447"/>
      <c r="N233" s="13"/>
    </row>
    <row r="234" spans="2:14">
      <c r="B234" s="185">
        <f t="shared" si="29"/>
        <v>212</v>
      </c>
      <c r="C234" s="185"/>
      <c r="D234" s="186">
        <v>7</v>
      </c>
      <c r="E234" s="179">
        <f t="shared" si="30"/>
        <v>212</v>
      </c>
      <c r="F234" s="186">
        <v>33.6</v>
      </c>
      <c r="G234" s="186">
        <f t="shared" si="27"/>
        <v>33.201999999999998</v>
      </c>
      <c r="H234" s="187" t="str">
        <f t="shared" si="28"/>
        <v>IN</v>
      </c>
      <c r="I234" s="265">
        <f t="shared" si="25"/>
        <v>7015.9059999999945</v>
      </c>
      <c r="J234" s="265">
        <f t="shared" si="26"/>
        <v>4318.9740000000047</v>
      </c>
      <c r="K234" s="269">
        <f t="shared" si="24"/>
        <v>233.13262798166528</v>
      </c>
      <c r="L234" s="447"/>
      <c r="M234" s="447"/>
      <c r="N234" s="13"/>
    </row>
    <row r="235" spans="2:14">
      <c r="B235" s="185">
        <f t="shared" si="29"/>
        <v>213</v>
      </c>
      <c r="C235" s="185"/>
      <c r="D235" s="186">
        <v>7</v>
      </c>
      <c r="E235" s="179">
        <f t="shared" si="30"/>
        <v>213</v>
      </c>
      <c r="F235" s="186">
        <v>33.99</v>
      </c>
      <c r="G235" s="186">
        <f t="shared" si="27"/>
        <v>33.591999999999999</v>
      </c>
      <c r="H235" s="187" t="str">
        <f t="shared" si="28"/>
        <v>IN</v>
      </c>
      <c r="I235" s="265">
        <f t="shared" si="25"/>
        <v>7049.4979999999941</v>
      </c>
      <c r="J235" s="265">
        <f t="shared" si="26"/>
        <v>4285.3820000000051</v>
      </c>
      <c r="K235" s="269">
        <f t="shared" si="24"/>
        <v>233.84188366997697</v>
      </c>
      <c r="L235" s="447"/>
      <c r="M235" s="447"/>
      <c r="N235" s="13"/>
    </row>
    <row r="236" spans="2:14">
      <c r="B236" s="185">
        <f t="shared" si="29"/>
        <v>214</v>
      </c>
      <c r="C236" s="185"/>
      <c r="D236" s="186">
        <v>7</v>
      </c>
      <c r="E236" s="179">
        <f t="shared" si="30"/>
        <v>214</v>
      </c>
      <c r="F236" s="186">
        <v>33.96</v>
      </c>
      <c r="G236" s="186">
        <f t="shared" si="27"/>
        <v>33.561999999999998</v>
      </c>
      <c r="H236" s="187" t="str">
        <f t="shared" si="28"/>
        <v>IN</v>
      </c>
      <c r="I236" s="265">
        <f t="shared" si="25"/>
        <v>7083.059999999994</v>
      </c>
      <c r="J236" s="265">
        <f t="shared" si="26"/>
        <v>4251.8200000000052</v>
      </c>
      <c r="K236" s="269">
        <f t="shared" si="24"/>
        <v>234.55050594346818</v>
      </c>
      <c r="L236" s="447"/>
      <c r="M236" s="447"/>
      <c r="N236" s="13"/>
    </row>
    <row r="237" spans="2:14">
      <c r="B237" s="185">
        <f t="shared" si="29"/>
        <v>215</v>
      </c>
      <c r="C237" s="185"/>
      <c r="D237" s="186">
        <v>7</v>
      </c>
      <c r="E237" s="179">
        <f t="shared" si="30"/>
        <v>215</v>
      </c>
      <c r="F237" s="186">
        <v>33.340000000000003</v>
      </c>
      <c r="G237" s="186">
        <f t="shared" si="27"/>
        <v>32.942</v>
      </c>
      <c r="H237" s="187" t="str">
        <f t="shared" si="28"/>
        <v>IN</v>
      </c>
      <c r="I237" s="265">
        <f t="shared" si="25"/>
        <v>7116.001999999994</v>
      </c>
      <c r="J237" s="265">
        <f t="shared" si="26"/>
        <v>4218.8780000000052</v>
      </c>
      <c r="K237" s="269">
        <f t="shared" si="24"/>
        <v>235.24603764400294</v>
      </c>
      <c r="L237" s="447"/>
      <c r="M237" s="447"/>
      <c r="N237" s="13"/>
    </row>
    <row r="238" spans="2:14">
      <c r="B238" s="185">
        <f t="shared" si="29"/>
        <v>216</v>
      </c>
      <c r="C238" s="185"/>
      <c r="D238" s="186">
        <v>7</v>
      </c>
      <c r="E238" s="179">
        <f t="shared" si="30"/>
        <v>216</v>
      </c>
      <c r="F238" s="186">
        <v>33.51</v>
      </c>
      <c r="G238" s="186">
        <f t="shared" si="27"/>
        <v>33.111999999999995</v>
      </c>
      <c r="H238" s="187" t="str">
        <f t="shared" si="28"/>
        <v>IN</v>
      </c>
      <c r="I238" s="265">
        <f t="shared" si="25"/>
        <v>7149.1139999999941</v>
      </c>
      <c r="J238" s="265">
        <f t="shared" si="26"/>
        <v>4185.7660000000051</v>
      </c>
      <c r="K238" s="269">
        <f t="shared" si="24"/>
        <v>235.94515869518708</v>
      </c>
      <c r="L238" s="447"/>
      <c r="M238" s="447"/>
      <c r="N238" s="13"/>
    </row>
    <row r="239" spans="2:14">
      <c r="B239" s="185">
        <f t="shared" si="29"/>
        <v>217</v>
      </c>
      <c r="C239" s="185"/>
      <c r="D239" s="186">
        <v>7</v>
      </c>
      <c r="E239" s="179">
        <f t="shared" si="30"/>
        <v>217</v>
      </c>
      <c r="F239" s="186">
        <v>33.92</v>
      </c>
      <c r="G239" s="186">
        <f t="shared" si="27"/>
        <v>33.521999999999998</v>
      </c>
      <c r="H239" s="187" t="str">
        <f t="shared" si="28"/>
        <v>IN</v>
      </c>
      <c r="I239" s="265">
        <f t="shared" si="25"/>
        <v>7182.6359999999941</v>
      </c>
      <c r="J239" s="265">
        <f t="shared" si="26"/>
        <v>4152.2440000000051</v>
      </c>
      <c r="K239" s="269">
        <f t="shared" si="24"/>
        <v>236.65293641558429</v>
      </c>
      <c r="L239" s="447"/>
      <c r="M239" s="447"/>
      <c r="N239" s="13"/>
    </row>
    <row r="240" spans="2:14">
      <c r="B240" s="185">
        <f t="shared" si="29"/>
        <v>218</v>
      </c>
      <c r="C240" s="185"/>
      <c r="D240" s="186">
        <v>7</v>
      </c>
      <c r="E240" s="179">
        <f t="shared" si="30"/>
        <v>218</v>
      </c>
      <c r="F240" s="186">
        <v>33.61</v>
      </c>
      <c r="G240" s="186">
        <f t="shared" si="27"/>
        <v>33.211999999999996</v>
      </c>
      <c r="H240" s="187" t="str">
        <f t="shared" si="28"/>
        <v>IN</v>
      </c>
      <c r="I240" s="265">
        <f t="shared" si="25"/>
        <v>7215.8479999999945</v>
      </c>
      <c r="J240" s="265">
        <f t="shared" si="26"/>
        <v>4119.0320000000047</v>
      </c>
      <c r="K240" s="269">
        <f t="shared" si="24"/>
        <v>237.35416884950334</v>
      </c>
      <c r="L240" s="447"/>
      <c r="M240" s="447"/>
      <c r="N240" s="13"/>
    </row>
    <row r="241" spans="2:14">
      <c r="B241" s="185">
        <f t="shared" si="29"/>
        <v>219</v>
      </c>
      <c r="C241" s="185"/>
      <c r="D241" s="186">
        <v>7</v>
      </c>
      <c r="E241" s="179">
        <f t="shared" si="30"/>
        <v>219</v>
      </c>
      <c r="F241" s="186">
        <v>33.950000000000003</v>
      </c>
      <c r="G241" s="186">
        <f t="shared" si="27"/>
        <v>33.552</v>
      </c>
      <c r="H241" s="187" t="str">
        <f t="shared" si="28"/>
        <v>IN</v>
      </c>
      <c r="I241" s="265">
        <f t="shared" si="25"/>
        <v>7249.3999999999942</v>
      </c>
      <c r="J241" s="265">
        <f t="shared" si="26"/>
        <v>4085.480000000005</v>
      </c>
      <c r="K241" s="269">
        <f t="shared" si="24"/>
        <v>238.06257998472105</v>
      </c>
      <c r="L241" s="447"/>
      <c r="M241" s="447"/>
      <c r="N241" s="13"/>
    </row>
    <row r="242" spans="2:14">
      <c r="B242" s="185">
        <f t="shared" si="29"/>
        <v>220</v>
      </c>
      <c r="C242" s="185"/>
      <c r="D242" s="186">
        <v>7</v>
      </c>
      <c r="E242" s="179">
        <f t="shared" si="30"/>
        <v>220</v>
      </c>
      <c r="F242" s="186">
        <v>33.950000000000003</v>
      </c>
      <c r="G242" s="186">
        <f t="shared" si="27"/>
        <v>33.552</v>
      </c>
      <c r="H242" s="187" t="str">
        <f t="shared" si="28"/>
        <v>IN</v>
      </c>
      <c r="I242" s="265">
        <f t="shared" si="25"/>
        <v>7282.9519999999939</v>
      </c>
      <c r="J242" s="265">
        <f t="shared" si="26"/>
        <v>4051.9280000000053</v>
      </c>
      <c r="K242" s="269">
        <f t="shared" si="24"/>
        <v>238.77099111993877</v>
      </c>
      <c r="L242" s="447"/>
      <c r="M242" s="447"/>
      <c r="N242" s="13"/>
    </row>
    <row r="243" spans="2:14">
      <c r="B243" s="185">
        <f t="shared" si="29"/>
        <v>221</v>
      </c>
      <c r="C243" s="185"/>
      <c r="D243" s="186">
        <v>7</v>
      </c>
      <c r="E243" s="179">
        <f t="shared" si="30"/>
        <v>221</v>
      </c>
      <c r="F243" s="186">
        <v>33.96</v>
      </c>
      <c r="G243" s="186">
        <f t="shared" si="27"/>
        <v>33.561999999999998</v>
      </c>
      <c r="H243" s="187" t="str">
        <f t="shared" si="28"/>
        <v>IN</v>
      </c>
      <c r="I243" s="265">
        <f t="shared" si="25"/>
        <v>7316.5139999999938</v>
      </c>
      <c r="J243" s="265">
        <f t="shared" si="26"/>
        <v>4018.3660000000054</v>
      </c>
      <c r="K243" s="269">
        <f t="shared" si="24"/>
        <v>239.47961339342996</v>
      </c>
      <c r="L243" s="447"/>
      <c r="M243" s="447"/>
      <c r="N243" s="13"/>
    </row>
    <row r="244" spans="2:14">
      <c r="B244" s="185">
        <f t="shared" si="29"/>
        <v>222</v>
      </c>
      <c r="C244" s="185"/>
      <c r="D244" s="186">
        <v>7</v>
      </c>
      <c r="E244" s="179">
        <f t="shared" si="30"/>
        <v>222</v>
      </c>
      <c r="F244" s="186">
        <v>33.83</v>
      </c>
      <c r="G244" s="186">
        <f t="shared" si="27"/>
        <v>33.431999999999995</v>
      </c>
      <c r="H244" s="187" t="str">
        <f t="shared" si="28"/>
        <v>IN</v>
      </c>
      <c r="I244" s="265">
        <f t="shared" si="25"/>
        <v>7349.9459999999935</v>
      </c>
      <c r="J244" s="265">
        <f t="shared" si="26"/>
        <v>3984.9340000000057</v>
      </c>
      <c r="K244" s="269">
        <f t="shared" si="24"/>
        <v>240.18549086936579</v>
      </c>
      <c r="L244" s="447"/>
      <c r="M244" s="447"/>
      <c r="N244" s="13"/>
    </row>
    <row r="245" spans="2:14">
      <c r="B245" s="185">
        <f t="shared" si="29"/>
        <v>223</v>
      </c>
      <c r="C245" s="185"/>
      <c r="D245" s="186">
        <v>7</v>
      </c>
      <c r="E245" s="179">
        <f t="shared" si="30"/>
        <v>223</v>
      </c>
      <c r="F245" s="186">
        <v>33.96</v>
      </c>
      <c r="G245" s="186">
        <f t="shared" si="27"/>
        <v>33.561999999999998</v>
      </c>
      <c r="H245" s="187" t="str">
        <f t="shared" si="28"/>
        <v>IN</v>
      </c>
      <c r="I245" s="265">
        <f t="shared" si="25"/>
        <v>7383.5079999999934</v>
      </c>
      <c r="J245" s="265">
        <f t="shared" si="26"/>
        <v>3951.3720000000058</v>
      </c>
      <c r="K245" s="269">
        <f t="shared" si="24"/>
        <v>240.89411314285701</v>
      </c>
      <c r="L245" s="447"/>
      <c r="M245" s="447"/>
      <c r="N245" s="13"/>
    </row>
    <row r="246" spans="2:14">
      <c r="B246" s="185">
        <f t="shared" si="29"/>
        <v>224</v>
      </c>
      <c r="C246" s="185"/>
      <c r="D246" s="186">
        <v>7</v>
      </c>
      <c r="E246" s="179">
        <f t="shared" si="30"/>
        <v>224</v>
      </c>
      <c r="F246" s="186">
        <v>33.72</v>
      </c>
      <c r="G246" s="186">
        <f t="shared" si="27"/>
        <v>33.321999999999996</v>
      </c>
      <c r="H246" s="187" t="str">
        <f t="shared" si="28"/>
        <v>IN</v>
      </c>
      <c r="I246" s="265">
        <f t="shared" si="25"/>
        <v>7416.8299999999936</v>
      </c>
      <c r="J246" s="265">
        <f t="shared" si="26"/>
        <v>3918.0500000000056</v>
      </c>
      <c r="K246" s="269">
        <f t="shared" si="24"/>
        <v>241.59766809778446</v>
      </c>
      <c r="L246" s="447"/>
      <c r="M246" s="447"/>
      <c r="N246" s="13"/>
    </row>
    <row r="247" spans="2:14">
      <c r="B247" s="185">
        <f t="shared" si="29"/>
        <v>225</v>
      </c>
      <c r="C247" s="185"/>
      <c r="D247" s="186">
        <v>7</v>
      </c>
      <c r="E247" s="179">
        <f t="shared" si="30"/>
        <v>225</v>
      </c>
      <c r="F247" s="186">
        <v>33.96</v>
      </c>
      <c r="G247" s="186">
        <f t="shared" si="27"/>
        <v>33.561999999999998</v>
      </c>
      <c r="H247" s="187" t="str">
        <f t="shared" si="28"/>
        <v>IN</v>
      </c>
      <c r="I247" s="265">
        <f t="shared" si="25"/>
        <v>7450.3919999999935</v>
      </c>
      <c r="J247" s="265">
        <f t="shared" si="26"/>
        <v>3884.4880000000057</v>
      </c>
      <c r="K247" s="269">
        <f t="shared" si="24"/>
        <v>242.30629037127565</v>
      </c>
      <c r="L247" s="447"/>
      <c r="M247" s="447"/>
      <c r="N247" s="13"/>
    </row>
    <row r="248" spans="2:14">
      <c r="B248" s="185">
        <f t="shared" si="29"/>
        <v>226</v>
      </c>
      <c r="C248" s="185"/>
      <c r="D248" s="186">
        <v>7</v>
      </c>
      <c r="E248" s="179">
        <f t="shared" si="30"/>
        <v>226</v>
      </c>
      <c r="F248" s="186">
        <v>33.590000000000003</v>
      </c>
      <c r="G248" s="186">
        <f t="shared" si="27"/>
        <v>33.192</v>
      </c>
      <c r="H248" s="187" t="str">
        <f t="shared" si="28"/>
        <v>IN</v>
      </c>
      <c r="I248" s="265">
        <f t="shared" si="25"/>
        <v>7483.5839999999935</v>
      </c>
      <c r="J248" s="265">
        <f t="shared" si="26"/>
        <v>3851.2960000000057</v>
      </c>
      <c r="K248" s="269">
        <f t="shared" si="24"/>
        <v>243.0071005286477</v>
      </c>
      <c r="L248" s="447"/>
      <c r="M248" s="447"/>
      <c r="N248" s="13"/>
    </row>
    <row r="249" spans="2:14">
      <c r="B249" s="185">
        <f t="shared" si="29"/>
        <v>227</v>
      </c>
      <c r="C249" s="185"/>
      <c r="D249" s="186">
        <v>7</v>
      </c>
      <c r="E249" s="179">
        <f t="shared" si="30"/>
        <v>227</v>
      </c>
      <c r="F249" s="186">
        <v>33.549999999999997</v>
      </c>
      <c r="G249" s="186">
        <f t="shared" si="27"/>
        <v>33.151999999999994</v>
      </c>
      <c r="H249" s="187" t="str">
        <f t="shared" si="28"/>
        <v>IN</v>
      </c>
      <c r="I249" s="265">
        <f t="shared" si="25"/>
        <v>7516.7359999999935</v>
      </c>
      <c r="J249" s="265">
        <f t="shared" si="26"/>
        <v>3818.1440000000057</v>
      </c>
      <c r="K249" s="269">
        <f t="shared" si="24"/>
        <v>243.70706613292577</v>
      </c>
      <c r="L249" s="447"/>
      <c r="M249" s="447"/>
      <c r="N249" s="13"/>
    </row>
    <row r="250" spans="2:14">
      <c r="B250" s="185">
        <f t="shared" si="29"/>
        <v>228</v>
      </c>
      <c r="C250" s="185"/>
      <c r="D250" s="186">
        <v>7</v>
      </c>
      <c r="E250" s="179">
        <f t="shared" si="30"/>
        <v>228</v>
      </c>
      <c r="F250" s="186">
        <v>33.81</v>
      </c>
      <c r="G250" s="186">
        <f t="shared" si="27"/>
        <v>33.411999999999999</v>
      </c>
      <c r="H250" s="187" t="str">
        <f t="shared" si="28"/>
        <v>IN</v>
      </c>
      <c r="I250" s="265">
        <f t="shared" si="25"/>
        <v>7550.1479999999938</v>
      </c>
      <c r="J250" s="265">
        <f t="shared" si="26"/>
        <v>3784.7320000000054</v>
      </c>
      <c r="K250" s="269">
        <f t="shared" si="24"/>
        <v>244.41252133231461</v>
      </c>
      <c r="L250" s="447"/>
      <c r="M250" s="447"/>
      <c r="N250" s="13"/>
    </row>
    <row r="251" spans="2:14">
      <c r="B251" s="185">
        <f t="shared" si="29"/>
        <v>229</v>
      </c>
      <c r="C251" s="185"/>
      <c r="D251" s="186">
        <v>7</v>
      </c>
      <c r="E251" s="179">
        <f t="shared" si="30"/>
        <v>229</v>
      </c>
      <c r="F251" s="186">
        <v>33.56</v>
      </c>
      <c r="G251" s="186">
        <f t="shared" si="27"/>
        <v>33.161999999999999</v>
      </c>
      <c r="H251" s="187" t="str">
        <f t="shared" si="28"/>
        <v>IN</v>
      </c>
      <c r="I251" s="265">
        <f t="shared" si="25"/>
        <v>7583.309999999994</v>
      </c>
      <c r="J251" s="265">
        <f t="shared" si="26"/>
        <v>3751.5700000000052</v>
      </c>
      <c r="K251" s="269">
        <f t="shared" si="24"/>
        <v>245.11269807486622</v>
      </c>
      <c r="L251" s="447"/>
      <c r="M251" s="447"/>
      <c r="N251" s="13"/>
    </row>
    <row r="252" spans="2:14">
      <c r="B252" s="185">
        <f t="shared" si="29"/>
        <v>230</v>
      </c>
      <c r="C252" s="185"/>
      <c r="D252" s="186">
        <v>7</v>
      </c>
      <c r="E252" s="179">
        <f t="shared" si="30"/>
        <v>230</v>
      </c>
      <c r="F252" s="186">
        <v>33.020000000000003</v>
      </c>
      <c r="G252" s="186">
        <f t="shared" si="27"/>
        <v>32.622</v>
      </c>
      <c r="H252" s="187" t="str">
        <f t="shared" si="28"/>
        <v>IN</v>
      </c>
      <c r="I252" s="265">
        <f t="shared" si="25"/>
        <v>7615.9319999999943</v>
      </c>
      <c r="J252" s="265">
        <f t="shared" si="26"/>
        <v>3718.9480000000049</v>
      </c>
      <c r="K252" s="269">
        <f t="shared" si="24"/>
        <v>245.80147335064925</v>
      </c>
      <c r="L252" s="447"/>
      <c r="M252" s="447"/>
      <c r="N252" s="13"/>
    </row>
    <row r="253" spans="2:14">
      <c r="B253" s="185">
        <f t="shared" si="29"/>
        <v>231</v>
      </c>
      <c r="C253" s="185"/>
      <c r="D253" s="186">
        <v>7</v>
      </c>
      <c r="E253" s="179">
        <f t="shared" si="30"/>
        <v>231</v>
      </c>
      <c r="F253" s="186">
        <v>33.6</v>
      </c>
      <c r="G253" s="186">
        <f t="shared" si="27"/>
        <v>33.201999999999998</v>
      </c>
      <c r="H253" s="187" t="str">
        <f t="shared" si="28"/>
        <v>IN</v>
      </c>
      <c r="I253" s="265">
        <f t="shared" si="25"/>
        <v>7649.1339999999946</v>
      </c>
      <c r="J253" s="265">
        <f t="shared" si="26"/>
        <v>3685.7460000000046</v>
      </c>
      <c r="K253" s="269">
        <f t="shared" si="24"/>
        <v>246.50249464629476</v>
      </c>
      <c r="L253" s="447"/>
      <c r="M253" s="447"/>
      <c r="N253" s="13"/>
    </row>
    <row r="254" spans="2:14">
      <c r="B254" s="185">
        <f t="shared" si="29"/>
        <v>232</v>
      </c>
      <c r="C254" s="185"/>
      <c r="D254" s="186">
        <v>7</v>
      </c>
      <c r="E254" s="179">
        <f t="shared" si="30"/>
        <v>232</v>
      </c>
      <c r="F254" s="186">
        <v>33.57</v>
      </c>
      <c r="G254" s="186">
        <f t="shared" si="27"/>
        <v>33.171999999999997</v>
      </c>
      <c r="H254" s="187" t="str">
        <f t="shared" si="28"/>
        <v>IN</v>
      </c>
      <c r="I254" s="265">
        <f t="shared" si="25"/>
        <v>7682.3059999999941</v>
      </c>
      <c r="J254" s="265">
        <f t="shared" si="26"/>
        <v>3652.5740000000051</v>
      </c>
      <c r="K254" s="269">
        <f t="shared" si="24"/>
        <v>247.20288252711984</v>
      </c>
      <c r="L254" s="447"/>
      <c r="M254" s="447"/>
      <c r="N254" s="13"/>
    </row>
    <row r="255" spans="2:14">
      <c r="B255" s="185">
        <f t="shared" si="29"/>
        <v>233</v>
      </c>
      <c r="C255" s="185"/>
      <c r="D255" s="186">
        <v>7</v>
      </c>
      <c r="E255" s="179">
        <f t="shared" si="30"/>
        <v>233</v>
      </c>
      <c r="F255" s="186">
        <v>33.24</v>
      </c>
      <c r="G255" s="186">
        <f t="shared" si="27"/>
        <v>32.841999999999999</v>
      </c>
      <c r="H255" s="187" t="str">
        <f t="shared" si="28"/>
        <v>IN</v>
      </c>
      <c r="I255" s="265">
        <f t="shared" si="25"/>
        <v>7715.1479999999938</v>
      </c>
      <c r="J255" s="265">
        <f t="shared" si="26"/>
        <v>3619.7320000000054</v>
      </c>
      <c r="K255" s="269">
        <f t="shared" si="24"/>
        <v>247.89630284491963</v>
      </c>
      <c r="L255" s="447"/>
      <c r="M255" s="447"/>
      <c r="N255" s="13"/>
    </row>
    <row r="256" spans="2:14">
      <c r="B256" s="185">
        <f t="shared" si="29"/>
        <v>234</v>
      </c>
      <c r="C256" s="185"/>
      <c r="D256" s="186">
        <v>7</v>
      </c>
      <c r="E256" s="179">
        <f t="shared" si="30"/>
        <v>234</v>
      </c>
      <c r="F256" s="186">
        <v>33.57</v>
      </c>
      <c r="G256" s="186">
        <f t="shared" si="27"/>
        <v>33.171999999999997</v>
      </c>
      <c r="H256" s="187" t="str">
        <f t="shared" si="28"/>
        <v>IN</v>
      </c>
      <c r="I256" s="265">
        <f t="shared" si="25"/>
        <v>7748.3199999999933</v>
      </c>
      <c r="J256" s="265">
        <f t="shared" si="26"/>
        <v>3586.5600000000059</v>
      </c>
      <c r="K256" s="269">
        <f t="shared" si="24"/>
        <v>248.59669072574471</v>
      </c>
      <c r="L256" s="447"/>
      <c r="M256" s="447"/>
      <c r="N256" s="13"/>
    </row>
    <row r="257" spans="2:14">
      <c r="B257" s="185">
        <f t="shared" si="29"/>
        <v>235</v>
      </c>
      <c r="C257" s="185"/>
      <c r="D257" s="186">
        <v>7</v>
      </c>
      <c r="E257" s="179">
        <f t="shared" si="30"/>
        <v>235</v>
      </c>
      <c r="F257" s="186">
        <v>33.659999999999997</v>
      </c>
      <c r="G257" s="186">
        <f t="shared" si="27"/>
        <v>33.261999999999993</v>
      </c>
      <c r="H257" s="187" t="str">
        <f t="shared" si="28"/>
        <v>IN</v>
      </c>
      <c r="I257" s="265">
        <f t="shared" si="25"/>
        <v>7781.5819999999931</v>
      </c>
      <c r="J257" s="265">
        <f t="shared" si="26"/>
        <v>3553.2980000000061</v>
      </c>
      <c r="K257" s="269">
        <f t="shared" si="24"/>
        <v>249.29897885103117</v>
      </c>
      <c r="L257" s="447"/>
      <c r="M257" s="447"/>
      <c r="N257" s="13"/>
    </row>
    <row r="258" spans="2:14">
      <c r="B258" s="185">
        <f t="shared" si="29"/>
        <v>236</v>
      </c>
      <c r="C258" s="185"/>
      <c r="D258" s="186">
        <v>7</v>
      </c>
      <c r="E258" s="179">
        <f t="shared" si="30"/>
        <v>236</v>
      </c>
      <c r="F258" s="186">
        <v>33.24</v>
      </c>
      <c r="G258" s="186">
        <f t="shared" si="27"/>
        <v>32.841999999999999</v>
      </c>
      <c r="H258" s="187" t="str">
        <f t="shared" si="28"/>
        <v>IN</v>
      </c>
      <c r="I258" s="265">
        <f t="shared" si="25"/>
        <v>7814.4239999999927</v>
      </c>
      <c r="J258" s="265">
        <f t="shared" si="26"/>
        <v>3520.4560000000065</v>
      </c>
      <c r="K258" s="269">
        <f t="shared" si="24"/>
        <v>249.99239916883101</v>
      </c>
      <c r="L258" s="447"/>
      <c r="M258" s="447"/>
      <c r="N258" s="13"/>
    </row>
    <row r="259" spans="2:14">
      <c r="B259" s="185">
        <f t="shared" si="29"/>
        <v>237</v>
      </c>
      <c r="C259" s="185"/>
      <c r="D259" s="186">
        <v>7</v>
      </c>
      <c r="E259" s="179">
        <f t="shared" si="30"/>
        <v>237</v>
      </c>
      <c r="F259" s="186">
        <v>33.46</v>
      </c>
      <c r="G259" s="186">
        <f t="shared" si="27"/>
        <v>33.061999999999998</v>
      </c>
      <c r="H259" s="187" t="str">
        <f t="shared" si="28"/>
        <v>IN</v>
      </c>
      <c r="I259" s="265">
        <f t="shared" si="25"/>
        <v>7847.4859999999926</v>
      </c>
      <c r="J259" s="265">
        <f t="shared" si="26"/>
        <v>3487.3940000000066</v>
      </c>
      <c r="K259" s="269">
        <f t="shared" si="24"/>
        <v>250.69046452864765</v>
      </c>
      <c r="L259" s="447"/>
      <c r="M259" s="447"/>
      <c r="N259" s="13"/>
    </row>
    <row r="260" spans="2:14">
      <c r="B260" s="185">
        <f t="shared" si="29"/>
        <v>238</v>
      </c>
      <c r="C260" s="185"/>
      <c r="D260" s="186">
        <v>7</v>
      </c>
      <c r="E260" s="179">
        <f t="shared" si="30"/>
        <v>238</v>
      </c>
      <c r="F260" s="186">
        <v>33.32</v>
      </c>
      <c r="G260" s="186">
        <f t="shared" si="27"/>
        <v>32.921999999999997</v>
      </c>
      <c r="H260" s="187" t="str">
        <f t="shared" si="28"/>
        <v>IN</v>
      </c>
      <c r="I260" s="265">
        <f t="shared" si="25"/>
        <v>7880.4079999999922</v>
      </c>
      <c r="J260" s="265">
        <f t="shared" si="26"/>
        <v>3454.472000000007</v>
      </c>
      <c r="K260" s="269">
        <f t="shared" si="24"/>
        <v>251.38557395263547</v>
      </c>
      <c r="L260" s="447"/>
      <c r="M260" s="447"/>
      <c r="N260" s="13"/>
    </row>
    <row r="261" spans="2:14">
      <c r="B261" s="185">
        <f t="shared" si="29"/>
        <v>239</v>
      </c>
      <c r="C261" s="185"/>
      <c r="D261" s="186">
        <v>7</v>
      </c>
      <c r="E261" s="179">
        <f t="shared" si="30"/>
        <v>239</v>
      </c>
      <c r="F261" s="186">
        <v>33.75</v>
      </c>
      <c r="G261" s="186">
        <f t="shared" si="27"/>
        <v>33.351999999999997</v>
      </c>
      <c r="H261" s="187" t="str">
        <f t="shared" si="28"/>
        <v>IN</v>
      </c>
      <c r="I261" s="265">
        <f t="shared" si="25"/>
        <v>7913.759999999992</v>
      </c>
      <c r="J261" s="265">
        <f t="shared" si="26"/>
        <v>3421.1200000000072</v>
      </c>
      <c r="K261" s="269">
        <f t="shared" si="24"/>
        <v>252.08976232238336</v>
      </c>
      <c r="L261" s="447"/>
      <c r="M261" s="447"/>
      <c r="N261" s="13"/>
    </row>
    <row r="262" spans="2:14">
      <c r="B262" s="185">
        <f t="shared" si="29"/>
        <v>240</v>
      </c>
      <c r="C262" s="185"/>
      <c r="D262" s="186">
        <v>7</v>
      </c>
      <c r="E262" s="179">
        <f t="shared" si="30"/>
        <v>240</v>
      </c>
      <c r="F262" s="186">
        <v>31.9</v>
      </c>
      <c r="G262" s="186">
        <f t="shared" si="27"/>
        <v>31.501999999999999</v>
      </c>
      <c r="H262" s="187" t="str">
        <f t="shared" si="28"/>
        <v>IN</v>
      </c>
      <c r="I262" s="265">
        <f t="shared" si="25"/>
        <v>7945.2619999999924</v>
      </c>
      <c r="J262" s="265">
        <f t="shared" si="26"/>
        <v>3389.6180000000068</v>
      </c>
      <c r="K262" s="269">
        <f t="shared" si="24"/>
        <v>252.75489011153539</v>
      </c>
      <c r="L262" s="447"/>
      <c r="M262" s="447"/>
      <c r="N262" s="13"/>
    </row>
    <row r="263" spans="2:14">
      <c r="B263" s="185">
        <f t="shared" si="29"/>
        <v>241</v>
      </c>
      <c r="C263" s="185"/>
      <c r="D263" s="186">
        <v>7</v>
      </c>
      <c r="E263" s="179">
        <f t="shared" si="30"/>
        <v>241</v>
      </c>
      <c r="F263" s="186">
        <v>33.53</v>
      </c>
      <c r="G263" s="186">
        <f t="shared" si="27"/>
        <v>33.131999999999998</v>
      </c>
      <c r="H263" s="187" t="str">
        <f t="shared" si="28"/>
        <v>IN</v>
      </c>
      <c r="I263" s="265">
        <f t="shared" si="25"/>
        <v>7978.393999999992</v>
      </c>
      <c r="J263" s="265">
        <f t="shared" si="26"/>
        <v>3356.4860000000072</v>
      </c>
      <c r="K263" s="269">
        <f t="shared" si="24"/>
        <v>253.45443343926647</v>
      </c>
      <c r="L263" s="447"/>
      <c r="M263" s="447"/>
      <c r="N263" s="13"/>
    </row>
    <row r="264" spans="2:14">
      <c r="B264" s="185">
        <f t="shared" si="29"/>
        <v>242</v>
      </c>
      <c r="C264" s="185"/>
      <c r="D264" s="186">
        <v>7</v>
      </c>
      <c r="E264" s="179">
        <f t="shared" si="30"/>
        <v>242</v>
      </c>
      <c r="F264" s="186">
        <v>33.380000000000003</v>
      </c>
      <c r="G264" s="186">
        <f t="shared" si="27"/>
        <v>32.981999999999999</v>
      </c>
      <c r="H264" s="187" t="str">
        <f t="shared" si="28"/>
        <v>IN</v>
      </c>
      <c r="I264" s="265">
        <f t="shared" si="25"/>
        <v>8011.375999999992</v>
      </c>
      <c r="J264" s="265">
        <f t="shared" si="26"/>
        <v>3323.5040000000072</v>
      </c>
      <c r="K264" s="269">
        <f t="shared" si="24"/>
        <v>254.15080969289517</v>
      </c>
      <c r="L264" s="447"/>
      <c r="M264" s="447"/>
      <c r="N264" s="13"/>
    </row>
    <row r="265" spans="2:14">
      <c r="B265" s="185">
        <f t="shared" si="29"/>
        <v>243</v>
      </c>
      <c r="C265" s="185"/>
      <c r="D265" s="186">
        <v>7</v>
      </c>
      <c r="E265" s="179">
        <f t="shared" si="30"/>
        <v>243</v>
      </c>
      <c r="F265" s="186">
        <v>33.46</v>
      </c>
      <c r="G265" s="186">
        <f t="shared" si="27"/>
        <v>33.061999999999998</v>
      </c>
      <c r="H265" s="187" t="str">
        <f t="shared" si="28"/>
        <v>IN</v>
      </c>
      <c r="I265" s="265">
        <f t="shared" si="25"/>
        <v>8044.4379999999919</v>
      </c>
      <c r="J265" s="265">
        <f t="shared" si="26"/>
        <v>3290.4420000000073</v>
      </c>
      <c r="K265" s="269">
        <f t="shared" si="24"/>
        <v>254.84887505271183</v>
      </c>
      <c r="L265" s="448"/>
      <c r="M265" s="449"/>
      <c r="N265" s="13"/>
    </row>
    <row r="266" spans="2:14">
      <c r="B266" s="185">
        <f t="shared" si="29"/>
        <v>244</v>
      </c>
      <c r="C266" s="185"/>
      <c r="D266" s="186">
        <v>7</v>
      </c>
      <c r="E266" s="179">
        <f t="shared" si="30"/>
        <v>244</v>
      </c>
      <c r="F266" s="186">
        <v>33.950000000000003</v>
      </c>
      <c r="G266" s="186">
        <f t="shared" si="27"/>
        <v>33.552</v>
      </c>
      <c r="H266" s="187" t="str">
        <f t="shared" si="28"/>
        <v>IN</v>
      </c>
      <c r="I266" s="265">
        <f t="shared" si="25"/>
        <v>8077.9899999999916</v>
      </c>
      <c r="J266" s="265">
        <f t="shared" si="26"/>
        <v>3256.8900000000076</v>
      </c>
      <c r="K266" s="269">
        <f t="shared" si="24"/>
        <v>255.55728618792958</v>
      </c>
      <c r="L266" s="448"/>
      <c r="M266" s="449"/>
      <c r="N266" s="13"/>
    </row>
    <row r="267" spans="2:14">
      <c r="B267" s="185">
        <f t="shared" si="29"/>
        <v>245</v>
      </c>
      <c r="C267" s="185"/>
      <c r="D267" s="186">
        <v>7</v>
      </c>
      <c r="E267" s="179">
        <f t="shared" si="30"/>
        <v>245</v>
      </c>
      <c r="F267" s="186">
        <v>33.54</v>
      </c>
      <c r="G267" s="186">
        <f t="shared" si="27"/>
        <v>33.141999999999996</v>
      </c>
      <c r="H267" s="187" t="str">
        <f t="shared" si="28"/>
        <v>IN</v>
      </c>
      <c r="I267" s="265">
        <f t="shared" si="25"/>
        <v>8111.1319999999914</v>
      </c>
      <c r="J267" s="265">
        <f t="shared" si="26"/>
        <v>3223.7480000000078</v>
      </c>
      <c r="K267" s="269">
        <f t="shared" si="24"/>
        <v>256.25704065393415</v>
      </c>
      <c r="L267" s="448"/>
      <c r="M267" s="449"/>
      <c r="N267" s="13"/>
    </row>
    <row r="268" spans="2:14">
      <c r="B268" s="185">
        <f t="shared" si="29"/>
        <v>246</v>
      </c>
      <c r="C268" s="185"/>
      <c r="D268" s="186">
        <v>7</v>
      </c>
      <c r="E268" s="179">
        <f t="shared" si="30"/>
        <v>246</v>
      </c>
      <c r="F268" s="186">
        <v>33.96</v>
      </c>
      <c r="G268" s="186">
        <f t="shared" si="27"/>
        <v>33.561999999999998</v>
      </c>
      <c r="H268" s="187" t="str">
        <f t="shared" si="28"/>
        <v>IN</v>
      </c>
      <c r="I268" s="265">
        <f t="shared" si="25"/>
        <v>8144.6939999999913</v>
      </c>
      <c r="J268" s="265">
        <f t="shared" si="26"/>
        <v>3190.1860000000079</v>
      </c>
      <c r="K268" s="269">
        <f t="shared" si="24"/>
        <v>256.96566292742534</v>
      </c>
      <c r="L268" s="448"/>
      <c r="M268" s="449"/>
      <c r="N268" s="13"/>
    </row>
    <row r="269" spans="2:14">
      <c r="B269" s="185">
        <f t="shared" si="29"/>
        <v>247</v>
      </c>
      <c r="C269" s="185"/>
      <c r="D269" s="186">
        <v>7</v>
      </c>
      <c r="E269" s="179">
        <f t="shared" si="30"/>
        <v>247</v>
      </c>
      <c r="F269" s="186">
        <v>33.96</v>
      </c>
      <c r="G269" s="186">
        <f t="shared" si="27"/>
        <v>33.561999999999998</v>
      </c>
      <c r="H269" s="187" t="str">
        <f t="shared" si="28"/>
        <v>IN</v>
      </c>
      <c r="I269" s="265">
        <f t="shared" si="25"/>
        <v>8178.2559999999912</v>
      </c>
      <c r="J269" s="265">
        <f t="shared" si="26"/>
        <v>3156.624000000008</v>
      </c>
      <c r="K269" s="269">
        <f t="shared" si="24"/>
        <v>257.67428520091653</v>
      </c>
      <c r="L269" s="448"/>
      <c r="M269" s="449"/>
      <c r="N269" s="13"/>
    </row>
    <row r="270" spans="2:14">
      <c r="B270" s="185">
        <f t="shared" si="29"/>
        <v>248</v>
      </c>
      <c r="C270" s="185"/>
      <c r="D270" s="186">
        <v>7</v>
      </c>
      <c r="E270" s="179">
        <f t="shared" si="30"/>
        <v>248</v>
      </c>
      <c r="F270" s="186">
        <v>33.96</v>
      </c>
      <c r="G270" s="186">
        <f t="shared" si="27"/>
        <v>33.561999999999998</v>
      </c>
      <c r="H270" s="187" t="str">
        <f t="shared" si="28"/>
        <v>IN</v>
      </c>
      <c r="I270" s="265">
        <f t="shared" si="25"/>
        <v>8211.817999999992</v>
      </c>
      <c r="J270" s="265">
        <f t="shared" si="26"/>
        <v>3123.0620000000072</v>
      </c>
      <c r="K270" s="269">
        <f t="shared" si="24"/>
        <v>258.38290747440783</v>
      </c>
      <c r="L270" s="448"/>
      <c r="M270" s="449"/>
      <c r="N270" s="13"/>
    </row>
    <row r="271" spans="2:14">
      <c r="B271" s="185">
        <f t="shared" si="29"/>
        <v>249</v>
      </c>
      <c r="C271" s="185"/>
      <c r="D271" s="186">
        <v>7</v>
      </c>
      <c r="E271" s="179">
        <f t="shared" si="30"/>
        <v>249</v>
      </c>
      <c r="F271" s="186">
        <v>33.96</v>
      </c>
      <c r="G271" s="186">
        <f t="shared" si="27"/>
        <v>33.561999999999998</v>
      </c>
      <c r="H271" s="187" t="str">
        <f t="shared" si="28"/>
        <v>IN</v>
      </c>
      <c r="I271" s="265">
        <f t="shared" si="25"/>
        <v>8245.3799999999919</v>
      </c>
      <c r="J271" s="265">
        <f t="shared" si="26"/>
        <v>3089.5000000000073</v>
      </c>
      <c r="K271" s="269">
        <f t="shared" ref="K271:K334" si="31">$H$9+(I271*$E$10*$H$11/1000)</f>
        <v>259.09152974789902</v>
      </c>
      <c r="L271" s="448"/>
      <c r="M271" s="449"/>
      <c r="N271" s="13"/>
    </row>
    <row r="272" spans="2:14">
      <c r="B272" s="185">
        <f t="shared" si="29"/>
        <v>250</v>
      </c>
      <c r="C272" s="185"/>
      <c r="D272" s="186">
        <v>7</v>
      </c>
      <c r="E272" s="179">
        <f t="shared" si="30"/>
        <v>250</v>
      </c>
      <c r="F272" s="186">
        <v>33.96</v>
      </c>
      <c r="G272" s="186">
        <f t="shared" si="27"/>
        <v>33.561999999999998</v>
      </c>
      <c r="H272" s="187" t="str">
        <f t="shared" si="28"/>
        <v>IN</v>
      </c>
      <c r="I272" s="265">
        <f t="shared" si="25"/>
        <v>8278.9419999999918</v>
      </c>
      <c r="J272" s="265">
        <f t="shared" si="26"/>
        <v>3055.9380000000074</v>
      </c>
      <c r="K272" s="269">
        <f t="shared" si="31"/>
        <v>259.8001520213902</v>
      </c>
      <c r="L272" s="448"/>
      <c r="M272" s="449"/>
      <c r="N272" s="13"/>
    </row>
    <row r="273" spans="2:14">
      <c r="B273" s="185">
        <f t="shared" si="29"/>
        <v>251</v>
      </c>
      <c r="C273" s="185"/>
      <c r="D273" s="186">
        <v>7</v>
      </c>
      <c r="E273" s="179">
        <f t="shared" si="30"/>
        <v>251</v>
      </c>
      <c r="F273" s="186">
        <v>33.67</v>
      </c>
      <c r="G273" s="186">
        <f t="shared" si="27"/>
        <v>33.271999999999998</v>
      </c>
      <c r="H273" s="187" t="str">
        <f t="shared" si="28"/>
        <v>IN</v>
      </c>
      <c r="I273" s="265">
        <f t="shared" si="25"/>
        <v>8312.2139999999927</v>
      </c>
      <c r="J273" s="265">
        <f t="shared" si="26"/>
        <v>3022.6660000000065</v>
      </c>
      <c r="K273" s="269">
        <f t="shared" si="31"/>
        <v>260.50265128495016</v>
      </c>
      <c r="L273" s="448"/>
      <c r="M273" s="449"/>
      <c r="N273" s="13"/>
    </row>
    <row r="274" spans="2:14">
      <c r="B274" s="185">
        <f t="shared" si="29"/>
        <v>252</v>
      </c>
      <c r="C274" s="185"/>
      <c r="D274" s="186">
        <v>7</v>
      </c>
      <c r="E274" s="179">
        <f t="shared" si="30"/>
        <v>252</v>
      </c>
      <c r="F274" s="186">
        <v>33.96</v>
      </c>
      <c r="G274" s="186">
        <f t="shared" si="27"/>
        <v>33.561999999999998</v>
      </c>
      <c r="H274" s="187" t="str">
        <f t="shared" si="28"/>
        <v>IN</v>
      </c>
      <c r="I274" s="265">
        <f t="shared" ref="I274:I335" si="32">IF(H274="IN",I273+G274,I273)</f>
        <v>8345.7759999999926</v>
      </c>
      <c r="J274" s="265">
        <f t="shared" ref="J274:J335" si="33">IF(I274="","",$L$9-I274)</f>
        <v>2989.1040000000066</v>
      </c>
      <c r="K274" s="269">
        <f t="shared" si="31"/>
        <v>261.21127355844141</v>
      </c>
      <c r="L274" s="448"/>
      <c r="M274" s="449"/>
      <c r="N274" s="13"/>
    </row>
    <row r="275" spans="2:14">
      <c r="B275" s="185">
        <f t="shared" si="29"/>
        <v>253</v>
      </c>
      <c r="C275" s="185"/>
      <c r="D275" s="186">
        <v>7</v>
      </c>
      <c r="E275" s="179">
        <f t="shared" si="30"/>
        <v>253</v>
      </c>
      <c r="F275" s="186">
        <v>33.520000000000003</v>
      </c>
      <c r="G275" s="186">
        <f t="shared" ref="G275:G284" si="34">F275-($E$12)</f>
        <v>33.122</v>
      </c>
      <c r="H275" s="187" t="str">
        <f t="shared" si="28"/>
        <v>IN</v>
      </c>
      <c r="I275" s="265">
        <f t="shared" si="32"/>
        <v>8378.897999999992</v>
      </c>
      <c r="J275" s="265">
        <f t="shared" si="33"/>
        <v>2955.9820000000072</v>
      </c>
      <c r="K275" s="269">
        <f t="shared" si="31"/>
        <v>261.91060574789901</v>
      </c>
      <c r="L275" s="448"/>
      <c r="M275" s="449"/>
      <c r="N275" s="13"/>
    </row>
    <row r="276" spans="2:14">
      <c r="B276" s="371">
        <f t="shared" si="29"/>
        <v>254</v>
      </c>
      <c r="C276" s="371"/>
      <c r="D276" s="306">
        <v>7</v>
      </c>
      <c r="E276" s="372">
        <f t="shared" si="30"/>
        <v>254</v>
      </c>
      <c r="F276" s="306">
        <v>30.68</v>
      </c>
      <c r="G276" s="306">
        <f t="shared" si="34"/>
        <v>30.282</v>
      </c>
      <c r="H276" s="266" t="s">
        <v>25</v>
      </c>
      <c r="I276" s="306">
        <f t="shared" si="32"/>
        <v>8378.897999999992</v>
      </c>
      <c r="J276" s="306">
        <f t="shared" si="33"/>
        <v>2955.9820000000072</v>
      </c>
      <c r="K276" s="268">
        <f t="shared" si="31"/>
        <v>261.91060574789901</v>
      </c>
      <c r="L276" s="482" t="s">
        <v>194</v>
      </c>
      <c r="M276" s="483"/>
      <c r="N276" s="13"/>
    </row>
    <row r="277" spans="2:14">
      <c r="B277" s="185">
        <f t="shared" si="29"/>
        <v>255</v>
      </c>
      <c r="C277" s="185"/>
      <c r="D277" s="186">
        <v>7</v>
      </c>
      <c r="E277" s="179">
        <f t="shared" si="30"/>
        <v>255</v>
      </c>
      <c r="F277" s="186">
        <v>33.61</v>
      </c>
      <c r="G277" s="186">
        <f t="shared" si="34"/>
        <v>33.211999999999996</v>
      </c>
      <c r="H277" s="187" t="str">
        <f t="shared" si="28"/>
        <v>IN</v>
      </c>
      <c r="I277" s="265">
        <f t="shared" si="32"/>
        <v>8412.1099999999915</v>
      </c>
      <c r="J277" s="265">
        <f t="shared" si="33"/>
        <v>2922.7700000000077</v>
      </c>
      <c r="K277" s="269">
        <f t="shared" si="31"/>
        <v>262.61183818181803</v>
      </c>
      <c r="L277" s="448"/>
      <c r="M277" s="449"/>
      <c r="N277" s="13"/>
    </row>
    <row r="278" spans="2:14">
      <c r="B278" s="185">
        <f t="shared" si="29"/>
        <v>256</v>
      </c>
      <c r="C278" s="185"/>
      <c r="D278" s="186">
        <v>7</v>
      </c>
      <c r="E278" s="179">
        <f t="shared" si="30"/>
        <v>256</v>
      </c>
      <c r="F278" s="186">
        <v>33.93</v>
      </c>
      <c r="G278" s="186">
        <f t="shared" si="34"/>
        <v>33.531999999999996</v>
      </c>
      <c r="H278" s="187" t="str">
        <f t="shared" si="28"/>
        <v>IN</v>
      </c>
      <c r="I278" s="265">
        <f t="shared" si="32"/>
        <v>8445.6419999999907</v>
      </c>
      <c r="J278" s="265">
        <f t="shared" si="33"/>
        <v>2889.2380000000085</v>
      </c>
      <c r="K278" s="269">
        <f t="shared" si="31"/>
        <v>263.31982704048869</v>
      </c>
      <c r="L278" s="448"/>
      <c r="M278" s="449"/>
      <c r="N278" s="13"/>
    </row>
    <row r="279" spans="2:14">
      <c r="B279" s="185">
        <f t="shared" si="29"/>
        <v>257</v>
      </c>
      <c r="C279" s="185"/>
      <c r="D279" s="186">
        <v>7</v>
      </c>
      <c r="E279" s="179">
        <f t="shared" si="30"/>
        <v>257</v>
      </c>
      <c r="F279" s="186">
        <v>32.950000000000003</v>
      </c>
      <c r="G279" s="186">
        <f t="shared" si="34"/>
        <v>32.552</v>
      </c>
      <c r="H279" s="187" t="str">
        <f t="shared" si="28"/>
        <v>IN</v>
      </c>
      <c r="I279" s="265">
        <f t="shared" si="32"/>
        <v>8478.1939999999904</v>
      </c>
      <c r="J279" s="265">
        <f t="shared" si="33"/>
        <v>2856.6860000000088</v>
      </c>
      <c r="K279" s="269">
        <f t="shared" si="31"/>
        <v>264.00712434835737</v>
      </c>
      <c r="L279" s="448"/>
      <c r="M279" s="449"/>
      <c r="N279" s="13"/>
    </row>
    <row r="280" spans="2:14">
      <c r="B280" s="185">
        <f t="shared" si="29"/>
        <v>258</v>
      </c>
      <c r="C280" s="185"/>
      <c r="D280" s="186">
        <v>7</v>
      </c>
      <c r="E280" s="179">
        <f t="shared" si="30"/>
        <v>258</v>
      </c>
      <c r="F280" s="186">
        <v>33.97</v>
      </c>
      <c r="G280" s="186">
        <f t="shared" si="34"/>
        <v>33.571999999999996</v>
      </c>
      <c r="H280" s="187" t="str">
        <f t="shared" si="28"/>
        <v>IN</v>
      </c>
      <c r="I280" s="265">
        <f t="shared" si="32"/>
        <v>8511.7659999999905</v>
      </c>
      <c r="J280" s="265">
        <f t="shared" si="33"/>
        <v>2823.1140000000087</v>
      </c>
      <c r="K280" s="269">
        <f t="shared" si="31"/>
        <v>264.71595776012202</v>
      </c>
      <c r="L280" s="448"/>
      <c r="M280" s="449"/>
      <c r="N280" s="13"/>
    </row>
    <row r="281" spans="2:14">
      <c r="B281" s="185">
        <f t="shared" si="29"/>
        <v>259</v>
      </c>
      <c r="C281" s="185"/>
      <c r="D281" s="186">
        <v>7</v>
      </c>
      <c r="E281" s="179">
        <f t="shared" si="30"/>
        <v>259</v>
      </c>
      <c r="F281" s="186">
        <v>33.69</v>
      </c>
      <c r="G281" s="186">
        <f t="shared" si="34"/>
        <v>33.291999999999994</v>
      </c>
      <c r="H281" s="187" t="str">
        <f t="shared" ref="H281:H284" si="35">IF(F281="","OUT","IN")</f>
        <v>IN</v>
      </c>
      <c r="I281" s="265">
        <f t="shared" si="32"/>
        <v>8545.05799999999</v>
      </c>
      <c r="J281" s="265">
        <f t="shared" si="33"/>
        <v>2789.8220000000092</v>
      </c>
      <c r="K281" s="269">
        <f t="shared" si="31"/>
        <v>265.41887930022898</v>
      </c>
      <c r="L281" s="448"/>
      <c r="M281" s="449"/>
      <c r="N281" s="13"/>
    </row>
    <row r="282" spans="2:14">
      <c r="B282" s="185">
        <f t="shared" ref="B282:B284" si="36">B281+1</f>
        <v>260</v>
      </c>
      <c r="C282" s="185"/>
      <c r="D282" s="186">
        <v>7</v>
      </c>
      <c r="E282" s="179">
        <f t="shared" si="30"/>
        <v>260</v>
      </c>
      <c r="F282" s="186">
        <v>33.659999999999997</v>
      </c>
      <c r="G282" s="186">
        <f t="shared" si="34"/>
        <v>33.261999999999993</v>
      </c>
      <c r="H282" s="187" t="str">
        <f t="shared" si="35"/>
        <v>IN</v>
      </c>
      <c r="I282" s="265">
        <f t="shared" si="32"/>
        <v>8578.3199999999906</v>
      </c>
      <c r="J282" s="265">
        <f t="shared" si="33"/>
        <v>2756.5600000000086</v>
      </c>
      <c r="K282" s="269">
        <f t="shared" si="31"/>
        <v>266.12116742551541</v>
      </c>
      <c r="L282" s="448"/>
      <c r="M282" s="449"/>
      <c r="N282" s="13"/>
    </row>
    <row r="283" spans="2:14">
      <c r="B283" s="185">
        <f t="shared" si="36"/>
        <v>261</v>
      </c>
      <c r="C283" s="185"/>
      <c r="D283" s="186">
        <v>7</v>
      </c>
      <c r="E283" s="179">
        <f t="shared" ref="E283:E335" si="37">E282+1</f>
        <v>261</v>
      </c>
      <c r="F283" s="186">
        <v>33.409999999999997</v>
      </c>
      <c r="G283" s="186">
        <f t="shared" si="34"/>
        <v>33.011999999999993</v>
      </c>
      <c r="H283" s="187" t="str">
        <f t="shared" si="35"/>
        <v>IN</v>
      </c>
      <c r="I283" s="265">
        <f t="shared" si="32"/>
        <v>8611.3319999999912</v>
      </c>
      <c r="J283" s="265">
        <f t="shared" si="33"/>
        <v>2723.548000000008</v>
      </c>
      <c r="K283" s="269">
        <f t="shared" si="31"/>
        <v>266.81817709396466</v>
      </c>
      <c r="L283" s="448"/>
      <c r="M283" s="449"/>
      <c r="N283" s="13"/>
    </row>
    <row r="284" spans="2:14">
      <c r="B284" s="185">
        <f t="shared" si="36"/>
        <v>262</v>
      </c>
      <c r="C284" s="185"/>
      <c r="D284" s="186">
        <v>7</v>
      </c>
      <c r="E284" s="179">
        <f t="shared" si="37"/>
        <v>262</v>
      </c>
      <c r="F284" s="186">
        <v>33.5</v>
      </c>
      <c r="G284" s="186">
        <f t="shared" si="34"/>
        <v>33.101999999999997</v>
      </c>
      <c r="H284" s="187" t="str">
        <f t="shared" si="35"/>
        <v>IN</v>
      </c>
      <c r="I284" s="265">
        <f t="shared" si="32"/>
        <v>8644.433999999992</v>
      </c>
      <c r="J284" s="265">
        <f t="shared" si="33"/>
        <v>2690.4460000000072</v>
      </c>
      <c r="K284" s="269">
        <f t="shared" si="31"/>
        <v>267.51708700687527</v>
      </c>
      <c r="L284" s="448"/>
      <c r="M284" s="449"/>
      <c r="N284" s="13"/>
    </row>
    <row r="285" spans="2:14">
      <c r="B285" s="185">
        <f>B284+1</f>
        <v>263</v>
      </c>
      <c r="C285" s="185"/>
      <c r="D285" s="186">
        <v>7</v>
      </c>
      <c r="E285" s="179">
        <f t="shared" si="37"/>
        <v>263</v>
      </c>
      <c r="F285" s="186">
        <v>33.520000000000003</v>
      </c>
      <c r="G285" s="186">
        <f t="shared" ref="G285:G343" si="38">F285-($E$12)</f>
        <v>33.122</v>
      </c>
      <c r="H285" s="187" t="str">
        <f t="shared" ref="H285:H343" si="39">IF(F285="","OUT","IN")</f>
        <v>IN</v>
      </c>
      <c r="I285" s="265">
        <f t="shared" si="32"/>
        <v>8677.5559999999914</v>
      </c>
      <c r="J285" s="265">
        <f t="shared" si="33"/>
        <v>2657.3240000000078</v>
      </c>
      <c r="K285" s="269">
        <f t="shared" si="31"/>
        <v>268.21641919633288</v>
      </c>
      <c r="L285" s="448"/>
      <c r="M285" s="449"/>
      <c r="N285" s="13"/>
    </row>
    <row r="286" spans="2:14">
      <c r="B286" s="185">
        <f t="shared" ref="B286:B339" si="40">B285+1</f>
        <v>264</v>
      </c>
      <c r="C286" s="185"/>
      <c r="D286" s="186">
        <v>7</v>
      </c>
      <c r="E286" s="179">
        <f t="shared" si="37"/>
        <v>264</v>
      </c>
      <c r="F286" s="186">
        <v>33.409999999999997</v>
      </c>
      <c r="G286" s="186">
        <f t="shared" si="38"/>
        <v>33.011999999999993</v>
      </c>
      <c r="H286" s="187" t="str">
        <f t="shared" si="39"/>
        <v>IN</v>
      </c>
      <c r="I286" s="265">
        <f t="shared" si="32"/>
        <v>8710.567999999992</v>
      </c>
      <c r="J286" s="265">
        <f t="shared" si="33"/>
        <v>2624.3120000000072</v>
      </c>
      <c r="K286" s="269">
        <f t="shared" si="31"/>
        <v>268.91342886478213</v>
      </c>
      <c r="L286" s="448"/>
      <c r="M286" s="449"/>
      <c r="N286" s="13"/>
    </row>
    <row r="287" spans="2:14">
      <c r="B287" s="185">
        <f t="shared" si="40"/>
        <v>265</v>
      </c>
      <c r="C287" s="185"/>
      <c r="D287" s="186">
        <v>7</v>
      </c>
      <c r="E287" s="179">
        <f t="shared" si="37"/>
        <v>265</v>
      </c>
      <c r="F287" s="186">
        <v>33.32</v>
      </c>
      <c r="G287" s="186">
        <f t="shared" si="38"/>
        <v>32.921999999999997</v>
      </c>
      <c r="H287" s="187" t="str">
        <f t="shared" si="39"/>
        <v>IN</v>
      </c>
      <c r="I287" s="265">
        <f t="shared" si="32"/>
        <v>8743.4899999999925</v>
      </c>
      <c r="J287" s="265">
        <f t="shared" si="33"/>
        <v>2591.3900000000067</v>
      </c>
      <c r="K287" s="269">
        <f t="shared" si="31"/>
        <v>269.60853828876992</v>
      </c>
      <c r="L287" s="448"/>
      <c r="M287" s="449"/>
      <c r="N287" s="13"/>
    </row>
    <row r="288" spans="2:14">
      <c r="B288" s="185">
        <f t="shared" si="40"/>
        <v>266</v>
      </c>
      <c r="C288" s="185"/>
      <c r="D288" s="186">
        <v>7</v>
      </c>
      <c r="E288" s="179">
        <f t="shared" si="37"/>
        <v>266</v>
      </c>
      <c r="F288" s="186">
        <v>33.49</v>
      </c>
      <c r="G288" s="186">
        <f t="shared" si="38"/>
        <v>33.091999999999999</v>
      </c>
      <c r="H288" s="187" t="str">
        <f t="shared" si="39"/>
        <v>IN</v>
      </c>
      <c r="I288" s="265">
        <f t="shared" si="32"/>
        <v>8776.5819999999931</v>
      </c>
      <c r="J288" s="265">
        <f t="shared" si="33"/>
        <v>2558.2980000000061</v>
      </c>
      <c r="K288" s="269">
        <f t="shared" si="31"/>
        <v>270.307237063407</v>
      </c>
      <c r="L288" s="448"/>
      <c r="M288" s="449"/>
      <c r="N288" s="13"/>
    </row>
    <row r="289" spans="2:14">
      <c r="B289" s="185">
        <f t="shared" si="40"/>
        <v>267</v>
      </c>
      <c r="C289" s="185"/>
      <c r="D289" s="186">
        <v>7</v>
      </c>
      <c r="E289" s="179">
        <f t="shared" si="37"/>
        <v>267</v>
      </c>
      <c r="F289" s="186">
        <v>33.36</v>
      </c>
      <c r="G289" s="186">
        <f t="shared" si="38"/>
        <v>32.961999999999996</v>
      </c>
      <c r="H289" s="187" t="str">
        <f t="shared" si="39"/>
        <v>IN</v>
      </c>
      <c r="I289" s="265">
        <f t="shared" si="32"/>
        <v>8809.5439999999926</v>
      </c>
      <c r="J289" s="265">
        <f t="shared" si="33"/>
        <v>2525.3360000000066</v>
      </c>
      <c r="K289" s="269">
        <f t="shared" si="31"/>
        <v>271.00319104048879</v>
      </c>
      <c r="L289" s="448"/>
      <c r="M289" s="449"/>
      <c r="N289" s="13"/>
    </row>
    <row r="290" spans="2:14">
      <c r="B290" s="185">
        <f t="shared" si="40"/>
        <v>268</v>
      </c>
      <c r="C290" s="185"/>
      <c r="D290" s="186">
        <v>7</v>
      </c>
      <c r="E290" s="179">
        <f t="shared" si="37"/>
        <v>268</v>
      </c>
      <c r="F290" s="186">
        <v>33.53</v>
      </c>
      <c r="G290" s="186">
        <f t="shared" si="38"/>
        <v>33.131999999999998</v>
      </c>
      <c r="H290" s="187" t="str">
        <f t="shared" si="39"/>
        <v>IN</v>
      </c>
      <c r="I290" s="265">
        <f t="shared" si="32"/>
        <v>8842.6759999999922</v>
      </c>
      <c r="J290" s="265">
        <f t="shared" si="33"/>
        <v>2492.204000000007</v>
      </c>
      <c r="K290" s="269">
        <f t="shared" si="31"/>
        <v>271.70273436821986</v>
      </c>
      <c r="L290" s="448"/>
      <c r="M290" s="449"/>
      <c r="N290" s="13"/>
    </row>
    <row r="291" spans="2:14">
      <c r="B291" s="185">
        <f t="shared" si="40"/>
        <v>269</v>
      </c>
      <c r="C291" s="185"/>
      <c r="D291" s="186">
        <v>7</v>
      </c>
      <c r="E291" s="179">
        <f t="shared" si="37"/>
        <v>269</v>
      </c>
      <c r="F291" s="186">
        <v>33.24</v>
      </c>
      <c r="G291" s="186">
        <f t="shared" si="38"/>
        <v>32.841999999999999</v>
      </c>
      <c r="H291" s="187" t="str">
        <f t="shared" si="39"/>
        <v>IN</v>
      </c>
      <c r="I291" s="265">
        <f t="shared" si="32"/>
        <v>8875.5179999999928</v>
      </c>
      <c r="J291" s="265">
        <f t="shared" si="33"/>
        <v>2459.3620000000064</v>
      </c>
      <c r="K291" s="269">
        <f t="shared" si="31"/>
        <v>272.39615468601971</v>
      </c>
      <c r="L291" s="448"/>
      <c r="M291" s="449"/>
      <c r="N291" s="13"/>
    </row>
    <row r="292" spans="2:14">
      <c r="B292" s="185">
        <f t="shared" si="40"/>
        <v>270</v>
      </c>
      <c r="C292" s="185"/>
      <c r="D292" s="186">
        <v>7</v>
      </c>
      <c r="E292" s="179">
        <f t="shared" si="37"/>
        <v>270</v>
      </c>
      <c r="F292" s="186">
        <v>33.32</v>
      </c>
      <c r="G292" s="186">
        <f t="shared" si="38"/>
        <v>32.921999999999997</v>
      </c>
      <c r="H292" s="187" t="str">
        <f t="shared" si="39"/>
        <v>IN</v>
      </c>
      <c r="I292" s="265">
        <f t="shared" si="32"/>
        <v>8908.4399999999932</v>
      </c>
      <c r="J292" s="265">
        <f t="shared" si="33"/>
        <v>2426.440000000006</v>
      </c>
      <c r="K292" s="269">
        <f t="shared" si="31"/>
        <v>273.0912641100075</v>
      </c>
      <c r="L292" s="448"/>
      <c r="M292" s="449"/>
      <c r="N292" s="13"/>
    </row>
    <row r="293" spans="2:14">
      <c r="B293" s="185">
        <f t="shared" si="40"/>
        <v>271</v>
      </c>
      <c r="C293" s="185"/>
      <c r="D293" s="186">
        <v>7</v>
      </c>
      <c r="E293" s="179">
        <f t="shared" si="37"/>
        <v>271</v>
      </c>
      <c r="F293" s="186">
        <v>33.799999999999997</v>
      </c>
      <c r="G293" s="186">
        <f t="shared" si="38"/>
        <v>33.401999999999994</v>
      </c>
      <c r="H293" s="187" t="str">
        <f t="shared" si="39"/>
        <v>IN</v>
      </c>
      <c r="I293" s="265">
        <f t="shared" si="32"/>
        <v>8941.8419999999933</v>
      </c>
      <c r="J293" s="265">
        <f t="shared" si="33"/>
        <v>2393.0380000000059</v>
      </c>
      <c r="K293" s="269">
        <f t="shared" si="31"/>
        <v>273.79650817112287</v>
      </c>
      <c r="L293" s="448"/>
      <c r="M293" s="449"/>
      <c r="N293" s="13"/>
    </row>
    <row r="294" spans="2:14">
      <c r="B294" s="185">
        <f t="shared" si="40"/>
        <v>272</v>
      </c>
      <c r="C294" s="185"/>
      <c r="D294" s="186">
        <v>7</v>
      </c>
      <c r="E294" s="179">
        <f t="shared" si="37"/>
        <v>272</v>
      </c>
      <c r="F294" s="186">
        <v>33.299999999999997</v>
      </c>
      <c r="G294" s="186">
        <f t="shared" si="38"/>
        <v>32.901999999999994</v>
      </c>
      <c r="H294" s="187" t="str">
        <f t="shared" si="39"/>
        <v>IN</v>
      </c>
      <c r="I294" s="265">
        <f t="shared" si="32"/>
        <v>8974.7439999999933</v>
      </c>
      <c r="J294" s="265">
        <f t="shared" si="33"/>
        <v>2360.1360000000059</v>
      </c>
      <c r="K294" s="269">
        <f t="shared" si="31"/>
        <v>274.49119531856365</v>
      </c>
      <c r="L294" s="448"/>
      <c r="M294" s="449"/>
      <c r="N294" s="13"/>
    </row>
    <row r="295" spans="2:14">
      <c r="B295" s="185">
        <f t="shared" si="40"/>
        <v>273</v>
      </c>
      <c r="C295" s="185"/>
      <c r="D295" s="186">
        <v>7</v>
      </c>
      <c r="E295" s="179">
        <f t="shared" si="37"/>
        <v>273</v>
      </c>
      <c r="F295" s="186">
        <v>33.950000000000003</v>
      </c>
      <c r="G295" s="186">
        <f t="shared" si="38"/>
        <v>33.552</v>
      </c>
      <c r="H295" s="187" t="str">
        <f t="shared" si="39"/>
        <v>IN</v>
      </c>
      <c r="I295" s="265">
        <f t="shared" si="32"/>
        <v>9008.295999999993</v>
      </c>
      <c r="J295" s="265">
        <f t="shared" si="33"/>
        <v>2326.5840000000062</v>
      </c>
      <c r="K295" s="269">
        <f t="shared" si="31"/>
        <v>275.19960645378137</v>
      </c>
      <c r="L295" s="448"/>
      <c r="M295" s="449"/>
      <c r="N295" s="13"/>
    </row>
    <row r="296" spans="2:14">
      <c r="B296" s="185">
        <f t="shared" si="40"/>
        <v>274</v>
      </c>
      <c r="C296" s="185"/>
      <c r="D296" s="186">
        <v>7</v>
      </c>
      <c r="E296" s="179">
        <f t="shared" si="37"/>
        <v>274</v>
      </c>
      <c r="F296" s="186">
        <v>33.369999999999997</v>
      </c>
      <c r="G296" s="186">
        <f t="shared" si="38"/>
        <v>32.971999999999994</v>
      </c>
      <c r="H296" s="187" t="str">
        <f t="shared" si="39"/>
        <v>IN</v>
      </c>
      <c r="I296" s="265">
        <f t="shared" si="32"/>
        <v>9041.2679999999928</v>
      </c>
      <c r="J296" s="265">
        <f t="shared" si="33"/>
        <v>2293.6120000000064</v>
      </c>
      <c r="K296" s="269">
        <f t="shared" si="31"/>
        <v>275.89577156913663</v>
      </c>
      <c r="L296" s="448"/>
      <c r="M296" s="449"/>
      <c r="N296" s="13"/>
    </row>
    <row r="297" spans="2:14">
      <c r="B297" s="185">
        <f t="shared" si="40"/>
        <v>275</v>
      </c>
      <c r="C297" s="185"/>
      <c r="D297" s="186">
        <v>7</v>
      </c>
      <c r="E297" s="179">
        <f t="shared" si="37"/>
        <v>275</v>
      </c>
      <c r="F297" s="186">
        <v>32.65</v>
      </c>
      <c r="G297" s="186">
        <f t="shared" si="38"/>
        <v>32.251999999999995</v>
      </c>
      <c r="H297" s="187" t="str">
        <f t="shared" si="39"/>
        <v>IN</v>
      </c>
      <c r="I297" s="265">
        <f t="shared" si="32"/>
        <v>9073.5199999999932</v>
      </c>
      <c r="J297" s="265">
        <f t="shared" si="33"/>
        <v>2261.360000000006</v>
      </c>
      <c r="K297" s="269">
        <f t="shared" si="31"/>
        <v>276.57673472880049</v>
      </c>
      <c r="L297" s="448"/>
      <c r="M297" s="449"/>
      <c r="N297" s="13"/>
    </row>
    <row r="298" spans="2:14">
      <c r="B298" s="185">
        <f t="shared" si="40"/>
        <v>276</v>
      </c>
      <c r="C298" s="185"/>
      <c r="D298" s="186">
        <v>7</v>
      </c>
      <c r="E298" s="179">
        <f t="shared" si="37"/>
        <v>276</v>
      </c>
      <c r="F298" s="186">
        <v>33.32</v>
      </c>
      <c r="G298" s="186">
        <f t="shared" si="38"/>
        <v>32.921999999999997</v>
      </c>
      <c r="H298" s="187" t="str">
        <f t="shared" si="39"/>
        <v>IN</v>
      </c>
      <c r="I298" s="265">
        <f t="shared" si="32"/>
        <v>9106.4419999999936</v>
      </c>
      <c r="J298" s="265">
        <f t="shared" si="33"/>
        <v>2228.4380000000056</v>
      </c>
      <c r="K298" s="269">
        <f t="shared" si="31"/>
        <v>277.27184415278828</v>
      </c>
      <c r="L298" s="448"/>
      <c r="M298" s="449"/>
      <c r="N298" s="13"/>
    </row>
    <row r="299" spans="2:14">
      <c r="B299" s="185">
        <f t="shared" si="40"/>
        <v>277</v>
      </c>
      <c r="C299" s="185"/>
      <c r="D299" s="186">
        <v>7</v>
      </c>
      <c r="E299" s="179">
        <f t="shared" si="37"/>
        <v>277</v>
      </c>
      <c r="F299" s="186">
        <v>33.96</v>
      </c>
      <c r="G299" s="186">
        <f t="shared" si="38"/>
        <v>33.561999999999998</v>
      </c>
      <c r="H299" s="187" t="str">
        <f t="shared" si="39"/>
        <v>IN</v>
      </c>
      <c r="I299" s="265">
        <f t="shared" si="32"/>
        <v>9140.0039999999935</v>
      </c>
      <c r="J299" s="265">
        <f t="shared" si="33"/>
        <v>2194.8760000000057</v>
      </c>
      <c r="K299" s="269">
        <f t="shared" si="31"/>
        <v>277.98046642627946</v>
      </c>
      <c r="L299" s="448"/>
      <c r="M299" s="449"/>
      <c r="N299" s="13"/>
    </row>
    <row r="300" spans="2:14">
      <c r="B300" s="185">
        <f t="shared" si="40"/>
        <v>278</v>
      </c>
      <c r="C300" s="185"/>
      <c r="D300" s="186">
        <v>7</v>
      </c>
      <c r="E300" s="179">
        <f t="shared" si="37"/>
        <v>278</v>
      </c>
      <c r="F300" s="186">
        <v>33.74</v>
      </c>
      <c r="G300" s="186">
        <f t="shared" si="38"/>
        <v>33.341999999999999</v>
      </c>
      <c r="H300" s="187" t="str">
        <f t="shared" si="39"/>
        <v>IN</v>
      </c>
      <c r="I300" s="265">
        <f t="shared" si="32"/>
        <v>9173.3459999999941</v>
      </c>
      <c r="J300" s="265">
        <f t="shared" si="33"/>
        <v>2161.5340000000051</v>
      </c>
      <c r="K300" s="269">
        <f t="shared" si="31"/>
        <v>278.68444365775389</v>
      </c>
      <c r="L300" s="448"/>
      <c r="M300" s="449"/>
      <c r="N300" s="13"/>
    </row>
    <row r="301" spans="2:14">
      <c r="B301" s="185">
        <f t="shared" si="40"/>
        <v>279</v>
      </c>
      <c r="C301" s="185"/>
      <c r="D301" s="186">
        <v>7</v>
      </c>
      <c r="E301" s="179">
        <f t="shared" si="37"/>
        <v>279</v>
      </c>
      <c r="F301" s="186">
        <v>33.950000000000003</v>
      </c>
      <c r="G301" s="186">
        <f t="shared" si="38"/>
        <v>33.552</v>
      </c>
      <c r="H301" s="187" t="str">
        <f t="shared" si="39"/>
        <v>IN</v>
      </c>
      <c r="I301" s="265">
        <f t="shared" si="32"/>
        <v>9206.8979999999938</v>
      </c>
      <c r="J301" s="265">
        <f t="shared" si="33"/>
        <v>2127.9820000000054</v>
      </c>
      <c r="K301" s="269">
        <f t="shared" si="31"/>
        <v>279.3928547929716</v>
      </c>
      <c r="L301" s="448"/>
      <c r="M301" s="449"/>
      <c r="N301" s="13"/>
    </row>
    <row r="302" spans="2:14">
      <c r="B302" s="185">
        <f t="shared" si="40"/>
        <v>280</v>
      </c>
      <c r="C302" s="185"/>
      <c r="D302" s="186">
        <v>7</v>
      </c>
      <c r="E302" s="179">
        <f t="shared" si="37"/>
        <v>280</v>
      </c>
      <c r="F302" s="186">
        <v>33.22</v>
      </c>
      <c r="G302" s="186">
        <f t="shared" si="38"/>
        <v>32.821999999999996</v>
      </c>
      <c r="H302" s="187" t="str">
        <f t="shared" si="39"/>
        <v>IN</v>
      </c>
      <c r="I302" s="265">
        <f t="shared" si="32"/>
        <v>9239.7199999999939</v>
      </c>
      <c r="J302" s="265">
        <f t="shared" si="33"/>
        <v>2095.1600000000053</v>
      </c>
      <c r="K302" s="269">
        <f t="shared" si="31"/>
        <v>280.08585283422451</v>
      </c>
      <c r="L302" s="448"/>
      <c r="M302" s="449"/>
      <c r="N302" s="13"/>
    </row>
    <row r="303" spans="2:14">
      <c r="B303" s="185">
        <f t="shared" si="40"/>
        <v>281</v>
      </c>
      <c r="C303" s="185"/>
      <c r="D303" s="186">
        <v>7</v>
      </c>
      <c r="E303" s="179">
        <f t="shared" si="37"/>
        <v>281</v>
      </c>
      <c r="F303" s="186">
        <v>33.21</v>
      </c>
      <c r="G303" s="186">
        <f t="shared" si="38"/>
        <v>32.811999999999998</v>
      </c>
      <c r="H303" s="187" t="str">
        <f t="shared" si="39"/>
        <v>IN</v>
      </c>
      <c r="I303" s="265">
        <f t="shared" si="32"/>
        <v>9272.5319999999938</v>
      </c>
      <c r="J303" s="265">
        <f t="shared" si="33"/>
        <v>2062.3480000000054</v>
      </c>
      <c r="K303" s="269">
        <f t="shared" si="31"/>
        <v>280.77863973720389</v>
      </c>
      <c r="L303" s="448"/>
      <c r="M303" s="449"/>
      <c r="N303" s="13"/>
    </row>
    <row r="304" spans="2:14">
      <c r="B304" s="185">
        <f t="shared" si="40"/>
        <v>282</v>
      </c>
      <c r="C304" s="185"/>
      <c r="D304" s="186">
        <v>7</v>
      </c>
      <c r="E304" s="179">
        <f t="shared" si="37"/>
        <v>282</v>
      </c>
      <c r="F304" s="186">
        <v>33.35</v>
      </c>
      <c r="G304" s="186">
        <f t="shared" si="38"/>
        <v>32.951999999999998</v>
      </c>
      <c r="H304" s="187" t="str">
        <f t="shared" si="39"/>
        <v>IN</v>
      </c>
      <c r="I304" s="265">
        <f t="shared" si="32"/>
        <v>9305.4839999999931</v>
      </c>
      <c r="J304" s="265">
        <f t="shared" si="33"/>
        <v>2029.3960000000061</v>
      </c>
      <c r="K304" s="269">
        <f t="shared" si="31"/>
        <v>281.47438257601209</v>
      </c>
      <c r="L304" s="442"/>
      <c r="M304" s="443"/>
      <c r="N304" s="13"/>
    </row>
    <row r="305" spans="2:14">
      <c r="B305" s="185">
        <f t="shared" si="40"/>
        <v>283</v>
      </c>
      <c r="C305" s="185"/>
      <c r="D305" s="186">
        <v>7</v>
      </c>
      <c r="E305" s="179">
        <f t="shared" si="37"/>
        <v>283</v>
      </c>
      <c r="F305" s="186">
        <v>33.24</v>
      </c>
      <c r="G305" s="186">
        <f t="shared" si="38"/>
        <v>32.841999999999999</v>
      </c>
      <c r="H305" s="187" t="str">
        <f t="shared" si="39"/>
        <v>IN</v>
      </c>
      <c r="I305" s="265">
        <f t="shared" si="32"/>
        <v>9338.3259999999937</v>
      </c>
      <c r="J305" s="265">
        <f t="shared" si="33"/>
        <v>1996.5540000000055</v>
      </c>
      <c r="K305" s="269">
        <f t="shared" si="31"/>
        <v>282.167802893812</v>
      </c>
      <c r="L305" s="252"/>
      <c r="M305" s="253"/>
      <c r="N305" s="13"/>
    </row>
    <row r="306" spans="2:14">
      <c r="B306" s="185">
        <f t="shared" si="40"/>
        <v>284</v>
      </c>
      <c r="C306" s="185"/>
      <c r="D306" s="186">
        <v>7</v>
      </c>
      <c r="E306" s="179">
        <f t="shared" si="37"/>
        <v>284</v>
      </c>
      <c r="F306" s="186">
        <v>33.35</v>
      </c>
      <c r="G306" s="186">
        <f t="shared" si="38"/>
        <v>32.951999999999998</v>
      </c>
      <c r="H306" s="187" t="str">
        <f t="shared" si="39"/>
        <v>IN</v>
      </c>
      <c r="I306" s="265">
        <f t="shared" si="32"/>
        <v>9371.277999999993</v>
      </c>
      <c r="J306" s="265">
        <f t="shared" si="33"/>
        <v>1963.6020000000062</v>
      </c>
      <c r="K306" s="269">
        <f t="shared" si="31"/>
        <v>282.8635457326202</v>
      </c>
      <c r="L306" s="252"/>
      <c r="M306" s="253"/>
      <c r="N306" s="13"/>
    </row>
    <row r="307" spans="2:14">
      <c r="B307" s="185">
        <f t="shared" si="40"/>
        <v>285</v>
      </c>
      <c r="C307" s="185"/>
      <c r="D307" s="186">
        <v>7</v>
      </c>
      <c r="E307" s="179">
        <f t="shared" si="37"/>
        <v>285</v>
      </c>
      <c r="F307" s="186">
        <v>33.380000000000003</v>
      </c>
      <c r="G307" s="186">
        <f t="shared" si="38"/>
        <v>32.981999999999999</v>
      </c>
      <c r="H307" s="187" t="str">
        <f t="shared" si="39"/>
        <v>IN</v>
      </c>
      <c r="I307" s="265">
        <f t="shared" si="32"/>
        <v>9404.2599999999929</v>
      </c>
      <c r="J307" s="265">
        <f t="shared" si="33"/>
        <v>1930.6200000000063</v>
      </c>
      <c r="K307" s="269">
        <f t="shared" si="31"/>
        <v>283.55992198624892</v>
      </c>
      <c r="L307" s="252"/>
      <c r="M307" s="253"/>
      <c r="N307" s="13"/>
    </row>
    <row r="308" spans="2:14">
      <c r="B308" s="185">
        <f t="shared" si="40"/>
        <v>286</v>
      </c>
      <c r="C308" s="185"/>
      <c r="D308" s="186">
        <v>7</v>
      </c>
      <c r="E308" s="179">
        <f t="shared" si="37"/>
        <v>286</v>
      </c>
      <c r="F308" s="186">
        <v>33.380000000000003</v>
      </c>
      <c r="G308" s="186">
        <f t="shared" si="38"/>
        <v>32.981999999999999</v>
      </c>
      <c r="H308" s="187" t="str">
        <f t="shared" si="39"/>
        <v>IN</v>
      </c>
      <c r="I308" s="265">
        <f t="shared" si="32"/>
        <v>9437.2419999999929</v>
      </c>
      <c r="J308" s="265">
        <f t="shared" si="33"/>
        <v>1897.6380000000063</v>
      </c>
      <c r="K308" s="269">
        <f t="shared" si="31"/>
        <v>284.25629823987765</v>
      </c>
      <c r="L308" s="252"/>
      <c r="M308" s="253"/>
      <c r="N308" s="13"/>
    </row>
    <row r="309" spans="2:14">
      <c r="B309" s="185">
        <f t="shared" si="40"/>
        <v>287</v>
      </c>
      <c r="C309" s="185"/>
      <c r="D309" s="186">
        <v>7</v>
      </c>
      <c r="E309" s="179">
        <f t="shared" si="37"/>
        <v>287</v>
      </c>
      <c r="F309" s="186">
        <v>33.07</v>
      </c>
      <c r="G309" s="186">
        <f t="shared" si="38"/>
        <v>32.671999999999997</v>
      </c>
      <c r="H309" s="187" t="str">
        <f t="shared" si="39"/>
        <v>IN</v>
      </c>
      <c r="I309" s="265">
        <f t="shared" si="32"/>
        <v>9469.9139999999934</v>
      </c>
      <c r="J309" s="265">
        <f t="shared" si="33"/>
        <v>1864.9660000000058</v>
      </c>
      <c r="K309" s="269">
        <f t="shared" si="31"/>
        <v>284.94612920702809</v>
      </c>
      <c r="L309" s="252"/>
      <c r="M309" s="253"/>
      <c r="N309" s="13"/>
    </row>
    <row r="310" spans="2:14">
      <c r="B310" s="185">
        <f t="shared" si="40"/>
        <v>288</v>
      </c>
      <c r="C310" s="185"/>
      <c r="D310" s="186">
        <v>7</v>
      </c>
      <c r="E310" s="179">
        <f t="shared" si="37"/>
        <v>288</v>
      </c>
      <c r="F310" s="186">
        <v>33.64</v>
      </c>
      <c r="G310" s="186">
        <f t="shared" si="38"/>
        <v>33.241999999999997</v>
      </c>
      <c r="H310" s="187" t="str">
        <f t="shared" si="39"/>
        <v>IN</v>
      </c>
      <c r="I310" s="265">
        <f t="shared" si="32"/>
        <v>9503.1559999999936</v>
      </c>
      <c r="J310" s="265">
        <f t="shared" si="33"/>
        <v>1831.7240000000056</v>
      </c>
      <c r="K310" s="269">
        <f t="shared" si="31"/>
        <v>285.64799505576764</v>
      </c>
      <c r="L310" s="252"/>
      <c r="M310" s="253"/>
      <c r="N310" s="13"/>
    </row>
    <row r="311" spans="2:14">
      <c r="B311" s="185">
        <f t="shared" si="40"/>
        <v>289</v>
      </c>
      <c r="C311" s="185"/>
      <c r="D311" s="186">
        <v>7</v>
      </c>
      <c r="E311" s="179">
        <f t="shared" si="37"/>
        <v>289</v>
      </c>
      <c r="F311" s="186">
        <v>33.35</v>
      </c>
      <c r="G311" s="186">
        <f t="shared" si="38"/>
        <v>32.951999999999998</v>
      </c>
      <c r="H311" s="187" t="str">
        <f t="shared" si="39"/>
        <v>IN</v>
      </c>
      <c r="I311" s="265">
        <f t="shared" si="32"/>
        <v>9536.1079999999929</v>
      </c>
      <c r="J311" s="265">
        <f t="shared" si="33"/>
        <v>1798.7720000000063</v>
      </c>
      <c r="K311" s="269">
        <f t="shared" si="31"/>
        <v>286.34373789457584</v>
      </c>
      <c r="L311" s="447"/>
      <c r="M311" s="447"/>
      <c r="N311" s="13"/>
    </row>
    <row r="312" spans="2:14">
      <c r="B312" s="185">
        <f t="shared" si="40"/>
        <v>290</v>
      </c>
      <c r="C312" s="185"/>
      <c r="D312" s="186">
        <v>7</v>
      </c>
      <c r="E312" s="179">
        <f t="shared" si="37"/>
        <v>290</v>
      </c>
      <c r="F312" s="186">
        <v>31.77</v>
      </c>
      <c r="G312" s="186">
        <f t="shared" si="38"/>
        <v>31.372</v>
      </c>
      <c r="H312" s="187" t="str">
        <f t="shared" si="39"/>
        <v>IN</v>
      </c>
      <c r="I312" s="265">
        <f t="shared" si="32"/>
        <v>9567.4799999999923</v>
      </c>
      <c r="J312" s="265">
        <f t="shared" si="33"/>
        <v>1767.4000000000069</v>
      </c>
      <c r="K312" s="269">
        <f t="shared" si="31"/>
        <v>287.00612088617254</v>
      </c>
      <c r="L312" s="444"/>
      <c r="M312" s="444"/>
      <c r="N312" s="13"/>
    </row>
    <row r="313" spans="2:14">
      <c r="B313" s="185">
        <f t="shared" si="40"/>
        <v>291</v>
      </c>
      <c r="C313" s="185"/>
      <c r="D313" s="186">
        <v>7</v>
      </c>
      <c r="E313" s="179">
        <f t="shared" si="37"/>
        <v>291</v>
      </c>
      <c r="F313" s="186">
        <v>33.770000000000003</v>
      </c>
      <c r="G313" s="186">
        <f t="shared" si="38"/>
        <v>33.372</v>
      </c>
      <c r="H313" s="187" t="str">
        <f t="shared" si="39"/>
        <v>IN</v>
      </c>
      <c r="I313" s="265">
        <f t="shared" si="32"/>
        <v>9600.8519999999917</v>
      </c>
      <c r="J313" s="265">
        <f t="shared" si="33"/>
        <v>1734.0280000000075</v>
      </c>
      <c r="K313" s="269">
        <f t="shared" si="31"/>
        <v>287.71073153246732</v>
      </c>
      <c r="L313" s="444"/>
      <c r="M313" s="444"/>
      <c r="N313" s="13"/>
    </row>
    <row r="314" spans="2:14">
      <c r="B314" s="185">
        <f t="shared" si="40"/>
        <v>292</v>
      </c>
      <c r="C314" s="185"/>
      <c r="D314" s="186">
        <v>7</v>
      </c>
      <c r="E314" s="179">
        <f t="shared" si="37"/>
        <v>292</v>
      </c>
      <c r="F314" s="186">
        <v>33.04</v>
      </c>
      <c r="G314" s="186">
        <f t="shared" si="38"/>
        <v>32.641999999999996</v>
      </c>
      <c r="H314" s="187" t="str">
        <f t="shared" si="39"/>
        <v>IN</v>
      </c>
      <c r="I314" s="265">
        <f t="shared" si="32"/>
        <v>9633.4939999999915</v>
      </c>
      <c r="J314" s="265">
        <f t="shared" si="33"/>
        <v>1701.3860000000077</v>
      </c>
      <c r="K314" s="269">
        <f t="shared" si="31"/>
        <v>288.39992908479735</v>
      </c>
      <c r="L314" s="444"/>
      <c r="M314" s="444"/>
      <c r="N314" s="13"/>
    </row>
    <row r="315" spans="2:14">
      <c r="B315" s="188">
        <f t="shared" si="40"/>
        <v>293</v>
      </c>
      <c r="C315" s="188"/>
      <c r="D315" s="265">
        <v>7</v>
      </c>
      <c r="E315" s="179">
        <f t="shared" si="37"/>
        <v>293</v>
      </c>
      <c r="F315" s="186">
        <v>33.090000000000003</v>
      </c>
      <c r="G315" s="265">
        <f t="shared" si="38"/>
        <v>32.692</v>
      </c>
      <c r="H315" s="187" t="str">
        <f t="shared" si="39"/>
        <v>IN</v>
      </c>
      <c r="I315" s="265">
        <f t="shared" si="32"/>
        <v>9666.1859999999906</v>
      </c>
      <c r="J315" s="265">
        <f t="shared" si="33"/>
        <v>1668.6940000000086</v>
      </c>
      <c r="K315" s="269">
        <f t="shared" si="31"/>
        <v>289.09018232849485</v>
      </c>
      <c r="L315" s="447"/>
      <c r="M315" s="447"/>
      <c r="N315" s="13"/>
    </row>
    <row r="316" spans="2:14">
      <c r="B316" s="185">
        <f t="shared" si="40"/>
        <v>294</v>
      </c>
      <c r="C316" s="185"/>
      <c r="D316" s="186">
        <v>7</v>
      </c>
      <c r="E316" s="179">
        <f t="shared" si="37"/>
        <v>294</v>
      </c>
      <c r="F316" s="186">
        <v>33.840000000000003</v>
      </c>
      <c r="G316" s="186">
        <f t="shared" si="38"/>
        <v>33.442</v>
      </c>
      <c r="H316" s="187" t="str">
        <f t="shared" si="39"/>
        <v>IN</v>
      </c>
      <c r="I316" s="265">
        <f t="shared" si="32"/>
        <v>9699.6279999999897</v>
      </c>
      <c r="J316" s="265">
        <f t="shared" si="33"/>
        <v>1635.2520000000095</v>
      </c>
      <c r="K316" s="269">
        <f t="shared" si="31"/>
        <v>289.79627094270415</v>
      </c>
      <c r="L316" s="444"/>
      <c r="M316" s="444"/>
      <c r="N316" s="13"/>
    </row>
    <row r="317" spans="2:14">
      <c r="B317" s="185">
        <f t="shared" si="40"/>
        <v>295</v>
      </c>
      <c r="C317" s="185"/>
      <c r="D317" s="186">
        <v>7</v>
      </c>
      <c r="E317" s="179">
        <f t="shared" si="37"/>
        <v>295</v>
      </c>
      <c r="F317" s="186">
        <v>33.54</v>
      </c>
      <c r="G317" s="186">
        <f t="shared" si="38"/>
        <v>33.141999999999996</v>
      </c>
      <c r="H317" s="187" t="str">
        <f t="shared" si="39"/>
        <v>IN</v>
      </c>
      <c r="I317" s="265">
        <f t="shared" si="32"/>
        <v>9732.7699999999895</v>
      </c>
      <c r="J317" s="265">
        <f t="shared" si="33"/>
        <v>1602.1100000000097</v>
      </c>
      <c r="K317" s="269">
        <f t="shared" si="31"/>
        <v>290.49602540870876</v>
      </c>
      <c r="L317" s="444"/>
      <c r="M317" s="444"/>
      <c r="N317" s="13"/>
    </row>
    <row r="318" spans="2:14">
      <c r="B318" s="185">
        <f t="shared" si="40"/>
        <v>296</v>
      </c>
      <c r="C318" s="185"/>
      <c r="D318" s="186">
        <v>7</v>
      </c>
      <c r="E318" s="179">
        <f t="shared" si="37"/>
        <v>296</v>
      </c>
      <c r="F318" s="186">
        <v>31.8</v>
      </c>
      <c r="G318" s="186">
        <f t="shared" si="38"/>
        <v>31.402000000000001</v>
      </c>
      <c r="H318" s="187" t="str">
        <f t="shared" si="39"/>
        <v>IN</v>
      </c>
      <c r="I318" s="265">
        <f t="shared" si="32"/>
        <v>9764.1719999999896</v>
      </c>
      <c r="J318" s="265">
        <f t="shared" si="33"/>
        <v>1570.7080000000096</v>
      </c>
      <c r="K318" s="269">
        <f t="shared" si="31"/>
        <v>291.15904181512582</v>
      </c>
      <c r="L318" s="444"/>
      <c r="M318" s="444"/>
      <c r="N318" s="13"/>
    </row>
    <row r="319" spans="2:14">
      <c r="B319" s="185">
        <f t="shared" si="40"/>
        <v>297</v>
      </c>
      <c r="C319" s="185"/>
      <c r="D319" s="186">
        <v>7</v>
      </c>
      <c r="E319" s="179">
        <f t="shared" si="37"/>
        <v>297</v>
      </c>
      <c r="F319" s="186">
        <v>33.590000000000003</v>
      </c>
      <c r="G319" s="186">
        <f t="shared" si="38"/>
        <v>33.192</v>
      </c>
      <c r="H319" s="187" t="str">
        <f t="shared" si="39"/>
        <v>IN</v>
      </c>
      <c r="I319" s="265">
        <f t="shared" si="32"/>
        <v>9797.3639999999887</v>
      </c>
      <c r="J319" s="265">
        <f t="shared" si="33"/>
        <v>1537.5160000000105</v>
      </c>
      <c r="K319" s="269">
        <f t="shared" si="31"/>
        <v>291.85985197249789</v>
      </c>
      <c r="L319" s="444"/>
      <c r="M319" s="444"/>
      <c r="N319" s="13"/>
    </row>
    <row r="320" spans="2:14">
      <c r="B320" s="185">
        <f t="shared" si="40"/>
        <v>298</v>
      </c>
      <c r="C320" s="185"/>
      <c r="D320" s="186">
        <v>7</v>
      </c>
      <c r="E320" s="179">
        <f t="shared" si="37"/>
        <v>298</v>
      </c>
      <c r="F320" s="186">
        <v>33.49</v>
      </c>
      <c r="G320" s="186">
        <f t="shared" si="38"/>
        <v>33.091999999999999</v>
      </c>
      <c r="H320" s="187" t="str">
        <f t="shared" si="39"/>
        <v>IN</v>
      </c>
      <c r="I320" s="265">
        <f t="shared" si="32"/>
        <v>9830.4559999999892</v>
      </c>
      <c r="J320" s="265">
        <f t="shared" si="33"/>
        <v>1504.42400000001</v>
      </c>
      <c r="K320" s="269">
        <f t="shared" si="31"/>
        <v>292.55855074713497</v>
      </c>
      <c r="L320" s="444"/>
      <c r="M320" s="444"/>
      <c r="N320" s="13"/>
    </row>
    <row r="321" spans="1:14">
      <c r="B321" s="185">
        <f t="shared" si="40"/>
        <v>299</v>
      </c>
      <c r="C321" s="185"/>
      <c r="D321" s="186">
        <v>7</v>
      </c>
      <c r="E321" s="179">
        <f t="shared" si="37"/>
        <v>299</v>
      </c>
      <c r="F321" s="186">
        <v>33.04</v>
      </c>
      <c r="G321" s="186">
        <f t="shared" si="38"/>
        <v>32.641999999999996</v>
      </c>
      <c r="H321" s="187" t="str">
        <f t="shared" si="39"/>
        <v>IN</v>
      </c>
      <c r="I321" s="265">
        <f t="shared" si="32"/>
        <v>9863.097999999989</v>
      </c>
      <c r="J321" s="265">
        <f t="shared" si="33"/>
        <v>1471.7820000000102</v>
      </c>
      <c r="K321" s="269">
        <f t="shared" si="31"/>
        <v>293.247748299465</v>
      </c>
      <c r="L321" s="444"/>
      <c r="M321" s="444"/>
      <c r="N321" s="13"/>
    </row>
    <row r="322" spans="1:14" ht="13.15" customHeight="1">
      <c r="B322" s="185">
        <f t="shared" si="40"/>
        <v>300</v>
      </c>
      <c r="C322" s="185"/>
      <c r="D322" s="186">
        <v>7</v>
      </c>
      <c r="E322" s="179">
        <f t="shared" si="37"/>
        <v>300</v>
      </c>
      <c r="F322" s="186">
        <v>33.200000000000003</v>
      </c>
      <c r="G322" s="186">
        <f t="shared" si="38"/>
        <v>32.802</v>
      </c>
      <c r="H322" s="187" t="str">
        <f t="shared" si="39"/>
        <v>IN</v>
      </c>
      <c r="I322" s="265">
        <f t="shared" si="32"/>
        <v>9895.8999999999887</v>
      </c>
      <c r="J322" s="265">
        <f t="shared" si="33"/>
        <v>1438.9800000000105</v>
      </c>
      <c r="K322" s="269">
        <f t="shared" si="31"/>
        <v>293.94032406417091</v>
      </c>
      <c r="L322" s="442"/>
      <c r="M322" s="443"/>
      <c r="N322" s="13"/>
    </row>
    <row r="323" spans="1:14" ht="13.15" customHeight="1">
      <c r="B323" s="185">
        <f t="shared" si="40"/>
        <v>301</v>
      </c>
      <c r="C323" s="185"/>
      <c r="D323" s="186">
        <v>7</v>
      </c>
      <c r="E323" s="179">
        <f t="shared" si="37"/>
        <v>301</v>
      </c>
      <c r="F323" s="186">
        <v>33</v>
      </c>
      <c r="G323" s="186">
        <f t="shared" si="38"/>
        <v>32.601999999999997</v>
      </c>
      <c r="H323" s="187" t="str">
        <f t="shared" si="39"/>
        <v>IN</v>
      </c>
      <c r="I323" s="265">
        <f t="shared" si="32"/>
        <v>9928.5019999999895</v>
      </c>
      <c r="J323" s="265">
        <f t="shared" si="33"/>
        <v>1406.3780000000097</v>
      </c>
      <c r="K323" s="269">
        <f t="shared" si="31"/>
        <v>294.62867706340694</v>
      </c>
      <c r="L323" s="442"/>
      <c r="M323" s="443"/>
      <c r="N323" s="13"/>
    </row>
    <row r="324" spans="1:14" ht="13.15" customHeight="1">
      <c r="B324" s="185">
        <f t="shared" si="40"/>
        <v>302</v>
      </c>
      <c r="C324" s="185"/>
      <c r="D324" s="186">
        <v>7</v>
      </c>
      <c r="E324" s="179">
        <f t="shared" si="37"/>
        <v>302</v>
      </c>
      <c r="F324" s="186">
        <v>31.87</v>
      </c>
      <c r="G324" s="186">
        <f t="shared" si="38"/>
        <v>31.472000000000001</v>
      </c>
      <c r="H324" s="187" t="str">
        <f t="shared" si="39"/>
        <v>IN</v>
      </c>
      <c r="I324" s="265">
        <f t="shared" si="32"/>
        <v>9959.9739999999892</v>
      </c>
      <c r="J324" s="265">
        <f t="shared" si="33"/>
        <v>1374.90600000001</v>
      </c>
      <c r="K324" s="269">
        <f t="shared" si="31"/>
        <v>295.29317143773852</v>
      </c>
      <c r="L324" s="442"/>
      <c r="M324" s="443"/>
      <c r="N324" s="13"/>
    </row>
    <row r="325" spans="1:14" ht="13.15" customHeight="1">
      <c r="B325" s="185">
        <f t="shared" si="40"/>
        <v>303</v>
      </c>
      <c r="C325" s="185"/>
      <c r="D325" s="186">
        <v>7</v>
      </c>
      <c r="E325" s="179">
        <f t="shared" si="37"/>
        <v>303</v>
      </c>
      <c r="F325" s="186">
        <v>33.53</v>
      </c>
      <c r="G325" s="186">
        <f t="shared" si="38"/>
        <v>33.131999999999998</v>
      </c>
      <c r="H325" s="187" t="str">
        <f t="shared" si="39"/>
        <v>IN</v>
      </c>
      <c r="I325" s="265">
        <f t="shared" si="32"/>
        <v>9993.1059999999889</v>
      </c>
      <c r="J325" s="265">
        <f t="shared" si="33"/>
        <v>1341.7740000000103</v>
      </c>
      <c r="K325" s="269">
        <f t="shared" si="31"/>
        <v>295.9927147654696</v>
      </c>
      <c r="L325" s="442"/>
      <c r="M325" s="443"/>
      <c r="N325" s="13"/>
    </row>
    <row r="326" spans="1:14" ht="13.15" customHeight="1">
      <c r="B326" s="185">
        <f t="shared" si="40"/>
        <v>304</v>
      </c>
      <c r="C326" s="185"/>
      <c r="D326" s="186">
        <v>7</v>
      </c>
      <c r="E326" s="179">
        <f t="shared" si="37"/>
        <v>304</v>
      </c>
      <c r="F326" s="186">
        <v>33.770000000000003</v>
      </c>
      <c r="G326" s="186">
        <f t="shared" si="38"/>
        <v>33.372</v>
      </c>
      <c r="H326" s="187" t="str">
        <f t="shared" si="39"/>
        <v>IN</v>
      </c>
      <c r="I326" s="265">
        <f t="shared" si="32"/>
        <v>10026.477999999988</v>
      </c>
      <c r="J326" s="265">
        <f t="shared" si="33"/>
        <v>1308.402000000011</v>
      </c>
      <c r="K326" s="269">
        <f t="shared" si="31"/>
        <v>296.6973254117645</v>
      </c>
      <c r="L326" s="442" t="s">
        <v>185</v>
      </c>
      <c r="M326" s="443"/>
      <c r="N326" s="13"/>
    </row>
    <row r="327" spans="1:14" ht="13.15" customHeight="1">
      <c r="B327" s="185">
        <f t="shared" si="40"/>
        <v>305</v>
      </c>
      <c r="C327" s="185"/>
      <c r="D327" s="186">
        <v>7</v>
      </c>
      <c r="E327" s="179">
        <f t="shared" si="37"/>
        <v>305</v>
      </c>
      <c r="F327" s="186">
        <v>33.229999999999997</v>
      </c>
      <c r="G327" s="186">
        <f t="shared" si="38"/>
        <v>32.831999999999994</v>
      </c>
      <c r="H327" s="187" t="str">
        <f t="shared" si="39"/>
        <v>IN</v>
      </c>
      <c r="I327" s="265">
        <f t="shared" si="32"/>
        <v>10059.309999999989</v>
      </c>
      <c r="J327" s="265">
        <f t="shared" si="33"/>
        <v>1275.5700000000106</v>
      </c>
      <c r="K327" s="269">
        <f t="shared" si="31"/>
        <v>297.39053459129082</v>
      </c>
      <c r="L327" s="442"/>
      <c r="M327" s="443"/>
      <c r="N327" s="13"/>
    </row>
    <row r="328" spans="1:14" s="322" customFormat="1" ht="13.15" customHeight="1" thickBot="1">
      <c r="A328" s="264"/>
      <c r="B328" s="185">
        <f t="shared" si="40"/>
        <v>306</v>
      </c>
      <c r="C328" s="185"/>
      <c r="D328" s="186">
        <v>7</v>
      </c>
      <c r="E328" s="179">
        <f t="shared" si="37"/>
        <v>306</v>
      </c>
      <c r="F328" s="186">
        <v>33.630000000000003</v>
      </c>
      <c r="G328" s="186">
        <f t="shared" si="38"/>
        <v>33.231999999999999</v>
      </c>
      <c r="H328" s="187" t="str">
        <f t="shared" si="39"/>
        <v>IN</v>
      </c>
      <c r="I328" s="186">
        <f t="shared" si="32"/>
        <v>10092.541999999989</v>
      </c>
      <c r="J328" s="186">
        <f t="shared" si="33"/>
        <v>1242.3380000000107</v>
      </c>
      <c r="K328" s="370">
        <f t="shared" si="31"/>
        <v>298.09218930175689</v>
      </c>
      <c r="L328" s="283"/>
      <c r="M328" s="284"/>
      <c r="N328" s="399"/>
    </row>
    <row r="329" spans="1:14" ht="13.15" customHeight="1">
      <c r="B329" s="533" t="s">
        <v>95</v>
      </c>
      <c r="C329" s="534">
        <v>11849287</v>
      </c>
      <c r="D329" s="530" t="s">
        <v>69</v>
      </c>
      <c r="E329" s="530"/>
      <c r="F329" s="309">
        <v>6.21</v>
      </c>
      <c r="G329" s="306">
        <f t="shared" si="38"/>
        <v>5.8120000000000003</v>
      </c>
      <c r="H329" s="266" t="str">
        <f t="shared" si="39"/>
        <v>IN</v>
      </c>
      <c r="I329" s="306">
        <f t="shared" si="32"/>
        <v>10098.353999999988</v>
      </c>
      <c r="J329" s="306">
        <f t="shared" si="33"/>
        <v>1236.5260000000108</v>
      </c>
      <c r="K329" s="268">
        <f t="shared" si="31"/>
        <v>298.2149028663099</v>
      </c>
      <c r="L329" s="531" t="s">
        <v>96</v>
      </c>
      <c r="M329" s="532"/>
      <c r="N329" s="13"/>
    </row>
    <row r="330" spans="1:14" ht="13.15" customHeight="1">
      <c r="B330" s="533"/>
      <c r="C330" s="534"/>
      <c r="D330" s="530" t="s">
        <v>70</v>
      </c>
      <c r="E330" s="530"/>
      <c r="F330" s="309">
        <v>5.61</v>
      </c>
      <c r="G330" s="301">
        <f>F330</f>
        <v>5.61</v>
      </c>
      <c r="H330" s="266" t="str">
        <f t="shared" si="39"/>
        <v>IN</v>
      </c>
      <c r="I330" s="306">
        <f t="shared" si="32"/>
        <v>10103.963999999989</v>
      </c>
      <c r="J330" s="306">
        <f t="shared" si="33"/>
        <v>1230.9160000000102</v>
      </c>
      <c r="K330" s="268">
        <f t="shared" si="31"/>
        <v>298.33335143773854</v>
      </c>
      <c r="L330" s="535" t="s">
        <v>184</v>
      </c>
      <c r="M330" s="536"/>
      <c r="N330" s="13"/>
    </row>
    <row r="331" spans="1:14" ht="13.15" customHeight="1">
      <c r="B331" s="533"/>
      <c r="C331" s="534"/>
      <c r="D331" s="530" t="s">
        <v>28</v>
      </c>
      <c r="E331" s="530"/>
      <c r="F331" s="309">
        <v>8.4700000000000006</v>
      </c>
      <c r="G331" s="301">
        <f>F331</f>
        <v>8.4700000000000006</v>
      </c>
      <c r="H331" s="181" t="str">
        <f t="shared" si="39"/>
        <v>IN</v>
      </c>
      <c r="I331" s="301">
        <f t="shared" si="32"/>
        <v>10112.433999999988</v>
      </c>
      <c r="J331" s="301">
        <f t="shared" si="33"/>
        <v>1222.4460000000108</v>
      </c>
      <c r="K331" s="183">
        <f t="shared" si="31"/>
        <v>298.51218555538554</v>
      </c>
      <c r="L331" s="537"/>
      <c r="M331" s="538"/>
      <c r="N331" s="13"/>
    </row>
    <row r="332" spans="1:14" ht="13.15" customHeight="1">
      <c r="B332" s="533"/>
      <c r="C332" s="534"/>
      <c r="D332" s="530" t="s">
        <v>70</v>
      </c>
      <c r="E332" s="530"/>
      <c r="F332" s="309">
        <v>11.62</v>
      </c>
      <c r="G332" s="301">
        <f>F332</f>
        <v>11.62</v>
      </c>
      <c r="H332" s="266" t="str">
        <f t="shared" si="39"/>
        <v>IN</v>
      </c>
      <c r="I332" s="306">
        <f t="shared" si="32"/>
        <v>10124.053999999989</v>
      </c>
      <c r="J332" s="306">
        <f t="shared" si="33"/>
        <v>1210.82600000001</v>
      </c>
      <c r="K332" s="268">
        <f t="shared" si="31"/>
        <v>298.75752822918241</v>
      </c>
      <c r="L332" s="539" t="s">
        <v>172</v>
      </c>
      <c r="M332" s="540"/>
      <c r="N332" s="13"/>
    </row>
    <row r="333" spans="1:14" ht="13.15" customHeight="1" thickBot="1">
      <c r="B333" s="533"/>
      <c r="C333" s="534"/>
      <c r="D333" s="530" t="s">
        <v>69</v>
      </c>
      <c r="E333" s="530"/>
      <c r="F333" s="309">
        <v>7.91</v>
      </c>
      <c r="G333" s="301">
        <f>F333</f>
        <v>7.91</v>
      </c>
      <c r="H333" s="266" t="str">
        <f t="shared" si="39"/>
        <v>IN</v>
      </c>
      <c r="I333" s="306">
        <f t="shared" si="32"/>
        <v>10131.963999999989</v>
      </c>
      <c r="J333" s="306">
        <f t="shared" si="33"/>
        <v>1202.9160000000102</v>
      </c>
      <c r="K333" s="268">
        <f t="shared" si="31"/>
        <v>298.92453860351389</v>
      </c>
      <c r="L333" s="541" t="s">
        <v>127</v>
      </c>
      <c r="M333" s="542"/>
      <c r="N333" s="13"/>
    </row>
    <row r="334" spans="1:14">
      <c r="B334" s="185">
        <v>307</v>
      </c>
      <c r="C334" s="185"/>
      <c r="D334" s="186">
        <v>7</v>
      </c>
      <c r="E334" s="179">
        <v>307</v>
      </c>
      <c r="F334" s="286">
        <v>33.96</v>
      </c>
      <c r="G334" s="186">
        <f t="shared" si="38"/>
        <v>33.561999999999998</v>
      </c>
      <c r="H334" s="187" t="str">
        <f t="shared" si="39"/>
        <v>IN</v>
      </c>
      <c r="I334" s="265">
        <f t="shared" si="32"/>
        <v>10165.525999999989</v>
      </c>
      <c r="J334" s="265">
        <f t="shared" si="33"/>
        <v>1169.3540000000103</v>
      </c>
      <c r="K334" s="269">
        <f t="shared" si="31"/>
        <v>299.63316087700514</v>
      </c>
      <c r="L334" s="283"/>
      <c r="M334" s="284"/>
      <c r="N334" s="13"/>
    </row>
    <row r="335" spans="1:14">
      <c r="B335" s="185">
        <f t="shared" si="40"/>
        <v>308</v>
      </c>
      <c r="C335" s="185"/>
      <c r="D335" s="186">
        <v>7</v>
      </c>
      <c r="E335" s="179">
        <f t="shared" si="37"/>
        <v>308</v>
      </c>
      <c r="F335" s="286">
        <v>33.049999999999997</v>
      </c>
      <c r="G335" s="186">
        <f t="shared" si="38"/>
        <v>32.651999999999994</v>
      </c>
      <c r="H335" s="187" t="str">
        <f t="shared" ref="H335" si="41">IF(F335="","OUT","IN")</f>
        <v>IN</v>
      </c>
      <c r="I335" s="265">
        <f t="shared" si="32"/>
        <v>10198.177999999989</v>
      </c>
      <c r="J335" s="265">
        <f t="shared" si="33"/>
        <v>1136.7020000000102</v>
      </c>
      <c r="K335" s="269">
        <f t="shared" ref="K335:K393" si="42">$H$9+(I335*$E$10*$H$11/1000)</f>
        <v>300.32256956760864</v>
      </c>
      <c r="L335" s="283"/>
      <c r="M335" s="284"/>
      <c r="N335" s="13"/>
    </row>
    <row r="336" spans="1:14">
      <c r="B336" s="185">
        <f>B335+1</f>
        <v>309</v>
      </c>
      <c r="C336" s="185"/>
      <c r="D336" s="186">
        <v>7</v>
      </c>
      <c r="E336" s="179">
        <f>E335+1</f>
        <v>309</v>
      </c>
      <c r="F336" s="286">
        <v>33.299999999999997</v>
      </c>
      <c r="G336" s="186">
        <f t="shared" ref="G336" si="43">F336-($E$12)</f>
        <v>32.901999999999994</v>
      </c>
      <c r="H336" s="187" t="str">
        <f t="shared" si="39"/>
        <v>IN</v>
      </c>
      <c r="I336" s="265">
        <f t="shared" ref="I336" si="44">IF(H336="IN",I335+G336,I335)</f>
        <v>10231.079999999989</v>
      </c>
      <c r="J336" s="265">
        <f t="shared" ref="J336" si="45">IF(I336="","",$L$9-I336)</f>
        <v>1103.8000000000102</v>
      </c>
      <c r="K336" s="269">
        <f t="shared" ref="K336" si="46">$H$9+(I336*$E$10*$H$11/1000)</f>
        <v>301.01725671504948</v>
      </c>
      <c r="L336" s="283"/>
      <c r="M336" s="284"/>
      <c r="N336" s="13"/>
    </row>
    <row r="337" spans="1:14">
      <c r="B337" s="185">
        <f>B336+1</f>
        <v>310</v>
      </c>
      <c r="C337" s="185"/>
      <c r="D337" s="186">
        <v>7</v>
      </c>
      <c r="E337" s="179">
        <f>E336+1</f>
        <v>310</v>
      </c>
      <c r="F337" s="286">
        <v>33.58</v>
      </c>
      <c r="G337" s="186">
        <f t="shared" si="38"/>
        <v>33.181999999999995</v>
      </c>
      <c r="H337" s="187" t="str">
        <f t="shared" si="39"/>
        <v>IN</v>
      </c>
      <c r="I337" s="265">
        <f t="shared" ref="I337:I396" si="47">IF(H337="IN",I336+G337,I336)</f>
        <v>10264.26199999999</v>
      </c>
      <c r="J337" s="265">
        <f t="shared" ref="J337:J396" si="48">IF(I337="","",$L$9-I337)</f>
        <v>1070.6180000000095</v>
      </c>
      <c r="K337" s="269">
        <f t="shared" si="42"/>
        <v>301.71785573414797</v>
      </c>
      <c r="L337" s="520"/>
      <c r="M337" s="520"/>
      <c r="N337" s="13"/>
    </row>
    <row r="338" spans="1:14">
      <c r="B338" s="185">
        <f t="shared" si="40"/>
        <v>311</v>
      </c>
      <c r="C338" s="185"/>
      <c r="D338" s="186">
        <v>7</v>
      </c>
      <c r="E338" s="179">
        <f t="shared" ref="E338:E345" si="49">E337+1</f>
        <v>311</v>
      </c>
      <c r="F338" s="286">
        <v>32.869999999999997</v>
      </c>
      <c r="G338" s="186">
        <f t="shared" si="38"/>
        <v>32.471999999999994</v>
      </c>
      <c r="H338" s="187" t="str">
        <f t="shared" si="39"/>
        <v>IN</v>
      </c>
      <c r="I338" s="265">
        <f t="shared" si="47"/>
        <v>10296.733999999989</v>
      </c>
      <c r="J338" s="265">
        <f t="shared" si="48"/>
        <v>1038.1460000000097</v>
      </c>
      <c r="K338" s="269">
        <f t="shared" si="42"/>
        <v>302.40346393582865</v>
      </c>
      <c r="L338" s="283"/>
      <c r="M338" s="284"/>
      <c r="N338" s="13"/>
    </row>
    <row r="339" spans="1:14">
      <c r="B339" s="185">
        <f t="shared" si="40"/>
        <v>312</v>
      </c>
      <c r="C339" s="185"/>
      <c r="D339" s="186">
        <v>7</v>
      </c>
      <c r="E339" s="179">
        <f t="shared" si="49"/>
        <v>312</v>
      </c>
      <c r="F339" s="286">
        <v>31.75</v>
      </c>
      <c r="G339" s="186">
        <f t="shared" si="38"/>
        <v>31.352</v>
      </c>
      <c r="H339" s="187" t="str">
        <f t="shared" si="39"/>
        <v>IN</v>
      </c>
      <c r="I339" s="265">
        <f t="shared" si="47"/>
        <v>10328.08599999999</v>
      </c>
      <c r="J339" s="265">
        <f t="shared" si="48"/>
        <v>1006.794000000009</v>
      </c>
      <c r="K339" s="269">
        <f t="shared" si="42"/>
        <v>303.0654246508783</v>
      </c>
      <c r="L339" s="283"/>
      <c r="M339" s="284"/>
      <c r="N339" s="13"/>
    </row>
    <row r="340" spans="1:14">
      <c r="B340" s="185">
        <f>B339+1</f>
        <v>313</v>
      </c>
      <c r="C340" s="185"/>
      <c r="D340" s="186">
        <v>7</v>
      </c>
      <c r="E340" s="179">
        <f t="shared" si="49"/>
        <v>313</v>
      </c>
      <c r="F340" s="286">
        <v>33.96</v>
      </c>
      <c r="G340" s="186">
        <f t="shared" si="38"/>
        <v>33.561999999999998</v>
      </c>
      <c r="H340" s="187" t="str">
        <f t="shared" si="39"/>
        <v>IN</v>
      </c>
      <c r="I340" s="186">
        <f t="shared" si="47"/>
        <v>10361.64799999999</v>
      </c>
      <c r="J340" s="186">
        <f t="shared" si="48"/>
        <v>973.23200000000907</v>
      </c>
      <c r="K340" s="370">
        <f t="shared" si="42"/>
        <v>303.77404692436954</v>
      </c>
      <c r="L340" s="520"/>
      <c r="M340" s="520"/>
      <c r="N340" s="13"/>
    </row>
    <row r="341" spans="1:14">
      <c r="B341" s="185">
        <f t="shared" ref="B341:B405" si="50">B340+1</f>
        <v>314</v>
      </c>
      <c r="C341" s="185"/>
      <c r="D341" s="186">
        <v>7</v>
      </c>
      <c r="E341" s="179">
        <f t="shared" si="49"/>
        <v>314</v>
      </c>
      <c r="F341" s="286">
        <v>33.14</v>
      </c>
      <c r="G341" s="186">
        <f t="shared" si="38"/>
        <v>32.741999999999997</v>
      </c>
      <c r="H341" s="187" t="str">
        <f t="shared" si="39"/>
        <v>IN</v>
      </c>
      <c r="I341" s="186">
        <f t="shared" si="47"/>
        <v>10394.38999999999</v>
      </c>
      <c r="J341" s="186">
        <f t="shared" si="48"/>
        <v>940.49000000000888</v>
      </c>
      <c r="K341" s="370">
        <f t="shared" si="42"/>
        <v>304.46535585943445</v>
      </c>
      <c r="L341" s="520"/>
      <c r="M341" s="520"/>
      <c r="N341" s="13"/>
    </row>
    <row r="342" spans="1:14">
      <c r="B342" s="185">
        <f t="shared" si="50"/>
        <v>315</v>
      </c>
      <c r="C342" s="185"/>
      <c r="D342" s="186">
        <v>7</v>
      </c>
      <c r="E342" s="179">
        <f t="shared" si="49"/>
        <v>315</v>
      </c>
      <c r="F342" s="286">
        <v>33.409999999999997</v>
      </c>
      <c r="G342" s="186">
        <f t="shared" si="38"/>
        <v>33.011999999999993</v>
      </c>
      <c r="H342" s="187" t="str">
        <f t="shared" si="39"/>
        <v>IN</v>
      </c>
      <c r="I342" s="186">
        <f t="shared" si="47"/>
        <v>10427.401999999991</v>
      </c>
      <c r="J342" s="186">
        <f t="shared" si="48"/>
        <v>907.47800000000825</v>
      </c>
      <c r="K342" s="370">
        <f t="shared" si="42"/>
        <v>305.16236552788371</v>
      </c>
      <c r="L342" s="520"/>
      <c r="M342" s="520"/>
      <c r="N342" s="13"/>
    </row>
    <row r="343" spans="1:14">
      <c r="B343" s="185">
        <f t="shared" si="50"/>
        <v>316</v>
      </c>
      <c r="C343" s="185"/>
      <c r="D343" s="186">
        <v>7</v>
      </c>
      <c r="E343" s="179">
        <f t="shared" si="49"/>
        <v>316</v>
      </c>
      <c r="F343" s="286">
        <v>33.950000000000003</v>
      </c>
      <c r="G343" s="186">
        <f t="shared" si="38"/>
        <v>33.552</v>
      </c>
      <c r="H343" s="187" t="str">
        <f t="shared" si="39"/>
        <v>IN</v>
      </c>
      <c r="I343" s="186">
        <f t="shared" si="47"/>
        <v>10460.953999999991</v>
      </c>
      <c r="J343" s="186">
        <f t="shared" si="48"/>
        <v>873.92600000000857</v>
      </c>
      <c r="K343" s="370">
        <f t="shared" si="42"/>
        <v>305.87077666310142</v>
      </c>
      <c r="L343" s="445"/>
      <c r="M343" s="446"/>
      <c r="N343" s="13"/>
    </row>
    <row r="344" spans="1:14">
      <c r="A344" s="264"/>
      <c r="B344" s="185">
        <f t="shared" si="50"/>
        <v>317</v>
      </c>
      <c r="C344" s="185"/>
      <c r="D344" s="186">
        <v>7</v>
      </c>
      <c r="E344" s="179">
        <f t="shared" si="49"/>
        <v>317</v>
      </c>
      <c r="F344" s="286">
        <v>33.950000000000003</v>
      </c>
      <c r="G344" s="186">
        <f t="shared" ref="G344:G405" si="51">F344-($E$12)</f>
        <v>33.552</v>
      </c>
      <c r="H344" s="187" t="str">
        <f t="shared" ref="H344:H408" si="52">IF(F344="","OUT","IN")</f>
        <v>IN</v>
      </c>
      <c r="I344" s="265">
        <f t="shared" si="47"/>
        <v>10494.50599999999</v>
      </c>
      <c r="J344" s="265">
        <f t="shared" si="48"/>
        <v>840.37400000000889</v>
      </c>
      <c r="K344" s="269">
        <f t="shared" si="42"/>
        <v>306.57918779831914</v>
      </c>
      <c r="L344" s="445"/>
      <c r="M344" s="446"/>
      <c r="N344" s="13"/>
    </row>
    <row r="345" spans="1:14">
      <c r="A345" s="264"/>
      <c r="B345" s="185">
        <f t="shared" si="50"/>
        <v>318</v>
      </c>
      <c r="C345" s="185"/>
      <c r="D345" s="186">
        <v>7</v>
      </c>
      <c r="E345" s="179">
        <f t="shared" si="49"/>
        <v>318</v>
      </c>
      <c r="F345" s="286">
        <v>33.96</v>
      </c>
      <c r="G345" s="186">
        <f t="shared" si="51"/>
        <v>33.561999999999998</v>
      </c>
      <c r="H345" s="187" t="str">
        <f t="shared" si="52"/>
        <v>IN</v>
      </c>
      <c r="I345" s="265">
        <f t="shared" si="47"/>
        <v>10528.06799999999</v>
      </c>
      <c r="J345" s="265">
        <f t="shared" si="48"/>
        <v>806.81200000000899</v>
      </c>
      <c r="K345" s="269">
        <f t="shared" si="42"/>
        <v>307.28781007181033</v>
      </c>
      <c r="L345" s="445"/>
      <c r="M345" s="446"/>
      <c r="N345" s="13"/>
    </row>
    <row r="346" spans="1:14">
      <c r="A346" s="264"/>
      <c r="B346" s="185">
        <f t="shared" si="50"/>
        <v>319</v>
      </c>
      <c r="C346" s="185"/>
      <c r="D346" s="186">
        <v>7</v>
      </c>
      <c r="E346" s="179">
        <f t="shared" ref="E346:E405" si="53">E345+1</f>
        <v>319</v>
      </c>
      <c r="F346" s="286">
        <v>33.96</v>
      </c>
      <c r="G346" s="186">
        <f t="shared" si="51"/>
        <v>33.561999999999998</v>
      </c>
      <c r="H346" s="187" t="str">
        <f t="shared" si="52"/>
        <v>IN</v>
      </c>
      <c r="I346" s="265">
        <f t="shared" si="47"/>
        <v>10561.62999999999</v>
      </c>
      <c r="J346" s="265">
        <f t="shared" si="48"/>
        <v>773.25000000000909</v>
      </c>
      <c r="K346" s="269">
        <f t="shared" si="42"/>
        <v>307.99643234530157</v>
      </c>
      <c r="L346" s="277"/>
      <c r="M346" s="278"/>
      <c r="N346" s="13"/>
    </row>
    <row r="347" spans="1:14">
      <c r="A347" s="264"/>
      <c r="B347" s="185">
        <f t="shared" si="50"/>
        <v>320</v>
      </c>
      <c r="C347" s="185"/>
      <c r="D347" s="186">
        <v>7</v>
      </c>
      <c r="E347" s="179">
        <f t="shared" si="53"/>
        <v>320</v>
      </c>
      <c r="F347" s="286">
        <v>32.090000000000003</v>
      </c>
      <c r="G347" s="186">
        <f t="shared" si="51"/>
        <v>31.692000000000004</v>
      </c>
      <c r="H347" s="187" t="str">
        <f t="shared" si="52"/>
        <v>IN</v>
      </c>
      <c r="I347" s="265">
        <f t="shared" si="47"/>
        <v>10593.321999999989</v>
      </c>
      <c r="J347" s="265">
        <f t="shared" si="48"/>
        <v>741.55800000001</v>
      </c>
      <c r="K347" s="269">
        <f t="shared" si="42"/>
        <v>308.66557176164991</v>
      </c>
      <c r="L347" s="277"/>
      <c r="M347" s="278"/>
      <c r="N347" s="13"/>
    </row>
    <row r="348" spans="1:14">
      <c r="A348" s="264"/>
      <c r="B348" s="185">
        <f t="shared" si="50"/>
        <v>321</v>
      </c>
      <c r="C348" s="185"/>
      <c r="D348" s="186">
        <v>7</v>
      </c>
      <c r="E348" s="179">
        <f t="shared" si="53"/>
        <v>321</v>
      </c>
      <c r="F348" s="286">
        <v>32.96</v>
      </c>
      <c r="G348" s="186">
        <f t="shared" si="51"/>
        <v>32.561999999999998</v>
      </c>
      <c r="H348" s="187" t="str">
        <f t="shared" si="52"/>
        <v>IN</v>
      </c>
      <c r="I348" s="265">
        <f t="shared" si="47"/>
        <v>10625.883999999989</v>
      </c>
      <c r="J348" s="265">
        <f t="shared" si="48"/>
        <v>708.9960000000101</v>
      </c>
      <c r="K348" s="269">
        <f t="shared" si="42"/>
        <v>309.353080207792</v>
      </c>
      <c r="L348" s="277"/>
      <c r="M348" s="278"/>
      <c r="N348" s="13"/>
    </row>
    <row r="349" spans="1:14">
      <c r="A349" s="264"/>
      <c r="B349" s="185">
        <f t="shared" si="50"/>
        <v>322</v>
      </c>
      <c r="C349" s="185"/>
      <c r="D349" s="186">
        <v>7</v>
      </c>
      <c r="E349" s="179">
        <f t="shared" si="53"/>
        <v>322</v>
      </c>
      <c r="F349" s="286">
        <v>33.96</v>
      </c>
      <c r="G349" s="186">
        <f t="shared" si="51"/>
        <v>33.561999999999998</v>
      </c>
      <c r="H349" s="187" t="str">
        <f t="shared" si="52"/>
        <v>IN</v>
      </c>
      <c r="I349" s="265">
        <f t="shared" si="47"/>
        <v>10659.445999999989</v>
      </c>
      <c r="J349" s="265">
        <f t="shared" si="48"/>
        <v>675.4340000000102</v>
      </c>
      <c r="K349" s="269">
        <f t="shared" si="42"/>
        <v>310.06170248128319</v>
      </c>
      <c r="L349" s="277"/>
      <c r="M349" s="278"/>
      <c r="N349" s="13"/>
    </row>
    <row r="350" spans="1:14">
      <c r="A350" s="264"/>
      <c r="B350" s="185">
        <f t="shared" si="50"/>
        <v>323</v>
      </c>
      <c r="C350" s="185"/>
      <c r="D350" s="186">
        <v>7</v>
      </c>
      <c r="E350" s="179">
        <f t="shared" si="53"/>
        <v>323</v>
      </c>
      <c r="F350" s="286">
        <v>31.55</v>
      </c>
      <c r="G350" s="186">
        <f t="shared" si="51"/>
        <v>31.152000000000001</v>
      </c>
      <c r="H350" s="187" t="str">
        <f t="shared" si="52"/>
        <v>IN</v>
      </c>
      <c r="I350" s="265">
        <f t="shared" si="47"/>
        <v>10690.597999999989</v>
      </c>
      <c r="J350" s="265">
        <f t="shared" si="48"/>
        <v>644.28200000001016</v>
      </c>
      <c r="K350" s="269">
        <f t="shared" si="42"/>
        <v>310.71944043086307</v>
      </c>
      <c r="L350" s="277"/>
      <c r="M350" s="278"/>
      <c r="N350" s="13"/>
    </row>
    <row r="351" spans="1:14">
      <c r="A351" s="264"/>
      <c r="B351" s="185">
        <f t="shared" si="50"/>
        <v>324</v>
      </c>
      <c r="C351" s="185"/>
      <c r="D351" s="186">
        <v>7</v>
      </c>
      <c r="E351" s="179">
        <f t="shared" si="53"/>
        <v>324</v>
      </c>
      <c r="F351" s="286">
        <v>33.950000000000003</v>
      </c>
      <c r="G351" s="186">
        <f t="shared" si="51"/>
        <v>33.552</v>
      </c>
      <c r="H351" s="187" t="str">
        <f t="shared" si="52"/>
        <v>IN</v>
      </c>
      <c r="I351" s="265">
        <f t="shared" si="47"/>
        <v>10724.149999999989</v>
      </c>
      <c r="J351" s="265">
        <f t="shared" si="48"/>
        <v>610.73000000001048</v>
      </c>
      <c r="K351" s="269">
        <f t="shared" si="42"/>
        <v>311.42785156608079</v>
      </c>
      <c r="L351" s="277"/>
      <c r="M351" s="278"/>
      <c r="N351" s="13"/>
    </row>
    <row r="352" spans="1:14">
      <c r="A352" s="264"/>
      <c r="B352" s="185">
        <f t="shared" si="50"/>
        <v>325</v>
      </c>
      <c r="C352" s="185"/>
      <c r="D352" s="186">
        <v>7</v>
      </c>
      <c r="E352" s="179">
        <f t="shared" si="53"/>
        <v>325</v>
      </c>
      <c r="F352" s="286">
        <v>33.79</v>
      </c>
      <c r="G352" s="186">
        <f t="shared" si="51"/>
        <v>33.391999999999996</v>
      </c>
      <c r="H352" s="187" t="str">
        <f t="shared" si="52"/>
        <v>IN</v>
      </c>
      <c r="I352" s="265">
        <f t="shared" si="47"/>
        <v>10757.541999999989</v>
      </c>
      <c r="J352" s="265">
        <f t="shared" si="48"/>
        <v>577.33800000001065</v>
      </c>
      <c r="K352" s="269">
        <f t="shared" si="42"/>
        <v>312.13288448892263</v>
      </c>
      <c r="L352" s="277"/>
      <c r="M352" s="278"/>
      <c r="N352" s="13"/>
    </row>
    <row r="353" spans="1:14">
      <c r="A353" s="264"/>
      <c r="B353" s="185">
        <f t="shared" si="50"/>
        <v>326</v>
      </c>
      <c r="C353" s="185"/>
      <c r="D353" s="186">
        <v>7</v>
      </c>
      <c r="E353" s="179">
        <f t="shared" si="53"/>
        <v>326</v>
      </c>
      <c r="F353" s="286">
        <v>33.71</v>
      </c>
      <c r="G353" s="186">
        <f t="shared" si="51"/>
        <v>33.311999999999998</v>
      </c>
      <c r="H353" s="187" t="str">
        <f t="shared" si="52"/>
        <v>IN</v>
      </c>
      <c r="I353" s="265">
        <f t="shared" si="47"/>
        <v>10790.853999999988</v>
      </c>
      <c r="J353" s="265">
        <f t="shared" si="48"/>
        <v>544.02600000001075</v>
      </c>
      <c r="K353" s="269">
        <f t="shared" si="42"/>
        <v>312.83622830557653</v>
      </c>
      <c r="L353" s="277"/>
      <c r="M353" s="278"/>
      <c r="N353" s="13"/>
    </row>
    <row r="354" spans="1:14">
      <c r="A354" s="264"/>
      <c r="B354" s="185">
        <f t="shared" si="50"/>
        <v>327</v>
      </c>
      <c r="C354" s="185"/>
      <c r="D354" s="186">
        <v>7</v>
      </c>
      <c r="E354" s="179">
        <f t="shared" si="53"/>
        <v>327</v>
      </c>
      <c r="F354" s="286">
        <v>33.950000000000003</v>
      </c>
      <c r="G354" s="186">
        <f t="shared" si="51"/>
        <v>33.552</v>
      </c>
      <c r="H354" s="187" t="str">
        <f t="shared" si="52"/>
        <v>IN</v>
      </c>
      <c r="I354" s="265">
        <f t="shared" si="47"/>
        <v>10824.405999999988</v>
      </c>
      <c r="J354" s="265">
        <f t="shared" si="48"/>
        <v>510.47400000001107</v>
      </c>
      <c r="K354" s="269">
        <f t="shared" si="42"/>
        <v>313.5446394407943</v>
      </c>
      <c r="L354" s="277"/>
      <c r="M354" s="278"/>
      <c r="N354" s="13"/>
    </row>
    <row r="355" spans="1:14">
      <c r="A355" s="264"/>
      <c r="B355" s="185">
        <f t="shared" si="50"/>
        <v>328</v>
      </c>
      <c r="C355" s="185"/>
      <c r="D355" s="186">
        <v>7</v>
      </c>
      <c r="E355" s="179">
        <f t="shared" si="53"/>
        <v>328</v>
      </c>
      <c r="F355" s="286">
        <v>33.950000000000003</v>
      </c>
      <c r="G355" s="186">
        <f t="shared" si="51"/>
        <v>33.552</v>
      </c>
      <c r="H355" s="187" t="str">
        <f t="shared" si="52"/>
        <v>IN</v>
      </c>
      <c r="I355" s="265">
        <f t="shared" si="47"/>
        <v>10857.957999999988</v>
      </c>
      <c r="J355" s="265">
        <f t="shared" si="48"/>
        <v>476.92200000001139</v>
      </c>
      <c r="K355" s="269">
        <f t="shared" si="42"/>
        <v>314.25305057601201</v>
      </c>
      <c r="L355" s="277"/>
      <c r="M355" s="278"/>
      <c r="N355" s="13"/>
    </row>
    <row r="356" spans="1:14">
      <c r="A356" s="264"/>
      <c r="B356" s="185">
        <f t="shared" si="50"/>
        <v>329</v>
      </c>
      <c r="C356" s="185"/>
      <c r="D356" s="186">
        <v>7</v>
      </c>
      <c r="E356" s="179">
        <f t="shared" si="53"/>
        <v>329</v>
      </c>
      <c r="F356" s="286">
        <v>33.96</v>
      </c>
      <c r="G356" s="186">
        <f t="shared" si="51"/>
        <v>33.561999999999998</v>
      </c>
      <c r="H356" s="187" t="str">
        <f t="shared" si="52"/>
        <v>IN</v>
      </c>
      <c r="I356" s="265">
        <f t="shared" si="47"/>
        <v>10891.519999999988</v>
      </c>
      <c r="J356" s="265">
        <f t="shared" si="48"/>
        <v>443.3600000000115</v>
      </c>
      <c r="K356" s="269">
        <f t="shared" si="42"/>
        <v>314.9616728495032</v>
      </c>
      <c r="L356" s="277"/>
      <c r="M356" s="278"/>
      <c r="N356" s="13"/>
    </row>
    <row r="357" spans="1:14">
      <c r="A357" s="264"/>
      <c r="B357" s="185">
        <f t="shared" si="50"/>
        <v>330</v>
      </c>
      <c r="C357" s="185"/>
      <c r="D357" s="186">
        <v>7</v>
      </c>
      <c r="E357" s="179">
        <f t="shared" si="53"/>
        <v>330</v>
      </c>
      <c r="F357" s="286">
        <v>33.96</v>
      </c>
      <c r="G357" s="186">
        <f t="shared" si="51"/>
        <v>33.561999999999998</v>
      </c>
      <c r="H357" s="187" t="str">
        <f t="shared" si="52"/>
        <v>IN</v>
      </c>
      <c r="I357" s="265">
        <f t="shared" si="47"/>
        <v>10925.081999999988</v>
      </c>
      <c r="J357" s="265">
        <f t="shared" si="48"/>
        <v>409.7980000000116</v>
      </c>
      <c r="K357" s="269">
        <f t="shared" si="42"/>
        <v>315.67029512299439</v>
      </c>
      <c r="L357" s="277"/>
      <c r="M357" s="278"/>
      <c r="N357" s="13"/>
    </row>
    <row r="358" spans="1:14">
      <c r="A358" s="264"/>
      <c r="B358" s="185">
        <f t="shared" si="50"/>
        <v>331</v>
      </c>
      <c r="C358" s="185"/>
      <c r="D358" s="186">
        <v>7</v>
      </c>
      <c r="E358" s="179">
        <f t="shared" si="53"/>
        <v>331</v>
      </c>
      <c r="F358" s="286">
        <v>33.96</v>
      </c>
      <c r="G358" s="186">
        <f t="shared" si="51"/>
        <v>33.561999999999998</v>
      </c>
      <c r="H358" s="187" t="str">
        <f t="shared" si="52"/>
        <v>IN</v>
      </c>
      <c r="I358" s="265">
        <f t="shared" si="47"/>
        <v>10958.643999999987</v>
      </c>
      <c r="J358" s="265">
        <f t="shared" si="48"/>
        <v>376.2360000000117</v>
      </c>
      <c r="K358" s="269">
        <f t="shared" si="42"/>
        <v>316.37891739648558</v>
      </c>
      <c r="L358" s="277"/>
      <c r="M358" s="278"/>
      <c r="N358" s="13"/>
    </row>
    <row r="359" spans="1:14">
      <c r="A359" s="264"/>
      <c r="B359" s="185">
        <f t="shared" si="50"/>
        <v>332</v>
      </c>
      <c r="C359" s="185"/>
      <c r="D359" s="186">
        <v>7</v>
      </c>
      <c r="E359" s="179">
        <f t="shared" si="53"/>
        <v>332</v>
      </c>
      <c r="F359" s="286">
        <v>33.65</v>
      </c>
      <c r="G359" s="186">
        <f t="shared" si="51"/>
        <v>33.251999999999995</v>
      </c>
      <c r="H359" s="187" t="str">
        <f t="shared" si="52"/>
        <v>IN</v>
      </c>
      <c r="I359" s="265">
        <f t="shared" si="47"/>
        <v>10991.895999999988</v>
      </c>
      <c r="J359" s="265">
        <f t="shared" si="48"/>
        <v>342.98400000001129</v>
      </c>
      <c r="K359" s="269">
        <f t="shared" si="42"/>
        <v>317.08099438349859</v>
      </c>
      <c r="L359" s="277"/>
      <c r="M359" s="278"/>
      <c r="N359" s="13"/>
    </row>
    <row r="360" spans="1:14">
      <c r="A360" s="264"/>
      <c r="B360" s="185">
        <f t="shared" si="50"/>
        <v>333</v>
      </c>
      <c r="C360" s="185"/>
      <c r="D360" s="186">
        <v>7</v>
      </c>
      <c r="E360" s="179">
        <f t="shared" si="53"/>
        <v>333</v>
      </c>
      <c r="F360" s="286">
        <v>33.96</v>
      </c>
      <c r="G360" s="186">
        <f t="shared" si="51"/>
        <v>33.561999999999998</v>
      </c>
      <c r="H360" s="187" t="str">
        <f t="shared" si="52"/>
        <v>IN</v>
      </c>
      <c r="I360" s="265">
        <f t="shared" si="47"/>
        <v>11025.457999999988</v>
      </c>
      <c r="J360" s="265">
        <f t="shared" si="48"/>
        <v>309.42200000001139</v>
      </c>
      <c r="K360" s="269">
        <f t="shared" si="42"/>
        <v>317.78961665698984</v>
      </c>
      <c r="L360" s="277"/>
      <c r="M360" s="278"/>
      <c r="N360" s="13"/>
    </row>
    <row r="361" spans="1:14">
      <c r="A361" s="264"/>
      <c r="B361" s="185">
        <f t="shared" si="50"/>
        <v>334</v>
      </c>
      <c r="C361" s="185"/>
      <c r="D361" s="186">
        <v>7</v>
      </c>
      <c r="E361" s="179">
        <f t="shared" si="53"/>
        <v>334</v>
      </c>
      <c r="F361" s="286">
        <v>33.96</v>
      </c>
      <c r="G361" s="186">
        <f t="shared" si="51"/>
        <v>33.561999999999998</v>
      </c>
      <c r="H361" s="187" t="str">
        <f t="shared" si="52"/>
        <v>IN</v>
      </c>
      <c r="I361" s="265">
        <f t="shared" si="47"/>
        <v>11059.019999999988</v>
      </c>
      <c r="J361" s="265">
        <f t="shared" si="48"/>
        <v>275.8600000000115</v>
      </c>
      <c r="K361" s="269">
        <f t="shared" si="42"/>
        <v>318.49823893048102</v>
      </c>
      <c r="L361" s="277"/>
      <c r="M361" s="278"/>
      <c r="N361" s="13"/>
    </row>
    <row r="362" spans="1:14">
      <c r="A362" s="264"/>
      <c r="B362" s="185">
        <f t="shared" si="50"/>
        <v>335</v>
      </c>
      <c r="C362" s="185"/>
      <c r="D362" s="186">
        <v>7</v>
      </c>
      <c r="E362" s="179">
        <f t="shared" si="53"/>
        <v>335</v>
      </c>
      <c r="F362" s="286">
        <v>33.950000000000003</v>
      </c>
      <c r="G362" s="186">
        <f t="shared" si="51"/>
        <v>33.552</v>
      </c>
      <c r="H362" s="187" t="str">
        <f t="shared" si="52"/>
        <v>IN</v>
      </c>
      <c r="I362" s="265">
        <f t="shared" si="47"/>
        <v>11092.571999999987</v>
      </c>
      <c r="J362" s="265">
        <f t="shared" si="48"/>
        <v>242.30800000001182</v>
      </c>
      <c r="K362" s="269">
        <f t="shared" si="42"/>
        <v>319.20665006569874</v>
      </c>
      <c r="L362" s="277"/>
      <c r="M362" s="278"/>
      <c r="N362" s="13"/>
    </row>
    <row r="363" spans="1:14">
      <c r="A363" s="264"/>
      <c r="B363" s="185">
        <f t="shared" si="50"/>
        <v>336</v>
      </c>
      <c r="C363" s="185"/>
      <c r="D363" s="186">
        <v>7</v>
      </c>
      <c r="E363" s="179">
        <f t="shared" si="53"/>
        <v>336</v>
      </c>
      <c r="F363" s="286">
        <v>33.96</v>
      </c>
      <c r="G363" s="186">
        <f t="shared" si="51"/>
        <v>33.561999999999998</v>
      </c>
      <c r="H363" s="187" t="str">
        <f t="shared" si="52"/>
        <v>IN</v>
      </c>
      <c r="I363" s="265">
        <f t="shared" si="47"/>
        <v>11126.133999999987</v>
      </c>
      <c r="J363" s="265">
        <f t="shared" si="48"/>
        <v>208.74600000001192</v>
      </c>
      <c r="K363" s="269">
        <f t="shared" si="42"/>
        <v>319.91527233918998</v>
      </c>
      <c r="L363" s="277"/>
      <c r="M363" s="278"/>
      <c r="N363" s="13"/>
    </row>
    <row r="364" spans="1:14">
      <c r="A364" s="264"/>
      <c r="B364" s="185">
        <f t="shared" si="50"/>
        <v>337</v>
      </c>
      <c r="C364" s="185"/>
      <c r="D364" s="186">
        <v>7</v>
      </c>
      <c r="E364" s="179">
        <f t="shared" si="53"/>
        <v>337</v>
      </c>
      <c r="F364" s="287">
        <v>33.96</v>
      </c>
      <c r="G364" s="186">
        <f t="shared" si="51"/>
        <v>33.561999999999998</v>
      </c>
      <c r="H364" s="187" t="s">
        <v>110</v>
      </c>
      <c r="I364" s="186">
        <f t="shared" si="47"/>
        <v>11159.695999999987</v>
      </c>
      <c r="J364" s="186">
        <f t="shared" si="48"/>
        <v>175.18400000001202</v>
      </c>
      <c r="K364" s="370">
        <f t="shared" si="42"/>
        <v>320.62389461268117</v>
      </c>
      <c r="L364" s="277"/>
      <c r="M364" s="278"/>
      <c r="N364" s="13"/>
    </row>
    <row r="365" spans="1:14">
      <c r="A365" s="264"/>
      <c r="B365" s="371">
        <f t="shared" si="50"/>
        <v>338</v>
      </c>
      <c r="C365" s="371"/>
      <c r="D365" s="306">
        <v>7</v>
      </c>
      <c r="E365" s="372">
        <f t="shared" si="53"/>
        <v>338</v>
      </c>
      <c r="F365" s="398">
        <v>33.51</v>
      </c>
      <c r="G365" s="306">
        <f t="shared" si="51"/>
        <v>33.111999999999995</v>
      </c>
      <c r="H365" s="266" t="s">
        <v>25</v>
      </c>
      <c r="I365" s="306">
        <f t="shared" si="47"/>
        <v>11159.695999999987</v>
      </c>
      <c r="J365" s="306">
        <f t="shared" si="48"/>
        <v>175.18400000001202</v>
      </c>
      <c r="K365" s="268">
        <f t="shared" si="42"/>
        <v>320.62389461268117</v>
      </c>
      <c r="L365" s="277"/>
      <c r="M365" s="278"/>
      <c r="N365" s="13"/>
    </row>
    <row r="366" spans="1:14">
      <c r="A366" s="264"/>
      <c r="B366" s="371">
        <f t="shared" si="50"/>
        <v>339</v>
      </c>
      <c r="C366" s="371"/>
      <c r="D366" s="306">
        <v>7</v>
      </c>
      <c r="E366" s="372">
        <f t="shared" si="53"/>
        <v>339</v>
      </c>
      <c r="F366" s="398">
        <v>33.950000000000003</v>
      </c>
      <c r="G366" s="306">
        <f t="shared" si="51"/>
        <v>33.552</v>
      </c>
      <c r="H366" s="266" t="s">
        <v>25</v>
      </c>
      <c r="I366" s="306">
        <f t="shared" si="47"/>
        <v>11159.695999999987</v>
      </c>
      <c r="J366" s="306">
        <f t="shared" si="48"/>
        <v>175.18400000001202</v>
      </c>
      <c r="K366" s="268">
        <f t="shared" si="42"/>
        <v>320.62389461268117</v>
      </c>
      <c r="L366" s="277"/>
      <c r="M366" s="278"/>
      <c r="N366" s="13"/>
    </row>
    <row r="367" spans="1:14">
      <c r="A367" s="264"/>
      <c r="B367" s="371">
        <f t="shared" si="50"/>
        <v>340</v>
      </c>
      <c r="C367" s="371"/>
      <c r="D367" s="306">
        <v>7</v>
      </c>
      <c r="E367" s="372">
        <f t="shared" si="53"/>
        <v>340</v>
      </c>
      <c r="F367" s="398">
        <v>33.950000000000003</v>
      </c>
      <c r="G367" s="306">
        <f t="shared" si="51"/>
        <v>33.552</v>
      </c>
      <c r="H367" s="266" t="s">
        <v>25</v>
      </c>
      <c r="I367" s="306">
        <f t="shared" si="47"/>
        <v>11159.695999999987</v>
      </c>
      <c r="J367" s="306">
        <f t="shared" si="48"/>
        <v>175.18400000001202</v>
      </c>
      <c r="K367" s="268">
        <f t="shared" si="42"/>
        <v>320.62389461268117</v>
      </c>
      <c r="L367" s="277"/>
      <c r="M367" s="278"/>
      <c r="N367" s="13"/>
    </row>
    <row r="368" spans="1:14">
      <c r="A368" s="264"/>
      <c r="B368" s="371">
        <f t="shared" si="50"/>
        <v>341</v>
      </c>
      <c r="C368" s="371"/>
      <c r="D368" s="306">
        <v>7</v>
      </c>
      <c r="E368" s="372">
        <f t="shared" si="53"/>
        <v>341</v>
      </c>
      <c r="F368" s="398">
        <v>33.71</v>
      </c>
      <c r="G368" s="306">
        <f t="shared" si="51"/>
        <v>33.311999999999998</v>
      </c>
      <c r="H368" s="266" t="s">
        <v>25</v>
      </c>
      <c r="I368" s="306">
        <f t="shared" si="47"/>
        <v>11159.695999999987</v>
      </c>
      <c r="J368" s="306">
        <f t="shared" si="48"/>
        <v>175.18400000001202</v>
      </c>
      <c r="K368" s="268">
        <f t="shared" si="42"/>
        <v>320.62389461268117</v>
      </c>
      <c r="L368" s="277"/>
      <c r="M368" s="278"/>
      <c r="N368" s="13"/>
    </row>
    <row r="369" spans="1:14">
      <c r="A369" s="264"/>
      <c r="B369" s="371">
        <f t="shared" si="50"/>
        <v>342</v>
      </c>
      <c r="C369" s="371"/>
      <c r="D369" s="306">
        <v>7</v>
      </c>
      <c r="E369" s="372">
        <f t="shared" si="53"/>
        <v>342</v>
      </c>
      <c r="F369" s="398">
        <v>33.96</v>
      </c>
      <c r="G369" s="306">
        <f t="shared" si="51"/>
        <v>33.561999999999998</v>
      </c>
      <c r="H369" s="266" t="s">
        <v>25</v>
      </c>
      <c r="I369" s="306">
        <f t="shared" si="47"/>
        <v>11159.695999999987</v>
      </c>
      <c r="J369" s="306">
        <f t="shared" si="48"/>
        <v>175.18400000001202</v>
      </c>
      <c r="K369" s="268">
        <f t="shared" si="42"/>
        <v>320.62389461268117</v>
      </c>
      <c r="L369" s="277"/>
      <c r="M369" s="278"/>
      <c r="N369" s="13"/>
    </row>
    <row r="370" spans="1:14">
      <c r="A370" s="264"/>
      <c r="B370" s="371">
        <f t="shared" si="50"/>
        <v>343</v>
      </c>
      <c r="C370" s="371"/>
      <c r="D370" s="306">
        <v>7</v>
      </c>
      <c r="E370" s="372">
        <f t="shared" si="53"/>
        <v>343</v>
      </c>
      <c r="F370" s="398">
        <v>33.25</v>
      </c>
      <c r="G370" s="306">
        <f t="shared" si="51"/>
        <v>32.851999999999997</v>
      </c>
      <c r="H370" s="266" t="s">
        <v>25</v>
      </c>
      <c r="I370" s="306">
        <f t="shared" si="47"/>
        <v>11159.695999999987</v>
      </c>
      <c r="J370" s="306">
        <f t="shared" si="48"/>
        <v>175.18400000001202</v>
      </c>
      <c r="K370" s="268">
        <f t="shared" si="42"/>
        <v>320.62389461268117</v>
      </c>
      <c r="L370" s="277"/>
      <c r="M370" s="278"/>
      <c r="N370" s="13"/>
    </row>
    <row r="371" spans="1:14" s="264" customFormat="1">
      <c r="B371" s="371">
        <f t="shared" si="50"/>
        <v>344</v>
      </c>
      <c r="C371" s="371"/>
      <c r="D371" s="306">
        <v>7</v>
      </c>
      <c r="E371" s="372">
        <f t="shared" si="53"/>
        <v>344</v>
      </c>
      <c r="F371" s="398">
        <v>31.67</v>
      </c>
      <c r="G371" s="306">
        <f t="shared" si="51"/>
        <v>31.272000000000002</v>
      </c>
      <c r="H371" s="266" t="s">
        <v>25</v>
      </c>
      <c r="I371" s="306">
        <f t="shared" si="47"/>
        <v>11159.695999999987</v>
      </c>
      <c r="J371" s="306">
        <f t="shared" si="48"/>
        <v>175.18400000001202</v>
      </c>
      <c r="K371" s="268">
        <f t="shared" si="42"/>
        <v>320.62389461268117</v>
      </c>
      <c r="L371" s="416"/>
      <c r="M371" s="417"/>
      <c r="N371" s="346"/>
    </row>
    <row r="372" spans="1:14">
      <c r="A372" s="264"/>
      <c r="B372" s="371">
        <f t="shared" si="50"/>
        <v>345</v>
      </c>
      <c r="C372" s="371"/>
      <c r="D372" s="306">
        <v>7</v>
      </c>
      <c r="E372" s="372">
        <f t="shared" si="53"/>
        <v>345</v>
      </c>
      <c r="F372" s="398">
        <v>32.700000000000003</v>
      </c>
      <c r="G372" s="306">
        <f t="shared" si="51"/>
        <v>32.302</v>
      </c>
      <c r="H372" s="266" t="s">
        <v>25</v>
      </c>
      <c r="I372" s="306">
        <f t="shared" si="47"/>
        <v>11159.695999999987</v>
      </c>
      <c r="J372" s="306">
        <f t="shared" si="48"/>
        <v>175.18400000001202</v>
      </c>
      <c r="K372" s="268">
        <f t="shared" si="42"/>
        <v>320.62389461268117</v>
      </c>
      <c r="L372" s="277"/>
      <c r="M372" s="278"/>
      <c r="N372" s="13"/>
    </row>
    <row r="373" spans="1:14">
      <c r="A373" s="264"/>
      <c r="B373" s="371">
        <f t="shared" si="50"/>
        <v>346</v>
      </c>
      <c r="C373" s="371"/>
      <c r="D373" s="306">
        <v>7</v>
      </c>
      <c r="E373" s="372">
        <f t="shared" si="53"/>
        <v>346</v>
      </c>
      <c r="F373" s="398">
        <v>33.33</v>
      </c>
      <c r="G373" s="306">
        <f t="shared" si="51"/>
        <v>32.931999999999995</v>
      </c>
      <c r="H373" s="266" t="s">
        <v>25</v>
      </c>
      <c r="I373" s="306">
        <f t="shared" si="47"/>
        <v>11159.695999999987</v>
      </c>
      <c r="J373" s="306">
        <f t="shared" si="48"/>
        <v>175.18400000001202</v>
      </c>
      <c r="K373" s="268">
        <f t="shared" si="42"/>
        <v>320.62389461268117</v>
      </c>
      <c r="L373" s="277"/>
      <c r="M373" s="278"/>
      <c r="N373" s="13"/>
    </row>
    <row r="374" spans="1:14">
      <c r="A374" s="264"/>
      <c r="B374" s="371">
        <f t="shared" si="50"/>
        <v>347</v>
      </c>
      <c r="C374" s="371"/>
      <c r="D374" s="306">
        <v>7</v>
      </c>
      <c r="E374" s="372">
        <f t="shared" si="53"/>
        <v>347</v>
      </c>
      <c r="F374" s="397">
        <v>33.909999999999997</v>
      </c>
      <c r="G374" s="306">
        <f t="shared" si="51"/>
        <v>33.511999999999993</v>
      </c>
      <c r="H374" s="266" t="s">
        <v>25</v>
      </c>
      <c r="I374" s="306">
        <f t="shared" si="47"/>
        <v>11159.695999999987</v>
      </c>
      <c r="J374" s="306">
        <f t="shared" si="48"/>
        <v>175.18400000001202</v>
      </c>
      <c r="K374" s="268">
        <f t="shared" si="42"/>
        <v>320.62389461268117</v>
      </c>
      <c r="L374" s="277"/>
      <c r="M374" s="278"/>
      <c r="N374" s="13"/>
    </row>
    <row r="375" spans="1:14">
      <c r="A375" s="264"/>
      <c r="B375" s="371">
        <f t="shared" si="50"/>
        <v>348</v>
      </c>
      <c r="C375" s="371"/>
      <c r="D375" s="306">
        <v>7</v>
      </c>
      <c r="E375" s="372">
        <f t="shared" si="53"/>
        <v>348</v>
      </c>
      <c r="F375" s="397">
        <v>33.15</v>
      </c>
      <c r="G375" s="306">
        <f t="shared" si="51"/>
        <v>32.751999999999995</v>
      </c>
      <c r="H375" s="266" t="s">
        <v>25</v>
      </c>
      <c r="I375" s="306">
        <f t="shared" si="47"/>
        <v>11159.695999999987</v>
      </c>
      <c r="J375" s="306">
        <f t="shared" si="48"/>
        <v>175.18400000001202</v>
      </c>
      <c r="K375" s="268">
        <f t="shared" si="42"/>
        <v>320.62389461268117</v>
      </c>
      <c r="L375" s="277"/>
      <c r="M375" s="278"/>
      <c r="N375" s="13"/>
    </row>
    <row r="376" spans="1:14">
      <c r="A376" s="264"/>
      <c r="B376" s="371">
        <f t="shared" si="50"/>
        <v>349</v>
      </c>
      <c r="C376" s="371"/>
      <c r="D376" s="306">
        <v>7</v>
      </c>
      <c r="E376" s="372">
        <f t="shared" si="53"/>
        <v>349</v>
      </c>
      <c r="F376" s="397">
        <v>33.729999999999997</v>
      </c>
      <c r="G376" s="306">
        <f t="shared" si="51"/>
        <v>33.331999999999994</v>
      </c>
      <c r="H376" s="266" t="s">
        <v>25</v>
      </c>
      <c r="I376" s="306">
        <f t="shared" si="47"/>
        <v>11159.695999999987</v>
      </c>
      <c r="J376" s="306">
        <f t="shared" si="48"/>
        <v>175.18400000001202</v>
      </c>
      <c r="K376" s="268">
        <f t="shared" si="42"/>
        <v>320.62389461268117</v>
      </c>
      <c r="L376" s="277"/>
      <c r="M376" s="278"/>
      <c r="N376" s="13"/>
    </row>
    <row r="377" spans="1:14">
      <c r="A377" s="264"/>
      <c r="B377" s="371">
        <f t="shared" si="50"/>
        <v>350</v>
      </c>
      <c r="C377" s="371"/>
      <c r="D377" s="306">
        <v>7</v>
      </c>
      <c r="E377" s="372">
        <f t="shared" si="53"/>
        <v>350</v>
      </c>
      <c r="F377" s="397">
        <v>33.33</v>
      </c>
      <c r="G377" s="306">
        <f t="shared" si="51"/>
        <v>32.931999999999995</v>
      </c>
      <c r="H377" s="266" t="s">
        <v>25</v>
      </c>
      <c r="I377" s="306">
        <f t="shared" si="47"/>
        <v>11159.695999999987</v>
      </c>
      <c r="J377" s="306">
        <f t="shared" si="48"/>
        <v>175.18400000001202</v>
      </c>
      <c r="K377" s="268">
        <f t="shared" si="42"/>
        <v>320.62389461268117</v>
      </c>
      <c r="L377" s="277"/>
      <c r="M377" s="278"/>
      <c r="N377" s="13"/>
    </row>
    <row r="378" spans="1:14">
      <c r="A378" s="264"/>
      <c r="B378" s="371">
        <f t="shared" si="50"/>
        <v>351</v>
      </c>
      <c r="C378" s="371"/>
      <c r="D378" s="306">
        <v>7</v>
      </c>
      <c r="E378" s="372">
        <f t="shared" si="53"/>
        <v>351</v>
      </c>
      <c r="F378" s="397">
        <v>33.74</v>
      </c>
      <c r="G378" s="306">
        <f t="shared" si="51"/>
        <v>33.341999999999999</v>
      </c>
      <c r="H378" s="266" t="s">
        <v>25</v>
      </c>
      <c r="I378" s="306">
        <f t="shared" si="47"/>
        <v>11159.695999999987</v>
      </c>
      <c r="J378" s="306">
        <f t="shared" si="48"/>
        <v>175.18400000001202</v>
      </c>
      <c r="K378" s="268">
        <f t="shared" si="42"/>
        <v>320.62389461268117</v>
      </c>
      <c r="L378" s="277"/>
      <c r="M378" s="278"/>
      <c r="N378" s="13"/>
    </row>
    <row r="379" spans="1:14">
      <c r="A379" s="264"/>
      <c r="B379" s="371">
        <f t="shared" si="50"/>
        <v>352</v>
      </c>
      <c r="C379" s="371"/>
      <c r="D379" s="306">
        <v>7</v>
      </c>
      <c r="E379" s="372">
        <f t="shared" si="53"/>
        <v>352</v>
      </c>
      <c r="F379" s="397">
        <v>33.47</v>
      </c>
      <c r="G379" s="306">
        <f t="shared" si="51"/>
        <v>33.071999999999996</v>
      </c>
      <c r="H379" s="266" t="s">
        <v>25</v>
      </c>
      <c r="I379" s="306">
        <f t="shared" si="47"/>
        <v>11159.695999999987</v>
      </c>
      <c r="J379" s="306">
        <f t="shared" si="48"/>
        <v>175.18400000001202</v>
      </c>
      <c r="K379" s="268">
        <f t="shared" si="42"/>
        <v>320.62389461268117</v>
      </c>
      <c r="L379" s="277"/>
      <c r="M379" s="278"/>
      <c r="N379" s="13"/>
    </row>
    <row r="380" spans="1:14">
      <c r="A380" s="264"/>
      <c r="B380" s="371">
        <f t="shared" si="50"/>
        <v>353</v>
      </c>
      <c r="C380" s="371"/>
      <c r="D380" s="306">
        <v>7</v>
      </c>
      <c r="E380" s="372">
        <f t="shared" si="53"/>
        <v>353</v>
      </c>
      <c r="F380" s="397">
        <v>32.97</v>
      </c>
      <c r="G380" s="306">
        <f t="shared" si="51"/>
        <v>32.571999999999996</v>
      </c>
      <c r="H380" s="266" t="s">
        <v>25</v>
      </c>
      <c r="I380" s="306">
        <f t="shared" si="47"/>
        <v>11159.695999999987</v>
      </c>
      <c r="J380" s="306">
        <f t="shared" si="48"/>
        <v>175.18400000001202</v>
      </c>
      <c r="K380" s="268">
        <f t="shared" si="42"/>
        <v>320.62389461268117</v>
      </c>
      <c r="L380" s="277"/>
      <c r="M380" s="278"/>
      <c r="N380" s="13"/>
    </row>
    <row r="381" spans="1:14">
      <c r="A381" s="264"/>
      <c r="B381" s="371">
        <f t="shared" si="50"/>
        <v>354</v>
      </c>
      <c r="C381" s="371"/>
      <c r="D381" s="306">
        <v>7</v>
      </c>
      <c r="E381" s="372">
        <f t="shared" si="53"/>
        <v>354</v>
      </c>
      <c r="F381" s="397">
        <v>33.54</v>
      </c>
      <c r="G381" s="306">
        <f t="shared" si="51"/>
        <v>33.141999999999996</v>
      </c>
      <c r="H381" s="266" t="s">
        <v>25</v>
      </c>
      <c r="I381" s="306">
        <f t="shared" si="47"/>
        <v>11159.695999999987</v>
      </c>
      <c r="J381" s="306">
        <f t="shared" si="48"/>
        <v>175.18400000001202</v>
      </c>
      <c r="K381" s="268">
        <f t="shared" si="42"/>
        <v>320.62389461268117</v>
      </c>
      <c r="L381" s="277"/>
      <c r="M381" s="278"/>
      <c r="N381" s="13"/>
    </row>
    <row r="382" spans="1:14">
      <c r="A382" s="264"/>
      <c r="B382" s="371">
        <f t="shared" si="50"/>
        <v>355</v>
      </c>
      <c r="C382" s="371"/>
      <c r="D382" s="306">
        <v>7</v>
      </c>
      <c r="E382" s="372">
        <f t="shared" si="53"/>
        <v>355</v>
      </c>
      <c r="F382" s="397">
        <v>33.43</v>
      </c>
      <c r="G382" s="306">
        <f t="shared" si="51"/>
        <v>33.031999999999996</v>
      </c>
      <c r="H382" s="266" t="s">
        <v>25</v>
      </c>
      <c r="I382" s="306">
        <f t="shared" si="47"/>
        <v>11159.695999999987</v>
      </c>
      <c r="J382" s="306">
        <f t="shared" si="48"/>
        <v>175.18400000001202</v>
      </c>
      <c r="K382" s="268">
        <f t="shared" si="42"/>
        <v>320.62389461268117</v>
      </c>
      <c r="L382" s="277"/>
      <c r="M382" s="278"/>
      <c r="N382" s="13"/>
    </row>
    <row r="383" spans="1:14">
      <c r="A383" s="264"/>
      <c r="B383" s="371">
        <f t="shared" si="50"/>
        <v>356</v>
      </c>
      <c r="C383" s="371"/>
      <c r="D383" s="306">
        <v>7</v>
      </c>
      <c r="E383" s="372">
        <f t="shared" si="53"/>
        <v>356</v>
      </c>
      <c r="F383" s="397">
        <v>33.68</v>
      </c>
      <c r="G383" s="306">
        <f t="shared" si="51"/>
        <v>33.281999999999996</v>
      </c>
      <c r="H383" s="266" t="s">
        <v>25</v>
      </c>
      <c r="I383" s="306">
        <f t="shared" si="47"/>
        <v>11159.695999999987</v>
      </c>
      <c r="J383" s="306">
        <f t="shared" si="48"/>
        <v>175.18400000001202</v>
      </c>
      <c r="K383" s="268">
        <f t="shared" si="42"/>
        <v>320.62389461268117</v>
      </c>
      <c r="L383" s="277"/>
      <c r="M383" s="278"/>
      <c r="N383" s="13"/>
    </row>
    <row r="384" spans="1:14">
      <c r="A384" s="264"/>
      <c r="B384" s="371">
        <f t="shared" si="50"/>
        <v>357</v>
      </c>
      <c r="C384" s="371"/>
      <c r="D384" s="306">
        <v>7</v>
      </c>
      <c r="E384" s="372">
        <f t="shared" si="53"/>
        <v>357</v>
      </c>
      <c r="F384" s="397">
        <v>33.630000000000003</v>
      </c>
      <c r="G384" s="306">
        <f t="shared" si="51"/>
        <v>33.231999999999999</v>
      </c>
      <c r="H384" s="266" t="s">
        <v>25</v>
      </c>
      <c r="I384" s="306">
        <f t="shared" si="47"/>
        <v>11159.695999999987</v>
      </c>
      <c r="J384" s="306">
        <f t="shared" si="48"/>
        <v>175.18400000001202</v>
      </c>
      <c r="K384" s="268">
        <f t="shared" si="42"/>
        <v>320.62389461268117</v>
      </c>
      <c r="L384" s="277"/>
      <c r="M384" s="278"/>
      <c r="N384" s="13"/>
    </row>
    <row r="385" spans="1:17">
      <c r="A385" s="264"/>
      <c r="B385" s="371">
        <f t="shared" si="50"/>
        <v>358</v>
      </c>
      <c r="C385" s="371"/>
      <c r="D385" s="306">
        <v>7</v>
      </c>
      <c r="E385" s="372">
        <f t="shared" si="53"/>
        <v>358</v>
      </c>
      <c r="F385" s="397">
        <v>33.47</v>
      </c>
      <c r="G385" s="306">
        <f t="shared" si="51"/>
        <v>33.071999999999996</v>
      </c>
      <c r="H385" s="266" t="s">
        <v>25</v>
      </c>
      <c r="I385" s="306">
        <f t="shared" si="47"/>
        <v>11159.695999999987</v>
      </c>
      <c r="J385" s="306">
        <f t="shared" si="48"/>
        <v>175.18400000001202</v>
      </c>
      <c r="K385" s="268">
        <f t="shared" si="42"/>
        <v>320.62389461268117</v>
      </c>
      <c r="L385" s="277"/>
      <c r="M385" s="278"/>
      <c r="N385" s="13"/>
    </row>
    <row r="386" spans="1:17">
      <c r="A386" s="264"/>
      <c r="B386" s="371">
        <f t="shared" si="50"/>
        <v>359</v>
      </c>
      <c r="C386" s="371"/>
      <c r="D386" s="306">
        <v>7</v>
      </c>
      <c r="E386" s="372">
        <f t="shared" si="53"/>
        <v>359</v>
      </c>
      <c r="F386" s="397">
        <v>31.55</v>
      </c>
      <c r="G386" s="306">
        <f t="shared" si="51"/>
        <v>31.152000000000001</v>
      </c>
      <c r="H386" s="266" t="s">
        <v>25</v>
      </c>
      <c r="I386" s="306">
        <f t="shared" si="47"/>
        <v>11159.695999999987</v>
      </c>
      <c r="J386" s="306">
        <f t="shared" si="48"/>
        <v>175.18400000001202</v>
      </c>
      <c r="K386" s="268">
        <f t="shared" si="42"/>
        <v>320.62389461268117</v>
      </c>
      <c r="L386" s="277"/>
      <c r="M386" s="278"/>
      <c r="N386" s="13"/>
    </row>
    <row r="387" spans="1:17">
      <c r="A387" s="264"/>
      <c r="B387" s="371">
        <f t="shared" si="50"/>
        <v>360</v>
      </c>
      <c r="C387" s="371"/>
      <c r="D387" s="306">
        <v>7</v>
      </c>
      <c r="E387" s="372">
        <f t="shared" si="53"/>
        <v>360</v>
      </c>
      <c r="F387" s="397">
        <v>33.479999999999997</v>
      </c>
      <c r="G387" s="306">
        <f t="shared" si="51"/>
        <v>33.081999999999994</v>
      </c>
      <c r="H387" s="266" t="s">
        <v>25</v>
      </c>
      <c r="I387" s="306">
        <f t="shared" si="47"/>
        <v>11159.695999999987</v>
      </c>
      <c r="J387" s="306">
        <f t="shared" si="48"/>
        <v>175.18400000001202</v>
      </c>
      <c r="K387" s="268">
        <f t="shared" si="42"/>
        <v>320.62389461268117</v>
      </c>
      <c r="L387" s="277"/>
      <c r="M387" s="278"/>
      <c r="N387" s="13"/>
    </row>
    <row r="388" spans="1:17">
      <c r="A388" s="264"/>
      <c r="B388" s="371">
        <f t="shared" si="50"/>
        <v>361</v>
      </c>
      <c r="C388" s="371"/>
      <c r="D388" s="306">
        <v>7</v>
      </c>
      <c r="E388" s="372">
        <f t="shared" si="53"/>
        <v>361</v>
      </c>
      <c r="F388" s="397">
        <v>33.380000000000003</v>
      </c>
      <c r="G388" s="306">
        <f t="shared" si="51"/>
        <v>32.981999999999999</v>
      </c>
      <c r="H388" s="266" t="s">
        <v>25</v>
      </c>
      <c r="I388" s="306">
        <f t="shared" si="47"/>
        <v>11159.695999999987</v>
      </c>
      <c r="J388" s="306">
        <f t="shared" si="48"/>
        <v>175.18400000001202</v>
      </c>
      <c r="K388" s="268">
        <f t="shared" si="42"/>
        <v>320.62389461268117</v>
      </c>
      <c r="L388" s="277"/>
      <c r="M388" s="278"/>
      <c r="N388" s="13"/>
    </row>
    <row r="389" spans="1:17">
      <c r="A389" s="264"/>
      <c r="B389" s="371">
        <f t="shared" si="50"/>
        <v>362</v>
      </c>
      <c r="C389" s="371"/>
      <c r="D389" s="306">
        <v>7</v>
      </c>
      <c r="E389" s="372">
        <f t="shared" si="53"/>
        <v>362</v>
      </c>
      <c r="F389" s="397">
        <v>33.08</v>
      </c>
      <c r="G389" s="306">
        <f t="shared" si="51"/>
        <v>32.681999999999995</v>
      </c>
      <c r="H389" s="266" t="s">
        <v>25</v>
      </c>
      <c r="I389" s="306">
        <f t="shared" si="47"/>
        <v>11159.695999999987</v>
      </c>
      <c r="J389" s="306">
        <f t="shared" si="48"/>
        <v>175.18400000001202</v>
      </c>
      <c r="K389" s="268">
        <f t="shared" si="42"/>
        <v>320.62389461268117</v>
      </c>
      <c r="L389" s="277"/>
      <c r="M389" s="278"/>
      <c r="N389" s="13"/>
    </row>
    <row r="390" spans="1:17">
      <c r="A390" s="264"/>
      <c r="B390" s="371">
        <f t="shared" si="50"/>
        <v>363</v>
      </c>
      <c r="C390" s="371"/>
      <c r="D390" s="306">
        <v>7</v>
      </c>
      <c r="E390" s="372">
        <f t="shared" si="53"/>
        <v>363</v>
      </c>
      <c r="F390" s="397">
        <v>33.67</v>
      </c>
      <c r="G390" s="306">
        <f t="shared" si="51"/>
        <v>33.271999999999998</v>
      </c>
      <c r="H390" s="266" t="s">
        <v>25</v>
      </c>
      <c r="I390" s="306">
        <f t="shared" si="47"/>
        <v>11159.695999999987</v>
      </c>
      <c r="J390" s="306">
        <f t="shared" si="48"/>
        <v>175.18400000001202</v>
      </c>
      <c r="K390" s="268">
        <f t="shared" si="42"/>
        <v>320.62389461268117</v>
      </c>
      <c r="L390" s="277"/>
      <c r="M390" s="278"/>
      <c r="N390" s="13"/>
    </row>
    <row r="391" spans="1:17">
      <c r="A391" s="264"/>
      <c r="B391" s="371">
        <f t="shared" si="50"/>
        <v>364</v>
      </c>
      <c r="C391" s="371"/>
      <c r="D391" s="306">
        <v>7</v>
      </c>
      <c r="E391" s="372">
        <f t="shared" si="53"/>
        <v>364</v>
      </c>
      <c r="F391" s="397">
        <v>33.270000000000003</v>
      </c>
      <c r="G391" s="306">
        <f t="shared" si="51"/>
        <v>32.872</v>
      </c>
      <c r="H391" s="266" t="s">
        <v>25</v>
      </c>
      <c r="I391" s="306">
        <f t="shared" si="47"/>
        <v>11159.695999999987</v>
      </c>
      <c r="J391" s="306">
        <f t="shared" si="48"/>
        <v>175.18400000001202</v>
      </c>
      <c r="K391" s="268">
        <f t="shared" si="42"/>
        <v>320.62389461268117</v>
      </c>
      <c r="L391" s="277"/>
      <c r="M391" s="278"/>
      <c r="N391" s="13"/>
    </row>
    <row r="392" spans="1:17">
      <c r="A392" s="264"/>
      <c r="B392" s="371">
        <f t="shared" si="50"/>
        <v>365</v>
      </c>
      <c r="C392" s="371"/>
      <c r="D392" s="306">
        <v>7</v>
      </c>
      <c r="E392" s="372">
        <f t="shared" si="53"/>
        <v>365</v>
      </c>
      <c r="F392" s="397">
        <v>33.549999999999997</v>
      </c>
      <c r="G392" s="306">
        <f t="shared" si="51"/>
        <v>33.151999999999994</v>
      </c>
      <c r="H392" s="266" t="s">
        <v>25</v>
      </c>
      <c r="I392" s="306">
        <f t="shared" si="47"/>
        <v>11159.695999999987</v>
      </c>
      <c r="J392" s="306">
        <f t="shared" si="48"/>
        <v>175.18400000001202</v>
      </c>
      <c r="K392" s="268">
        <f t="shared" si="42"/>
        <v>320.62389461268117</v>
      </c>
      <c r="L392" s="277"/>
      <c r="M392" s="278"/>
      <c r="N392" s="13"/>
    </row>
    <row r="393" spans="1:17">
      <c r="A393" s="264"/>
      <c r="B393" s="371">
        <f t="shared" si="50"/>
        <v>366</v>
      </c>
      <c r="C393" s="371"/>
      <c r="D393" s="306">
        <v>7</v>
      </c>
      <c r="E393" s="372">
        <f t="shared" si="53"/>
        <v>366</v>
      </c>
      <c r="F393" s="397">
        <v>33.29</v>
      </c>
      <c r="G393" s="306">
        <f t="shared" si="51"/>
        <v>32.891999999999996</v>
      </c>
      <c r="H393" s="266" t="s">
        <v>25</v>
      </c>
      <c r="I393" s="306">
        <f t="shared" si="47"/>
        <v>11159.695999999987</v>
      </c>
      <c r="J393" s="306">
        <f t="shared" si="48"/>
        <v>175.18400000001202</v>
      </c>
      <c r="K393" s="268">
        <f t="shared" si="42"/>
        <v>320.62389461268117</v>
      </c>
      <c r="L393" s="277"/>
      <c r="M393" s="278"/>
      <c r="N393" s="13"/>
    </row>
    <row r="394" spans="1:17">
      <c r="A394" s="264"/>
      <c r="B394" s="371">
        <f t="shared" si="50"/>
        <v>367</v>
      </c>
      <c r="C394" s="371"/>
      <c r="D394" s="306">
        <v>7</v>
      </c>
      <c r="E394" s="372">
        <f t="shared" si="53"/>
        <v>367</v>
      </c>
      <c r="F394" s="397">
        <v>33.729999999999997</v>
      </c>
      <c r="G394" s="306">
        <f t="shared" si="51"/>
        <v>33.331999999999994</v>
      </c>
      <c r="H394" s="266" t="s">
        <v>25</v>
      </c>
      <c r="I394" s="306">
        <f t="shared" si="47"/>
        <v>11159.695999999987</v>
      </c>
      <c r="J394" s="306">
        <f t="shared" si="48"/>
        <v>175.18400000001202</v>
      </c>
      <c r="K394" s="268">
        <f t="shared" ref="K394:K412" si="54">$H$9+(I394*$E$10*$H$11/1000)</f>
        <v>320.62389461268117</v>
      </c>
      <c r="L394" s="277"/>
      <c r="M394" s="278"/>
      <c r="N394" s="13"/>
    </row>
    <row r="395" spans="1:17">
      <c r="A395" s="264"/>
      <c r="B395" s="371">
        <f t="shared" si="50"/>
        <v>368</v>
      </c>
      <c r="C395" s="371"/>
      <c r="D395" s="306">
        <v>7</v>
      </c>
      <c r="E395" s="372">
        <f t="shared" si="53"/>
        <v>368</v>
      </c>
      <c r="F395" s="397">
        <v>33.15</v>
      </c>
      <c r="G395" s="306">
        <f t="shared" si="51"/>
        <v>32.751999999999995</v>
      </c>
      <c r="H395" s="266" t="s">
        <v>25</v>
      </c>
      <c r="I395" s="306">
        <f t="shared" si="47"/>
        <v>11159.695999999987</v>
      </c>
      <c r="J395" s="306">
        <f t="shared" si="48"/>
        <v>175.18400000001202</v>
      </c>
      <c r="K395" s="268">
        <f t="shared" si="54"/>
        <v>320.62389461268117</v>
      </c>
      <c r="L395" s="277"/>
      <c r="M395" s="278"/>
      <c r="N395" s="13"/>
    </row>
    <row r="396" spans="1:17">
      <c r="A396" s="264"/>
      <c r="B396" s="371">
        <f t="shared" si="50"/>
        <v>369</v>
      </c>
      <c r="C396" s="371"/>
      <c r="D396" s="306">
        <v>7</v>
      </c>
      <c r="E396" s="372">
        <f t="shared" si="53"/>
        <v>369</v>
      </c>
      <c r="F396" s="397">
        <v>33.49</v>
      </c>
      <c r="G396" s="306">
        <f t="shared" si="51"/>
        <v>33.091999999999999</v>
      </c>
      <c r="H396" s="266" t="s">
        <v>25</v>
      </c>
      <c r="I396" s="306">
        <f t="shared" si="47"/>
        <v>11159.695999999987</v>
      </c>
      <c r="J396" s="306">
        <f t="shared" si="48"/>
        <v>175.18400000001202</v>
      </c>
      <c r="K396" s="268">
        <f t="shared" si="54"/>
        <v>320.62389461268117</v>
      </c>
      <c r="L396" s="277"/>
      <c r="M396" s="278"/>
      <c r="N396" s="13"/>
    </row>
    <row r="397" spans="1:17">
      <c r="A397" s="264"/>
      <c r="B397" s="371">
        <f t="shared" si="50"/>
        <v>370</v>
      </c>
      <c r="C397" s="371"/>
      <c r="D397" s="306">
        <v>7</v>
      </c>
      <c r="E397" s="372">
        <f t="shared" si="53"/>
        <v>370</v>
      </c>
      <c r="F397" s="402">
        <v>33.96</v>
      </c>
      <c r="G397" s="306">
        <f t="shared" si="51"/>
        <v>33.561999999999998</v>
      </c>
      <c r="H397" s="266" t="s">
        <v>25</v>
      </c>
      <c r="I397" s="306">
        <f t="shared" ref="I397:I412" si="55">IF(H397="IN",I396+G397,I396)</f>
        <v>11159.695999999987</v>
      </c>
      <c r="J397" s="306">
        <f t="shared" ref="J397:J412" si="56">IF(I397="","",$L$9-I397)</f>
        <v>175.18400000001202</v>
      </c>
      <c r="K397" s="268">
        <f t="shared" si="54"/>
        <v>320.62389461268117</v>
      </c>
      <c r="L397" s="277"/>
      <c r="M397" s="278"/>
      <c r="N397" s="13"/>
    </row>
    <row r="398" spans="1:17">
      <c r="A398" s="264"/>
      <c r="B398" s="371">
        <f t="shared" si="50"/>
        <v>371</v>
      </c>
      <c r="C398" s="371"/>
      <c r="D398" s="306">
        <v>7</v>
      </c>
      <c r="E398" s="372">
        <f t="shared" si="53"/>
        <v>371</v>
      </c>
      <c r="F398" s="402">
        <v>33.950000000000003</v>
      </c>
      <c r="G398" s="306">
        <f t="shared" si="51"/>
        <v>33.552</v>
      </c>
      <c r="H398" s="266" t="s">
        <v>25</v>
      </c>
      <c r="I398" s="306">
        <f t="shared" si="55"/>
        <v>11159.695999999987</v>
      </c>
      <c r="J398" s="306">
        <f t="shared" si="56"/>
        <v>175.18400000001202</v>
      </c>
      <c r="K398" s="268">
        <f t="shared" si="54"/>
        <v>320.62389461268117</v>
      </c>
      <c r="L398" s="277"/>
      <c r="M398" s="278"/>
      <c r="N398" s="13"/>
    </row>
    <row r="399" spans="1:17">
      <c r="A399" s="264"/>
      <c r="B399" s="371">
        <f t="shared" si="50"/>
        <v>372</v>
      </c>
      <c r="C399" s="371"/>
      <c r="D399" s="306">
        <v>7</v>
      </c>
      <c r="E399" s="372">
        <f t="shared" si="53"/>
        <v>372</v>
      </c>
      <c r="F399" s="402">
        <v>33.94</v>
      </c>
      <c r="G399" s="306">
        <f t="shared" si="51"/>
        <v>33.541999999999994</v>
      </c>
      <c r="H399" s="266" t="s">
        <v>25</v>
      </c>
      <c r="I399" s="306">
        <f t="shared" si="55"/>
        <v>11159.695999999987</v>
      </c>
      <c r="J399" s="306">
        <f t="shared" si="56"/>
        <v>175.18400000001202</v>
      </c>
      <c r="K399" s="268">
        <f t="shared" si="54"/>
        <v>320.62389461268117</v>
      </c>
      <c r="L399" s="277"/>
      <c r="M399" s="278"/>
      <c r="N399" s="13"/>
      <c r="Q399" s="404"/>
    </row>
    <row r="400" spans="1:17">
      <c r="A400" s="264"/>
      <c r="B400" s="371">
        <f t="shared" si="50"/>
        <v>373</v>
      </c>
      <c r="C400" s="371"/>
      <c r="D400" s="306">
        <v>7</v>
      </c>
      <c r="E400" s="372">
        <f t="shared" si="53"/>
        <v>373</v>
      </c>
      <c r="F400" s="402">
        <v>33.950000000000003</v>
      </c>
      <c r="G400" s="306">
        <f t="shared" si="51"/>
        <v>33.552</v>
      </c>
      <c r="H400" s="266" t="s">
        <v>25</v>
      </c>
      <c r="I400" s="306">
        <f t="shared" si="55"/>
        <v>11159.695999999987</v>
      </c>
      <c r="J400" s="306">
        <f t="shared" si="56"/>
        <v>175.18400000001202</v>
      </c>
      <c r="K400" s="268">
        <f t="shared" si="54"/>
        <v>320.62389461268117</v>
      </c>
      <c r="L400" s="277"/>
      <c r="M400" s="278"/>
      <c r="N400" s="13"/>
      <c r="Q400" s="404"/>
    </row>
    <row r="401" spans="1:16">
      <c r="A401" s="264"/>
      <c r="B401" s="371">
        <f t="shared" si="50"/>
        <v>374</v>
      </c>
      <c r="C401" s="371"/>
      <c r="D401" s="306">
        <v>7</v>
      </c>
      <c r="E401" s="372">
        <f t="shared" si="53"/>
        <v>374</v>
      </c>
      <c r="F401" s="403">
        <v>33.950000000000003</v>
      </c>
      <c r="G401" s="306">
        <f t="shared" si="51"/>
        <v>33.552</v>
      </c>
      <c r="H401" s="266" t="s">
        <v>25</v>
      </c>
      <c r="I401" s="306">
        <f t="shared" si="55"/>
        <v>11159.695999999987</v>
      </c>
      <c r="J401" s="306">
        <f t="shared" si="56"/>
        <v>175.18400000001202</v>
      </c>
      <c r="K401" s="268">
        <f t="shared" si="54"/>
        <v>320.62389461268117</v>
      </c>
      <c r="L401" s="277"/>
      <c r="M401" s="278"/>
      <c r="N401" s="13"/>
    </row>
    <row r="402" spans="1:16">
      <c r="A402" s="264"/>
      <c r="B402" s="371">
        <f t="shared" si="50"/>
        <v>375</v>
      </c>
      <c r="C402" s="371"/>
      <c r="D402" s="306">
        <v>7</v>
      </c>
      <c r="E402" s="372">
        <f t="shared" si="53"/>
        <v>375</v>
      </c>
      <c r="F402" s="403">
        <v>33.96</v>
      </c>
      <c r="G402" s="306">
        <f t="shared" si="51"/>
        <v>33.561999999999998</v>
      </c>
      <c r="H402" s="266" t="s">
        <v>25</v>
      </c>
      <c r="I402" s="306">
        <f t="shared" si="55"/>
        <v>11159.695999999987</v>
      </c>
      <c r="J402" s="306">
        <f t="shared" si="56"/>
        <v>175.18400000001202</v>
      </c>
      <c r="K402" s="268">
        <f t="shared" si="54"/>
        <v>320.62389461268117</v>
      </c>
      <c r="L402" s="277"/>
      <c r="M402" s="278"/>
      <c r="N402" s="13"/>
    </row>
    <row r="403" spans="1:16">
      <c r="A403" s="264"/>
      <c r="B403" s="371">
        <f t="shared" si="50"/>
        <v>376</v>
      </c>
      <c r="C403" s="371"/>
      <c r="D403" s="306">
        <v>7</v>
      </c>
      <c r="E403" s="372">
        <f t="shared" si="53"/>
        <v>376</v>
      </c>
      <c r="F403" s="403">
        <v>33.950000000000003</v>
      </c>
      <c r="G403" s="306">
        <f t="shared" si="51"/>
        <v>33.552</v>
      </c>
      <c r="H403" s="266" t="s">
        <v>25</v>
      </c>
      <c r="I403" s="306">
        <f t="shared" si="55"/>
        <v>11159.695999999987</v>
      </c>
      <c r="J403" s="306">
        <f t="shared" si="56"/>
        <v>175.18400000001202</v>
      </c>
      <c r="K403" s="268">
        <f t="shared" si="54"/>
        <v>320.62389461268117</v>
      </c>
      <c r="L403" s="277"/>
      <c r="M403" s="278"/>
      <c r="N403" s="13"/>
    </row>
    <row r="404" spans="1:16">
      <c r="A404" s="264"/>
      <c r="B404" s="371">
        <f t="shared" si="50"/>
        <v>377</v>
      </c>
      <c r="C404" s="371"/>
      <c r="D404" s="306">
        <v>7</v>
      </c>
      <c r="E404" s="372">
        <f t="shared" si="53"/>
        <v>377</v>
      </c>
      <c r="F404" s="403">
        <v>33.96</v>
      </c>
      <c r="G404" s="306">
        <f t="shared" si="51"/>
        <v>33.561999999999998</v>
      </c>
      <c r="H404" s="266" t="s">
        <v>25</v>
      </c>
      <c r="I404" s="306">
        <f t="shared" si="55"/>
        <v>11159.695999999987</v>
      </c>
      <c r="J404" s="306">
        <f t="shared" si="56"/>
        <v>175.18400000001202</v>
      </c>
      <c r="K404" s="268">
        <f t="shared" si="54"/>
        <v>320.62389461268117</v>
      </c>
      <c r="L404" s="277"/>
      <c r="M404" s="278"/>
      <c r="N404" s="13"/>
    </row>
    <row r="405" spans="1:16">
      <c r="A405" s="264"/>
      <c r="B405" s="371">
        <f t="shared" si="50"/>
        <v>378</v>
      </c>
      <c r="C405" s="371"/>
      <c r="D405" s="306">
        <v>7</v>
      </c>
      <c r="E405" s="372">
        <f t="shared" si="53"/>
        <v>378</v>
      </c>
      <c r="F405" s="403">
        <v>33.96</v>
      </c>
      <c r="G405" s="306">
        <f t="shared" si="51"/>
        <v>33.561999999999998</v>
      </c>
      <c r="H405" s="266" t="s">
        <v>25</v>
      </c>
      <c r="I405" s="306">
        <f t="shared" si="55"/>
        <v>11159.695999999987</v>
      </c>
      <c r="J405" s="306">
        <f t="shared" si="56"/>
        <v>175.18400000001202</v>
      </c>
      <c r="K405" s="268">
        <f t="shared" si="54"/>
        <v>320.62389461268117</v>
      </c>
      <c r="L405" s="277"/>
      <c r="M405" s="278"/>
      <c r="N405" s="13"/>
    </row>
    <row r="406" spans="1:16" s="379" customFormat="1" ht="19.149999999999999" customHeight="1">
      <c r="B406" s="383"/>
      <c r="C406" s="514" t="s">
        <v>138</v>
      </c>
      <c r="D406" s="515"/>
      <c r="E406" s="375"/>
      <c r="F406" s="374">
        <v>4.03</v>
      </c>
      <c r="G406" s="373">
        <f t="shared" ref="G406" si="57">F406-($E$12)</f>
        <v>3.6320000000000001</v>
      </c>
      <c r="H406" s="376" t="str">
        <f t="shared" si="52"/>
        <v>IN</v>
      </c>
      <c r="I406" s="400">
        <f t="shared" ref="I406" si="58">IF(H406="IN",I405+G406,I405)</f>
        <v>11163.327999999987</v>
      </c>
      <c r="J406" s="400">
        <f t="shared" ref="J406" si="59">IF(I406="","",$L$9-I406)</f>
        <v>171.55200000001241</v>
      </c>
      <c r="K406" s="401">
        <f t="shared" ref="K406" si="60">$H$9+(I406*$E$10*$H$11/1000)</f>
        <v>320.70058003361316</v>
      </c>
      <c r="L406" s="517"/>
      <c r="M406" s="518"/>
    </row>
    <row r="407" spans="1:16" ht="19.149999999999999" customHeight="1">
      <c r="B407" s="511" t="s">
        <v>179</v>
      </c>
      <c r="C407" s="514" t="s">
        <v>155</v>
      </c>
      <c r="D407" s="515"/>
      <c r="E407" s="375"/>
      <c r="F407" s="373">
        <v>30.85</v>
      </c>
      <c r="G407" s="373">
        <f>F407</f>
        <v>30.85</v>
      </c>
      <c r="H407" s="376" t="str">
        <f t="shared" si="52"/>
        <v>IN</v>
      </c>
      <c r="I407" s="373">
        <f t="shared" si="55"/>
        <v>11194.177999999987</v>
      </c>
      <c r="J407" s="373">
        <f t="shared" si="56"/>
        <v>140.70200000001205</v>
      </c>
      <c r="K407" s="377">
        <f t="shared" si="54"/>
        <v>321.35194160733363</v>
      </c>
      <c r="L407" s="445"/>
      <c r="M407" s="529"/>
      <c r="N407" s="190"/>
    </row>
    <row r="408" spans="1:16" s="175" customFormat="1" ht="19.149999999999999" customHeight="1">
      <c r="B408" s="512"/>
      <c r="C408" s="514" t="s">
        <v>156</v>
      </c>
      <c r="D408" s="515"/>
      <c r="E408" s="375"/>
      <c r="F408" s="373">
        <v>31</v>
      </c>
      <c r="G408" s="373">
        <f>F408</f>
        <v>31</v>
      </c>
      <c r="H408" s="376" t="str">
        <f t="shared" si="52"/>
        <v>IN</v>
      </c>
      <c r="I408" s="373">
        <f t="shared" si="55"/>
        <v>11225.177999999987</v>
      </c>
      <c r="J408" s="373">
        <f t="shared" si="56"/>
        <v>109.70200000001205</v>
      </c>
      <c r="K408" s="377">
        <f t="shared" si="54"/>
        <v>322.00647025515639</v>
      </c>
      <c r="L408" s="378"/>
      <c r="M408" s="419"/>
    </row>
    <row r="409" spans="1:16" s="175" customFormat="1" ht="19.149999999999999" customHeight="1">
      <c r="B409" s="513"/>
      <c r="C409" s="514" t="s">
        <v>157</v>
      </c>
      <c r="D409" s="515"/>
      <c r="E409" s="375"/>
      <c r="F409" s="373">
        <v>31.15</v>
      </c>
      <c r="G409" s="373">
        <f t="shared" ref="G409:G412" si="61">F409</f>
        <v>31.15</v>
      </c>
      <c r="H409" s="376" t="str">
        <f t="shared" ref="H409:H412" si="62">IF(F409="","OUT","IN")</f>
        <v>IN</v>
      </c>
      <c r="I409" s="380">
        <f t="shared" si="55"/>
        <v>11256.327999999987</v>
      </c>
      <c r="J409" s="373">
        <f t="shared" si="56"/>
        <v>78.552000000012413</v>
      </c>
      <c r="K409" s="377">
        <f t="shared" si="54"/>
        <v>322.66416597708144</v>
      </c>
      <c r="L409" s="378"/>
      <c r="M409" s="419"/>
      <c r="N409" s="425"/>
      <c r="O409" s="379"/>
      <c r="P409" s="379"/>
    </row>
    <row r="410" spans="1:16" s="379" customFormat="1" ht="19.149999999999999" customHeight="1">
      <c r="B410" s="511" t="s">
        <v>180</v>
      </c>
      <c r="C410" s="514" t="s">
        <v>158</v>
      </c>
      <c r="D410" s="515"/>
      <c r="E410" s="375"/>
      <c r="F410" s="373">
        <v>31.05</v>
      </c>
      <c r="G410" s="373">
        <f t="shared" si="61"/>
        <v>31.05</v>
      </c>
      <c r="H410" s="376" t="str">
        <f t="shared" si="62"/>
        <v>IN</v>
      </c>
      <c r="I410" s="373">
        <f t="shared" si="55"/>
        <v>11287.377999999986</v>
      </c>
      <c r="J410" s="373">
        <f t="shared" si="56"/>
        <v>47.50200000001314</v>
      </c>
      <c r="K410" s="377">
        <f t="shared" si="54"/>
        <v>323.31975031627167</v>
      </c>
      <c r="L410" s="517"/>
      <c r="M410" s="518"/>
      <c r="N410" s="418"/>
    </row>
    <row r="411" spans="1:16" s="175" customFormat="1" ht="19.149999999999999" customHeight="1">
      <c r="B411" s="512"/>
      <c r="C411" s="514" t="s">
        <v>159</v>
      </c>
      <c r="D411" s="515"/>
      <c r="E411" s="375"/>
      <c r="F411" s="373">
        <v>31.02</v>
      </c>
      <c r="G411" s="373">
        <f t="shared" si="61"/>
        <v>31.02</v>
      </c>
      <c r="H411" s="376" t="str">
        <f t="shared" si="62"/>
        <v>IN</v>
      </c>
      <c r="I411" s="373">
        <f t="shared" si="55"/>
        <v>11318.397999999986</v>
      </c>
      <c r="J411" s="373">
        <f t="shared" si="56"/>
        <v>16.482000000012704</v>
      </c>
      <c r="K411" s="377">
        <f t="shared" si="54"/>
        <v>323.97470124064148</v>
      </c>
      <c r="L411" s="527"/>
      <c r="M411" s="528"/>
      <c r="N411" s="382"/>
      <c r="O411"/>
    </row>
    <row r="412" spans="1:16" s="379" customFormat="1" ht="19.149999999999999" customHeight="1">
      <c r="B412" s="512"/>
      <c r="C412" s="511" t="s">
        <v>160</v>
      </c>
      <c r="D412" s="516"/>
      <c r="E412" s="391"/>
      <c r="F412" s="392">
        <v>30.92</v>
      </c>
      <c r="G412" s="392">
        <f t="shared" si="61"/>
        <v>30.92</v>
      </c>
      <c r="H412" s="393" t="str">
        <f t="shared" si="62"/>
        <v>IN</v>
      </c>
      <c r="I412" s="392">
        <f t="shared" si="55"/>
        <v>11349.317999999987</v>
      </c>
      <c r="J412" s="392">
        <f t="shared" si="56"/>
        <v>-14.437999999987369</v>
      </c>
      <c r="K412" s="394">
        <f t="shared" si="54"/>
        <v>324.62754078227624</v>
      </c>
      <c r="L412" s="525" t="s">
        <v>193</v>
      </c>
      <c r="M412" s="526"/>
      <c r="N412" s="381"/>
    </row>
    <row r="413" spans="1:16" ht="13.15" customHeight="1">
      <c r="B413" s="509" t="s">
        <v>137</v>
      </c>
      <c r="C413" s="521" t="s">
        <v>111</v>
      </c>
      <c r="D413" s="521"/>
      <c r="E413" s="521"/>
      <c r="F413" s="395">
        <v>7.9</v>
      </c>
      <c r="G413" s="395">
        <f>F413-($E$12)</f>
        <v>7.5020000000000007</v>
      </c>
      <c r="H413" s="395" t="s">
        <v>25</v>
      </c>
      <c r="I413" s="395"/>
      <c r="J413" s="395"/>
      <c r="K413" s="510" t="s">
        <v>192</v>
      </c>
      <c r="L413" s="510"/>
      <c r="M413" s="510"/>
    </row>
    <row r="414" spans="1:16" ht="13.15" customHeight="1">
      <c r="B414" s="509"/>
      <c r="C414" s="521" t="s">
        <v>112</v>
      </c>
      <c r="D414" s="521"/>
      <c r="E414" s="521"/>
      <c r="F414" s="395">
        <v>99.5</v>
      </c>
      <c r="G414" s="395">
        <f>F414</f>
        <v>99.5</v>
      </c>
      <c r="H414" s="395" t="s">
        <v>25</v>
      </c>
      <c r="I414" s="395"/>
      <c r="J414" s="395"/>
      <c r="K414" s="510"/>
      <c r="L414" s="510"/>
      <c r="M414" s="510"/>
    </row>
    <row r="415" spans="1:16" ht="13.5" thickBot="1">
      <c r="B415" s="384"/>
      <c r="C415" s="522" t="s">
        <v>113</v>
      </c>
      <c r="D415" s="523"/>
      <c r="E415" s="523"/>
      <c r="F415" s="524"/>
      <c r="G415" s="385"/>
      <c r="H415" s="390" t="s">
        <v>25</v>
      </c>
      <c r="I415" s="385"/>
      <c r="J415" s="386"/>
      <c r="K415" s="387"/>
      <c r="L415" s="388"/>
      <c r="M415" s="389"/>
    </row>
    <row r="416" spans="1:16" ht="13.15" customHeight="1">
      <c r="B416" s="8"/>
      <c r="C416" s="8"/>
      <c r="D416" s="244"/>
      <c r="E416" s="244"/>
      <c r="F416" s="245"/>
      <c r="K416" s="246"/>
      <c r="L416" s="519"/>
      <c r="M416" s="519"/>
    </row>
    <row r="417" spans="2:13">
      <c r="B417"/>
      <c r="C417"/>
      <c r="D417" s="17"/>
      <c r="E417"/>
      <c r="F417"/>
      <c r="G417" s="20"/>
      <c r="H417"/>
      <c r="I417"/>
      <c r="J417"/>
      <c r="K417"/>
      <c r="M417" s="9"/>
    </row>
    <row r="418" spans="2:13">
      <c r="B418"/>
      <c r="C418"/>
      <c r="D418" s="17"/>
      <c r="E418"/>
      <c r="F418"/>
      <c r="G418" s="20"/>
      <c r="H418"/>
      <c r="I418"/>
      <c r="J418"/>
      <c r="K418"/>
      <c r="M418" s="9"/>
    </row>
    <row r="419" spans="2:13">
      <c r="B419"/>
      <c r="C419"/>
      <c r="D419" s="17"/>
      <c r="E419"/>
      <c r="F419"/>
      <c r="G419" s="20"/>
      <c r="H419"/>
      <c r="I419"/>
      <c r="J419"/>
      <c r="K419" s="13"/>
      <c r="M419" s="9"/>
    </row>
    <row r="420" spans="2:13">
      <c r="B420"/>
      <c r="C420"/>
      <c r="D420" s="17"/>
      <c r="E420"/>
      <c r="F420"/>
      <c r="G420" s="20"/>
      <c r="H420"/>
      <c r="I420"/>
      <c r="J420"/>
      <c r="K420"/>
      <c r="M420" s="9"/>
    </row>
    <row r="421" spans="2:13">
      <c r="B421"/>
      <c r="C421"/>
      <c r="D421" s="17"/>
      <c r="E421"/>
      <c r="F421"/>
      <c r="G421" s="20"/>
      <c r="H421"/>
      <c r="I421"/>
      <c r="J421"/>
      <c r="K421"/>
      <c r="M421" s="9"/>
    </row>
    <row r="422" spans="2:13">
      <c r="B422"/>
      <c r="C422"/>
      <c r="D422" s="17"/>
      <c r="E422"/>
      <c r="F422"/>
      <c r="G422" s="20"/>
      <c r="H422"/>
      <c r="I422"/>
      <c r="J422"/>
      <c r="K422"/>
      <c r="M422" s="9"/>
    </row>
    <row r="423" spans="2:13">
      <c r="B423"/>
      <c r="C423"/>
      <c r="D423" s="17"/>
      <c r="E423"/>
      <c r="F423"/>
      <c r="G423" s="20"/>
      <c r="H423"/>
      <c r="I423"/>
      <c r="J423"/>
      <c r="K423"/>
      <c r="M423" s="9"/>
    </row>
    <row r="424" spans="2:13">
      <c r="B424"/>
      <c r="C424"/>
      <c r="D424" s="17"/>
      <c r="E424"/>
      <c r="F424"/>
      <c r="G424" s="20"/>
      <c r="H424"/>
      <c r="I424"/>
      <c r="J424"/>
      <c r="K424"/>
      <c r="M424" s="9"/>
    </row>
    <row r="425" spans="2:13">
      <c r="B425"/>
      <c r="C425"/>
      <c r="D425" s="17"/>
      <c r="E425"/>
      <c r="F425"/>
      <c r="G425" s="20"/>
      <c r="H425"/>
      <c r="I425"/>
      <c r="J425"/>
      <c r="K425"/>
      <c r="M425" s="9"/>
    </row>
    <row r="426" spans="2:13">
      <c r="B426"/>
      <c r="C426"/>
      <c r="D426" s="17"/>
      <c r="E426"/>
      <c r="F426"/>
      <c r="G426" s="20"/>
      <c r="H426"/>
      <c r="I426"/>
      <c r="J426"/>
      <c r="K426"/>
      <c r="M426" s="9"/>
    </row>
  </sheetData>
  <mergeCells count="352">
    <mergeCell ref="D329:E329"/>
    <mergeCell ref="L329:M329"/>
    <mergeCell ref="B329:B333"/>
    <mergeCell ref="C329:C333"/>
    <mergeCell ref="D330:E330"/>
    <mergeCell ref="L330:M330"/>
    <mergeCell ref="D331:E331"/>
    <mergeCell ref="L331:M331"/>
    <mergeCell ref="D332:E332"/>
    <mergeCell ref="L332:M332"/>
    <mergeCell ref="D333:E333"/>
    <mergeCell ref="L333:M333"/>
    <mergeCell ref="L296:M296"/>
    <mergeCell ref="L295:M295"/>
    <mergeCell ref="L300:M300"/>
    <mergeCell ref="L416:M416"/>
    <mergeCell ref="L340:M340"/>
    <mergeCell ref="L342:M342"/>
    <mergeCell ref="L341:M341"/>
    <mergeCell ref="L320:M320"/>
    <mergeCell ref="C414:E414"/>
    <mergeCell ref="C415:F415"/>
    <mergeCell ref="L343:M343"/>
    <mergeCell ref="L412:M412"/>
    <mergeCell ref="L318:M318"/>
    <mergeCell ref="L325:M325"/>
    <mergeCell ref="L411:M411"/>
    <mergeCell ref="C407:D407"/>
    <mergeCell ref="C413:E413"/>
    <mergeCell ref="L406:M406"/>
    <mergeCell ref="L337:M337"/>
    <mergeCell ref="L344:M344"/>
    <mergeCell ref="L407:M407"/>
    <mergeCell ref="C406:D406"/>
    <mergeCell ref="L319:M319"/>
    <mergeCell ref="L327:M327"/>
    <mergeCell ref="B413:B414"/>
    <mergeCell ref="K413:M414"/>
    <mergeCell ref="B407:B409"/>
    <mergeCell ref="B410:B412"/>
    <mergeCell ref="C408:D408"/>
    <mergeCell ref="C409:D409"/>
    <mergeCell ref="C410:D410"/>
    <mergeCell ref="C411:D411"/>
    <mergeCell ref="C412:D412"/>
    <mergeCell ref="L410:M410"/>
    <mergeCell ref="L285:M285"/>
    <mergeCell ref="L286:M286"/>
    <mergeCell ref="L291:M291"/>
    <mergeCell ref="L287:M287"/>
    <mergeCell ref="L323:M323"/>
    <mergeCell ref="L316:M316"/>
    <mergeCell ref="L317:M317"/>
    <mergeCell ref="L313:M313"/>
    <mergeCell ref="L312:M312"/>
    <mergeCell ref="L315:M315"/>
    <mergeCell ref="L314:M314"/>
    <mergeCell ref="L299:M299"/>
    <mergeCell ref="L304:M304"/>
    <mergeCell ref="L303:M303"/>
    <mergeCell ref="L302:M302"/>
    <mergeCell ref="L288:M288"/>
    <mergeCell ref="L297:M297"/>
    <mergeCell ref="L292:M292"/>
    <mergeCell ref="L293:M293"/>
    <mergeCell ref="L298:M298"/>
    <mergeCell ref="L289:M289"/>
    <mergeCell ref="L290:M290"/>
    <mergeCell ref="L294:M294"/>
    <mergeCell ref="L301:M301"/>
    <mergeCell ref="O24:P25"/>
    <mergeCell ref="L21:M21"/>
    <mergeCell ref="L13:M14"/>
    <mergeCell ref="R30:S30"/>
    <mergeCell ref="L27:M27"/>
    <mergeCell ref="L25:M25"/>
    <mergeCell ref="L15:M15"/>
    <mergeCell ref="L23:M23"/>
    <mergeCell ref="N29:P32"/>
    <mergeCell ref="L17:M17"/>
    <mergeCell ref="E6:F6"/>
    <mergeCell ref="E8:F8"/>
    <mergeCell ref="E9:F9"/>
    <mergeCell ref="E10:F10"/>
    <mergeCell ref="E11:F11"/>
    <mergeCell ref="E7:F7"/>
    <mergeCell ref="L280:M280"/>
    <mergeCell ref="L281:M281"/>
    <mergeCell ref="L282:M282"/>
    <mergeCell ref="L257:M257"/>
    <mergeCell ref="L258:M258"/>
    <mergeCell ref="L259:M259"/>
    <mergeCell ref="L260:M260"/>
    <mergeCell ref="L261:M261"/>
    <mergeCell ref="L262:M262"/>
    <mergeCell ref="L263:M263"/>
    <mergeCell ref="L249:M249"/>
    <mergeCell ref="L250:M250"/>
    <mergeCell ref="L251:M251"/>
    <mergeCell ref="L252:M252"/>
    <mergeCell ref="L253:M253"/>
    <mergeCell ref="L254:M254"/>
    <mergeCell ref="L243:M243"/>
    <mergeCell ref="L244:M244"/>
    <mergeCell ref="L245:M245"/>
    <mergeCell ref="L246:M246"/>
    <mergeCell ref="L247:M247"/>
    <mergeCell ref="L248:M248"/>
    <mergeCell ref="L237:M237"/>
    <mergeCell ref="L238:M238"/>
    <mergeCell ref="L239:M239"/>
    <mergeCell ref="L240:M240"/>
    <mergeCell ref="L241:M241"/>
    <mergeCell ref="L242:M242"/>
    <mergeCell ref="L264:M264"/>
    <mergeCell ref="L265:M265"/>
    <mergeCell ref="L266:M266"/>
    <mergeCell ref="L267:M267"/>
    <mergeCell ref="L268:M268"/>
    <mergeCell ref="L269:M269"/>
    <mergeCell ref="L255:M255"/>
    <mergeCell ref="L256:M256"/>
    <mergeCell ref="L283:M283"/>
    <mergeCell ref="L270:M270"/>
    <mergeCell ref="L273:M273"/>
    <mergeCell ref="L272:M272"/>
    <mergeCell ref="L277:M277"/>
    <mergeCell ref="L278:M278"/>
    <mergeCell ref="L279:M279"/>
    <mergeCell ref="L274:M274"/>
    <mergeCell ref="L275:M275"/>
    <mergeCell ref="L271:M271"/>
    <mergeCell ref="L276:M276"/>
    <mergeCell ref="L231:M231"/>
    <mergeCell ref="L232:M232"/>
    <mergeCell ref="L233:M233"/>
    <mergeCell ref="L234:M234"/>
    <mergeCell ref="L235:M235"/>
    <mergeCell ref="L236:M236"/>
    <mergeCell ref="L225:M225"/>
    <mergeCell ref="L226:M226"/>
    <mergeCell ref="L227:M227"/>
    <mergeCell ref="L228:M228"/>
    <mergeCell ref="L229:M229"/>
    <mergeCell ref="L230:M230"/>
    <mergeCell ref="L219:M219"/>
    <mergeCell ref="L220:M220"/>
    <mergeCell ref="L221:M221"/>
    <mergeCell ref="L222:M222"/>
    <mergeCell ref="L223:M223"/>
    <mergeCell ref="L224:M224"/>
    <mergeCell ref="L213:M213"/>
    <mergeCell ref="L214:M214"/>
    <mergeCell ref="L215:M215"/>
    <mergeCell ref="L216:M216"/>
    <mergeCell ref="L217:M217"/>
    <mergeCell ref="L218:M218"/>
    <mergeCell ref="L210:M210"/>
    <mergeCell ref="L211:M211"/>
    <mergeCell ref="L212:M212"/>
    <mergeCell ref="L201:M201"/>
    <mergeCell ref="L202:M202"/>
    <mergeCell ref="L203:M203"/>
    <mergeCell ref="L204:M204"/>
    <mergeCell ref="L205:M205"/>
    <mergeCell ref="L206:M206"/>
    <mergeCell ref="L140:M140"/>
    <mergeCell ref="L141:M141"/>
    <mergeCell ref="L142:M142"/>
    <mergeCell ref="L143:M143"/>
    <mergeCell ref="L144:M144"/>
    <mergeCell ref="L145:M145"/>
    <mergeCell ref="L159:M159"/>
    <mergeCell ref="L160:M160"/>
    <mergeCell ref="L161:M161"/>
    <mergeCell ref="L154:M154"/>
    <mergeCell ref="L150:M150"/>
    <mergeCell ref="L155:M155"/>
    <mergeCell ref="L156:M156"/>
    <mergeCell ref="L157:M157"/>
    <mergeCell ref="L158:M158"/>
    <mergeCell ref="L147:M147"/>
    <mergeCell ref="L148:M148"/>
    <mergeCell ref="L149:M149"/>
    <mergeCell ref="L151:M151"/>
    <mergeCell ref="L152:M152"/>
    <mergeCell ref="L153:M153"/>
    <mergeCell ref="L134:M134"/>
    <mergeCell ref="L135:M135"/>
    <mergeCell ref="L136:M136"/>
    <mergeCell ref="L137:M137"/>
    <mergeCell ref="L138:M138"/>
    <mergeCell ref="L139:M139"/>
    <mergeCell ref="L128:M128"/>
    <mergeCell ref="L129:M129"/>
    <mergeCell ref="L130:M130"/>
    <mergeCell ref="L131:M131"/>
    <mergeCell ref="L132:M132"/>
    <mergeCell ref="L133:M133"/>
    <mergeCell ref="L122:M122"/>
    <mergeCell ref="L123:M123"/>
    <mergeCell ref="L124:M124"/>
    <mergeCell ref="L125:M125"/>
    <mergeCell ref="L126:M126"/>
    <mergeCell ref="L127:M127"/>
    <mergeCell ref="L116:M116"/>
    <mergeCell ref="L117:M117"/>
    <mergeCell ref="L118:M118"/>
    <mergeCell ref="L119:M119"/>
    <mergeCell ref="L120:M120"/>
    <mergeCell ref="L121:M121"/>
    <mergeCell ref="L110:M110"/>
    <mergeCell ref="L111:M111"/>
    <mergeCell ref="L112:M112"/>
    <mergeCell ref="L113:M113"/>
    <mergeCell ref="L114:M114"/>
    <mergeCell ref="L115:M115"/>
    <mergeCell ref="L104:M104"/>
    <mergeCell ref="L105:M105"/>
    <mergeCell ref="L106:M106"/>
    <mergeCell ref="L107:M107"/>
    <mergeCell ref="L108:M108"/>
    <mergeCell ref="L109:M109"/>
    <mergeCell ref="L98:M98"/>
    <mergeCell ref="L99:M99"/>
    <mergeCell ref="L100:M100"/>
    <mergeCell ref="L101:M101"/>
    <mergeCell ref="L102:M102"/>
    <mergeCell ref="L103:M103"/>
    <mergeCell ref="L92:M92"/>
    <mergeCell ref="L93:M93"/>
    <mergeCell ref="L94:M94"/>
    <mergeCell ref="L95:M95"/>
    <mergeCell ref="L96:M96"/>
    <mergeCell ref="L97:M97"/>
    <mergeCell ref="L87:M87"/>
    <mergeCell ref="L88:M88"/>
    <mergeCell ref="L89:M89"/>
    <mergeCell ref="L90:M90"/>
    <mergeCell ref="L91:M91"/>
    <mergeCell ref="L80:M80"/>
    <mergeCell ref="L81:M81"/>
    <mergeCell ref="L82:M82"/>
    <mergeCell ref="L83:M83"/>
    <mergeCell ref="L84:M84"/>
    <mergeCell ref="L85:M85"/>
    <mergeCell ref="L78:M78"/>
    <mergeCell ref="L79:M79"/>
    <mergeCell ref="L68:M68"/>
    <mergeCell ref="L69:M69"/>
    <mergeCell ref="L70:M70"/>
    <mergeCell ref="L71:M71"/>
    <mergeCell ref="L72:M72"/>
    <mergeCell ref="L73:M73"/>
    <mergeCell ref="L86:M86"/>
    <mergeCell ref="L58:M58"/>
    <mergeCell ref="L59:M59"/>
    <mergeCell ref="L53:M53"/>
    <mergeCell ref="L54:M54"/>
    <mergeCell ref="L55:M55"/>
    <mergeCell ref="L74:M74"/>
    <mergeCell ref="L75:M75"/>
    <mergeCell ref="L76:M76"/>
    <mergeCell ref="L77:M77"/>
    <mergeCell ref="L63:M63"/>
    <mergeCell ref="L64:M64"/>
    <mergeCell ref="B19:B23"/>
    <mergeCell ref="C19:C23"/>
    <mergeCell ref="D20:E20"/>
    <mergeCell ref="D19:E19"/>
    <mergeCell ref="D23:E23"/>
    <mergeCell ref="B15:B17"/>
    <mergeCell ref="L20:M20"/>
    <mergeCell ref="C15:C17"/>
    <mergeCell ref="L33:M33"/>
    <mergeCell ref="L32:M32"/>
    <mergeCell ref="D17:E17"/>
    <mergeCell ref="D16:E16"/>
    <mergeCell ref="D15:E15"/>
    <mergeCell ref="L16:M16"/>
    <mergeCell ref="L39:M39"/>
    <mergeCell ref="L40:M40"/>
    <mergeCell ref="L19:M19"/>
    <mergeCell ref="L24:M24"/>
    <mergeCell ref="L34:M38"/>
    <mergeCell ref="L22:M22"/>
    <mergeCell ref="L41:M41"/>
    <mergeCell ref="L51:M51"/>
    <mergeCell ref="L184:M184"/>
    <mergeCell ref="L52:M52"/>
    <mergeCell ref="L48:M48"/>
    <mergeCell ref="L49:M49"/>
    <mergeCell ref="L50:M50"/>
    <mergeCell ref="L47:M47"/>
    <mergeCell ref="L42:M42"/>
    <mergeCell ref="L43:M43"/>
    <mergeCell ref="L44:M44"/>
    <mergeCell ref="L46:M46"/>
    <mergeCell ref="L45:M45"/>
    <mergeCell ref="L65:M65"/>
    <mergeCell ref="L66:M66"/>
    <mergeCell ref="L67:M67"/>
    <mergeCell ref="L56:M56"/>
    <mergeCell ref="L57:M57"/>
    <mergeCell ref="L188:M188"/>
    <mergeCell ref="L177:M177"/>
    <mergeCell ref="L284:M284"/>
    <mergeCell ref="L311:M311"/>
    <mergeCell ref="L178:M178"/>
    <mergeCell ref="L179:M179"/>
    <mergeCell ref="L180:M180"/>
    <mergeCell ref="L181:M181"/>
    <mergeCell ref="L182:M182"/>
    <mergeCell ref="L195:M195"/>
    <mergeCell ref="L196:M196"/>
    <mergeCell ref="L197:M197"/>
    <mergeCell ref="L198:M198"/>
    <mergeCell ref="L199:M199"/>
    <mergeCell ref="L200:M200"/>
    <mergeCell ref="L189:M189"/>
    <mergeCell ref="L190:M190"/>
    <mergeCell ref="L191:M191"/>
    <mergeCell ref="L192:M192"/>
    <mergeCell ref="L193:M193"/>
    <mergeCell ref="L194:M194"/>
    <mergeCell ref="L207:M207"/>
    <mergeCell ref="L208:M208"/>
    <mergeCell ref="L209:M209"/>
    <mergeCell ref="L326:M326"/>
    <mergeCell ref="L321:M321"/>
    <mergeCell ref="L322:M322"/>
    <mergeCell ref="L324:M324"/>
    <mergeCell ref="L345:M345"/>
    <mergeCell ref="L162:M162"/>
    <mergeCell ref="L163:M163"/>
    <mergeCell ref="L164:M164"/>
    <mergeCell ref="L171:M171"/>
    <mergeCell ref="L172:M172"/>
    <mergeCell ref="L173:M173"/>
    <mergeCell ref="L174:M174"/>
    <mergeCell ref="L175:M175"/>
    <mergeCell ref="L176:M176"/>
    <mergeCell ref="L165:M165"/>
    <mergeCell ref="L166:M166"/>
    <mergeCell ref="L167:M167"/>
    <mergeCell ref="L168:M168"/>
    <mergeCell ref="L169:M169"/>
    <mergeCell ref="L170:M170"/>
    <mergeCell ref="L183:M183"/>
    <mergeCell ref="L185:M185"/>
    <mergeCell ref="L186:M186"/>
    <mergeCell ref="L187:M187"/>
  </mergeCells>
  <phoneticPr fontId="8" type="noConversion"/>
  <printOptions horizontalCentered="1" verticalCentered="1"/>
  <pageMargins left="0.25" right="0.25" top="0.75" bottom="0.75" header="0.3" footer="0.3"/>
  <pageSetup scale="72" fitToHeight="8" orientation="portrait" r:id="rId1"/>
  <headerFooter alignWithMargins="0">
    <oddHeader>&amp;L&amp;"Calibri"&amp;9&amp;K000000Classification: Internal&amp;1#</oddHeader>
    <oddFooter>Page &amp;P</oddFooter>
  </headerFooter>
  <rowBreaks count="2" manualBreakCount="2">
    <brk id="59" max="16383" man="1"/>
    <brk id="320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C348-B293-487C-A927-C45EFBB42056}">
  <dimension ref="B1:AL399"/>
  <sheetViews>
    <sheetView showGridLines="0" topLeftCell="A30" zoomScaleNormal="100" zoomScaleSheetLayoutView="100" workbookViewId="0">
      <selection activeCell="AM29" sqref="AM29"/>
    </sheetView>
  </sheetViews>
  <sheetFormatPr defaultColWidth="9.42578125" defaultRowHeight="11.25"/>
  <cols>
    <col min="1" max="1" width="9.42578125" style="25"/>
    <col min="2" max="2" width="1.42578125" style="25" customWidth="1"/>
    <col min="3" max="3" width="8.5703125" style="25" customWidth="1"/>
    <col min="4" max="4" width="10.5703125" style="26" customWidth="1"/>
    <col min="5" max="5" width="1.5703125" style="25" customWidth="1"/>
    <col min="6" max="7" width="2.42578125" style="25" customWidth="1"/>
    <col min="8" max="9" width="0.5703125" style="25" customWidth="1"/>
    <col min="10" max="10" width="7.42578125" style="26" customWidth="1"/>
    <col min="11" max="12" width="0.5703125" style="25" customWidth="1"/>
    <col min="13" max="14" width="2.42578125" style="25" customWidth="1"/>
    <col min="15" max="15" width="1.5703125" style="27" customWidth="1"/>
    <col min="16" max="16" width="5.42578125" style="25" customWidth="1"/>
    <col min="17" max="17" width="6.42578125" style="26" customWidth="1"/>
    <col min="18" max="18" width="5.42578125" style="25" customWidth="1"/>
    <col min="19" max="19" width="1.5703125" style="25" customWidth="1"/>
    <col min="20" max="20" width="2.42578125" style="25" customWidth="1"/>
    <col min="21" max="21" width="4.7109375" style="25" customWidth="1"/>
    <col min="22" max="23" width="0.5703125" style="25" customWidth="1"/>
    <col min="24" max="24" width="7.42578125" style="26" customWidth="1"/>
    <col min="25" max="26" width="0.5703125" style="25" customWidth="1"/>
    <col min="27" max="28" width="2.42578125" style="25" customWidth="1"/>
    <col min="29" max="29" width="1.5703125" style="27" customWidth="1"/>
    <col min="30" max="30" width="9.42578125" style="25"/>
    <col min="31" max="31" width="8.42578125" style="26" customWidth="1"/>
    <col min="32" max="32" width="9.5703125" style="25" customWidth="1"/>
    <col min="33" max="34" width="10.42578125" style="25" customWidth="1"/>
    <col min="35" max="35" width="8.5703125" style="25" customWidth="1"/>
    <col min="36" max="36" width="1.42578125" style="25" customWidth="1"/>
    <col min="37" max="16384" width="9.42578125" style="25"/>
  </cols>
  <sheetData>
    <row r="1" spans="2:36" ht="12" thickBot="1"/>
    <row r="2" spans="2:36" ht="7.5" customHeight="1">
      <c r="B2" s="28"/>
      <c r="C2" s="29"/>
      <c r="D2" s="30"/>
      <c r="E2" s="29"/>
      <c r="F2" s="29"/>
      <c r="G2" s="29"/>
      <c r="H2" s="29"/>
      <c r="I2" s="29"/>
      <c r="J2" s="30"/>
      <c r="K2" s="29"/>
      <c r="L2" s="29"/>
      <c r="M2" s="29"/>
      <c r="N2" s="29"/>
      <c r="O2" s="29"/>
      <c r="P2" s="29"/>
      <c r="Q2" s="30"/>
      <c r="R2" s="29"/>
      <c r="S2" s="29"/>
      <c r="T2" s="29"/>
      <c r="U2" s="29"/>
      <c r="V2" s="29"/>
      <c r="W2" s="29"/>
      <c r="X2" s="30"/>
      <c r="Y2" s="29"/>
      <c r="Z2" s="29"/>
      <c r="AA2" s="29"/>
      <c r="AB2" s="29"/>
      <c r="AC2" s="29"/>
      <c r="AD2" s="29"/>
      <c r="AE2" s="30"/>
      <c r="AF2" s="29"/>
      <c r="AG2" s="29"/>
      <c r="AH2" s="29"/>
      <c r="AI2" s="29"/>
      <c r="AJ2" s="31"/>
    </row>
    <row r="3" spans="2:36" ht="21.75" customHeight="1">
      <c r="B3" s="32"/>
      <c r="C3" s="25" t="s">
        <v>32</v>
      </c>
      <c r="O3" s="25"/>
      <c r="X3" s="33" t="s">
        <v>33</v>
      </c>
      <c r="AC3" s="25"/>
      <c r="AJ3" s="34"/>
    </row>
    <row r="4" spans="2:36" ht="6.75" customHeight="1">
      <c r="B4" s="32"/>
      <c r="O4" s="25"/>
      <c r="AC4" s="25"/>
      <c r="AJ4" s="34"/>
    </row>
    <row r="5" spans="2:36" ht="14.1" customHeight="1">
      <c r="B5" s="32"/>
      <c r="AE5" s="543" t="s">
        <v>154</v>
      </c>
      <c r="AF5" s="544"/>
      <c r="AG5" s="544"/>
      <c r="AH5" s="544"/>
      <c r="AI5" s="545"/>
      <c r="AJ5" s="34"/>
    </row>
    <row r="6" spans="2:36" s="47" customFormat="1" ht="15">
      <c r="B6" s="36"/>
      <c r="C6" s="37"/>
      <c r="D6" s="38"/>
      <c r="E6" s="39"/>
      <c r="F6" s="39"/>
      <c r="G6" s="39"/>
      <c r="H6" s="39"/>
      <c r="I6" s="40"/>
      <c r="J6" s="41" t="s">
        <v>34</v>
      </c>
      <c r="K6" s="39"/>
      <c r="L6" s="39"/>
      <c r="M6" s="39"/>
      <c r="N6" s="39"/>
      <c r="O6" s="39"/>
      <c r="P6" s="39"/>
      <c r="Q6" s="38"/>
      <c r="R6" s="39"/>
      <c r="S6" s="39"/>
      <c r="T6" s="39"/>
      <c r="U6" s="39"/>
      <c r="V6" s="39"/>
      <c r="W6" s="42"/>
      <c r="X6" s="43"/>
      <c r="Y6" s="39"/>
      <c r="Z6" s="39"/>
      <c r="AA6" s="39"/>
      <c r="AB6" s="39"/>
      <c r="AC6" s="39"/>
      <c r="AD6" s="39"/>
      <c r="AE6" s="35" t="s">
        <v>35</v>
      </c>
      <c r="AF6" s="414" t="s">
        <v>36</v>
      </c>
      <c r="AG6" s="44"/>
      <c r="AH6" s="44"/>
      <c r="AI6" s="45"/>
      <c r="AJ6" s="46"/>
    </row>
    <row r="7" spans="2:36" s="47" customFormat="1" ht="15.75">
      <c r="B7" s="36"/>
      <c r="C7" s="48"/>
      <c r="D7" s="49"/>
      <c r="E7" s="48"/>
      <c r="F7" s="48"/>
      <c r="G7" s="48"/>
      <c r="H7" s="48"/>
      <c r="I7" s="48"/>
      <c r="J7" s="41" t="s">
        <v>37</v>
      </c>
      <c r="K7" s="48"/>
      <c r="L7" s="48"/>
      <c r="M7" s="48"/>
      <c r="N7" s="48"/>
      <c r="O7" s="48"/>
      <c r="P7" s="48"/>
      <c r="Q7" s="50" t="s">
        <v>26</v>
      </c>
      <c r="R7" s="48"/>
      <c r="S7" s="48"/>
      <c r="T7" s="48"/>
      <c r="U7" s="48"/>
      <c r="V7" s="48"/>
      <c r="W7" s="51"/>
      <c r="X7" s="52"/>
      <c r="Y7" s="48"/>
      <c r="Z7" s="48"/>
      <c r="AA7" s="48"/>
      <c r="AB7" s="48"/>
      <c r="AC7" s="48"/>
      <c r="AD7" s="48"/>
      <c r="AE7" s="290">
        <v>10.220000000000001</v>
      </c>
      <c r="AF7" s="415">
        <f t="shared" ref="AF7:AF16" si="0">AE7-(4.776/12)</f>
        <v>9.822000000000001</v>
      </c>
      <c r="AG7" s="192" t="s">
        <v>25</v>
      </c>
      <c r="AH7" s="312" t="s">
        <v>141</v>
      </c>
      <c r="AI7" s="282">
        <f>IF(AG7="IN",AF7,0)</f>
        <v>0</v>
      </c>
      <c r="AJ7" s="46"/>
    </row>
    <row r="8" spans="2:36" s="47" customFormat="1" ht="16.5" thickBot="1">
      <c r="B8" s="36"/>
      <c r="C8" s="39"/>
      <c r="D8" s="54"/>
      <c r="E8" s="55"/>
      <c r="F8" s="56"/>
      <c r="G8" s="56"/>
      <c r="H8" s="56"/>
      <c r="I8" s="57"/>
      <c r="J8" s="58"/>
      <c r="K8" s="56"/>
      <c r="L8" s="56"/>
      <c r="M8" s="56"/>
      <c r="N8" s="56"/>
      <c r="O8" s="59"/>
      <c r="P8" s="56"/>
      <c r="Q8" s="54"/>
      <c r="R8" s="56"/>
      <c r="S8" s="55"/>
      <c r="T8" s="56"/>
      <c r="U8" s="56"/>
      <c r="V8" s="56"/>
      <c r="W8" s="60"/>
      <c r="X8" s="61" t="s">
        <v>38</v>
      </c>
      <c r="Y8" s="56"/>
      <c r="Z8" s="56"/>
      <c r="AA8" s="56"/>
      <c r="AB8" s="56"/>
      <c r="AC8" s="59"/>
      <c r="AD8" s="56"/>
      <c r="AE8" s="290">
        <v>10.220000000000001</v>
      </c>
      <c r="AF8" s="415">
        <f t="shared" si="0"/>
        <v>9.822000000000001</v>
      </c>
      <c r="AG8" s="192" t="s">
        <v>25</v>
      </c>
      <c r="AH8" s="179" t="s">
        <v>142</v>
      </c>
      <c r="AI8" s="53">
        <f t="shared" ref="AI8:AI16" si="1">IF(AG8="IN",AF8,0)</f>
        <v>0</v>
      </c>
      <c r="AJ8" s="46"/>
    </row>
    <row r="9" spans="2:36" s="47" customFormat="1" ht="17.25" thickTop="1" thickBot="1">
      <c r="B9" s="36"/>
      <c r="C9" s="39"/>
      <c r="D9" s="38"/>
      <c r="E9" s="62"/>
      <c r="F9" s="63"/>
      <c r="G9" s="63"/>
      <c r="H9" s="63"/>
      <c r="I9" s="64"/>
      <c r="J9" s="58" t="s">
        <v>39</v>
      </c>
      <c r="K9" s="63"/>
      <c r="L9" s="63"/>
      <c r="M9" s="63"/>
      <c r="N9" s="63"/>
      <c r="O9" s="65"/>
      <c r="P9" s="39"/>
      <c r="Q9" s="38"/>
      <c r="R9" s="39"/>
      <c r="S9" s="62"/>
      <c r="T9" s="39"/>
      <c r="U9" s="39"/>
      <c r="V9" s="39"/>
      <c r="W9" s="42"/>
      <c r="X9" s="43" t="s">
        <v>29</v>
      </c>
      <c r="Y9" s="39"/>
      <c r="Z9" s="39"/>
      <c r="AA9" s="39"/>
      <c r="AB9" s="39"/>
      <c r="AC9" s="65"/>
      <c r="AD9" s="39"/>
      <c r="AE9" s="290">
        <v>15.19</v>
      </c>
      <c r="AF9" s="415">
        <f t="shared" si="0"/>
        <v>14.792</v>
      </c>
      <c r="AG9" s="192" t="s">
        <v>182</v>
      </c>
      <c r="AH9" s="179" t="s">
        <v>143</v>
      </c>
      <c r="AI9" s="53">
        <f t="shared" si="1"/>
        <v>14.792</v>
      </c>
      <c r="AJ9" s="46"/>
    </row>
    <row r="10" spans="2:36" s="47" customFormat="1" ht="17.25" thickTop="1" thickBot="1">
      <c r="B10" s="36"/>
      <c r="C10" s="48"/>
      <c r="D10" s="49"/>
      <c r="E10" s="66"/>
      <c r="F10" s="67"/>
      <c r="G10" s="68"/>
      <c r="H10" s="68"/>
      <c r="I10" s="68"/>
      <c r="J10" s="69" t="s">
        <v>40</v>
      </c>
      <c r="K10" s="68"/>
      <c r="L10" s="68"/>
      <c r="M10" s="68"/>
      <c r="N10" s="70"/>
      <c r="O10" s="71"/>
      <c r="P10" s="48"/>
      <c r="Q10" s="50" t="s">
        <v>41</v>
      </c>
      <c r="R10" s="48"/>
      <c r="S10" s="72"/>
      <c r="T10" s="39"/>
      <c r="U10" s="39"/>
      <c r="V10" s="39"/>
      <c r="W10" s="42"/>
      <c r="X10" s="43" t="s">
        <v>37</v>
      </c>
      <c r="Y10" s="39"/>
      <c r="Z10" s="39"/>
      <c r="AA10" s="39"/>
      <c r="AB10" s="39"/>
      <c r="AC10" s="71"/>
      <c r="AD10" s="48"/>
      <c r="AE10" s="290">
        <v>15.2</v>
      </c>
      <c r="AF10" s="415">
        <f t="shared" si="0"/>
        <v>14.802</v>
      </c>
      <c r="AG10" s="192" t="s">
        <v>182</v>
      </c>
      <c r="AH10" s="179" t="s">
        <v>144</v>
      </c>
      <c r="AI10" s="53">
        <f t="shared" si="1"/>
        <v>14.802</v>
      </c>
      <c r="AJ10" s="46"/>
    </row>
    <row r="11" spans="2:36" s="47" customFormat="1" ht="17.25" thickTop="1" thickBot="1">
      <c r="B11" s="36"/>
      <c r="C11" s="39"/>
      <c r="D11" s="38"/>
      <c r="E11" s="39"/>
      <c r="F11" s="62"/>
      <c r="G11" s="39"/>
      <c r="H11" s="39"/>
      <c r="I11" s="73"/>
      <c r="J11" s="74" t="s">
        <v>42</v>
      </c>
      <c r="K11" s="39"/>
      <c r="L11" s="39"/>
      <c r="M11" s="39"/>
      <c r="N11" s="65"/>
      <c r="O11" s="39"/>
      <c r="P11" s="39"/>
      <c r="Q11" s="38"/>
      <c r="R11" s="39"/>
      <c r="S11" s="39"/>
      <c r="T11" s="62"/>
      <c r="U11" s="39"/>
      <c r="V11" s="39"/>
      <c r="W11" s="42"/>
      <c r="X11" s="75"/>
      <c r="Y11" s="39"/>
      <c r="Z11" s="39"/>
      <c r="AA11" s="39"/>
      <c r="AB11" s="65"/>
      <c r="AC11" s="39"/>
      <c r="AD11" s="39"/>
      <c r="AE11" s="290">
        <v>20.190000000000001</v>
      </c>
      <c r="AF11" s="415">
        <f t="shared" si="0"/>
        <v>19.792000000000002</v>
      </c>
      <c r="AG11" s="192" t="s">
        <v>25</v>
      </c>
      <c r="AH11" s="179" t="s">
        <v>145</v>
      </c>
      <c r="AI11" s="53">
        <f t="shared" si="1"/>
        <v>0</v>
      </c>
      <c r="AJ11" s="46"/>
    </row>
    <row r="12" spans="2:36" s="47" customFormat="1" ht="16.5" thickTop="1">
      <c r="B12" s="36"/>
      <c r="C12" s="39"/>
      <c r="D12" s="38"/>
      <c r="E12" s="39"/>
      <c r="F12" s="62"/>
      <c r="G12" s="39"/>
      <c r="H12" s="39"/>
      <c r="I12" s="39"/>
      <c r="J12" s="76"/>
      <c r="K12" s="39"/>
      <c r="L12" s="39"/>
      <c r="M12" s="39"/>
      <c r="N12" s="65"/>
      <c r="O12" s="39"/>
      <c r="P12" s="39"/>
      <c r="Q12" s="38"/>
      <c r="R12" s="39"/>
      <c r="S12" s="39"/>
      <c r="T12" s="62"/>
      <c r="U12" s="39"/>
      <c r="V12" s="39"/>
      <c r="W12" s="42"/>
      <c r="X12" s="77"/>
      <c r="Y12" s="39"/>
      <c r="Z12" s="39"/>
      <c r="AA12" s="39"/>
      <c r="AB12" s="65"/>
      <c r="AC12" s="39"/>
      <c r="AD12" s="39"/>
      <c r="AE12" s="290">
        <v>20.190000000000001</v>
      </c>
      <c r="AF12" s="415">
        <f t="shared" si="0"/>
        <v>19.792000000000002</v>
      </c>
      <c r="AG12" s="192" t="s">
        <v>25</v>
      </c>
      <c r="AH12" s="179" t="s">
        <v>146</v>
      </c>
      <c r="AI12" s="53">
        <f t="shared" si="1"/>
        <v>0</v>
      </c>
      <c r="AJ12" s="46"/>
    </row>
    <row r="13" spans="2:36" s="47" customFormat="1" ht="15.75">
      <c r="B13" s="36"/>
      <c r="C13" s="39"/>
      <c r="D13" s="38"/>
      <c r="E13" s="39"/>
      <c r="F13" s="62"/>
      <c r="G13" s="39"/>
      <c r="H13" s="39"/>
      <c r="I13" s="39"/>
      <c r="J13" s="78" t="s">
        <v>43</v>
      </c>
      <c r="K13" s="39"/>
      <c r="L13" s="39"/>
      <c r="M13" s="39"/>
      <c r="N13" s="65"/>
      <c r="O13" s="39"/>
      <c r="P13" s="39"/>
      <c r="Q13" s="38"/>
      <c r="R13" s="39"/>
      <c r="S13" s="39"/>
      <c r="T13" s="62"/>
      <c r="U13" s="39"/>
      <c r="V13" s="39"/>
      <c r="W13" s="79"/>
      <c r="X13" s="77"/>
      <c r="Y13" s="39"/>
      <c r="Z13" s="39"/>
      <c r="AA13" s="39"/>
      <c r="AB13" s="65"/>
      <c r="AC13" s="39"/>
      <c r="AD13" s="39"/>
      <c r="AE13" s="290">
        <v>3.21</v>
      </c>
      <c r="AF13" s="415">
        <f t="shared" si="0"/>
        <v>2.8119999999999998</v>
      </c>
      <c r="AG13" s="192" t="s">
        <v>29</v>
      </c>
      <c r="AH13" s="179" t="s">
        <v>147</v>
      </c>
      <c r="AI13" s="53">
        <f t="shared" si="1"/>
        <v>0</v>
      </c>
      <c r="AJ13" s="46"/>
    </row>
    <row r="14" spans="2:36" s="47" customFormat="1" ht="16.5" thickBot="1">
      <c r="B14" s="36"/>
      <c r="C14" s="39"/>
      <c r="D14" s="38"/>
      <c r="E14" s="39"/>
      <c r="F14" s="62"/>
      <c r="G14" s="39"/>
      <c r="H14" s="39"/>
      <c r="I14" s="39"/>
      <c r="J14" s="80"/>
      <c r="K14" s="39"/>
      <c r="L14" s="39"/>
      <c r="M14" s="39"/>
      <c r="N14" s="65"/>
      <c r="O14" s="39"/>
      <c r="P14" s="39"/>
      <c r="Q14" s="38"/>
      <c r="R14" s="39"/>
      <c r="S14" s="39"/>
      <c r="T14" s="62"/>
      <c r="U14" s="39"/>
      <c r="V14" s="39"/>
      <c r="W14" s="79"/>
      <c r="X14" s="77"/>
      <c r="Y14" s="39"/>
      <c r="Z14" s="39"/>
      <c r="AA14" s="39"/>
      <c r="AB14" s="65"/>
      <c r="AC14" s="39"/>
      <c r="AD14" s="39"/>
      <c r="AE14" s="290">
        <v>3.22</v>
      </c>
      <c r="AF14" s="420">
        <f t="shared" si="0"/>
        <v>2.8220000000000001</v>
      </c>
      <c r="AG14" s="192" t="s">
        <v>25</v>
      </c>
      <c r="AH14" s="179" t="s">
        <v>148</v>
      </c>
      <c r="AI14" s="53">
        <f t="shared" si="1"/>
        <v>0</v>
      </c>
      <c r="AJ14" s="46"/>
    </row>
    <row r="15" spans="2:36" s="47" customFormat="1" ht="17.25" thickTop="1" thickBot="1">
      <c r="B15" s="36"/>
      <c r="C15" s="39"/>
      <c r="D15" s="38"/>
      <c r="E15" s="39"/>
      <c r="F15" s="62"/>
      <c r="G15" s="39"/>
      <c r="H15" s="39"/>
      <c r="I15" s="79"/>
      <c r="J15" s="81"/>
      <c r="K15" s="39"/>
      <c r="L15" s="39"/>
      <c r="M15" s="39"/>
      <c r="N15" s="65"/>
      <c r="O15" s="39"/>
      <c r="P15" s="39"/>
      <c r="Q15" s="38"/>
      <c r="R15" s="39"/>
      <c r="S15" s="39"/>
      <c r="T15" s="62"/>
      <c r="U15" s="39"/>
      <c r="V15" s="39"/>
      <c r="W15" s="79"/>
      <c r="X15" s="82"/>
      <c r="Y15" s="39"/>
      <c r="Z15" s="39"/>
      <c r="AA15" s="39"/>
      <c r="AB15" s="65"/>
      <c r="AC15" s="39"/>
      <c r="AD15" s="39"/>
      <c r="AE15" s="290">
        <v>6.22</v>
      </c>
      <c r="AF15" s="420">
        <f t="shared" si="0"/>
        <v>5.8220000000000001</v>
      </c>
      <c r="AG15" s="192" t="s">
        <v>25</v>
      </c>
      <c r="AH15" s="179" t="s">
        <v>149</v>
      </c>
      <c r="AI15" s="53">
        <f t="shared" si="1"/>
        <v>0</v>
      </c>
      <c r="AJ15" s="46"/>
    </row>
    <row r="16" spans="2:36" s="47" customFormat="1" ht="17.25" thickTop="1" thickBot="1">
      <c r="B16" s="36"/>
      <c r="C16" s="39"/>
      <c r="D16" s="38"/>
      <c r="E16" s="39"/>
      <c r="F16" s="62"/>
      <c r="G16" s="39"/>
      <c r="H16" s="83"/>
      <c r="I16" s="84"/>
      <c r="J16" s="85"/>
      <c r="K16" s="86"/>
      <c r="L16" s="87"/>
      <c r="M16" s="39"/>
      <c r="N16" s="65"/>
      <c r="O16" s="39"/>
      <c r="P16" s="39"/>
      <c r="Q16" s="38"/>
      <c r="R16" s="39"/>
      <c r="S16" s="39"/>
      <c r="T16" s="62"/>
      <c r="U16" s="39"/>
      <c r="V16" s="39"/>
      <c r="W16" s="79"/>
      <c r="X16" s="85"/>
      <c r="Y16" s="39"/>
      <c r="Z16" s="39"/>
      <c r="AA16" s="39"/>
      <c r="AB16" s="65"/>
      <c r="AC16" s="39"/>
      <c r="AD16" s="39"/>
      <c r="AE16" s="290">
        <v>6.21</v>
      </c>
      <c r="AF16" s="420">
        <f t="shared" si="0"/>
        <v>5.8120000000000003</v>
      </c>
      <c r="AG16" s="192" t="s">
        <v>25</v>
      </c>
      <c r="AH16" s="179" t="s">
        <v>150</v>
      </c>
      <c r="AI16" s="53">
        <f t="shared" si="1"/>
        <v>0</v>
      </c>
      <c r="AJ16" s="46"/>
    </row>
    <row r="17" spans="2:36" s="47" customFormat="1" ht="17.25" thickTop="1" thickBot="1">
      <c r="B17" s="36"/>
      <c r="C17" s="88" t="s">
        <v>44</v>
      </c>
      <c r="D17" s="88"/>
      <c r="E17" s="89"/>
      <c r="F17" s="48"/>
      <c r="G17" s="90"/>
      <c r="H17" s="91"/>
      <c r="I17" s="84"/>
      <c r="J17" s="85"/>
      <c r="K17" s="92"/>
      <c r="L17" s="93"/>
      <c r="M17" s="91"/>
      <c r="N17" s="65"/>
      <c r="O17" s="39"/>
      <c r="P17" s="39"/>
      <c r="Q17" s="38"/>
      <c r="R17" s="39"/>
      <c r="S17" s="39"/>
      <c r="T17" s="62"/>
      <c r="U17" s="39"/>
      <c r="V17" s="83"/>
      <c r="W17" s="84"/>
      <c r="X17" s="85"/>
      <c r="Y17" s="94"/>
      <c r="Z17" s="87"/>
      <c r="AA17" s="39"/>
      <c r="AB17" s="65"/>
      <c r="AC17" s="39"/>
      <c r="AD17" s="39"/>
      <c r="AE17" s="299">
        <v>33.25</v>
      </c>
      <c r="AF17" s="410">
        <f t="shared" ref="AF17" si="2">AE17-(4.776/12)</f>
        <v>32.851999999999997</v>
      </c>
      <c r="AG17" s="192" t="s">
        <v>182</v>
      </c>
      <c r="AH17" s="179">
        <v>343</v>
      </c>
      <c r="AI17" s="53">
        <f t="shared" ref="AI17" si="3">IF(AG17="IN",AF17,0)</f>
        <v>32.851999999999997</v>
      </c>
      <c r="AJ17" s="46"/>
    </row>
    <row r="18" spans="2:36" s="47" customFormat="1" ht="17.25" thickTop="1" thickBot="1">
      <c r="B18" s="36"/>
      <c r="C18" s="95"/>
      <c r="D18" s="95"/>
      <c r="E18" s="96"/>
      <c r="F18" s="56"/>
      <c r="G18" s="39"/>
      <c r="H18" s="97"/>
      <c r="I18" s="98"/>
      <c r="J18" s="85"/>
      <c r="K18" s="99"/>
      <c r="L18" s="97"/>
      <c r="M18" s="39"/>
      <c r="N18" s="65"/>
      <c r="O18" s="39"/>
      <c r="P18" s="39"/>
      <c r="Q18" s="38"/>
      <c r="R18" s="39"/>
      <c r="S18" s="39"/>
      <c r="T18" s="62"/>
      <c r="U18" s="90"/>
      <c r="V18" s="91"/>
      <c r="W18" s="84"/>
      <c r="X18" s="85"/>
      <c r="Y18" s="92"/>
      <c r="Z18" s="93"/>
      <c r="AA18" s="91"/>
      <c r="AB18" s="65"/>
      <c r="AC18" s="39"/>
      <c r="AD18" s="39"/>
      <c r="AE18" s="423"/>
      <c r="AF18" s="415"/>
      <c r="AG18" s="192"/>
      <c r="AH18" s="179"/>
      <c r="AI18" s="53"/>
      <c r="AJ18" s="100"/>
    </row>
    <row r="19" spans="2:36" s="47" customFormat="1" ht="17.25" thickTop="1" thickBot="1">
      <c r="B19" s="36"/>
      <c r="C19" s="39"/>
      <c r="D19" s="38"/>
      <c r="E19" s="39"/>
      <c r="F19" s="62"/>
      <c r="H19" s="39"/>
      <c r="I19" s="79"/>
      <c r="J19" s="101"/>
      <c r="K19" s="39"/>
      <c r="N19" s="65"/>
      <c r="O19" s="39"/>
      <c r="P19" s="39"/>
      <c r="Q19" s="38"/>
      <c r="R19" s="39"/>
      <c r="S19" s="39"/>
      <c r="T19" s="62"/>
      <c r="U19" s="39"/>
      <c r="V19" s="97"/>
      <c r="W19" s="98"/>
      <c r="X19" s="85"/>
      <c r="Y19" s="99"/>
      <c r="Z19" s="97"/>
      <c r="AA19" s="39"/>
      <c r="AB19" s="65"/>
      <c r="AC19" s="39"/>
      <c r="AD19" s="39"/>
      <c r="AE19" s="424"/>
      <c r="AF19" s="415"/>
      <c r="AG19" s="192"/>
      <c r="AH19" s="179"/>
      <c r="AI19" s="53"/>
      <c r="AJ19" s="100"/>
    </row>
    <row r="20" spans="2:36" s="47" customFormat="1" ht="17.25" thickTop="1" thickBot="1">
      <c r="B20" s="36"/>
      <c r="C20" s="39"/>
      <c r="D20" s="102"/>
      <c r="E20" s="39"/>
      <c r="F20" s="103"/>
      <c r="G20" s="39"/>
      <c r="H20" s="39"/>
      <c r="I20" s="79"/>
      <c r="J20" s="101"/>
      <c r="K20" s="39"/>
      <c r="L20" s="39"/>
      <c r="M20" s="39"/>
      <c r="N20" s="104"/>
      <c r="O20" s="39"/>
      <c r="P20" s="39"/>
      <c r="Q20" s="38"/>
      <c r="R20" s="39"/>
      <c r="S20" s="39"/>
      <c r="T20" s="103"/>
      <c r="U20" s="39"/>
      <c r="V20" s="39"/>
      <c r="W20" s="79"/>
      <c r="X20" s="85"/>
      <c r="Y20" s="105"/>
      <c r="Z20" s="39"/>
      <c r="AA20" s="39"/>
      <c r="AB20" s="104"/>
      <c r="AC20" s="37"/>
      <c r="AE20" s="409"/>
      <c r="AF20" s="415"/>
      <c r="AG20" s="192"/>
      <c r="AH20" s="179"/>
      <c r="AI20" s="53"/>
      <c r="AJ20" s="100"/>
    </row>
    <row r="21" spans="2:36" s="47" customFormat="1" ht="17.25" thickTop="1" thickBot="1">
      <c r="B21" s="36"/>
      <c r="C21" s="39"/>
      <c r="D21" s="102"/>
      <c r="E21" s="39"/>
      <c r="F21" s="65"/>
      <c r="G21" s="39"/>
      <c r="H21" s="39"/>
      <c r="I21" s="39"/>
      <c r="J21" s="106" t="s">
        <v>45</v>
      </c>
      <c r="K21" s="39"/>
      <c r="L21" s="39"/>
      <c r="M21" s="39"/>
      <c r="N21" s="62"/>
      <c r="O21" s="39"/>
      <c r="P21" s="39"/>
      <c r="Q21" s="38"/>
      <c r="R21" s="39"/>
      <c r="S21" s="39"/>
      <c r="T21" s="65"/>
      <c r="U21" s="39"/>
      <c r="V21" s="39"/>
      <c r="W21" s="79"/>
      <c r="X21" s="85"/>
      <c r="Y21" s="39"/>
      <c r="Z21" s="39"/>
      <c r="AA21" s="65"/>
      <c r="AB21" s="39"/>
      <c r="AC21" s="37"/>
      <c r="AE21" s="287"/>
      <c r="AF21" s="415"/>
      <c r="AG21" s="192"/>
      <c r="AH21" s="179"/>
      <c r="AI21" s="53"/>
      <c r="AJ21" s="100"/>
    </row>
    <row r="22" spans="2:36" s="47" customFormat="1" ht="17.25" thickTop="1" thickBot="1">
      <c r="B22" s="36"/>
      <c r="C22" s="39"/>
      <c r="D22" s="50" t="s">
        <v>46</v>
      </c>
      <c r="E22" s="48"/>
      <c r="F22" s="89"/>
      <c r="G22" s="48"/>
      <c r="H22" s="107"/>
      <c r="I22" s="108"/>
      <c r="J22" s="81"/>
      <c r="K22" s="109"/>
      <c r="L22" s="107"/>
      <c r="M22" s="39"/>
      <c r="N22" s="62"/>
      <c r="O22" s="39"/>
      <c r="P22" s="39"/>
      <c r="R22" s="39"/>
      <c r="S22" s="39"/>
      <c r="T22" s="110"/>
      <c r="U22" s="39"/>
      <c r="V22" s="39"/>
      <c r="W22" s="79"/>
      <c r="X22" s="81"/>
      <c r="Y22" s="39"/>
      <c r="Z22" s="39"/>
      <c r="AA22" s="65"/>
      <c r="AB22" s="39"/>
      <c r="AC22" s="39"/>
      <c r="AD22" s="39"/>
      <c r="AE22" s="287"/>
      <c r="AF22" s="415"/>
      <c r="AG22" s="192"/>
      <c r="AH22" s="179"/>
      <c r="AI22" s="53"/>
      <c r="AJ22" s="100"/>
    </row>
    <row r="23" spans="2:36" s="47" customFormat="1" ht="17.25" customHeight="1" thickTop="1" thickBot="1">
      <c r="B23" s="36"/>
      <c r="C23" s="39"/>
      <c r="D23" s="50"/>
      <c r="E23" s="48"/>
      <c r="F23" s="89"/>
      <c r="G23" s="48"/>
      <c r="H23" s="39"/>
      <c r="I23" s="79"/>
      <c r="J23" s="85"/>
      <c r="K23" s="39"/>
      <c r="L23" s="39"/>
      <c r="M23" s="111"/>
      <c r="N23" s="48"/>
      <c r="O23" s="48"/>
      <c r="P23" s="48"/>
      <c r="Q23" s="50"/>
      <c r="R23" s="48"/>
      <c r="S23" s="48"/>
      <c r="T23" s="89"/>
      <c r="U23" s="48"/>
      <c r="V23" s="107"/>
      <c r="W23" s="112"/>
      <c r="X23" s="85"/>
      <c r="Y23" s="113"/>
      <c r="Z23" s="107"/>
      <c r="AA23" s="65"/>
      <c r="AB23" s="39"/>
      <c r="AC23" s="39"/>
      <c r="AD23" s="39"/>
      <c r="AE23" s="287"/>
      <c r="AF23" s="415"/>
      <c r="AG23" s="192"/>
      <c r="AH23" s="179"/>
      <c r="AI23" s="53"/>
      <c r="AJ23" s="100"/>
    </row>
    <row r="24" spans="2:36" s="47" customFormat="1" ht="16.5" thickTop="1">
      <c r="B24" s="36"/>
      <c r="C24" s="39"/>
      <c r="D24" s="102"/>
      <c r="E24" s="39"/>
      <c r="F24" s="110"/>
      <c r="G24" s="39"/>
      <c r="H24" s="114"/>
      <c r="I24" s="115"/>
      <c r="J24" s="101"/>
      <c r="L24" s="114"/>
      <c r="M24" s="65"/>
      <c r="N24" s="39"/>
      <c r="O24" s="39"/>
      <c r="P24" s="39"/>
      <c r="Q24" s="102" t="s">
        <v>47</v>
      </c>
      <c r="R24" s="39"/>
      <c r="S24" s="39"/>
      <c r="T24" s="110"/>
      <c r="U24" s="39"/>
      <c r="V24" s="114"/>
      <c r="W24" s="115"/>
      <c r="X24" s="85"/>
      <c r="Z24" s="114"/>
      <c r="AA24" s="65"/>
      <c r="AB24" s="39"/>
      <c r="AC24" s="39"/>
      <c r="AD24" s="39"/>
      <c r="AE24" s="287"/>
      <c r="AF24" s="415"/>
      <c r="AG24" s="192"/>
      <c r="AH24" s="179"/>
      <c r="AI24" s="53"/>
      <c r="AJ24" s="100"/>
    </row>
    <row r="25" spans="2:36" s="47" customFormat="1" ht="15.75">
      <c r="B25" s="36"/>
      <c r="C25" s="39"/>
      <c r="D25" s="102"/>
      <c r="E25" s="39"/>
      <c r="F25" s="110"/>
      <c r="G25" s="39"/>
      <c r="H25" s="114"/>
      <c r="I25" s="115"/>
      <c r="J25" s="85"/>
      <c r="K25" s="39"/>
      <c r="L25" s="114"/>
      <c r="M25" s="65"/>
      <c r="N25" s="39"/>
      <c r="O25" s="39"/>
      <c r="P25" s="39"/>
      <c r="Q25" s="38"/>
      <c r="R25" s="39"/>
      <c r="S25" s="39"/>
      <c r="T25" s="110"/>
      <c r="U25" s="39"/>
      <c r="V25" s="114"/>
      <c r="W25" s="115"/>
      <c r="X25" s="85"/>
      <c r="Y25" s="39"/>
      <c r="Z25" s="114"/>
      <c r="AA25" s="65"/>
      <c r="AB25" s="39"/>
      <c r="AC25" s="39"/>
      <c r="AD25" s="39"/>
      <c r="AE25" s="286"/>
      <c r="AF25" s="415"/>
      <c r="AG25" s="192"/>
      <c r="AH25" s="179"/>
      <c r="AI25" s="53"/>
      <c r="AJ25" s="100"/>
    </row>
    <row r="26" spans="2:36" s="47" customFormat="1" ht="15.75">
      <c r="B26" s="36"/>
      <c r="C26" s="39"/>
      <c r="D26" s="102"/>
      <c r="E26" s="39"/>
      <c r="F26" s="110"/>
      <c r="G26" s="39"/>
      <c r="H26" s="114"/>
      <c r="I26" s="115"/>
      <c r="J26" s="85"/>
      <c r="K26" s="39"/>
      <c r="L26" s="114"/>
      <c r="M26" s="65"/>
      <c r="N26" s="39"/>
      <c r="O26" s="39"/>
      <c r="P26" s="39"/>
      <c r="Q26" s="38"/>
      <c r="R26" s="39"/>
      <c r="S26" s="39"/>
      <c r="T26" s="110"/>
      <c r="U26" s="39"/>
      <c r="V26" s="114"/>
      <c r="W26" s="115"/>
      <c r="X26" s="85"/>
      <c r="Y26" s="39"/>
      <c r="Z26" s="114"/>
      <c r="AA26" s="65"/>
      <c r="AB26" s="39"/>
      <c r="AC26" s="39"/>
      <c r="AD26" s="39"/>
      <c r="AE26" s="286"/>
      <c r="AF26" s="415"/>
      <c r="AG26" s="192"/>
      <c r="AH26" s="179"/>
      <c r="AI26" s="53"/>
      <c r="AJ26" s="100"/>
    </row>
    <row r="27" spans="2:36" s="47" customFormat="1" ht="15.75">
      <c r="B27" s="36"/>
      <c r="C27" s="39"/>
      <c r="D27" s="102"/>
      <c r="E27" s="39"/>
      <c r="F27" s="110"/>
      <c r="G27" s="39"/>
      <c r="H27" s="114"/>
      <c r="I27" s="115"/>
      <c r="J27" s="85"/>
      <c r="K27" s="39"/>
      <c r="L27" s="114"/>
      <c r="M27" s="65"/>
      <c r="N27" s="39"/>
      <c r="O27" s="39"/>
      <c r="P27" s="39"/>
      <c r="Q27" s="38"/>
      <c r="R27" s="39"/>
      <c r="S27" s="39"/>
      <c r="T27" s="110"/>
      <c r="U27" s="39"/>
      <c r="V27" s="114"/>
      <c r="W27" s="115"/>
      <c r="X27" s="85"/>
      <c r="Y27" s="39"/>
      <c r="Z27" s="114"/>
      <c r="AA27" s="65"/>
      <c r="AB27" s="39"/>
      <c r="AC27" s="39"/>
      <c r="AD27" s="39"/>
      <c r="AE27" s="409"/>
      <c r="AF27" s="410"/>
      <c r="AG27" s="192"/>
      <c r="AH27" s="179"/>
      <c r="AI27" s="53"/>
      <c r="AJ27" s="100"/>
    </row>
    <row r="28" spans="2:36" s="47" customFormat="1" ht="15.75">
      <c r="B28" s="36"/>
      <c r="C28" s="39"/>
      <c r="D28" s="50" t="s">
        <v>48</v>
      </c>
      <c r="E28" s="48"/>
      <c r="F28" s="89"/>
      <c r="G28" s="48"/>
      <c r="H28" s="114"/>
      <c r="I28" s="115"/>
      <c r="J28" s="85"/>
      <c r="K28" s="39"/>
      <c r="L28" s="114"/>
      <c r="M28" s="65"/>
      <c r="N28" s="39"/>
      <c r="O28" s="39"/>
      <c r="P28" s="39"/>
      <c r="Q28" s="38"/>
      <c r="R28" s="39"/>
      <c r="S28" s="39"/>
      <c r="T28" s="110"/>
      <c r="U28" s="39"/>
      <c r="V28" s="114"/>
      <c r="W28" s="115"/>
      <c r="X28" s="85"/>
      <c r="Y28" s="39"/>
      <c r="Z28" s="114"/>
      <c r="AA28" s="65"/>
      <c r="AB28" s="39"/>
      <c r="AC28" s="39"/>
      <c r="AD28" s="39"/>
      <c r="AE28" s="409"/>
      <c r="AF28" s="410"/>
      <c r="AG28" s="192"/>
      <c r="AH28" s="179"/>
      <c r="AI28" s="53"/>
      <c r="AJ28" s="100"/>
    </row>
    <row r="29" spans="2:36" s="47" customFormat="1" ht="16.5" thickBot="1">
      <c r="B29" s="36"/>
      <c r="C29" s="39"/>
      <c r="D29" s="50" t="s">
        <v>49</v>
      </c>
      <c r="E29" s="48"/>
      <c r="F29" s="89"/>
      <c r="G29" s="48"/>
      <c r="H29" s="116"/>
      <c r="I29" s="117"/>
      <c r="J29" s="38"/>
      <c r="K29" s="117"/>
      <c r="L29" s="116"/>
      <c r="M29" s="65"/>
      <c r="N29" s="39"/>
      <c r="O29" s="39"/>
      <c r="P29" s="39"/>
      <c r="Q29" s="38"/>
      <c r="R29" s="39"/>
      <c r="S29" s="39"/>
      <c r="T29" s="110"/>
      <c r="U29" s="39"/>
      <c r="V29" s="116"/>
      <c r="W29" s="117"/>
      <c r="X29" s="85"/>
      <c r="Y29" s="117"/>
      <c r="Z29" s="116"/>
      <c r="AA29" s="65"/>
      <c r="AB29" s="39"/>
      <c r="AC29" s="39"/>
      <c r="AD29" s="39"/>
      <c r="AE29" s="409"/>
      <c r="AF29" s="410"/>
      <c r="AG29" s="192"/>
      <c r="AH29" s="179"/>
      <c r="AI29" s="53"/>
      <c r="AJ29" s="100"/>
    </row>
    <row r="30" spans="2:36" s="47" customFormat="1" ht="16.5" thickTop="1">
      <c r="B30" s="36"/>
      <c r="C30" s="39"/>
      <c r="D30" s="38"/>
      <c r="E30" s="39"/>
      <c r="F30" s="110"/>
      <c r="G30" s="39"/>
      <c r="H30" s="118"/>
      <c r="I30" s="119"/>
      <c r="J30" s="75"/>
      <c r="L30" s="118"/>
      <c r="M30" s="65"/>
      <c r="N30" s="39"/>
      <c r="O30" s="39"/>
      <c r="P30" s="39"/>
      <c r="Q30" s="38"/>
      <c r="R30" s="39"/>
      <c r="S30" s="39"/>
      <c r="T30" s="110"/>
      <c r="U30" s="39"/>
      <c r="V30" s="118"/>
      <c r="W30" s="119"/>
      <c r="X30" s="75"/>
      <c r="Z30" s="118"/>
      <c r="AA30" s="65"/>
      <c r="AB30" s="39"/>
      <c r="AC30" s="39"/>
      <c r="AD30" s="39"/>
      <c r="AE30" s="409"/>
      <c r="AF30" s="410"/>
      <c r="AG30" s="192"/>
      <c r="AH30" s="179"/>
      <c r="AI30" s="53"/>
      <c r="AJ30" s="100"/>
    </row>
    <row r="31" spans="2:36" s="47" customFormat="1" ht="15.75">
      <c r="B31" s="36"/>
      <c r="C31" s="39"/>
      <c r="D31" s="38"/>
      <c r="E31" s="39"/>
      <c r="F31" s="65"/>
      <c r="G31" s="39"/>
      <c r="H31" s="118"/>
      <c r="I31" s="120"/>
      <c r="J31" s="75"/>
      <c r="K31" s="121"/>
      <c r="L31" s="118"/>
      <c r="M31" s="65"/>
      <c r="N31" s="39"/>
      <c r="O31" s="39"/>
      <c r="P31" s="39"/>
      <c r="Q31" s="38"/>
      <c r="R31" s="39"/>
      <c r="S31" s="39"/>
      <c r="T31" s="65"/>
      <c r="U31" s="39"/>
      <c r="V31" s="118"/>
      <c r="W31" s="120"/>
      <c r="X31" s="75"/>
      <c r="Y31" s="121"/>
      <c r="Z31" s="118"/>
      <c r="AA31" s="65"/>
      <c r="AB31" s="39"/>
      <c r="AC31" s="39"/>
      <c r="AD31" s="39"/>
      <c r="AE31" s="409"/>
      <c r="AF31" s="410"/>
      <c r="AG31" s="192"/>
      <c r="AH31" s="179"/>
      <c r="AI31" s="53"/>
      <c r="AJ31" s="100"/>
    </row>
    <row r="32" spans="2:36" s="47" customFormat="1" ht="15.75">
      <c r="B32" s="36"/>
      <c r="C32" s="39"/>
      <c r="D32" s="38"/>
      <c r="E32" s="39"/>
      <c r="F32" s="65"/>
      <c r="G32" s="39"/>
      <c r="H32" s="122"/>
      <c r="I32" s="123"/>
      <c r="J32" s="75"/>
      <c r="L32" s="122"/>
      <c r="M32" s="65"/>
      <c r="N32" s="39"/>
      <c r="O32" s="39"/>
      <c r="P32" s="39"/>
      <c r="Q32" s="38"/>
      <c r="R32" s="39"/>
      <c r="S32" s="39"/>
      <c r="T32" s="65"/>
      <c r="U32" s="39"/>
      <c r="V32" s="122"/>
      <c r="W32" s="123"/>
      <c r="X32" s="75"/>
      <c r="Z32" s="122"/>
      <c r="AA32" s="65"/>
      <c r="AB32" s="39"/>
      <c r="AC32" s="39"/>
      <c r="AD32" s="39"/>
      <c r="AE32" s="409"/>
      <c r="AF32" s="410"/>
      <c r="AG32" s="192"/>
      <c r="AH32" s="179"/>
      <c r="AI32" s="53"/>
      <c r="AJ32" s="100"/>
    </row>
    <row r="33" spans="2:38" s="47" customFormat="1" ht="15">
      <c r="B33" s="36"/>
      <c r="C33" s="39"/>
      <c r="D33" s="38"/>
      <c r="E33" s="39"/>
      <c r="F33" s="65"/>
      <c r="G33" s="39"/>
      <c r="H33" s="39"/>
      <c r="I33" s="65"/>
      <c r="J33" s="75"/>
      <c r="K33" s="39"/>
      <c r="L33" s="39"/>
      <c r="M33" s="65"/>
      <c r="N33" s="39"/>
      <c r="O33" s="39"/>
      <c r="P33" s="39"/>
      <c r="Q33" s="38"/>
      <c r="R33" s="39"/>
      <c r="S33" s="39"/>
      <c r="T33" s="65"/>
      <c r="U33" s="39"/>
      <c r="V33" s="39"/>
      <c r="W33" s="65"/>
      <c r="X33" s="75"/>
      <c r="Y33" s="39"/>
      <c r="Z33" s="39"/>
      <c r="AA33" s="65"/>
      <c r="AB33" s="39"/>
      <c r="AC33" s="39"/>
      <c r="AD33" s="39"/>
      <c r="AE33" s="411"/>
      <c r="AF33" s="410"/>
      <c r="AG33" s="192"/>
      <c r="AH33" s="180"/>
      <c r="AI33" s="124"/>
      <c r="AJ33" s="100"/>
    </row>
    <row r="34" spans="2:38" s="47" customFormat="1" ht="15">
      <c r="B34" s="36"/>
      <c r="C34" s="39"/>
      <c r="D34" s="38"/>
      <c r="E34" s="39"/>
      <c r="F34" s="39"/>
      <c r="G34" s="39"/>
      <c r="H34" s="39"/>
      <c r="I34" s="65"/>
      <c r="J34" s="125"/>
      <c r="K34" s="39"/>
      <c r="L34" s="39"/>
      <c r="M34" s="39"/>
      <c r="N34" s="39"/>
      <c r="O34" s="39"/>
      <c r="P34" s="39"/>
      <c r="Q34" s="38"/>
      <c r="R34" s="39"/>
      <c r="S34" s="39"/>
      <c r="T34" s="39"/>
      <c r="U34" s="39"/>
      <c r="V34" s="39"/>
      <c r="W34" s="65"/>
      <c r="X34" s="125"/>
      <c r="Y34" s="39"/>
      <c r="Z34" s="39"/>
      <c r="AA34" s="39"/>
      <c r="AB34" s="39"/>
      <c r="AC34" s="39"/>
      <c r="AD34" s="39"/>
      <c r="AE34" s="411"/>
      <c r="AF34" s="410"/>
      <c r="AG34" s="192"/>
      <c r="AH34" s="180"/>
      <c r="AI34" s="124"/>
      <c r="AJ34" s="46"/>
      <c r="AL34" s="47" t="s">
        <v>14</v>
      </c>
    </row>
    <row r="35" spans="2:38" s="47" customFormat="1" ht="15.75" thickBot="1">
      <c r="B35" s="36"/>
      <c r="C35" s="39"/>
      <c r="D35" s="38"/>
      <c r="E35" s="39"/>
      <c r="F35" s="39"/>
      <c r="G35" s="39"/>
      <c r="H35" s="39"/>
      <c r="I35" s="39"/>
      <c r="J35" s="38"/>
      <c r="K35" s="39"/>
      <c r="L35" s="39"/>
      <c r="M35" s="39"/>
      <c r="N35" s="39"/>
      <c r="O35" s="39"/>
      <c r="P35" s="39"/>
      <c r="Q35" s="38"/>
      <c r="R35" s="39"/>
      <c r="S35" s="39"/>
      <c r="T35" s="39"/>
      <c r="U35" s="39"/>
      <c r="V35" s="39"/>
      <c r="W35" s="39"/>
      <c r="X35" s="38"/>
      <c r="Y35" s="39"/>
      <c r="Z35" s="39"/>
      <c r="AA35" s="39"/>
      <c r="AB35" s="39"/>
      <c r="AC35" s="39"/>
      <c r="AD35" s="39"/>
      <c r="AE35" s="411"/>
      <c r="AF35" s="410"/>
      <c r="AG35" s="192"/>
      <c r="AH35" s="180"/>
      <c r="AI35" s="124"/>
      <c r="AJ35" s="46"/>
    </row>
    <row r="36" spans="2:38" s="47" customFormat="1" ht="15.75" thickBot="1">
      <c r="B36" s="36"/>
      <c r="C36" s="39"/>
      <c r="D36" s="38"/>
      <c r="E36" s="126"/>
      <c r="F36" s="127"/>
      <c r="G36" s="127"/>
      <c r="H36" s="127"/>
      <c r="I36" s="127"/>
      <c r="J36" s="128" t="s">
        <v>50</v>
      </c>
      <c r="K36" s="127"/>
      <c r="L36" s="127"/>
      <c r="M36" s="127"/>
      <c r="N36" s="127"/>
      <c r="O36" s="129"/>
      <c r="P36" s="39"/>
      <c r="Q36" s="38"/>
      <c r="R36" s="39"/>
      <c r="S36" s="126"/>
      <c r="T36" s="127"/>
      <c r="U36" s="127"/>
      <c r="V36" s="127"/>
      <c r="W36" s="127"/>
      <c r="X36" s="128" t="s">
        <v>51</v>
      </c>
      <c r="Y36" s="127"/>
      <c r="Z36" s="127"/>
      <c r="AA36" s="127"/>
      <c r="AB36" s="127"/>
      <c r="AC36" s="129"/>
      <c r="AD36" s="39"/>
      <c r="AE36" s="411"/>
      <c r="AF36" s="410"/>
      <c r="AG36" s="192"/>
      <c r="AH36" s="180"/>
      <c r="AI36" s="124"/>
      <c r="AJ36" s="46"/>
    </row>
    <row r="37" spans="2:38" s="47" customFormat="1" ht="15">
      <c r="B37" s="36"/>
      <c r="C37" s="39"/>
      <c r="D37" s="38"/>
      <c r="E37" s="39"/>
      <c r="F37" s="39"/>
      <c r="G37" s="39"/>
      <c r="H37" s="39"/>
      <c r="I37" s="39"/>
      <c r="J37" s="102"/>
      <c r="K37" s="39"/>
      <c r="L37" s="39"/>
      <c r="M37" s="39"/>
      <c r="N37" s="39"/>
      <c r="O37" s="39"/>
      <c r="P37" s="39"/>
      <c r="Q37" s="38"/>
      <c r="R37" s="39"/>
      <c r="S37" s="39"/>
      <c r="T37" s="39"/>
      <c r="U37" s="39"/>
      <c r="V37" s="39"/>
      <c r="W37" s="39"/>
      <c r="X37" s="102"/>
      <c r="Y37" s="39"/>
      <c r="Z37" s="39"/>
      <c r="AA37" s="39"/>
      <c r="AB37" s="39"/>
      <c r="AC37" s="39"/>
      <c r="AD37" s="39"/>
      <c r="AE37" s="412"/>
      <c r="AF37" s="413">
        <f>SUM(AI7:AI36)</f>
        <v>62.445999999999998</v>
      </c>
      <c r="AG37" s="130" t="s">
        <v>52</v>
      </c>
      <c r="AH37" s="130"/>
      <c r="AI37" s="131"/>
      <c r="AJ37" s="46"/>
    </row>
    <row r="38" spans="2:38" s="47" customFormat="1" ht="15">
      <c r="B38" s="36"/>
      <c r="C38" s="39"/>
      <c r="D38" s="38"/>
      <c r="E38" s="39"/>
      <c r="F38" s="39"/>
      <c r="G38" s="39"/>
      <c r="H38" s="39"/>
      <c r="I38" s="39"/>
      <c r="J38" s="102"/>
      <c r="K38" s="39"/>
      <c r="L38" s="39"/>
      <c r="M38" s="39"/>
      <c r="N38" s="39"/>
      <c r="O38" s="39"/>
      <c r="P38" s="39"/>
      <c r="Q38" s="38"/>
      <c r="R38" s="39"/>
      <c r="S38" s="39"/>
      <c r="T38" s="39"/>
      <c r="U38" s="39"/>
      <c r="V38" s="39"/>
      <c r="W38" s="39"/>
      <c r="X38" s="102"/>
      <c r="Y38" s="39"/>
      <c r="Z38" s="39"/>
      <c r="AA38" s="39"/>
      <c r="AB38" s="39"/>
      <c r="AC38" s="39"/>
      <c r="AD38" s="39"/>
      <c r="AE38" s="25"/>
      <c r="AF38" s="25"/>
      <c r="AG38" s="25"/>
      <c r="AH38" s="25"/>
      <c r="AI38" s="25"/>
      <c r="AJ38" s="46"/>
    </row>
    <row r="39" spans="2:38" s="47" customFormat="1" ht="15">
      <c r="B39" s="36"/>
      <c r="C39" s="38" t="s">
        <v>53</v>
      </c>
      <c r="D39" s="38"/>
      <c r="E39" s="39"/>
      <c r="F39" s="39"/>
      <c r="G39" s="39"/>
      <c r="H39" s="39"/>
      <c r="I39" s="39"/>
      <c r="J39" s="102"/>
      <c r="K39" s="39"/>
      <c r="L39" s="39"/>
      <c r="M39" s="39"/>
      <c r="N39" s="39"/>
      <c r="O39" s="39"/>
      <c r="P39" s="39"/>
      <c r="Q39" s="38"/>
      <c r="R39" s="39"/>
      <c r="S39" s="39"/>
      <c r="T39" s="39"/>
      <c r="U39" s="39"/>
      <c r="V39" s="39"/>
      <c r="W39" s="39"/>
      <c r="X39" s="102"/>
      <c r="Y39" s="39"/>
      <c r="Z39" s="39"/>
      <c r="AA39" s="39"/>
      <c r="AB39" s="39"/>
      <c r="AC39" s="39"/>
      <c r="AD39" s="39"/>
      <c r="AE39" s="25"/>
      <c r="AF39" s="25"/>
      <c r="AG39" s="25"/>
      <c r="AH39" s="25"/>
      <c r="AI39" s="25"/>
      <c r="AJ39" s="46"/>
    </row>
    <row r="40" spans="2:38" ht="12">
      <c r="B40" s="32"/>
      <c r="C40" s="335">
        <v>13.5</v>
      </c>
      <c r="D40" s="256" t="s">
        <v>166</v>
      </c>
      <c r="E40" s="133"/>
      <c r="F40" s="133"/>
      <c r="G40" s="133"/>
      <c r="H40" s="133"/>
      <c r="I40" s="133"/>
      <c r="J40" s="134"/>
      <c r="K40" s="133"/>
      <c r="L40" s="133"/>
      <c r="M40" s="133"/>
      <c r="N40" s="133"/>
      <c r="O40" s="135"/>
      <c r="P40" s="133"/>
      <c r="Q40" s="136"/>
      <c r="R40" s="27"/>
      <c r="S40" s="27"/>
      <c r="T40" s="27"/>
      <c r="U40" s="27"/>
      <c r="V40" s="27"/>
      <c r="W40" s="27"/>
      <c r="X40" s="137"/>
      <c r="Y40" s="27"/>
      <c r="Z40" s="27"/>
      <c r="AA40" s="27"/>
      <c r="AB40" s="27"/>
      <c r="AD40" s="27"/>
      <c r="AE40" s="25"/>
      <c r="AJ40" s="34"/>
    </row>
    <row r="41" spans="2:38" ht="12.75">
      <c r="B41" s="32"/>
      <c r="C41" s="336">
        <v>31.02</v>
      </c>
      <c r="D41" s="138" t="s">
        <v>164</v>
      </c>
      <c r="Q41" s="139"/>
      <c r="R41" s="140"/>
      <c r="X41" s="25"/>
      <c r="AC41" s="25"/>
      <c r="AE41" s="25"/>
      <c r="AJ41" s="34"/>
    </row>
    <row r="42" spans="2:38" ht="12.75">
      <c r="B42" s="32"/>
      <c r="C42" s="336">
        <v>31.05</v>
      </c>
      <c r="D42" s="138" t="s">
        <v>165</v>
      </c>
      <c r="Q42" s="139"/>
      <c r="R42" s="140"/>
      <c r="X42" s="25"/>
      <c r="AC42" s="25"/>
      <c r="AE42" s="25"/>
      <c r="AJ42" s="34"/>
    </row>
    <row r="43" spans="2:38" ht="12.75">
      <c r="B43" s="32"/>
      <c r="C43" s="336">
        <v>31.15</v>
      </c>
      <c r="D43" s="138" t="s">
        <v>163</v>
      </c>
      <c r="Q43" s="139"/>
      <c r="R43" s="140"/>
      <c r="X43" s="25"/>
      <c r="AC43" s="25"/>
      <c r="AE43" s="25"/>
      <c r="AJ43" s="34"/>
    </row>
    <row r="44" spans="2:38" ht="12.75">
      <c r="B44" s="32"/>
      <c r="C44" s="336">
        <v>31</v>
      </c>
      <c r="D44" s="138" t="s">
        <v>162</v>
      </c>
      <c r="Q44" s="139"/>
      <c r="R44" s="140"/>
      <c r="X44" s="25"/>
      <c r="AC44" s="25"/>
      <c r="AE44" s="25"/>
      <c r="AJ44" s="34"/>
    </row>
    <row r="45" spans="2:38" ht="12.75">
      <c r="B45" s="32"/>
      <c r="C45" s="336">
        <v>30.85</v>
      </c>
      <c r="D45" s="138" t="s">
        <v>161</v>
      </c>
      <c r="Q45" s="139"/>
      <c r="R45" s="140"/>
      <c r="X45" s="25"/>
      <c r="AC45" s="25"/>
      <c r="AE45" s="25"/>
      <c r="AJ45" s="34"/>
    </row>
    <row r="46" spans="2:38" ht="12.75">
      <c r="B46" s="32"/>
      <c r="C46" s="336">
        <v>3.6320000000000001</v>
      </c>
      <c r="D46" s="138" t="s">
        <v>136</v>
      </c>
      <c r="Q46" s="139"/>
      <c r="R46" s="140"/>
      <c r="X46" s="25"/>
      <c r="AC46" s="25"/>
      <c r="AE46" s="25"/>
      <c r="AJ46" s="34"/>
    </row>
    <row r="47" spans="2:38" ht="15" thickBot="1">
      <c r="B47" s="32"/>
      <c r="C47" s="337">
        <v>0</v>
      </c>
      <c r="D47" s="138"/>
      <c r="Q47" s="139"/>
      <c r="R47" s="140"/>
      <c r="T47" s="38" t="s">
        <v>53</v>
      </c>
      <c r="X47" s="145" t="s">
        <v>54</v>
      </c>
      <c r="AC47" s="25"/>
      <c r="AE47" s="25"/>
      <c r="AJ47" s="34"/>
    </row>
    <row r="48" spans="2:38" ht="12.75">
      <c r="B48" s="32"/>
      <c r="C48" s="338">
        <f>SUM(C40:C47)</f>
        <v>172.202</v>
      </c>
      <c r="D48" s="146" t="s">
        <v>55</v>
      </c>
      <c r="E48" s="147"/>
      <c r="F48" s="147"/>
      <c r="G48" s="147"/>
      <c r="H48" s="147"/>
      <c r="I48" s="147"/>
      <c r="J48" s="148"/>
      <c r="K48" s="147"/>
      <c r="L48" s="147"/>
      <c r="M48" s="147"/>
      <c r="N48" s="147"/>
      <c r="O48" s="147"/>
      <c r="P48" s="147"/>
      <c r="Q48" s="149"/>
      <c r="R48" s="140"/>
      <c r="S48" s="564">
        <f>C48</f>
        <v>172.202</v>
      </c>
      <c r="T48" s="565"/>
      <c r="U48" s="566"/>
      <c r="V48" s="567" t="s">
        <v>56</v>
      </c>
      <c r="W48" s="568"/>
      <c r="X48" s="568"/>
      <c r="Y48" s="568"/>
      <c r="Z48" s="568"/>
      <c r="AA48" s="568"/>
      <c r="AB48" s="568"/>
      <c r="AC48" s="568"/>
      <c r="AD48" s="568"/>
      <c r="AE48" s="569"/>
      <c r="AJ48" s="34"/>
    </row>
    <row r="49" spans="2:36" ht="12.75">
      <c r="B49" s="32"/>
      <c r="C49" s="339"/>
      <c r="D49" s="25"/>
      <c r="Q49" s="25"/>
      <c r="R49" s="140"/>
      <c r="S49" s="570">
        <f>C52</f>
        <v>107.002</v>
      </c>
      <c r="T49" s="559"/>
      <c r="U49" s="560"/>
      <c r="V49" s="571" t="s">
        <v>57</v>
      </c>
      <c r="W49" s="572"/>
      <c r="X49" s="572"/>
      <c r="Y49" s="572"/>
      <c r="Z49" s="572"/>
      <c r="AA49" s="572"/>
      <c r="AB49" s="572"/>
      <c r="AC49" s="572"/>
      <c r="AD49" s="572"/>
      <c r="AE49" s="573"/>
      <c r="AJ49" s="34"/>
    </row>
    <row r="50" spans="2:36" ht="12.75">
      <c r="B50" s="32"/>
      <c r="C50" s="340">
        <v>99.5</v>
      </c>
      <c r="D50" s="132" t="s">
        <v>58</v>
      </c>
      <c r="E50" s="133"/>
      <c r="F50" s="133"/>
      <c r="G50" s="133"/>
      <c r="H50" s="133"/>
      <c r="I50" s="133"/>
      <c r="J50" s="134"/>
      <c r="K50" s="133"/>
      <c r="L50" s="133"/>
      <c r="M50" s="133"/>
      <c r="N50" s="133"/>
      <c r="O50" s="135"/>
      <c r="P50" s="133"/>
      <c r="Q50" s="136"/>
      <c r="R50" s="140"/>
      <c r="S50" s="570">
        <v>3</v>
      </c>
      <c r="T50" s="559"/>
      <c r="U50" s="560"/>
      <c r="V50" s="571" t="s">
        <v>59</v>
      </c>
      <c r="W50" s="572"/>
      <c r="X50" s="572"/>
      <c r="Y50" s="572"/>
      <c r="Z50" s="572"/>
      <c r="AA50" s="572"/>
      <c r="AB50" s="572"/>
      <c r="AC50" s="572"/>
      <c r="AD50" s="572"/>
      <c r="AE50" s="573"/>
      <c r="AJ50" s="34"/>
    </row>
    <row r="51" spans="2:36" ht="13.5" thickBot="1">
      <c r="B51" s="32"/>
      <c r="C51" s="341">
        <f>7.9-(4.776/12)</f>
        <v>7.5020000000000007</v>
      </c>
      <c r="D51" s="150" t="s">
        <v>60</v>
      </c>
      <c r="E51" s="141"/>
      <c r="F51" s="141"/>
      <c r="G51" s="141"/>
      <c r="H51" s="141"/>
      <c r="I51" s="141"/>
      <c r="J51" s="142"/>
      <c r="K51" s="141"/>
      <c r="L51" s="141"/>
      <c r="M51" s="141"/>
      <c r="N51" s="141"/>
      <c r="O51" s="143"/>
      <c r="P51" s="141"/>
      <c r="Q51" s="144"/>
      <c r="R51" s="140"/>
      <c r="S51" s="546">
        <f>S48-S49-S50</f>
        <v>62.2</v>
      </c>
      <c r="T51" s="547"/>
      <c r="U51" s="548"/>
      <c r="V51" s="549" t="s">
        <v>61</v>
      </c>
      <c r="W51" s="550"/>
      <c r="X51" s="550"/>
      <c r="Y51" s="550"/>
      <c r="Z51" s="550"/>
      <c r="AA51" s="550"/>
      <c r="AB51" s="550"/>
      <c r="AC51" s="550"/>
      <c r="AD51" s="550"/>
      <c r="AE51" s="551"/>
      <c r="AJ51" s="34"/>
    </row>
    <row r="52" spans="2:36" ht="12.75">
      <c r="B52" s="32"/>
      <c r="C52" s="338">
        <f>C50+C51</f>
        <v>107.002</v>
      </c>
      <c r="D52" s="146" t="s">
        <v>62</v>
      </c>
      <c r="E52" s="147"/>
      <c r="F52" s="147"/>
      <c r="G52" s="147"/>
      <c r="H52" s="147"/>
      <c r="I52" s="147"/>
      <c r="J52" s="148"/>
      <c r="K52" s="147"/>
      <c r="L52" s="147"/>
      <c r="M52" s="147"/>
      <c r="N52" s="147"/>
      <c r="O52" s="147"/>
      <c r="P52" s="147"/>
      <c r="Q52" s="149"/>
      <c r="R52" s="140"/>
      <c r="S52" s="552">
        <f>AF37</f>
        <v>62.445999999999998</v>
      </c>
      <c r="T52" s="553"/>
      <c r="U52" s="554"/>
      <c r="V52" s="555" t="s">
        <v>63</v>
      </c>
      <c r="W52" s="556"/>
      <c r="X52" s="556"/>
      <c r="Y52" s="556"/>
      <c r="Z52" s="556"/>
      <c r="AA52" s="556"/>
      <c r="AB52" s="556"/>
      <c r="AC52" s="556"/>
      <c r="AD52" s="556"/>
      <c r="AE52" s="557"/>
      <c r="AJ52" s="34"/>
    </row>
    <row r="53" spans="2:36" ht="12.75">
      <c r="B53" s="32"/>
      <c r="C53" s="151"/>
      <c r="D53" s="25"/>
      <c r="Q53" s="25"/>
      <c r="R53" s="140"/>
      <c r="S53" s="558">
        <f>S52-S51</f>
        <v>0.24599999999999511</v>
      </c>
      <c r="T53" s="559"/>
      <c r="U53" s="560"/>
      <c r="V53" s="561" t="s">
        <v>64</v>
      </c>
      <c r="W53" s="562"/>
      <c r="X53" s="562"/>
      <c r="Y53" s="562"/>
      <c r="Z53" s="562"/>
      <c r="AA53" s="562"/>
      <c r="AB53" s="562"/>
      <c r="AC53" s="562"/>
      <c r="AD53" s="562"/>
      <c r="AE53" s="563"/>
      <c r="AJ53" s="34"/>
    </row>
    <row r="54" spans="2:36" ht="12.75">
      <c r="B54" s="32"/>
      <c r="C54" s="151"/>
      <c r="D54" s="25"/>
      <c r="Q54" s="25"/>
      <c r="R54" s="140"/>
      <c r="T54" s="26"/>
      <c r="X54" s="152" t="s">
        <v>65</v>
      </c>
      <c r="AB54" s="27"/>
      <c r="AC54" s="25"/>
      <c r="AD54" s="26"/>
      <c r="AE54" s="25"/>
      <c r="AJ54" s="34"/>
    </row>
    <row r="55" spans="2:36" ht="12.75">
      <c r="B55" s="32"/>
      <c r="C55" s="151"/>
      <c r="D55" s="25"/>
      <c r="Q55" s="25"/>
      <c r="R55" s="140"/>
      <c r="X55" s="25"/>
      <c r="AC55" s="25"/>
      <c r="AE55" s="25"/>
      <c r="AJ55" s="34"/>
    </row>
    <row r="56" spans="2:36" ht="12.75">
      <c r="B56" s="32"/>
      <c r="C56" s="151"/>
      <c r="D56" s="25"/>
      <c r="Q56" s="25"/>
      <c r="R56" s="140"/>
      <c r="X56" s="25"/>
      <c r="AC56" s="25"/>
      <c r="AE56" s="25"/>
      <c r="AJ56" s="34"/>
    </row>
    <row r="57" spans="2:36" ht="7.5" customHeight="1" thickBot="1">
      <c r="B57" s="153"/>
      <c r="C57" s="154"/>
      <c r="D57" s="155"/>
      <c r="E57" s="155"/>
      <c r="F57" s="155"/>
      <c r="G57" s="155"/>
      <c r="H57" s="155"/>
      <c r="I57" s="155"/>
      <c r="J57" s="156"/>
      <c r="K57" s="155"/>
      <c r="L57" s="155"/>
      <c r="M57" s="155"/>
      <c r="N57" s="155"/>
      <c r="O57" s="157"/>
      <c r="P57" s="155"/>
      <c r="Q57" s="155"/>
      <c r="R57" s="158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  <c r="AC57" s="155"/>
      <c r="AD57" s="155"/>
      <c r="AE57" s="155"/>
      <c r="AF57" s="155"/>
      <c r="AG57" s="155"/>
      <c r="AH57" s="155"/>
      <c r="AI57" s="155"/>
      <c r="AJ57" s="159"/>
    </row>
    <row r="58" spans="2:36" ht="12.75">
      <c r="C58" s="151"/>
      <c r="D58" s="25"/>
      <c r="Q58" s="25"/>
      <c r="R58" s="140"/>
      <c r="X58" s="25"/>
      <c r="AC58" s="25"/>
      <c r="AD58" s="140"/>
      <c r="AE58" s="25"/>
    </row>
    <row r="59" spans="2:36" ht="12.75">
      <c r="D59" s="25"/>
      <c r="J59" s="25"/>
      <c r="O59" s="25"/>
      <c r="Q59" s="25"/>
      <c r="R59" s="140"/>
      <c r="X59" s="140"/>
      <c r="Y59" s="140"/>
      <c r="Z59" s="140"/>
      <c r="AA59" s="140"/>
      <c r="AB59" s="140"/>
      <c r="AC59" s="140"/>
      <c r="AD59" s="140"/>
      <c r="AE59" s="25"/>
    </row>
    <row r="60" spans="2:36" ht="12.75">
      <c r="D60" s="25"/>
      <c r="J60" s="25"/>
      <c r="O60" s="25"/>
      <c r="Q60" s="25"/>
      <c r="R60" s="140"/>
      <c r="X60" s="140"/>
      <c r="Y60" s="140"/>
      <c r="Z60" s="140"/>
      <c r="AA60" s="140"/>
      <c r="AB60" s="140"/>
      <c r="AC60" s="140"/>
      <c r="AD60" s="140"/>
      <c r="AE60" s="25"/>
    </row>
    <row r="61" spans="2:36" ht="12.75">
      <c r="D61" s="25"/>
      <c r="J61" s="25"/>
      <c r="O61" s="25"/>
      <c r="Q61" s="25"/>
      <c r="R61" s="140"/>
      <c r="X61" s="140"/>
      <c r="Y61" s="140"/>
      <c r="Z61" s="140"/>
      <c r="AA61" s="140"/>
      <c r="AB61" s="140"/>
      <c r="AC61" s="140"/>
      <c r="AD61" s="140"/>
      <c r="AE61" s="25"/>
    </row>
    <row r="62" spans="2:36" ht="12.75">
      <c r="D62" s="25"/>
      <c r="J62" s="25"/>
      <c r="O62" s="25"/>
      <c r="Q62" s="25"/>
      <c r="R62" s="140"/>
      <c r="X62" s="140"/>
      <c r="Y62" s="140"/>
      <c r="Z62" s="140"/>
      <c r="AA62" s="140"/>
      <c r="AB62" s="140"/>
      <c r="AC62" s="140"/>
      <c r="AD62" s="140"/>
    </row>
    <row r="63" spans="2:36" ht="12.75">
      <c r="D63" s="25"/>
      <c r="J63" s="25"/>
      <c r="O63" s="25"/>
      <c r="Q63" s="25"/>
      <c r="R63" s="140"/>
      <c r="X63" s="140"/>
      <c r="Y63" s="140"/>
      <c r="Z63" s="140"/>
      <c r="AA63" s="140"/>
      <c r="AB63" s="140"/>
      <c r="AC63" s="140"/>
      <c r="AD63" s="140"/>
    </row>
    <row r="64" spans="2:36" ht="12.75">
      <c r="D64" s="25"/>
      <c r="J64" s="25"/>
      <c r="O64" s="25"/>
      <c r="Q64" s="25"/>
      <c r="R64" s="140"/>
      <c r="X64" s="140"/>
      <c r="Y64" s="140"/>
      <c r="Z64" s="140"/>
      <c r="AA64" s="140"/>
      <c r="AB64" s="140"/>
      <c r="AC64" s="140"/>
      <c r="AD64" s="140"/>
    </row>
    <row r="65" spans="15:31" ht="12.75">
      <c r="O65" s="25"/>
      <c r="X65" s="140"/>
      <c r="Y65" s="140"/>
      <c r="Z65" s="140"/>
      <c r="AA65" s="140"/>
      <c r="AB65" s="140"/>
      <c r="AC65" s="140"/>
      <c r="AD65" s="140"/>
    </row>
    <row r="66" spans="15:31" ht="12.75">
      <c r="O66" s="25"/>
      <c r="X66" s="140"/>
      <c r="Y66" s="140"/>
      <c r="Z66" s="140"/>
      <c r="AA66" s="140"/>
      <c r="AB66" s="140"/>
      <c r="AC66" s="140"/>
      <c r="AD66" s="140"/>
    </row>
    <row r="67" spans="15:31" ht="12.75">
      <c r="O67" s="25"/>
      <c r="X67" s="140"/>
      <c r="Y67" s="140"/>
      <c r="Z67" s="140"/>
      <c r="AA67" s="140"/>
      <c r="AB67" s="140"/>
      <c r="AC67" s="140"/>
      <c r="AD67" s="140"/>
      <c r="AE67" s="140"/>
    </row>
    <row r="68" spans="15:31" ht="12.75">
      <c r="O68" s="25"/>
      <c r="X68" s="140"/>
      <c r="Y68" s="140"/>
      <c r="Z68" s="140"/>
      <c r="AA68" s="140"/>
      <c r="AB68" s="140"/>
      <c r="AC68" s="140"/>
      <c r="AD68" s="140"/>
      <c r="AE68" s="140"/>
    </row>
    <row r="69" spans="15:31" ht="12.75">
      <c r="O69" s="25"/>
      <c r="X69" s="140"/>
      <c r="Y69" s="140"/>
      <c r="Z69" s="140"/>
      <c r="AA69" s="140"/>
      <c r="AB69" s="140"/>
      <c r="AC69" s="140"/>
      <c r="AD69" s="140"/>
      <c r="AE69" s="140"/>
    </row>
    <row r="70" spans="15:31" ht="12.75">
      <c r="O70" s="25"/>
      <c r="X70" s="140"/>
      <c r="Y70" s="140"/>
      <c r="Z70" s="140"/>
      <c r="AA70" s="140"/>
      <c r="AB70" s="140"/>
      <c r="AC70" s="140"/>
      <c r="AD70" s="140"/>
      <c r="AE70" s="140"/>
    </row>
    <row r="71" spans="15:31" ht="12.75">
      <c r="O71" s="25"/>
      <c r="X71" s="140"/>
      <c r="Y71" s="140"/>
      <c r="Z71" s="140"/>
      <c r="AA71" s="140"/>
      <c r="AB71" s="140"/>
      <c r="AC71" s="140"/>
      <c r="AD71" s="140"/>
      <c r="AE71" s="140"/>
    </row>
    <row r="72" spans="15:31" ht="12.75">
      <c r="O72" s="25"/>
      <c r="X72" s="140"/>
      <c r="Y72" s="140"/>
      <c r="Z72" s="140"/>
      <c r="AA72" s="140"/>
      <c r="AB72" s="140"/>
      <c r="AC72" s="140"/>
      <c r="AD72" s="140"/>
      <c r="AE72" s="140"/>
    </row>
    <row r="73" spans="15:31" ht="12.75">
      <c r="O73" s="25"/>
      <c r="X73" s="140"/>
      <c r="Y73" s="140"/>
      <c r="Z73" s="140"/>
      <c r="AA73" s="140"/>
      <c r="AB73" s="140"/>
      <c r="AC73" s="140"/>
      <c r="AD73" s="140"/>
      <c r="AE73" s="140"/>
    </row>
    <row r="74" spans="15:31" ht="12.75">
      <c r="O74" s="25"/>
      <c r="X74" s="140"/>
      <c r="Y74" s="140"/>
      <c r="Z74" s="140"/>
      <c r="AA74" s="140"/>
      <c r="AB74" s="140"/>
      <c r="AC74" s="140"/>
      <c r="AD74" s="140"/>
      <c r="AE74" s="140"/>
    </row>
    <row r="75" spans="15:31" ht="12.75">
      <c r="O75" s="25"/>
      <c r="AA75" s="27"/>
      <c r="AC75" s="25"/>
      <c r="AE75" s="140"/>
    </row>
    <row r="76" spans="15:31" ht="12.75">
      <c r="O76" s="25"/>
      <c r="AA76" s="27"/>
      <c r="AE76" s="140"/>
    </row>
    <row r="77" spans="15:31" ht="12.75">
      <c r="O77" s="25"/>
      <c r="AA77" s="27"/>
      <c r="AC77" s="25"/>
      <c r="AE77" s="140"/>
    </row>
    <row r="78" spans="15:31" ht="12.75">
      <c r="O78" s="25"/>
      <c r="AC78" s="25"/>
      <c r="AE78" s="140"/>
    </row>
    <row r="79" spans="15:31" ht="12.75">
      <c r="O79" s="25"/>
      <c r="AC79" s="25"/>
      <c r="AE79" s="140"/>
    </row>
    <row r="80" spans="15:31" ht="12.75">
      <c r="O80" s="25"/>
      <c r="AC80" s="25"/>
      <c r="AD80" s="160"/>
      <c r="AE80" s="140"/>
    </row>
    <row r="81" spans="15:31" ht="12.75">
      <c r="O81" s="25"/>
      <c r="AC81" s="25"/>
      <c r="AD81" s="160"/>
      <c r="AE81" s="140"/>
    </row>
    <row r="82" spans="15:31" ht="12.75">
      <c r="O82" s="25"/>
      <c r="AC82" s="25"/>
      <c r="AD82" s="160"/>
      <c r="AE82" s="140"/>
    </row>
    <row r="83" spans="15:31" ht="12.75">
      <c r="O83" s="25"/>
      <c r="AC83" s="25"/>
      <c r="AD83" s="160"/>
      <c r="AE83" s="160"/>
    </row>
    <row r="84" spans="15:31" ht="12.75">
      <c r="O84" s="25"/>
      <c r="AC84" s="25"/>
      <c r="AD84" s="160"/>
    </row>
    <row r="85" spans="15:31" ht="12.75">
      <c r="O85" s="25"/>
      <c r="AC85" s="25"/>
      <c r="AD85" s="160"/>
    </row>
    <row r="86" spans="15:31" ht="12.75">
      <c r="O86" s="25"/>
      <c r="AC86" s="25"/>
      <c r="AD86" s="160"/>
    </row>
    <row r="87" spans="15:31" ht="12.75">
      <c r="O87" s="25"/>
      <c r="AC87" s="25"/>
      <c r="AD87" s="160"/>
    </row>
    <row r="88" spans="15:31" ht="12.75">
      <c r="O88" s="25"/>
      <c r="AC88" s="25"/>
      <c r="AD88" s="160"/>
    </row>
    <row r="89" spans="15:31" ht="12.75">
      <c r="O89" s="25"/>
      <c r="AC89" s="25"/>
      <c r="AD89" s="160"/>
    </row>
    <row r="90" spans="15:31" ht="12.75">
      <c r="O90" s="25"/>
      <c r="AC90" s="25"/>
      <c r="AD90" s="160"/>
    </row>
    <row r="91" spans="15:31" ht="12.75">
      <c r="O91" s="25"/>
      <c r="AC91" s="25"/>
      <c r="AD91" s="160"/>
    </row>
    <row r="92" spans="15:31" ht="12.75">
      <c r="O92" s="25"/>
      <c r="AC92" s="25"/>
      <c r="AD92" s="160"/>
    </row>
    <row r="93" spans="15:31" ht="12.75">
      <c r="O93" s="25"/>
      <c r="AC93" s="25"/>
      <c r="AD93" s="160"/>
    </row>
    <row r="94" spans="15:31" ht="12.75">
      <c r="O94" s="25"/>
      <c r="AC94" s="25"/>
      <c r="AD94" s="160"/>
    </row>
    <row r="95" spans="15:31" ht="12.75">
      <c r="O95" s="25"/>
      <c r="AC95" s="25"/>
      <c r="AD95" s="160"/>
    </row>
    <row r="96" spans="15:31" ht="12.75">
      <c r="O96" s="25"/>
      <c r="AC96" s="25"/>
      <c r="AD96" s="160"/>
    </row>
    <row r="97" spans="15:29">
      <c r="O97" s="25"/>
      <c r="AC97" s="25"/>
    </row>
    <row r="98" spans="15:29">
      <c r="O98" s="25"/>
      <c r="AC98" s="25"/>
    </row>
    <row r="99" spans="15:29">
      <c r="O99" s="25"/>
      <c r="AC99" s="25"/>
    </row>
    <row r="100" spans="15:29">
      <c r="O100" s="25"/>
      <c r="AC100" s="25"/>
    </row>
    <row r="101" spans="15:29">
      <c r="O101" s="25"/>
      <c r="AC101" s="25"/>
    </row>
    <row r="102" spans="15:29">
      <c r="O102" s="25"/>
      <c r="AC102" s="25"/>
    </row>
    <row r="103" spans="15:29">
      <c r="O103" s="25"/>
      <c r="AC103" s="25"/>
    </row>
    <row r="104" spans="15:29">
      <c r="O104" s="25"/>
      <c r="AC104" s="25"/>
    </row>
    <row r="105" spans="15:29">
      <c r="O105" s="25"/>
      <c r="AC105" s="25"/>
    </row>
    <row r="106" spans="15:29">
      <c r="O106" s="25"/>
      <c r="AC106" s="25"/>
    </row>
    <row r="107" spans="15:29">
      <c r="O107" s="25"/>
      <c r="AC107" s="25"/>
    </row>
    <row r="108" spans="15:29">
      <c r="O108" s="25"/>
      <c r="AC108" s="25"/>
    </row>
    <row r="109" spans="15:29">
      <c r="O109" s="25"/>
      <c r="AC109" s="25"/>
    </row>
    <row r="110" spans="15:29">
      <c r="O110" s="25"/>
      <c r="AC110" s="25"/>
    </row>
    <row r="111" spans="15:29">
      <c r="O111" s="25"/>
      <c r="AC111" s="25"/>
    </row>
    <row r="112" spans="15:29">
      <c r="O112" s="25"/>
      <c r="AC112" s="25"/>
    </row>
    <row r="113" spans="15:29">
      <c r="O113" s="25"/>
      <c r="AC113" s="25"/>
    </row>
    <row r="114" spans="15:29">
      <c r="O114" s="25"/>
      <c r="AC114" s="25"/>
    </row>
    <row r="115" spans="15:29">
      <c r="O115" s="25"/>
      <c r="AC115" s="25"/>
    </row>
    <row r="116" spans="15:29">
      <c r="O116" s="25"/>
      <c r="AC116" s="25"/>
    </row>
    <row r="117" spans="15:29">
      <c r="O117" s="25"/>
      <c r="AC117" s="25"/>
    </row>
    <row r="118" spans="15:29">
      <c r="O118" s="25"/>
      <c r="AC118" s="25"/>
    </row>
    <row r="119" spans="15:29">
      <c r="O119" s="25"/>
      <c r="AC119" s="25"/>
    </row>
    <row r="120" spans="15:29">
      <c r="O120" s="25"/>
      <c r="AC120" s="25"/>
    </row>
    <row r="121" spans="15:29">
      <c r="O121" s="25"/>
      <c r="AC121" s="25"/>
    </row>
    <row r="122" spans="15:29">
      <c r="O122" s="25"/>
      <c r="AC122" s="25"/>
    </row>
    <row r="123" spans="15:29">
      <c r="O123" s="25"/>
      <c r="AC123" s="25"/>
    </row>
    <row r="124" spans="15:29">
      <c r="O124" s="25"/>
      <c r="AC124" s="25"/>
    </row>
    <row r="125" spans="15:29">
      <c r="O125" s="25"/>
      <c r="AC125" s="25"/>
    </row>
    <row r="126" spans="15:29">
      <c r="O126" s="25"/>
      <c r="AC126" s="25"/>
    </row>
    <row r="127" spans="15:29">
      <c r="O127" s="25"/>
      <c r="AC127" s="25"/>
    </row>
    <row r="128" spans="15:29">
      <c r="O128" s="25"/>
      <c r="AC128" s="25"/>
    </row>
    <row r="129" spans="15:29">
      <c r="O129" s="25"/>
      <c r="AC129" s="25"/>
    </row>
    <row r="130" spans="15:29">
      <c r="O130" s="25"/>
      <c r="AC130" s="25"/>
    </row>
    <row r="131" spans="15:29">
      <c r="O131" s="25"/>
      <c r="AC131" s="25"/>
    </row>
    <row r="132" spans="15:29">
      <c r="O132" s="25"/>
      <c r="AC132" s="25"/>
    </row>
    <row r="133" spans="15:29">
      <c r="O133" s="25"/>
      <c r="AC133" s="25"/>
    </row>
    <row r="134" spans="15:29">
      <c r="O134" s="25"/>
      <c r="AC134" s="25"/>
    </row>
    <row r="135" spans="15:29">
      <c r="O135" s="25"/>
      <c r="AC135" s="25"/>
    </row>
    <row r="136" spans="15:29">
      <c r="O136" s="25"/>
      <c r="AC136" s="25"/>
    </row>
    <row r="137" spans="15:29">
      <c r="O137" s="25"/>
      <c r="AC137" s="25"/>
    </row>
    <row r="138" spans="15:29">
      <c r="O138" s="25"/>
      <c r="AC138" s="25"/>
    </row>
    <row r="139" spans="15:29">
      <c r="O139" s="25"/>
      <c r="AC139" s="25"/>
    </row>
    <row r="140" spans="15:29">
      <c r="O140" s="25"/>
      <c r="AC140" s="25"/>
    </row>
    <row r="141" spans="15:29">
      <c r="O141" s="25"/>
      <c r="AC141" s="25"/>
    </row>
    <row r="142" spans="15:29">
      <c r="O142" s="25"/>
      <c r="AC142" s="25"/>
    </row>
    <row r="143" spans="15:29">
      <c r="O143" s="25"/>
      <c r="AC143" s="25"/>
    </row>
    <row r="144" spans="15:29">
      <c r="O144" s="25"/>
      <c r="AC144" s="25"/>
    </row>
    <row r="145" spans="15:29">
      <c r="O145" s="25"/>
      <c r="AC145" s="25"/>
    </row>
    <row r="146" spans="15:29">
      <c r="O146" s="25"/>
      <c r="AC146" s="25"/>
    </row>
    <row r="147" spans="15:29">
      <c r="O147" s="25"/>
      <c r="AC147" s="25"/>
    </row>
    <row r="148" spans="15:29">
      <c r="O148" s="25"/>
      <c r="AC148" s="25"/>
    </row>
    <row r="149" spans="15:29">
      <c r="O149" s="25"/>
      <c r="AC149" s="25"/>
    </row>
    <row r="150" spans="15:29">
      <c r="O150" s="25"/>
      <c r="AC150" s="25"/>
    </row>
    <row r="151" spans="15:29">
      <c r="O151" s="25"/>
      <c r="AC151" s="25"/>
    </row>
    <row r="152" spans="15:29">
      <c r="O152" s="25"/>
      <c r="AC152" s="25"/>
    </row>
    <row r="153" spans="15:29">
      <c r="O153" s="25"/>
      <c r="AC153" s="25"/>
    </row>
    <row r="154" spans="15:29">
      <c r="O154" s="25"/>
      <c r="AC154" s="25"/>
    </row>
    <row r="155" spans="15:29">
      <c r="O155" s="25"/>
      <c r="AC155" s="25"/>
    </row>
    <row r="156" spans="15:29">
      <c r="O156" s="25"/>
      <c r="AC156" s="25"/>
    </row>
    <row r="157" spans="15:29">
      <c r="O157" s="25"/>
      <c r="AC157" s="25"/>
    </row>
    <row r="158" spans="15:29">
      <c r="O158" s="25"/>
      <c r="AC158" s="25"/>
    </row>
    <row r="159" spans="15:29">
      <c r="O159" s="25"/>
      <c r="AC159" s="25"/>
    </row>
    <row r="160" spans="15:29">
      <c r="O160" s="25"/>
      <c r="AC160" s="25"/>
    </row>
    <row r="161" spans="15:29">
      <c r="O161" s="25"/>
      <c r="AC161" s="25"/>
    </row>
    <row r="162" spans="15:29">
      <c r="O162" s="25"/>
      <c r="AC162" s="25"/>
    </row>
    <row r="163" spans="15:29">
      <c r="O163" s="25"/>
      <c r="AC163" s="25"/>
    </row>
    <row r="164" spans="15:29">
      <c r="O164" s="25"/>
      <c r="AC164" s="25"/>
    </row>
    <row r="165" spans="15:29">
      <c r="O165" s="25"/>
      <c r="AC165" s="25"/>
    </row>
    <row r="166" spans="15:29">
      <c r="O166" s="25"/>
      <c r="AC166" s="25"/>
    </row>
    <row r="167" spans="15:29">
      <c r="O167" s="25"/>
      <c r="AC167" s="25"/>
    </row>
    <row r="168" spans="15:29">
      <c r="O168" s="25"/>
      <c r="AC168" s="25"/>
    </row>
    <row r="169" spans="15:29">
      <c r="O169" s="25"/>
      <c r="AC169" s="25"/>
    </row>
    <row r="170" spans="15:29">
      <c r="O170" s="25"/>
      <c r="AC170" s="25"/>
    </row>
    <row r="171" spans="15:29">
      <c r="O171" s="25"/>
      <c r="AC171" s="25"/>
    </row>
    <row r="172" spans="15:29">
      <c r="O172" s="25"/>
      <c r="AC172" s="25"/>
    </row>
    <row r="173" spans="15:29">
      <c r="O173" s="25"/>
      <c r="AC173" s="25"/>
    </row>
    <row r="174" spans="15:29">
      <c r="O174" s="25"/>
      <c r="AC174" s="25"/>
    </row>
    <row r="175" spans="15:29">
      <c r="O175" s="25"/>
      <c r="AC175" s="25"/>
    </row>
    <row r="176" spans="15:29">
      <c r="O176" s="25"/>
      <c r="AC176" s="25"/>
    </row>
    <row r="177" spans="15:29">
      <c r="O177" s="25"/>
      <c r="AC177" s="25"/>
    </row>
    <row r="178" spans="15:29">
      <c r="O178" s="25"/>
      <c r="AC178" s="25"/>
    </row>
    <row r="179" spans="15:29">
      <c r="O179" s="25"/>
      <c r="AC179" s="25"/>
    </row>
    <row r="180" spans="15:29">
      <c r="O180" s="25"/>
      <c r="AC180" s="25"/>
    </row>
    <row r="181" spans="15:29">
      <c r="O181" s="25"/>
      <c r="AC181" s="25"/>
    </row>
    <row r="182" spans="15:29">
      <c r="O182" s="25"/>
      <c r="AC182" s="25"/>
    </row>
    <row r="183" spans="15:29">
      <c r="O183" s="25"/>
      <c r="AC183" s="25"/>
    </row>
    <row r="184" spans="15:29">
      <c r="O184" s="25"/>
      <c r="AC184" s="25"/>
    </row>
    <row r="185" spans="15:29">
      <c r="O185" s="25"/>
      <c r="AC185" s="25"/>
    </row>
    <row r="186" spans="15:29">
      <c r="O186" s="25"/>
      <c r="AC186" s="25"/>
    </row>
    <row r="187" spans="15:29">
      <c r="O187" s="25"/>
      <c r="AC187" s="25"/>
    </row>
    <row r="188" spans="15:29">
      <c r="O188" s="25"/>
      <c r="AC188" s="25"/>
    </row>
    <row r="189" spans="15:29">
      <c r="O189" s="25"/>
      <c r="AC189" s="25"/>
    </row>
    <row r="190" spans="15:29">
      <c r="O190" s="25"/>
      <c r="AC190" s="25"/>
    </row>
    <row r="191" spans="15:29">
      <c r="O191" s="25"/>
      <c r="AC191" s="25"/>
    </row>
    <row r="192" spans="15:29">
      <c r="O192" s="25"/>
      <c r="AC192" s="25"/>
    </row>
    <row r="193" spans="15:29">
      <c r="O193" s="25"/>
      <c r="AC193" s="25"/>
    </row>
    <row r="194" spans="15:29">
      <c r="O194" s="25"/>
      <c r="AC194" s="25"/>
    </row>
    <row r="195" spans="15:29">
      <c r="O195" s="25"/>
      <c r="AC195" s="25"/>
    </row>
    <row r="196" spans="15:29">
      <c r="O196" s="25"/>
      <c r="AC196" s="25"/>
    </row>
    <row r="197" spans="15:29">
      <c r="O197" s="25"/>
      <c r="AC197" s="25"/>
    </row>
    <row r="198" spans="15:29">
      <c r="O198" s="25"/>
      <c r="AC198" s="25"/>
    </row>
    <row r="199" spans="15:29">
      <c r="O199" s="25"/>
      <c r="AC199" s="25"/>
    </row>
    <row r="200" spans="15:29">
      <c r="O200" s="25"/>
      <c r="AC200" s="25"/>
    </row>
    <row r="201" spans="15:29">
      <c r="O201" s="25"/>
      <c r="AC201" s="25"/>
    </row>
    <row r="202" spans="15:29">
      <c r="O202" s="25"/>
      <c r="AC202" s="25"/>
    </row>
    <row r="203" spans="15:29">
      <c r="O203" s="25"/>
      <c r="AC203" s="25"/>
    </row>
    <row r="204" spans="15:29">
      <c r="O204" s="25"/>
      <c r="AC204" s="25"/>
    </row>
    <row r="205" spans="15:29">
      <c r="O205" s="25"/>
      <c r="AC205" s="25"/>
    </row>
    <row r="206" spans="15:29">
      <c r="O206" s="25"/>
      <c r="AC206" s="25"/>
    </row>
    <row r="207" spans="15:29">
      <c r="O207" s="25"/>
      <c r="AC207" s="25"/>
    </row>
    <row r="208" spans="15:29">
      <c r="O208" s="25"/>
      <c r="AC208" s="25"/>
    </row>
    <row r="209" spans="15:29">
      <c r="O209" s="25"/>
      <c r="AC209" s="25"/>
    </row>
    <row r="210" spans="15:29">
      <c r="O210" s="25"/>
      <c r="AC210" s="25"/>
    </row>
    <row r="211" spans="15:29">
      <c r="O211" s="25"/>
      <c r="AC211" s="25"/>
    </row>
    <row r="212" spans="15:29">
      <c r="O212" s="25"/>
      <c r="AC212" s="25"/>
    </row>
    <row r="213" spans="15:29">
      <c r="O213" s="25"/>
      <c r="AC213" s="25"/>
    </row>
    <row r="214" spans="15:29">
      <c r="O214" s="25"/>
      <c r="AC214" s="25"/>
    </row>
    <row r="215" spans="15:29">
      <c r="O215" s="25"/>
      <c r="AC215" s="25"/>
    </row>
    <row r="216" spans="15:29">
      <c r="O216" s="25"/>
      <c r="AC216" s="25"/>
    </row>
    <row r="217" spans="15:29">
      <c r="O217" s="25"/>
      <c r="AC217" s="25"/>
    </row>
    <row r="218" spans="15:29">
      <c r="O218" s="25"/>
      <c r="AC218" s="25"/>
    </row>
    <row r="219" spans="15:29">
      <c r="O219" s="25"/>
      <c r="AC219" s="25"/>
    </row>
    <row r="220" spans="15:29">
      <c r="O220" s="25"/>
      <c r="AC220" s="25"/>
    </row>
    <row r="221" spans="15:29">
      <c r="O221" s="25"/>
      <c r="AC221" s="25"/>
    </row>
    <row r="222" spans="15:29">
      <c r="O222" s="25"/>
      <c r="AC222" s="25"/>
    </row>
    <row r="223" spans="15:29">
      <c r="O223" s="25"/>
      <c r="AC223" s="25"/>
    </row>
    <row r="224" spans="15:29">
      <c r="O224" s="25"/>
      <c r="AC224" s="25"/>
    </row>
    <row r="225" spans="15:29">
      <c r="O225" s="25"/>
      <c r="AC225" s="25"/>
    </row>
    <row r="226" spans="15:29">
      <c r="O226" s="25"/>
      <c r="AC226" s="25"/>
    </row>
    <row r="227" spans="15:29">
      <c r="O227" s="25"/>
      <c r="AC227" s="25"/>
    </row>
    <row r="228" spans="15:29">
      <c r="O228" s="25"/>
      <c r="AC228" s="25"/>
    </row>
    <row r="229" spans="15:29">
      <c r="O229" s="25"/>
      <c r="AC229" s="25"/>
    </row>
    <row r="230" spans="15:29">
      <c r="O230" s="25"/>
      <c r="AC230" s="25"/>
    </row>
    <row r="231" spans="15:29">
      <c r="O231" s="25"/>
      <c r="AC231" s="25"/>
    </row>
    <row r="232" spans="15:29">
      <c r="O232" s="25"/>
      <c r="AC232" s="25"/>
    </row>
    <row r="233" spans="15:29">
      <c r="O233" s="25"/>
      <c r="AC233" s="25"/>
    </row>
    <row r="234" spans="15:29">
      <c r="O234" s="25"/>
      <c r="AC234" s="25"/>
    </row>
    <row r="235" spans="15:29">
      <c r="O235" s="25"/>
      <c r="AC235" s="25"/>
    </row>
    <row r="236" spans="15:29">
      <c r="O236" s="25"/>
      <c r="AC236" s="25"/>
    </row>
    <row r="237" spans="15:29">
      <c r="O237" s="25"/>
      <c r="AC237" s="25"/>
    </row>
    <row r="238" spans="15:29">
      <c r="O238" s="25"/>
      <c r="AC238" s="25"/>
    </row>
    <row r="239" spans="15:29">
      <c r="O239" s="25"/>
      <c r="AC239" s="25"/>
    </row>
    <row r="240" spans="15:29">
      <c r="O240" s="25"/>
      <c r="AC240" s="25"/>
    </row>
    <row r="241" spans="15:29">
      <c r="O241" s="25"/>
      <c r="AC241" s="25"/>
    </row>
    <row r="242" spans="15:29">
      <c r="O242" s="25"/>
      <c r="AC242" s="25"/>
    </row>
    <row r="243" spans="15:29">
      <c r="O243" s="25"/>
      <c r="AC243" s="25"/>
    </row>
    <row r="244" spans="15:29">
      <c r="O244" s="25"/>
      <c r="AC244" s="25"/>
    </row>
    <row r="245" spans="15:29">
      <c r="O245" s="25"/>
      <c r="AC245" s="25"/>
    </row>
    <row r="246" spans="15:29">
      <c r="O246" s="25"/>
      <c r="AC246" s="25"/>
    </row>
    <row r="247" spans="15:29">
      <c r="O247" s="25"/>
      <c r="AC247" s="25"/>
    </row>
    <row r="248" spans="15:29">
      <c r="O248" s="25"/>
      <c r="AC248" s="25"/>
    </row>
    <row r="249" spans="15:29">
      <c r="O249" s="25"/>
      <c r="AC249" s="25"/>
    </row>
    <row r="250" spans="15:29">
      <c r="O250" s="25"/>
      <c r="AC250" s="25"/>
    </row>
    <row r="251" spans="15:29">
      <c r="O251" s="25"/>
      <c r="AC251" s="25"/>
    </row>
    <row r="252" spans="15:29">
      <c r="O252" s="25"/>
      <c r="AC252" s="25"/>
    </row>
    <row r="253" spans="15:29">
      <c r="O253" s="25"/>
      <c r="AC253" s="25"/>
    </row>
    <row r="254" spans="15:29">
      <c r="O254" s="25"/>
      <c r="AC254" s="25"/>
    </row>
    <row r="255" spans="15:29">
      <c r="O255" s="25"/>
      <c r="AC255" s="25"/>
    </row>
    <row r="256" spans="15:29">
      <c r="O256" s="25"/>
      <c r="AC256" s="25"/>
    </row>
    <row r="257" spans="15:29">
      <c r="O257" s="25"/>
      <c r="AC257" s="25"/>
    </row>
    <row r="258" spans="15:29">
      <c r="O258" s="25"/>
      <c r="AC258" s="25"/>
    </row>
    <row r="259" spans="15:29">
      <c r="O259" s="25"/>
      <c r="AC259" s="25"/>
    </row>
    <row r="260" spans="15:29">
      <c r="O260" s="25"/>
      <c r="AC260" s="25"/>
    </row>
    <row r="261" spans="15:29">
      <c r="O261" s="25"/>
      <c r="AC261" s="25"/>
    </row>
    <row r="262" spans="15:29">
      <c r="O262" s="25"/>
      <c r="AC262" s="25"/>
    </row>
    <row r="263" spans="15:29">
      <c r="O263" s="25"/>
      <c r="AC263" s="25"/>
    </row>
    <row r="264" spans="15:29">
      <c r="O264" s="25"/>
      <c r="AC264" s="25"/>
    </row>
    <row r="265" spans="15:29">
      <c r="O265" s="25"/>
      <c r="AC265" s="25"/>
    </row>
    <row r="266" spans="15:29">
      <c r="O266" s="25"/>
      <c r="AC266" s="25"/>
    </row>
    <row r="267" spans="15:29">
      <c r="O267" s="25"/>
      <c r="AC267" s="25"/>
    </row>
    <row r="268" spans="15:29">
      <c r="O268" s="25"/>
      <c r="AC268" s="25"/>
    </row>
    <row r="269" spans="15:29">
      <c r="O269" s="25"/>
      <c r="AC269" s="25"/>
    </row>
    <row r="270" spans="15:29">
      <c r="O270" s="25"/>
      <c r="AC270" s="25"/>
    </row>
    <row r="271" spans="15:29">
      <c r="O271" s="25"/>
      <c r="AC271" s="25"/>
    </row>
    <row r="272" spans="15:29">
      <c r="O272" s="25"/>
      <c r="AC272" s="25"/>
    </row>
    <row r="273" spans="15:29">
      <c r="O273" s="25"/>
      <c r="AC273" s="25"/>
    </row>
    <row r="274" spans="15:29">
      <c r="O274" s="25"/>
      <c r="AC274" s="25"/>
    </row>
    <row r="275" spans="15:29">
      <c r="O275" s="25"/>
      <c r="AC275" s="25"/>
    </row>
    <row r="276" spans="15:29">
      <c r="O276" s="25"/>
      <c r="AC276" s="25"/>
    </row>
    <row r="277" spans="15:29">
      <c r="O277" s="25"/>
      <c r="AC277" s="25"/>
    </row>
    <row r="278" spans="15:29">
      <c r="O278" s="25"/>
      <c r="AC278" s="25"/>
    </row>
    <row r="279" spans="15:29">
      <c r="O279" s="25"/>
      <c r="AC279" s="25"/>
    </row>
    <row r="280" spans="15:29">
      <c r="O280" s="25"/>
      <c r="AC280" s="25"/>
    </row>
    <row r="281" spans="15:29">
      <c r="O281" s="25"/>
      <c r="AC281" s="25"/>
    </row>
    <row r="282" spans="15:29">
      <c r="O282" s="25"/>
      <c r="AC282" s="25"/>
    </row>
    <row r="283" spans="15:29">
      <c r="O283" s="25"/>
      <c r="AC283" s="25"/>
    </row>
    <row r="284" spans="15:29">
      <c r="O284" s="25"/>
      <c r="AC284" s="25"/>
    </row>
    <row r="285" spans="15:29">
      <c r="O285" s="25"/>
      <c r="AC285" s="25"/>
    </row>
    <row r="286" spans="15:29">
      <c r="O286" s="25"/>
      <c r="AC286" s="25"/>
    </row>
    <row r="287" spans="15:29">
      <c r="O287" s="25"/>
      <c r="AC287" s="25"/>
    </row>
    <row r="288" spans="15:29">
      <c r="O288" s="25"/>
      <c r="AC288" s="25"/>
    </row>
    <row r="289" spans="15:29">
      <c r="O289" s="25"/>
      <c r="AC289" s="25"/>
    </row>
    <row r="290" spans="15:29">
      <c r="O290" s="25"/>
      <c r="AC290" s="25"/>
    </row>
    <row r="291" spans="15:29">
      <c r="O291" s="25"/>
      <c r="AC291" s="25"/>
    </row>
    <row r="292" spans="15:29">
      <c r="O292" s="25"/>
      <c r="AC292" s="25"/>
    </row>
    <row r="293" spans="15:29">
      <c r="O293" s="25"/>
      <c r="AC293" s="25"/>
    </row>
    <row r="294" spans="15:29">
      <c r="O294" s="25"/>
      <c r="AC294" s="25"/>
    </row>
    <row r="295" spans="15:29">
      <c r="O295" s="25"/>
      <c r="AC295" s="25"/>
    </row>
    <row r="296" spans="15:29">
      <c r="O296" s="25"/>
      <c r="AC296" s="25"/>
    </row>
    <row r="297" spans="15:29">
      <c r="O297" s="25"/>
      <c r="AC297" s="25"/>
    </row>
    <row r="298" spans="15:29">
      <c r="O298" s="25"/>
      <c r="AC298" s="25"/>
    </row>
    <row r="299" spans="15:29">
      <c r="O299" s="25"/>
      <c r="AC299" s="25"/>
    </row>
    <row r="300" spans="15:29">
      <c r="O300" s="25"/>
      <c r="AC300" s="25"/>
    </row>
    <row r="301" spans="15:29">
      <c r="O301" s="25"/>
      <c r="AC301" s="25"/>
    </row>
    <row r="302" spans="15:29">
      <c r="O302" s="25"/>
      <c r="AC302" s="25"/>
    </row>
    <row r="303" spans="15:29">
      <c r="O303" s="25"/>
      <c r="AC303" s="25"/>
    </row>
    <row r="304" spans="15:29">
      <c r="O304" s="25"/>
      <c r="AC304" s="25"/>
    </row>
    <row r="305" spans="15:29">
      <c r="O305" s="25"/>
      <c r="AC305" s="25"/>
    </row>
    <row r="306" spans="15:29">
      <c r="O306" s="25"/>
      <c r="AC306" s="25"/>
    </row>
    <row r="307" spans="15:29">
      <c r="O307" s="25"/>
      <c r="AC307" s="25"/>
    </row>
    <row r="308" spans="15:29">
      <c r="O308" s="25"/>
      <c r="AC308" s="25"/>
    </row>
    <row r="309" spans="15:29">
      <c r="O309" s="25"/>
      <c r="AC309" s="25"/>
    </row>
    <row r="310" spans="15:29">
      <c r="O310" s="25"/>
      <c r="AC310" s="25"/>
    </row>
    <row r="311" spans="15:29">
      <c r="O311" s="25"/>
      <c r="AC311" s="25"/>
    </row>
    <row r="312" spans="15:29">
      <c r="O312" s="25"/>
      <c r="AC312" s="25"/>
    </row>
    <row r="313" spans="15:29">
      <c r="O313" s="25"/>
      <c r="AC313" s="25"/>
    </row>
    <row r="314" spans="15:29">
      <c r="O314" s="25"/>
      <c r="AC314" s="25"/>
    </row>
    <row r="315" spans="15:29">
      <c r="O315" s="25"/>
      <c r="AC315" s="25"/>
    </row>
    <row r="316" spans="15:29">
      <c r="O316" s="25"/>
      <c r="AC316" s="25"/>
    </row>
    <row r="317" spans="15:29">
      <c r="O317" s="25"/>
      <c r="AC317" s="25"/>
    </row>
    <row r="318" spans="15:29">
      <c r="O318" s="25"/>
      <c r="AC318" s="25"/>
    </row>
    <row r="319" spans="15:29">
      <c r="O319" s="25"/>
      <c r="AC319" s="25"/>
    </row>
    <row r="320" spans="15:29">
      <c r="O320" s="25"/>
      <c r="AC320" s="25"/>
    </row>
    <row r="321" spans="15:29">
      <c r="O321" s="25"/>
      <c r="AC321" s="25"/>
    </row>
    <row r="322" spans="15:29">
      <c r="O322" s="25"/>
      <c r="AC322" s="25"/>
    </row>
    <row r="323" spans="15:29">
      <c r="O323" s="25"/>
      <c r="AC323" s="25"/>
    </row>
    <row r="324" spans="15:29">
      <c r="O324" s="25"/>
      <c r="AC324" s="25"/>
    </row>
    <row r="325" spans="15:29">
      <c r="O325" s="25"/>
      <c r="AC325" s="25"/>
    </row>
    <row r="326" spans="15:29">
      <c r="O326" s="25"/>
      <c r="AC326" s="25"/>
    </row>
    <row r="327" spans="15:29">
      <c r="O327" s="25"/>
      <c r="AC327" s="25"/>
    </row>
    <row r="328" spans="15:29">
      <c r="O328" s="25"/>
      <c r="AC328" s="25"/>
    </row>
    <row r="329" spans="15:29">
      <c r="O329" s="25"/>
      <c r="AC329" s="25"/>
    </row>
    <row r="330" spans="15:29">
      <c r="O330" s="25"/>
      <c r="AC330" s="25"/>
    </row>
    <row r="331" spans="15:29">
      <c r="O331" s="25"/>
      <c r="AC331" s="25"/>
    </row>
    <row r="332" spans="15:29">
      <c r="O332" s="25"/>
      <c r="AC332" s="25"/>
    </row>
    <row r="333" spans="15:29">
      <c r="O333" s="25"/>
      <c r="AC333" s="25"/>
    </row>
    <row r="334" spans="15:29">
      <c r="O334" s="25"/>
      <c r="AC334" s="25"/>
    </row>
    <row r="335" spans="15:29">
      <c r="O335" s="25"/>
      <c r="AC335" s="25"/>
    </row>
    <row r="336" spans="15:29">
      <c r="O336" s="25"/>
      <c r="AC336" s="25"/>
    </row>
    <row r="337" spans="15:29">
      <c r="O337" s="25"/>
      <c r="AC337" s="25"/>
    </row>
    <row r="338" spans="15:29">
      <c r="O338" s="25"/>
      <c r="AC338" s="25"/>
    </row>
    <row r="339" spans="15:29">
      <c r="O339" s="25"/>
      <c r="AC339" s="25"/>
    </row>
    <row r="340" spans="15:29">
      <c r="O340" s="25"/>
      <c r="AC340" s="25"/>
    </row>
    <row r="341" spans="15:29">
      <c r="O341" s="25"/>
      <c r="AC341" s="25"/>
    </row>
    <row r="342" spans="15:29">
      <c r="O342" s="25"/>
      <c r="AC342" s="25"/>
    </row>
    <row r="343" spans="15:29">
      <c r="O343" s="25"/>
      <c r="AC343" s="25"/>
    </row>
    <row r="344" spans="15:29">
      <c r="O344" s="25"/>
      <c r="AC344" s="25"/>
    </row>
    <row r="345" spans="15:29">
      <c r="O345" s="25"/>
      <c r="AC345" s="25"/>
    </row>
    <row r="346" spans="15:29">
      <c r="O346" s="25"/>
      <c r="AC346" s="25"/>
    </row>
    <row r="347" spans="15:29">
      <c r="O347" s="25"/>
      <c r="AC347" s="25"/>
    </row>
    <row r="348" spans="15:29">
      <c r="O348" s="25"/>
      <c r="AC348" s="25"/>
    </row>
    <row r="349" spans="15:29">
      <c r="O349" s="25"/>
      <c r="AC349" s="25"/>
    </row>
    <row r="350" spans="15:29">
      <c r="O350" s="25"/>
      <c r="AC350" s="25"/>
    </row>
    <row r="351" spans="15:29">
      <c r="O351" s="25"/>
      <c r="AC351" s="25"/>
    </row>
    <row r="352" spans="15:29">
      <c r="O352" s="25"/>
      <c r="AC352" s="25"/>
    </row>
    <row r="353" spans="15:29">
      <c r="O353" s="25"/>
      <c r="AC353" s="25"/>
    </row>
    <row r="354" spans="15:29">
      <c r="O354" s="25"/>
      <c r="AC354" s="25"/>
    </row>
    <row r="355" spans="15:29">
      <c r="O355" s="25"/>
      <c r="AC355" s="25"/>
    </row>
    <row r="356" spans="15:29">
      <c r="O356" s="25"/>
      <c r="AC356" s="25"/>
    </row>
    <row r="357" spans="15:29">
      <c r="O357" s="25"/>
      <c r="AC357" s="25"/>
    </row>
    <row r="358" spans="15:29">
      <c r="O358" s="25"/>
      <c r="AC358" s="25"/>
    </row>
    <row r="359" spans="15:29">
      <c r="O359" s="25"/>
      <c r="AC359" s="25"/>
    </row>
    <row r="360" spans="15:29">
      <c r="O360" s="25"/>
      <c r="AC360" s="25"/>
    </row>
    <row r="361" spans="15:29">
      <c r="O361" s="25"/>
      <c r="AC361" s="25"/>
    </row>
    <row r="362" spans="15:29">
      <c r="O362" s="25"/>
      <c r="AC362" s="25"/>
    </row>
    <row r="363" spans="15:29">
      <c r="O363" s="25"/>
      <c r="AC363" s="25"/>
    </row>
    <row r="364" spans="15:29">
      <c r="O364" s="25"/>
      <c r="AC364" s="25"/>
    </row>
    <row r="365" spans="15:29">
      <c r="O365" s="25"/>
      <c r="AC365" s="25"/>
    </row>
    <row r="366" spans="15:29">
      <c r="O366" s="25"/>
      <c r="AC366" s="25"/>
    </row>
    <row r="367" spans="15:29">
      <c r="O367" s="25"/>
      <c r="AC367" s="25"/>
    </row>
    <row r="368" spans="15:29">
      <c r="O368" s="25"/>
      <c r="AC368" s="25"/>
    </row>
    <row r="369" spans="15:29">
      <c r="O369" s="25"/>
      <c r="AC369" s="25"/>
    </row>
    <row r="370" spans="15:29">
      <c r="O370" s="25"/>
      <c r="AC370" s="25"/>
    </row>
    <row r="371" spans="15:29">
      <c r="O371" s="25"/>
      <c r="AC371" s="25"/>
    </row>
    <row r="372" spans="15:29">
      <c r="O372" s="25"/>
      <c r="AC372" s="25"/>
    </row>
    <row r="373" spans="15:29">
      <c r="O373" s="25"/>
      <c r="AC373" s="25"/>
    </row>
    <row r="374" spans="15:29">
      <c r="O374" s="25"/>
      <c r="AC374" s="25"/>
    </row>
    <row r="375" spans="15:29">
      <c r="O375" s="25"/>
      <c r="AC375" s="25"/>
    </row>
    <row r="376" spans="15:29">
      <c r="O376" s="25"/>
      <c r="AC376" s="25"/>
    </row>
    <row r="377" spans="15:29">
      <c r="O377" s="25"/>
      <c r="AC377" s="25"/>
    </row>
    <row r="378" spans="15:29">
      <c r="O378" s="25"/>
      <c r="AC378" s="25"/>
    </row>
    <row r="379" spans="15:29">
      <c r="O379" s="25"/>
      <c r="AC379" s="25"/>
    </row>
    <row r="380" spans="15:29">
      <c r="O380" s="25"/>
      <c r="AC380" s="25"/>
    </row>
    <row r="381" spans="15:29">
      <c r="O381" s="25"/>
      <c r="AC381" s="25"/>
    </row>
    <row r="382" spans="15:29">
      <c r="O382" s="25"/>
      <c r="AC382" s="25"/>
    </row>
    <row r="383" spans="15:29">
      <c r="O383" s="25"/>
      <c r="AC383" s="25"/>
    </row>
    <row r="384" spans="15:29">
      <c r="O384" s="25"/>
      <c r="AC384" s="25"/>
    </row>
    <row r="385" spans="15:29">
      <c r="O385" s="25"/>
      <c r="AC385" s="25"/>
    </row>
    <row r="386" spans="15:29">
      <c r="O386" s="25"/>
      <c r="AC386" s="25"/>
    </row>
    <row r="387" spans="15:29">
      <c r="O387" s="25"/>
      <c r="AC387" s="25"/>
    </row>
    <row r="388" spans="15:29">
      <c r="AC388" s="25"/>
    </row>
    <row r="389" spans="15:29">
      <c r="AC389" s="25"/>
    </row>
    <row r="390" spans="15:29">
      <c r="AC390" s="25"/>
    </row>
    <row r="391" spans="15:29">
      <c r="AC391" s="25"/>
    </row>
    <row r="392" spans="15:29">
      <c r="AC392" s="25"/>
    </row>
    <row r="393" spans="15:29">
      <c r="AC393" s="25"/>
    </row>
    <row r="394" spans="15:29">
      <c r="AC394" s="25"/>
    </row>
    <row r="395" spans="15:29">
      <c r="AC395" s="25"/>
    </row>
    <row r="396" spans="15:29">
      <c r="AC396" s="25"/>
    </row>
    <row r="397" spans="15:29">
      <c r="AC397" s="25"/>
    </row>
    <row r="398" spans="15:29">
      <c r="AC398" s="25"/>
    </row>
    <row r="399" spans="15:29">
      <c r="AC399" s="25"/>
    </row>
  </sheetData>
  <mergeCells count="13">
    <mergeCell ref="S53:U53"/>
    <mergeCell ref="V53:AE53"/>
    <mergeCell ref="S48:U48"/>
    <mergeCell ref="V48:AE48"/>
    <mergeCell ref="S49:U49"/>
    <mergeCell ref="V49:AE49"/>
    <mergeCell ref="S50:U50"/>
    <mergeCell ref="V50:AE50"/>
    <mergeCell ref="AE5:AI5"/>
    <mergeCell ref="S51:U51"/>
    <mergeCell ref="V51:AE51"/>
    <mergeCell ref="S52:U52"/>
    <mergeCell ref="V52:AE52"/>
  </mergeCells>
  <phoneticPr fontId="8" type="noConversion"/>
  <pageMargins left="0.7" right="0.7" top="0.75" bottom="0.75" header="0.3" footer="0.3"/>
  <pageSetup scale="54" orientation="portrait" r:id="rId1"/>
  <headerFooter>
    <oddHeader>&amp;L&amp;"Calibri"&amp;9&amp;K000000Classification: Internal&amp;1#</oddHeader>
  </headerFooter>
  <rowBreaks count="1" manualBreakCount="1">
    <brk id="57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BDC0-8FB5-4D66-B741-917E7705BC05}">
  <sheetPr>
    <pageSetUpPr fitToPage="1"/>
  </sheetPr>
  <dimension ref="A1:Z382"/>
  <sheetViews>
    <sheetView showGridLines="0" tabSelected="1" defaultGridColor="0" topLeftCell="A356" colorId="10" zoomScale="90" zoomScaleNormal="90" zoomScaleSheetLayoutView="102" workbookViewId="0">
      <selection activeCell="N379" sqref="N379"/>
    </sheetView>
  </sheetViews>
  <sheetFormatPr defaultColWidth="11.42578125" defaultRowHeight="12.75"/>
  <cols>
    <col min="1" max="1" width="1.42578125" customWidth="1"/>
    <col min="2" max="2" width="10.7109375" style="1" customWidth="1"/>
    <col min="3" max="3" width="5.5703125" style="20" customWidth="1"/>
    <col min="4" max="4" width="9.85546875" style="4" customWidth="1"/>
    <col min="5" max="5" width="10.7109375" style="4" customWidth="1"/>
    <col min="6" max="6" width="8.42578125" style="164" customWidth="1"/>
    <col min="7" max="7" width="10.5703125" style="164" customWidth="1"/>
    <col min="8" max="8" width="9.42578125" style="164" bestFit="1" customWidth="1"/>
    <col min="9" max="9" width="9.5703125" style="164" customWidth="1"/>
    <col min="10" max="10" width="12.28515625" style="164" customWidth="1"/>
    <col min="11" max="12" width="17.42578125" style="172" customWidth="1"/>
    <col min="13" max="13" width="13.42578125" style="9" customWidth="1"/>
    <col min="14" max="14" width="13.7109375" customWidth="1"/>
    <col min="15" max="18" width="11.42578125" customWidth="1"/>
    <col min="19" max="19" width="35.5703125" customWidth="1"/>
    <col min="20" max="20" width="11.42578125" customWidth="1"/>
  </cols>
  <sheetData>
    <row r="1" spans="1:21">
      <c r="B1"/>
      <c r="C1"/>
      <c r="D1"/>
      <c r="E1"/>
      <c r="F1"/>
      <c r="G1"/>
      <c r="H1"/>
      <c r="I1"/>
      <c r="J1"/>
      <c r="K1"/>
      <c r="L1"/>
      <c r="M1"/>
    </row>
    <row r="2" spans="1:21" ht="15.75">
      <c r="A2" s="21"/>
      <c r="B2" s="5"/>
      <c r="C2" s="19"/>
      <c r="D2" s="16"/>
      <c r="E2" s="3"/>
      <c r="F2" s="213"/>
      <c r="G2" s="214"/>
      <c r="H2" s="213"/>
      <c r="I2" s="213" t="s">
        <v>71</v>
      </c>
      <c r="J2" s="170"/>
      <c r="K2" s="170"/>
      <c r="L2" s="170"/>
      <c r="M2" s="227"/>
      <c r="N2" s="228"/>
      <c r="O2" s="18"/>
    </row>
    <row r="3" spans="1:21" ht="2.25" customHeight="1">
      <c r="B3" s="6"/>
      <c r="C3" s="8"/>
      <c r="D3" s="14"/>
      <c r="E3" s="174"/>
      <c r="F3" s="210"/>
      <c r="G3" s="211"/>
      <c r="H3" s="216"/>
      <c r="I3" s="212"/>
      <c r="K3" s="171"/>
      <c r="L3" s="171"/>
      <c r="M3" s="229" t="s">
        <v>175</v>
      </c>
      <c r="N3" s="161"/>
    </row>
    <row r="4" spans="1:21" ht="17.25" customHeight="1">
      <c r="B4" s="6"/>
      <c r="C4" s="8"/>
      <c r="D4" s="14"/>
      <c r="E4" s="14"/>
      <c r="F4" s="163"/>
      <c r="G4" s="215"/>
      <c r="H4" s="217" t="s">
        <v>177</v>
      </c>
      <c r="I4" s="215"/>
      <c r="K4" s="171"/>
      <c r="L4" s="171"/>
      <c r="M4" s="23"/>
      <c r="N4" s="22"/>
    </row>
    <row r="5" spans="1:21" ht="21.75" customHeight="1">
      <c r="B5" s="6"/>
      <c r="C5" s="8"/>
      <c r="D5" s="14"/>
      <c r="E5" s="14"/>
      <c r="F5" s="163"/>
      <c r="G5" s="165"/>
      <c r="H5" s="163"/>
      <c r="I5" s="165"/>
      <c r="K5" s="219"/>
      <c r="L5" s="219" t="s">
        <v>94</v>
      </c>
      <c r="M5" s="226">
        <v>44347</v>
      </c>
      <c r="N5" s="22"/>
    </row>
    <row r="6" spans="1:21" ht="18">
      <c r="B6" s="12"/>
      <c r="C6" s="260"/>
      <c r="D6" s="194" t="s">
        <v>83</v>
      </c>
      <c r="E6" s="484" t="s">
        <v>66</v>
      </c>
      <c r="F6" s="485"/>
      <c r="G6" s="234" t="s">
        <v>0</v>
      </c>
      <c r="H6" s="235" t="s">
        <v>186</v>
      </c>
      <c r="K6" s="218"/>
      <c r="L6" s="219" t="s">
        <v>135</v>
      </c>
      <c r="M6" s="220" t="s">
        <v>183</v>
      </c>
      <c r="N6" s="7"/>
    </row>
    <row r="7" spans="1:21">
      <c r="B7" s="24"/>
      <c r="C7" s="8"/>
      <c r="D7" s="194" t="s">
        <v>82</v>
      </c>
      <c r="E7" s="484" t="s">
        <v>77</v>
      </c>
      <c r="F7" s="485"/>
      <c r="G7" s="234" t="s">
        <v>1</v>
      </c>
      <c r="H7" s="236" t="s">
        <v>153</v>
      </c>
      <c r="I7" s="173"/>
      <c r="J7" s="20"/>
      <c r="K7" s="218"/>
      <c r="L7" s="219" t="s">
        <v>123</v>
      </c>
      <c r="M7" s="220" t="s">
        <v>195</v>
      </c>
      <c r="N7" s="7"/>
    </row>
    <row r="8" spans="1:21">
      <c r="B8" s="6"/>
      <c r="C8" s="8"/>
      <c r="D8" s="194" t="s">
        <v>68</v>
      </c>
      <c r="E8" s="484" t="s">
        <v>78</v>
      </c>
      <c r="F8" s="485"/>
      <c r="G8" s="234"/>
      <c r="H8" s="235"/>
      <c r="I8" s="169"/>
      <c r="K8" s="171"/>
      <c r="L8" s="171"/>
      <c r="M8" s="221"/>
      <c r="N8" s="7"/>
    </row>
    <row r="9" spans="1:21">
      <c r="B9" s="6"/>
      <c r="C9" s="8"/>
      <c r="D9" s="194" t="s">
        <v>67</v>
      </c>
      <c r="E9" s="486" t="s">
        <v>79</v>
      </c>
      <c r="F9" s="487"/>
      <c r="G9" s="234" t="s">
        <v>2</v>
      </c>
      <c r="H9" s="251">
        <v>85</v>
      </c>
      <c r="I9" s="167"/>
      <c r="J9" s="167"/>
      <c r="K9" s="219"/>
      <c r="L9" s="219" t="s">
        <v>27</v>
      </c>
      <c r="M9" s="262">
        <v>11334.88</v>
      </c>
      <c r="N9" s="2" t="s">
        <v>30</v>
      </c>
    </row>
    <row r="10" spans="1:21">
      <c r="B10" s="6"/>
      <c r="C10" s="8"/>
      <c r="D10" s="194" t="s">
        <v>3</v>
      </c>
      <c r="E10" s="488">
        <v>26</v>
      </c>
      <c r="F10" s="489"/>
      <c r="G10" s="234" t="s">
        <v>4</v>
      </c>
      <c r="H10" s="257">
        <v>12.3</v>
      </c>
      <c r="I10" s="168"/>
      <c r="K10" s="219"/>
      <c r="L10" s="219" t="s">
        <v>5</v>
      </c>
      <c r="M10" s="261">
        <v>21232</v>
      </c>
      <c r="N10" s="2" t="s">
        <v>30</v>
      </c>
    </row>
    <row r="11" spans="1:21">
      <c r="B11" s="6"/>
      <c r="C11" s="8"/>
      <c r="D11" s="194" t="s">
        <v>6</v>
      </c>
      <c r="E11" s="490" t="s">
        <v>81</v>
      </c>
      <c r="F11" s="491"/>
      <c r="G11" s="234" t="s">
        <v>7</v>
      </c>
      <c r="H11" s="237">
        <f>(65.45-H10)/65.45</f>
        <v>0.81207028265851799</v>
      </c>
      <c r="I11" s="168"/>
      <c r="K11" s="219"/>
      <c r="L11" s="219" t="s">
        <v>73</v>
      </c>
      <c r="M11" s="261">
        <v>21222</v>
      </c>
      <c r="N11" s="2" t="s">
        <v>30</v>
      </c>
      <c r="P11" s="13"/>
    </row>
    <row r="12" spans="1:21">
      <c r="B12" s="6"/>
      <c r="C12" s="185"/>
      <c r="D12" s="194" t="s">
        <v>21</v>
      </c>
      <c r="E12" s="197">
        <f>F12/12</f>
        <v>0.39799999999999996</v>
      </c>
      <c r="F12" s="196">
        <v>4.7759999999999998</v>
      </c>
      <c r="G12" s="166"/>
      <c r="H12" s="195"/>
      <c r="I12" s="168"/>
      <c r="K12" s="219"/>
      <c r="L12" s="219" t="s">
        <v>72</v>
      </c>
      <c r="M12" s="263">
        <f>F16+J16</f>
        <v>11351.755999999998</v>
      </c>
      <c r="N12" s="2" t="s">
        <v>30</v>
      </c>
      <c r="R12" s="191"/>
    </row>
    <row r="13" spans="1:21" ht="13.15" customHeight="1">
      <c r="B13" s="323" t="s">
        <v>8</v>
      </c>
      <c r="C13" s="324"/>
      <c r="D13" s="325"/>
      <c r="E13" s="324" t="s">
        <v>9</v>
      </c>
      <c r="F13" s="325" t="s">
        <v>9</v>
      </c>
      <c r="G13" s="326" t="s">
        <v>22</v>
      </c>
      <c r="H13" s="326" t="s">
        <v>9</v>
      </c>
      <c r="I13" s="327" t="s">
        <v>10</v>
      </c>
      <c r="J13" s="325" t="s">
        <v>11</v>
      </c>
      <c r="K13" s="328" t="s">
        <v>12</v>
      </c>
      <c r="L13" s="605" t="s">
        <v>178</v>
      </c>
      <c r="M13" s="496" t="s">
        <v>20</v>
      </c>
      <c r="N13" s="497"/>
    </row>
    <row r="14" spans="1:21" ht="14.1" customHeight="1">
      <c r="B14" s="329" t="s">
        <v>13</v>
      </c>
      <c r="C14" s="329" t="s">
        <v>24</v>
      </c>
      <c r="D14" s="330" t="s">
        <v>23</v>
      </c>
      <c r="E14" s="330" t="s">
        <v>15</v>
      </c>
      <c r="F14" s="331" t="s">
        <v>16</v>
      </c>
      <c r="G14" s="332" t="s">
        <v>16</v>
      </c>
      <c r="H14" s="332" t="s">
        <v>17</v>
      </c>
      <c r="I14" s="333" t="s">
        <v>16</v>
      </c>
      <c r="J14" s="331" t="s">
        <v>18</v>
      </c>
      <c r="K14" s="334" t="s">
        <v>19</v>
      </c>
      <c r="L14" s="606"/>
      <c r="M14" s="498"/>
      <c r="N14" s="499"/>
    </row>
    <row r="15" spans="1:21" ht="14.1" customHeight="1">
      <c r="B15" s="329"/>
      <c r="C15" s="329"/>
      <c r="D15" s="602" t="s">
        <v>176</v>
      </c>
      <c r="E15" s="603"/>
      <c r="F15" s="300">
        <v>2.754</v>
      </c>
      <c r="G15" s="186">
        <v>2.754</v>
      </c>
      <c r="H15" s="187" t="str">
        <f t="shared" ref="H15" si="0">IF(F15="","OUT","IN")</f>
        <v>IN</v>
      </c>
      <c r="I15" s="265">
        <v>0</v>
      </c>
      <c r="J15" s="303">
        <f>M9</f>
        <v>11334.88</v>
      </c>
      <c r="K15" s="347">
        <f>$H$9+(I15*$E$10*$H$11/1000)</f>
        <v>85</v>
      </c>
      <c r="L15" s="365"/>
      <c r="M15" s="342"/>
      <c r="N15" s="343"/>
    </row>
    <row r="16" spans="1:21" ht="17.100000000000001" customHeight="1">
      <c r="B16" s="467" t="s">
        <v>116</v>
      </c>
      <c r="C16" s="469" t="s">
        <v>181</v>
      </c>
      <c r="D16" s="470" t="s">
        <v>115</v>
      </c>
      <c r="E16" s="470"/>
      <c r="F16" s="301">
        <v>19.63</v>
      </c>
      <c r="G16" s="301">
        <f t="shared" ref="G16:G24" si="1">F16</f>
        <v>19.63</v>
      </c>
      <c r="H16" s="182" t="s">
        <v>25</v>
      </c>
      <c r="I16" s="301">
        <v>2.754</v>
      </c>
      <c r="J16" s="301">
        <f>IF(I16="","",$M$9-I16)</f>
        <v>11332.125999999998</v>
      </c>
      <c r="K16" s="183">
        <f>$H$9+(I16*$E$10*$H$11/1000)</f>
        <v>85.05814748051948</v>
      </c>
      <c r="L16" s="357"/>
      <c r="M16" s="503" t="s">
        <v>125</v>
      </c>
      <c r="N16" s="503"/>
      <c r="O16" s="13"/>
      <c r="U16" s="191"/>
    </row>
    <row r="17" spans="2:26" ht="17.850000000000001" customHeight="1">
      <c r="B17" s="467"/>
      <c r="C17" s="469"/>
      <c r="D17" s="471" t="s">
        <v>114</v>
      </c>
      <c r="E17" s="472"/>
      <c r="F17" s="301">
        <v>2.69</v>
      </c>
      <c r="G17" s="301">
        <f t="shared" si="1"/>
        <v>2.69</v>
      </c>
      <c r="H17" s="181" t="str">
        <f t="shared" ref="H17:H80" si="2">IF(F17="","OUT","IN")</f>
        <v>IN</v>
      </c>
      <c r="I17" s="301">
        <f>IF(H17="IN",I16+G17,I16)</f>
        <v>5.444</v>
      </c>
      <c r="J17" s="301">
        <f>IF(I17="","",$M$9-I17)</f>
        <v>11329.436</v>
      </c>
      <c r="K17" s="183">
        <f>$H$9+(I17*$E$10*$H$11/1000)</f>
        <v>85.114943676088615</v>
      </c>
      <c r="L17" s="358"/>
      <c r="M17" s="473" t="s">
        <v>188</v>
      </c>
      <c r="N17" s="473"/>
      <c r="O17" s="13"/>
    </row>
    <row r="18" spans="2:26" ht="18" customHeight="1">
      <c r="B18" s="467"/>
      <c r="C18" s="469"/>
      <c r="D18" s="470" t="s">
        <v>121</v>
      </c>
      <c r="E18" s="470"/>
      <c r="F18" s="301">
        <v>7.92</v>
      </c>
      <c r="G18" s="301">
        <f t="shared" si="1"/>
        <v>7.92</v>
      </c>
      <c r="H18" s="181" t="str">
        <f t="shared" si="2"/>
        <v>IN</v>
      </c>
      <c r="I18" s="301">
        <f>IF(H18="IN",I17+G18,I17)</f>
        <v>13.364000000000001</v>
      </c>
      <c r="J18" s="301">
        <f>IF(I18="","",$M$9-I18)</f>
        <v>11321.516</v>
      </c>
      <c r="K18" s="183">
        <f t="shared" ref="K18:K81" si="3">$H$9+(I18*$E$10*$H$11/1000)</f>
        <v>85.282165188693654</v>
      </c>
      <c r="L18" s="359"/>
      <c r="M18" s="508"/>
      <c r="N18" s="508"/>
      <c r="O18" s="13"/>
    </row>
    <row r="19" spans="2:26" ht="13.5" customHeight="1">
      <c r="B19" s="185">
        <v>1</v>
      </c>
      <c r="C19" s="185"/>
      <c r="D19" s="186">
        <v>7</v>
      </c>
      <c r="E19" s="259">
        <v>1</v>
      </c>
      <c r="F19" s="186">
        <v>33.340000000000003</v>
      </c>
      <c r="G19" s="304">
        <f>F19-($E$12)</f>
        <v>32.942</v>
      </c>
      <c r="H19" s="187" t="str">
        <f t="shared" si="2"/>
        <v>IN</v>
      </c>
      <c r="I19" s="265">
        <f t="shared" ref="I19:I82" si="4">IF(H19="IN",I18+G19,I18)</f>
        <v>46.305999999999997</v>
      </c>
      <c r="J19" s="265">
        <f t="shared" ref="J19:J82" si="5">IF(I19="","",$M$9-I19)</f>
        <v>11288.573999999999</v>
      </c>
      <c r="K19" s="269">
        <f t="shared" si="3"/>
        <v>85.977696889228412</v>
      </c>
      <c r="L19" s="431">
        <v>0</v>
      </c>
      <c r="M19" s="254"/>
      <c r="N19" s="255"/>
      <c r="O19" s="13"/>
      <c r="Q19" s="208"/>
      <c r="R19" s="208"/>
      <c r="S19" s="13"/>
      <c r="X19" s="13"/>
    </row>
    <row r="20" spans="2:26" ht="13.5" customHeight="1">
      <c r="B20" s="463" t="s">
        <v>118</v>
      </c>
      <c r="C20" s="464">
        <v>11889450</v>
      </c>
      <c r="D20" s="466" t="s">
        <v>121</v>
      </c>
      <c r="E20" s="466"/>
      <c r="F20" s="302">
        <v>6.22</v>
      </c>
      <c r="G20" s="305">
        <f t="shared" ref="G20" si="6">F20-($E$12)</f>
        <v>5.8220000000000001</v>
      </c>
      <c r="H20" s="184" t="str">
        <f t="shared" si="2"/>
        <v>IN</v>
      </c>
      <c r="I20" s="302">
        <f t="shared" si="4"/>
        <v>52.128</v>
      </c>
      <c r="J20" s="302">
        <f t="shared" si="5"/>
        <v>11282.751999999999</v>
      </c>
      <c r="K20" s="280">
        <f t="shared" si="3"/>
        <v>86.100621592055006</v>
      </c>
      <c r="L20" s="360"/>
      <c r="M20" s="450" t="s">
        <v>124</v>
      </c>
      <c r="N20" s="450"/>
      <c r="O20" s="13"/>
      <c r="Q20" s="208"/>
      <c r="R20" s="208"/>
      <c r="S20" s="13"/>
      <c r="X20" s="13"/>
    </row>
    <row r="21" spans="2:26" ht="13.35" customHeight="1">
      <c r="B21" s="463"/>
      <c r="C21" s="464"/>
      <c r="D21" s="465" t="s">
        <v>128</v>
      </c>
      <c r="E21" s="465"/>
      <c r="F21" s="302">
        <v>12</v>
      </c>
      <c r="G21" s="302">
        <f t="shared" si="1"/>
        <v>12</v>
      </c>
      <c r="H21" s="184" t="str">
        <f t="shared" si="2"/>
        <v>IN</v>
      </c>
      <c r="I21" s="302">
        <f t="shared" si="4"/>
        <v>64.128</v>
      </c>
      <c r="J21" s="301">
        <f t="shared" si="5"/>
        <v>11270.751999999999</v>
      </c>
      <c r="K21" s="280">
        <f t="shared" si="3"/>
        <v>86.353987520244459</v>
      </c>
      <c r="L21" s="361"/>
      <c r="M21" s="468" t="s">
        <v>189</v>
      </c>
      <c r="N21" s="468"/>
      <c r="O21" s="13"/>
      <c r="W21" s="191"/>
      <c r="X21" s="13"/>
    </row>
    <row r="22" spans="2:26" ht="13.35" customHeight="1">
      <c r="B22" s="463"/>
      <c r="C22" s="464"/>
      <c r="D22" s="258" t="s">
        <v>129</v>
      </c>
      <c r="E22" s="258"/>
      <c r="F22" s="302">
        <v>3.68</v>
      </c>
      <c r="G22" s="302">
        <f t="shared" si="1"/>
        <v>3.68</v>
      </c>
      <c r="H22" s="184" t="str">
        <f t="shared" si="2"/>
        <v>IN</v>
      </c>
      <c r="I22" s="302">
        <f t="shared" si="4"/>
        <v>67.808000000000007</v>
      </c>
      <c r="J22" s="302">
        <f t="shared" si="5"/>
        <v>11267.071999999998</v>
      </c>
      <c r="K22" s="280">
        <f t="shared" si="3"/>
        <v>86.431686404889234</v>
      </c>
      <c r="L22" s="362"/>
      <c r="M22" s="457" t="s">
        <v>173</v>
      </c>
      <c r="N22" s="458"/>
      <c r="O22" s="13"/>
      <c r="Q22" s="208"/>
      <c r="R22" s="208"/>
    </row>
    <row r="23" spans="2:26" ht="13.35" customHeight="1">
      <c r="B23" s="463"/>
      <c r="C23" s="464"/>
      <c r="D23" s="258" t="s">
        <v>122</v>
      </c>
      <c r="E23" s="258"/>
      <c r="F23" s="302">
        <v>0.97</v>
      </c>
      <c r="G23" s="302">
        <f t="shared" si="1"/>
        <v>0.97</v>
      </c>
      <c r="H23" s="184" t="str">
        <f t="shared" si="2"/>
        <v>IN</v>
      </c>
      <c r="I23" s="302">
        <f t="shared" si="4"/>
        <v>68.778000000000006</v>
      </c>
      <c r="J23" s="302">
        <f t="shared" si="5"/>
        <v>11266.101999999999</v>
      </c>
      <c r="K23" s="280">
        <f t="shared" si="3"/>
        <v>86.452166817417876</v>
      </c>
      <c r="L23" s="362"/>
      <c r="M23" s="457" t="s">
        <v>174</v>
      </c>
      <c r="N23" s="458"/>
      <c r="O23" s="13"/>
      <c r="Q23" s="209"/>
      <c r="R23" s="209"/>
    </row>
    <row r="24" spans="2:26" ht="13.35" customHeight="1" thickBot="1">
      <c r="B24" s="463"/>
      <c r="C24" s="464"/>
      <c r="D24" s="466" t="s">
        <v>121</v>
      </c>
      <c r="E24" s="466"/>
      <c r="F24" s="302">
        <v>7.92</v>
      </c>
      <c r="G24" s="302">
        <f t="shared" si="1"/>
        <v>7.92</v>
      </c>
      <c r="H24" s="184" t="str">
        <f t="shared" si="2"/>
        <v>IN</v>
      </c>
      <c r="I24" s="302">
        <f t="shared" si="4"/>
        <v>76.698000000000008</v>
      </c>
      <c r="J24" s="302">
        <f t="shared" si="5"/>
        <v>11258.181999999999</v>
      </c>
      <c r="K24" s="280">
        <f t="shared" si="3"/>
        <v>86.619388330022915</v>
      </c>
      <c r="L24" s="363"/>
      <c r="M24" s="504" t="s">
        <v>126</v>
      </c>
      <c r="N24" s="505"/>
      <c r="O24" s="13"/>
      <c r="W24" s="13"/>
    </row>
    <row r="25" spans="2:26" ht="13.35" customHeight="1" thickBot="1">
      <c r="B25" s="185">
        <v>2</v>
      </c>
      <c r="C25" s="185"/>
      <c r="D25" s="186">
        <v>7</v>
      </c>
      <c r="E25" s="179">
        <f>E19+1</f>
        <v>2</v>
      </c>
      <c r="F25" s="186">
        <v>32.96</v>
      </c>
      <c r="G25" s="186">
        <f t="shared" ref="G25:G88" si="7">F25-($E$12)</f>
        <v>32.561999999999998</v>
      </c>
      <c r="H25" s="187" t="str">
        <f t="shared" si="2"/>
        <v>IN</v>
      </c>
      <c r="I25" s="265">
        <f t="shared" si="4"/>
        <v>109.26</v>
      </c>
      <c r="J25" s="265">
        <f t="shared" si="5"/>
        <v>11225.619999999999</v>
      </c>
      <c r="K25" s="269">
        <f t="shared" si="3"/>
        <v>87.306896776165019</v>
      </c>
      <c r="L25" s="431">
        <v>0</v>
      </c>
      <c r="M25" s="598"/>
      <c r="N25" s="598"/>
      <c r="O25" s="13"/>
      <c r="P25" s="492" t="s">
        <v>84</v>
      </c>
      <c r="Q25" s="493"/>
      <c r="S25" s="222" t="s">
        <v>117</v>
      </c>
      <c r="T25" s="231" t="s">
        <v>87</v>
      </c>
      <c r="W25" s="13"/>
    </row>
    <row r="26" spans="2:26" s="10" customFormat="1" ht="14.1" customHeight="1" thickBot="1">
      <c r="B26" s="185">
        <v>3</v>
      </c>
      <c r="C26" s="185"/>
      <c r="D26" s="186">
        <v>7</v>
      </c>
      <c r="E26" s="179">
        <f>E25+1</f>
        <v>3</v>
      </c>
      <c r="F26" s="186">
        <v>33.450000000000003</v>
      </c>
      <c r="G26" s="186">
        <f t="shared" si="7"/>
        <v>33.052</v>
      </c>
      <c r="H26" s="187" t="str">
        <f t="shared" si="2"/>
        <v>IN</v>
      </c>
      <c r="I26" s="265">
        <f t="shared" si="4"/>
        <v>142.31200000000001</v>
      </c>
      <c r="J26" s="265">
        <f t="shared" si="5"/>
        <v>11192.567999999999</v>
      </c>
      <c r="K26" s="269">
        <f t="shared" si="3"/>
        <v>88.004750997708172</v>
      </c>
      <c r="L26" s="431">
        <v>0</v>
      </c>
      <c r="M26" s="599" t="s">
        <v>31</v>
      </c>
      <c r="N26" s="600"/>
      <c r="O26" s="13"/>
      <c r="P26" s="494"/>
      <c r="Q26" s="495"/>
      <c r="S26" s="223" t="s">
        <v>120</v>
      </c>
      <c r="T26" s="224">
        <v>2.74</v>
      </c>
    </row>
    <row r="27" spans="2:26" s="10" customFormat="1" ht="14.1" customHeight="1" thickBot="1">
      <c r="B27" s="185">
        <f t="shared" ref="B27:B90" si="8">B26+1</f>
        <v>4</v>
      </c>
      <c r="C27" s="185"/>
      <c r="D27" s="186">
        <v>7</v>
      </c>
      <c r="E27" s="179">
        <f>E26+1</f>
        <v>4</v>
      </c>
      <c r="F27" s="186">
        <v>31.71</v>
      </c>
      <c r="G27" s="186">
        <f t="shared" si="7"/>
        <v>31.312000000000001</v>
      </c>
      <c r="H27" s="187" t="str">
        <f t="shared" si="2"/>
        <v>IN</v>
      </c>
      <c r="I27" s="265">
        <f t="shared" si="4"/>
        <v>173.62400000000002</v>
      </c>
      <c r="J27" s="265">
        <f t="shared" si="5"/>
        <v>11161.255999999999</v>
      </c>
      <c r="K27" s="269">
        <f t="shared" si="3"/>
        <v>88.665867159663861</v>
      </c>
      <c r="L27" s="431">
        <v>0</v>
      </c>
      <c r="M27" s="230">
        <v>11254.88</v>
      </c>
      <c r="N27" s="230">
        <v>11299.71</v>
      </c>
      <c r="O27" s="13"/>
      <c r="P27" s="206" t="s">
        <v>85</v>
      </c>
      <c r="Q27" s="207" t="s">
        <v>86</v>
      </c>
      <c r="S27" s="223" t="s">
        <v>88</v>
      </c>
      <c r="T27" s="225">
        <v>6.86</v>
      </c>
      <c r="W27" s="193"/>
      <c r="Y27" s="15"/>
      <c r="Z27" s="15"/>
    </row>
    <row r="28" spans="2:26" s="10" customFormat="1" ht="14.1" customHeight="1" thickBot="1">
      <c r="B28" s="185">
        <f t="shared" si="8"/>
        <v>5</v>
      </c>
      <c r="C28" s="185"/>
      <c r="D28" s="186">
        <v>7</v>
      </c>
      <c r="E28" s="179">
        <f t="shared" ref="E28:E91" si="9">E27+1</f>
        <v>5</v>
      </c>
      <c r="F28" s="186">
        <v>31.74</v>
      </c>
      <c r="G28" s="186">
        <f t="shared" si="7"/>
        <v>31.341999999999999</v>
      </c>
      <c r="H28" s="187" t="str">
        <f t="shared" si="2"/>
        <v>IN</v>
      </c>
      <c r="I28" s="265">
        <f t="shared" si="4"/>
        <v>204.96600000000001</v>
      </c>
      <c r="J28" s="265">
        <f t="shared" si="5"/>
        <v>11129.913999999999</v>
      </c>
      <c r="K28" s="269">
        <f t="shared" si="3"/>
        <v>89.327616736440035</v>
      </c>
      <c r="L28" s="431">
        <v>0</v>
      </c>
      <c r="M28" s="601"/>
      <c r="N28" s="601"/>
      <c r="O28" s="13"/>
      <c r="P28" s="204">
        <f>J21-M27</f>
        <v>15.871999999999389</v>
      </c>
      <c r="Q28" s="205">
        <f>N27-J21</f>
        <v>28.958000000000538</v>
      </c>
      <c r="S28" s="223" t="s">
        <v>89</v>
      </c>
      <c r="T28" s="225">
        <v>8.86</v>
      </c>
      <c r="W28" s="193"/>
      <c r="X28"/>
      <c r="Y28" s="15"/>
      <c r="Z28" s="15"/>
    </row>
    <row r="29" spans="2:26" s="10" customFormat="1" ht="14.1" customHeight="1" thickBot="1">
      <c r="B29" s="185">
        <f t="shared" si="8"/>
        <v>6</v>
      </c>
      <c r="C29" s="185"/>
      <c r="D29" s="186">
        <v>7</v>
      </c>
      <c r="E29" s="179">
        <f t="shared" si="9"/>
        <v>6</v>
      </c>
      <c r="F29" s="186">
        <v>33</v>
      </c>
      <c r="G29" s="186">
        <f t="shared" si="7"/>
        <v>32.601999999999997</v>
      </c>
      <c r="H29" s="187" t="str">
        <f t="shared" si="2"/>
        <v>IN</v>
      </c>
      <c r="I29" s="265">
        <f t="shared" si="4"/>
        <v>237.56800000000001</v>
      </c>
      <c r="J29" s="265">
        <f t="shared" si="5"/>
        <v>11097.312</v>
      </c>
      <c r="K29" s="269">
        <f t="shared" si="3"/>
        <v>90.015969735676094</v>
      </c>
      <c r="L29" s="431">
        <v>0</v>
      </c>
      <c r="M29" s="198" t="s">
        <v>97</v>
      </c>
      <c r="N29" s="199">
        <f>J23+T26</f>
        <v>11268.841999999999</v>
      </c>
      <c r="O29" s="13"/>
      <c r="S29" s="223" t="s">
        <v>119</v>
      </c>
      <c r="T29" s="224">
        <v>14.71</v>
      </c>
    </row>
    <row r="30" spans="2:26" s="10" customFormat="1" ht="14.1" customHeight="1">
      <c r="B30" s="185">
        <f t="shared" si="8"/>
        <v>7</v>
      </c>
      <c r="C30" s="185"/>
      <c r="D30" s="186">
        <v>7</v>
      </c>
      <c r="E30" s="179">
        <f t="shared" si="9"/>
        <v>7</v>
      </c>
      <c r="F30" s="186">
        <v>33.33</v>
      </c>
      <c r="G30" s="186">
        <f t="shared" si="7"/>
        <v>32.931999999999995</v>
      </c>
      <c r="H30" s="187" t="str">
        <f t="shared" si="2"/>
        <v>IN</v>
      </c>
      <c r="I30" s="265">
        <f t="shared" si="4"/>
        <v>270.5</v>
      </c>
      <c r="J30" s="265">
        <f>IF(I30="","",$M$9-I30)</f>
        <v>11064.38</v>
      </c>
      <c r="K30" s="269">
        <f t="shared" si="3"/>
        <v>90.711290297937353</v>
      </c>
      <c r="L30" s="431">
        <v>0</v>
      </c>
      <c r="M30" s="200" t="s">
        <v>98</v>
      </c>
      <c r="N30" s="201">
        <f>J23+T29</f>
        <v>11280.811999999998</v>
      </c>
      <c r="O30" s="506"/>
      <c r="P30" s="507"/>
      <c r="Q30" s="507"/>
      <c r="S30" s="9"/>
      <c r="T30" s="9"/>
      <c r="W30"/>
    </row>
    <row r="31" spans="2:26" s="10" customFormat="1" ht="14.1" customHeight="1" thickBot="1">
      <c r="B31" s="185">
        <f t="shared" si="8"/>
        <v>8</v>
      </c>
      <c r="C31" s="185"/>
      <c r="D31" s="186">
        <v>7</v>
      </c>
      <c r="E31" s="179">
        <f t="shared" si="9"/>
        <v>8</v>
      </c>
      <c r="F31" s="186">
        <v>33.03</v>
      </c>
      <c r="G31" s="186">
        <f t="shared" si="7"/>
        <v>32.631999999999998</v>
      </c>
      <c r="H31" s="187" t="str">
        <f t="shared" si="2"/>
        <v>IN</v>
      </c>
      <c r="I31" s="265">
        <f t="shared" si="4"/>
        <v>303.13200000000001</v>
      </c>
      <c r="J31" s="265">
        <f t="shared" si="5"/>
        <v>11031.748</v>
      </c>
      <c r="K31" s="269">
        <f t="shared" si="3"/>
        <v>91.400276711993882</v>
      </c>
      <c r="L31" s="431">
        <v>0</v>
      </c>
      <c r="M31" s="200" t="s">
        <v>99</v>
      </c>
      <c r="N31" s="201">
        <f>J23+T27</f>
        <v>11272.962</v>
      </c>
      <c r="O31" s="506"/>
      <c r="P31" s="507"/>
      <c r="Q31" s="507"/>
      <c r="S31" s="500"/>
      <c r="T31" s="500"/>
      <c r="W31"/>
    </row>
    <row r="32" spans="2:26" s="10" customFormat="1" ht="14.1" customHeight="1" thickBot="1">
      <c r="B32" s="185">
        <f t="shared" si="8"/>
        <v>9</v>
      </c>
      <c r="C32" s="185"/>
      <c r="D32" s="186">
        <v>7</v>
      </c>
      <c r="E32" s="179">
        <f t="shared" si="9"/>
        <v>9</v>
      </c>
      <c r="F32" s="186">
        <v>33.76</v>
      </c>
      <c r="G32" s="186">
        <f t="shared" si="7"/>
        <v>33.361999999999995</v>
      </c>
      <c r="H32" s="187" t="str">
        <f t="shared" si="2"/>
        <v>IN</v>
      </c>
      <c r="I32" s="265">
        <f t="shared" si="4"/>
        <v>336.49400000000003</v>
      </c>
      <c r="J32" s="265">
        <f t="shared" si="5"/>
        <v>10998.385999999999</v>
      </c>
      <c r="K32" s="269">
        <f t="shared" si="3"/>
        <v>92.104676220015278</v>
      </c>
      <c r="L32" s="431">
        <v>0</v>
      </c>
      <c r="M32" s="202" t="s">
        <v>100</v>
      </c>
      <c r="N32" s="203">
        <f>J23+T28</f>
        <v>11274.962</v>
      </c>
      <c r="O32" s="506"/>
      <c r="P32" s="507"/>
      <c r="Q32" s="507"/>
      <c r="S32" s="222" t="s">
        <v>90</v>
      </c>
      <c r="T32" s="231" t="s">
        <v>87</v>
      </c>
      <c r="W32"/>
    </row>
    <row r="33" spans="2:20" s="11" customFormat="1" ht="13.35" customHeight="1" thickBot="1">
      <c r="B33" s="185">
        <f t="shared" si="8"/>
        <v>10</v>
      </c>
      <c r="C33" s="185"/>
      <c r="D33" s="186">
        <v>7</v>
      </c>
      <c r="E33" s="179">
        <f t="shared" si="9"/>
        <v>10</v>
      </c>
      <c r="F33" s="186">
        <v>33.6</v>
      </c>
      <c r="G33" s="186">
        <f t="shared" si="7"/>
        <v>33.201999999999998</v>
      </c>
      <c r="H33" s="187" t="str">
        <f t="shared" si="2"/>
        <v>IN</v>
      </c>
      <c r="I33" s="265">
        <f t="shared" si="4"/>
        <v>369.69600000000003</v>
      </c>
      <c r="J33" s="265">
        <f t="shared" si="5"/>
        <v>10965.183999999999</v>
      </c>
      <c r="K33" s="269">
        <f t="shared" si="3"/>
        <v>92.80569751566081</v>
      </c>
      <c r="L33" s="431">
        <v>0</v>
      </c>
      <c r="M33" s="447"/>
      <c r="N33" s="447"/>
      <c r="O33" s="506"/>
      <c r="P33" s="507"/>
      <c r="Q33" s="507"/>
      <c r="S33" s="223" t="s">
        <v>91</v>
      </c>
      <c r="T33" s="224">
        <v>3.67</v>
      </c>
    </row>
    <row r="34" spans="2:20" s="11" customFormat="1" ht="13.35" customHeight="1" thickBot="1">
      <c r="B34" s="185">
        <f t="shared" si="8"/>
        <v>11</v>
      </c>
      <c r="C34" s="185"/>
      <c r="D34" s="186">
        <v>7</v>
      </c>
      <c r="E34" s="179">
        <f t="shared" si="9"/>
        <v>11</v>
      </c>
      <c r="F34" s="186">
        <v>32.21</v>
      </c>
      <c r="G34" s="186">
        <f t="shared" si="7"/>
        <v>31.812000000000001</v>
      </c>
      <c r="H34" s="187" t="str">
        <f t="shared" si="2"/>
        <v>IN</v>
      </c>
      <c r="I34" s="265">
        <f t="shared" si="4"/>
        <v>401.50800000000004</v>
      </c>
      <c r="J34" s="265">
        <f t="shared" si="5"/>
        <v>10933.371999999999</v>
      </c>
      <c r="K34" s="269">
        <f t="shared" si="3"/>
        <v>93.477370591291063</v>
      </c>
      <c r="L34" s="431">
        <v>0</v>
      </c>
      <c r="M34" s="604"/>
      <c r="N34" s="604"/>
      <c r="O34" s="13"/>
      <c r="S34" s="223" t="s">
        <v>92</v>
      </c>
      <c r="T34" s="225">
        <v>15.97</v>
      </c>
    </row>
    <row r="35" spans="2:20" s="11" customFormat="1" ht="13.35" customHeight="1" thickBot="1">
      <c r="B35" s="185">
        <f t="shared" si="8"/>
        <v>12</v>
      </c>
      <c r="C35" s="185"/>
      <c r="D35" s="186">
        <v>7</v>
      </c>
      <c r="E35" s="179">
        <f t="shared" si="9"/>
        <v>12</v>
      </c>
      <c r="F35" s="186">
        <v>33.07</v>
      </c>
      <c r="G35" s="186">
        <f t="shared" si="7"/>
        <v>32.671999999999997</v>
      </c>
      <c r="H35" s="187" t="str">
        <f t="shared" si="2"/>
        <v>IN</v>
      </c>
      <c r="I35" s="265">
        <f t="shared" si="4"/>
        <v>434.18000000000006</v>
      </c>
      <c r="J35" s="265">
        <f t="shared" si="5"/>
        <v>10900.699999999999</v>
      </c>
      <c r="K35" s="269">
        <f t="shared" si="3"/>
        <v>94.167201558441562</v>
      </c>
      <c r="L35" s="431">
        <v>0</v>
      </c>
      <c r="M35" s="478"/>
      <c r="N35" s="479"/>
      <c r="O35" s="13"/>
      <c r="S35" s="223" t="s">
        <v>93</v>
      </c>
      <c r="T35" s="224">
        <v>11.17</v>
      </c>
    </row>
    <row r="36" spans="2:20" s="11" customFormat="1" ht="13.35" customHeight="1">
      <c r="B36" s="185">
        <f t="shared" si="8"/>
        <v>13</v>
      </c>
      <c r="C36" s="185"/>
      <c r="D36" s="186">
        <v>7</v>
      </c>
      <c r="E36" s="179">
        <f t="shared" si="9"/>
        <v>13</v>
      </c>
      <c r="F36" s="186">
        <v>33.130000000000003</v>
      </c>
      <c r="G36" s="186">
        <f t="shared" si="7"/>
        <v>32.731999999999999</v>
      </c>
      <c r="H36" s="187" t="str">
        <f t="shared" si="2"/>
        <v>IN</v>
      </c>
      <c r="I36" s="265">
        <f t="shared" si="4"/>
        <v>466.91200000000003</v>
      </c>
      <c r="J36" s="265">
        <f t="shared" si="5"/>
        <v>10867.967999999999</v>
      </c>
      <c r="K36" s="269">
        <f t="shared" si="3"/>
        <v>94.858299355233001</v>
      </c>
      <c r="L36" s="431">
        <v>0</v>
      </c>
      <c r="M36" s="478"/>
      <c r="N36" s="479"/>
      <c r="O36" s="13"/>
      <c r="S36" s="233"/>
      <c r="T36" s="232"/>
    </row>
    <row r="37" spans="2:20" s="11" customFormat="1" ht="13.35" customHeight="1">
      <c r="B37" s="185">
        <f t="shared" si="8"/>
        <v>14</v>
      </c>
      <c r="C37" s="185"/>
      <c r="D37" s="186">
        <v>7</v>
      </c>
      <c r="E37" s="179">
        <f t="shared" si="9"/>
        <v>14</v>
      </c>
      <c r="F37" s="186">
        <v>32.21</v>
      </c>
      <c r="G37" s="186">
        <f t="shared" si="7"/>
        <v>31.812000000000001</v>
      </c>
      <c r="H37" s="187" t="str">
        <f t="shared" si="2"/>
        <v>IN</v>
      </c>
      <c r="I37" s="265">
        <f t="shared" si="4"/>
        <v>498.72400000000005</v>
      </c>
      <c r="J37" s="265">
        <f t="shared" si="5"/>
        <v>10836.155999999999</v>
      </c>
      <c r="K37" s="269">
        <f t="shared" si="3"/>
        <v>95.529972430863253</v>
      </c>
      <c r="L37" s="431">
        <v>0</v>
      </c>
      <c r="M37" s="478"/>
      <c r="N37" s="479"/>
      <c r="O37" s="13"/>
      <c r="Q37"/>
    </row>
    <row r="38" spans="2:20" s="11" customFormat="1" ht="13.35" customHeight="1">
      <c r="B38" s="185">
        <f t="shared" si="8"/>
        <v>15</v>
      </c>
      <c r="C38" s="185"/>
      <c r="D38" s="186">
        <v>7</v>
      </c>
      <c r="E38" s="179">
        <f t="shared" si="9"/>
        <v>15</v>
      </c>
      <c r="F38" s="186">
        <v>33.43</v>
      </c>
      <c r="G38" s="186">
        <f t="shared" si="7"/>
        <v>33.031999999999996</v>
      </c>
      <c r="H38" s="187" t="str">
        <f t="shared" si="2"/>
        <v>IN</v>
      </c>
      <c r="I38" s="265">
        <f t="shared" si="4"/>
        <v>531.75600000000009</v>
      </c>
      <c r="J38" s="265">
        <f t="shared" si="5"/>
        <v>10803.124</v>
      </c>
      <c r="K38" s="269">
        <f t="shared" si="3"/>
        <v>96.227404375859436</v>
      </c>
      <c r="L38" s="431">
        <v>0</v>
      </c>
      <c r="M38" s="478"/>
      <c r="N38" s="479"/>
      <c r="O38" s="13"/>
      <c r="Q38"/>
    </row>
    <row r="39" spans="2:20" s="11" customFormat="1" ht="13.35" customHeight="1">
      <c r="B39" s="185">
        <f t="shared" si="8"/>
        <v>16</v>
      </c>
      <c r="C39" s="185"/>
      <c r="D39" s="186">
        <v>7</v>
      </c>
      <c r="E39" s="179">
        <f t="shared" si="9"/>
        <v>16</v>
      </c>
      <c r="F39" s="186">
        <v>33.200000000000003</v>
      </c>
      <c r="G39" s="186">
        <f t="shared" si="7"/>
        <v>32.802</v>
      </c>
      <c r="H39" s="187" t="str">
        <f t="shared" si="2"/>
        <v>IN</v>
      </c>
      <c r="I39" s="265">
        <f t="shared" si="4"/>
        <v>564.55800000000011</v>
      </c>
      <c r="J39" s="265">
        <f t="shared" si="5"/>
        <v>10770.321999999998</v>
      </c>
      <c r="K39" s="269">
        <f t="shared" si="3"/>
        <v>96.919980140565315</v>
      </c>
      <c r="L39" s="431">
        <v>0</v>
      </c>
      <c r="M39" s="478"/>
      <c r="N39" s="479"/>
      <c r="O39" s="13"/>
    </row>
    <row r="40" spans="2:20" s="11" customFormat="1" ht="13.35" customHeight="1">
      <c r="B40" s="185">
        <f t="shared" si="8"/>
        <v>17</v>
      </c>
      <c r="C40" s="185"/>
      <c r="D40" s="186">
        <v>7</v>
      </c>
      <c r="E40" s="179">
        <f t="shared" si="9"/>
        <v>17</v>
      </c>
      <c r="F40" s="186">
        <v>31.86</v>
      </c>
      <c r="G40" s="186">
        <f t="shared" si="7"/>
        <v>31.462</v>
      </c>
      <c r="H40" s="187" t="str">
        <f t="shared" si="2"/>
        <v>IN</v>
      </c>
      <c r="I40" s="265">
        <f t="shared" si="4"/>
        <v>596.0200000000001</v>
      </c>
      <c r="J40" s="265">
        <f t="shared" si="5"/>
        <v>10738.859999999999</v>
      </c>
      <c r="K40" s="269">
        <f t="shared" si="3"/>
        <v>97.584263376623383</v>
      </c>
      <c r="L40" s="431">
        <v>0</v>
      </c>
      <c r="M40" s="597"/>
      <c r="N40" s="597"/>
      <c r="O40" s="13"/>
    </row>
    <row r="41" spans="2:20" s="11" customFormat="1" ht="13.35" customHeight="1" thickBot="1">
      <c r="B41" s="185">
        <f t="shared" si="8"/>
        <v>18</v>
      </c>
      <c r="C41" s="185"/>
      <c r="D41" s="186">
        <v>7</v>
      </c>
      <c r="E41" s="179">
        <f t="shared" si="9"/>
        <v>18</v>
      </c>
      <c r="F41" s="186">
        <v>33.58</v>
      </c>
      <c r="G41" s="186">
        <f t="shared" si="7"/>
        <v>33.181999999999995</v>
      </c>
      <c r="H41" s="187" t="str">
        <f t="shared" si="2"/>
        <v>IN</v>
      </c>
      <c r="I41" s="265">
        <f t="shared" si="4"/>
        <v>629.20200000000011</v>
      </c>
      <c r="J41" s="265">
        <f t="shared" si="5"/>
        <v>10705.678</v>
      </c>
      <c r="K41" s="269">
        <f t="shared" si="3"/>
        <v>98.28486239572193</v>
      </c>
      <c r="L41" s="431">
        <v>0</v>
      </c>
      <c r="M41" s="444"/>
      <c r="N41" s="444"/>
      <c r="O41" s="13"/>
    </row>
    <row r="42" spans="2:20" s="11" customFormat="1" ht="13.35" customHeight="1">
      <c r="B42" s="185">
        <f t="shared" si="8"/>
        <v>19</v>
      </c>
      <c r="C42" s="185"/>
      <c r="D42" s="186">
        <v>7</v>
      </c>
      <c r="E42" s="179">
        <f t="shared" si="9"/>
        <v>19</v>
      </c>
      <c r="F42" s="186">
        <v>33.200000000000003</v>
      </c>
      <c r="G42" s="186">
        <f t="shared" si="7"/>
        <v>32.802</v>
      </c>
      <c r="H42" s="187" t="str">
        <f t="shared" si="2"/>
        <v>IN</v>
      </c>
      <c r="I42" s="265">
        <f t="shared" si="4"/>
        <v>662.00400000000013</v>
      </c>
      <c r="J42" s="265">
        <f t="shared" si="5"/>
        <v>10672.875999999998</v>
      </c>
      <c r="K42" s="269">
        <f t="shared" si="3"/>
        <v>98.977438160427809</v>
      </c>
      <c r="L42" s="431">
        <v>0</v>
      </c>
      <c r="M42" s="459" t="s">
        <v>101</v>
      </c>
      <c r="N42" s="460"/>
      <c r="O42" s="13"/>
      <c r="R42"/>
    </row>
    <row r="43" spans="2:20" s="11" customFormat="1" ht="13.35" customHeight="1" thickBot="1">
      <c r="B43" s="185">
        <f t="shared" si="8"/>
        <v>20</v>
      </c>
      <c r="C43" s="185"/>
      <c r="D43" s="186">
        <v>7</v>
      </c>
      <c r="E43" s="179">
        <f t="shared" si="9"/>
        <v>20</v>
      </c>
      <c r="F43" s="186">
        <v>32.61</v>
      </c>
      <c r="G43" s="186">
        <f t="shared" si="7"/>
        <v>32.211999999999996</v>
      </c>
      <c r="H43" s="187" t="str">
        <f t="shared" si="2"/>
        <v>IN</v>
      </c>
      <c r="I43" s="265">
        <f t="shared" si="4"/>
        <v>694.21600000000012</v>
      </c>
      <c r="J43" s="265">
        <f t="shared" si="5"/>
        <v>10640.663999999999</v>
      </c>
      <c r="K43" s="269">
        <f t="shared" si="3"/>
        <v>99.657556766997715</v>
      </c>
      <c r="L43" s="431">
        <v>0</v>
      </c>
      <c r="M43" s="461" t="s">
        <v>102</v>
      </c>
      <c r="N43" s="462"/>
      <c r="O43" s="13"/>
    </row>
    <row r="44" spans="2:20" s="11" customFormat="1" ht="13.35" customHeight="1">
      <c r="B44" s="185">
        <f t="shared" si="8"/>
        <v>21</v>
      </c>
      <c r="C44" s="185"/>
      <c r="D44" s="186">
        <v>7</v>
      </c>
      <c r="E44" s="179">
        <f t="shared" si="9"/>
        <v>21</v>
      </c>
      <c r="F44" s="186">
        <v>33.950000000000003</v>
      </c>
      <c r="G44" s="186">
        <f t="shared" si="7"/>
        <v>33.552</v>
      </c>
      <c r="H44" s="187" t="str">
        <f t="shared" si="2"/>
        <v>IN</v>
      </c>
      <c r="I44" s="265">
        <f t="shared" si="4"/>
        <v>727.76800000000014</v>
      </c>
      <c r="J44" s="265">
        <f t="shared" si="5"/>
        <v>10607.111999999999</v>
      </c>
      <c r="K44" s="269">
        <f t="shared" si="3"/>
        <v>100.36596790221543</v>
      </c>
      <c r="L44" s="431">
        <v>0</v>
      </c>
      <c r="M44" s="444"/>
      <c r="N44" s="444"/>
      <c r="O44" s="13"/>
    </row>
    <row r="45" spans="2:20" s="11" customFormat="1" ht="13.35" customHeight="1">
      <c r="B45" s="185">
        <f t="shared" si="8"/>
        <v>22</v>
      </c>
      <c r="C45" s="185"/>
      <c r="D45" s="186">
        <v>7</v>
      </c>
      <c r="E45" s="179">
        <f t="shared" si="9"/>
        <v>22</v>
      </c>
      <c r="F45" s="186">
        <v>33.89</v>
      </c>
      <c r="G45" s="186">
        <f t="shared" si="7"/>
        <v>33.491999999999997</v>
      </c>
      <c r="H45" s="187" t="str">
        <f t="shared" si="2"/>
        <v>IN</v>
      </c>
      <c r="I45" s="265">
        <f t="shared" si="4"/>
        <v>761.2600000000001</v>
      </c>
      <c r="J45" s="265">
        <f t="shared" si="5"/>
        <v>10573.619999999999</v>
      </c>
      <c r="K45" s="269">
        <f t="shared" si="3"/>
        <v>101.07311220779221</v>
      </c>
      <c r="L45" s="431">
        <v>0</v>
      </c>
      <c r="M45" s="444"/>
      <c r="N45" s="444"/>
      <c r="O45" s="13"/>
    </row>
    <row r="46" spans="2:20" s="11" customFormat="1" ht="13.35" customHeight="1">
      <c r="B46" s="185">
        <f t="shared" si="8"/>
        <v>23</v>
      </c>
      <c r="C46" s="185"/>
      <c r="D46" s="186">
        <v>7</v>
      </c>
      <c r="E46" s="179">
        <f t="shared" si="9"/>
        <v>23</v>
      </c>
      <c r="F46" s="186">
        <v>33.25</v>
      </c>
      <c r="G46" s="186">
        <f t="shared" si="7"/>
        <v>32.851999999999997</v>
      </c>
      <c r="H46" s="187" t="str">
        <f t="shared" si="2"/>
        <v>IN</v>
      </c>
      <c r="I46" s="265">
        <f t="shared" si="4"/>
        <v>794.11200000000008</v>
      </c>
      <c r="J46" s="265">
        <f t="shared" si="5"/>
        <v>10540.768</v>
      </c>
      <c r="K46" s="269">
        <f t="shared" si="3"/>
        <v>101.76674366386555</v>
      </c>
      <c r="L46" s="431">
        <v>0</v>
      </c>
      <c r="M46" s="444"/>
      <c r="N46" s="444"/>
      <c r="O46" s="13"/>
    </row>
    <row r="47" spans="2:20" s="11" customFormat="1" ht="13.35" customHeight="1">
      <c r="B47" s="185">
        <f t="shared" si="8"/>
        <v>24</v>
      </c>
      <c r="C47" s="185"/>
      <c r="D47" s="186">
        <v>7</v>
      </c>
      <c r="E47" s="179">
        <f t="shared" si="9"/>
        <v>24</v>
      </c>
      <c r="F47" s="186">
        <v>33.53</v>
      </c>
      <c r="G47" s="186">
        <f t="shared" si="7"/>
        <v>33.131999999999998</v>
      </c>
      <c r="H47" s="187" t="str">
        <f t="shared" si="2"/>
        <v>IN</v>
      </c>
      <c r="I47" s="265">
        <f t="shared" si="4"/>
        <v>827.24400000000003</v>
      </c>
      <c r="J47" s="265">
        <f t="shared" si="5"/>
        <v>10507.635999999999</v>
      </c>
      <c r="K47" s="269">
        <f t="shared" si="3"/>
        <v>102.46628699159663</v>
      </c>
      <c r="L47" s="431">
        <v>0</v>
      </c>
      <c r="M47" s="444"/>
      <c r="N47" s="444"/>
      <c r="O47" s="13"/>
    </row>
    <row r="48" spans="2:20" s="11" customFormat="1" ht="13.35" customHeight="1">
      <c r="B48" s="185">
        <f t="shared" si="8"/>
        <v>25</v>
      </c>
      <c r="C48" s="185"/>
      <c r="D48" s="186">
        <v>7</v>
      </c>
      <c r="E48" s="179">
        <f t="shared" si="9"/>
        <v>25</v>
      </c>
      <c r="F48" s="186">
        <v>33.950000000000003</v>
      </c>
      <c r="G48" s="186">
        <f t="shared" si="7"/>
        <v>33.552</v>
      </c>
      <c r="H48" s="187" t="str">
        <f t="shared" si="2"/>
        <v>IN</v>
      </c>
      <c r="I48" s="265">
        <f t="shared" si="4"/>
        <v>860.79600000000005</v>
      </c>
      <c r="J48" s="265">
        <f t="shared" si="5"/>
        <v>10474.083999999999</v>
      </c>
      <c r="K48" s="269">
        <f t="shared" si="3"/>
        <v>103.17469812681436</v>
      </c>
      <c r="L48" s="431">
        <v>0</v>
      </c>
      <c r="M48" s="444"/>
      <c r="N48" s="444"/>
      <c r="O48" s="13"/>
    </row>
    <row r="49" spans="2:15" s="11" customFormat="1" ht="13.35" customHeight="1">
      <c r="B49" s="185">
        <f t="shared" si="8"/>
        <v>26</v>
      </c>
      <c r="C49" s="185"/>
      <c r="D49" s="186">
        <v>7</v>
      </c>
      <c r="E49" s="179">
        <f t="shared" si="9"/>
        <v>26</v>
      </c>
      <c r="F49" s="186">
        <v>32.79</v>
      </c>
      <c r="G49" s="186">
        <f t="shared" si="7"/>
        <v>32.391999999999996</v>
      </c>
      <c r="H49" s="187" t="str">
        <f t="shared" si="2"/>
        <v>IN</v>
      </c>
      <c r="I49" s="265">
        <f t="shared" si="4"/>
        <v>893.1880000000001</v>
      </c>
      <c r="J49" s="265">
        <f t="shared" si="5"/>
        <v>10441.691999999999</v>
      </c>
      <c r="K49" s="269">
        <f t="shared" si="3"/>
        <v>103.8586172223071</v>
      </c>
      <c r="L49" s="431">
        <v>0</v>
      </c>
      <c r="M49" s="444"/>
      <c r="N49" s="444"/>
      <c r="O49" s="13"/>
    </row>
    <row r="50" spans="2:15" s="11" customFormat="1" ht="13.35" customHeight="1">
      <c r="B50" s="185">
        <f t="shared" si="8"/>
        <v>27</v>
      </c>
      <c r="C50" s="185"/>
      <c r="D50" s="186">
        <v>7</v>
      </c>
      <c r="E50" s="179">
        <f t="shared" si="9"/>
        <v>27</v>
      </c>
      <c r="F50" s="186">
        <v>33.96</v>
      </c>
      <c r="G50" s="186">
        <f t="shared" si="7"/>
        <v>33.561999999999998</v>
      </c>
      <c r="H50" s="187" t="str">
        <f t="shared" si="2"/>
        <v>IN</v>
      </c>
      <c r="I50" s="265">
        <f t="shared" si="4"/>
        <v>926.75000000000011</v>
      </c>
      <c r="J50" s="265">
        <f t="shared" si="5"/>
        <v>10408.129999999999</v>
      </c>
      <c r="K50" s="269">
        <f t="shared" si="3"/>
        <v>104.56723949579832</v>
      </c>
      <c r="L50" s="431">
        <v>0</v>
      </c>
      <c r="M50" s="444"/>
      <c r="N50" s="444"/>
      <c r="O50" s="13"/>
    </row>
    <row r="51" spans="2:15" s="11" customFormat="1" ht="13.35" customHeight="1">
      <c r="B51" s="185">
        <f t="shared" si="8"/>
        <v>28</v>
      </c>
      <c r="C51" s="185"/>
      <c r="D51" s="186">
        <v>7</v>
      </c>
      <c r="E51" s="179">
        <f t="shared" si="9"/>
        <v>28</v>
      </c>
      <c r="F51" s="186">
        <v>33.380000000000003</v>
      </c>
      <c r="G51" s="186">
        <f t="shared" si="7"/>
        <v>32.981999999999999</v>
      </c>
      <c r="H51" s="187" t="str">
        <f t="shared" si="2"/>
        <v>IN</v>
      </c>
      <c r="I51" s="265">
        <f t="shared" si="4"/>
        <v>959.73200000000008</v>
      </c>
      <c r="J51" s="265">
        <f t="shared" si="5"/>
        <v>10375.147999999999</v>
      </c>
      <c r="K51" s="269">
        <f t="shared" si="3"/>
        <v>105.26361574942705</v>
      </c>
      <c r="L51" s="431">
        <v>0</v>
      </c>
      <c r="M51" s="444"/>
      <c r="N51" s="444"/>
      <c r="O51" s="13"/>
    </row>
    <row r="52" spans="2:15" s="11" customFormat="1" ht="13.35" customHeight="1">
      <c r="B52" s="185">
        <f t="shared" si="8"/>
        <v>29</v>
      </c>
      <c r="C52" s="185"/>
      <c r="D52" s="186">
        <v>7</v>
      </c>
      <c r="E52" s="179">
        <f t="shared" si="9"/>
        <v>29</v>
      </c>
      <c r="F52" s="186">
        <v>33.03</v>
      </c>
      <c r="G52" s="186">
        <f t="shared" si="7"/>
        <v>32.631999999999998</v>
      </c>
      <c r="H52" s="187" t="str">
        <f t="shared" si="2"/>
        <v>IN</v>
      </c>
      <c r="I52" s="265">
        <f t="shared" si="4"/>
        <v>992.36400000000003</v>
      </c>
      <c r="J52" s="265">
        <f t="shared" si="5"/>
        <v>10342.516</v>
      </c>
      <c r="K52" s="269">
        <f t="shared" si="3"/>
        <v>105.95260216348358</v>
      </c>
      <c r="L52" s="431">
        <v>0</v>
      </c>
      <c r="M52" s="444"/>
      <c r="N52" s="444"/>
      <c r="O52" s="13"/>
    </row>
    <row r="53" spans="2:15" s="11" customFormat="1" ht="13.35" customHeight="1">
      <c r="B53" s="185">
        <f t="shared" si="8"/>
        <v>30</v>
      </c>
      <c r="C53" s="185"/>
      <c r="D53" s="186">
        <v>7</v>
      </c>
      <c r="E53" s="179">
        <f t="shared" si="9"/>
        <v>30</v>
      </c>
      <c r="F53" s="186">
        <v>33.93</v>
      </c>
      <c r="G53" s="186">
        <f t="shared" si="7"/>
        <v>33.531999999999996</v>
      </c>
      <c r="H53" s="187" t="str">
        <f t="shared" si="2"/>
        <v>IN</v>
      </c>
      <c r="I53" s="265">
        <f t="shared" si="4"/>
        <v>1025.896</v>
      </c>
      <c r="J53" s="265">
        <f t="shared" si="5"/>
        <v>10308.983999999999</v>
      </c>
      <c r="K53" s="269">
        <f t="shared" si="3"/>
        <v>106.66059102215432</v>
      </c>
      <c r="L53" s="431">
        <v>0</v>
      </c>
      <c r="M53" s="444"/>
      <c r="N53" s="444"/>
      <c r="O53" s="13"/>
    </row>
    <row r="54" spans="2:15" s="11" customFormat="1" ht="13.35" customHeight="1">
      <c r="B54" s="185">
        <f t="shared" si="8"/>
        <v>31</v>
      </c>
      <c r="C54" s="185"/>
      <c r="D54" s="186">
        <v>7</v>
      </c>
      <c r="E54" s="179">
        <f t="shared" si="9"/>
        <v>31</v>
      </c>
      <c r="F54" s="186">
        <v>33.03</v>
      </c>
      <c r="G54" s="186">
        <f t="shared" si="7"/>
        <v>32.631999999999998</v>
      </c>
      <c r="H54" s="187" t="str">
        <f t="shared" si="2"/>
        <v>IN</v>
      </c>
      <c r="I54" s="265">
        <f t="shared" si="4"/>
        <v>1058.528</v>
      </c>
      <c r="J54" s="265">
        <f t="shared" si="5"/>
        <v>10276.351999999999</v>
      </c>
      <c r="K54" s="269">
        <f t="shared" si="3"/>
        <v>107.34957743621085</v>
      </c>
      <c r="L54" s="431">
        <v>0</v>
      </c>
      <c r="M54" s="444"/>
      <c r="N54" s="444"/>
      <c r="O54" s="13"/>
    </row>
    <row r="55" spans="2:15" s="11" customFormat="1" ht="13.35" customHeight="1">
      <c r="B55" s="185">
        <f t="shared" si="8"/>
        <v>32</v>
      </c>
      <c r="C55" s="185"/>
      <c r="D55" s="186">
        <v>7</v>
      </c>
      <c r="E55" s="179">
        <f t="shared" si="9"/>
        <v>32</v>
      </c>
      <c r="F55" s="186">
        <v>33.61</v>
      </c>
      <c r="G55" s="186">
        <f t="shared" si="7"/>
        <v>33.211999999999996</v>
      </c>
      <c r="H55" s="187" t="str">
        <f t="shared" si="2"/>
        <v>IN</v>
      </c>
      <c r="I55" s="265">
        <f t="shared" si="4"/>
        <v>1091.74</v>
      </c>
      <c r="J55" s="265">
        <f t="shared" si="5"/>
        <v>10243.14</v>
      </c>
      <c r="K55" s="269">
        <f t="shared" si="3"/>
        <v>108.05080987012988</v>
      </c>
      <c r="L55" s="431">
        <v>0</v>
      </c>
      <c r="M55" s="444"/>
      <c r="N55" s="444"/>
      <c r="O55" s="13"/>
    </row>
    <row r="56" spans="2:15" s="11" customFormat="1" ht="13.35" customHeight="1">
      <c r="B56" s="185">
        <f t="shared" si="8"/>
        <v>33</v>
      </c>
      <c r="C56" s="185"/>
      <c r="D56" s="186">
        <v>7</v>
      </c>
      <c r="E56" s="179">
        <f t="shared" si="9"/>
        <v>33</v>
      </c>
      <c r="F56" s="186">
        <v>33.6</v>
      </c>
      <c r="G56" s="186">
        <f t="shared" si="7"/>
        <v>33.201999999999998</v>
      </c>
      <c r="H56" s="187" t="str">
        <f t="shared" si="2"/>
        <v>IN</v>
      </c>
      <c r="I56" s="265">
        <f t="shared" si="4"/>
        <v>1124.942</v>
      </c>
      <c r="J56" s="265">
        <f t="shared" si="5"/>
        <v>10209.937999999998</v>
      </c>
      <c r="K56" s="269">
        <f t="shared" si="3"/>
        <v>108.7518311657754</v>
      </c>
      <c r="L56" s="431">
        <v>0</v>
      </c>
      <c r="M56" s="444"/>
      <c r="N56" s="444"/>
      <c r="O56" s="13"/>
    </row>
    <row r="57" spans="2:15" s="11" customFormat="1" ht="13.35" customHeight="1">
      <c r="B57" s="185">
        <f t="shared" si="8"/>
        <v>34</v>
      </c>
      <c r="C57" s="185"/>
      <c r="D57" s="186">
        <v>7</v>
      </c>
      <c r="E57" s="179">
        <f t="shared" si="9"/>
        <v>34</v>
      </c>
      <c r="F57" s="186">
        <v>33.28</v>
      </c>
      <c r="G57" s="186">
        <f t="shared" si="7"/>
        <v>32.881999999999998</v>
      </c>
      <c r="H57" s="187" t="str">
        <f t="shared" si="2"/>
        <v>IN</v>
      </c>
      <c r="I57" s="265">
        <f t="shared" si="4"/>
        <v>1157.8240000000001</v>
      </c>
      <c r="J57" s="265">
        <f t="shared" si="5"/>
        <v>10177.055999999999</v>
      </c>
      <c r="K57" s="269">
        <f t="shared" si="3"/>
        <v>109.44609603666922</v>
      </c>
      <c r="L57" s="431">
        <v>0</v>
      </c>
      <c r="M57" s="444"/>
      <c r="N57" s="444"/>
      <c r="O57" s="13"/>
    </row>
    <row r="58" spans="2:15" s="11" customFormat="1" ht="13.35" customHeight="1">
      <c r="B58" s="185">
        <f t="shared" si="8"/>
        <v>35</v>
      </c>
      <c r="C58" s="185"/>
      <c r="D58" s="186">
        <v>7</v>
      </c>
      <c r="E58" s="179">
        <f t="shared" si="9"/>
        <v>35</v>
      </c>
      <c r="F58" s="186">
        <v>33.03</v>
      </c>
      <c r="G58" s="186">
        <f t="shared" si="7"/>
        <v>32.631999999999998</v>
      </c>
      <c r="H58" s="187" t="str">
        <f t="shared" si="2"/>
        <v>IN</v>
      </c>
      <c r="I58" s="265">
        <f t="shared" si="4"/>
        <v>1190.4560000000001</v>
      </c>
      <c r="J58" s="265">
        <f t="shared" si="5"/>
        <v>10144.423999999999</v>
      </c>
      <c r="K58" s="269">
        <f t="shared" si="3"/>
        <v>110.13508245072575</v>
      </c>
      <c r="L58" s="431">
        <v>0</v>
      </c>
      <c r="M58" s="444"/>
      <c r="N58" s="444"/>
      <c r="O58" s="13"/>
    </row>
    <row r="59" spans="2:15" s="11" customFormat="1" ht="13.35" customHeight="1">
      <c r="B59" s="185">
        <f t="shared" si="8"/>
        <v>36</v>
      </c>
      <c r="C59" s="185"/>
      <c r="D59" s="186">
        <v>7</v>
      </c>
      <c r="E59" s="179">
        <f t="shared" si="9"/>
        <v>36</v>
      </c>
      <c r="F59" s="186">
        <v>33.51</v>
      </c>
      <c r="G59" s="186">
        <f t="shared" si="7"/>
        <v>33.111999999999995</v>
      </c>
      <c r="H59" s="187" t="str">
        <f t="shared" si="2"/>
        <v>IN</v>
      </c>
      <c r="I59" s="265">
        <f t="shared" si="4"/>
        <v>1223.5680000000002</v>
      </c>
      <c r="J59" s="265">
        <f t="shared" si="5"/>
        <v>10111.311999999998</v>
      </c>
      <c r="K59" s="269">
        <f t="shared" si="3"/>
        <v>110.83420350190985</v>
      </c>
      <c r="L59" s="431">
        <v>0</v>
      </c>
      <c r="M59" s="444"/>
      <c r="N59" s="444"/>
      <c r="O59" s="13"/>
    </row>
    <row r="60" spans="2:15" s="11" customFormat="1" ht="13.35" customHeight="1">
      <c r="B60" s="185">
        <f t="shared" si="8"/>
        <v>37</v>
      </c>
      <c r="C60" s="185"/>
      <c r="D60" s="186">
        <v>7</v>
      </c>
      <c r="E60" s="179">
        <f t="shared" si="9"/>
        <v>37</v>
      </c>
      <c r="F60" s="186">
        <v>33.950000000000003</v>
      </c>
      <c r="G60" s="186">
        <f t="shared" si="7"/>
        <v>33.552</v>
      </c>
      <c r="H60" s="187" t="str">
        <f t="shared" si="2"/>
        <v>IN</v>
      </c>
      <c r="I60" s="265">
        <f t="shared" si="4"/>
        <v>1257.1200000000001</v>
      </c>
      <c r="J60" s="265">
        <f t="shared" si="5"/>
        <v>10077.759999999998</v>
      </c>
      <c r="K60" s="269">
        <f t="shared" si="3"/>
        <v>111.54261463712758</v>
      </c>
      <c r="L60" s="431">
        <v>0</v>
      </c>
      <c r="M60" s="444"/>
      <c r="N60" s="444"/>
      <c r="O60" s="13"/>
    </row>
    <row r="61" spans="2:15" s="11" customFormat="1" ht="13.35" customHeight="1">
      <c r="B61" s="185">
        <f t="shared" si="8"/>
        <v>38</v>
      </c>
      <c r="C61" s="185"/>
      <c r="D61" s="186">
        <v>7</v>
      </c>
      <c r="E61" s="179">
        <f t="shared" si="9"/>
        <v>38</v>
      </c>
      <c r="F61" s="186">
        <v>33.96</v>
      </c>
      <c r="G61" s="186">
        <f t="shared" si="7"/>
        <v>33.561999999999998</v>
      </c>
      <c r="H61" s="187" t="str">
        <f t="shared" si="2"/>
        <v>IN</v>
      </c>
      <c r="I61" s="265">
        <f t="shared" si="4"/>
        <v>1290.682</v>
      </c>
      <c r="J61" s="265">
        <f t="shared" si="5"/>
        <v>10044.197999999999</v>
      </c>
      <c r="K61" s="269">
        <f t="shared" si="3"/>
        <v>112.2512369106188</v>
      </c>
      <c r="L61" s="431">
        <v>0</v>
      </c>
      <c r="M61" s="274" t="s">
        <v>185</v>
      </c>
      <c r="N61" s="405"/>
      <c r="O61" s="13"/>
    </row>
    <row r="62" spans="2:15" s="11" customFormat="1" ht="13.35" customHeight="1">
      <c r="B62" s="185">
        <f t="shared" si="8"/>
        <v>39</v>
      </c>
      <c r="C62" s="185"/>
      <c r="D62" s="186">
        <v>7</v>
      </c>
      <c r="E62" s="179">
        <f t="shared" si="9"/>
        <v>39</v>
      </c>
      <c r="F62" s="186">
        <v>33.96</v>
      </c>
      <c r="G62" s="186">
        <f t="shared" si="7"/>
        <v>33.561999999999998</v>
      </c>
      <c r="H62" s="187" t="str">
        <f t="shared" si="2"/>
        <v>IN</v>
      </c>
      <c r="I62" s="265">
        <f t="shared" si="4"/>
        <v>1324.2439999999999</v>
      </c>
      <c r="J62" s="265">
        <f t="shared" si="5"/>
        <v>10010.635999999999</v>
      </c>
      <c r="K62" s="269">
        <f t="shared" si="3"/>
        <v>112.95985918411</v>
      </c>
      <c r="L62" s="431">
        <v>0</v>
      </c>
      <c r="M62" s="275" t="s">
        <v>139</v>
      </c>
      <c r="N62" s="406"/>
      <c r="O62" s="13"/>
    </row>
    <row r="63" spans="2:15" s="11" customFormat="1" ht="13.35" customHeight="1">
      <c r="B63" s="185">
        <f t="shared" si="8"/>
        <v>40</v>
      </c>
      <c r="C63" s="185"/>
      <c r="D63" s="186">
        <v>7</v>
      </c>
      <c r="E63" s="179">
        <f t="shared" si="9"/>
        <v>40</v>
      </c>
      <c r="F63" s="186">
        <v>33.96</v>
      </c>
      <c r="G63" s="186">
        <f t="shared" si="7"/>
        <v>33.561999999999998</v>
      </c>
      <c r="H63" s="187" t="str">
        <f t="shared" si="2"/>
        <v>IN</v>
      </c>
      <c r="I63" s="265">
        <f t="shared" si="4"/>
        <v>1357.8059999999998</v>
      </c>
      <c r="J63" s="265">
        <f t="shared" si="5"/>
        <v>9977.0739999999987</v>
      </c>
      <c r="K63" s="269">
        <f t="shared" si="3"/>
        <v>113.66848145760122</v>
      </c>
      <c r="L63" s="431">
        <v>0</v>
      </c>
      <c r="M63" s="275"/>
      <c r="N63" s="406"/>
      <c r="O63" s="13"/>
    </row>
    <row r="64" spans="2:15" s="11" customFormat="1" ht="13.35" customHeight="1">
      <c r="B64" s="185">
        <f t="shared" si="8"/>
        <v>41</v>
      </c>
      <c r="C64" s="185"/>
      <c r="D64" s="186">
        <v>7</v>
      </c>
      <c r="E64" s="179">
        <f t="shared" si="9"/>
        <v>41</v>
      </c>
      <c r="F64" s="186">
        <v>33.71</v>
      </c>
      <c r="G64" s="186">
        <f t="shared" si="7"/>
        <v>33.311999999999998</v>
      </c>
      <c r="H64" s="187" t="str">
        <f t="shared" si="2"/>
        <v>IN</v>
      </c>
      <c r="I64" s="265">
        <f t="shared" si="4"/>
        <v>1391.1179999999997</v>
      </c>
      <c r="J64" s="265">
        <f t="shared" si="5"/>
        <v>9943.7619999999988</v>
      </c>
      <c r="K64" s="269">
        <f t="shared" si="3"/>
        <v>114.37182527425514</v>
      </c>
      <c r="L64" s="431">
        <v>0</v>
      </c>
      <c r="M64" s="475"/>
      <c r="N64" s="475"/>
      <c r="O64" s="13"/>
    </row>
    <row r="65" spans="2:15" s="11" customFormat="1" ht="13.35" customHeight="1">
      <c r="B65" s="185">
        <f t="shared" si="8"/>
        <v>42</v>
      </c>
      <c r="C65" s="185"/>
      <c r="D65" s="186">
        <v>7</v>
      </c>
      <c r="E65" s="179">
        <f t="shared" si="9"/>
        <v>42</v>
      </c>
      <c r="F65" s="186">
        <v>33.96</v>
      </c>
      <c r="G65" s="186">
        <f t="shared" si="7"/>
        <v>33.561999999999998</v>
      </c>
      <c r="H65" s="187" t="str">
        <f t="shared" si="2"/>
        <v>IN</v>
      </c>
      <c r="I65" s="265">
        <f t="shared" si="4"/>
        <v>1424.6799999999996</v>
      </c>
      <c r="J65" s="265">
        <f t="shared" si="5"/>
        <v>9910.1999999999989</v>
      </c>
      <c r="K65" s="269">
        <f t="shared" si="3"/>
        <v>115.08044754774636</v>
      </c>
      <c r="L65" s="431">
        <v>0</v>
      </c>
      <c r="M65" s="272"/>
      <c r="N65" s="273"/>
      <c r="O65" s="13"/>
    </row>
    <row r="66" spans="2:15" s="11" customFormat="1" ht="13.35" customHeight="1">
      <c r="B66" s="185">
        <f t="shared" si="8"/>
        <v>43</v>
      </c>
      <c r="C66" s="185"/>
      <c r="D66" s="186">
        <v>7</v>
      </c>
      <c r="E66" s="179">
        <f t="shared" si="9"/>
        <v>43</v>
      </c>
      <c r="F66" s="186">
        <v>33.96</v>
      </c>
      <c r="G66" s="186">
        <f t="shared" si="7"/>
        <v>33.561999999999998</v>
      </c>
      <c r="H66" s="187" t="str">
        <f t="shared" si="2"/>
        <v>IN</v>
      </c>
      <c r="I66" s="265">
        <f t="shared" si="4"/>
        <v>1458.2419999999995</v>
      </c>
      <c r="J66" s="265">
        <f t="shared" si="5"/>
        <v>9876.637999999999</v>
      </c>
      <c r="K66" s="269">
        <f t="shared" si="3"/>
        <v>115.78906982123758</v>
      </c>
      <c r="L66" s="431">
        <v>0</v>
      </c>
      <c r="M66" s="444"/>
      <c r="N66" s="444"/>
      <c r="O66" s="13"/>
    </row>
    <row r="67" spans="2:15" s="11" customFormat="1" ht="13.35" customHeight="1">
      <c r="B67" s="185">
        <f t="shared" si="8"/>
        <v>44</v>
      </c>
      <c r="C67" s="185"/>
      <c r="D67" s="186">
        <v>7</v>
      </c>
      <c r="E67" s="179">
        <f t="shared" si="9"/>
        <v>44</v>
      </c>
      <c r="F67" s="186">
        <v>32.369999999999997</v>
      </c>
      <c r="G67" s="186">
        <f t="shared" si="7"/>
        <v>31.971999999999998</v>
      </c>
      <c r="H67" s="187" t="str">
        <f t="shared" si="2"/>
        <v>IN</v>
      </c>
      <c r="I67" s="265">
        <f t="shared" si="4"/>
        <v>1490.2139999999995</v>
      </c>
      <c r="J67" s="265">
        <f t="shared" si="5"/>
        <v>9844.6659999999993</v>
      </c>
      <c r="K67" s="269">
        <f t="shared" si="3"/>
        <v>116.46412110924368</v>
      </c>
      <c r="L67" s="431">
        <v>0</v>
      </c>
      <c r="M67" s="444"/>
      <c r="N67" s="444"/>
      <c r="O67" s="13"/>
    </row>
    <row r="68" spans="2:15" s="11" customFormat="1" ht="13.35" customHeight="1">
      <c r="B68" s="185">
        <f t="shared" si="8"/>
        <v>45</v>
      </c>
      <c r="C68" s="185"/>
      <c r="D68" s="186">
        <v>7</v>
      </c>
      <c r="E68" s="179">
        <f t="shared" si="9"/>
        <v>45</v>
      </c>
      <c r="F68" s="186">
        <v>33.96</v>
      </c>
      <c r="G68" s="186">
        <f t="shared" si="7"/>
        <v>33.561999999999998</v>
      </c>
      <c r="H68" s="187" t="str">
        <f t="shared" si="2"/>
        <v>IN</v>
      </c>
      <c r="I68" s="265">
        <f t="shared" si="4"/>
        <v>1523.7759999999994</v>
      </c>
      <c r="J68" s="265">
        <f t="shared" si="5"/>
        <v>9811.1039999999994</v>
      </c>
      <c r="K68" s="269">
        <f t="shared" si="3"/>
        <v>117.17274338273489</v>
      </c>
      <c r="L68" s="431">
        <v>0</v>
      </c>
      <c r="M68" s="444"/>
      <c r="N68" s="444"/>
      <c r="O68" s="13"/>
    </row>
    <row r="69" spans="2:15" s="11" customFormat="1" ht="13.35" customHeight="1">
      <c r="B69" s="185">
        <f t="shared" si="8"/>
        <v>46</v>
      </c>
      <c r="C69" s="185"/>
      <c r="D69" s="186">
        <v>7</v>
      </c>
      <c r="E69" s="179">
        <f t="shared" si="9"/>
        <v>46</v>
      </c>
      <c r="F69" s="186">
        <v>33.42</v>
      </c>
      <c r="G69" s="186">
        <f t="shared" si="7"/>
        <v>33.021999999999998</v>
      </c>
      <c r="H69" s="187" t="str">
        <f t="shared" si="2"/>
        <v>IN</v>
      </c>
      <c r="I69" s="265">
        <f t="shared" si="4"/>
        <v>1556.7979999999993</v>
      </c>
      <c r="J69" s="265">
        <f t="shared" si="5"/>
        <v>9778.0820000000003</v>
      </c>
      <c r="K69" s="269">
        <f t="shared" si="3"/>
        <v>117.86996418945759</v>
      </c>
      <c r="L69" s="431">
        <v>0</v>
      </c>
      <c r="M69" s="444"/>
      <c r="N69" s="444"/>
      <c r="O69" s="13"/>
    </row>
    <row r="70" spans="2:15" s="11" customFormat="1" ht="13.35" customHeight="1">
      <c r="B70" s="185">
        <f t="shared" si="8"/>
        <v>47</v>
      </c>
      <c r="C70" s="185"/>
      <c r="D70" s="186">
        <v>7</v>
      </c>
      <c r="E70" s="179">
        <f t="shared" si="9"/>
        <v>47</v>
      </c>
      <c r="F70" s="186">
        <v>33.57</v>
      </c>
      <c r="G70" s="186">
        <f t="shared" si="7"/>
        <v>33.171999999999997</v>
      </c>
      <c r="H70" s="187" t="str">
        <f t="shared" si="2"/>
        <v>IN</v>
      </c>
      <c r="I70" s="265">
        <f t="shared" si="4"/>
        <v>1589.9699999999993</v>
      </c>
      <c r="J70" s="265">
        <f t="shared" si="5"/>
        <v>9744.91</v>
      </c>
      <c r="K70" s="269">
        <f t="shared" si="3"/>
        <v>118.57035207028265</v>
      </c>
      <c r="L70" s="431">
        <v>0</v>
      </c>
      <c r="M70" s="447"/>
      <c r="N70" s="447"/>
      <c r="O70" s="13"/>
    </row>
    <row r="71" spans="2:15" s="11" customFormat="1" ht="13.35" customHeight="1">
      <c r="B71" s="185">
        <f t="shared" si="8"/>
        <v>48</v>
      </c>
      <c r="C71" s="185"/>
      <c r="D71" s="186">
        <v>7</v>
      </c>
      <c r="E71" s="179">
        <f t="shared" si="9"/>
        <v>48</v>
      </c>
      <c r="F71" s="186">
        <v>33.96</v>
      </c>
      <c r="G71" s="186">
        <f t="shared" si="7"/>
        <v>33.561999999999998</v>
      </c>
      <c r="H71" s="187" t="str">
        <f t="shared" si="2"/>
        <v>IN</v>
      </c>
      <c r="I71" s="265">
        <f t="shared" si="4"/>
        <v>1623.5319999999992</v>
      </c>
      <c r="J71" s="265">
        <f t="shared" si="5"/>
        <v>9711.348</v>
      </c>
      <c r="K71" s="269">
        <f t="shared" si="3"/>
        <v>119.27897434377385</v>
      </c>
      <c r="L71" s="431">
        <v>0</v>
      </c>
      <c r="M71" s="447"/>
      <c r="N71" s="447"/>
      <c r="O71" s="13"/>
    </row>
    <row r="72" spans="2:15" s="11" customFormat="1" ht="13.35" customHeight="1">
      <c r="B72" s="185">
        <f t="shared" si="8"/>
        <v>49</v>
      </c>
      <c r="C72" s="185"/>
      <c r="D72" s="186">
        <v>7</v>
      </c>
      <c r="E72" s="179">
        <f t="shared" si="9"/>
        <v>49</v>
      </c>
      <c r="F72" s="186">
        <v>33.700000000000003</v>
      </c>
      <c r="G72" s="186">
        <f t="shared" si="7"/>
        <v>33.302</v>
      </c>
      <c r="H72" s="187" t="str">
        <f t="shared" si="2"/>
        <v>IN</v>
      </c>
      <c r="I72" s="265">
        <f t="shared" si="4"/>
        <v>1656.8339999999992</v>
      </c>
      <c r="J72" s="265">
        <f t="shared" si="5"/>
        <v>9678.0460000000003</v>
      </c>
      <c r="K72" s="269">
        <f t="shared" si="3"/>
        <v>119.9821070221543</v>
      </c>
      <c r="L72" s="431">
        <v>0</v>
      </c>
      <c r="M72" s="447"/>
      <c r="N72" s="447"/>
      <c r="O72" s="13"/>
    </row>
    <row r="73" spans="2:15" s="11" customFormat="1" ht="13.35" customHeight="1">
      <c r="B73" s="185">
        <f t="shared" si="8"/>
        <v>50</v>
      </c>
      <c r="C73" s="185"/>
      <c r="D73" s="186">
        <v>7</v>
      </c>
      <c r="E73" s="179">
        <f t="shared" si="9"/>
        <v>50</v>
      </c>
      <c r="F73" s="186">
        <v>33.590000000000003</v>
      </c>
      <c r="G73" s="186">
        <f t="shared" si="7"/>
        <v>33.192</v>
      </c>
      <c r="H73" s="187" t="str">
        <f t="shared" si="2"/>
        <v>IN</v>
      </c>
      <c r="I73" s="265">
        <f t="shared" si="4"/>
        <v>1690.0259999999992</v>
      </c>
      <c r="J73" s="265">
        <f t="shared" si="5"/>
        <v>9644.8539999999994</v>
      </c>
      <c r="K73" s="269">
        <f t="shared" si="3"/>
        <v>120.68291717952634</v>
      </c>
      <c r="L73" s="431">
        <v>0</v>
      </c>
      <c r="M73" s="447"/>
      <c r="N73" s="447"/>
      <c r="O73" s="13"/>
    </row>
    <row r="74" spans="2:15" s="11" customFormat="1" ht="13.35" customHeight="1">
      <c r="B74" s="185">
        <f t="shared" si="8"/>
        <v>51</v>
      </c>
      <c r="C74" s="185"/>
      <c r="D74" s="186">
        <v>7</v>
      </c>
      <c r="E74" s="179">
        <f t="shared" si="9"/>
        <v>51</v>
      </c>
      <c r="F74" s="186">
        <v>33.67</v>
      </c>
      <c r="G74" s="186">
        <f t="shared" si="7"/>
        <v>33.271999999999998</v>
      </c>
      <c r="H74" s="187" t="str">
        <f t="shared" si="2"/>
        <v>IN</v>
      </c>
      <c r="I74" s="265">
        <f t="shared" si="4"/>
        <v>1723.2979999999991</v>
      </c>
      <c r="J74" s="265">
        <f t="shared" si="5"/>
        <v>9611.5820000000003</v>
      </c>
      <c r="K74" s="269">
        <f t="shared" si="3"/>
        <v>121.38541644308631</v>
      </c>
      <c r="L74" s="431">
        <v>0</v>
      </c>
      <c r="M74" s="447"/>
      <c r="N74" s="447"/>
      <c r="O74" s="13"/>
    </row>
    <row r="75" spans="2:15" s="11" customFormat="1" ht="13.35" customHeight="1">
      <c r="B75" s="185">
        <f t="shared" si="8"/>
        <v>52</v>
      </c>
      <c r="C75" s="185"/>
      <c r="D75" s="186">
        <v>7</v>
      </c>
      <c r="E75" s="179">
        <f t="shared" si="9"/>
        <v>52</v>
      </c>
      <c r="F75" s="186">
        <v>33.590000000000003</v>
      </c>
      <c r="G75" s="186">
        <f t="shared" si="7"/>
        <v>33.192</v>
      </c>
      <c r="H75" s="187" t="str">
        <f t="shared" si="2"/>
        <v>IN</v>
      </c>
      <c r="I75" s="265">
        <f t="shared" si="4"/>
        <v>1756.4899999999991</v>
      </c>
      <c r="J75" s="265">
        <f t="shared" si="5"/>
        <v>9578.39</v>
      </c>
      <c r="K75" s="269">
        <f t="shared" si="3"/>
        <v>122.08622660045836</v>
      </c>
      <c r="L75" s="431">
        <v>0</v>
      </c>
      <c r="M75" s="474"/>
      <c r="N75" s="474"/>
      <c r="O75" s="13"/>
    </row>
    <row r="76" spans="2:15" s="11" customFormat="1" ht="13.35" customHeight="1">
      <c r="B76" s="185">
        <f t="shared" si="8"/>
        <v>53</v>
      </c>
      <c r="C76" s="185"/>
      <c r="D76" s="186">
        <v>7</v>
      </c>
      <c r="E76" s="179">
        <f t="shared" si="9"/>
        <v>53</v>
      </c>
      <c r="F76" s="186">
        <v>33.49</v>
      </c>
      <c r="G76" s="186">
        <f t="shared" si="7"/>
        <v>33.091999999999999</v>
      </c>
      <c r="H76" s="187" t="str">
        <f t="shared" si="2"/>
        <v>IN</v>
      </c>
      <c r="I76" s="265">
        <f t="shared" si="4"/>
        <v>1789.5819999999992</v>
      </c>
      <c r="J76" s="265">
        <f t="shared" si="5"/>
        <v>9545.2980000000007</v>
      </c>
      <c r="K76" s="269">
        <f t="shared" si="3"/>
        <v>122.78492537509547</v>
      </c>
      <c r="L76" s="431">
        <v>0</v>
      </c>
      <c r="M76" s="447"/>
      <c r="N76" s="447"/>
      <c r="O76" s="13"/>
    </row>
    <row r="77" spans="2:15" s="11" customFormat="1" ht="13.35" customHeight="1">
      <c r="B77" s="185">
        <f t="shared" si="8"/>
        <v>54</v>
      </c>
      <c r="C77" s="185"/>
      <c r="D77" s="186">
        <v>7</v>
      </c>
      <c r="E77" s="179">
        <f t="shared" si="9"/>
        <v>54</v>
      </c>
      <c r="F77" s="186">
        <v>33.96</v>
      </c>
      <c r="G77" s="186">
        <f t="shared" si="7"/>
        <v>33.561999999999998</v>
      </c>
      <c r="H77" s="187" t="str">
        <f t="shared" si="2"/>
        <v>IN</v>
      </c>
      <c r="I77" s="265">
        <f t="shared" si="4"/>
        <v>1823.1439999999991</v>
      </c>
      <c r="J77" s="265">
        <f t="shared" si="5"/>
        <v>9511.7360000000008</v>
      </c>
      <c r="K77" s="269">
        <f t="shared" si="3"/>
        <v>123.49354764858668</v>
      </c>
      <c r="L77" s="431">
        <v>0</v>
      </c>
      <c r="M77" s="447"/>
      <c r="N77" s="447"/>
      <c r="O77" s="13"/>
    </row>
    <row r="78" spans="2:15" s="11" customFormat="1" ht="13.35" customHeight="1">
      <c r="B78" s="188">
        <f t="shared" si="8"/>
        <v>55</v>
      </c>
      <c r="C78" s="188"/>
      <c r="D78" s="265">
        <v>7</v>
      </c>
      <c r="E78" s="179">
        <f t="shared" si="9"/>
        <v>55</v>
      </c>
      <c r="F78" s="186">
        <v>33.950000000000003</v>
      </c>
      <c r="G78" s="186">
        <f t="shared" si="7"/>
        <v>33.552</v>
      </c>
      <c r="H78" s="187" t="str">
        <f t="shared" si="2"/>
        <v>IN</v>
      </c>
      <c r="I78" s="265">
        <f t="shared" si="4"/>
        <v>1856.695999999999</v>
      </c>
      <c r="J78" s="265">
        <f t="shared" si="5"/>
        <v>9478.1840000000011</v>
      </c>
      <c r="K78" s="269">
        <f t="shared" si="3"/>
        <v>124.2019587838044</v>
      </c>
      <c r="L78" s="431">
        <v>0</v>
      </c>
      <c r="M78" s="447"/>
      <c r="N78" s="447"/>
      <c r="O78" s="13"/>
    </row>
    <row r="79" spans="2:15" s="11" customFormat="1" ht="13.35" customHeight="1">
      <c r="B79" s="185">
        <f t="shared" si="8"/>
        <v>56</v>
      </c>
      <c r="C79" s="185"/>
      <c r="D79" s="186">
        <v>7</v>
      </c>
      <c r="E79" s="179">
        <f t="shared" si="9"/>
        <v>56</v>
      </c>
      <c r="F79" s="186">
        <v>33.83</v>
      </c>
      <c r="G79" s="186">
        <f t="shared" si="7"/>
        <v>33.431999999999995</v>
      </c>
      <c r="H79" s="187" t="str">
        <f t="shared" si="2"/>
        <v>IN</v>
      </c>
      <c r="I79" s="265">
        <f t="shared" si="4"/>
        <v>1890.127999999999</v>
      </c>
      <c r="J79" s="265">
        <f t="shared" si="5"/>
        <v>9444.7520000000004</v>
      </c>
      <c r="K79" s="269">
        <f t="shared" si="3"/>
        <v>124.90783625974024</v>
      </c>
      <c r="L79" s="431">
        <v>0</v>
      </c>
      <c r="M79" s="447"/>
      <c r="N79" s="447"/>
      <c r="O79" s="13"/>
    </row>
    <row r="80" spans="2:15" s="11" customFormat="1" ht="13.35" customHeight="1">
      <c r="B80" s="185">
        <f t="shared" si="8"/>
        <v>57</v>
      </c>
      <c r="C80" s="185"/>
      <c r="D80" s="186">
        <v>7</v>
      </c>
      <c r="E80" s="179">
        <f t="shared" si="9"/>
        <v>57</v>
      </c>
      <c r="F80" s="186">
        <v>33.950000000000003</v>
      </c>
      <c r="G80" s="186">
        <f t="shared" si="7"/>
        <v>33.552</v>
      </c>
      <c r="H80" s="187" t="str">
        <f t="shared" si="2"/>
        <v>IN</v>
      </c>
      <c r="I80" s="265">
        <f t="shared" si="4"/>
        <v>1923.6799999999989</v>
      </c>
      <c r="J80" s="265">
        <f t="shared" si="5"/>
        <v>9411.2000000000007</v>
      </c>
      <c r="K80" s="269">
        <f t="shared" si="3"/>
        <v>125.61624739495797</v>
      </c>
      <c r="L80" s="431">
        <v>0</v>
      </c>
      <c r="M80" s="447"/>
      <c r="N80" s="447"/>
      <c r="O80" s="13"/>
    </row>
    <row r="81" spans="2:15" s="11" customFormat="1" ht="13.35" customHeight="1">
      <c r="B81" s="185">
        <f t="shared" si="8"/>
        <v>58</v>
      </c>
      <c r="C81" s="185"/>
      <c r="D81" s="186">
        <v>7</v>
      </c>
      <c r="E81" s="179">
        <f t="shared" si="9"/>
        <v>58</v>
      </c>
      <c r="F81" s="186">
        <v>33.22</v>
      </c>
      <c r="G81" s="186">
        <f t="shared" si="7"/>
        <v>32.821999999999996</v>
      </c>
      <c r="H81" s="187" t="str">
        <f t="shared" ref="H81:H144" si="10">IF(F81="","OUT","IN")</f>
        <v>IN</v>
      </c>
      <c r="I81" s="265">
        <f t="shared" si="4"/>
        <v>1956.5019999999988</v>
      </c>
      <c r="J81" s="265">
        <f t="shared" si="5"/>
        <v>9378.3780000000006</v>
      </c>
      <c r="K81" s="269">
        <f t="shared" si="3"/>
        <v>126.30924543621083</v>
      </c>
      <c r="L81" s="431">
        <v>0</v>
      </c>
      <c r="M81" s="447"/>
      <c r="N81" s="447"/>
      <c r="O81" s="13"/>
    </row>
    <row r="82" spans="2:15" s="11" customFormat="1" ht="13.35" customHeight="1">
      <c r="B82" s="185">
        <f t="shared" si="8"/>
        <v>59</v>
      </c>
      <c r="C82" s="185"/>
      <c r="D82" s="186">
        <v>7</v>
      </c>
      <c r="E82" s="179">
        <f t="shared" si="9"/>
        <v>59</v>
      </c>
      <c r="F82" s="186">
        <v>33.96</v>
      </c>
      <c r="G82" s="186">
        <f t="shared" si="7"/>
        <v>33.561999999999998</v>
      </c>
      <c r="H82" s="187" t="str">
        <f t="shared" si="10"/>
        <v>IN</v>
      </c>
      <c r="I82" s="265">
        <f t="shared" si="4"/>
        <v>1990.0639999999987</v>
      </c>
      <c r="J82" s="265">
        <f t="shared" si="5"/>
        <v>9344.8160000000007</v>
      </c>
      <c r="K82" s="269">
        <f t="shared" ref="K82:K145" si="11">$H$9+(I82*$E$10*$H$11/1000)</f>
        <v>127.01786770970205</v>
      </c>
      <c r="L82" s="431">
        <v>0</v>
      </c>
      <c r="M82" s="444"/>
      <c r="N82" s="444"/>
      <c r="O82" s="13"/>
    </row>
    <row r="83" spans="2:15" s="11" customFormat="1" ht="13.35" customHeight="1">
      <c r="B83" s="185">
        <f t="shared" si="8"/>
        <v>60</v>
      </c>
      <c r="C83" s="185"/>
      <c r="D83" s="186">
        <v>7</v>
      </c>
      <c r="E83" s="179">
        <f t="shared" si="9"/>
        <v>60</v>
      </c>
      <c r="F83" s="186">
        <v>33.96</v>
      </c>
      <c r="G83" s="186">
        <f t="shared" si="7"/>
        <v>33.561999999999998</v>
      </c>
      <c r="H83" s="187" t="str">
        <f t="shared" si="10"/>
        <v>IN</v>
      </c>
      <c r="I83" s="265">
        <f t="shared" ref="I83:I146" si="12">IF(H83="IN",I82+G83,I82)</f>
        <v>2023.6259999999986</v>
      </c>
      <c r="J83" s="265">
        <f t="shared" ref="J83:J146" si="13">IF(I83="","",$M$9-I83)</f>
        <v>9311.2540000000008</v>
      </c>
      <c r="K83" s="269">
        <f t="shared" si="11"/>
        <v>127.72648998319325</v>
      </c>
      <c r="L83" s="431">
        <v>0</v>
      </c>
      <c r="M83" s="447"/>
      <c r="N83" s="447"/>
      <c r="O83" s="13"/>
    </row>
    <row r="84" spans="2:15" s="11" customFormat="1" ht="13.35" customHeight="1">
      <c r="B84" s="185">
        <f t="shared" si="8"/>
        <v>61</v>
      </c>
      <c r="C84" s="185"/>
      <c r="D84" s="186">
        <v>7</v>
      </c>
      <c r="E84" s="179">
        <f t="shared" si="9"/>
        <v>61</v>
      </c>
      <c r="F84" s="186">
        <v>33.950000000000003</v>
      </c>
      <c r="G84" s="186">
        <f t="shared" si="7"/>
        <v>33.552</v>
      </c>
      <c r="H84" s="187" t="str">
        <f t="shared" si="10"/>
        <v>IN</v>
      </c>
      <c r="I84" s="265">
        <f t="shared" si="12"/>
        <v>2057.1779999999985</v>
      </c>
      <c r="J84" s="265">
        <f t="shared" si="13"/>
        <v>9277.7020000000011</v>
      </c>
      <c r="K84" s="269">
        <f t="shared" si="11"/>
        <v>128.43490111841098</v>
      </c>
      <c r="L84" s="431">
        <v>0</v>
      </c>
      <c r="M84" s="447"/>
      <c r="N84" s="447"/>
      <c r="O84" s="13"/>
    </row>
    <row r="85" spans="2:15" s="11" customFormat="1" ht="13.35" customHeight="1">
      <c r="B85" s="185">
        <f t="shared" si="8"/>
        <v>62</v>
      </c>
      <c r="C85" s="185"/>
      <c r="D85" s="186">
        <v>7</v>
      </c>
      <c r="E85" s="179">
        <f t="shared" si="9"/>
        <v>62</v>
      </c>
      <c r="F85" s="186">
        <v>32.14</v>
      </c>
      <c r="G85" s="186">
        <f t="shared" si="7"/>
        <v>31.742000000000001</v>
      </c>
      <c r="H85" s="187" t="str">
        <f t="shared" si="10"/>
        <v>IN</v>
      </c>
      <c r="I85" s="265">
        <f t="shared" si="12"/>
        <v>2088.9199999999987</v>
      </c>
      <c r="J85" s="265">
        <f t="shared" si="13"/>
        <v>9245.9600000000009</v>
      </c>
      <c r="K85" s="269">
        <f t="shared" si="11"/>
        <v>129.10509622612679</v>
      </c>
      <c r="L85" s="431">
        <v>0</v>
      </c>
      <c r="M85" s="447"/>
      <c r="N85" s="447"/>
      <c r="O85" s="13"/>
    </row>
    <row r="86" spans="2:15" s="11" customFormat="1" ht="13.35" customHeight="1">
      <c r="B86" s="185">
        <f t="shared" si="8"/>
        <v>63</v>
      </c>
      <c r="C86" s="185"/>
      <c r="D86" s="186">
        <v>7</v>
      </c>
      <c r="E86" s="179">
        <f t="shared" si="9"/>
        <v>63</v>
      </c>
      <c r="F86" s="186">
        <v>33.96</v>
      </c>
      <c r="G86" s="186">
        <f t="shared" si="7"/>
        <v>33.561999999999998</v>
      </c>
      <c r="H86" s="187" t="str">
        <f t="shared" si="10"/>
        <v>IN</v>
      </c>
      <c r="I86" s="265">
        <f t="shared" si="12"/>
        <v>2122.4819999999986</v>
      </c>
      <c r="J86" s="265">
        <f t="shared" si="13"/>
        <v>9212.398000000001</v>
      </c>
      <c r="K86" s="269">
        <f t="shared" si="11"/>
        <v>129.81371849961801</v>
      </c>
      <c r="L86" s="431">
        <v>0</v>
      </c>
      <c r="M86" s="447"/>
      <c r="N86" s="447"/>
      <c r="O86" s="13"/>
    </row>
    <row r="87" spans="2:15" s="11" customFormat="1" ht="13.35" customHeight="1">
      <c r="B87" s="185">
        <f t="shared" si="8"/>
        <v>64</v>
      </c>
      <c r="C87" s="185"/>
      <c r="D87" s="186">
        <v>7</v>
      </c>
      <c r="E87" s="179">
        <f t="shared" si="9"/>
        <v>64</v>
      </c>
      <c r="F87" s="186">
        <v>33.950000000000003</v>
      </c>
      <c r="G87" s="186">
        <f t="shared" si="7"/>
        <v>33.552</v>
      </c>
      <c r="H87" s="187" t="str">
        <f t="shared" si="10"/>
        <v>IN</v>
      </c>
      <c r="I87" s="265">
        <f t="shared" si="12"/>
        <v>2156.0339999999987</v>
      </c>
      <c r="J87" s="265">
        <f t="shared" si="13"/>
        <v>9178.8460000000014</v>
      </c>
      <c r="K87" s="269">
        <f t="shared" si="11"/>
        <v>130.52212963483572</v>
      </c>
      <c r="L87" s="431">
        <v>0</v>
      </c>
      <c r="M87" s="447"/>
      <c r="N87" s="447"/>
      <c r="O87" s="13"/>
    </row>
    <row r="88" spans="2:15" s="11" customFormat="1" ht="13.35" customHeight="1">
      <c r="B88" s="185">
        <f t="shared" si="8"/>
        <v>65</v>
      </c>
      <c r="C88" s="185"/>
      <c r="D88" s="186">
        <v>7</v>
      </c>
      <c r="E88" s="179">
        <f t="shared" si="9"/>
        <v>65</v>
      </c>
      <c r="F88" s="186">
        <v>33.950000000000003</v>
      </c>
      <c r="G88" s="186">
        <f t="shared" si="7"/>
        <v>33.552</v>
      </c>
      <c r="H88" s="187" t="str">
        <f t="shared" si="10"/>
        <v>IN</v>
      </c>
      <c r="I88" s="265">
        <f t="shared" si="12"/>
        <v>2189.5859999999989</v>
      </c>
      <c r="J88" s="265">
        <f t="shared" si="13"/>
        <v>9145.2939999999999</v>
      </c>
      <c r="K88" s="269">
        <f t="shared" si="11"/>
        <v>131.23054077005344</v>
      </c>
      <c r="L88" s="431">
        <v>0</v>
      </c>
      <c r="M88" s="447"/>
      <c r="N88" s="447"/>
      <c r="O88" s="13"/>
    </row>
    <row r="89" spans="2:15" s="11" customFormat="1" ht="13.35" customHeight="1">
      <c r="B89" s="185">
        <f t="shared" si="8"/>
        <v>66</v>
      </c>
      <c r="C89" s="185"/>
      <c r="D89" s="186">
        <v>7</v>
      </c>
      <c r="E89" s="179">
        <f t="shared" si="9"/>
        <v>66</v>
      </c>
      <c r="F89" s="186">
        <v>33.950000000000003</v>
      </c>
      <c r="G89" s="186">
        <f t="shared" ref="G89:G152" si="14">F89-($E$12)</f>
        <v>33.552</v>
      </c>
      <c r="H89" s="187" t="str">
        <f t="shared" si="10"/>
        <v>IN</v>
      </c>
      <c r="I89" s="265">
        <f t="shared" si="12"/>
        <v>2223.137999999999</v>
      </c>
      <c r="J89" s="265">
        <f t="shared" si="13"/>
        <v>9111.7420000000002</v>
      </c>
      <c r="K89" s="269">
        <f t="shared" si="11"/>
        <v>131.93895190527118</v>
      </c>
      <c r="L89" s="431">
        <v>0</v>
      </c>
      <c r="M89" s="447"/>
      <c r="N89" s="447"/>
      <c r="O89" s="13"/>
    </row>
    <row r="90" spans="2:15" s="11" customFormat="1" ht="13.35" customHeight="1">
      <c r="B90" s="185">
        <f t="shared" si="8"/>
        <v>67</v>
      </c>
      <c r="C90" s="185"/>
      <c r="D90" s="186">
        <v>7</v>
      </c>
      <c r="E90" s="179">
        <f t="shared" si="9"/>
        <v>67</v>
      </c>
      <c r="F90" s="186">
        <v>33.950000000000003</v>
      </c>
      <c r="G90" s="186">
        <f t="shared" si="14"/>
        <v>33.552</v>
      </c>
      <c r="H90" s="187" t="str">
        <f t="shared" si="10"/>
        <v>IN</v>
      </c>
      <c r="I90" s="265">
        <f t="shared" si="12"/>
        <v>2256.6899999999991</v>
      </c>
      <c r="J90" s="265">
        <f t="shared" si="13"/>
        <v>9078.19</v>
      </c>
      <c r="K90" s="269">
        <f t="shared" si="11"/>
        <v>132.64736304048893</v>
      </c>
      <c r="L90" s="431">
        <v>0</v>
      </c>
      <c r="M90" s="447"/>
      <c r="N90" s="447"/>
      <c r="O90" s="13"/>
    </row>
    <row r="91" spans="2:15" s="11" customFormat="1" ht="13.35" customHeight="1">
      <c r="B91" s="185">
        <f t="shared" ref="B91:B154" si="15">B90+1</f>
        <v>68</v>
      </c>
      <c r="C91" s="185"/>
      <c r="D91" s="186">
        <v>7</v>
      </c>
      <c r="E91" s="179">
        <f t="shared" si="9"/>
        <v>68</v>
      </c>
      <c r="F91" s="186">
        <v>32.82</v>
      </c>
      <c r="G91" s="186">
        <f t="shared" si="14"/>
        <v>32.421999999999997</v>
      </c>
      <c r="H91" s="187" t="str">
        <f t="shared" si="10"/>
        <v>IN</v>
      </c>
      <c r="I91" s="265">
        <f t="shared" si="12"/>
        <v>2289.1119999999992</v>
      </c>
      <c r="J91" s="265">
        <f t="shared" si="13"/>
        <v>9045.768</v>
      </c>
      <c r="K91" s="269">
        <f t="shared" si="11"/>
        <v>133.33191555080214</v>
      </c>
      <c r="L91" s="431">
        <v>0</v>
      </c>
      <c r="M91" s="447"/>
      <c r="N91" s="447"/>
      <c r="O91" s="13"/>
    </row>
    <row r="92" spans="2:15" s="11" customFormat="1" ht="13.35" customHeight="1">
      <c r="B92" s="185">
        <f t="shared" si="15"/>
        <v>69</v>
      </c>
      <c r="C92" s="185"/>
      <c r="D92" s="186">
        <v>7</v>
      </c>
      <c r="E92" s="179">
        <f t="shared" ref="E92:E155" si="16">E91+1</f>
        <v>69</v>
      </c>
      <c r="F92" s="186">
        <v>31.94</v>
      </c>
      <c r="G92" s="186">
        <f t="shared" si="14"/>
        <v>31.542000000000002</v>
      </c>
      <c r="H92" s="187" t="str">
        <f t="shared" si="10"/>
        <v>IN</v>
      </c>
      <c r="I92" s="265">
        <f t="shared" si="12"/>
        <v>2320.6539999999991</v>
      </c>
      <c r="J92" s="265">
        <f t="shared" si="13"/>
        <v>9014.2260000000006</v>
      </c>
      <c r="K92" s="269">
        <f t="shared" si="11"/>
        <v>133.99788789304813</v>
      </c>
      <c r="L92" s="431">
        <v>0</v>
      </c>
      <c r="M92" s="447"/>
      <c r="N92" s="447"/>
      <c r="O92" s="13"/>
    </row>
    <row r="93" spans="2:15" s="11" customFormat="1" ht="13.35" customHeight="1">
      <c r="B93" s="185">
        <f t="shared" si="15"/>
        <v>70</v>
      </c>
      <c r="C93" s="185"/>
      <c r="D93" s="186">
        <v>7</v>
      </c>
      <c r="E93" s="179">
        <f t="shared" si="16"/>
        <v>70</v>
      </c>
      <c r="F93" s="186">
        <v>33.950000000000003</v>
      </c>
      <c r="G93" s="186">
        <f t="shared" si="14"/>
        <v>33.552</v>
      </c>
      <c r="H93" s="187" t="str">
        <f t="shared" si="10"/>
        <v>IN</v>
      </c>
      <c r="I93" s="265">
        <f t="shared" si="12"/>
        <v>2354.2059999999992</v>
      </c>
      <c r="J93" s="265">
        <f t="shared" si="13"/>
        <v>8980.6739999999991</v>
      </c>
      <c r="K93" s="269">
        <f t="shared" si="11"/>
        <v>134.70629902826585</v>
      </c>
      <c r="L93" s="431">
        <v>0</v>
      </c>
      <c r="M93" s="447"/>
      <c r="N93" s="447"/>
      <c r="O93" s="13"/>
    </row>
    <row r="94" spans="2:15" s="11" customFormat="1" ht="13.35" customHeight="1">
      <c r="B94" s="185">
        <f t="shared" si="15"/>
        <v>71</v>
      </c>
      <c r="C94" s="185"/>
      <c r="D94" s="186">
        <v>7</v>
      </c>
      <c r="E94" s="179">
        <f t="shared" si="16"/>
        <v>71</v>
      </c>
      <c r="F94" s="186">
        <v>33.46</v>
      </c>
      <c r="G94" s="186">
        <f t="shared" si="14"/>
        <v>33.061999999999998</v>
      </c>
      <c r="H94" s="187" t="str">
        <f t="shared" si="10"/>
        <v>IN</v>
      </c>
      <c r="I94" s="265">
        <f t="shared" si="12"/>
        <v>2387.2679999999991</v>
      </c>
      <c r="J94" s="265">
        <f t="shared" si="13"/>
        <v>8947.612000000001</v>
      </c>
      <c r="K94" s="269">
        <f t="shared" si="11"/>
        <v>135.40436438808248</v>
      </c>
      <c r="L94" s="431">
        <v>0</v>
      </c>
      <c r="M94" s="447"/>
      <c r="N94" s="447"/>
      <c r="O94" s="13"/>
    </row>
    <row r="95" spans="2:15" s="11" customFormat="1" ht="13.35" customHeight="1">
      <c r="B95" s="185">
        <f t="shared" si="15"/>
        <v>72</v>
      </c>
      <c r="C95" s="188"/>
      <c r="D95" s="186">
        <v>7</v>
      </c>
      <c r="E95" s="179">
        <f t="shared" si="16"/>
        <v>72</v>
      </c>
      <c r="F95" s="186">
        <v>33.83</v>
      </c>
      <c r="G95" s="186">
        <f t="shared" si="14"/>
        <v>33.431999999999995</v>
      </c>
      <c r="H95" s="187" t="str">
        <f t="shared" si="10"/>
        <v>IN</v>
      </c>
      <c r="I95" s="265">
        <f t="shared" si="12"/>
        <v>2420.6999999999989</v>
      </c>
      <c r="J95" s="265">
        <f t="shared" si="13"/>
        <v>8914.18</v>
      </c>
      <c r="K95" s="269">
        <f t="shared" si="11"/>
        <v>136.11024186401829</v>
      </c>
      <c r="L95" s="431">
        <v>0</v>
      </c>
      <c r="M95" s="447"/>
      <c r="N95" s="447"/>
      <c r="O95" s="13"/>
    </row>
    <row r="96" spans="2:15" s="11" customFormat="1" ht="13.35" customHeight="1">
      <c r="B96" s="185">
        <f t="shared" si="15"/>
        <v>73</v>
      </c>
      <c r="C96" s="188"/>
      <c r="D96" s="186">
        <v>7</v>
      </c>
      <c r="E96" s="179">
        <f t="shared" si="16"/>
        <v>73</v>
      </c>
      <c r="F96" s="186">
        <v>33.24</v>
      </c>
      <c r="G96" s="186">
        <f t="shared" si="14"/>
        <v>32.841999999999999</v>
      </c>
      <c r="H96" s="187" t="str">
        <f t="shared" si="10"/>
        <v>IN</v>
      </c>
      <c r="I96" s="265">
        <f t="shared" si="12"/>
        <v>2453.541999999999</v>
      </c>
      <c r="J96" s="265">
        <f t="shared" si="13"/>
        <v>8881.3379999999997</v>
      </c>
      <c r="K96" s="269">
        <f t="shared" si="11"/>
        <v>136.80366218181817</v>
      </c>
      <c r="L96" s="431">
        <v>0</v>
      </c>
      <c r="M96" s="447"/>
      <c r="N96" s="447"/>
      <c r="O96" s="13"/>
    </row>
    <row r="97" spans="1:15" s="11" customFormat="1" ht="13.35" customHeight="1">
      <c r="B97" s="185">
        <f t="shared" si="15"/>
        <v>74</v>
      </c>
      <c r="C97" s="188"/>
      <c r="D97" s="186">
        <v>7</v>
      </c>
      <c r="E97" s="179">
        <f t="shared" si="16"/>
        <v>74</v>
      </c>
      <c r="F97" s="186">
        <v>32.729999999999997</v>
      </c>
      <c r="G97" s="186">
        <f t="shared" si="14"/>
        <v>32.331999999999994</v>
      </c>
      <c r="H97" s="187" t="str">
        <f t="shared" si="10"/>
        <v>IN</v>
      </c>
      <c r="I97" s="265">
        <f t="shared" si="12"/>
        <v>2485.8739999999989</v>
      </c>
      <c r="J97" s="265">
        <f t="shared" si="13"/>
        <v>8849.0060000000012</v>
      </c>
      <c r="K97" s="269">
        <f t="shared" si="11"/>
        <v>137.48631444766997</v>
      </c>
      <c r="L97" s="431">
        <v>0</v>
      </c>
      <c r="M97" s="447"/>
      <c r="N97" s="447"/>
      <c r="O97" s="13"/>
    </row>
    <row r="98" spans="1:15" s="11" customFormat="1" ht="13.35" customHeight="1">
      <c r="B98" s="185">
        <f t="shared" si="15"/>
        <v>75</v>
      </c>
      <c r="C98" s="188"/>
      <c r="D98" s="186">
        <v>7</v>
      </c>
      <c r="E98" s="179">
        <f t="shared" si="16"/>
        <v>75</v>
      </c>
      <c r="F98" s="186">
        <v>33.21</v>
      </c>
      <c r="G98" s="186">
        <f t="shared" si="14"/>
        <v>32.811999999999998</v>
      </c>
      <c r="H98" s="187" t="str">
        <f t="shared" si="10"/>
        <v>IN</v>
      </c>
      <c r="I98" s="265">
        <f t="shared" si="12"/>
        <v>2518.6859999999988</v>
      </c>
      <c r="J98" s="265">
        <f t="shared" si="13"/>
        <v>8816.1939999999995</v>
      </c>
      <c r="K98" s="269">
        <f t="shared" si="11"/>
        <v>138.17910135064932</v>
      </c>
      <c r="L98" s="431">
        <v>0</v>
      </c>
      <c r="M98" s="447"/>
      <c r="N98" s="447"/>
      <c r="O98" s="13"/>
    </row>
    <row r="99" spans="1:15" s="11" customFormat="1" ht="13.35" customHeight="1">
      <c r="A99" s="311"/>
      <c r="B99" s="188">
        <f t="shared" si="15"/>
        <v>76</v>
      </c>
      <c r="C99" s="188"/>
      <c r="D99" s="265">
        <v>7</v>
      </c>
      <c r="E99" s="312">
        <f t="shared" si="16"/>
        <v>76</v>
      </c>
      <c r="F99" s="186">
        <v>33.35</v>
      </c>
      <c r="G99" s="265">
        <f t="shared" si="14"/>
        <v>32.951999999999998</v>
      </c>
      <c r="H99" s="189" t="s">
        <v>110</v>
      </c>
      <c r="I99" s="265">
        <f t="shared" si="12"/>
        <v>2551.637999999999</v>
      </c>
      <c r="J99" s="265">
        <f t="shared" si="13"/>
        <v>8783.2420000000002</v>
      </c>
      <c r="K99" s="269">
        <f t="shared" si="11"/>
        <v>138.87484418945758</v>
      </c>
      <c r="L99" s="431">
        <v>0</v>
      </c>
      <c r="M99" s="447"/>
      <c r="N99" s="447"/>
      <c r="O99" s="13"/>
    </row>
    <row r="100" spans="1:15" s="11" customFormat="1">
      <c r="B100" s="185">
        <f t="shared" si="15"/>
        <v>77</v>
      </c>
      <c r="C100" s="188"/>
      <c r="D100" s="186">
        <v>7</v>
      </c>
      <c r="E100" s="179">
        <f t="shared" si="16"/>
        <v>77</v>
      </c>
      <c r="F100" s="186">
        <v>33.14</v>
      </c>
      <c r="G100" s="186">
        <f t="shared" si="14"/>
        <v>32.741999999999997</v>
      </c>
      <c r="H100" s="187" t="str">
        <f t="shared" si="10"/>
        <v>IN</v>
      </c>
      <c r="I100" s="265">
        <f t="shared" si="12"/>
        <v>2584.3799999999992</v>
      </c>
      <c r="J100" s="265">
        <f t="shared" si="13"/>
        <v>8750.5</v>
      </c>
      <c r="K100" s="269">
        <f t="shared" si="11"/>
        <v>139.56615312452251</v>
      </c>
      <c r="L100" s="431">
        <v>0</v>
      </c>
      <c r="M100" s="447"/>
      <c r="N100" s="447"/>
      <c r="O100" s="13"/>
    </row>
    <row r="101" spans="1:15" s="11" customFormat="1">
      <c r="B101" s="185">
        <f t="shared" si="15"/>
        <v>78</v>
      </c>
      <c r="C101" s="188"/>
      <c r="D101" s="186">
        <v>7</v>
      </c>
      <c r="E101" s="179">
        <f t="shared" si="16"/>
        <v>78</v>
      </c>
      <c r="F101" s="186">
        <v>33.29</v>
      </c>
      <c r="G101" s="186">
        <f t="shared" si="14"/>
        <v>32.891999999999996</v>
      </c>
      <c r="H101" s="187" t="str">
        <f t="shared" si="10"/>
        <v>IN</v>
      </c>
      <c r="I101" s="265">
        <f t="shared" si="12"/>
        <v>2617.271999999999</v>
      </c>
      <c r="J101" s="265">
        <f t="shared" si="13"/>
        <v>8717.6080000000002</v>
      </c>
      <c r="K101" s="269">
        <f t="shared" si="11"/>
        <v>140.2606291336898</v>
      </c>
      <c r="L101" s="431">
        <v>0</v>
      </c>
      <c r="M101" s="447"/>
      <c r="N101" s="447"/>
      <c r="O101" s="13"/>
    </row>
    <row r="102" spans="1:15" s="11" customFormat="1">
      <c r="B102" s="185">
        <f t="shared" si="15"/>
        <v>79</v>
      </c>
      <c r="C102" s="188"/>
      <c r="D102" s="186">
        <v>7</v>
      </c>
      <c r="E102" s="179">
        <f t="shared" si="16"/>
        <v>79</v>
      </c>
      <c r="F102" s="186">
        <v>33.520000000000003</v>
      </c>
      <c r="G102" s="186">
        <f t="shared" si="14"/>
        <v>33.122</v>
      </c>
      <c r="H102" s="187" t="str">
        <f t="shared" si="10"/>
        <v>IN</v>
      </c>
      <c r="I102" s="265">
        <f t="shared" si="12"/>
        <v>2650.3939999999989</v>
      </c>
      <c r="J102" s="265">
        <f t="shared" si="13"/>
        <v>8684.4860000000008</v>
      </c>
      <c r="K102" s="269">
        <f t="shared" si="11"/>
        <v>140.95996132314741</v>
      </c>
      <c r="L102" s="431">
        <v>0</v>
      </c>
      <c r="M102" s="447"/>
      <c r="N102" s="447"/>
      <c r="O102" s="13"/>
    </row>
    <row r="103" spans="1:15" s="11" customFormat="1">
      <c r="B103" s="185">
        <f t="shared" si="15"/>
        <v>80</v>
      </c>
      <c r="C103" s="188"/>
      <c r="D103" s="186">
        <v>7</v>
      </c>
      <c r="E103" s="179">
        <f t="shared" si="16"/>
        <v>80</v>
      </c>
      <c r="F103" s="186">
        <v>33.25</v>
      </c>
      <c r="G103" s="186">
        <f t="shared" si="14"/>
        <v>32.851999999999997</v>
      </c>
      <c r="H103" s="187" t="str">
        <f t="shared" si="10"/>
        <v>IN</v>
      </c>
      <c r="I103" s="265">
        <f t="shared" si="12"/>
        <v>2683.2459999999987</v>
      </c>
      <c r="J103" s="265">
        <f t="shared" si="13"/>
        <v>8651.634</v>
      </c>
      <c r="K103" s="269">
        <f t="shared" si="11"/>
        <v>141.65359277922076</v>
      </c>
      <c r="L103" s="431">
        <v>0</v>
      </c>
      <c r="M103" s="447"/>
      <c r="N103" s="447"/>
      <c r="O103" s="13"/>
    </row>
    <row r="104" spans="1:15" s="11" customFormat="1">
      <c r="B104" s="185">
        <f t="shared" si="15"/>
        <v>81</v>
      </c>
      <c r="C104" s="188"/>
      <c r="D104" s="186">
        <v>7</v>
      </c>
      <c r="E104" s="179">
        <f t="shared" si="16"/>
        <v>81</v>
      </c>
      <c r="F104" s="186">
        <v>33.54</v>
      </c>
      <c r="G104" s="186">
        <f t="shared" si="14"/>
        <v>33.141999999999996</v>
      </c>
      <c r="H104" s="187" t="str">
        <f t="shared" si="10"/>
        <v>IN</v>
      </c>
      <c r="I104" s="265">
        <f t="shared" si="12"/>
        <v>2716.3879999999986</v>
      </c>
      <c r="J104" s="265">
        <f t="shared" si="13"/>
        <v>8618.4920000000002</v>
      </c>
      <c r="K104" s="269">
        <f t="shared" si="11"/>
        <v>142.35334724522534</v>
      </c>
      <c r="L104" s="431">
        <v>0</v>
      </c>
      <c r="M104" s="447"/>
      <c r="N104" s="447"/>
      <c r="O104" s="13"/>
    </row>
    <row r="105" spans="1:15" s="11" customFormat="1">
      <c r="B105" s="185">
        <f t="shared" si="15"/>
        <v>82</v>
      </c>
      <c r="C105" s="188"/>
      <c r="D105" s="186">
        <v>7</v>
      </c>
      <c r="E105" s="179">
        <f t="shared" si="16"/>
        <v>82</v>
      </c>
      <c r="F105" s="186">
        <v>33.369999999999997</v>
      </c>
      <c r="G105" s="186">
        <f t="shared" si="14"/>
        <v>32.971999999999994</v>
      </c>
      <c r="H105" s="187" t="str">
        <f t="shared" si="10"/>
        <v>IN</v>
      </c>
      <c r="I105" s="265">
        <f t="shared" si="12"/>
        <v>2749.3599999999988</v>
      </c>
      <c r="J105" s="265">
        <f t="shared" si="13"/>
        <v>8585.52</v>
      </c>
      <c r="K105" s="269">
        <f t="shared" si="11"/>
        <v>143.04951236058059</v>
      </c>
      <c r="L105" s="431">
        <v>0</v>
      </c>
      <c r="M105" s="447"/>
      <c r="N105" s="447"/>
      <c r="O105" s="13"/>
    </row>
    <row r="106" spans="1:15" s="11" customFormat="1">
      <c r="B106" s="185">
        <f t="shared" si="15"/>
        <v>83</v>
      </c>
      <c r="C106" s="188"/>
      <c r="D106" s="186">
        <v>7</v>
      </c>
      <c r="E106" s="179">
        <f t="shared" si="16"/>
        <v>83</v>
      </c>
      <c r="F106" s="186">
        <v>32.6</v>
      </c>
      <c r="G106" s="186">
        <f t="shared" si="14"/>
        <v>32.201999999999998</v>
      </c>
      <c r="H106" s="187" t="str">
        <f t="shared" si="10"/>
        <v>IN</v>
      </c>
      <c r="I106" s="265">
        <f t="shared" si="12"/>
        <v>2781.561999999999</v>
      </c>
      <c r="J106" s="265">
        <f t="shared" si="13"/>
        <v>8553.3179999999993</v>
      </c>
      <c r="K106" s="269">
        <f t="shared" si="11"/>
        <v>143.72941982887698</v>
      </c>
      <c r="L106" s="431">
        <v>0</v>
      </c>
      <c r="M106" s="447"/>
      <c r="N106" s="447"/>
      <c r="O106" s="13"/>
    </row>
    <row r="107" spans="1:15" s="11" customFormat="1">
      <c r="B107" s="185">
        <f t="shared" si="15"/>
        <v>84</v>
      </c>
      <c r="C107" s="188"/>
      <c r="D107" s="186">
        <v>7</v>
      </c>
      <c r="E107" s="179">
        <f t="shared" si="16"/>
        <v>84</v>
      </c>
      <c r="F107" s="186">
        <v>33.04</v>
      </c>
      <c r="G107" s="186">
        <f t="shared" si="14"/>
        <v>32.641999999999996</v>
      </c>
      <c r="H107" s="187" t="str">
        <f t="shared" si="10"/>
        <v>IN</v>
      </c>
      <c r="I107" s="265">
        <f t="shared" si="12"/>
        <v>2814.2039999999988</v>
      </c>
      <c r="J107" s="265">
        <f t="shared" si="13"/>
        <v>8520.6759999999995</v>
      </c>
      <c r="K107" s="269">
        <f t="shared" si="11"/>
        <v>144.41861738120701</v>
      </c>
      <c r="L107" s="431">
        <v>0</v>
      </c>
      <c r="M107" s="447"/>
      <c r="N107" s="447"/>
      <c r="O107" s="13"/>
    </row>
    <row r="108" spans="1:15" s="11" customFormat="1">
      <c r="B108" s="185">
        <f t="shared" si="15"/>
        <v>85</v>
      </c>
      <c r="C108" s="188"/>
      <c r="D108" s="186">
        <v>7</v>
      </c>
      <c r="E108" s="179">
        <f t="shared" si="16"/>
        <v>85</v>
      </c>
      <c r="F108" s="186">
        <v>33.61</v>
      </c>
      <c r="G108" s="186">
        <f t="shared" si="14"/>
        <v>33.211999999999996</v>
      </c>
      <c r="H108" s="187" t="str">
        <f t="shared" si="10"/>
        <v>IN</v>
      </c>
      <c r="I108" s="265">
        <f t="shared" si="12"/>
        <v>2847.4159999999988</v>
      </c>
      <c r="J108" s="265">
        <f t="shared" si="13"/>
        <v>8487.4639999999999</v>
      </c>
      <c r="K108" s="269">
        <f t="shared" si="11"/>
        <v>145.11984981512603</v>
      </c>
      <c r="L108" s="431">
        <v>0</v>
      </c>
      <c r="M108" s="447"/>
      <c r="N108" s="447"/>
      <c r="O108" s="13"/>
    </row>
    <row r="109" spans="1:15" s="11" customFormat="1">
      <c r="B109" s="185">
        <f t="shared" si="15"/>
        <v>86</v>
      </c>
      <c r="C109" s="188"/>
      <c r="D109" s="186">
        <v>7</v>
      </c>
      <c r="E109" s="179">
        <f t="shared" si="16"/>
        <v>86</v>
      </c>
      <c r="F109" s="186">
        <v>33.89</v>
      </c>
      <c r="G109" s="186">
        <f t="shared" si="14"/>
        <v>33.491999999999997</v>
      </c>
      <c r="H109" s="187" t="str">
        <f t="shared" si="10"/>
        <v>IN</v>
      </c>
      <c r="I109" s="265">
        <f t="shared" si="12"/>
        <v>2880.907999999999</v>
      </c>
      <c r="J109" s="265">
        <f t="shared" si="13"/>
        <v>8453.9719999999998</v>
      </c>
      <c r="K109" s="269">
        <f t="shared" si="11"/>
        <v>145.82699412070281</v>
      </c>
      <c r="L109" s="431">
        <v>0</v>
      </c>
      <c r="M109" s="447"/>
      <c r="N109" s="447"/>
      <c r="O109" s="13"/>
    </row>
    <row r="110" spans="1:15" s="11" customFormat="1">
      <c r="B110" s="185">
        <f t="shared" si="15"/>
        <v>87</v>
      </c>
      <c r="C110" s="188"/>
      <c r="D110" s="186">
        <v>7</v>
      </c>
      <c r="E110" s="179">
        <f t="shared" si="16"/>
        <v>87</v>
      </c>
      <c r="F110" s="186">
        <v>33.17</v>
      </c>
      <c r="G110" s="186">
        <f t="shared" si="14"/>
        <v>32.771999999999998</v>
      </c>
      <c r="H110" s="187" t="str">
        <f t="shared" si="10"/>
        <v>IN</v>
      </c>
      <c r="I110" s="265">
        <f t="shared" si="12"/>
        <v>2913.6799999999989</v>
      </c>
      <c r="J110" s="265">
        <f t="shared" si="13"/>
        <v>8421.2000000000007</v>
      </c>
      <c r="K110" s="269">
        <f t="shared" si="11"/>
        <v>146.51893647058822</v>
      </c>
      <c r="L110" s="431">
        <v>0</v>
      </c>
      <c r="M110" s="447"/>
      <c r="N110" s="447"/>
      <c r="O110" s="13"/>
    </row>
    <row r="111" spans="1:15" s="11" customFormat="1">
      <c r="B111" s="185">
        <f t="shared" si="15"/>
        <v>88</v>
      </c>
      <c r="C111" s="188"/>
      <c r="D111" s="186">
        <v>7</v>
      </c>
      <c r="E111" s="179">
        <f t="shared" si="16"/>
        <v>88</v>
      </c>
      <c r="F111" s="186">
        <v>33.57</v>
      </c>
      <c r="G111" s="186">
        <f t="shared" si="14"/>
        <v>33.171999999999997</v>
      </c>
      <c r="H111" s="187" t="str">
        <f t="shared" si="10"/>
        <v>IN</v>
      </c>
      <c r="I111" s="265">
        <f t="shared" si="12"/>
        <v>2946.851999999999</v>
      </c>
      <c r="J111" s="265">
        <f t="shared" si="13"/>
        <v>8388.0280000000002</v>
      </c>
      <c r="K111" s="269">
        <f t="shared" si="11"/>
        <v>147.21932435141326</v>
      </c>
      <c r="L111" s="431">
        <v>0</v>
      </c>
      <c r="M111" s="447"/>
      <c r="N111" s="447"/>
      <c r="O111" s="13"/>
    </row>
    <row r="112" spans="1:15" s="11" customFormat="1">
      <c r="B112" s="185">
        <f t="shared" si="15"/>
        <v>89</v>
      </c>
      <c r="C112" s="185"/>
      <c r="D112" s="186">
        <v>7</v>
      </c>
      <c r="E112" s="179">
        <f t="shared" si="16"/>
        <v>89</v>
      </c>
      <c r="F112" s="186">
        <v>33.520000000000003</v>
      </c>
      <c r="G112" s="186">
        <f t="shared" si="14"/>
        <v>33.122</v>
      </c>
      <c r="H112" s="187" t="str">
        <f t="shared" si="10"/>
        <v>IN</v>
      </c>
      <c r="I112" s="265">
        <f t="shared" si="12"/>
        <v>2979.9739999999988</v>
      </c>
      <c r="J112" s="265">
        <f t="shared" si="13"/>
        <v>8354.9060000000009</v>
      </c>
      <c r="K112" s="269">
        <f t="shared" si="11"/>
        <v>147.91865654087087</v>
      </c>
      <c r="L112" s="431">
        <v>0</v>
      </c>
      <c r="M112" s="447"/>
      <c r="N112" s="447"/>
      <c r="O112" s="13"/>
    </row>
    <row r="113" spans="2:15" s="11" customFormat="1">
      <c r="B113" s="185">
        <f t="shared" si="15"/>
        <v>90</v>
      </c>
      <c r="C113" s="185"/>
      <c r="D113" s="186">
        <v>7</v>
      </c>
      <c r="E113" s="179">
        <f t="shared" si="16"/>
        <v>90</v>
      </c>
      <c r="F113" s="186">
        <v>33.520000000000003</v>
      </c>
      <c r="G113" s="186">
        <f t="shared" si="14"/>
        <v>33.122</v>
      </c>
      <c r="H113" s="187" t="str">
        <f t="shared" si="10"/>
        <v>IN</v>
      </c>
      <c r="I113" s="265">
        <f t="shared" si="12"/>
        <v>3013.0959999999986</v>
      </c>
      <c r="J113" s="265">
        <f t="shared" si="13"/>
        <v>8321.7839999999997</v>
      </c>
      <c r="K113" s="269">
        <f t="shared" si="11"/>
        <v>148.61798873032848</v>
      </c>
      <c r="L113" s="431">
        <v>0</v>
      </c>
      <c r="M113" s="447"/>
      <c r="N113" s="447"/>
      <c r="O113" s="13"/>
    </row>
    <row r="114" spans="2:15" s="11" customFormat="1" ht="13.35" customHeight="1">
      <c r="B114" s="185">
        <f t="shared" si="15"/>
        <v>91</v>
      </c>
      <c r="C114" s="185"/>
      <c r="D114" s="186">
        <v>7</v>
      </c>
      <c r="E114" s="179">
        <f t="shared" si="16"/>
        <v>91</v>
      </c>
      <c r="F114" s="186">
        <v>33.630000000000003</v>
      </c>
      <c r="G114" s="186">
        <f t="shared" si="14"/>
        <v>33.231999999999999</v>
      </c>
      <c r="H114" s="187" t="str">
        <f t="shared" si="10"/>
        <v>IN</v>
      </c>
      <c r="I114" s="265">
        <f t="shared" si="12"/>
        <v>3046.3279999999986</v>
      </c>
      <c r="J114" s="265">
        <f t="shared" si="13"/>
        <v>8288.5519999999997</v>
      </c>
      <c r="K114" s="269">
        <f t="shared" si="11"/>
        <v>149.31964344079447</v>
      </c>
      <c r="L114" s="431">
        <v>0</v>
      </c>
      <c r="M114" s="447"/>
      <c r="N114" s="447"/>
      <c r="O114" s="13"/>
    </row>
    <row r="115" spans="2:15" s="11" customFormat="1" ht="13.35" customHeight="1">
      <c r="B115" s="185">
        <f t="shared" si="15"/>
        <v>92</v>
      </c>
      <c r="C115" s="185"/>
      <c r="D115" s="186">
        <v>7</v>
      </c>
      <c r="E115" s="179">
        <f t="shared" si="16"/>
        <v>92</v>
      </c>
      <c r="F115" s="186">
        <v>33.42</v>
      </c>
      <c r="G115" s="186">
        <f t="shared" si="14"/>
        <v>33.021999999999998</v>
      </c>
      <c r="H115" s="187" t="str">
        <f t="shared" si="10"/>
        <v>IN</v>
      </c>
      <c r="I115" s="265">
        <f t="shared" si="12"/>
        <v>3079.3499999999985</v>
      </c>
      <c r="J115" s="265">
        <f t="shared" si="13"/>
        <v>8255.5300000000007</v>
      </c>
      <c r="K115" s="269">
        <f t="shared" si="11"/>
        <v>150.01686424751716</v>
      </c>
      <c r="L115" s="431">
        <v>0</v>
      </c>
      <c r="M115" s="447"/>
      <c r="N115" s="447"/>
      <c r="O115" s="13"/>
    </row>
    <row r="116" spans="2:15" s="11" customFormat="1" ht="13.35" customHeight="1">
      <c r="B116" s="185">
        <f t="shared" si="15"/>
        <v>93</v>
      </c>
      <c r="C116" s="185"/>
      <c r="D116" s="186">
        <v>7</v>
      </c>
      <c r="E116" s="179">
        <f t="shared" si="16"/>
        <v>93</v>
      </c>
      <c r="F116" s="186">
        <v>33.53</v>
      </c>
      <c r="G116" s="186">
        <f t="shared" si="14"/>
        <v>33.131999999999998</v>
      </c>
      <c r="H116" s="187" t="str">
        <f t="shared" si="10"/>
        <v>IN</v>
      </c>
      <c r="I116" s="265">
        <f t="shared" si="12"/>
        <v>3112.4819999999986</v>
      </c>
      <c r="J116" s="265">
        <f t="shared" si="13"/>
        <v>8222.398000000001</v>
      </c>
      <c r="K116" s="269">
        <f t="shared" si="11"/>
        <v>150.71640757524824</v>
      </c>
      <c r="L116" s="431">
        <v>0</v>
      </c>
      <c r="M116" s="447"/>
      <c r="N116" s="447"/>
      <c r="O116" s="13"/>
    </row>
    <row r="117" spans="2:15" s="11" customFormat="1" ht="13.35" customHeight="1">
      <c r="B117" s="185">
        <f t="shared" si="15"/>
        <v>94</v>
      </c>
      <c r="C117" s="188"/>
      <c r="D117" s="186">
        <v>7</v>
      </c>
      <c r="E117" s="179">
        <f t="shared" si="16"/>
        <v>94</v>
      </c>
      <c r="F117" s="186">
        <v>32.659999999999997</v>
      </c>
      <c r="G117" s="186">
        <f t="shared" si="14"/>
        <v>32.261999999999993</v>
      </c>
      <c r="H117" s="187" t="str">
        <f t="shared" si="10"/>
        <v>IN</v>
      </c>
      <c r="I117" s="265">
        <f t="shared" si="12"/>
        <v>3144.7439999999988</v>
      </c>
      <c r="J117" s="265">
        <f t="shared" si="13"/>
        <v>8190.1360000000004</v>
      </c>
      <c r="K117" s="269">
        <f t="shared" si="11"/>
        <v>151.39758187318563</v>
      </c>
      <c r="L117" s="431">
        <v>0</v>
      </c>
      <c r="M117" s="447"/>
      <c r="N117" s="447"/>
      <c r="O117" s="13"/>
    </row>
    <row r="118" spans="2:15" s="11" customFormat="1" ht="13.35" customHeight="1">
      <c r="B118" s="185">
        <f t="shared" si="15"/>
        <v>95</v>
      </c>
      <c r="C118" s="188"/>
      <c r="D118" s="186">
        <v>7</v>
      </c>
      <c r="E118" s="179">
        <f t="shared" si="16"/>
        <v>95</v>
      </c>
      <c r="F118" s="186">
        <v>32.64</v>
      </c>
      <c r="G118" s="186">
        <f t="shared" si="14"/>
        <v>32.241999999999997</v>
      </c>
      <c r="H118" s="187" t="str">
        <f t="shared" si="10"/>
        <v>IN</v>
      </c>
      <c r="I118" s="265">
        <f t="shared" si="12"/>
        <v>3176.985999999999</v>
      </c>
      <c r="J118" s="265">
        <f t="shared" si="13"/>
        <v>8157.8940000000002</v>
      </c>
      <c r="K118" s="269">
        <f t="shared" si="11"/>
        <v>152.07833389457599</v>
      </c>
      <c r="L118" s="431">
        <v>0</v>
      </c>
      <c r="M118" s="447"/>
      <c r="N118" s="447"/>
      <c r="O118" s="13"/>
    </row>
    <row r="119" spans="2:15" s="11" customFormat="1" ht="13.35" customHeight="1">
      <c r="B119" s="185">
        <f t="shared" si="15"/>
        <v>96</v>
      </c>
      <c r="C119" s="188"/>
      <c r="D119" s="186">
        <v>7</v>
      </c>
      <c r="E119" s="179">
        <f t="shared" si="16"/>
        <v>96</v>
      </c>
      <c r="F119" s="186">
        <v>32.619999999999997</v>
      </c>
      <c r="G119" s="186">
        <f t="shared" si="14"/>
        <v>32.221999999999994</v>
      </c>
      <c r="H119" s="187" t="str">
        <f t="shared" si="10"/>
        <v>IN</v>
      </c>
      <c r="I119" s="265">
        <f t="shared" si="12"/>
        <v>3209.2079999999992</v>
      </c>
      <c r="J119" s="265">
        <f t="shared" si="13"/>
        <v>8125.6720000000005</v>
      </c>
      <c r="K119" s="269">
        <f t="shared" si="11"/>
        <v>152.75866363941941</v>
      </c>
      <c r="L119" s="431">
        <v>0</v>
      </c>
      <c r="M119" s="447"/>
      <c r="N119" s="447"/>
      <c r="O119" s="13"/>
    </row>
    <row r="120" spans="2:15" s="11" customFormat="1" ht="13.35" customHeight="1">
      <c r="B120" s="185">
        <f t="shared" si="15"/>
        <v>97</v>
      </c>
      <c r="C120" s="188"/>
      <c r="D120" s="186">
        <v>7</v>
      </c>
      <c r="E120" s="179">
        <f t="shared" si="16"/>
        <v>97</v>
      </c>
      <c r="F120" s="186">
        <v>33.35</v>
      </c>
      <c r="G120" s="186">
        <f t="shared" si="14"/>
        <v>32.951999999999998</v>
      </c>
      <c r="H120" s="187" t="str">
        <f t="shared" si="10"/>
        <v>IN</v>
      </c>
      <c r="I120" s="265">
        <f t="shared" si="12"/>
        <v>3242.1599999999989</v>
      </c>
      <c r="J120" s="265">
        <f t="shared" si="13"/>
        <v>8092.72</v>
      </c>
      <c r="K120" s="269">
        <f t="shared" si="11"/>
        <v>153.45440647822764</v>
      </c>
      <c r="L120" s="431">
        <v>0</v>
      </c>
      <c r="M120" s="447"/>
      <c r="N120" s="447"/>
      <c r="O120" s="13"/>
    </row>
    <row r="121" spans="2:15" s="11" customFormat="1" ht="13.35" customHeight="1">
      <c r="B121" s="185">
        <f t="shared" si="15"/>
        <v>98</v>
      </c>
      <c r="C121" s="188"/>
      <c r="D121" s="186">
        <v>7</v>
      </c>
      <c r="E121" s="179">
        <f t="shared" si="16"/>
        <v>98</v>
      </c>
      <c r="F121" s="186">
        <v>32.82</v>
      </c>
      <c r="G121" s="186">
        <f t="shared" si="14"/>
        <v>32.421999999999997</v>
      </c>
      <c r="H121" s="187" t="str">
        <f t="shared" si="10"/>
        <v>IN</v>
      </c>
      <c r="I121" s="265">
        <f t="shared" si="12"/>
        <v>3274.581999999999</v>
      </c>
      <c r="J121" s="265">
        <f t="shared" si="13"/>
        <v>8060.2980000000007</v>
      </c>
      <c r="K121" s="269">
        <f t="shared" si="11"/>
        <v>154.13895898854085</v>
      </c>
      <c r="L121" s="431">
        <v>0</v>
      </c>
      <c r="M121" s="447"/>
      <c r="N121" s="447"/>
      <c r="O121" s="13"/>
    </row>
    <row r="122" spans="2:15" s="11" customFormat="1">
      <c r="B122" s="185">
        <f t="shared" si="15"/>
        <v>99</v>
      </c>
      <c r="C122" s="188"/>
      <c r="D122" s="186">
        <v>7</v>
      </c>
      <c r="E122" s="179">
        <f t="shared" si="16"/>
        <v>99</v>
      </c>
      <c r="F122" s="186">
        <v>33.33</v>
      </c>
      <c r="G122" s="186">
        <f t="shared" si="14"/>
        <v>32.931999999999995</v>
      </c>
      <c r="H122" s="187" t="str">
        <f t="shared" si="10"/>
        <v>IN</v>
      </c>
      <c r="I122" s="265">
        <f t="shared" si="12"/>
        <v>3307.5139999999988</v>
      </c>
      <c r="J122" s="265">
        <f t="shared" si="13"/>
        <v>8027.366</v>
      </c>
      <c r="K122" s="269">
        <f t="shared" si="11"/>
        <v>154.83427955080214</v>
      </c>
      <c r="L122" s="431">
        <v>0</v>
      </c>
      <c r="M122" s="447"/>
      <c r="N122" s="447"/>
      <c r="O122" s="13"/>
    </row>
    <row r="123" spans="2:15" s="11" customFormat="1">
      <c r="B123" s="185">
        <f t="shared" si="15"/>
        <v>100</v>
      </c>
      <c r="C123" s="188"/>
      <c r="D123" s="186">
        <v>7</v>
      </c>
      <c r="E123" s="179">
        <f t="shared" si="16"/>
        <v>100</v>
      </c>
      <c r="F123" s="186">
        <v>33.64</v>
      </c>
      <c r="G123" s="186">
        <f t="shared" si="14"/>
        <v>33.241999999999997</v>
      </c>
      <c r="H123" s="187" t="str">
        <f t="shared" si="10"/>
        <v>IN</v>
      </c>
      <c r="I123" s="265">
        <f t="shared" si="12"/>
        <v>3340.7559999999989</v>
      </c>
      <c r="J123" s="265">
        <f t="shared" si="13"/>
        <v>7994.1239999999998</v>
      </c>
      <c r="K123" s="269">
        <f t="shared" si="11"/>
        <v>155.53614539954162</v>
      </c>
      <c r="L123" s="431">
        <v>0</v>
      </c>
      <c r="M123" s="447"/>
      <c r="N123" s="447"/>
      <c r="O123" s="13"/>
    </row>
    <row r="124" spans="2:15" s="11" customFormat="1">
      <c r="B124" s="185">
        <f t="shared" si="15"/>
        <v>101</v>
      </c>
      <c r="C124" s="188"/>
      <c r="D124" s="186">
        <v>7</v>
      </c>
      <c r="E124" s="179">
        <f t="shared" si="16"/>
        <v>101</v>
      </c>
      <c r="F124" s="186">
        <v>33.159999999999997</v>
      </c>
      <c r="G124" s="186">
        <f t="shared" si="14"/>
        <v>32.761999999999993</v>
      </c>
      <c r="H124" s="187" t="str">
        <f t="shared" si="10"/>
        <v>IN</v>
      </c>
      <c r="I124" s="265">
        <f t="shared" si="12"/>
        <v>3373.5179999999991</v>
      </c>
      <c r="J124" s="265">
        <f t="shared" si="13"/>
        <v>7961.3620000000001</v>
      </c>
      <c r="K124" s="269">
        <f t="shared" si="11"/>
        <v>156.22787661115353</v>
      </c>
      <c r="L124" s="431">
        <v>0</v>
      </c>
      <c r="M124" s="447"/>
      <c r="N124" s="447"/>
      <c r="O124" s="13"/>
    </row>
    <row r="125" spans="2:15" s="11" customFormat="1">
      <c r="B125" s="185">
        <f t="shared" si="15"/>
        <v>102</v>
      </c>
      <c r="C125" s="188"/>
      <c r="D125" s="186">
        <v>7</v>
      </c>
      <c r="E125" s="179">
        <f t="shared" si="16"/>
        <v>102</v>
      </c>
      <c r="F125" s="186">
        <v>33.89</v>
      </c>
      <c r="G125" s="186">
        <f t="shared" si="14"/>
        <v>33.491999999999997</v>
      </c>
      <c r="H125" s="187" t="str">
        <f t="shared" si="10"/>
        <v>IN</v>
      </c>
      <c r="I125" s="265">
        <f t="shared" si="12"/>
        <v>3407.0099999999993</v>
      </c>
      <c r="J125" s="265">
        <f t="shared" si="13"/>
        <v>7927.87</v>
      </c>
      <c r="K125" s="269">
        <f t="shared" si="11"/>
        <v>156.93502091673031</v>
      </c>
      <c r="L125" s="431">
        <v>0</v>
      </c>
      <c r="M125" s="447"/>
      <c r="N125" s="447"/>
      <c r="O125" s="13"/>
    </row>
    <row r="126" spans="2:15" s="11" customFormat="1">
      <c r="B126" s="185">
        <f t="shared" si="15"/>
        <v>103</v>
      </c>
      <c r="C126" s="188"/>
      <c r="D126" s="186">
        <v>7</v>
      </c>
      <c r="E126" s="179">
        <f t="shared" si="16"/>
        <v>103</v>
      </c>
      <c r="F126" s="186">
        <v>33.49</v>
      </c>
      <c r="G126" s="186">
        <f t="shared" si="14"/>
        <v>33.091999999999999</v>
      </c>
      <c r="H126" s="187" t="str">
        <f t="shared" si="10"/>
        <v>IN</v>
      </c>
      <c r="I126" s="265">
        <f t="shared" si="12"/>
        <v>3440.1019999999994</v>
      </c>
      <c r="J126" s="265">
        <f t="shared" si="13"/>
        <v>7894.7780000000002</v>
      </c>
      <c r="K126" s="269">
        <f t="shared" si="11"/>
        <v>157.63371969136745</v>
      </c>
      <c r="L126" s="431">
        <v>0</v>
      </c>
      <c r="M126" s="447"/>
      <c r="N126" s="447"/>
      <c r="O126" s="13"/>
    </row>
    <row r="127" spans="2:15" s="11" customFormat="1">
      <c r="B127" s="185">
        <f t="shared" si="15"/>
        <v>104</v>
      </c>
      <c r="C127" s="185"/>
      <c r="D127" s="186">
        <v>7</v>
      </c>
      <c r="E127" s="179">
        <f t="shared" si="16"/>
        <v>104</v>
      </c>
      <c r="F127" s="186">
        <v>33.96</v>
      </c>
      <c r="G127" s="186">
        <f t="shared" si="14"/>
        <v>33.561999999999998</v>
      </c>
      <c r="H127" s="187" t="str">
        <f t="shared" si="10"/>
        <v>IN</v>
      </c>
      <c r="I127" s="265">
        <f t="shared" si="12"/>
        <v>3473.6639999999993</v>
      </c>
      <c r="J127" s="265">
        <f t="shared" si="13"/>
        <v>7861.2160000000003</v>
      </c>
      <c r="K127" s="269">
        <f t="shared" si="11"/>
        <v>158.34234196485866</v>
      </c>
      <c r="L127" s="431">
        <v>0</v>
      </c>
      <c r="M127" s="447"/>
      <c r="N127" s="447"/>
      <c r="O127" s="13"/>
    </row>
    <row r="128" spans="2:15" s="11" customFormat="1">
      <c r="B128" s="185">
        <f t="shared" si="15"/>
        <v>105</v>
      </c>
      <c r="C128" s="185"/>
      <c r="D128" s="186">
        <v>7</v>
      </c>
      <c r="E128" s="179">
        <f t="shared" si="16"/>
        <v>105</v>
      </c>
      <c r="F128" s="186">
        <v>32.92</v>
      </c>
      <c r="G128" s="186">
        <f t="shared" si="14"/>
        <v>32.521999999999998</v>
      </c>
      <c r="H128" s="187" t="str">
        <f t="shared" si="10"/>
        <v>IN</v>
      </c>
      <c r="I128" s="265">
        <f t="shared" si="12"/>
        <v>3506.1859999999992</v>
      </c>
      <c r="J128" s="265">
        <f t="shared" si="13"/>
        <v>7828.6939999999995</v>
      </c>
      <c r="K128" s="269">
        <f t="shared" si="11"/>
        <v>159.02900585790678</v>
      </c>
      <c r="L128" s="431">
        <v>0</v>
      </c>
      <c r="M128" s="444"/>
      <c r="N128" s="444"/>
      <c r="O128" s="13"/>
    </row>
    <row r="129" spans="2:15" s="11" customFormat="1">
      <c r="B129" s="185">
        <f t="shared" si="15"/>
        <v>106</v>
      </c>
      <c r="C129" s="185"/>
      <c r="D129" s="186">
        <v>7</v>
      </c>
      <c r="E129" s="179">
        <f t="shared" si="16"/>
        <v>106</v>
      </c>
      <c r="F129" s="186">
        <v>33.96</v>
      </c>
      <c r="G129" s="186">
        <f t="shared" si="14"/>
        <v>33.561999999999998</v>
      </c>
      <c r="H129" s="187" t="str">
        <f t="shared" si="10"/>
        <v>IN</v>
      </c>
      <c r="I129" s="265">
        <f t="shared" si="12"/>
        <v>3539.7479999999991</v>
      </c>
      <c r="J129" s="265">
        <f t="shared" si="13"/>
        <v>7795.1319999999996</v>
      </c>
      <c r="K129" s="269">
        <f t="shared" si="11"/>
        <v>159.737628131398</v>
      </c>
      <c r="L129" s="431">
        <v>0</v>
      </c>
      <c r="M129" s="444"/>
      <c r="N129" s="444"/>
      <c r="O129" s="13"/>
    </row>
    <row r="130" spans="2:15" s="11" customFormat="1">
      <c r="B130" s="185">
        <f t="shared" si="15"/>
        <v>107</v>
      </c>
      <c r="C130" s="185"/>
      <c r="D130" s="186">
        <v>7</v>
      </c>
      <c r="E130" s="179">
        <f t="shared" si="16"/>
        <v>107</v>
      </c>
      <c r="F130" s="186">
        <v>33.11</v>
      </c>
      <c r="G130" s="186">
        <f t="shared" si="14"/>
        <v>32.711999999999996</v>
      </c>
      <c r="H130" s="187" t="str">
        <f t="shared" si="10"/>
        <v>IN</v>
      </c>
      <c r="I130" s="265">
        <f t="shared" si="12"/>
        <v>3572.4599999999991</v>
      </c>
      <c r="J130" s="265">
        <f t="shared" si="13"/>
        <v>7762.42</v>
      </c>
      <c r="K130" s="269">
        <f t="shared" si="11"/>
        <v>160.42830365164247</v>
      </c>
      <c r="L130" s="431">
        <v>0</v>
      </c>
      <c r="M130" s="444"/>
      <c r="N130" s="444"/>
      <c r="O130" s="13"/>
    </row>
    <row r="131" spans="2:15" s="11" customFormat="1">
      <c r="B131" s="185">
        <f t="shared" si="15"/>
        <v>108</v>
      </c>
      <c r="C131" s="185"/>
      <c r="D131" s="186">
        <v>7</v>
      </c>
      <c r="E131" s="179">
        <f t="shared" si="16"/>
        <v>108</v>
      </c>
      <c r="F131" s="186">
        <v>33.96</v>
      </c>
      <c r="G131" s="186">
        <f t="shared" si="14"/>
        <v>33.561999999999998</v>
      </c>
      <c r="H131" s="187" t="str">
        <f t="shared" si="10"/>
        <v>IN</v>
      </c>
      <c r="I131" s="265">
        <f t="shared" si="12"/>
        <v>3606.021999999999</v>
      </c>
      <c r="J131" s="265">
        <f t="shared" si="13"/>
        <v>7728.8580000000002</v>
      </c>
      <c r="K131" s="269">
        <f t="shared" si="11"/>
        <v>161.13692592513368</v>
      </c>
      <c r="L131" s="431">
        <v>0</v>
      </c>
      <c r="M131" s="444"/>
      <c r="N131" s="444"/>
      <c r="O131" s="13"/>
    </row>
    <row r="132" spans="2:15" s="11" customFormat="1">
      <c r="B132" s="185">
        <f t="shared" si="15"/>
        <v>109</v>
      </c>
      <c r="C132" s="188"/>
      <c r="D132" s="186">
        <v>7</v>
      </c>
      <c r="E132" s="179">
        <f t="shared" si="16"/>
        <v>109</v>
      </c>
      <c r="F132" s="186">
        <v>33.74</v>
      </c>
      <c r="G132" s="186">
        <f t="shared" si="14"/>
        <v>33.341999999999999</v>
      </c>
      <c r="H132" s="187" t="str">
        <f t="shared" si="10"/>
        <v>IN</v>
      </c>
      <c r="I132" s="265">
        <f t="shared" si="12"/>
        <v>3639.3639999999991</v>
      </c>
      <c r="J132" s="265">
        <f t="shared" si="13"/>
        <v>7695.5159999999996</v>
      </c>
      <c r="K132" s="269">
        <f t="shared" si="11"/>
        <v>161.84090315660808</v>
      </c>
      <c r="L132" s="431">
        <v>0</v>
      </c>
      <c r="M132" s="444"/>
      <c r="N132" s="444"/>
      <c r="O132" s="13"/>
    </row>
    <row r="133" spans="2:15" s="11" customFormat="1">
      <c r="B133" s="185">
        <f t="shared" si="15"/>
        <v>110</v>
      </c>
      <c r="C133" s="188"/>
      <c r="D133" s="186">
        <v>7</v>
      </c>
      <c r="E133" s="179">
        <f t="shared" si="16"/>
        <v>110</v>
      </c>
      <c r="F133" s="186">
        <v>33.01</v>
      </c>
      <c r="G133" s="186">
        <f t="shared" si="14"/>
        <v>32.611999999999995</v>
      </c>
      <c r="H133" s="187" t="str">
        <f t="shared" si="10"/>
        <v>IN</v>
      </c>
      <c r="I133" s="265">
        <f t="shared" si="12"/>
        <v>3671.9759999999992</v>
      </c>
      <c r="J133" s="265">
        <f t="shared" si="13"/>
        <v>7662.9040000000005</v>
      </c>
      <c r="K133" s="269">
        <f t="shared" si="11"/>
        <v>162.52946729411764</v>
      </c>
      <c r="L133" s="431">
        <v>0</v>
      </c>
      <c r="M133" s="447"/>
      <c r="N133" s="447"/>
      <c r="O133" s="13"/>
    </row>
    <row r="134" spans="2:15" s="11" customFormat="1">
      <c r="B134" s="185">
        <f t="shared" si="15"/>
        <v>111</v>
      </c>
      <c r="C134" s="188"/>
      <c r="D134" s="186">
        <v>7</v>
      </c>
      <c r="E134" s="179">
        <f t="shared" si="16"/>
        <v>111</v>
      </c>
      <c r="F134" s="186">
        <v>33.619999999999997</v>
      </c>
      <c r="G134" s="186">
        <f t="shared" si="14"/>
        <v>33.221999999999994</v>
      </c>
      <c r="H134" s="187" t="str">
        <f t="shared" si="10"/>
        <v>IN</v>
      </c>
      <c r="I134" s="265">
        <f t="shared" si="12"/>
        <v>3705.1979999999994</v>
      </c>
      <c r="J134" s="265">
        <f t="shared" si="13"/>
        <v>7629.6819999999998</v>
      </c>
      <c r="K134" s="269">
        <f t="shared" si="11"/>
        <v>163.23091086631015</v>
      </c>
      <c r="L134" s="431">
        <v>0</v>
      </c>
      <c r="M134" s="447"/>
      <c r="N134" s="447"/>
      <c r="O134" s="13"/>
    </row>
    <row r="135" spans="2:15" s="11" customFormat="1" ht="13.35" customHeight="1">
      <c r="B135" s="185">
        <f t="shared" si="15"/>
        <v>112</v>
      </c>
      <c r="C135" s="188"/>
      <c r="D135" s="186">
        <v>7</v>
      </c>
      <c r="E135" s="179">
        <f t="shared" si="16"/>
        <v>112</v>
      </c>
      <c r="F135" s="186">
        <v>32.869999999999997</v>
      </c>
      <c r="G135" s="186">
        <f t="shared" si="14"/>
        <v>32.471999999999994</v>
      </c>
      <c r="H135" s="187" t="str">
        <f t="shared" si="10"/>
        <v>IN</v>
      </c>
      <c r="I135" s="265">
        <f t="shared" si="12"/>
        <v>3737.6699999999996</v>
      </c>
      <c r="J135" s="265">
        <f t="shared" si="13"/>
        <v>7597.2099999999991</v>
      </c>
      <c r="K135" s="269">
        <f t="shared" si="11"/>
        <v>163.91651906799083</v>
      </c>
      <c r="L135" s="431">
        <v>0</v>
      </c>
      <c r="M135" s="447"/>
      <c r="N135" s="447"/>
      <c r="O135" s="13"/>
    </row>
    <row r="136" spans="2:15" s="11" customFormat="1" ht="13.35" customHeight="1">
      <c r="B136" s="185">
        <f t="shared" si="15"/>
        <v>113</v>
      </c>
      <c r="C136" s="188"/>
      <c r="D136" s="186">
        <v>7</v>
      </c>
      <c r="E136" s="179">
        <f t="shared" si="16"/>
        <v>113</v>
      </c>
      <c r="F136" s="186">
        <v>33.03</v>
      </c>
      <c r="G136" s="186">
        <f t="shared" si="14"/>
        <v>32.631999999999998</v>
      </c>
      <c r="H136" s="187" t="str">
        <f t="shared" si="10"/>
        <v>IN</v>
      </c>
      <c r="I136" s="265">
        <f t="shared" si="12"/>
        <v>3770.3019999999997</v>
      </c>
      <c r="J136" s="265">
        <f t="shared" si="13"/>
        <v>7564.5779999999995</v>
      </c>
      <c r="K136" s="269">
        <f t="shared" si="11"/>
        <v>164.60550548204736</v>
      </c>
      <c r="L136" s="431">
        <v>0</v>
      </c>
      <c r="M136" s="447"/>
      <c r="N136" s="447"/>
      <c r="O136" s="13"/>
    </row>
    <row r="137" spans="2:15" s="11" customFormat="1">
      <c r="B137" s="185">
        <f t="shared" si="15"/>
        <v>114</v>
      </c>
      <c r="C137" s="188"/>
      <c r="D137" s="186">
        <v>7</v>
      </c>
      <c r="E137" s="179">
        <f t="shared" si="16"/>
        <v>114</v>
      </c>
      <c r="F137" s="186">
        <v>32.799999999999997</v>
      </c>
      <c r="G137" s="186">
        <f t="shared" si="14"/>
        <v>32.401999999999994</v>
      </c>
      <c r="H137" s="187" t="str">
        <f t="shared" si="10"/>
        <v>IN</v>
      </c>
      <c r="I137" s="265">
        <f t="shared" si="12"/>
        <v>3802.7039999999997</v>
      </c>
      <c r="J137" s="265">
        <f t="shared" si="13"/>
        <v>7532.1759999999995</v>
      </c>
      <c r="K137" s="269">
        <f t="shared" si="11"/>
        <v>165.28963571581357</v>
      </c>
      <c r="L137" s="431">
        <v>0</v>
      </c>
      <c r="M137" s="447"/>
      <c r="N137" s="447"/>
      <c r="O137" s="13"/>
    </row>
    <row r="138" spans="2:15" s="11" customFormat="1">
      <c r="B138" s="185">
        <f t="shared" si="15"/>
        <v>115</v>
      </c>
      <c r="C138" s="185"/>
      <c r="D138" s="186">
        <v>7</v>
      </c>
      <c r="E138" s="179">
        <f t="shared" si="16"/>
        <v>115</v>
      </c>
      <c r="F138" s="186">
        <v>33.82</v>
      </c>
      <c r="G138" s="186">
        <f t="shared" si="14"/>
        <v>33.421999999999997</v>
      </c>
      <c r="H138" s="187" t="str">
        <f t="shared" si="10"/>
        <v>IN</v>
      </c>
      <c r="I138" s="265">
        <f t="shared" si="12"/>
        <v>3836.1259999999997</v>
      </c>
      <c r="J138" s="265">
        <f t="shared" si="13"/>
        <v>7498.753999999999</v>
      </c>
      <c r="K138" s="269">
        <f t="shared" si="11"/>
        <v>165.99530205347594</v>
      </c>
      <c r="L138" s="431">
        <v>0</v>
      </c>
      <c r="M138" s="447"/>
      <c r="N138" s="447"/>
      <c r="O138" s="13"/>
    </row>
    <row r="139" spans="2:15" s="11" customFormat="1">
      <c r="B139" s="185">
        <f t="shared" si="15"/>
        <v>116</v>
      </c>
      <c r="C139" s="188"/>
      <c r="D139" s="186">
        <v>7</v>
      </c>
      <c r="E139" s="179">
        <f t="shared" si="16"/>
        <v>116</v>
      </c>
      <c r="F139" s="186">
        <v>31.83</v>
      </c>
      <c r="G139" s="186">
        <f t="shared" si="14"/>
        <v>31.431999999999999</v>
      </c>
      <c r="H139" s="187" t="str">
        <f t="shared" si="10"/>
        <v>IN</v>
      </c>
      <c r="I139" s="265">
        <f t="shared" si="12"/>
        <v>3867.5579999999995</v>
      </c>
      <c r="J139" s="265">
        <f t="shared" si="13"/>
        <v>7467.3220000000001</v>
      </c>
      <c r="K139" s="269">
        <f t="shared" si="11"/>
        <v>166.65895187471352</v>
      </c>
      <c r="L139" s="431">
        <v>0</v>
      </c>
      <c r="M139" s="444"/>
      <c r="N139" s="444"/>
      <c r="O139" s="13"/>
    </row>
    <row r="140" spans="2:15" s="11" customFormat="1">
      <c r="B140" s="185">
        <f t="shared" si="15"/>
        <v>117</v>
      </c>
      <c r="C140" s="188"/>
      <c r="D140" s="186">
        <v>7</v>
      </c>
      <c r="E140" s="179">
        <f t="shared" si="16"/>
        <v>117</v>
      </c>
      <c r="F140" s="186">
        <v>33.96</v>
      </c>
      <c r="G140" s="186">
        <f t="shared" si="14"/>
        <v>33.561999999999998</v>
      </c>
      <c r="H140" s="187" t="str">
        <f t="shared" si="10"/>
        <v>IN</v>
      </c>
      <c r="I140" s="265">
        <f t="shared" si="12"/>
        <v>3901.1199999999994</v>
      </c>
      <c r="J140" s="265">
        <f t="shared" si="13"/>
        <v>7433.76</v>
      </c>
      <c r="K140" s="269">
        <f t="shared" si="11"/>
        <v>167.36757414820471</v>
      </c>
      <c r="L140" s="431">
        <v>0</v>
      </c>
      <c r="M140" s="447"/>
      <c r="N140" s="447"/>
      <c r="O140" s="13"/>
    </row>
    <row r="141" spans="2:15" s="11" customFormat="1">
      <c r="B141" s="185">
        <f t="shared" si="15"/>
        <v>118</v>
      </c>
      <c r="C141" s="188"/>
      <c r="D141" s="186">
        <v>7</v>
      </c>
      <c r="E141" s="179">
        <f t="shared" si="16"/>
        <v>118</v>
      </c>
      <c r="F141" s="186">
        <v>33.409999999999997</v>
      </c>
      <c r="G141" s="186">
        <f t="shared" si="14"/>
        <v>33.011999999999993</v>
      </c>
      <c r="H141" s="187" t="str">
        <f t="shared" si="10"/>
        <v>IN</v>
      </c>
      <c r="I141" s="265">
        <f t="shared" si="12"/>
        <v>3934.1319999999996</v>
      </c>
      <c r="J141" s="265">
        <f t="shared" si="13"/>
        <v>7400.7479999999996</v>
      </c>
      <c r="K141" s="269">
        <f t="shared" si="11"/>
        <v>168.06458381665394</v>
      </c>
      <c r="L141" s="431">
        <v>0</v>
      </c>
      <c r="M141" s="447"/>
      <c r="N141" s="447"/>
      <c r="O141" s="13"/>
    </row>
    <row r="142" spans="2:15" s="11" customFormat="1">
      <c r="B142" s="185">
        <f t="shared" si="15"/>
        <v>119</v>
      </c>
      <c r="C142" s="188"/>
      <c r="D142" s="186">
        <v>7</v>
      </c>
      <c r="E142" s="179">
        <f t="shared" si="16"/>
        <v>119</v>
      </c>
      <c r="F142" s="186">
        <v>32.74</v>
      </c>
      <c r="G142" s="186">
        <f t="shared" si="14"/>
        <v>32.341999999999999</v>
      </c>
      <c r="H142" s="187" t="str">
        <f t="shared" si="10"/>
        <v>IN</v>
      </c>
      <c r="I142" s="265">
        <f t="shared" si="12"/>
        <v>3966.4739999999997</v>
      </c>
      <c r="J142" s="265">
        <f t="shared" si="13"/>
        <v>7368.405999999999</v>
      </c>
      <c r="K142" s="269">
        <f t="shared" si="11"/>
        <v>168.74744722077921</v>
      </c>
      <c r="L142" s="431">
        <v>0</v>
      </c>
      <c r="M142" s="447"/>
      <c r="N142" s="447"/>
      <c r="O142" s="13"/>
    </row>
    <row r="143" spans="2:15" s="11" customFormat="1">
      <c r="B143" s="185">
        <f t="shared" si="15"/>
        <v>120</v>
      </c>
      <c r="C143" s="188"/>
      <c r="D143" s="186">
        <v>7</v>
      </c>
      <c r="E143" s="179">
        <f t="shared" si="16"/>
        <v>120</v>
      </c>
      <c r="F143" s="186">
        <v>33.520000000000003</v>
      </c>
      <c r="G143" s="186">
        <f t="shared" si="14"/>
        <v>33.122</v>
      </c>
      <c r="H143" s="187" t="str">
        <f t="shared" si="10"/>
        <v>IN</v>
      </c>
      <c r="I143" s="265">
        <f t="shared" si="12"/>
        <v>3999.5959999999995</v>
      </c>
      <c r="J143" s="265">
        <f t="shared" si="13"/>
        <v>7335.2839999999997</v>
      </c>
      <c r="K143" s="269">
        <f t="shared" si="11"/>
        <v>169.44677941023681</v>
      </c>
      <c r="L143" s="431">
        <v>0</v>
      </c>
      <c r="M143" s="447"/>
      <c r="N143" s="447"/>
      <c r="O143" s="13"/>
    </row>
    <row r="144" spans="2:15" s="11" customFormat="1">
      <c r="B144" s="185">
        <f t="shared" si="15"/>
        <v>121</v>
      </c>
      <c r="C144" s="188"/>
      <c r="D144" s="186">
        <v>7</v>
      </c>
      <c r="E144" s="179">
        <f t="shared" si="16"/>
        <v>121</v>
      </c>
      <c r="F144" s="186">
        <v>33.729999999999997</v>
      </c>
      <c r="G144" s="186">
        <f t="shared" si="14"/>
        <v>33.331999999999994</v>
      </c>
      <c r="H144" s="187" t="str">
        <f t="shared" si="10"/>
        <v>IN</v>
      </c>
      <c r="I144" s="265">
        <f t="shared" si="12"/>
        <v>4032.9279999999994</v>
      </c>
      <c r="J144" s="265">
        <f t="shared" si="13"/>
        <v>7301.9519999999993</v>
      </c>
      <c r="K144" s="269">
        <f t="shared" si="11"/>
        <v>170.15054550343774</v>
      </c>
      <c r="L144" s="431">
        <v>0</v>
      </c>
      <c r="M144" s="447"/>
      <c r="N144" s="447"/>
      <c r="O144" s="13"/>
    </row>
    <row r="145" spans="2:15" s="11" customFormat="1">
      <c r="B145" s="185">
        <f t="shared" si="15"/>
        <v>122</v>
      </c>
      <c r="C145" s="188"/>
      <c r="D145" s="186">
        <v>7</v>
      </c>
      <c r="E145" s="179">
        <f t="shared" si="16"/>
        <v>122</v>
      </c>
      <c r="F145" s="186">
        <v>31.93</v>
      </c>
      <c r="G145" s="186">
        <f t="shared" si="14"/>
        <v>31.532</v>
      </c>
      <c r="H145" s="187" t="str">
        <f t="shared" ref="H145:H208" si="17">IF(F145="","OUT","IN")</f>
        <v>IN</v>
      </c>
      <c r="I145" s="265">
        <f t="shared" si="12"/>
        <v>4064.4599999999996</v>
      </c>
      <c r="J145" s="265">
        <f t="shared" si="13"/>
        <v>7270.42</v>
      </c>
      <c r="K145" s="269">
        <f t="shared" si="11"/>
        <v>170.81630670741023</v>
      </c>
      <c r="L145" s="431">
        <v>0</v>
      </c>
      <c r="M145" s="447"/>
      <c r="N145" s="447"/>
      <c r="O145" s="13"/>
    </row>
    <row r="146" spans="2:15" s="11" customFormat="1">
      <c r="B146" s="185">
        <f t="shared" si="15"/>
        <v>123</v>
      </c>
      <c r="C146" s="188"/>
      <c r="D146" s="186">
        <v>7</v>
      </c>
      <c r="E146" s="179">
        <f t="shared" si="16"/>
        <v>123</v>
      </c>
      <c r="F146" s="186">
        <v>32.130000000000003</v>
      </c>
      <c r="G146" s="186">
        <f t="shared" si="14"/>
        <v>31.732000000000003</v>
      </c>
      <c r="H146" s="187" t="str">
        <f t="shared" si="17"/>
        <v>IN</v>
      </c>
      <c r="I146" s="265">
        <f t="shared" si="12"/>
        <v>4096.192</v>
      </c>
      <c r="J146" s="265">
        <f t="shared" si="13"/>
        <v>7238.6879999999992</v>
      </c>
      <c r="K146" s="269">
        <f t="shared" ref="K146:K209" si="18">$H$9+(I146*$E$10*$H$11/1000)</f>
        <v>171.48629067685255</v>
      </c>
      <c r="L146" s="431">
        <v>0</v>
      </c>
      <c r="M146" s="447"/>
      <c r="N146" s="447"/>
      <c r="O146" s="13"/>
    </row>
    <row r="147" spans="2:15" s="11" customFormat="1">
      <c r="B147" s="185">
        <f t="shared" si="15"/>
        <v>124</v>
      </c>
      <c r="C147" s="188"/>
      <c r="D147" s="186">
        <v>7</v>
      </c>
      <c r="E147" s="179">
        <f t="shared" si="16"/>
        <v>124</v>
      </c>
      <c r="F147" s="186">
        <v>33.549999999999997</v>
      </c>
      <c r="G147" s="186">
        <f t="shared" si="14"/>
        <v>33.151999999999994</v>
      </c>
      <c r="H147" s="187" t="str">
        <f t="shared" si="17"/>
        <v>IN</v>
      </c>
      <c r="I147" s="265">
        <f t="shared" ref="I147:I210" si="19">IF(H147="IN",I146+G147,I146)</f>
        <v>4129.3440000000001</v>
      </c>
      <c r="J147" s="265">
        <f t="shared" ref="J147:J210" si="20">IF(I147="","",$M$9-I147)</f>
        <v>7205.5359999999991</v>
      </c>
      <c r="K147" s="269">
        <f t="shared" si="18"/>
        <v>172.18625628113062</v>
      </c>
      <c r="L147" s="431">
        <v>0</v>
      </c>
      <c r="M147" s="252"/>
      <c r="N147" s="253"/>
      <c r="O147" s="13"/>
    </row>
    <row r="148" spans="2:15" s="11" customFormat="1">
      <c r="B148" s="185">
        <f t="shared" si="15"/>
        <v>125</v>
      </c>
      <c r="C148" s="188"/>
      <c r="D148" s="186">
        <v>7</v>
      </c>
      <c r="E148" s="179">
        <f t="shared" si="16"/>
        <v>125</v>
      </c>
      <c r="F148" s="186">
        <v>32.39</v>
      </c>
      <c r="G148" s="186">
        <f t="shared" si="14"/>
        <v>31.992000000000001</v>
      </c>
      <c r="H148" s="187" t="str">
        <f t="shared" si="17"/>
        <v>IN</v>
      </c>
      <c r="I148" s="265">
        <f t="shared" si="19"/>
        <v>4161.3360000000002</v>
      </c>
      <c r="J148" s="265">
        <f t="shared" si="20"/>
        <v>7173.543999999999</v>
      </c>
      <c r="K148" s="269">
        <f t="shared" si="18"/>
        <v>172.86172984568373</v>
      </c>
      <c r="L148" s="431">
        <v>0</v>
      </c>
      <c r="M148" s="478"/>
      <c r="N148" s="479"/>
      <c r="O148" s="13"/>
    </row>
    <row r="149" spans="2:15" s="11" customFormat="1">
      <c r="B149" s="185">
        <f t="shared" si="15"/>
        <v>126</v>
      </c>
      <c r="C149" s="188"/>
      <c r="D149" s="186">
        <v>7</v>
      </c>
      <c r="E149" s="179">
        <f t="shared" si="16"/>
        <v>126</v>
      </c>
      <c r="F149" s="186">
        <v>33.96</v>
      </c>
      <c r="G149" s="186">
        <f t="shared" si="14"/>
        <v>33.561999999999998</v>
      </c>
      <c r="H149" s="187" t="str">
        <f t="shared" si="17"/>
        <v>IN</v>
      </c>
      <c r="I149" s="265">
        <f t="shared" si="19"/>
        <v>4194.8980000000001</v>
      </c>
      <c r="J149" s="265">
        <f t="shared" si="20"/>
        <v>7139.9819999999991</v>
      </c>
      <c r="K149" s="269">
        <f t="shared" si="18"/>
        <v>173.57035211917494</v>
      </c>
      <c r="L149" s="431">
        <v>0</v>
      </c>
      <c r="M149" s="480"/>
      <c r="N149" s="481"/>
      <c r="O149" s="13"/>
    </row>
    <row r="150" spans="2:15" s="11" customFormat="1">
      <c r="B150" s="185">
        <f t="shared" si="15"/>
        <v>127</v>
      </c>
      <c r="C150" s="185"/>
      <c r="D150" s="186">
        <v>7</v>
      </c>
      <c r="E150" s="179">
        <f t="shared" si="16"/>
        <v>127</v>
      </c>
      <c r="F150" s="186">
        <v>33.200000000000003</v>
      </c>
      <c r="G150" s="186">
        <f t="shared" si="14"/>
        <v>32.802</v>
      </c>
      <c r="H150" s="187" t="str">
        <f t="shared" si="17"/>
        <v>IN</v>
      </c>
      <c r="I150" s="265">
        <f t="shared" si="19"/>
        <v>4227.7</v>
      </c>
      <c r="J150" s="265">
        <f t="shared" si="20"/>
        <v>7107.1799999999994</v>
      </c>
      <c r="K150" s="269">
        <f t="shared" si="18"/>
        <v>174.26292788388082</v>
      </c>
      <c r="L150" s="431">
        <v>0</v>
      </c>
      <c r="M150" s="447"/>
      <c r="N150" s="447"/>
      <c r="O150" s="13"/>
    </row>
    <row r="151" spans="2:15" s="11" customFormat="1">
      <c r="B151" s="185">
        <f t="shared" si="15"/>
        <v>128</v>
      </c>
      <c r="C151" s="185"/>
      <c r="D151" s="186">
        <v>7</v>
      </c>
      <c r="E151" s="179">
        <f t="shared" si="16"/>
        <v>128</v>
      </c>
      <c r="F151" s="186">
        <v>33.08</v>
      </c>
      <c r="G151" s="186">
        <f t="shared" si="14"/>
        <v>32.681999999999995</v>
      </c>
      <c r="H151" s="187" t="str">
        <f t="shared" si="17"/>
        <v>IN</v>
      </c>
      <c r="I151" s="265">
        <f t="shared" si="19"/>
        <v>4260.3819999999996</v>
      </c>
      <c r="J151" s="265">
        <f t="shared" si="20"/>
        <v>7074.4979999999996</v>
      </c>
      <c r="K151" s="269">
        <f t="shared" si="18"/>
        <v>174.95296998930479</v>
      </c>
      <c r="L151" s="431">
        <v>0</v>
      </c>
      <c r="M151" s="447"/>
      <c r="N151" s="447"/>
      <c r="O151" s="13"/>
    </row>
    <row r="152" spans="2:15">
      <c r="B152" s="185">
        <f t="shared" si="15"/>
        <v>129</v>
      </c>
      <c r="C152" s="185"/>
      <c r="D152" s="186">
        <v>7</v>
      </c>
      <c r="E152" s="179">
        <f t="shared" si="16"/>
        <v>129</v>
      </c>
      <c r="F152" s="186">
        <v>33.549999999999997</v>
      </c>
      <c r="G152" s="186">
        <f t="shared" si="14"/>
        <v>33.151999999999994</v>
      </c>
      <c r="H152" s="187" t="str">
        <f t="shared" si="17"/>
        <v>IN</v>
      </c>
      <c r="I152" s="265">
        <f t="shared" si="19"/>
        <v>4293.5339999999997</v>
      </c>
      <c r="J152" s="265">
        <f t="shared" si="20"/>
        <v>7041.3459999999995</v>
      </c>
      <c r="K152" s="269">
        <f t="shared" si="18"/>
        <v>175.65293559358287</v>
      </c>
      <c r="L152" s="431">
        <v>0</v>
      </c>
      <c r="M152" s="447"/>
      <c r="N152" s="447"/>
      <c r="O152" s="13"/>
    </row>
    <row r="153" spans="2:15">
      <c r="B153" s="185">
        <f t="shared" si="15"/>
        <v>130</v>
      </c>
      <c r="C153" s="185"/>
      <c r="D153" s="186">
        <v>7</v>
      </c>
      <c r="E153" s="179">
        <f t="shared" si="16"/>
        <v>130</v>
      </c>
      <c r="F153" s="186">
        <v>33.1</v>
      </c>
      <c r="G153" s="186">
        <f t="shared" ref="G153:G216" si="21">F153-($E$12)</f>
        <v>32.701999999999998</v>
      </c>
      <c r="H153" s="187" t="str">
        <f t="shared" si="17"/>
        <v>IN</v>
      </c>
      <c r="I153" s="265">
        <f t="shared" si="19"/>
        <v>4326.2359999999999</v>
      </c>
      <c r="J153" s="265">
        <f t="shared" si="20"/>
        <v>7008.6439999999993</v>
      </c>
      <c r="K153" s="269">
        <f t="shared" si="18"/>
        <v>176.34339997555387</v>
      </c>
      <c r="L153" s="431">
        <v>0</v>
      </c>
      <c r="M153" s="447"/>
      <c r="N153" s="447"/>
      <c r="O153" s="13"/>
    </row>
    <row r="154" spans="2:15">
      <c r="B154" s="185">
        <f t="shared" si="15"/>
        <v>131</v>
      </c>
      <c r="C154" s="185"/>
      <c r="D154" s="186">
        <v>7</v>
      </c>
      <c r="E154" s="179">
        <f t="shared" si="16"/>
        <v>131</v>
      </c>
      <c r="F154" s="186">
        <v>33.299999999999997</v>
      </c>
      <c r="G154" s="186">
        <f t="shared" si="21"/>
        <v>32.901999999999994</v>
      </c>
      <c r="H154" s="187" t="str">
        <f t="shared" si="17"/>
        <v>IN</v>
      </c>
      <c r="I154" s="265">
        <f t="shared" si="19"/>
        <v>4359.1379999999999</v>
      </c>
      <c r="J154" s="265">
        <f t="shared" si="20"/>
        <v>6975.7419999999993</v>
      </c>
      <c r="K154" s="269">
        <f t="shared" si="18"/>
        <v>177.03808712299468</v>
      </c>
      <c r="L154" s="431">
        <v>0</v>
      </c>
      <c r="M154" s="447"/>
      <c r="N154" s="447"/>
      <c r="O154" s="13"/>
    </row>
    <row r="155" spans="2:15">
      <c r="B155" s="185">
        <f t="shared" ref="B155:B218" si="22">B154+1</f>
        <v>132</v>
      </c>
      <c r="C155" s="185"/>
      <c r="D155" s="186">
        <v>7</v>
      </c>
      <c r="E155" s="179">
        <f t="shared" si="16"/>
        <v>132</v>
      </c>
      <c r="F155" s="186">
        <v>33.81</v>
      </c>
      <c r="G155" s="186">
        <f t="shared" si="21"/>
        <v>33.411999999999999</v>
      </c>
      <c r="H155" s="187" t="str">
        <f t="shared" si="17"/>
        <v>IN</v>
      </c>
      <c r="I155" s="265">
        <f t="shared" si="19"/>
        <v>4392.55</v>
      </c>
      <c r="J155" s="265">
        <f t="shared" si="20"/>
        <v>6942.329999999999</v>
      </c>
      <c r="K155" s="269">
        <f t="shared" si="18"/>
        <v>177.74354232238352</v>
      </c>
      <c r="L155" s="431">
        <v>0</v>
      </c>
      <c r="M155" s="447"/>
      <c r="N155" s="447"/>
      <c r="O155" s="13"/>
    </row>
    <row r="156" spans="2:15">
      <c r="B156" s="185">
        <f t="shared" si="22"/>
        <v>133</v>
      </c>
      <c r="C156" s="185"/>
      <c r="D156" s="186">
        <v>7</v>
      </c>
      <c r="E156" s="179">
        <f t="shared" ref="E156:E219" si="23">E155+1</f>
        <v>133</v>
      </c>
      <c r="F156" s="186">
        <v>33.75</v>
      </c>
      <c r="G156" s="186">
        <f t="shared" si="21"/>
        <v>33.351999999999997</v>
      </c>
      <c r="H156" s="187" t="str">
        <f t="shared" si="17"/>
        <v>IN</v>
      </c>
      <c r="I156" s="265">
        <f t="shared" si="19"/>
        <v>4425.902</v>
      </c>
      <c r="J156" s="265">
        <f t="shared" si="20"/>
        <v>6908.9779999999992</v>
      </c>
      <c r="K156" s="269">
        <f t="shared" si="18"/>
        <v>178.44773069213142</v>
      </c>
      <c r="L156" s="431">
        <v>0</v>
      </c>
      <c r="M156" s="447"/>
      <c r="N156" s="447"/>
      <c r="O156" s="13"/>
    </row>
    <row r="157" spans="2:15">
      <c r="B157" s="185">
        <f t="shared" si="22"/>
        <v>134</v>
      </c>
      <c r="C157" s="185"/>
      <c r="D157" s="186">
        <v>7</v>
      </c>
      <c r="E157" s="179">
        <f t="shared" si="23"/>
        <v>134</v>
      </c>
      <c r="F157" s="186">
        <v>33.5</v>
      </c>
      <c r="G157" s="186">
        <f t="shared" si="21"/>
        <v>33.101999999999997</v>
      </c>
      <c r="H157" s="187" t="str">
        <f t="shared" si="17"/>
        <v>IN</v>
      </c>
      <c r="I157" s="265">
        <f t="shared" si="19"/>
        <v>4459.0039999999999</v>
      </c>
      <c r="J157" s="265">
        <f t="shared" si="20"/>
        <v>6875.8759999999993</v>
      </c>
      <c r="K157" s="269">
        <f t="shared" si="18"/>
        <v>179.14664060504202</v>
      </c>
      <c r="L157" s="431">
        <v>0</v>
      </c>
      <c r="M157" s="447"/>
      <c r="N157" s="447"/>
      <c r="O157" s="13"/>
    </row>
    <row r="158" spans="2:15">
      <c r="B158" s="185">
        <f t="shared" si="22"/>
        <v>135</v>
      </c>
      <c r="C158" s="185"/>
      <c r="D158" s="186">
        <v>7</v>
      </c>
      <c r="E158" s="179">
        <f t="shared" si="23"/>
        <v>135</v>
      </c>
      <c r="F158" s="186">
        <v>33.799999999999997</v>
      </c>
      <c r="G158" s="186">
        <f t="shared" si="21"/>
        <v>33.401999999999994</v>
      </c>
      <c r="H158" s="187" t="str">
        <f t="shared" si="17"/>
        <v>IN</v>
      </c>
      <c r="I158" s="265">
        <f t="shared" si="19"/>
        <v>4492.4059999999999</v>
      </c>
      <c r="J158" s="265">
        <f t="shared" si="20"/>
        <v>6842.4739999999993</v>
      </c>
      <c r="K158" s="269">
        <f t="shared" si="18"/>
        <v>179.85188466615739</v>
      </c>
      <c r="L158" s="431">
        <v>0</v>
      </c>
      <c r="M158" s="447"/>
      <c r="N158" s="447"/>
      <c r="O158" s="13"/>
    </row>
    <row r="159" spans="2:15">
      <c r="B159" s="185">
        <f t="shared" si="22"/>
        <v>136</v>
      </c>
      <c r="C159" s="185"/>
      <c r="D159" s="186">
        <v>7</v>
      </c>
      <c r="E159" s="179">
        <f t="shared" si="23"/>
        <v>136</v>
      </c>
      <c r="F159" s="186">
        <v>33.24</v>
      </c>
      <c r="G159" s="186">
        <f t="shared" si="21"/>
        <v>32.841999999999999</v>
      </c>
      <c r="H159" s="187" t="str">
        <f t="shared" si="17"/>
        <v>IN</v>
      </c>
      <c r="I159" s="265">
        <f t="shared" si="19"/>
        <v>4525.2479999999996</v>
      </c>
      <c r="J159" s="265">
        <f t="shared" si="20"/>
        <v>6809.6319999999996</v>
      </c>
      <c r="K159" s="269">
        <f t="shared" si="18"/>
        <v>180.54530498395724</v>
      </c>
      <c r="L159" s="431">
        <v>0</v>
      </c>
      <c r="M159" s="447"/>
      <c r="N159" s="447"/>
      <c r="O159" s="13"/>
    </row>
    <row r="160" spans="2:15">
      <c r="B160" s="185">
        <f t="shared" si="22"/>
        <v>137</v>
      </c>
      <c r="C160" s="185"/>
      <c r="D160" s="186">
        <v>7</v>
      </c>
      <c r="E160" s="179">
        <f t="shared" si="23"/>
        <v>137</v>
      </c>
      <c r="F160" s="186">
        <v>32.26</v>
      </c>
      <c r="G160" s="186">
        <f t="shared" si="21"/>
        <v>31.861999999999998</v>
      </c>
      <c r="H160" s="187" t="str">
        <f t="shared" si="17"/>
        <v>IN</v>
      </c>
      <c r="I160" s="265">
        <f t="shared" si="19"/>
        <v>4557.1099999999997</v>
      </c>
      <c r="J160" s="265">
        <f t="shared" si="20"/>
        <v>6777.7699999999995</v>
      </c>
      <c r="K160" s="269">
        <f t="shared" si="18"/>
        <v>181.21803375095493</v>
      </c>
      <c r="L160" s="431">
        <v>0</v>
      </c>
      <c r="M160" s="447"/>
      <c r="N160" s="447"/>
      <c r="O160" s="13"/>
    </row>
    <row r="161" spans="2:15">
      <c r="B161" s="185">
        <f t="shared" si="22"/>
        <v>138</v>
      </c>
      <c r="C161" s="185"/>
      <c r="D161" s="186">
        <v>7</v>
      </c>
      <c r="E161" s="179">
        <f t="shared" si="23"/>
        <v>138</v>
      </c>
      <c r="F161" s="186">
        <v>33.270000000000003</v>
      </c>
      <c r="G161" s="186">
        <f t="shared" si="21"/>
        <v>32.872</v>
      </c>
      <c r="H161" s="187" t="str">
        <f t="shared" si="17"/>
        <v>IN</v>
      </c>
      <c r="I161" s="265">
        <f t="shared" si="19"/>
        <v>4589.982</v>
      </c>
      <c r="J161" s="265">
        <f t="shared" si="20"/>
        <v>6744.8979999999992</v>
      </c>
      <c r="K161" s="269">
        <f t="shared" si="18"/>
        <v>181.91208748357525</v>
      </c>
      <c r="L161" s="431">
        <v>0</v>
      </c>
      <c r="M161" s="447"/>
      <c r="N161" s="447"/>
      <c r="O161" s="13"/>
    </row>
    <row r="162" spans="2:15">
      <c r="B162" s="185">
        <f t="shared" si="22"/>
        <v>139</v>
      </c>
      <c r="C162" s="185"/>
      <c r="D162" s="186">
        <v>7</v>
      </c>
      <c r="E162" s="179">
        <f t="shared" si="23"/>
        <v>139</v>
      </c>
      <c r="F162" s="186">
        <v>33.369999999999997</v>
      </c>
      <c r="G162" s="186">
        <f t="shared" si="21"/>
        <v>32.971999999999994</v>
      </c>
      <c r="H162" s="187" t="str">
        <f t="shared" si="17"/>
        <v>IN</v>
      </c>
      <c r="I162" s="265">
        <f t="shared" si="19"/>
        <v>4622.9539999999997</v>
      </c>
      <c r="J162" s="265">
        <f t="shared" si="20"/>
        <v>6711.9259999999995</v>
      </c>
      <c r="K162" s="269">
        <f t="shared" si="18"/>
        <v>182.60825259893048</v>
      </c>
      <c r="L162" s="431">
        <v>0</v>
      </c>
      <c r="M162" s="447"/>
      <c r="N162" s="447"/>
      <c r="O162" s="13"/>
    </row>
    <row r="163" spans="2:15">
      <c r="B163" s="185">
        <f t="shared" si="22"/>
        <v>140</v>
      </c>
      <c r="C163" s="185"/>
      <c r="D163" s="186">
        <v>7</v>
      </c>
      <c r="E163" s="179">
        <f t="shared" si="23"/>
        <v>140</v>
      </c>
      <c r="F163" s="186">
        <v>33.409999999999997</v>
      </c>
      <c r="G163" s="186">
        <f t="shared" si="21"/>
        <v>33.011999999999993</v>
      </c>
      <c r="H163" s="187" t="str">
        <f t="shared" si="17"/>
        <v>IN</v>
      </c>
      <c r="I163" s="265">
        <f t="shared" si="19"/>
        <v>4655.9659999999994</v>
      </c>
      <c r="J163" s="265">
        <f t="shared" si="20"/>
        <v>6678.9139999999998</v>
      </c>
      <c r="K163" s="269">
        <f t="shared" si="18"/>
        <v>183.30526226737967</v>
      </c>
      <c r="L163" s="431">
        <v>0</v>
      </c>
      <c r="M163" s="447"/>
      <c r="N163" s="447"/>
      <c r="O163" s="13"/>
    </row>
    <row r="164" spans="2:15">
      <c r="B164" s="185">
        <f t="shared" si="22"/>
        <v>141</v>
      </c>
      <c r="C164" s="185"/>
      <c r="D164" s="186">
        <v>7</v>
      </c>
      <c r="E164" s="179">
        <f t="shared" si="23"/>
        <v>141</v>
      </c>
      <c r="F164" s="186">
        <v>31.88</v>
      </c>
      <c r="G164" s="186">
        <f t="shared" si="21"/>
        <v>31.481999999999999</v>
      </c>
      <c r="H164" s="187" t="str">
        <f t="shared" si="17"/>
        <v>IN</v>
      </c>
      <c r="I164" s="265">
        <f t="shared" si="19"/>
        <v>4687.4479999999994</v>
      </c>
      <c r="J164" s="265">
        <f t="shared" si="20"/>
        <v>6647.4319999999998</v>
      </c>
      <c r="K164" s="269">
        <f t="shared" si="18"/>
        <v>183.9699677799847</v>
      </c>
      <c r="L164" s="431">
        <v>0</v>
      </c>
      <c r="M164" s="447"/>
      <c r="N164" s="447"/>
      <c r="O164" s="13"/>
    </row>
    <row r="165" spans="2:15">
      <c r="B165" s="185">
        <f t="shared" si="22"/>
        <v>142</v>
      </c>
      <c r="C165" s="185"/>
      <c r="D165" s="186">
        <v>7</v>
      </c>
      <c r="E165" s="179">
        <f t="shared" si="23"/>
        <v>142</v>
      </c>
      <c r="F165" s="186">
        <v>33.65</v>
      </c>
      <c r="G165" s="186">
        <f t="shared" si="21"/>
        <v>33.251999999999995</v>
      </c>
      <c r="H165" s="187" t="str">
        <f t="shared" si="17"/>
        <v>IN</v>
      </c>
      <c r="I165" s="265">
        <f t="shared" si="19"/>
        <v>4720.7</v>
      </c>
      <c r="J165" s="265">
        <f t="shared" si="20"/>
        <v>6614.1799999999994</v>
      </c>
      <c r="K165" s="269">
        <f t="shared" si="18"/>
        <v>184.67204476699771</v>
      </c>
      <c r="L165" s="431">
        <v>0</v>
      </c>
      <c r="M165" s="447"/>
      <c r="N165" s="447"/>
      <c r="O165" s="13"/>
    </row>
    <row r="166" spans="2:15">
      <c r="B166" s="185">
        <f t="shared" si="22"/>
        <v>143</v>
      </c>
      <c r="C166" s="185"/>
      <c r="D166" s="186">
        <v>7</v>
      </c>
      <c r="E166" s="179">
        <f t="shared" si="23"/>
        <v>143</v>
      </c>
      <c r="F166" s="186">
        <v>33.049999999999997</v>
      </c>
      <c r="G166" s="186">
        <f t="shared" si="21"/>
        <v>32.651999999999994</v>
      </c>
      <c r="H166" s="187" t="str">
        <f t="shared" si="17"/>
        <v>IN</v>
      </c>
      <c r="I166" s="265">
        <f t="shared" si="19"/>
        <v>4753.3519999999999</v>
      </c>
      <c r="J166" s="265">
        <f t="shared" si="20"/>
        <v>6581.5279999999993</v>
      </c>
      <c r="K166" s="269">
        <f t="shared" si="18"/>
        <v>185.36145345760121</v>
      </c>
      <c r="L166" s="431">
        <v>0</v>
      </c>
      <c r="M166" s="447"/>
      <c r="N166" s="447"/>
      <c r="O166" s="13"/>
    </row>
    <row r="167" spans="2:15">
      <c r="B167" s="185">
        <f t="shared" si="22"/>
        <v>144</v>
      </c>
      <c r="C167" s="185"/>
      <c r="D167" s="186">
        <v>7</v>
      </c>
      <c r="E167" s="179">
        <f t="shared" si="23"/>
        <v>144</v>
      </c>
      <c r="F167" s="186">
        <v>33.33</v>
      </c>
      <c r="G167" s="186">
        <f t="shared" si="21"/>
        <v>32.931999999999995</v>
      </c>
      <c r="H167" s="187" t="str">
        <f t="shared" si="17"/>
        <v>IN</v>
      </c>
      <c r="I167" s="265">
        <f t="shared" si="19"/>
        <v>4786.2839999999997</v>
      </c>
      <c r="J167" s="265">
        <f t="shared" si="20"/>
        <v>6548.5959999999995</v>
      </c>
      <c r="K167" s="269">
        <f t="shared" si="18"/>
        <v>186.05677401986247</v>
      </c>
      <c r="L167" s="431">
        <v>0</v>
      </c>
      <c r="M167" s="447"/>
      <c r="N167" s="447"/>
      <c r="O167" s="13"/>
    </row>
    <row r="168" spans="2:15">
      <c r="B168" s="185">
        <f t="shared" si="22"/>
        <v>145</v>
      </c>
      <c r="C168" s="185"/>
      <c r="D168" s="186">
        <v>7</v>
      </c>
      <c r="E168" s="179">
        <f t="shared" si="23"/>
        <v>145</v>
      </c>
      <c r="F168" s="186">
        <v>33.35</v>
      </c>
      <c r="G168" s="186">
        <f t="shared" si="21"/>
        <v>32.951999999999998</v>
      </c>
      <c r="H168" s="187" t="str">
        <f t="shared" si="17"/>
        <v>IN</v>
      </c>
      <c r="I168" s="265">
        <f t="shared" si="19"/>
        <v>4819.2359999999999</v>
      </c>
      <c r="J168" s="265">
        <f t="shared" si="20"/>
        <v>6515.6439999999993</v>
      </c>
      <c r="K168" s="269">
        <f t="shared" si="18"/>
        <v>186.75251685867073</v>
      </c>
      <c r="L168" s="431">
        <v>0</v>
      </c>
      <c r="M168" s="447"/>
      <c r="N168" s="447"/>
      <c r="O168" s="13"/>
    </row>
    <row r="169" spans="2:15">
      <c r="B169" s="185">
        <f t="shared" si="22"/>
        <v>146</v>
      </c>
      <c r="C169" s="185"/>
      <c r="D169" s="186">
        <v>7</v>
      </c>
      <c r="E169" s="179">
        <f t="shared" si="23"/>
        <v>146</v>
      </c>
      <c r="F169" s="186">
        <v>33.19</v>
      </c>
      <c r="G169" s="186">
        <f t="shared" si="21"/>
        <v>32.791999999999994</v>
      </c>
      <c r="H169" s="187" t="str">
        <f t="shared" si="17"/>
        <v>IN</v>
      </c>
      <c r="I169" s="265">
        <f t="shared" si="19"/>
        <v>4852.0280000000002</v>
      </c>
      <c r="J169" s="265">
        <f t="shared" si="20"/>
        <v>6482.851999999999</v>
      </c>
      <c r="K169" s="269">
        <f t="shared" si="18"/>
        <v>187.44488148510314</v>
      </c>
      <c r="L169" s="431">
        <v>0</v>
      </c>
      <c r="M169" s="447"/>
      <c r="N169" s="447"/>
      <c r="O169" s="13"/>
    </row>
    <row r="170" spans="2:15">
      <c r="B170" s="185">
        <f t="shared" si="22"/>
        <v>147</v>
      </c>
      <c r="C170" s="185"/>
      <c r="D170" s="186">
        <v>7</v>
      </c>
      <c r="E170" s="179">
        <f t="shared" si="23"/>
        <v>147</v>
      </c>
      <c r="F170" s="186">
        <v>33.35</v>
      </c>
      <c r="G170" s="186">
        <f t="shared" si="21"/>
        <v>32.951999999999998</v>
      </c>
      <c r="H170" s="187" t="str">
        <f t="shared" si="17"/>
        <v>IN</v>
      </c>
      <c r="I170" s="265">
        <f t="shared" si="19"/>
        <v>4884.9800000000005</v>
      </c>
      <c r="J170" s="265">
        <f t="shared" si="20"/>
        <v>6449.8999999999987</v>
      </c>
      <c r="K170" s="269">
        <f t="shared" si="18"/>
        <v>188.1406243239114</v>
      </c>
      <c r="L170" s="431">
        <v>0</v>
      </c>
      <c r="M170" s="447"/>
      <c r="N170" s="447"/>
      <c r="O170" s="13"/>
    </row>
    <row r="171" spans="2:15">
      <c r="B171" s="185">
        <f t="shared" si="22"/>
        <v>148</v>
      </c>
      <c r="C171" s="185"/>
      <c r="D171" s="186">
        <v>7</v>
      </c>
      <c r="E171" s="179">
        <f t="shared" si="23"/>
        <v>148</v>
      </c>
      <c r="F171" s="186">
        <v>33.1</v>
      </c>
      <c r="G171" s="186">
        <f t="shared" si="21"/>
        <v>32.701999999999998</v>
      </c>
      <c r="H171" s="187" t="str">
        <f t="shared" si="17"/>
        <v>IN</v>
      </c>
      <c r="I171" s="265">
        <f t="shared" si="19"/>
        <v>4917.6820000000007</v>
      </c>
      <c r="J171" s="265">
        <f t="shared" si="20"/>
        <v>6417.1979999999985</v>
      </c>
      <c r="K171" s="269">
        <f t="shared" si="18"/>
        <v>188.83108870588237</v>
      </c>
      <c r="L171" s="431">
        <v>0</v>
      </c>
      <c r="M171" s="447"/>
      <c r="N171" s="447"/>
      <c r="O171" s="13"/>
    </row>
    <row r="172" spans="2:15">
      <c r="B172" s="185">
        <f t="shared" si="22"/>
        <v>149</v>
      </c>
      <c r="C172" s="185"/>
      <c r="D172" s="186">
        <v>7</v>
      </c>
      <c r="E172" s="179">
        <f t="shared" si="23"/>
        <v>149</v>
      </c>
      <c r="F172" s="186">
        <v>32.5</v>
      </c>
      <c r="G172" s="186">
        <f t="shared" si="21"/>
        <v>32.101999999999997</v>
      </c>
      <c r="H172" s="187" t="str">
        <f t="shared" si="17"/>
        <v>IN</v>
      </c>
      <c r="I172" s="265">
        <f t="shared" si="19"/>
        <v>4949.7840000000006</v>
      </c>
      <c r="J172" s="265">
        <f t="shared" si="20"/>
        <v>6385.0959999999986</v>
      </c>
      <c r="K172" s="269">
        <f t="shared" si="18"/>
        <v>189.50888479144385</v>
      </c>
      <c r="L172" s="431">
        <v>0</v>
      </c>
      <c r="M172" s="447"/>
      <c r="N172" s="447"/>
      <c r="O172" s="13"/>
    </row>
    <row r="173" spans="2:15">
      <c r="B173" s="185">
        <f t="shared" si="22"/>
        <v>150</v>
      </c>
      <c r="C173" s="185"/>
      <c r="D173" s="186">
        <v>7</v>
      </c>
      <c r="E173" s="179">
        <f t="shared" si="23"/>
        <v>150</v>
      </c>
      <c r="F173" s="186">
        <v>33.15</v>
      </c>
      <c r="G173" s="186">
        <f t="shared" si="21"/>
        <v>32.751999999999995</v>
      </c>
      <c r="H173" s="187" t="str">
        <f t="shared" si="17"/>
        <v>IN</v>
      </c>
      <c r="I173" s="265">
        <f t="shared" si="19"/>
        <v>4982.536000000001</v>
      </c>
      <c r="J173" s="265">
        <f t="shared" si="20"/>
        <v>6352.3439999999982</v>
      </c>
      <c r="K173" s="269">
        <f t="shared" si="18"/>
        <v>190.20040486478231</v>
      </c>
      <c r="L173" s="431">
        <v>0</v>
      </c>
      <c r="M173" s="447"/>
      <c r="N173" s="447"/>
      <c r="O173" s="13"/>
    </row>
    <row r="174" spans="2:15">
      <c r="B174" s="185">
        <f t="shared" si="22"/>
        <v>151</v>
      </c>
      <c r="C174" s="185"/>
      <c r="D174" s="186">
        <v>7</v>
      </c>
      <c r="E174" s="179">
        <f t="shared" si="23"/>
        <v>151</v>
      </c>
      <c r="F174" s="186">
        <v>33.369999999999997</v>
      </c>
      <c r="G174" s="186">
        <f t="shared" si="21"/>
        <v>32.971999999999994</v>
      </c>
      <c r="H174" s="187" t="str">
        <f t="shared" si="17"/>
        <v>IN</v>
      </c>
      <c r="I174" s="265">
        <f t="shared" si="19"/>
        <v>5015.5080000000007</v>
      </c>
      <c r="J174" s="265">
        <f t="shared" si="20"/>
        <v>6319.3719999999985</v>
      </c>
      <c r="K174" s="269">
        <f t="shared" si="18"/>
        <v>190.89656998013754</v>
      </c>
      <c r="L174" s="431">
        <v>0</v>
      </c>
      <c r="M174" s="447"/>
      <c r="N174" s="447"/>
      <c r="O174" s="13"/>
    </row>
    <row r="175" spans="2:15">
      <c r="B175" s="185">
        <f t="shared" si="22"/>
        <v>152</v>
      </c>
      <c r="C175" s="185"/>
      <c r="D175" s="186">
        <v>7</v>
      </c>
      <c r="E175" s="179">
        <f t="shared" si="23"/>
        <v>152</v>
      </c>
      <c r="F175" s="186">
        <v>31.57</v>
      </c>
      <c r="G175" s="186">
        <f t="shared" si="21"/>
        <v>31.172000000000001</v>
      </c>
      <c r="H175" s="187" t="str">
        <f t="shared" si="17"/>
        <v>IN</v>
      </c>
      <c r="I175" s="265">
        <f t="shared" si="19"/>
        <v>5046.68</v>
      </c>
      <c r="J175" s="265">
        <f t="shared" si="20"/>
        <v>6288.1999999999989</v>
      </c>
      <c r="K175" s="269">
        <f t="shared" si="18"/>
        <v>191.55473020626431</v>
      </c>
      <c r="L175" s="431">
        <v>0</v>
      </c>
      <c r="M175" s="447"/>
      <c r="N175" s="447"/>
      <c r="O175" s="13"/>
    </row>
    <row r="176" spans="2:15">
      <c r="B176" s="185">
        <f t="shared" si="22"/>
        <v>153</v>
      </c>
      <c r="C176" s="185"/>
      <c r="D176" s="186">
        <v>7</v>
      </c>
      <c r="E176" s="179">
        <f t="shared" si="23"/>
        <v>153</v>
      </c>
      <c r="F176" s="186">
        <v>33.15</v>
      </c>
      <c r="G176" s="186">
        <f t="shared" si="21"/>
        <v>32.751999999999995</v>
      </c>
      <c r="H176" s="187" t="str">
        <f t="shared" si="17"/>
        <v>IN</v>
      </c>
      <c r="I176" s="265">
        <f t="shared" si="19"/>
        <v>5079.4320000000007</v>
      </c>
      <c r="J176" s="265">
        <f t="shared" si="20"/>
        <v>6255.4479999999985</v>
      </c>
      <c r="K176" s="269">
        <f t="shared" si="18"/>
        <v>192.24625027960278</v>
      </c>
      <c r="L176" s="431">
        <v>0</v>
      </c>
      <c r="M176" s="447"/>
      <c r="N176" s="447"/>
      <c r="O176" s="13"/>
    </row>
    <row r="177" spans="2:15">
      <c r="B177" s="185">
        <f t="shared" si="22"/>
        <v>154</v>
      </c>
      <c r="C177" s="185"/>
      <c r="D177" s="186">
        <v>7</v>
      </c>
      <c r="E177" s="179">
        <f t="shared" si="23"/>
        <v>154</v>
      </c>
      <c r="F177" s="186">
        <v>33.46</v>
      </c>
      <c r="G177" s="186">
        <f t="shared" si="21"/>
        <v>33.061999999999998</v>
      </c>
      <c r="H177" s="187" t="str">
        <f t="shared" si="17"/>
        <v>IN</v>
      </c>
      <c r="I177" s="265">
        <f t="shared" si="19"/>
        <v>5112.4940000000006</v>
      </c>
      <c r="J177" s="265">
        <f t="shared" si="20"/>
        <v>6222.3859999999986</v>
      </c>
      <c r="K177" s="269">
        <f t="shared" si="18"/>
        <v>192.94431563941941</v>
      </c>
      <c r="L177" s="431">
        <v>0</v>
      </c>
      <c r="M177" s="447"/>
      <c r="N177" s="447"/>
      <c r="O177" s="13"/>
    </row>
    <row r="178" spans="2:15">
      <c r="B178" s="185">
        <f t="shared" si="22"/>
        <v>155</v>
      </c>
      <c r="C178" s="185"/>
      <c r="D178" s="186">
        <v>7</v>
      </c>
      <c r="E178" s="179">
        <f t="shared" si="23"/>
        <v>155</v>
      </c>
      <c r="F178" s="186">
        <v>33.200000000000003</v>
      </c>
      <c r="G178" s="186">
        <f t="shared" si="21"/>
        <v>32.802</v>
      </c>
      <c r="H178" s="187" t="str">
        <f t="shared" si="17"/>
        <v>IN</v>
      </c>
      <c r="I178" s="265">
        <f t="shared" si="19"/>
        <v>5145.2960000000003</v>
      </c>
      <c r="J178" s="265">
        <f t="shared" si="20"/>
        <v>6189.5839999999989</v>
      </c>
      <c r="K178" s="269">
        <f t="shared" si="18"/>
        <v>193.63689140412529</v>
      </c>
      <c r="L178" s="431">
        <v>0</v>
      </c>
      <c r="M178" s="447"/>
      <c r="N178" s="447"/>
      <c r="O178" s="13"/>
    </row>
    <row r="179" spans="2:15">
      <c r="B179" s="185">
        <f t="shared" si="22"/>
        <v>156</v>
      </c>
      <c r="C179" s="185"/>
      <c r="D179" s="186">
        <v>7</v>
      </c>
      <c r="E179" s="179">
        <f t="shared" si="23"/>
        <v>156</v>
      </c>
      <c r="F179" s="186">
        <v>33.340000000000003</v>
      </c>
      <c r="G179" s="186">
        <f t="shared" si="21"/>
        <v>32.942</v>
      </c>
      <c r="H179" s="187" t="str">
        <f t="shared" si="17"/>
        <v>IN</v>
      </c>
      <c r="I179" s="265">
        <f t="shared" si="19"/>
        <v>5178.2380000000003</v>
      </c>
      <c r="J179" s="265">
        <f t="shared" si="20"/>
        <v>6156.6419999999989</v>
      </c>
      <c r="K179" s="269">
        <f t="shared" si="18"/>
        <v>194.33242310466005</v>
      </c>
      <c r="L179" s="431">
        <v>0</v>
      </c>
      <c r="M179" s="447"/>
      <c r="N179" s="447"/>
      <c r="O179" s="13"/>
    </row>
    <row r="180" spans="2:15">
      <c r="B180" s="185">
        <f t="shared" si="22"/>
        <v>157</v>
      </c>
      <c r="C180" s="185"/>
      <c r="D180" s="186">
        <v>7</v>
      </c>
      <c r="E180" s="179">
        <f t="shared" si="23"/>
        <v>157</v>
      </c>
      <c r="F180" s="396">
        <v>33.51</v>
      </c>
      <c r="G180" s="186">
        <f t="shared" si="21"/>
        <v>33.111999999999995</v>
      </c>
      <c r="H180" s="187" t="str">
        <f t="shared" si="17"/>
        <v>IN</v>
      </c>
      <c r="I180" s="265">
        <f t="shared" si="19"/>
        <v>5211.3500000000004</v>
      </c>
      <c r="J180" s="265">
        <f t="shared" si="20"/>
        <v>6123.5299999999988</v>
      </c>
      <c r="K180" s="269">
        <f t="shared" si="18"/>
        <v>195.03154415584419</v>
      </c>
      <c r="L180" s="431">
        <v>0</v>
      </c>
      <c r="M180" s="447"/>
      <c r="N180" s="447"/>
      <c r="O180" s="13"/>
    </row>
    <row r="181" spans="2:15">
      <c r="B181" s="185">
        <f t="shared" si="22"/>
        <v>158</v>
      </c>
      <c r="C181" s="185"/>
      <c r="D181" s="186">
        <v>7</v>
      </c>
      <c r="E181" s="179">
        <f t="shared" si="23"/>
        <v>158</v>
      </c>
      <c r="F181" s="396">
        <v>33.46</v>
      </c>
      <c r="G181" s="186">
        <f t="shared" si="21"/>
        <v>33.061999999999998</v>
      </c>
      <c r="H181" s="187" t="str">
        <f t="shared" si="17"/>
        <v>IN</v>
      </c>
      <c r="I181" s="265">
        <f t="shared" si="19"/>
        <v>5244.4120000000003</v>
      </c>
      <c r="J181" s="265">
        <f t="shared" si="20"/>
        <v>6090.4679999999989</v>
      </c>
      <c r="K181" s="269">
        <f t="shared" si="18"/>
        <v>195.72960951566083</v>
      </c>
      <c r="L181" s="431">
        <v>0</v>
      </c>
      <c r="M181" s="447"/>
      <c r="N181" s="447"/>
      <c r="O181" s="13"/>
    </row>
    <row r="182" spans="2:15">
      <c r="B182" s="185">
        <f t="shared" si="22"/>
        <v>159</v>
      </c>
      <c r="C182" s="185"/>
      <c r="D182" s="186">
        <v>7</v>
      </c>
      <c r="E182" s="179">
        <f t="shared" si="23"/>
        <v>159</v>
      </c>
      <c r="F182" s="396">
        <v>33.409999999999997</v>
      </c>
      <c r="G182" s="186">
        <f t="shared" si="21"/>
        <v>33.011999999999993</v>
      </c>
      <c r="H182" s="187" t="str">
        <f t="shared" si="17"/>
        <v>IN</v>
      </c>
      <c r="I182" s="265">
        <f t="shared" si="19"/>
        <v>5277.424</v>
      </c>
      <c r="J182" s="265">
        <f t="shared" si="20"/>
        <v>6057.4559999999992</v>
      </c>
      <c r="K182" s="269">
        <f t="shared" si="18"/>
        <v>196.42661918411002</v>
      </c>
      <c r="L182" s="431">
        <v>0</v>
      </c>
      <c r="M182" s="447"/>
      <c r="N182" s="447"/>
      <c r="O182" s="13"/>
    </row>
    <row r="183" spans="2:15">
      <c r="B183" s="185">
        <f t="shared" si="22"/>
        <v>160</v>
      </c>
      <c r="C183" s="185"/>
      <c r="D183" s="186">
        <v>7</v>
      </c>
      <c r="E183" s="179">
        <f t="shared" si="23"/>
        <v>160</v>
      </c>
      <c r="F183" s="396">
        <v>33.49</v>
      </c>
      <c r="G183" s="186">
        <f t="shared" si="21"/>
        <v>33.091999999999999</v>
      </c>
      <c r="H183" s="187" t="str">
        <f t="shared" si="17"/>
        <v>IN</v>
      </c>
      <c r="I183" s="265">
        <f t="shared" si="19"/>
        <v>5310.5159999999996</v>
      </c>
      <c r="J183" s="265">
        <f t="shared" si="20"/>
        <v>6024.3639999999996</v>
      </c>
      <c r="K183" s="269">
        <f t="shared" si="18"/>
        <v>197.12531795874713</v>
      </c>
      <c r="L183" s="431">
        <v>0</v>
      </c>
      <c r="M183" s="447"/>
      <c r="N183" s="447"/>
      <c r="O183" s="13"/>
    </row>
    <row r="184" spans="2:15">
      <c r="B184" s="185">
        <f t="shared" si="22"/>
        <v>161</v>
      </c>
      <c r="C184" s="185"/>
      <c r="D184" s="186">
        <v>7</v>
      </c>
      <c r="E184" s="179">
        <f t="shared" si="23"/>
        <v>161</v>
      </c>
      <c r="F184" s="396">
        <v>33.15</v>
      </c>
      <c r="G184" s="186">
        <f t="shared" si="21"/>
        <v>32.751999999999995</v>
      </c>
      <c r="H184" s="187" t="str">
        <f t="shared" si="17"/>
        <v>IN</v>
      </c>
      <c r="I184" s="265">
        <f t="shared" si="19"/>
        <v>5343.268</v>
      </c>
      <c r="J184" s="265">
        <f t="shared" si="20"/>
        <v>5991.6119999999992</v>
      </c>
      <c r="K184" s="269">
        <f t="shared" si="18"/>
        <v>197.81683803208557</v>
      </c>
      <c r="L184" s="431">
        <v>0</v>
      </c>
      <c r="M184" s="447"/>
      <c r="N184" s="447"/>
      <c r="O184" s="13"/>
    </row>
    <row r="185" spans="2:15">
      <c r="B185" s="185">
        <f t="shared" si="22"/>
        <v>162</v>
      </c>
      <c r="C185" s="185"/>
      <c r="D185" s="186">
        <v>7</v>
      </c>
      <c r="E185" s="179">
        <f t="shared" si="23"/>
        <v>162</v>
      </c>
      <c r="F185" s="396">
        <v>33.270000000000003</v>
      </c>
      <c r="G185" s="186">
        <f t="shared" si="21"/>
        <v>32.872</v>
      </c>
      <c r="H185" s="187" t="str">
        <f t="shared" si="17"/>
        <v>IN</v>
      </c>
      <c r="I185" s="265">
        <f t="shared" si="19"/>
        <v>5376.14</v>
      </c>
      <c r="J185" s="265">
        <f t="shared" si="20"/>
        <v>5958.7399999999989</v>
      </c>
      <c r="K185" s="269">
        <f t="shared" si="18"/>
        <v>198.51089176470589</v>
      </c>
      <c r="L185" s="431">
        <v>0</v>
      </c>
      <c r="M185" s="447"/>
      <c r="N185" s="447"/>
      <c r="O185" s="13"/>
    </row>
    <row r="186" spans="2:15">
      <c r="B186" s="185">
        <f t="shared" si="22"/>
        <v>163</v>
      </c>
      <c r="C186" s="185"/>
      <c r="D186" s="186">
        <v>7</v>
      </c>
      <c r="E186" s="179">
        <f t="shared" si="23"/>
        <v>163</v>
      </c>
      <c r="F186" s="396">
        <v>33.57</v>
      </c>
      <c r="G186" s="186">
        <f t="shared" si="21"/>
        <v>33.171999999999997</v>
      </c>
      <c r="H186" s="187" t="str">
        <f t="shared" si="17"/>
        <v>IN</v>
      </c>
      <c r="I186" s="265">
        <f t="shared" si="19"/>
        <v>5409.3119999999999</v>
      </c>
      <c r="J186" s="265">
        <f t="shared" si="20"/>
        <v>5925.5679999999993</v>
      </c>
      <c r="K186" s="269">
        <f t="shared" si="18"/>
        <v>199.21127964553094</v>
      </c>
      <c r="L186" s="431">
        <v>0</v>
      </c>
      <c r="M186" s="447"/>
      <c r="N186" s="447"/>
      <c r="O186" s="13"/>
    </row>
    <row r="187" spans="2:15">
      <c r="B187" s="185">
        <f t="shared" si="22"/>
        <v>164</v>
      </c>
      <c r="C187" s="185"/>
      <c r="D187" s="186">
        <v>7</v>
      </c>
      <c r="E187" s="179">
        <f t="shared" si="23"/>
        <v>164</v>
      </c>
      <c r="F187" s="396">
        <v>31.34</v>
      </c>
      <c r="G187" s="186">
        <f t="shared" si="21"/>
        <v>30.942</v>
      </c>
      <c r="H187" s="187" t="str">
        <f t="shared" si="17"/>
        <v>IN</v>
      </c>
      <c r="I187" s="265">
        <f t="shared" si="19"/>
        <v>5440.2539999999999</v>
      </c>
      <c r="J187" s="265">
        <f t="shared" si="20"/>
        <v>5894.6259999999993</v>
      </c>
      <c r="K187" s="269">
        <f t="shared" si="18"/>
        <v>199.86458369136744</v>
      </c>
      <c r="L187" s="431">
        <v>0</v>
      </c>
      <c r="M187" s="447"/>
      <c r="N187" s="447"/>
      <c r="O187" s="13"/>
    </row>
    <row r="188" spans="2:15">
      <c r="B188" s="185">
        <f t="shared" si="22"/>
        <v>165</v>
      </c>
      <c r="C188" s="185"/>
      <c r="D188" s="186">
        <v>7</v>
      </c>
      <c r="E188" s="179">
        <f t="shared" si="23"/>
        <v>165</v>
      </c>
      <c r="F188" s="396">
        <v>33.25</v>
      </c>
      <c r="G188" s="186">
        <f t="shared" si="21"/>
        <v>32.851999999999997</v>
      </c>
      <c r="H188" s="187" t="str">
        <f t="shared" si="17"/>
        <v>IN</v>
      </c>
      <c r="I188" s="265">
        <f t="shared" si="19"/>
        <v>5473.1059999999998</v>
      </c>
      <c r="J188" s="265">
        <f t="shared" si="20"/>
        <v>5861.7739999999994</v>
      </c>
      <c r="K188" s="269">
        <f t="shared" si="18"/>
        <v>200.55821514744082</v>
      </c>
      <c r="L188" s="431">
        <v>0</v>
      </c>
      <c r="M188" s="447"/>
      <c r="N188" s="447"/>
      <c r="O188" s="13"/>
    </row>
    <row r="189" spans="2:15">
      <c r="B189" s="185">
        <f t="shared" si="22"/>
        <v>166</v>
      </c>
      <c r="C189" s="185"/>
      <c r="D189" s="186">
        <v>7</v>
      </c>
      <c r="E189" s="179">
        <f t="shared" si="23"/>
        <v>166</v>
      </c>
      <c r="F189" s="396">
        <v>33.270000000000003</v>
      </c>
      <c r="G189" s="186">
        <f t="shared" si="21"/>
        <v>32.872</v>
      </c>
      <c r="H189" s="187" t="str">
        <f t="shared" si="17"/>
        <v>IN</v>
      </c>
      <c r="I189" s="265">
        <f t="shared" si="19"/>
        <v>5505.9780000000001</v>
      </c>
      <c r="J189" s="265">
        <f t="shared" si="20"/>
        <v>5828.9019999999991</v>
      </c>
      <c r="K189" s="269">
        <f t="shared" si="18"/>
        <v>201.25226888006114</v>
      </c>
      <c r="L189" s="431">
        <v>0</v>
      </c>
      <c r="M189" s="447"/>
      <c r="N189" s="447"/>
      <c r="O189" s="13"/>
    </row>
    <row r="190" spans="2:15">
      <c r="B190" s="185">
        <f t="shared" si="22"/>
        <v>167</v>
      </c>
      <c r="C190" s="185"/>
      <c r="D190" s="186">
        <v>7</v>
      </c>
      <c r="E190" s="179">
        <f t="shared" si="23"/>
        <v>167</v>
      </c>
      <c r="F190" s="186">
        <v>33.26</v>
      </c>
      <c r="G190" s="186">
        <f t="shared" si="21"/>
        <v>32.861999999999995</v>
      </c>
      <c r="H190" s="187" t="str">
        <f t="shared" si="17"/>
        <v>IN</v>
      </c>
      <c r="I190" s="265">
        <f t="shared" si="19"/>
        <v>5538.84</v>
      </c>
      <c r="J190" s="265">
        <f t="shared" si="20"/>
        <v>5796.0399999999991</v>
      </c>
      <c r="K190" s="269">
        <f t="shared" si="18"/>
        <v>201.94611147440796</v>
      </c>
      <c r="L190" s="431">
        <v>0</v>
      </c>
      <c r="M190" s="447"/>
      <c r="N190" s="447"/>
      <c r="O190" s="13"/>
    </row>
    <row r="191" spans="2:15">
      <c r="B191" s="185">
        <f t="shared" si="22"/>
        <v>168</v>
      </c>
      <c r="C191" s="185"/>
      <c r="D191" s="186">
        <v>7</v>
      </c>
      <c r="E191" s="179">
        <f t="shared" si="23"/>
        <v>168</v>
      </c>
      <c r="F191" s="186">
        <v>33.74</v>
      </c>
      <c r="G191" s="186">
        <f t="shared" si="21"/>
        <v>33.341999999999999</v>
      </c>
      <c r="H191" s="187" t="str">
        <f t="shared" si="17"/>
        <v>IN</v>
      </c>
      <c r="I191" s="265">
        <f t="shared" si="19"/>
        <v>5572.1819999999998</v>
      </c>
      <c r="J191" s="265">
        <f t="shared" si="20"/>
        <v>5762.6979999999994</v>
      </c>
      <c r="K191" s="269">
        <f t="shared" si="18"/>
        <v>202.65008870588235</v>
      </c>
      <c r="L191" s="431">
        <v>0</v>
      </c>
      <c r="M191" s="447"/>
      <c r="N191" s="447"/>
      <c r="O191" s="13"/>
    </row>
    <row r="192" spans="2:15">
      <c r="B192" s="185">
        <f t="shared" si="22"/>
        <v>169</v>
      </c>
      <c r="C192" s="185"/>
      <c r="D192" s="186">
        <v>7</v>
      </c>
      <c r="E192" s="179">
        <f t="shared" si="23"/>
        <v>169</v>
      </c>
      <c r="F192" s="186">
        <v>33.549999999999997</v>
      </c>
      <c r="G192" s="186">
        <f t="shared" si="21"/>
        <v>33.151999999999994</v>
      </c>
      <c r="H192" s="187" t="str">
        <f t="shared" si="17"/>
        <v>IN</v>
      </c>
      <c r="I192" s="265">
        <f t="shared" si="19"/>
        <v>5605.3339999999998</v>
      </c>
      <c r="J192" s="265">
        <f t="shared" si="20"/>
        <v>5729.5459999999994</v>
      </c>
      <c r="K192" s="269">
        <f t="shared" si="18"/>
        <v>203.35005431016043</v>
      </c>
      <c r="L192" s="431">
        <v>0</v>
      </c>
      <c r="M192" s="447"/>
      <c r="N192" s="447"/>
      <c r="O192" s="13"/>
    </row>
    <row r="193" spans="2:15">
      <c r="B193" s="185">
        <f t="shared" si="22"/>
        <v>170</v>
      </c>
      <c r="C193" s="185"/>
      <c r="D193" s="186">
        <v>7</v>
      </c>
      <c r="E193" s="179">
        <f t="shared" si="23"/>
        <v>170</v>
      </c>
      <c r="F193" s="186">
        <v>33.229999999999997</v>
      </c>
      <c r="G193" s="186">
        <f t="shared" si="21"/>
        <v>32.831999999999994</v>
      </c>
      <c r="H193" s="187" t="str">
        <f t="shared" si="17"/>
        <v>IN</v>
      </c>
      <c r="I193" s="265">
        <f t="shared" si="19"/>
        <v>5638.1660000000002</v>
      </c>
      <c r="J193" s="265">
        <f t="shared" si="20"/>
        <v>5696.713999999999</v>
      </c>
      <c r="K193" s="269">
        <f t="shared" si="18"/>
        <v>204.04326348968678</v>
      </c>
      <c r="L193" s="431">
        <v>0</v>
      </c>
      <c r="M193" s="447"/>
      <c r="N193" s="447"/>
      <c r="O193" s="13"/>
    </row>
    <row r="194" spans="2:15">
      <c r="B194" s="185">
        <f t="shared" si="22"/>
        <v>171</v>
      </c>
      <c r="C194" s="185"/>
      <c r="D194" s="186">
        <v>7</v>
      </c>
      <c r="E194" s="179">
        <f t="shared" si="23"/>
        <v>171</v>
      </c>
      <c r="F194" s="186">
        <v>33.53</v>
      </c>
      <c r="G194" s="186">
        <f t="shared" si="21"/>
        <v>33.131999999999998</v>
      </c>
      <c r="H194" s="187" t="str">
        <f t="shared" si="17"/>
        <v>IN</v>
      </c>
      <c r="I194" s="265">
        <f t="shared" si="19"/>
        <v>5671.2979999999998</v>
      </c>
      <c r="J194" s="265">
        <f t="shared" si="20"/>
        <v>5663.5819999999994</v>
      </c>
      <c r="K194" s="269">
        <f t="shared" si="18"/>
        <v>204.74280681741789</v>
      </c>
      <c r="L194" s="431">
        <v>0</v>
      </c>
      <c r="M194" s="447"/>
      <c r="N194" s="447"/>
      <c r="O194" s="13"/>
    </row>
    <row r="195" spans="2:15">
      <c r="B195" s="185">
        <f t="shared" si="22"/>
        <v>172</v>
      </c>
      <c r="C195" s="185"/>
      <c r="D195" s="186">
        <v>7</v>
      </c>
      <c r="E195" s="179">
        <f t="shared" si="23"/>
        <v>172</v>
      </c>
      <c r="F195" s="186">
        <v>33.5</v>
      </c>
      <c r="G195" s="186">
        <f t="shared" si="21"/>
        <v>33.101999999999997</v>
      </c>
      <c r="H195" s="187" t="str">
        <f t="shared" si="17"/>
        <v>IN</v>
      </c>
      <c r="I195" s="265">
        <f t="shared" si="19"/>
        <v>5704.4</v>
      </c>
      <c r="J195" s="265">
        <f t="shared" si="20"/>
        <v>5630.48</v>
      </c>
      <c r="K195" s="269">
        <f t="shared" si="18"/>
        <v>205.44171673032849</v>
      </c>
      <c r="L195" s="431">
        <v>0</v>
      </c>
      <c r="M195" s="447"/>
      <c r="N195" s="447"/>
      <c r="O195" s="13"/>
    </row>
    <row r="196" spans="2:15">
      <c r="B196" s="185">
        <f t="shared" si="22"/>
        <v>173</v>
      </c>
      <c r="C196" s="185"/>
      <c r="D196" s="186">
        <v>7</v>
      </c>
      <c r="E196" s="179">
        <f t="shared" si="23"/>
        <v>173</v>
      </c>
      <c r="F196" s="186">
        <v>32</v>
      </c>
      <c r="G196" s="186">
        <f t="shared" si="21"/>
        <v>31.602</v>
      </c>
      <c r="H196" s="187" t="str">
        <f t="shared" si="17"/>
        <v>IN</v>
      </c>
      <c r="I196" s="265">
        <f t="shared" si="19"/>
        <v>5736.0019999999995</v>
      </c>
      <c r="J196" s="265">
        <f t="shared" si="20"/>
        <v>5598.8779999999997</v>
      </c>
      <c r="K196" s="269">
        <f t="shared" si="18"/>
        <v>206.10895590221543</v>
      </c>
      <c r="L196" s="431">
        <v>0</v>
      </c>
      <c r="M196" s="447"/>
      <c r="N196" s="447"/>
      <c r="O196" s="13"/>
    </row>
    <row r="197" spans="2:15">
      <c r="B197" s="185">
        <f t="shared" si="22"/>
        <v>174</v>
      </c>
      <c r="C197" s="185"/>
      <c r="D197" s="186">
        <v>7</v>
      </c>
      <c r="E197" s="179">
        <f t="shared" si="23"/>
        <v>174</v>
      </c>
      <c r="F197" s="186">
        <v>33.97</v>
      </c>
      <c r="G197" s="186">
        <f t="shared" si="21"/>
        <v>33.571999999999996</v>
      </c>
      <c r="H197" s="187" t="str">
        <f t="shared" si="17"/>
        <v>IN</v>
      </c>
      <c r="I197" s="265">
        <f t="shared" si="19"/>
        <v>5769.5739999999996</v>
      </c>
      <c r="J197" s="265">
        <f t="shared" si="20"/>
        <v>5565.3059999999996</v>
      </c>
      <c r="K197" s="269">
        <f t="shared" si="18"/>
        <v>206.81778931398014</v>
      </c>
      <c r="L197" s="431">
        <v>0</v>
      </c>
      <c r="M197" s="447"/>
      <c r="N197" s="447"/>
      <c r="O197" s="13"/>
    </row>
    <row r="198" spans="2:15">
      <c r="B198" s="185">
        <f t="shared" si="22"/>
        <v>175</v>
      </c>
      <c r="C198" s="185"/>
      <c r="D198" s="186">
        <v>7</v>
      </c>
      <c r="E198" s="179">
        <f t="shared" si="23"/>
        <v>175</v>
      </c>
      <c r="F198" s="186">
        <v>33.04</v>
      </c>
      <c r="G198" s="186">
        <f t="shared" si="21"/>
        <v>32.641999999999996</v>
      </c>
      <c r="H198" s="187" t="str">
        <f t="shared" si="17"/>
        <v>IN</v>
      </c>
      <c r="I198" s="265">
        <f t="shared" si="19"/>
        <v>5802.2159999999994</v>
      </c>
      <c r="J198" s="265">
        <f t="shared" si="20"/>
        <v>5532.6639999999998</v>
      </c>
      <c r="K198" s="269">
        <f t="shared" si="18"/>
        <v>207.50698686631017</v>
      </c>
      <c r="L198" s="431">
        <v>0</v>
      </c>
      <c r="M198" s="447"/>
      <c r="N198" s="447"/>
      <c r="O198" s="13"/>
    </row>
    <row r="199" spans="2:15">
      <c r="B199" s="185">
        <f t="shared" si="22"/>
        <v>176</v>
      </c>
      <c r="C199" s="185"/>
      <c r="D199" s="186">
        <v>7</v>
      </c>
      <c r="E199" s="179">
        <f t="shared" si="23"/>
        <v>176</v>
      </c>
      <c r="F199" s="186">
        <v>32.82</v>
      </c>
      <c r="G199" s="186">
        <f t="shared" si="21"/>
        <v>32.421999999999997</v>
      </c>
      <c r="H199" s="187" t="str">
        <f t="shared" si="17"/>
        <v>IN</v>
      </c>
      <c r="I199" s="265">
        <f t="shared" si="19"/>
        <v>5834.637999999999</v>
      </c>
      <c r="J199" s="265">
        <f t="shared" si="20"/>
        <v>5500.2420000000002</v>
      </c>
      <c r="K199" s="269">
        <f t="shared" si="18"/>
        <v>208.19153937662338</v>
      </c>
      <c r="L199" s="431">
        <v>0</v>
      </c>
      <c r="M199" s="447"/>
      <c r="N199" s="447"/>
      <c r="O199" s="13"/>
    </row>
    <row r="200" spans="2:15">
      <c r="B200" s="185">
        <f t="shared" si="22"/>
        <v>177</v>
      </c>
      <c r="C200" s="185"/>
      <c r="D200" s="186">
        <v>7</v>
      </c>
      <c r="E200" s="179">
        <f t="shared" si="23"/>
        <v>177</v>
      </c>
      <c r="F200" s="186">
        <v>33.82</v>
      </c>
      <c r="G200" s="186">
        <f t="shared" si="21"/>
        <v>33.421999999999997</v>
      </c>
      <c r="H200" s="187" t="str">
        <f t="shared" si="17"/>
        <v>IN</v>
      </c>
      <c r="I200" s="265">
        <f t="shared" si="19"/>
        <v>5868.0599999999986</v>
      </c>
      <c r="J200" s="265">
        <f t="shared" si="20"/>
        <v>5466.8200000000006</v>
      </c>
      <c r="K200" s="269">
        <f t="shared" si="18"/>
        <v>208.89720571428569</v>
      </c>
      <c r="L200" s="431">
        <v>0</v>
      </c>
      <c r="M200" s="447"/>
      <c r="N200" s="447"/>
      <c r="O200" s="13"/>
    </row>
    <row r="201" spans="2:15">
      <c r="B201" s="185">
        <f t="shared" si="22"/>
        <v>178</v>
      </c>
      <c r="C201" s="185"/>
      <c r="D201" s="186">
        <v>7</v>
      </c>
      <c r="E201" s="179">
        <f t="shared" si="23"/>
        <v>178</v>
      </c>
      <c r="F201" s="186">
        <v>33.619999999999997</v>
      </c>
      <c r="G201" s="186">
        <f t="shared" si="21"/>
        <v>33.221999999999994</v>
      </c>
      <c r="H201" s="187" t="str">
        <f t="shared" si="17"/>
        <v>IN</v>
      </c>
      <c r="I201" s="265">
        <f t="shared" si="19"/>
        <v>5901.2819999999983</v>
      </c>
      <c r="J201" s="265">
        <f t="shared" si="20"/>
        <v>5433.5980000000009</v>
      </c>
      <c r="K201" s="269">
        <f t="shared" si="18"/>
        <v>209.59864928647821</v>
      </c>
      <c r="L201" s="431">
        <v>0</v>
      </c>
      <c r="M201" s="447"/>
      <c r="N201" s="447"/>
      <c r="O201" s="13"/>
    </row>
    <row r="202" spans="2:15">
      <c r="B202" s="185">
        <f t="shared" si="22"/>
        <v>179</v>
      </c>
      <c r="C202" s="185"/>
      <c r="D202" s="186">
        <v>7</v>
      </c>
      <c r="E202" s="179">
        <f t="shared" si="23"/>
        <v>179</v>
      </c>
      <c r="F202" s="186">
        <v>33.28</v>
      </c>
      <c r="G202" s="186">
        <f t="shared" si="21"/>
        <v>32.881999999999998</v>
      </c>
      <c r="H202" s="187" t="str">
        <f t="shared" si="17"/>
        <v>IN</v>
      </c>
      <c r="I202" s="265">
        <f t="shared" si="19"/>
        <v>5934.1639999999979</v>
      </c>
      <c r="J202" s="265">
        <f t="shared" si="20"/>
        <v>5400.7160000000013</v>
      </c>
      <c r="K202" s="269">
        <f t="shared" si="18"/>
        <v>210.292914157372</v>
      </c>
      <c r="L202" s="431">
        <v>0</v>
      </c>
      <c r="M202" s="447"/>
      <c r="N202" s="447"/>
      <c r="O202" s="13"/>
    </row>
    <row r="203" spans="2:15">
      <c r="B203" s="185">
        <f t="shared" si="22"/>
        <v>180</v>
      </c>
      <c r="C203" s="185"/>
      <c r="D203" s="186">
        <v>7</v>
      </c>
      <c r="E203" s="179">
        <f t="shared" si="23"/>
        <v>180</v>
      </c>
      <c r="F203" s="186">
        <v>33.96</v>
      </c>
      <c r="G203" s="186">
        <f t="shared" si="21"/>
        <v>33.561999999999998</v>
      </c>
      <c r="H203" s="187" t="str">
        <f t="shared" si="17"/>
        <v>IN</v>
      </c>
      <c r="I203" s="265">
        <f t="shared" si="19"/>
        <v>5967.7259999999978</v>
      </c>
      <c r="J203" s="265">
        <f t="shared" si="20"/>
        <v>5367.1540000000014</v>
      </c>
      <c r="K203" s="269">
        <f t="shared" si="18"/>
        <v>211.00153643086321</v>
      </c>
      <c r="L203" s="431">
        <v>0</v>
      </c>
      <c r="M203" s="447"/>
      <c r="N203" s="447"/>
      <c r="O203" s="13"/>
    </row>
    <row r="204" spans="2:15">
      <c r="B204" s="185">
        <f t="shared" si="22"/>
        <v>181</v>
      </c>
      <c r="C204" s="185"/>
      <c r="D204" s="186">
        <v>7</v>
      </c>
      <c r="E204" s="179">
        <f t="shared" si="23"/>
        <v>181</v>
      </c>
      <c r="F204" s="186">
        <v>33.450000000000003</v>
      </c>
      <c r="G204" s="186">
        <f t="shared" si="21"/>
        <v>33.052</v>
      </c>
      <c r="H204" s="187" t="str">
        <f t="shared" si="17"/>
        <v>IN</v>
      </c>
      <c r="I204" s="265">
        <f t="shared" si="19"/>
        <v>6000.7779999999975</v>
      </c>
      <c r="J204" s="265">
        <f t="shared" si="20"/>
        <v>5334.1020000000017</v>
      </c>
      <c r="K204" s="269">
        <f t="shared" si="18"/>
        <v>211.69939065240638</v>
      </c>
      <c r="L204" s="431">
        <v>0</v>
      </c>
      <c r="M204" s="447"/>
      <c r="N204" s="447"/>
      <c r="O204" s="13"/>
    </row>
    <row r="205" spans="2:15">
      <c r="B205" s="185">
        <f t="shared" si="22"/>
        <v>182</v>
      </c>
      <c r="C205" s="185"/>
      <c r="D205" s="186">
        <v>7</v>
      </c>
      <c r="E205" s="179">
        <f t="shared" si="23"/>
        <v>182</v>
      </c>
      <c r="F205" s="186">
        <v>32.08</v>
      </c>
      <c r="G205" s="186">
        <f t="shared" si="21"/>
        <v>31.681999999999999</v>
      </c>
      <c r="H205" s="187" t="str">
        <f t="shared" si="17"/>
        <v>IN</v>
      </c>
      <c r="I205" s="265">
        <f t="shared" si="19"/>
        <v>6032.4599999999973</v>
      </c>
      <c r="J205" s="265">
        <f t="shared" si="20"/>
        <v>5302.4200000000019</v>
      </c>
      <c r="K205" s="269">
        <f t="shared" si="18"/>
        <v>212.36831893048122</v>
      </c>
      <c r="L205" s="431">
        <v>0</v>
      </c>
      <c r="M205" s="447"/>
      <c r="N205" s="447"/>
      <c r="O205" s="13"/>
    </row>
    <row r="206" spans="2:15">
      <c r="B206" s="185">
        <f t="shared" si="22"/>
        <v>183</v>
      </c>
      <c r="C206" s="185"/>
      <c r="D206" s="186">
        <v>7</v>
      </c>
      <c r="E206" s="179">
        <f t="shared" si="23"/>
        <v>183</v>
      </c>
      <c r="F206" s="186">
        <v>33.04</v>
      </c>
      <c r="G206" s="186">
        <f t="shared" si="21"/>
        <v>32.641999999999996</v>
      </c>
      <c r="H206" s="187" t="str">
        <f t="shared" si="17"/>
        <v>IN</v>
      </c>
      <c r="I206" s="265">
        <f t="shared" si="19"/>
        <v>6065.1019999999971</v>
      </c>
      <c r="J206" s="265">
        <f t="shared" si="20"/>
        <v>5269.7780000000021</v>
      </c>
      <c r="K206" s="269">
        <f t="shared" si="18"/>
        <v>213.05751648281125</v>
      </c>
      <c r="L206" s="431">
        <v>0</v>
      </c>
      <c r="M206" s="447"/>
      <c r="N206" s="447"/>
      <c r="O206" s="13"/>
    </row>
    <row r="207" spans="2:15">
      <c r="B207" s="185">
        <f t="shared" si="22"/>
        <v>184</v>
      </c>
      <c r="C207" s="185"/>
      <c r="D207" s="186">
        <v>7</v>
      </c>
      <c r="E207" s="179">
        <f t="shared" si="23"/>
        <v>184</v>
      </c>
      <c r="F207" s="186">
        <v>31.99</v>
      </c>
      <c r="G207" s="186">
        <f t="shared" si="21"/>
        <v>31.591999999999999</v>
      </c>
      <c r="H207" s="187" t="str">
        <f t="shared" si="17"/>
        <v>IN</v>
      </c>
      <c r="I207" s="265">
        <f t="shared" si="19"/>
        <v>6096.6939999999968</v>
      </c>
      <c r="J207" s="265">
        <f t="shared" si="20"/>
        <v>5238.1860000000024</v>
      </c>
      <c r="K207" s="269">
        <f t="shared" si="18"/>
        <v>213.72454451642469</v>
      </c>
      <c r="L207" s="431">
        <v>0</v>
      </c>
      <c r="M207" s="447"/>
      <c r="N207" s="447"/>
      <c r="O207" s="13"/>
    </row>
    <row r="208" spans="2:15">
      <c r="B208" s="185">
        <f t="shared" si="22"/>
        <v>185</v>
      </c>
      <c r="C208" s="188"/>
      <c r="D208" s="186">
        <v>7</v>
      </c>
      <c r="E208" s="179">
        <f t="shared" si="23"/>
        <v>185</v>
      </c>
      <c r="F208" s="186">
        <v>33.020000000000003</v>
      </c>
      <c r="G208" s="186">
        <f t="shared" si="21"/>
        <v>32.622</v>
      </c>
      <c r="H208" s="187" t="str">
        <f t="shared" si="17"/>
        <v>IN</v>
      </c>
      <c r="I208" s="265">
        <f t="shared" si="19"/>
        <v>6129.3159999999971</v>
      </c>
      <c r="J208" s="265">
        <f t="shared" si="20"/>
        <v>5205.5640000000021</v>
      </c>
      <c r="K208" s="269">
        <f t="shared" si="18"/>
        <v>214.41331979220774</v>
      </c>
      <c r="L208" s="431">
        <v>0</v>
      </c>
      <c r="M208" s="447"/>
      <c r="N208" s="447"/>
      <c r="O208" s="13"/>
    </row>
    <row r="209" spans="2:15">
      <c r="B209" s="185">
        <f t="shared" si="22"/>
        <v>186</v>
      </c>
      <c r="C209" s="188"/>
      <c r="D209" s="186">
        <v>7</v>
      </c>
      <c r="E209" s="179">
        <f t="shared" si="23"/>
        <v>186</v>
      </c>
      <c r="F209" s="186">
        <v>32.97</v>
      </c>
      <c r="G209" s="186">
        <f t="shared" si="21"/>
        <v>32.571999999999996</v>
      </c>
      <c r="H209" s="187" t="str">
        <f t="shared" ref="H209:H272" si="24">IF(F209="","OUT","IN")</f>
        <v>IN</v>
      </c>
      <c r="I209" s="265">
        <f t="shared" si="19"/>
        <v>6161.8879999999972</v>
      </c>
      <c r="J209" s="265">
        <f t="shared" si="20"/>
        <v>5172.992000000002</v>
      </c>
      <c r="K209" s="269">
        <f t="shared" si="18"/>
        <v>215.10103937662333</v>
      </c>
      <c r="L209" s="431">
        <v>0</v>
      </c>
      <c r="M209" s="447"/>
      <c r="N209" s="447"/>
      <c r="O209" s="13"/>
    </row>
    <row r="210" spans="2:15">
      <c r="B210" s="185">
        <f t="shared" si="22"/>
        <v>187</v>
      </c>
      <c r="C210" s="188"/>
      <c r="D210" s="186">
        <v>7</v>
      </c>
      <c r="E210" s="179">
        <f t="shared" si="23"/>
        <v>187</v>
      </c>
      <c r="F210" s="186">
        <v>33.49</v>
      </c>
      <c r="G210" s="186">
        <f t="shared" si="21"/>
        <v>33.091999999999999</v>
      </c>
      <c r="H210" s="187" t="str">
        <f t="shared" si="24"/>
        <v>IN</v>
      </c>
      <c r="I210" s="265">
        <f t="shared" si="19"/>
        <v>6194.9799999999968</v>
      </c>
      <c r="J210" s="265">
        <f t="shared" si="20"/>
        <v>5139.9000000000024</v>
      </c>
      <c r="K210" s="269">
        <f t="shared" ref="K210:K273" si="25">$H$9+(I210*$E$10*$H$11/1000)</f>
        <v>215.79973815126044</v>
      </c>
      <c r="L210" s="431">
        <v>0</v>
      </c>
      <c r="M210" s="447"/>
      <c r="N210" s="447"/>
      <c r="O210" s="13"/>
    </row>
    <row r="211" spans="2:15">
      <c r="B211" s="185">
        <f t="shared" si="22"/>
        <v>188</v>
      </c>
      <c r="C211" s="188"/>
      <c r="D211" s="186">
        <v>7</v>
      </c>
      <c r="E211" s="179">
        <f t="shared" si="23"/>
        <v>188</v>
      </c>
      <c r="F211" s="186">
        <v>33.340000000000003</v>
      </c>
      <c r="G211" s="186">
        <f t="shared" si="21"/>
        <v>32.942</v>
      </c>
      <c r="H211" s="187" t="str">
        <f t="shared" si="24"/>
        <v>IN</v>
      </c>
      <c r="I211" s="265">
        <f t="shared" ref="I211:I274" si="26">IF(H211="IN",I210+G211,I210)</f>
        <v>6227.9219999999968</v>
      </c>
      <c r="J211" s="265">
        <f t="shared" ref="J211:J274" si="27">IF(I211="","",$M$9-I211)</f>
        <v>5106.9580000000024</v>
      </c>
      <c r="K211" s="269">
        <f t="shared" si="25"/>
        <v>216.4952698517952</v>
      </c>
      <c r="L211" s="431">
        <v>0</v>
      </c>
      <c r="M211" s="447"/>
      <c r="N211" s="447"/>
      <c r="O211" s="13"/>
    </row>
    <row r="212" spans="2:15">
      <c r="B212" s="185">
        <f t="shared" si="22"/>
        <v>189</v>
      </c>
      <c r="C212" s="188"/>
      <c r="D212" s="186">
        <v>7</v>
      </c>
      <c r="E212" s="179">
        <f t="shared" si="23"/>
        <v>189</v>
      </c>
      <c r="F212" s="186">
        <v>33.479999999999997</v>
      </c>
      <c r="G212" s="186">
        <f t="shared" si="21"/>
        <v>33.081999999999994</v>
      </c>
      <c r="H212" s="187" t="str">
        <f t="shared" si="24"/>
        <v>IN</v>
      </c>
      <c r="I212" s="265">
        <f t="shared" si="26"/>
        <v>6261.0039999999972</v>
      </c>
      <c r="J212" s="265">
        <f t="shared" si="27"/>
        <v>5073.876000000002</v>
      </c>
      <c r="K212" s="269">
        <f t="shared" si="25"/>
        <v>217.19375748815884</v>
      </c>
      <c r="L212" s="431">
        <v>0</v>
      </c>
      <c r="M212" s="447"/>
      <c r="N212" s="447"/>
      <c r="O212" s="13"/>
    </row>
    <row r="213" spans="2:15">
      <c r="B213" s="185">
        <f t="shared" si="22"/>
        <v>190</v>
      </c>
      <c r="C213" s="188"/>
      <c r="D213" s="186">
        <v>7</v>
      </c>
      <c r="E213" s="179">
        <f t="shared" si="23"/>
        <v>190</v>
      </c>
      <c r="F213" s="186">
        <v>33.46</v>
      </c>
      <c r="G213" s="186">
        <f t="shared" si="21"/>
        <v>33.061999999999998</v>
      </c>
      <c r="H213" s="187" t="str">
        <f t="shared" si="24"/>
        <v>IN</v>
      </c>
      <c r="I213" s="265">
        <f t="shared" si="26"/>
        <v>6294.0659999999971</v>
      </c>
      <c r="J213" s="265">
        <f t="shared" si="27"/>
        <v>5040.8140000000021</v>
      </c>
      <c r="K213" s="269">
        <f t="shared" si="25"/>
        <v>217.8918228479755</v>
      </c>
      <c r="L213" s="431">
        <v>0</v>
      </c>
      <c r="M213" s="447"/>
      <c r="N213" s="447"/>
      <c r="O213" s="13"/>
    </row>
    <row r="214" spans="2:15">
      <c r="B214" s="188">
        <f t="shared" si="22"/>
        <v>191</v>
      </c>
      <c r="C214" s="188"/>
      <c r="D214" s="265">
        <v>7</v>
      </c>
      <c r="E214" s="179">
        <f t="shared" si="23"/>
        <v>191</v>
      </c>
      <c r="F214" s="186">
        <v>33.32</v>
      </c>
      <c r="G214" s="186">
        <f t="shared" si="21"/>
        <v>32.921999999999997</v>
      </c>
      <c r="H214" s="187" t="str">
        <f t="shared" si="24"/>
        <v>IN</v>
      </c>
      <c r="I214" s="265">
        <f t="shared" si="26"/>
        <v>6326.9879999999966</v>
      </c>
      <c r="J214" s="265">
        <f t="shared" si="27"/>
        <v>5007.8920000000026</v>
      </c>
      <c r="K214" s="269">
        <f t="shared" si="25"/>
        <v>218.58693227196326</v>
      </c>
      <c r="L214" s="431">
        <v>0</v>
      </c>
      <c r="M214" s="447"/>
      <c r="N214" s="447"/>
      <c r="O214" s="13"/>
    </row>
    <row r="215" spans="2:15">
      <c r="B215" s="185">
        <f t="shared" si="22"/>
        <v>192</v>
      </c>
      <c r="C215" s="185"/>
      <c r="D215" s="186">
        <v>7</v>
      </c>
      <c r="E215" s="179">
        <f t="shared" si="23"/>
        <v>192</v>
      </c>
      <c r="F215" s="186">
        <v>33.619999999999997</v>
      </c>
      <c r="G215" s="186">
        <f t="shared" si="21"/>
        <v>33.221999999999994</v>
      </c>
      <c r="H215" s="187" t="str">
        <f t="shared" si="24"/>
        <v>IN</v>
      </c>
      <c r="I215" s="265">
        <f t="shared" si="26"/>
        <v>6360.2099999999964</v>
      </c>
      <c r="J215" s="265">
        <f t="shared" si="27"/>
        <v>4974.6700000000028</v>
      </c>
      <c r="K215" s="269">
        <f t="shared" si="25"/>
        <v>219.28837584415578</v>
      </c>
      <c r="L215" s="431">
        <v>0</v>
      </c>
      <c r="M215" s="447"/>
      <c r="N215" s="447"/>
      <c r="O215" s="13"/>
    </row>
    <row r="216" spans="2:15">
      <c r="B216" s="185">
        <f t="shared" si="22"/>
        <v>193</v>
      </c>
      <c r="C216" s="185"/>
      <c r="D216" s="186">
        <v>7</v>
      </c>
      <c r="E216" s="179">
        <f t="shared" si="23"/>
        <v>193</v>
      </c>
      <c r="F216" s="186">
        <v>33.74</v>
      </c>
      <c r="G216" s="186">
        <f t="shared" si="21"/>
        <v>33.341999999999999</v>
      </c>
      <c r="H216" s="187" t="str">
        <f t="shared" si="24"/>
        <v>IN</v>
      </c>
      <c r="I216" s="265">
        <f t="shared" si="26"/>
        <v>6393.551999999996</v>
      </c>
      <c r="J216" s="265">
        <f t="shared" si="27"/>
        <v>4941.3280000000032</v>
      </c>
      <c r="K216" s="269">
        <f t="shared" si="25"/>
        <v>219.99235307563018</v>
      </c>
      <c r="L216" s="431">
        <v>0</v>
      </c>
      <c r="M216" s="447"/>
      <c r="N216" s="447"/>
      <c r="O216" s="13"/>
    </row>
    <row r="217" spans="2:15">
      <c r="B217" s="185">
        <f t="shared" si="22"/>
        <v>194</v>
      </c>
      <c r="C217" s="185"/>
      <c r="D217" s="186">
        <v>7</v>
      </c>
      <c r="E217" s="179">
        <f t="shared" si="23"/>
        <v>194</v>
      </c>
      <c r="F217" s="186">
        <v>33.799999999999997</v>
      </c>
      <c r="G217" s="186">
        <f t="shared" ref="G217:G280" si="28">F217-($E$12)</f>
        <v>33.401999999999994</v>
      </c>
      <c r="H217" s="187" t="str">
        <f t="shared" si="24"/>
        <v>IN</v>
      </c>
      <c r="I217" s="265">
        <f t="shared" si="26"/>
        <v>6426.9539999999961</v>
      </c>
      <c r="J217" s="265">
        <f t="shared" si="27"/>
        <v>4907.9260000000031</v>
      </c>
      <c r="K217" s="269">
        <f t="shared" si="25"/>
        <v>220.69759713674551</v>
      </c>
      <c r="L217" s="431">
        <v>0</v>
      </c>
      <c r="M217" s="447"/>
      <c r="N217" s="447"/>
      <c r="O217" s="13"/>
    </row>
    <row r="218" spans="2:15">
      <c r="B218" s="185">
        <f t="shared" si="22"/>
        <v>195</v>
      </c>
      <c r="C218" s="185"/>
      <c r="D218" s="186">
        <v>7</v>
      </c>
      <c r="E218" s="179">
        <f t="shared" si="23"/>
        <v>195</v>
      </c>
      <c r="F218" s="186">
        <v>33.200000000000003</v>
      </c>
      <c r="G218" s="186">
        <f t="shared" si="28"/>
        <v>32.802</v>
      </c>
      <c r="H218" s="187" t="str">
        <f t="shared" si="24"/>
        <v>IN</v>
      </c>
      <c r="I218" s="265">
        <f t="shared" si="26"/>
        <v>6459.7559999999958</v>
      </c>
      <c r="J218" s="265">
        <f t="shared" si="27"/>
        <v>4875.1240000000034</v>
      </c>
      <c r="K218" s="269">
        <f t="shared" si="25"/>
        <v>221.39017290145142</v>
      </c>
      <c r="L218" s="431">
        <v>0</v>
      </c>
      <c r="M218" s="447"/>
      <c r="N218" s="447"/>
      <c r="O218" s="13"/>
    </row>
    <row r="219" spans="2:15">
      <c r="B219" s="185">
        <f t="shared" ref="B219:B282" si="29">B218+1</f>
        <v>196</v>
      </c>
      <c r="C219" s="185"/>
      <c r="D219" s="186">
        <v>7</v>
      </c>
      <c r="E219" s="179">
        <f t="shared" si="23"/>
        <v>196</v>
      </c>
      <c r="F219" s="186">
        <v>33.78</v>
      </c>
      <c r="G219" s="186">
        <f t="shared" si="28"/>
        <v>33.381999999999998</v>
      </c>
      <c r="H219" s="187" t="str">
        <f t="shared" si="24"/>
        <v>IN</v>
      </c>
      <c r="I219" s="265">
        <f t="shared" si="26"/>
        <v>6493.1379999999954</v>
      </c>
      <c r="J219" s="265">
        <f t="shared" si="27"/>
        <v>4841.7420000000038</v>
      </c>
      <c r="K219" s="269">
        <f t="shared" si="25"/>
        <v>222.09499468601976</v>
      </c>
      <c r="L219" s="431">
        <v>0</v>
      </c>
      <c r="M219" s="447"/>
      <c r="N219" s="447"/>
      <c r="O219" s="13"/>
    </row>
    <row r="220" spans="2:15">
      <c r="B220" s="185">
        <f t="shared" si="29"/>
        <v>197</v>
      </c>
      <c r="C220" s="185"/>
      <c r="D220" s="186">
        <v>7</v>
      </c>
      <c r="E220" s="179">
        <f t="shared" ref="E220:E283" si="30">E219+1</f>
        <v>197</v>
      </c>
      <c r="F220" s="186">
        <v>33.409999999999997</v>
      </c>
      <c r="G220" s="186">
        <f t="shared" si="28"/>
        <v>33.011999999999993</v>
      </c>
      <c r="H220" s="187" t="str">
        <f t="shared" si="24"/>
        <v>IN</v>
      </c>
      <c r="I220" s="265">
        <f t="shared" si="26"/>
        <v>6526.1499999999951</v>
      </c>
      <c r="J220" s="265">
        <f t="shared" si="27"/>
        <v>4808.7300000000041</v>
      </c>
      <c r="K220" s="269">
        <f t="shared" si="25"/>
        <v>222.79200435446896</v>
      </c>
      <c r="L220" s="431">
        <v>0</v>
      </c>
      <c r="M220" s="447"/>
      <c r="N220" s="447"/>
      <c r="O220" s="13"/>
    </row>
    <row r="221" spans="2:15">
      <c r="B221" s="185">
        <f t="shared" si="29"/>
        <v>198</v>
      </c>
      <c r="C221" s="185"/>
      <c r="D221" s="186">
        <v>7</v>
      </c>
      <c r="E221" s="179">
        <f t="shared" si="30"/>
        <v>198</v>
      </c>
      <c r="F221" s="186">
        <v>33.65</v>
      </c>
      <c r="G221" s="186">
        <f t="shared" si="28"/>
        <v>33.251999999999995</v>
      </c>
      <c r="H221" s="187" t="str">
        <f t="shared" si="24"/>
        <v>IN</v>
      </c>
      <c r="I221" s="265">
        <f t="shared" si="26"/>
        <v>6559.4019999999955</v>
      </c>
      <c r="J221" s="265">
        <f t="shared" si="27"/>
        <v>4775.4780000000037</v>
      </c>
      <c r="K221" s="269">
        <f t="shared" si="25"/>
        <v>223.49408134148194</v>
      </c>
      <c r="L221" s="431">
        <v>0</v>
      </c>
      <c r="M221" s="447"/>
      <c r="N221" s="447"/>
      <c r="O221" s="13"/>
    </row>
    <row r="222" spans="2:15">
      <c r="B222" s="185">
        <f t="shared" si="29"/>
        <v>199</v>
      </c>
      <c r="C222" s="188"/>
      <c r="D222" s="186">
        <v>7</v>
      </c>
      <c r="E222" s="179">
        <f t="shared" si="30"/>
        <v>199</v>
      </c>
      <c r="F222" s="186">
        <v>33.42</v>
      </c>
      <c r="G222" s="186">
        <f t="shared" si="28"/>
        <v>33.021999999999998</v>
      </c>
      <c r="H222" s="187" t="str">
        <f t="shared" si="24"/>
        <v>IN</v>
      </c>
      <c r="I222" s="265">
        <f t="shared" si="26"/>
        <v>6592.4239999999954</v>
      </c>
      <c r="J222" s="265">
        <f t="shared" si="27"/>
        <v>4742.4560000000038</v>
      </c>
      <c r="K222" s="269">
        <f t="shared" si="25"/>
        <v>224.19130214820464</v>
      </c>
      <c r="L222" s="431">
        <v>0</v>
      </c>
      <c r="M222" s="447"/>
      <c r="N222" s="447"/>
      <c r="O222" s="13"/>
    </row>
    <row r="223" spans="2:15">
      <c r="B223" s="185">
        <f t="shared" si="29"/>
        <v>200</v>
      </c>
      <c r="C223" s="185"/>
      <c r="D223" s="186">
        <v>7</v>
      </c>
      <c r="E223" s="179">
        <f t="shared" si="30"/>
        <v>200</v>
      </c>
      <c r="F223" s="186">
        <v>33.32</v>
      </c>
      <c r="G223" s="186">
        <f t="shared" si="28"/>
        <v>32.921999999999997</v>
      </c>
      <c r="H223" s="187" t="str">
        <f t="shared" si="24"/>
        <v>IN</v>
      </c>
      <c r="I223" s="265">
        <f t="shared" si="26"/>
        <v>6625.345999999995</v>
      </c>
      <c r="J223" s="265">
        <f t="shared" si="27"/>
        <v>4709.5340000000042</v>
      </c>
      <c r="K223" s="269">
        <f t="shared" si="25"/>
        <v>224.88641157219243</v>
      </c>
      <c r="L223" s="431">
        <v>0</v>
      </c>
      <c r="M223" s="447"/>
      <c r="N223" s="447"/>
      <c r="O223" s="13"/>
    </row>
    <row r="224" spans="2:15">
      <c r="B224" s="185">
        <f t="shared" si="29"/>
        <v>201</v>
      </c>
      <c r="C224" s="185"/>
      <c r="D224" s="186">
        <v>7</v>
      </c>
      <c r="E224" s="179">
        <f t="shared" si="30"/>
        <v>201</v>
      </c>
      <c r="F224" s="186">
        <v>33.369999999999997</v>
      </c>
      <c r="G224" s="186">
        <f t="shared" si="28"/>
        <v>32.971999999999994</v>
      </c>
      <c r="H224" s="187" t="str">
        <f t="shared" si="24"/>
        <v>IN</v>
      </c>
      <c r="I224" s="265">
        <f t="shared" si="26"/>
        <v>6658.3179999999948</v>
      </c>
      <c r="J224" s="265">
        <f t="shared" si="27"/>
        <v>4676.5620000000044</v>
      </c>
      <c r="K224" s="269">
        <f t="shared" si="25"/>
        <v>225.58257668754763</v>
      </c>
      <c r="L224" s="431">
        <v>0</v>
      </c>
      <c r="M224" s="447"/>
      <c r="N224" s="447"/>
      <c r="O224" s="13"/>
    </row>
    <row r="225" spans="2:15">
      <c r="B225" s="185">
        <f t="shared" si="29"/>
        <v>202</v>
      </c>
      <c r="C225" s="185"/>
      <c r="D225" s="186">
        <v>7</v>
      </c>
      <c r="E225" s="179">
        <f t="shared" si="30"/>
        <v>202</v>
      </c>
      <c r="F225" s="186">
        <v>33.17</v>
      </c>
      <c r="G225" s="186">
        <f t="shared" si="28"/>
        <v>32.771999999999998</v>
      </c>
      <c r="H225" s="187" t="str">
        <f t="shared" si="24"/>
        <v>IN</v>
      </c>
      <c r="I225" s="265">
        <f t="shared" si="26"/>
        <v>6691.0899999999947</v>
      </c>
      <c r="J225" s="265">
        <f t="shared" si="27"/>
        <v>4643.7900000000045</v>
      </c>
      <c r="K225" s="269">
        <f t="shared" si="25"/>
        <v>226.27451903743304</v>
      </c>
      <c r="L225" s="431">
        <v>0</v>
      </c>
      <c r="M225" s="447"/>
      <c r="N225" s="447"/>
      <c r="O225" s="13"/>
    </row>
    <row r="226" spans="2:15">
      <c r="B226" s="185">
        <f t="shared" si="29"/>
        <v>203</v>
      </c>
      <c r="C226" s="185"/>
      <c r="D226" s="186">
        <v>7</v>
      </c>
      <c r="E226" s="179">
        <f t="shared" si="30"/>
        <v>203</v>
      </c>
      <c r="F226" s="186">
        <v>33.04</v>
      </c>
      <c r="G226" s="186">
        <f t="shared" si="28"/>
        <v>32.641999999999996</v>
      </c>
      <c r="H226" s="187" t="str">
        <f t="shared" si="24"/>
        <v>IN</v>
      </c>
      <c r="I226" s="265">
        <f t="shared" si="26"/>
        <v>6723.7319999999945</v>
      </c>
      <c r="J226" s="265">
        <f t="shared" si="27"/>
        <v>4611.1480000000047</v>
      </c>
      <c r="K226" s="269">
        <f t="shared" si="25"/>
        <v>226.96371658976307</v>
      </c>
      <c r="L226" s="431">
        <v>0</v>
      </c>
      <c r="M226" s="447"/>
      <c r="N226" s="447"/>
      <c r="O226" s="13"/>
    </row>
    <row r="227" spans="2:15">
      <c r="B227" s="185">
        <f t="shared" si="29"/>
        <v>204</v>
      </c>
      <c r="C227" s="185"/>
      <c r="D227" s="186">
        <v>7</v>
      </c>
      <c r="E227" s="179">
        <f t="shared" si="30"/>
        <v>204</v>
      </c>
      <c r="F227" s="186">
        <v>33.21</v>
      </c>
      <c r="G227" s="186">
        <f t="shared" si="28"/>
        <v>32.811999999999998</v>
      </c>
      <c r="H227" s="187" t="str">
        <f t="shared" si="24"/>
        <v>IN</v>
      </c>
      <c r="I227" s="265">
        <f t="shared" si="26"/>
        <v>6756.5439999999944</v>
      </c>
      <c r="J227" s="265">
        <f t="shared" si="27"/>
        <v>4578.3360000000048</v>
      </c>
      <c r="K227" s="269">
        <f t="shared" si="25"/>
        <v>227.65650349274242</v>
      </c>
      <c r="L227" s="431">
        <v>0</v>
      </c>
      <c r="M227" s="447"/>
      <c r="N227" s="447"/>
      <c r="O227" s="13"/>
    </row>
    <row r="228" spans="2:15">
      <c r="B228" s="185">
        <f t="shared" si="29"/>
        <v>205</v>
      </c>
      <c r="C228" s="185"/>
      <c r="D228" s="186">
        <v>7</v>
      </c>
      <c r="E228" s="179">
        <f t="shared" si="30"/>
        <v>205</v>
      </c>
      <c r="F228" s="186">
        <v>33.299999999999997</v>
      </c>
      <c r="G228" s="186">
        <f t="shared" si="28"/>
        <v>32.901999999999994</v>
      </c>
      <c r="H228" s="187" t="str">
        <f t="shared" si="24"/>
        <v>IN</v>
      </c>
      <c r="I228" s="265">
        <f t="shared" si="26"/>
        <v>6789.4459999999945</v>
      </c>
      <c r="J228" s="265">
        <f t="shared" si="27"/>
        <v>4545.4340000000047</v>
      </c>
      <c r="K228" s="269">
        <f t="shared" si="25"/>
        <v>228.35119064018323</v>
      </c>
      <c r="L228" s="431">
        <v>0</v>
      </c>
      <c r="M228" s="447"/>
      <c r="N228" s="447"/>
      <c r="O228" s="13"/>
    </row>
    <row r="229" spans="2:15">
      <c r="B229" s="185">
        <f t="shared" si="29"/>
        <v>206</v>
      </c>
      <c r="C229" s="185"/>
      <c r="D229" s="186">
        <v>7</v>
      </c>
      <c r="E229" s="179">
        <f t="shared" si="30"/>
        <v>206</v>
      </c>
      <c r="F229" s="186">
        <v>32.94</v>
      </c>
      <c r="G229" s="186">
        <f t="shared" si="28"/>
        <v>32.541999999999994</v>
      </c>
      <c r="H229" s="187" t="str">
        <f t="shared" si="24"/>
        <v>IN</v>
      </c>
      <c r="I229" s="265">
        <f t="shared" si="26"/>
        <v>6821.9879999999948</v>
      </c>
      <c r="J229" s="265">
        <f t="shared" si="27"/>
        <v>4512.8920000000044</v>
      </c>
      <c r="K229" s="269">
        <f t="shared" si="25"/>
        <v>229.03827680977835</v>
      </c>
      <c r="L229" s="431">
        <v>0</v>
      </c>
      <c r="M229" s="447"/>
      <c r="N229" s="447"/>
      <c r="O229" s="13"/>
    </row>
    <row r="230" spans="2:15">
      <c r="B230" s="185">
        <f t="shared" si="29"/>
        <v>207</v>
      </c>
      <c r="C230" s="185"/>
      <c r="D230" s="186">
        <v>7</v>
      </c>
      <c r="E230" s="179">
        <f t="shared" si="30"/>
        <v>207</v>
      </c>
      <c r="F230" s="186">
        <v>33.299999999999997</v>
      </c>
      <c r="G230" s="186">
        <f t="shared" si="28"/>
        <v>32.901999999999994</v>
      </c>
      <c r="H230" s="187" t="str">
        <f t="shared" si="24"/>
        <v>IN</v>
      </c>
      <c r="I230" s="265">
        <f t="shared" si="26"/>
        <v>6854.8899999999949</v>
      </c>
      <c r="J230" s="265">
        <f t="shared" si="27"/>
        <v>4479.9900000000043</v>
      </c>
      <c r="K230" s="269">
        <f t="shared" si="25"/>
        <v>229.73296395721914</v>
      </c>
      <c r="L230" s="431">
        <v>0</v>
      </c>
      <c r="M230" s="447"/>
      <c r="N230" s="447"/>
      <c r="O230" s="13"/>
    </row>
    <row r="231" spans="2:15">
      <c r="B231" s="185">
        <f t="shared" si="29"/>
        <v>208</v>
      </c>
      <c r="C231" s="185"/>
      <c r="D231" s="186">
        <v>7</v>
      </c>
      <c r="E231" s="179">
        <f t="shared" si="30"/>
        <v>208</v>
      </c>
      <c r="F231" s="186">
        <v>32.97</v>
      </c>
      <c r="G231" s="186">
        <f t="shared" si="28"/>
        <v>32.571999999999996</v>
      </c>
      <c r="H231" s="187" t="str">
        <f t="shared" si="24"/>
        <v>IN</v>
      </c>
      <c r="I231" s="265">
        <f t="shared" si="26"/>
        <v>6887.461999999995</v>
      </c>
      <c r="J231" s="265">
        <f t="shared" si="27"/>
        <v>4447.4180000000042</v>
      </c>
      <c r="K231" s="269">
        <f t="shared" si="25"/>
        <v>230.42068354163473</v>
      </c>
      <c r="L231" s="431">
        <v>0</v>
      </c>
      <c r="M231" s="447"/>
      <c r="N231" s="447"/>
      <c r="O231" s="13"/>
    </row>
    <row r="232" spans="2:15">
      <c r="B232" s="185">
        <f t="shared" si="29"/>
        <v>209</v>
      </c>
      <c r="C232" s="185"/>
      <c r="D232" s="186">
        <v>7</v>
      </c>
      <c r="E232" s="179">
        <f t="shared" si="30"/>
        <v>209</v>
      </c>
      <c r="F232" s="186">
        <v>31.97</v>
      </c>
      <c r="G232" s="186">
        <f t="shared" si="28"/>
        <v>31.571999999999999</v>
      </c>
      <c r="H232" s="187" t="str">
        <f t="shared" si="24"/>
        <v>IN</v>
      </c>
      <c r="I232" s="265">
        <f t="shared" si="26"/>
        <v>6919.0339999999951</v>
      </c>
      <c r="J232" s="265">
        <f t="shared" si="27"/>
        <v>4415.8460000000041</v>
      </c>
      <c r="K232" s="269">
        <f t="shared" si="25"/>
        <v>231.08728929870122</v>
      </c>
      <c r="L232" s="431">
        <v>0</v>
      </c>
      <c r="M232" s="447"/>
      <c r="N232" s="447"/>
      <c r="O232" s="13"/>
    </row>
    <row r="233" spans="2:15">
      <c r="B233" s="185">
        <f t="shared" si="29"/>
        <v>210</v>
      </c>
      <c r="C233" s="185"/>
      <c r="D233" s="186">
        <v>7</v>
      </c>
      <c r="E233" s="179">
        <f t="shared" si="30"/>
        <v>210</v>
      </c>
      <c r="F233" s="186">
        <v>33.26</v>
      </c>
      <c r="G233" s="186">
        <f t="shared" si="28"/>
        <v>32.861999999999995</v>
      </c>
      <c r="H233" s="187" t="str">
        <f t="shared" si="24"/>
        <v>IN</v>
      </c>
      <c r="I233" s="265">
        <f t="shared" si="26"/>
        <v>6951.8959999999952</v>
      </c>
      <c r="J233" s="265">
        <f t="shared" si="27"/>
        <v>4382.984000000004</v>
      </c>
      <c r="K233" s="269">
        <f t="shared" si="25"/>
        <v>231.78113189304804</v>
      </c>
      <c r="L233" s="431">
        <v>0</v>
      </c>
      <c r="M233" s="447"/>
      <c r="N233" s="447"/>
      <c r="O233" s="13"/>
    </row>
    <row r="234" spans="2:15">
      <c r="B234" s="185">
        <f t="shared" si="29"/>
        <v>211</v>
      </c>
      <c r="C234" s="185"/>
      <c r="D234" s="186">
        <v>7</v>
      </c>
      <c r="E234" s="179">
        <f t="shared" si="30"/>
        <v>211</v>
      </c>
      <c r="F234" s="186">
        <v>33.96</v>
      </c>
      <c r="G234" s="186">
        <f t="shared" si="28"/>
        <v>33.561999999999998</v>
      </c>
      <c r="H234" s="187" t="str">
        <f t="shared" si="24"/>
        <v>IN</v>
      </c>
      <c r="I234" s="265">
        <f t="shared" si="26"/>
        <v>6985.4579999999951</v>
      </c>
      <c r="J234" s="265">
        <f t="shared" si="27"/>
        <v>4349.4220000000041</v>
      </c>
      <c r="K234" s="269">
        <f t="shared" si="25"/>
        <v>232.48975416653926</v>
      </c>
      <c r="L234" s="431">
        <v>0</v>
      </c>
      <c r="M234" s="447"/>
      <c r="N234" s="447"/>
      <c r="O234" s="13"/>
    </row>
    <row r="235" spans="2:15">
      <c r="B235" s="185">
        <f t="shared" si="29"/>
        <v>212</v>
      </c>
      <c r="C235" s="185"/>
      <c r="D235" s="186">
        <v>7</v>
      </c>
      <c r="E235" s="179">
        <f t="shared" si="30"/>
        <v>212</v>
      </c>
      <c r="F235" s="186">
        <v>33.6</v>
      </c>
      <c r="G235" s="186">
        <f t="shared" si="28"/>
        <v>33.201999999999998</v>
      </c>
      <c r="H235" s="187" t="str">
        <f t="shared" si="24"/>
        <v>IN</v>
      </c>
      <c r="I235" s="265">
        <f t="shared" si="26"/>
        <v>7018.6599999999953</v>
      </c>
      <c r="J235" s="265">
        <f t="shared" si="27"/>
        <v>4316.2200000000039</v>
      </c>
      <c r="K235" s="269">
        <f t="shared" si="25"/>
        <v>233.1907754621848</v>
      </c>
      <c r="L235" s="431">
        <v>0</v>
      </c>
      <c r="M235" s="447"/>
      <c r="N235" s="447"/>
      <c r="O235" s="13"/>
    </row>
    <row r="236" spans="2:15">
      <c r="B236" s="185">
        <f t="shared" si="29"/>
        <v>213</v>
      </c>
      <c r="C236" s="185"/>
      <c r="D236" s="186">
        <v>7</v>
      </c>
      <c r="E236" s="179">
        <f t="shared" si="30"/>
        <v>213</v>
      </c>
      <c r="F236" s="186">
        <v>33.99</v>
      </c>
      <c r="G236" s="186">
        <f t="shared" si="28"/>
        <v>33.591999999999999</v>
      </c>
      <c r="H236" s="187" t="str">
        <f t="shared" si="24"/>
        <v>IN</v>
      </c>
      <c r="I236" s="265">
        <f t="shared" si="26"/>
        <v>7052.251999999995</v>
      </c>
      <c r="J236" s="265">
        <f t="shared" si="27"/>
        <v>4282.6280000000042</v>
      </c>
      <c r="K236" s="269">
        <f t="shared" si="25"/>
        <v>233.90003115049649</v>
      </c>
      <c r="L236" s="431">
        <v>0</v>
      </c>
      <c r="M236" s="447"/>
      <c r="N236" s="447"/>
      <c r="O236" s="13"/>
    </row>
    <row r="237" spans="2:15">
      <c r="B237" s="185">
        <f t="shared" si="29"/>
        <v>214</v>
      </c>
      <c r="C237" s="185"/>
      <c r="D237" s="186">
        <v>7</v>
      </c>
      <c r="E237" s="179">
        <f t="shared" si="30"/>
        <v>214</v>
      </c>
      <c r="F237" s="186">
        <v>33.96</v>
      </c>
      <c r="G237" s="186">
        <f t="shared" si="28"/>
        <v>33.561999999999998</v>
      </c>
      <c r="H237" s="187" t="str">
        <f t="shared" si="24"/>
        <v>IN</v>
      </c>
      <c r="I237" s="265">
        <f t="shared" si="26"/>
        <v>7085.8139999999948</v>
      </c>
      <c r="J237" s="265">
        <f t="shared" si="27"/>
        <v>4249.0660000000044</v>
      </c>
      <c r="K237" s="269">
        <f t="shared" si="25"/>
        <v>234.60865342398768</v>
      </c>
      <c r="L237" s="431">
        <v>0</v>
      </c>
      <c r="M237" s="447"/>
      <c r="N237" s="447"/>
      <c r="O237" s="13"/>
    </row>
    <row r="238" spans="2:15">
      <c r="B238" s="185">
        <f t="shared" si="29"/>
        <v>215</v>
      </c>
      <c r="C238" s="185"/>
      <c r="D238" s="186">
        <v>7</v>
      </c>
      <c r="E238" s="179">
        <f t="shared" si="30"/>
        <v>215</v>
      </c>
      <c r="F238" s="186">
        <v>33.340000000000003</v>
      </c>
      <c r="G238" s="186">
        <f t="shared" si="28"/>
        <v>32.942</v>
      </c>
      <c r="H238" s="187" t="str">
        <f t="shared" si="24"/>
        <v>IN</v>
      </c>
      <c r="I238" s="265">
        <f t="shared" si="26"/>
        <v>7118.7559999999949</v>
      </c>
      <c r="J238" s="265">
        <f t="shared" si="27"/>
        <v>4216.1240000000043</v>
      </c>
      <c r="K238" s="269">
        <f t="shared" si="25"/>
        <v>235.30418512452246</v>
      </c>
      <c r="L238" s="431">
        <v>0</v>
      </c>
      <c r="M238" s="447"/>
      <c r="N238" s="447"/>
      <c r="O238" s="13"/>
    </row>
    <row r="239" spans="2:15">
      <c r="B239" s="185">
        <f t="shared" si="29"/>
        <v>216</v>
      </c>
      <c r="C239" s="185"/>
      <c r="D239" s="186">
        <v>7</v>
      </c>
      <c r="E239" s="179">
        <f t="shared" si="30"/>
        <v>216</v>
      </c>
      <c r="F239" s="186">
        <v>33.51</v>
      </c>
      <c r="G239" s="186">
        <f t="shared" si="28"/>
        <v>33.111999999999995</v>
      </c>
      <c r="H239" s="187" t="str">
        <f t="shared" si="24"/>
        <v>IN</v>
      </c>
      <c r="I239" s="265">
        <f t="shared" si="26"/>
        <v>7151.8679999999949</v>
      </c>
      <c r="J239" s="265">
        <f t="shared" si="27"/>
        <v>4183.0120000000043</v>
      </c>
      <c r="K239" s="269">
        <f t="shared" si="25"/>
        <v>236.00330617570654</v>
      </c>
      <c r="L239" s="431">
        <v>0</v>
      </c>
      <c r="M239" s="447"/>
      <c r="N239" s="447"/>
      <c r="O239" s="13"/>
    </row>
    <row r="240" spans="2:15">
      <c r="B240" s="185">
        <f t="shared" si="29"/>
        <v>217</v>
      </c>
      <c r="C240" s="185"/>
      <c r="D240" s="186">
        <v>7</v>
      </c>
      <c r="E240" s="179">
        <f t="shared" si="30"/>
        <v>217</v>
      </c>
      <c r="F240" s="186">
        <v>33.92</v>
      </c>
      <c r="G240" s="186">
        <f t="shared" si="28"/>
        <v>33.521999999999998</v>
      </c>
      <c r="H240" s="187" t="str">
        <f t="shared" si="24"/>
        <v>IN</v>
      </c>
      <c r="I240" s="265">
        <f t="shared" si="26"/>
        <v>7185.3899999999949</v>
      </c>
      <c r="J240" s="265">
        <f t="shared" si="27"/>
        <v>4149.4900000000043</v>
      </c>
      <c r="K240" s="269">
        <f t="shared" si="25"/>
        <v>236.71108389610382</v>
      </c>
      <c r="L240" s="431">
        <v>0</v>
      </c>
      <c r="M240" s="447"/>
      <c r="N240" s="447"/>
      <c r="O240" s="13"/>
    </row>
    <row r="241" spans="2:15">
      <c r="B241" s="185">
        <f t="shared" si="29"/>
        <v>218</v>
      </c>
      <c r="C241" s="185"/>
      <c r="D241" s="186">
        <v>7</v>
      </c>
      <c r="E241" s="179">
        <f t="shared" si="30"/>
        <v>218</v>
      </c>
      <c r="F241" s="186">
        <v>33.61</v>
      </c>
      <c r="G241" s="186">
        <f t="shared" si="28"/>
        <v>33.211999999999996</v>
      </c>
      <c r="H241" s="187" t="str">
        <f t="shared" si="24"/>
        <v>IN</v>
      </c>
      <c r="I241" s="265">
        <f t="shared" si="26"/>
        <v>7218.6019999999953</v>
      </c>
      <c r="J241" s="265">
        <f t="shared" si="27"/>
        <v>4116.2780000000039</v>
      </c>
      <c r="K241" s="269">
        <f t="shared" si="25"/>
        <v>237.41231633002283</v>
      </c>
      <c r="L241" s="431">
        <v>0</v>
      </c>
      <c r="M241" s="447"/>
      <c r="N241" s="447"/>
      <c r="O241" s="13"/>
    </row>
    <row r="242" spans="2:15">
      <c r="B242" s="185">
        <f t="shared" si="29"/>
        <v>219</v>
      </c>
      <c r="C242" s="185"/>
      <c r="D242" s="186">
        <v>7</v>
      </c>
      <c r="E242" s="179">
        <f t="shared" si="30"/>
        <v>219</v>
      </c>
      <c r="F242" s="186">
        <v>33.950000000000003</v>
      </c>
      <c r="G242" s="186">
        <f t="shared" si="28"/>
        <v>33.552</v>
      </c>
      <c r="H242" s="187" t="str">
        <f t="shared" si="24"/>
        <v>IN</v>
      </c>
      <c r="I242" s="265">
        <f t="shared" si="26"/>
        <v>7252.153999999995</v>
      </c>
      <c r="J242" s="265">
        <f t="shared" si="27"/>
        <v>4082.7260000000042</v>
      </c>
      <c r="K242" s="269">
        <f t="shared" si="25"/>
        <v>238.12072746524055</v>
      </c>
      <c r="L242" s="431">
        <v>0</v>
      </c>
      <c r="M242" s="447"/>
      <c r="N242" s="447"/>
      <c r="O242" s="13"/>
    </row>
    <row r="243" spans="2:15">
      <c r="B243" s="185">
        <f t="shared" si="29"/>
        <v>220</v>
      </c>
      <c r="C243" s="185"/>
      <c r="D243" s="186">
        <v>7</v>
      </c>
      <c r="E243" s="179">
        <f t="shared" si="30"/>
        <v>220</v>
      </c>
      <c r="F243" s="186">
        <v>33.950000000000003</v>
      </c>
      <c r="G243" s="186">
        <f t="shared" si="28"/>
        <v>33.552</v>
      </c>
      <c r="H243" s="187" t="str">
        <f t="shared" si="24"/>
        <v>IN</v>
      </c>
      <c r="I243" s="265">
        <f t="shared" si="26"/>
        <v>7285.7059999999947</v>
      </c>
      <c r="J243" s="265">
        <f t="shared" si="27"/>
        <v>4049.1740000000045</v>
      </c>
      <c r="K243" s="269">
        <f t="shared" si="25"/>
        <v>238.82913860045824</v>
      </c>
      <c r="L243" s="431">
        <v>0</v>
      </c>
      <c r="M243" s="447"/>
      <c r="N243" s="447"/>
      <c r="O243" s="13"/>
    </row>
    <row r="244" spans="2:15">
      <c r="B244" s="185">
        <f t="shared" si="29"/>
        <v>221</v>
      </c>
      <c r="C244" s="185"/>
      <c r="D244" s="186">
        <v>7</v>
      </c>
      <c r="E244" s="179">
        <f t="shared" si="30"/>
        <v>221</v>
      </c>
      <c r="F244" s="186">
        <v>33.96</v>
      </c>
      <c r="G244" s="186">
        <f t="shared" si="28"/>
        <v>33.561999999999998</v>
      </c>
      <c r="H244" s="187" t="str">
        <f t="shared" si="24"/>
        <v>IN</v>
      </c>
      <c r="I244" s="265">
        <f t="shared" si="26"/>
        <v>7319.2679999999946</v>
      </c>
      <c r="J244" s="265">
        <f t="shared" si="27"/>
        <v>4015.6120000000046</v>
      </c>
      <c r="K244" s="269">
        <f t="shared" si="25"/>
        <v>239.53776087394948</v>
      </c>
      <c r="L244" s="431">
        <v>0</v>
      </c>
      <c r="M244" s="447"/>
      <c r="N244" s="447"/>
      <c r="O244" s="13"/>
    </row>
    <row r="245" spans="2:15">
      <c r="B245" s="185">
        <f t="shared" si="29"/>
        <v>222</v>
      </c>
      <c r="C245" s="185"/>
      <c r="D245" s="186">
        <v>7</v>
      </c>
      <c r="E245" s="179">
        <f t="shared" si="30"/>
        <v>222</v>
      </c>
      <c r="F245" s="186">
        <v>33.83</v>
      </c>
      <c r="G245" s="186">
        <f t="shared" si="28"/>
        <v>33.431999999999995</v>
      </c>
      <c r="H245" s="187" t="str">
        <f t="shared" si="24"/>
        <v>IN</v>
      </c>
      <c r="I245" s="265">
        <f t="shared" si="26"/>
        <v>7352.6999999999944</v>
      </c>
      <c r="J245" s="265">
        <f t="shared" si="27"/>
        <v>3982.1800000000048</v>
      </c>
      <c r="K245" s="269">
        <f t="shared" si="25"/>
        <v>240.24363834988529</v>
      </c>
      <c r="L245" s="431">
        <v>0</v>
      </c>
      <c r="M245" s="447"/>
      <c r="N245" s="447"/>
      <c r="O245" s="13"/>
    </row>
    <row r="246" spans="2:15">
      <c r="B246" s="185">
        <f t="shared" si="29"/>
        <v>223</v>
      </c>
      <c r="C246" s="185"/>
      <c r="D246" s="186">
        <v>7</v>
      </c>
      <c r="E246" s="179">
        <f t="shared" si="30"/>
        <v>223</v>
      </c>
      <c r="F246" s="186">
        <v>33.96</v>
      </c>
      <c r="G246" s="186">
        <f t="shared" si="28"/>
        <v>33.561999999999998</v>
      </c>
      <c r="H246" s="187" t="str">
        <f t="shared" si="24"/>
        <v>IN</v>
      </c>
      <c r="I246" s="265">
        <f t="shared" si="26"/>
        <v>7386.2619999999943</v>
      </c>
      <c r="J246" s="265">
        <f t="shared" si="27"/>
        <v>3948.6180000000049</v>
      </c>
      <c r="K246" s="269">
        <f t="shared" si="25"/>
        <v>240.95226062337653</v>
      </c>
      <c r="L246" s="431">
        <v>0</v>
      </c>
      <c r="M246" s="447"/>
      <c r="N246" s="447"/>
      <c r="O246" s="13"/>
    </row>
    <row r="247" spans="2:15">
      <c r="B247" s="185">
        <f t="shared" si="29"/>
        <v>224</v>
      </c>
      <c r="C247" s="185"/>
      <c r="D247" s="186">
        <v>7</v>
      </c>
      <c r="E247" s="179">
        <f t="shared" si="30"/>
        <v>224</v>
      </c>
      <c r="F247" s="186">
        <v>33.72</v>
      </c>
      <c r="G247" s="186">
        <f t="shared" si="28"/>
        <v>33.321999999999996</v>
      </c>
      <c r="H247" s="187" t="str">
        <f t="shared" si="24"/>
        <v>IN</v>
      </c>
      <c r="I247" s="265">
        <f t="shared" si="26"/>
        <v>7419.5839999999944</v>
      </c>
      <c r="J247" s="265">
        <f t="shared" si="27"/>
        <v>3915.2960000000048</v>
      </c>
      <c r="K247" s="269">
        <f t="shared" si="25"/>
        <v>241.65581557830393</v>
      </c>
      <c r="L247" s="431">
        <v>0</v>
      </c>
      <c r="M247" s="447"/>
      <c r="N247" s="447"/>
      <c r="O247" s="13"/>
    </row>
    <row r="248" spans="2:15">
      <c r="B248" s="185">
        <f t="shared" si="29"/>
        <v>225</v>
      </c>
      <c r="C248" s="185"/>
      <c r="D248" s="186">
        <v>7</v>
      </c>
      <c r="E248" s="179">
        <f t="shared" si="30"/>
        <v>225</v>
      </c>
      <c r="F248" s="186">
        <v>33.96</v>
      </c>
      <c r="G248" s="186">
        <f t="shared" si="28"/>
        <v>33.561999999999998</v>
      </c>
      <c r="H248" s="187" t="str">
        <f t="shared" si="24"/>
        <v>IN</v>
      </c>
      <c r="I248" s="265">
        <f t="shared" si="26"/>
        <v>7453.1459999999943</v>
      </c>
      <c r="J248" s="265">
        <f t="shared" si="27"/>
        <v>3881.7340000000049</v>
      </c>
      <c r="K248" s="269">
        <f t="shared" si="25"/>
        <v>242.36443785179515</v>
      </c>
      <c r="L248" s="431">
        <v>0</v>
      </c>
      <c r="M248" s="447"/>
      <c r="N248" s="447"/>
      <c r="O248" s="13"/>
    </row>
    <row r="249" spans="2:15">
      <c r="B249" s="185">
        <f t="shared" si="29"/>
        <v>226</v>
      </c>
      <c r="C249" s="185"/>
      <c r="D249" s="186">
        <v>7</v>
      </c>
      <c r="E249" s="179">
        <f t="shared" si="30"/>
        <v>226</v>
      </c>
      <c r="F249" s="186">
        <v>33.590000000000003</v>
      </c>
      <c r="G249" s="186">
        <f t="shared" si="28"/>
        <v>33.192</v>
      </c>
      <c r="H249" s="187" t="str">
        <f t="shared" si="24"/>
        <v>IN</v>
      </c>
      <c r="I249" s="265">
        <f t="shared" si="26"/>
        <v>7486.3379999999943</v>
      </c>
      <c r="J249" s="265">
        <f t="shared" si="27"/>
        <v>3848.5420000000049</v>
      </c>
      <c r="K249" s="269">
        <f t="shared" si="25"/>
        <v>243.06524800916719</v>
      </c>
      <c r="L249" s="431">
        <v>0</v>
      </c>
      <c r="M249" s="447"/>
      <c r="N249" s="447"/>
      <c r="O249" s="13"/>
    </row>
    <row r="250" spans="2:15">
      <c r="B250" s="185">
        <f t="shared" si="29"/>
        <v>227</v>
      </c>
      <c r="C250" s="185"/>
      <c r="D250" s="186">
        <v>7</v>
      </c>
      <c r="E250" s="179">
        <f t="shared" si="30"/>
        <v>227</v>
      </c>
      <c r="F250" s="186">
        <v>33.549999999999997</v>
      </c>
      <c r="G250" s="186">
        <f t="shared" si="28"/>
        <v>33.151999999999994</v>
      </c>
      <c r="H250" s="187" t="str">
        <f t="shared" si="24"/>
        <v>IN</v>
      </c>
      <c r="I250" s="265">
        <f t="shared" si="26"/>
        <v>7519.4899999999943</v>
      </c>
      <c r="J250" s="265">
        <f t="shared" si="27"/>
        <v>3815.3900000000049</v>
      </c>
      <c r="K250" s="269">
        <f t="shared" si="25"/>
        <v>243.76521361344527</v>
      </c>
      <c r="L250" s="431">
        <v>0</v>
      </c>
      <c r="M250" s="447"/>
      <c r="N250" s="447"/>
      <c r="O250" s="13"/>
    </row>
    <row r="251" spans="2:15">
      <c r="B251" s="185">
        <f t="shared" si="29"/>
        <v>228</v>
      </c>
      <c r="C251" s="185"/>
      <c r="D251" s="186">
        <v>7</v>
      </c>
      <c r="E251" s="179">
        <f t="shared" si="30"/>
        <v>228</v>
      </c>
      <c r="F251" s="186">
        <v>33.81</v>
      </c>
      <c r="G251" s="186">
        <f t="shared" si="28"/>
        <v>33.411999999999999</v>
      </c>
      <c r="H251" s="187" t="str">
        <f t="shared" si="24"/>
        <v>IN</v>
      </c>
      <c r="I251" s="265">
        <f t="shared" si="26"/>
        <v>7552.9019999999946</v>
      </c>
      <c r="J251" s="265">
        <f t="shared" si="27"/>
        <v>3781.9780000000046</v>
      </c>
      <c r="K251" s="269">
        <f t="shared" si="25"/>
        <v>244.47066881283413</v>
      </c>
      <c r="L251" s="431">
        <v>0</v>
      </c>
      <c r="M251" s="447"/>
      <c r="N251" s="447"/>
      <c r="O251" s="13"/>
    </row>
    <row r="252" spans="2:15">
      <c r="B252" s="185">
        <f t="shared" si="29"/>
        <v>229</v>
      </c>
      <c r="C252" s="185"/>
      <c r="D252" s="186">
        <v>7</v>
      </c>
      <c r="E252" s="179">
        <f t="shared" si="30"/>
        <v>229</v>
      </c>
      <c r="F252" s="186">
        <v>33.56</v>
      </c>
      <c r="G252" s="186">
        <f t="shared" si="28"/>
        <v>33.161999999999999</v>
      </c>
      <c r="H252" s="187" t="str">
        <f t="shared" si="24"/>
        <v>IN</v>
      </c>
      <c r="I252" s="265">
        <f t="shared" si="26"/>
        <v>7586.0639999999948</v>
      </c>
      <c r="J252" s="265">
        <f t="shared" si="27"/>
        <v>3748.8160000000044</v>
      </c>
      <c r="K252" s="269">
        <f t="shared" si="25"/>
        <v>245.17084555538568</v>
      </c>
      <c r="L252" s="431">
        <v>0</v>
      </c>
      <c r="M252" s="447"/>
      <c r="N252" s="447"/>
      <c r="O252" s="13"/>
    </row>
    <row r="253" spans="2:15">
      <c r="B253" s="185">
        <f t="shared" si="29"/>
        <v>230</v>
      </c>
      <c r="C253" s="185"/>
      <c r="D253" s="186">
        <v>7</v>
      </c>
      <c r="E253" s="179">
        <f t="shared" si="30"/>
        <v>230</v>
      </c>
      <c r="F253" s="186">
        <v>33.020000000000003</v>
      </c>
      <c r="G253" s="186">
        <f t="shared" si="28"/>
        <v>32.622</v>
      </c>
      <c r="H253" s="187" t="str">
        <f t="shared" si="24"/>
        <v>IN</v>
      </c>
      <c r="I253" s="265">
        <f t="shared" si="26"/>
        <v>7618.6859999999951</v>
      </c>
      <c r="J253" s="265">
        <f t="shared" si="27"/>
        <v>3716.1940000000041</v>
      </c>
      <c r="K253" s="269">
        <f t="shared" si="25"/>
        <v>245.85962083116871</v>
      </c>
      <c r="L253" s="431">
        <v>0</v>
      </c>
      <c r="M253" s="447"/>
      <c r="N253" s="447"/>
      <c r="O253" s="13"/>
    </row>
    <row r="254" spans="2:15">
      <c r="B254" s="185">
        <f t="shared" si="29"/>
        <v>231</v>
      </c>
      <c r="C254" s="185"/>
      <c r="D254" s="186">
        <v>7</v>
      </c>
      <c r="E254" s="179">
        <f t="shared" si="30"/>
        <v>231</v>
      </c>
      <c r="F254" s="186">
        <v>33.6</v>
      </c>
      <c r="G254" s="186">
        <f t="shared" si="28"/>
        <v>33.201999999999998</v>
      </c>
      <c r="H254" s="187" t="str">
        <f t="shared" si="24"/>
        <v>IN</v>
      </c>
      <c r="I254" s="265">
        <f t="shared" si="26"/>
        <v>7651.8879999999954</v>
      </c>
      <c r="J254" s="265">
        <f t="shared" si="27"/>
        <v>3682.9920000000038</v>
      </c>
      <c r="K254" s="269">
        <f t="shared" si="25"/>
        <v>246.56064212681426</v>
      </c>
      <c r="L254" s="431">
        <v>0</v>
      </c>
      <c r="M254" s="447"/>
      <c r="N254" s="447"/>
      <c r="O254" s="13"/>
    </row>
    <row r="255" spans="2:15">
      <c r="B255" s="185">
        <f t="shared" si="29"/>
        <v>232</v>
      </c>
      <c r="C255" s="185"/>
      <c r="D255" s="186">
        <v>7</v>
      </c>
      <c r="E255" s="179">
        <f t="shared" si="30"/>
        <v>232</v>
      </c>
      <c r="F255" s="186">
        <v>33.57</v>
      </c>
      <c r="G255" s="186">
        <f t="shared" si="28"/>
        <v>33.171999999999997</v>
      </c>
      <c r="H255" s="187" t="str">
        <f t="shared" si="24"/>
        <v>IN</v>
      </c>
      <c r="I255" s="265">
        <f t="shared" si="26"/>
        <v>7685.0599999999949</v>
      </c>
      <c r="J255" s="265">
        <f t="shared" si="27"/>
        <v>3649.8200000000043</v>
      </c>
      <c r="K255" s="269">
        <f t="shared" si="25"/>
        <v>247.26103000763931</v>
      </c>
      <c r="L255" s="431">
        <v>0</v>
      </c>
      <c r="M255" s="447"/>
      <c r="N255" s="447"/>
      <c r="O255" s="13"/>
    </row>
    <row r="256" spans="2:15">
      <c r="B256" s="185">
        <f t="shared" si="29"/>
        <v>233</v>
      </c>
      <c r="C256" s="185"/>
      <c r="D256" s="186">
        <v>7</v>
      </c>
      <c r="E256" s="179">
        <f t="shared" si="30"/>
        <v>233</v>
      </c>
      <c r="F256" s="186">
        <v>33.24</v>
      </c>
      <c r="G256" s="186">
        <f t="shared" si="28"/>
        <v>32.841999999999999</v>
      </c>
      <c r="H256" s="187" t="str">
        <f t="shared" si="24"/>
        <v>IN</v>
      </c>
      <c r="I256" s="265">
        <f t="shared" si="26"/>
        <v>7717.9019999999946</v>
      </c>
      <c r="J256" s="265">
        <f t="shared" si="27"/>
        <v>3616.9780000000046</v>
      </c>
      <c r="K256" s="269">
        <f t="shared" si="25"/>
        <v>247.95445032543915</v>
      </c>
      <c r="L256" s="431">
        <v>0</v>
      </c>
      <c r="M256" s="447"/>
      <c r="N256" s="447"/>
      <c r="O256" s="13"/>
    </row>
    <row r="257" spans="2:15">
      <c r="B257" s="185">
        <f t="shared" si="29"/>
        <v>234</v>
      </c>
      <c r="C257" s="185"/>
      <c r="D257" s="186">
        <v>7</v>
      </c>
      <c r="E257" s="179">
        <f t="shared" si="30"/>
        <v>234</v>
      </c>
      <c r="F257" s="186">
        <v>33.57</v>
      </c>
      <c r="G257" s="186">
        <f t="shared" si="28"/>
        <v>33.171999999999997</v>
      </c>
      <c r="H257" s="187" t="str">
        <f t="shared" si="24"/>
        <v>IN</v>
      </c>
      <c r="I257" s="265">
        <f t="shared" si="26"/>
        <v>7751.0739999999942</v>
      </c>
      <c r="J257" s="265">
        <f t="shared" si="27"/>
        <v>3583.806000000005</v>
      </c>
      <c r="K257" s="269">
        <f t="shared" si="25"/>
        <v>248.65483820626423</v>
      </c>
      <c r="L257" s="431">
        <v>0</v>
      </c>
      <c r="M257" s="447"/>
      <c r="N257" s="447"/>
      <c r="O257" s="13"/>
    </row>
    <row r="258" spans="2:15">
      <c r="B258" s="185">
        <f t="shared" si="29"/>
        <v>235</v>
      </c>
      <c r="C258" s="185"/>
      <c r="D258" s="186">
        <v>7</v>
      </c>
      <c r="E258" s="179">
        <f t="shared" si="30"/>
        <v>235</v>
      </c>
      <c r="F258" s="186">
        <v>33.659999999999997</v>
      </c>
      <c r="G258" s="186">
        <f t="shared" si="28"/>
        <v>33.261999999999993</v>
      </c>
      <c r="H258" s="187" t="str">
        <f t="shared" si="24"/>
        <v>IN</v>
      </c>
      <c r="I258" s="265">
        <f t="shared" si="26"/>
        <v>7784.3359999999939</v>
      </c>
      <c r="J258" s="265">
        <f t="shared" si="27"/>
        <v>3550.5440000000053</v>
      </c>
      <c r="K258" s="269">
        <f t="shared" si="25"/>
        <v>249.35712633155069</v>
      </c>
      <c r="L258" s="431">
        <v>0</v>
      </c>
      <c r="M258" s="447"/>
      <c r="N258" s="447"/>
      <c r="O258" s="13"/>
    </row>
    <row r="259" spans="2:15">
      <c r="B259" s="185">
        <f t="shared" si="29"/>
        <v>236</v>
      </c>
      <c r="C259" s="185"/>
      <c r="D259" s="186">
        <v>7</v>
      </c>
      <c r="E259" s="179">
        <f t="shared" si="30"/>
        <v>236</v>
      </c>
      <c r="F259" s="186">
        <v>33.24</v>
      </c>
      <c r="G259" s="186">
        <f t="shared" si="28"/>
        <v>32.841999999999999</v>
      </c>
      <c r="H259" s="187" t="str">
        <f t="shared" si="24"/>
        <v>IN</v>
      </c>
      <c r="I259" s="265">
        <f t="shared" si="26"/>
        <v>7817.1779999999935</v>
      </c>
      <c r="J259" s="265">
        <f t="shared" si="27"/>
        <v>3517.7020000000057</v>
      </c>
      <c r="K259" s="269">
        <f t="shared" si="25"/>
        <v>250.05054664935054</v>
      </c>
      <c r="L259" s="431">
        <v>0</v>
      </c>
      <c r="M259" s="447"/>
      <c r="N259" s="447"/>
      <c r="O259" s="13"/>
    </row>
    <row r="260" spans="2:15">
      <c r="B260" s="185">
        <f t="shared" si="29"/>
        <v>237</v>
      </c>
      <c r="C260" s="185"/>
      <c r="D260" s="186">
        <v>7</v>
      </c>
      <c r="E260" s="179">
        <f t="shared" si="30"/>
        <v>237</v>
      </c>
      <c r="F260" s="186">
        <v>33.46</v>
      </c>
      <c r="G260" s="186">
        <f t="shared" si="28"/>
        <v>33.061999999999998</v>
      </c>
      <c r="H260" s="187" t="str">
        <f t="shared" si="24"/>
        <v>IN</v>
      </c>
      <c r="I260" s="265">
        <f t="shared" si="26"/>
        <v>7850.2399999999934</v>
      </c>
      <c r="J260" s="265">
        <f t="shared" si="27"/>
        <v>3484.6400000000058</v>
      </c>
      <c r="K260" s="269">
        <f t="shared" si="25"/>
        <v>250.74861200916718</v>
      </c>
      <c r="L260" s="431">
        <v>0</v>
      </c>
      <c r="M260" s="447"/>
      <c r="N260" s="447"/>
      <c r="O260" s="13"/>
    </row>
    <row r="261" spans="2:15">
      <c r="B261" s="185">
        <f t="shared" si="29"/>
        <v>238</v>
      </c>
      <c r="C261" s="185"/>
      <c r="D261" s="186">
        <v>7</v>
      </c>
      <c r="E261" s="179">
        <f t="shared" si="30"/>
        <v>238</v>
      </c>
      <c r="F261" s="186">
        <v>33.32</v>
      </c>
      <c r="G261" s="186">
        <f t="shared" si="28"/>
        <v>32.921999999999997</v>
      </c>
      <c r="H261" s="187" t="str">
        <f t="shared" si="24"/>
        <v>IN</v>
      </c>
      <c r="I261" s="265">
        <f t="shared" si="26"/>
        <v>7883.161999999993</v>
      </c>
      <c r="J261" s="265">
        <f t="shared" si="27"/>
        <v>3451.7180000000062</v>
      </c>
      <c r="K261" s="269">
        <f t="shared" si="25"/>
        <v>251.44372143315493</v>
      </c>
      <c r="L261" s="431">
        <v>0</v>
      </c>
      <c r="M261" s="447"/>
      <c r="N261" s="447"/>
      <c r="O261" s="13"/>
    </row>
    <row r="262" spans="2:15">
      <c r="B262" s="185">
        <f t="shared" si="29"/>
        <v>239</v>
      </c>
      <c r="C262" s="185"/>
      <c r="D262" s="186">
        <v>7</v>
      </c>
      <c r="E262" s="179">
        <f t="shared" si="30"/>
        <v>239</v>
      </c>
      <c r="F262" s="186">
        <v>33.75</v>
      </c>
      <c r="G262" s="186">
        <f t="shared" si="28"/>
        <v>33.351999999999997</v>
      </c>
      <c r="H262" s="187" t="str">
        <f t="shared" si="24"/>
        <v>IN</v>
      </c>
      <c r="I262" s="265">
        <f t="shared" si="26"/>
        <v>7916.5139999999928</v>
      </c>
      <c r="J262" s="265">
        <f t="shared" si="27"/>
        <v>3418.3660000000064</v>
      </c>
      <c r="K262" s="269">
        <f t="shared" si="25"/>
        <v>252.14790980290283</v>
      </c>
      <c r="L262" s="431">
        <v>0</v>
      </c>
      <c r="M262" s="447"/>
      <c r="N262" s="447"/>
      <c r="O262" s="13"/>
    </row>
    <row r="263" spans="2:15">
      <c r="B263" s="185">
        <f t="shared" si="29"/>
        <v>240</v>
      </c>
      <c r="C263" s="185"/>
      <c r="D263" s="186">
        <v>7</v>
      </c>
      <c r="E263" s="179">
        <f t="shared" si="30"/>
        <v>240</v>
      </c>
      <c r="F263" s="186">
        <v>31.9</v>
      </c>
      <c r="G263" s="186">
        <f t="shared" si="28"/>
        <v>31.501999999999999</v>
      </c>
      <c r="H263" s="187" t="str">
        <f t="shared" si="24"/>
        <v>IN</v>
      </c>
      <c r="I263" s="265">
        <f t="shared" si="26"/>
        <v>7948.0159999999933</v>
      </c>
      <c r="J263" s="265">
        <f t="shared" si="27"/>
        <v>3386.8640000000059</v>
      </c>
      <c r="K263" s="269">
        <f t="shared" si="25"/>
        <v>252.81303759205485</v>
      </c>
      <c r="L263" s="431">
        <v>0</v>
      </c>
      <c r="M263" s="447"/>
      <c r="N263" s="447"/>
      <c r="O263" s="13"/>
    </row>
    <row r="264" spans="2:15">
      <c r="B264" s="185">
        <f t="shared" si="29"/>
        <v>241</v>
      </c>
      <c r="C264" s="185"/>
      <c r="D264" s="186">
        <v>7</v>
      </c>
      <c r="E264" s="179">
        <f t="shared" si="30"/>
        <v>241</v>
      </c>
      <c r="F264" s="186">
        <v>33.53</v>
      </c>
      <c r="G264" s="186">
        <f t="shared" si="28"/>
        <v>33.131999999999998</v>
      </c>
      <c r="H264" s="187" t="str">
        <f t="shared" si="24"/>
        <v>IN</v>
      </c>
      <c r="I264" s="265">
        <f t="shared" si="26"/>
        <v>7981.1479999999929</v>
      </c>
      <c r="J264" s="265">
        <f t="shared" si="27"/>
        <v>3353.7320000000063</v>
      </c>
      <c r="K264" s="269">
        <f t="shared" si="25"/>
        <v>253.51258091978596</v>
      </c>
      <c r="L264" s="431">
        <v>0</v>
      </c>
      <c r="M264" s="447"/>
      <c r="N264" s="447"/>
      <c r="O264" s="13"/>
    </row>
    <row r="265" spans="2:15">
      <c r="B265" s="185">
        <f t="shared" si="29"/>
        <v>242</v>
      </c>
      <c r="C265" s="185"/>
      <c r="D265" s="186">
        <v>7</v>
      </c>
      <c r="E265" s="179">
        <f t="shared" si="30"/>
        <v>242</v>
      </c>
      <c r="F265" s="186">
        <v>33.380000000000003</v>
      </c>
      <c r="G265" s="186">
        <f t="shared" si="28"/>
        <v>32.981999999999999</v>
      </c>
      <c r="H265" s="187" t="str">
        <f t="shared" si="24"/>
        <v>IN</v>
      </c>
      <c r="I265" s="265">
        <f t="shared" si="26"/>
        <v>8014.1299999999928</v>
      </c>
      <c r="J265" s="265">
        <f t="shared" si="27"/>
        <v>3320.7500000000064</v>
      </c>
      <c r="K265" s="269">
        <f t="shared" si="25"/>
        <v>254.20895717341466</v>
      </c>
      <c r="L265" s="431">
        <v>0</v>
      </c>
      <c r="M265" s="447"/>
      <c r="N265" s="447"/>
      <c r="O265" s="13"/>
    </row>
    <row r="266" spans="2:15">
      <c r="B266" s="185">
        <f t="shared" si="29"/>
        <v>243</v>
      </c>
      <c r="C266" s="185"/>
      <c r="D266" s="186">
        <v>7</v>
      </c>
      <c r="E266" s="179">
        <f t="shared" si="30"/>
        <v>243</v>
      </c>
      <c r="F266" s="186">
        <v>33.46</v>
      </c>
      <c r="G266" s="186">
        <f t="shared" si="28"/>
        <v>33.061999999999998</v>
      </c>
      <c r="H266" s="187" t="str">
        <f t="shared" si="24"/>
        <v>IN</v>
      </c>
      <c r="I266" s="265">
        <f t="shared" si="26"/>
        <v>8047.1919999999927</v>
      </c>
      <c r="J266" s="265">
        <f t="shared" si="27"/>
        <v>3287.6880000000065</v>
      </c>
      <c r="K266" s="269">
        <f t="shared" si="25"/>
        <v>254.90702253323133</v>
      </c>
      <c r="L266" s="431">
        <v>0</v>
      </c>
      <c r="M266" s="448"/>
      <c r="N266" s="449"/>
      <c r="O266" s="13"/>
    </row>
    <row r="267" spans="2:15">
      <c r="B267" s="185">
        <f t="shared" si="29"/>
        <v>244</v>
      </c>
      <c r="C267" s="185"/>
      <c r="D267" s="186">
        <v>7</v>
      </c>
      <c r="E267" s="179">
        <f t="shared" si="30"/>
        <v>244</v>
      </c>
      <c r="F267" s="186">
        <v>33.950000000000003</v>
      </c>
      <c r="G267" s="186">
        <f t="shared" si="28"/>
        <v>33.552</v>
      </c>
      <c r="H267" s="187" t="str">
        <f t="shared" si="24"/>
        <v>IN</v>
      </c>
      <c r="I267" s="265">
        <f t="shared" si="26"/>
        <v>8080.7439999999924</v>
      </c>
      <c r="J267" s="265">
        <f t="shared" si="27"/>
        <v>3254.1360000000068</v>
      </c>
      <c r="K267" s="269">
        <f t="shared" si="25"/>
        <v>255.61543366844904</v>
      </c>
      <c r="L267" s="431">
        <v>0</v>
      </c>
      <c r="M267" s="448"/>
      <c r="N267" s="449"/>
      <c r="O267" s="13"/>
    </row>
    <row r="268" spans="2:15">
      <c r="B268" s="185">
        <f t="shared" si="29"/>
        <v>245</v>
      </c>
      <c r="C268" s="185"/>
      <c r="D268" s="186">
        <v>7</v>
      </c>
      <c r="E268" s="179">
        <f t="shared" si="30"/>
        <v>245</v>
      </c>
      <c r="F268" s="186">
        <v>33.54</v>
      </c>
      <c r="G268" s="186">
        <f t="shared" si="28"/>
        <v>33.141999999999996</v>
      </c>
      <c r="H268" s="187" t="str">
        <f t="shared" si="24"/>
        <v>IN</v>
      </c>
      <c r="I268" s="265">
        <f t="shared" si="26"/>
        <v>8113.8859999999922</v>
      </c>
      <c r="J268" s="265">
        <f t="shared" si="27"/>
        <v>3220.994000000007</v>
      </c>
      <c r="K268" s="269">
        <f t="shared" si="25"/>
        <v>256.31518813445359</v>
      </c>
      <c r="L268" s="431">
        <v>0</v>
      </c>
      <c r="M268" s="448"/>
      <c r="N268" s="449"/>
      <c r="O268" s="13"/>
    </row>
    <row r="269" spans="2:15">
      <c r="B269" s="185">
        <f t="shared" si="29"/>
        <v>246</v>
      </c>
      <c r="C269" s="185"/>
      <c r="D269" s="186">
        <v>7</v>
      </c>
      <c r="E269" s="179">
        <f t="shared" si="30"/>
        <v>246</v>
      </c>
      <c r="F269" s="186">
        <v>33.96</v>
      </c>
      <c r="G269" s="186">
        <f t="shared" si="28"/>
        <v>33.561999999999998</v>
      </c>
      <c r="H269" s="187" t="str">
        <f t="shared" si="24"/>
        <v>IN</v>
      </c>
      <c r="I269" s="265">
        <f t="shared" si="26"/>
        <v>8147.4479999999921</v>
      </c>
      <c r="J269" s="265">
        <f t="shared" si="27"/>
        <v>3187.4320000000071</v>
      </c>
      <c r="K269" s="269">
        <f t="shared" si="25"/>
        <v>257.02381040794484</v>
      </c>
      <c r="L269" s="431">
        <v>0</v>
      </c>
      <c r="M269" s="448"/>
      <c r="N269" s="449"/>
      <c r="O269" s="13"/>
    </row>
    <row r="270" spans="2:15">
      <c r="B270" s="185">
        <f t="shared" si="29"/>
        <v>247</v>
      </c>
      <c r="C270" s="185"/>
      <c r="D270" s="186">
        <v>7</v>
      </c>
      <c r="E270" s="179">
        <f t="shared" si="30"/>
        <v>247</v>
      </c>
      <c r="F270" s="186">
        <v>33.96</v>
      </c>
      <c r="G270" s="186">
        <f t="shared" si="28"/>
        <v>33.561999999999998</v>
      </c>
      <c r="H270" s="187" t="str">
        <f t="shared" si="24"/>
        <v>IN</v>
      </c>
      <c r="I270" s="265">
        <f t="shared" si="26"/>
        <v>8181.009999999992</v>
      </c>
      <c r="J270" s="265">
        <f t="shared" si="27"/>
        <v>3153.8700000000072</v>
      </c>
      <c r="K270" s="269">
        <f t="shared" si="25"/>
        <v>257.73243268143608</v>
      </c>
      <c r="L270" s="431">
        <v>0</v>
      </c>
      <c r="M270" s="448"/>
      <c r="N270" s="449"/>
      <c r="O270" s="13"/>
    </row>
    <row r="271" spans="2:15">
      <c r="B271" s="185">
        <f t="shared" si="29"/>
        <v>248</v>
      </c>
      <c r="C271" s="185"/>
      <c r="D271" s="186">
        <v>7</v>
      </c>
      <c r="E271" s="179">
        <f t="shared" si="30"/>
        <v>248</v>
      </c>
      <c r="F271" s="186">
        <v>33.96</v>
      </c>
      <c r="G271" s="186">
        <f t="shared" si="28"/>
        <v>33.561999999999998</v>
      </c>
      <c r="H271" s="187" t="str">
        <f t="shared" si="24"/>
        <v>IN</v>
      </c>
      <c r="I271" s="265">
        <f t="shared" si="26"/>
        <v>8214.5719999999928</v>
      </c>
      <c r="J271" s="265">
        <f t="shared" si="27"/>
        <v>3120.3080000000064</v>
      </c>
      <c r="K271" s="269">
        <f t="shared" si="25"/>
        <v>258.44105495492727</v>
      </c>
      <c r="L271" s="431">
        <v>0</v>
      </c>
      <c r="M271" s="448"/>
      <c r="N271" s="449"/>
      <c r="O271" s="13"/>
    </row>
    <row r="272" spans="2:15">
      <c r="B272" s="185">
        <f t="shared" si="29"/>
        <v>249</v>
      </c>
      <c r="C272" s="185"/>
      <c r="D272" s="186">
        <v>7</v>
      </c>
      <c r="E272" s="179">
        <f t="shared" si="30"/>
        <v>249</v>
      </c>
      <c r="F272" s="186">
        <v>33.96</v>
      </c>
      <c r="G272" s="186">
        <f t="shared" si="28"/>
        <v>33.561999999999998</v>
      </c>
      <c r="H272" s="187" t="str">
        <f t="shared" si="24"/>
        <v>IN</v>
      </c>
      <c r="I272" s="265">
        <f t="shared" si="26"/>
        <v>8248.1339999999927</v>
      </c>
      <c r="J272" s="265">
        <f t="shared" si="27"/>
        <v>3086.7460000000065</v>
      </c>
      <c r="K272" s="269">
        <f t="shared" si="25"/>
        <v>259.14967722841851</v>
      </c>
      <c r="L272" s="431">
        <v>0</v>
      </c>
      <c r="M272" s="448"/>
      <c r="N272" s="449"/>
      <c r="O272" s="13"/>
    </row>
    <row r="273" spans="2:15">
      <c r="B273" s="185">
        <f t="shared" si="29"/>
        <v>250</v>
      </c>
      <c r="C273" s="185"/>
      <c r="D273" s="186">
        <v>7</v>
      </c>
      <c r="E273" s="179">
        <f t="shared" si="30"/>
        <v>250</v>
      </c>
      <c r="F273" s="186">
        <v>33.96</v>
      </c>
      <c r="G273" s="186">
        <f t="shared" si="28"/>
        <v>33.561999999999998</v>
      </c>
      <c r="H273" s="187" t="str">
        <f t="shared" ref="H273:H336" si="31">IF(F273="","OUT","IN")</f>
        <v>IN</v>
      </c>
      <c r="I273" s="265">
        <f t="shared" si="26"/>
        <v>8281.6959999999926</v>
      </c>
      <c r="J273" s="265">
        <f t="shared" si="27"/>
        <v>3053.1840000000066</v>
      </c>
      <c r="K273" s="269">
        <f t="shared" si="25"/>
        <v>259.8582995019097</v>
      </c>
      <c r="L273" s="431">
        <v>0</v>
      </c>
      <c r="M273" s="448"/>
      <c r="N273" s="449"/>
      <c r="O273" s="13"/>
    </row>
    <row r="274" spans="2:15">
      <c r="B274" s="185">
        <f t="shared" si="29"/>
        <v>251</v>
      </c>
      <c r="C274" s="185"/>
      <c r="D274" s="186">
        <v>7</v>
      </c>
      <c r="E274" s="179">
        <f t="shared" si="30"/>
        <v>251</v>
      </c>
      <c r="F274" s="186">
        <v>33.67</v>
      </c>
      <c r="G274" s="186">
        <f t="shared" si="28"/>
        <v>33.271999999999998</v>
      </c>
      <c r="H274" s="187" t="str">
        <f t="shared" si="31"/>
        <v>IN</v>
      </c>
      <c r="I274" s="265">
        <f t="shared" si="26"/>
        <v>8314.9679999999935</v>
      </c>
      <c r="J274" s="265">
        <f t="shared" si="27"/>
        <v>3019.9120000000057</v>
      </c>
      <c r="K274" s="269">
        <f t="shared" ref="K274:K336" si="32">$H$9+(I274*$E$10*$H$11/1000)</f>
        <v>260.56079876546971</v>
      </c>
      <c r="L274" s="431">
        <v>0</v>
      </c>
      <c r="M274" s="448"/>
      <c r="N274" s="449"/>
      <c r="O274" s="13"/>
    </row>
    <row r="275" spans="2:15">
      <c r="B275" s="185">
        <f t="shared" si="29"/>
        <v>252</v>
      </c>
      <c r="C275" s="185"/>
      <c r="D275" s="186">
        <v>7</v>
      </c>
      <c r="E275" s="179">
        <f t="shared" si="30"/>
        <v>252</v>
      </c>
      <c r="F275" s="186">
        <v>33.96</v>
      </c>
      <c r="G275" s="186">
        <f t="shared" si="28"/>
        <v>33.561999999999998</v>
      </c>
      <c r="H275" s="187" t="str">
        <f t="shared" si="31"/>
        <v>IN</v>
      </c>
      <c r="I275" s="265">
        <f t="shared" ref="I275:I336" si="33">IF(H275="IN",I274+G275,I274)</f>
        <v>8348.5299999999934</v>
      </c>
      <c r="J275" s="265">
        <f t="shared" ref="J275:J336" si="34">IF(I275="","",$M$9-I275)</f>
        <v>2986.3500000000058</v>
      </c>
      <c r="K275" s="269">
        <f t="shared" si="32"/>
        <v>261.2694210389609</v>
      </c>
      <c r="L275" s="431">
        <v>0</v>
      </c>
      <c r="M275" s="448"/>
      <c r="N275" s="449"/>
      <c r="O275" s="13"/>
    </row>
    <row r="276" spans="2:15">
      <c r="B276" s="185">
        <f t="shared" si="29"/>
        <v>253</v>
      </c>
      <c r="C276" s="185"/>
      <c r="D276" s="186">
        <v>7</v>
      </c>
      <c r="E276" s="179">
        <f t="shared" si="30"/>
        <v>253</v>
      </c>
      <c r="F276" s="186">
        <v>33.520000000000003</v>
      </c>
      <c r="G276" s="186">
        <f t="shared" si="28"/>
        <v>33.122</v>
      </c>
      <c r="H276" s="187" t="str">
        <f t="shared" si="31"/>
        <v>IN</v>
      </c>
      <c r="I276" s="265">
        <f t="shared" si="33"/>
        <v>8381.6519999999928</v>
      </c>
      <c r="J276" s="265">
        <f t="shared" si="34"/>
        <v>2953.2280000000064</v>
      </c>
      <c r="K276" s="269">
        <f t="shared" si="32"/>
        <v>261.96875322841851</v>
      </c>
      <c r="L276" s="431">
        <v>0</v>
      </c>
      <c r="M276" s="448"/>
      <c r="N276" s="449"/>
      <c r="O276" s="13"/>
    </row>
    <row r="277" spans="2:15">
      <c r="B277" s="185">
        <v>255</v>
      </c>
      <c r="C277" s="185"/>
      <c r="D277" s="186">
        <v>7</v>
      </c>
      <c r="E277" s="179">
        <v>255</v>
      </c>
      <c r="F277" s="186">
        <v>33.61</v>
      </c>
      <c r="G277" s="186">
        <f t="shared" si="28"/>
        <v>33.211999999999996</v>
      </c>
      <c r="H277" s="187" t="str">
        <f t="shared" si="31"/>
        <v>IN</v>
      </c>
      <c r="I277" s="265">
        <f t="shared" si="33"/>
        <v>8414.8639999999923</v>
      </c>
      <c r="J277" s="265">
        <f t="shared" si="34"/>
        <v>2920.0160000000069</v>
      </c>
      <c r="K277" s="269">
        <f t="shared" si="32"/>
        <v>262.66998566233747</v>
      </c>
      <c r="L277" s="431">
        <v>0</v>
      </c>
      <c r="M277" s="448"/>
      <c r="N277" s="449"/>
      <c r="O277" s="13"/>
    </row>
    <row r="278" spans="2:15">
      <c r="B278" s="185">
        <f t="shared" si="29"/>
        <v>256</v>
      </c>
      <c r="C278" s="185"/>
      <c r="D278" s="186">
        <v>7</v>
      </c>
      <c r="E278" s="179">
        <f t="shared" si="30"/>
        <v>256</v>
      </c>
      <c r="F278" s="186">
        <v>33.93</v>
      </c>
      <c r="G278" s="186">
        <f t="shared" si="28"/>
        <v>33.531999999999996</v>
      </c>
      <c r="H278" s="187" t="str">
        <f t="shared" si="31"/>
        <v>IN</v>
      </c>
      <c r="I278" s="265">
        <f t="shared" si="33"/>
        <v>8448.3959999999915</v>
      </c>
      <c r="J278" s="265">
        <f t="shared" si="34"/>
        <v>2886.4840000000077</v>
      </c>
      <c r="K278" s="269">
        <f t="shared" si="32"/>
        <v>263.37797452100824</v>
      </c>
      <c r="L278" s="431">
        <v>0</v>
      </c>
      <c r="M278" s="448"/>
      <c r="N278" s="449"/>
      <c r="O278" s="13"/>
    </row>
    <row r="279" spans="2:15">
      <c r="B279" s="185">
        <f t="shared" si="29"/>
        <v>257</v>
      </c>
      <c r="C279" s="185"/>
      <c r="D279" s="186">
        <v>7</v>
      </c>
      <c r="E279" s="179">
        <f t="shared" si="30"/>
        <v>257</v>
      </c>
      <c r="F279" s="186">
        <v>32.950000000000003</v>
      </c>
      <c r="G279" s="186">
        <f t="shared" si="28"/>
        <v>32.552</v>
      </c>
      <c r="H279" s="187" t="str">
        <f t="shared" si="31"/>
        <v>IN</v>
      </c>
      <c r="I279" s="265">
        <f t="shared" si="33"/>
        <v>8480.9479999999912</v>
      </c>
      <c r="J279" s="265">
        <f t="shared" si="34"/>
        <v>2853.932000000008</v>
      </c>
      <c r="K279" s="269">
        <f t="shared" si="32"/>
        <v>264.0652718288768</v>
      </c>
      <c r="L279" s="431">
        <v>0</v>
      </c>
      <c r="M279" s="448"/>
      <c r="N279" s="449"/>
      <c r="O279" s="13"/>
    </row>
    <row r="280" spans="2:15">
      <c r="B280" s="185">
        <f t="shared" si="29"/>
        <v>258</v>
      </c>
      <c r="C280" s="185"/>
      <c r="D280" s="186">
        <v>7</v>
      </c>
      <c r="E280" s="179">
        <f t="shared" si="30"/>
        <v>258</v>
      </c>
      <c r="F280" s="186">
        <v>33.97</v>
      </c>
      <c r="G280" s="186">
        <f t="shared" si="28"/>
        <v>33.571999999999996</v>
      </c>
      <c r="H280" s="187" t="str">
        <f t="shared" si="31"/>
        <v>IN</v>
      </c>
      <c r="I280" s="265">
        <f t="shared" si="33"/>
        <v>8514.5199999999913</v>
      </c>
      <c r="J280" s="265">
        <f t="shared" si="34"/>
        <v>2820.3600000000079</v>
      </c>
      <c r="K280" s="269">
        <f t="shared" si="32"/>
        <v>264.77410524064157</v>
      </c>
      <c r="L280" s="431">
        <v>0</v>
      </c>
      <c r="M280" s="448"/>
      <c r="N280" s="449"/>
      <c r="O280" s="13"/>
    </row>
    <row r="281" spans="2:15">
      <c r="B281" s="185">
        <f t="shared" si="29"/>
        <v>259</v>
      </c>
      <c r="C281" s="185"/>
      <c r="D281" s="186">
        <v>7</v>
      </c>
      <c r="E281" s="179">
        <f t="shared" si="30"/>
        <v>259</v>
      </c>
      <c r="F281" s="186">
        <v>33.69</v>
      </c>
      <c r="G281" s="186">
        <f t="shared" ref="G281:G339" si="35">F281-($E$12)</f>
        <v>33.291999999999994</v>
      </c>
      <c r="H281" s="187" t="str">
        <f t="shared" si="31"/>
        <v>IN</v>
      </c>
      <c r="I281" s="265">
        <f t="shared" si="33"/>
        <v>8547.8119999999908</v>
      </c>
      <c r="J281" s="265">
        <f t="shared" si="34"/>
        <v>2787.0680000000084</v>
      </c>
      <c r="K281" s="269">
        <f t="shared" si="32"/>
        <v>265.47702678074847</v>
      </c>
      <c r="L281" s="431">
        <v>0</v>
      </c>
      <c r="M281" s="448"/>
      <c r="N281" s="449"/>
      <c r="O281" s="13"/>
    </row>
    <row r="282" spans="2:15">
      <c r="B282" s="185">
        <f t="shared" si="29"/>
        <v>260</v>
      </c>
      <c r="C282" s="185"/>
      <c r="D282" s="186">
        <v>7</v>
      </c>
      <c r="E282" s="179">
        <f t="shared" si="30"/>
        <v>260</v>
      </c>
      <c r="F282" s="186">
        <v>33.659999999999997</v>
      </c>
      <c r="G282" s="186">
        <f t="shared" si="35"/>
        <v>33.261999999999993</v>
      </c>
      <c r="H282" s="187" t="str">
        <f t="shared" si="31"/>
        <v>IN</v>
      </c>
      <c r="I282" s="265">
        <f t="shared" si="33"/>
        <v>8581.0739999999914</v>
      </c>
      <c r="J282" s="265">
        <f t="shared" si="34"/>
        <v>2753.8060000000078</v>
      </c>
      <c r="K282" s="269">
        <f t="shared" si="32"/>
        <v>266.17931490603496</v>
      </c>
      <c r="L282" s="431">
        <v>0</v>
      </c>
      <c r="M282" s="448"/>
      <c r="N282" s="449"/>
      <c r="O282" s="13"/>
    </row>
    <row r="283" spans="2:15">
      <c r="B283" s="185">
        <f t="shared" ref="B283:B285" si="36">B282+1</f>
        <v>261</v>
      </c>
      <c r="C283" s="185"/>
      <c r="D283" s="186">
        <v>7</v>
      </c>
      <c r="E283" s="179">
        <f t="shared" si="30"/>
        <v>261</v>
      </c>
      <c r="F283" s="186">
        <v>33.409999999999997</v>
      </c>
      <c r="G283" s="186">
        <f t="shared" si="35"/>
        <v>33.011999999999993</v>
      </c>
      <c r="H283" s="187" t="str">
        <f t="shared" si="31"/>
        <v>IN</v>
      </c>
      <c r="I283" s="265">
        <f t="shared" si="33"/>
        <v>8614.0859999999921</v>
      </c>
      <c r="J283" s="265">
        <f t="shared" si="34"/>
        <v>2720.7940000000071</v>
      </c>
      <c r="K283" s="269">
        <f t="shared" si="32"/>
        <v>266.87632457448422</v>
      </c>
      <c r="L283" s="431">
        <v>0</v>
      </c>
      <c r="M283" s="448"/>
      <c r="N283" s="449"/>
      <c r="O283" s="13"/>
    </row>
    <row r="284" spans="2:15">
      <c r="B284" s="185">
        <f t="shared" si="36"/>
        <v>262</v>
      </c>
      <c r="C284" s="185"/>
      <c r="D284" s="186">
        <v>7</v>
      </c>
      <c r="E284" s="179">
        <f t="shared" ref="E284:E336" si="37">E283+1</f>
        <v>262</v>
      </c>
      <c r="F284" s="186">
        <v>33.5</v>
      </c>
      <c r="G284" s="186">
        <f t="shared" si="35"/>
        <v>33.101999999999997</v>
      </c>
      <c r="H284" s="187" t="str">
        <f t="shared" si="31"/>
        <v>IN</v>
      </c>
      <c r="I284" s="265">
        <f t="shared" si="33"/>
        <v>8647.1879999999928</v>
      </c>
      <c r="J284" s="265">
        <f t="shared" si="34"/>
        <v>2687.6920000000064</v>
      </c>
      <c r="K284" s="269">
        <f t="shared" si="32"/>
        <v>267.57523448739482</v>
      </c>
      <c r="L284" s="431">
        <v>0</v>
      </c>
      <c r="M284" s="448"/>
      <c r="N284" s="449"/>
      <c r="O284" s="13"/>
    </row>
    <row r="285" spans="2:15">
      <c r="B285" s="185">
        <f t="shared" si="36"/>
        <v>263</v>
      </c>
      <c r="C285" s="185"/>
      <c r="D285" s="186">
        <v>7</v>
      </c>
      <c r="E285" s="179">
        <f t="shared" si="37"/>
        <v>263</v>
      </c>
      <c r="F285" s="186">
        <v>33.520000000000003</v>
      </c>
      <c r="G285" s="186">
        <f t="shared" si="35"/>
        <v>33.122</v>
      </c>
      <c r="H285" s="187" t="str">
        <f t="shared" si="31"/>
        <v>IN</v>
      </c>
      <c r="I285" s="265">
        <f t="shared" si="33"/>
        <v>8680.3099999999922</v>
      </c>
      <c r="J285" s="265">
        <f t="shared" si="34"/>
        <v>2654.570000000007</v>
      </c>
      <c r="K285" s="269">
        <f t="shared" si="32"/>
        <v>268.27456667685237</v>
      </c>
      <c r="L285" s="431">
        <v>0</v>
      </c>
      <c r="M285" s="448"/>
      <c r="N285" s="449"/>
      <c r="O285" s="13"/>
    </row>
    <row r="286" spans="2:15">
      <c r="B286" s="185">
        <f>B285+1</f>
        <v>264</v>
      </c>
      <c r="C286" s="185"/>
      <c r="D286" s="186">
        <v>7</v>
      </c>
      <c r="E286" s="179">
        <f t="shared" si="37"/>
        <v>264</v>
      </c>
      <c r="F286" s="186">
        <v>33.409999999999997</v>
      </c>
      <c r="G286" s="186">
        <f t="shared" si="35"/>
        <v>33.011999999999993</v>
      </c>
      <c r="H286" s="187" t="str">
        <f t="shared" si="31"/>
        <v>IN</v>
      </c>
      <c r="I286" s="265">
        <f t="shared" si="33"/>
        <v>8713.3219999999928</v>
      </c>
      <c r="J286" s="265">
        <f t="shared" si="34"/>
        <v>2621.5580000000064</v>
      </c>
      <c r="K286" s="269">
        <f t="shared" si="32"/>
        <v>268.97157634530163</v>
      </c>
      <c r="L286" s="431">
        <v>0</v>
      </c>
      <c r="M286" s="448"/>
      <c r="N286" s="449"/>
      <c r="O286" s="13"/>
    </row>
    <row r="287" spans="2:15">
      <c r="B287" s="185">
        <f t="shared" ref="B287:B340" si="38">B286+1</f>
        <v>265</v>
      </c>
      <c r="C287" s="185"/>
      <c r="D287" s="186">
        <v>7</v>
      </c>
      <c r="E287" s="179">
        <f t="shared" si="37"/>
        <v>265</v>
      </c>
      <c r="F287" s="186">
        <v>33.32</v>
      </c>
      <c r="G287" s="186">
        <f t="shared" si="35"/>
        <v>32.921999999999997</v>
      </c>
      <c r="H287" s="187" t="str">
        <f t="shared" si="31"/>
        <v>IN</v>
      </c>
      <c r="I287" s="265">
        <f t="shared" si="33"/>
        <v>8746.2439999999933</v>
      </c>
      <c r="J287" s="265">
        <f t="shared" si="34"/>
        <v>2588.6360000000059</v>
      </c>
      <c r="K287" s="269">
        <f t="shared" si="32"/>
        <v>269.66668576928942</v>
      </c>
      <c r="L287" s="431">
        <v>0</v>
      </c>
      <c r="M287" s="448"/>
      <c r="N287" s="449"/>
      <c r="O287" s="13"/>
    </row>
    <row r="288" spans="2:15">
      <c r="B288" s="185">
        <f t="shared" si="38"/>
        <v>266</v>
      </c>
      <c r="C288" s="185"/>
      <c r="D288" s="186">
        <v>7</v>
      </c>
      <c r="E288" s="179">
        <f t="shared" si="37"/>
        <v>266</v>
      </c>
      <c r="F288" s="186">
        <v>33.49</v>
      </c>
      <c r="G288" s="186">
        <f t="shared" si="35"/>
        <v>33.091999999999999</v>
      </c>
      <c r="H288" s="187" t="str">
        <f t="shared" si="31"/>
        <v>IN</v>
      </c>
      <c r="I288" s="265">
        <f t="shared" si="33"/>
        <v>8779.3359999999939</v>
      </c>
      <c r="J288" s="265">
        <f t="shared" si="34"/>
        <v>2555.5440000000053</v>
      </c>
      <c r="K288" s="269">
        <f t="shared" si="32"/>
        <v>270.36538454392655</v>
      </c>
      <c r="L288" s="431">
        <v>0</v>
      </c>
      <c r="M288" s="448"/>
      <c r="N288" s="449"/>
      <c r="O288" s="13"/>
    </row>
    <row r="289" spans="2:15">
      <c r="B289" s="185">
        <f t="shared" si="38"/>
        <v>267</v>
      </c>
      <c r="C289" s="185"/>
      <c r="D289" s="186">
        <v>7</v>
      </c>
      <c r="E289" s="179">
        <f t="shared" si="37"/>
        <v>267</v>
      </c>
      <c r="F289" s="186">
        <v>33.36</v>
      </c>
      <c r="G289" s="186">
        <f t="shared" si="35"/>
        <v>32.961999999999996</v>
      </c>
      <c r="H289" s="187" t="str">
        <f t="shared" si="31"/>
        <v>IN</v>
      </c>
      <c r="I289" s="265">
        <f t="shared" si="33"/>
        <v>8812.2979999999934</v>
      </c>
      <c r="J289" s="265">
        <f t="shared" si="34"/>
        <v>2522.5820000000058</v>
      </c>
      <c r="K289" s="269">
        <f t="shared" si="32"/>
        <v>271.06133852100822</v>
      </c>
      <c r="L289" s="431">
        <v>0</v>
      </c>
      <c r="M289" s="448"/>
      <c r="N289" s="449"/>
      <c r="O289" s="13"/>
    </row>
    <row r="290" spans="2:15">
      <c r="B290" s="185">
        <f t="shared" si="38"/>
        <v>268</v>
      </c>
      <c r="C290" s="185"/>
      <c r="D290" s="186">
        <v>7</v>
      </c>
      <c r="E290" s="179">
        <f t="shared" si="37"/>
        <v>268</v>
      </c>
      <c r="F290" s="186">
        <v>33.53</v>
      </c>
      <c r="G290" s="186">
        <f t="shared" si="35"/>
        <v>33.131999999999998</v>
      </c>
      <c r="H290" s="187" t="str">
        <f t="shared" si="31"/>
        <v>IN</v>
      </c>
      <c r="I290" s="265">
        <f t="shared" si="33"/>
        <v>8845.429999999993</v>
      </c>
      <c r="J290" s="265">
        <f t="shared" si="34"/>
        <v>2489.4500000000062</v>
      </c>
      <c r="K290" s="269">
        <f t="shared" si="32"/>
        <v>271.76088184873936</v>
      </c>
      <c r="L290" s="431">
        <v>0</v>
      </c>
      <c r="M290" s="448"/>
      <c r="N290" s="449"/>
      <c r="O290" s="13"/>
    </row>
    <row r="291" spans="2:15">
      <c r="B291" s="185">
        <f t="shared" si="38"/>
        <v>269</v>
      </c>
      <c r="C291" s="185"/>
      <c r="D291" s="186">
        <v>7</v>
      </c>
      <c r="E291" s="179">
        <f t="shared" si="37"/>
        <v>269</v>
      </c>
      <c r="F291" s="186">
        <v>33.24</v>
      </c>
      <c r="G291" s="186">
        <f t="shared" si="35"/>
        <v>32.841999999999999</v>
      </c>
      <c r="H291" s="187" t="str">
        <f t="shared" si="31"/>
        <v>IN</v>
      </c>
      <c r="I291" s="265">
        <f t="shared" si="33"/>
        <v>8878.2719999999936</v>
      </c>
      <c r="J291" s="265">
        <f t="shared" si="34"/>
        <v>2456.6080000000056</v>
      </c>
      <c r="K291" s="269">
        <f t="shared" si="32"/>
        <v>272.45430216653921</v>
      </c>
      <c r="L291" s="431">
        <v>0</v>
      </c>
      <c r="M291" s="448"/>
      <c r="N291" s="449"/>
      <c r="O291" s="13"/>
    </row>
    <row r="292" spans="2:15">
      <c r="B292" s="185">
        <f t="shared" si="38"/>
        <v>270</v>
      </c>
      <c r="C292" s="185"/>
      <c r="D292" s="186">
        <v>7</v>
      </c>
      <c r="E292" s="179">
        <f t="shared" si="37"/>
        <v>270</v>
      </c>
      <c r="F292" s="186">
        <v>33.32</v>
      </c>
      <c r="G292" s="186">
        <f t="shared" si="35"/>
        <v>32.921999999999997</v>
      </c>
      <c r="H292" s="187" t="str">
        <f t="shared" si="31"/>
        <v>IN</v>
      </c>
      <c r="I292" s="265">
        <f t="shared" si="33"/>
        <v>8911.193999999994</v>
      </c>
      <c r="J292" s="265">
        <f t="shared" si="34"/>
        <v>2423.6860000000052</v>
      </c>
      <c r="K292" s="269">
        <f t="shared" si="32"/>
        <v>273.14941159052705</v>
      </c>
      <c r="L292" s="431">
        <v>0</v>
      </c>
      <c r="M292" s="448"/>
      <c r="N292" s="449"/>
      <c r="O292" s="13"/>
    </row>
    <row r="293" spans="2:15">
      <c r="B293" s="185">
        <f t="shared" si="38"/>
        <v>271</v>
      </c>
      <c r="C293" s="185"/>
      <c r="D293" s="186">
        <v>7</v>
      </c>
      <c r="E293" s="179">
        <f t="shared" si="37"/>
        <v>271</v>
      </c>
      <c r="F293" s="186">
        <v>33.799999999999997</v>
      </c>
      <c r="G293" s="186">
        <f t="shared" si="35"/>
        <v>33.401999999999994</v>
      </c>
      <c r="H293" s="187" t="str">
        <f t="shared" si="31"/>
        <v>IN</v>
      </c>
      <c r="I293" s="265">
        <f t="shared" si="33"/>
        <v>8944.5959999999941</v>
      </c>
      <c r="J293" s="265">
        <f t="shared" si="34"/>
        <v>2390.2840000000051</v>
      </c>
      <c r="K293" s="269">
        <f t="shared" si="32"/>
        <v>273.85465565164236</v>
      </c>
      <c r="L293" s="431">
        <v>0</v>
      </c>
      <c r="M293" s="448"/>
      <c r="N293" s="449"/>
      <c r="O293" s="13"/>
    </row>
    <row r="294" spans="2:15">
      <c r="B294" s="185">
        <f t="shared" si="38"/>
        <v>272</v>
      </c>
      <c r="C294" s="185"/>
      <c r="D294" s="186">
        <v>7</v>
      </c>
      <c r="E294" s="179">
        <f t="shared" si="37"/>
        <v>272</v>
      </c>
      <c r="F294" s="186">
        <v>33.299999999999997</v>
      </c>
      <c r="G294" s="186">
        <f t="shared" si="35"/>
        <v>32.901999999999994</v>
      </c>
      <c r="H294" s="187" t="str">
        <f t="shared" si="31"/>
        <v>IN</v>
      </c>
      <c r="I294" s="265">
        <f t="shared" si="33"/>
        <v>8977.4979999999941</v>
      </c>
      <c r="J294" s="265">
        <f t="shared" si="34"/>
        <v>2357.3820000000051</v>
      </c>
      <c r="K294" s="269">
        <f t="shared" si="32"/>
        <v>274.54934279908315</v>
      </c>
      <c r="L294" s="431">
        <v>0</v>
      </c>
      <c r="M294" s="448"/>
      <c r="N294" s="449"/>
      <c r="O294" s="13"/>
    </row>
    <row r="295" spans="2:15">
      <c r="B295" s="185">
        <f t="shared" si="38"/>
        <v>273</v>
      </c>
      <c r="C295" s="185"/>
      <c r="D295" s="186">
        <v>7</v>
      </c>
      <c r="E295" s="179">
        <f t="shared" si="37"/>
        <v>273</v>
      </c>
      <c r="F295" s="186">
        <v>33.950000000000003</v>
      </c>
      <c r="G295" s="186">
        <f t="shared" si="35"/>
        <v>33.552</v>
      </c>
      <c r="H295" s="187" t="str">
        <f t="shared" si="31"/>
        <v>IN</v>
      </c>
      <c r="I295" s="265">
        <f t="shared" si="33"/>
        <v>9011.0499999999938</v>
      </c>
      <c r="J295" s="265">
        <f t="shared" si="34"/>
        <v>2323.8300000000054</v>
      </c>
      <c r="K295" s="269">
        <f t="shared" si="32"/>
        <v>275.25775393430092</v>
      </c>
      <c r="L295" s="431">
        <v>0</v>
      </c>
      <c r="M295" s="448"/>
      <c r="N295" s="449"/>
      <c r="O295" s="13"/>
    </row>
    <row r="296" spans="2:15">
      <c r="B296" s="185">
        <f t="shared" si="38"/>
        <v>274</v>
      </c>
      <c r="C296" s="185"/>
      <c r="D296" s="186">
        <v>7</v>
      </c>
      <c r="E296" s="179">
        <f t="shared" si="37"/>
        <v>274</v>
      </c>
      <c r="F296" s="186">
        <v>33.369999999999997</v>
      </c>
      <c r="G296" s="186">
        <f t="shared" si="35"/>
        <v>32.971999999999994</v>
      </c>
      <c r="H296" s="187" t="str">
        <f t="shared" si="31"/>
        <v>IN</v>
      </c>
      <c r="I296" s="265">
        <f t="shared" si="33"/>
        <v>9044.0219999999936</v>
      </c>
      <c r="J296" s="265">
        <f t="shared" si="34"/>
        <v>2290.8580000000056</v>
      </c>
      <c r="K296" s="269">
        <f t="shared" si="32"/>
        <v>275.95391904965606</v>
      </c>
      <c r="L296" s="431">
        <v>0</v>
      </c>
      <c r="M296" s="448"/>
      <c r="N296" s="449"/>
      <c r="O296" s="13"/>
    </row>
    <row r="297" spans="2:15">
      <c r="B297" s="185">
        <f t="shared" si="38"/>
        <v>275</v>
      </c>
      <c r="C297" s="185"/>
      <c r="D297" s="186">
        <v>7</v>
      </c>
      <c r="E297" s="179">
        <f t="shared" si="37"/>
        <v>275</v>
      </c>
      <c r="F297" s="186">
        <v>32.65</v>
      </c>
      <c r="G297" s="186">
        <f t="shared" si="35"/>
        <v>32.251999999999995</v>
      </c>
      <c r="H297" s="187" t="str">
        <f t="shared" si="31"/>
        <v>IN</v>
      </c>
      <c r="I297" s="265">
        <f t="shared" si="33"/>
        <v>9076.273999999994</v>
      </c>
      <c r="J297" s="265">
        <f t="shared" si="34"/>
        <v>2258.6060000000052</v>
      </c>
      <c r="K297" s="269">
        <f t="shared" si="32"/>
        <v>276.63488220931998</v>
      </c>
      <c r="L297" s="431">
        <v>0</v>
      </c>
      <c r="M297" s="448"/>
      <c r="N297" s="449"/>
      <c r="O297" s="13"/>
    </row>
    <row r="298" spans="2:15">
      <c r="B298" s="185">
        <f t="shared" si="38"/>
        <v>276</v>
      </c>
      <c r="C298" s="185"/>
      <c r="D298" s="186">
        <v>7</v>
      </c>
      <c r="E298" s="179">
        <f t="shared" si="37"/>
        <v>276</v>
      </c>
      <c r="F298" s="186">
        <v>33.32</v>
      </c>
      <c r="G298" s="186">
        <f t="shared" si="35"/>
        <v>32.921999999999997</v>
      </c>
      <c r="H298" s="187" t="str">
        <f t="shared" si="31"/>
        <v>IN</v>
      </c>
      <c r="I298" s="265">
        <f t="shared" si="33"/>
        <v>9109.1959999999945</v>
      </c>
      <c r="J298" s="265">
        <f t="shared" si="34"/>
        <v>2225.6840000000047</v>
      </c>
      <c r="K298" s="269">
        <f t="shared" si="32"/>
        <v>277.32999163330771</v>
      </c>
      <c r="L298" s="431">
        <v>0</v>
      </c>
      <c r="M298" s="448"/>
      <c r="N298" s="449"/>
      <c r="O298" s="13"/>
    </row>
    <row r="299" spans="2:15">
      <c r="B299" s="185">
        <f t="shared" si="38"/>
        <v>277</v>
      </c>
      <c r="C299" s="185"/>
      <c r="D299" s="186">
        <v>7</v>
      </c>
      <c r="E299" s="179">
        <f t="shared" si="37"/>
        <v>277</v>
      </c>
      <c r="F299" s="186">
        <v>33.96</v>
      </c>
      <c r="G299" s="186">
        <f t="shared" si="35"/>
        <v>33.561999999999998</v>
      </c>
      <c r="H299" s="187" t="str">
        <f t="shared" si="31"/>
        <v>IN</v>
      </c>
      <c r="I299" s="265">
        <f t="shared" si="33"/>
        <v>9142.7579999999944</v>
      </c>
      <c r="J299" s="265">
        <f t="shared" si="34"/>
        <v>2192.1220000000048</v>
      </c>
      <c r="K299" s="269">
        <f t="shared" si="32"/>
        <v>278.03861390679896</v>
      </c>
      <c r="L299" s="431">
        <v>0</v>
      </c>
      <c r="M299" s="448"/>
      <c r="N299" s="449"/>
      <c r="O299" s="13"/>
    </row>
    <row r="300" spans="2:15">
      <c r="B300" s="185">
        <f t="shared" si="38"/>
        <v>278</v>
      </c>
      <c r="C300" s="185"/>
      <c r="D300" s="186">
        <v>7</v>
      </c>
      <c r="E300" s="179">
        <f t="shared" si="37"/>
        <v>278</v>
      </c>
      <c r="F300" s="186">
        <v>33.74</v>
      </c>
      <c r="G300" s="186">
        <f t="shared" si="35"/>
        <v>33.341999999999999</v>
      </c>
      <c r="H300" s="187" t="str">
        <f t="shared" si="31"/>
        <v>IN</v>
      </c>
      <c r="I300" s="265">
        <f t="shared" si="33"/>
        <v>9176.0999999999949</v>
      </c>
      <c r="J300" s="265">
        <f t="shared" si="34"/>
        <v>2158.7800000000043</v>
      </c>
      <c r="K300" s="269">
        <f t="shared" si="32"/>
        <v>278.74259113827338</v>
      </c>
      <c r="L300" s="431">
        <v>0</v>
      </c>
      <c r="M300" s="448"/>
      <c r="N300" s="449"/>
      <c r="O300" s="13"/>
    </row>
    <row r="301" spans="2:15">
      <c r="B301" s="185">
        <f t="shared" si="38"/>
        <v>279</v>
      </c>
      <c r="C301" s="185"/>
      <c r="D301" s="186">
        <v>7</v>
      </c>
      <c r="E301" s="179">
        <f t="shared" si="37"/>
        <v>279</v>
      </c>
      <c r="F301" s="186">
        <v>33.950000000000003</v>
      </c>
      <c r="G301" s="186">
        <f t="shared" si="35"/>
        <v>33.552</v>
      </c>
      <c r="H301" s="187" t="str">
        <f t="shared" si="31"/>
        <v>IN</v>
      </c>
      <c r="I301" s="265">
        <f t="shared" si="33"/>
        <v>9209.6519999999946</v>
      </c>
      <c r="J301" s="265">
        <f t="shared" si="34"/>
        <v>2125.2280000000046</v>
      </c>
      <c r="K301" s="269">
        <f t="shared" si="32"/>
        <v>279.4510022734911</v>
      </c>
      <c r="L301" s="431">
        <v>0</v>
      </c>
      <c r="M301" s="448"/>
      <c r="N301" s="449"/>
      <c r="O301" s="13"/>
    </row>
    <row r="302" spans="2:15">
      <c r="B302" s="185">
        <f t="shared" si="38"/>
        <v>280</v>
      </c>
      <c r="C302" s="185"/>
      <c r="D302" s="186">
        <v>7</v>
      </c>
      <c r="E302" s="179">
        <f t="shared" si="37"/>
        <v>280</v>
      </c>
      <c r="F302" s="186">
        <v>33.22</v>
      </c>
      <c r="G302" s="186">
        <f t="shared" si="35"/>
        <v>32.821999999999996</v>
      </c>
      <c r="H302" s="187" t="str">
        <f t="shared" si="31"/>
        <v>IN</v>
      </c>
      <c r="I302" s="265">
        <f t="shared" si="33"/>
        <v>9242.4739999999947</v>
      </c>
      <c r="J302" s="265">
        <f t="shared" si="34"/>
        <v>2092.4060000000045</v>
      </c>
      <c r="K302" s="269">
        <f t="shared" si="32"/>
        <v>280.14400031474395</v>
      </c>
      <c r="L302" s="431">
        <v>0</v>
      </c>
      <c r="M302" s="448"/>
      <c r="N302" s="449"/>
      <c r="O302" s="13"/>
    </row>
    <row r="303" spans="2:15">
      <c r="B303" s="185">
        <f t="shared" si="38"/>
        <v>281</v>
      </c>
      <c r="C303" s="185"/>
      <c r="D303" s="186">
        <v>7</v>
      </c>
      <c r="E303" s="179">
        <f t="shared" si="37"/>
        <v>281</v>
      </c>
      <c r="F303" s="186">
        <v>33.21</v>
      </c>
      <c r="G303" s="186">
        <f t="shared" si="35"/>
        <v>32.811999999999998</v>
      </c>
      <c r="H303" s="187" t="str">
        <f t="shared" si="31"/>
        <v>IN</v>
      </c>
      <c r="I303" s="265">
        <f t="shared" si="33"/>
        <v>9275.2859999999946</v>
      </c>
      <c r="J303" s="265">
        <f t="shared" si="34"/>
        <v>2059.5940000000046</v>
      </c>
      <c r="K303" s="269">
        <f t="shared" si="32"/>
        <v>280.83678721772333</v>
      </c>
      <c r="L303" s="431">
        <v>0</v>
      </c>
      <c r="M303" s="448"/>
      <c r="N303" s="449"/>
      <c r="O303" s="13"/>
    </row>
    <row r="304" spans="2:15">
      <c r="B304" s="185">
        <f t="shared" si="38"/>
        <v>282</v>
      </c>
      <c r="C304" s="185"/>
      <c r="D304" s="186">
        <v>7</v>
      </c>
      <c r="E304" s="179">
        <f t="shared" si="37"/>
        <v>282</v>
      </c>
      <c r="F304" s="186">
        <v>33.35</v>
      </c>
      <c r="G304" s="186">
        <f t="shared" si="35"/>
        <v>32.951999999999998</v>
      </c>
      <c r="H304" s="187" t="str">
        <f t="shared" si="31"/>
        <v>IN</v>
      </c>
      <c r="I304" s="265">
        <f t="shared" si="33"/>
        <v>9308.2379999999939</v>
      </c>
      <c r="J304" s="265">
        <f t="shared" si="34"/>
        <v>2026.6420000000053</v>
      </c>
      <c r="K304" s="269">
        <f t="shared" si="32"/>
        <v>281.53253005653164</v>
      </c>
      <c r="L304" s="431">
        <v>0</v>
      </c>
      <c r="M304" s="448"/>
      <c r="N304" s="449"/>
      <c r="O304" s="13"/>
    </row>
    <row r="305" spans="2:15">
      <c r="B305" s="185">
        <f t="shared" si="38"/>
        <v>283</v>
      </c>
      <c r="C305" s="185"/>
      <c r="D305" s="186">
        <v>7</v>
      </c>
      <c r="E305" s="179">
        <f t="shared" si="37"/>
        <v>283</v>
      </c>
      <c r="F305" s="186">
        <v>33.24</v>
      </c>
      <c r="G305" s="186">
        <f t="shared" si="35"/>
        <v>32.841999999999999</v>
      </c>
      <c r="H305" s="187" t="str">
        <f t="shared" si="31"/>
        <v>IN</v>
      </c>
      <c r="I305" s="265">
        <f t="shared" si="33"/>
        <v>9341.0799999999945</v>
      </c>
      <c r="J305" s="265">
        <f t="shared" si="34"/>
        <v>1993.8000000000047</v>
      </c>
      <c r="K305" s="269">
        <f t="shared" si="32"/>
        <v>282.22595037433143</v>
      </c>
      <c r="L305" s="431">
        <v>0</v>
      </c>
      <c r="M305" s="442"/>
      <c r="N305" s="443"/>
      <c r="O305" s="13"/>
    </row>
    <row r="306" spans="2:15">
      <c r="B306" s="185">
        <f t="shared" si="38"/>
        <v>284</v>
      </c>
      <c r="C306" s="185"/>
      <c r="D306" s="186">
        <v>7</v>
      </c>
      <c r="E306" s="179">
        <f t="shared" si="37"/>
        <v>284</v>
      </c>
      <c r="F306" s="186">
        <v>33.35</v>
      </c>
      <c r="G306" s="186">
        <f t="shared" si="35"/>
        <v>32.951999999999998</v>
      </c>
      <c r="H306" s="187" t="str">
        <f t="shared" si="31"/>
        <v>IN</v>
      </c>
      <c r="I306" s="265">
        <f t="shared" si="33"/>
        <v>9374.0319999999938</v>
      </c>
      <c r="J306" s="265">
        <f t="shared" si="34"/>
        <v>1960.8480000000054</v>
      </c>
      <c r="K306" s="269">
        <f t="shared" si="32"/>
        <v>282.92169321313969</v>
      </c>
      <c r="L306" s="431">
        <v>0</v>
      </c>
      <c r="M306" s="252"/>
      <c r="N306" s="253"/>
      <c r="O306" s="13"/>
    </row>
    <row r="307" spans="2:15">
      <c r="B307" s="185">
        <f t="shared" si="38"/>
        <v>285</v>
      </c>
      <c r="C307" s="185"/>
      <c r="D307" s="186">
        <v>7</v>
      </c>
      <c r="E307" s="179">
        <f t="shared" si="37"/>
        <v>285</v>
      </c>
      <c r="F307" s="186">
        <v>33.380000000000003</v>
      </c>
      <c r="G307" s="186">
        <f t="shared" si="35"/>
        <v>32.981999999999999</v>
      </c>
      <c r="H307" s="187" t="str">
        <f t="shared" si="31"/>
        <v>IN</v>
      </c>
      <c r="I307" s="265">
        <f t="shared" si="33"/>
        <v>9407.0139999999938</v>
      </c>
      <c r="J307" s="265">
        <f t="shared" si="34"/>
        <v>1927.8660000000054</v>
      </c>
      <c r="K307" s="269">
        <f t="shared" si="32"/>
        <v>283.61806946676836</v>
      </c>
      <c r="L307" s="431">
        <v>0</v>
      </c>
      <c r="M307" s="252"/>
      <c r="N307" s="253"/>
      <c r="O307" s="13"/>
    </row>
    <row r="308" spans="2:15">
      <c r="B308" s="185">
        <f t="shared" si="38"/>
        <v>286</v>
      </c>
      <c r="C308" s="185"/>
      <c r="D308" s="186">
        <v>7</v>
      </c>
      <c r="E308" s="179">
        <f t="shared" si="37"/>
        <v>286</v>
      </c>
      <c r="F308" s="186">
        <v>33.380000000000003</v>
      </c>
      <c r="G308" s="186">
        <f t="shared" si="35"/>
        <v>32.981999999999999</v>
      </c>
      <c r="H308" s="187" t="str">
        <f t="shared" si="31"/>
        <v>IN</v>
      </c>
      <c r="I308" s="265">
        <f t="shared" si="33"/>
        <v>9439.9959999999937</v>
      </c>
      <c r="J308" s="265">
        <f t="shared" si="34"/>
        <v>1894.8840000000055</v>
      </c>
      <c r="K308" s="269">
        <f t="shared" si="32"/>
        <v>284.31444572039709</v>
      </c>
      <c r="L308" s="431">
        <v>0</v>
      </c>
      <c r="M308" s="252"/>
      <c r="N308" s="253"/>
      <c r="O308" s="13"/>
    </row>
    <row r="309" spans="2:15">
      <c r="B309" s="185">
        <f t="shared" si="38"/>
        <v>287</v>
      </c>
      <c r="C309" s="185"/>
      <c r="D309" s="186">
        <v>7</v>
      </c>
      <c r="E309" s="179">
        <f t="shared" si="37"/>
        <v>287</v>
      </c>
      <c r="F309" s="186">
        <v>33.07</v>
      </c>
      <c r="G309" s="186">
        <f t="shared" si="35"/>
        <v>32.671999999999997</v>
      </c>
      <c r="H309" s="187" t="str">
        <f t="shared" si="31"/>
        <v>IN</v>
      </c>
      <c r="I309" s="265">
        <f t="shared" si="33"/>
        <v>9472.6679999999942</v>
      </c>
      <c r="J309" s="265">
        <f t="shared" si="34"/>
        <v>1862.212000000005</v>
      </c>
      <c r="K309" s="269">
        <f t="shared" si="32"/>
        <v>285.00427668754764</v>
      </c>
      <c r="L309" s="431">
        <v>0</v>
      </c>
      <c r="M309" s="252"/>
      <c r="N309" s="253"/>
      <c r="O309" s="13"/>
    </row>
    <row r="310" spans="2:15">
      <c r="B310" s="185">
        <f t="shared" si="38"/>
        <v>288</v>
      </c>
      <c r="C310" s="185"/>
      <c r="D310" s="186">
        <v>7</v>
      </c>
      <c r="E310" s="179">
        <f t="shared" si="37"/>
        <v>288</v>
      </c>
      <c r="F310" s="186">
        <v>33.64</v>
      </c>
      <c r="G310" s="186">
        <f t="shared" si="35"/>
        <v>33.241999999999997</v>
      </c>
      <c r="H310" s="187" t="str">
        <f t="shared" si="31"/>
        <v>IN</v>
      </c>
      <c r="I310" s="265">
        <f t="shared" si="33"/>
        <v>9505.9099999999944</v>
      </c>
      <c r="J310" s="265">
        <f t="shared" si="34"/>
        <v>1828.9700000000048</v>
      </c>
      <c r="K310" s="269">
        <f t="shared" si="32"/>
        <v>285.70614253628713</v>
      </c>
      <c r="L310" s="431">
        <v>0</v>
      </c>
      <c r="M310" s="252"/>
      <c r="N310" s="253"/>
      <c r="O310" s="13"/>
    </row>
    <row r="311" spans="2:15">
      <c r="B311" s="185">
        <f t="shared" si="38"/>
        <v>289</v>
      </c>
      <c r="C311" s="185"/>
      <c r="D311" s="186">
        <v>7</v>
      </c>
      <c r="E311" s="179">
        <f t="shared" si="37"/>
        <v>289</v>
      </c>
      <c r="F311" s="186">
        <v>33.35</v>
      </c>
      <c r="G311" s="186">
        <f t="shared" si="35"/>
        <v>32.951999999999998</v>
      </c>
      <c r="H311" s="187" t="str">
        <f t="shared" si="31"/>
        <v>IN</v>
      </c>
      <c r="I311" s="265">
        <f t="shared" si="33"/>
        <v>9538.8619999999937</v>
      </c>
      <c r="J311" s="265">
        <f t="shared" si="34"/>
        <v>1796.0180000000055</v>
      </c>
      <c r="K311" s="269">
        <f t="shared" si="32"/>
        <v>286.40188537509539</v>
      </c>
      <c r="L311" s="431">
        <v>0</v>
      </c>
      <c r="M311" s="252"/>
      <c r="N311" s="253"/>
      <c r="O311" s="13"/>
    </row>
    <row r="312" spans="2:15">
      <c r="B312" s="185">
        <f t="shared" si="38"/>
        <v>290</v>
      </c>
      <c r="C312" s="185"/>
      <c r="D312" s="186">
        <v>7</v>
      </c>
      <c r="E312" s="179">
        <f t="shared" si="37"/>
        <v>290</v>
      </c>
      <c r="F312" s="186">
        <v>31.77</v>
      </c>
      <c r="G312" s="186">
        <f t="shared" si="35"/>
        <v>31.372</v>
      </c>
      <c r="H312" s="187" t="str">
        <f t="shared" si="31"/>
        <v>IN</v>
      </c>
      <c r="I312" s="265">
        <f t="shared" si="33"/>
        <v>9570.2339999999931</v>
      </c>
      <c r="J312" s="265">
        <f t="shared" si="34"/>
        <v>1764.6460000000061</v>
      </c>
      <c r="K312" s="269">
        <f t="shared" si="32"/>
        <v>287.06426836669198</v>
      </c>
      <c r="L312" s="431">
        <v>0</v>
      </c>
      <c r="M312" s="447"/>
      <c r="N312" s="447"/>
      <c r="O312" s="13"/>
    </row>
    <row r="313" spans="2:15">
      <c r="B313" s="185">
        <f t="shared" si="38"/>
        <v>291</v>
      </c>
      <c r="C313" s="185"/>
      <c r="D313" s="186">
        <v>7</v>
      </c>
      <c r="E313" s="179">
        <f t="shared" si="37"/>
        <v>291</v>
      </c>
      <c r="F313" s="186">
        <v>33.770000000000003</v>
      </c>
      <c r="G313" s="186">
        <f t="shared" si="35"/>
        <v>33.372</v>
      </c>
      <c r="H313" s="187" t="str">
        <f t="shared" si="31"/>
        <v>IN</v>
      </c>
      <c r="I313" s="265">
        <f t="shared" si="33"/>
        <v>9603.6059999999925</v>
      </c>
      <c r="J313" s="265">
        <f t="shared" si="34"/>
        <v>1731.2740000000067</v>
      </c>
      <c r="K313" s="269">
        <f t="shared" si="32"/>
        <v>287.76887901298687</v>
      </c>
      <c r="L313" s="431">
        <v>0</v>
      </c>
      <c r="M313" s="444"/>
      <c r="N313" s="444"/>
      <c r="O313" s="13"/>
    </row>
    <row r="314" spans="2:15">
      <c r="B314" s="185">
        <f t="shared" si="38"/>
        <v>292</v>
      </c>
      <c r="C314" s="185"/>
      <c r="D314" s="186">
        <v>7</v>
      </c>
      <c r="E314" s="179">
        <f t="shared" si="37"/>
        <v>292</v>
      </c>
      <c r="F314" s="186">
        <v>33.04</v>
      </c>
      <c r="G314" s="186">
        <f t="shared" si="35"/>
        <v>32.641999999999996</v>
      </c>
      <c r="H314" s="187" t="str">
        <f t="shared" si="31"/>
        <v>IN</v>
      </c>
      <c r="I314" s="265">
        <f t="shared" si="33"/>
        <v>9636.2479999999923</v>
      </c>
      <c r="J314" s="265">
        <f t="shared" si="34"/>
        <v>1698.6320000000069</v>
      </c>
      <c r="K314" s="269">
        <f t="shared" si="32"/>
        <v>288.4580765653169</v>
      </c>
      <c r="L314" s="431">
        <v>0</v>
      </c>
      <c r="M314" s="444"/>
      <c r="N314" s="444"/>
      <c r="O314" s="13"/>
    </row>
    <row r="315" spans="2:15">
      <c r="B315" s="185">
        <f t="shared" si="38"/>
        <v>293</v>
      </c>
      <c r="C315" s="185"/>
      <c r="D315" s="186">
        <v>7</v>
      </c>
      <c r="E315" s="179">
        <f t="shared" si="37"/>
        <v>293</v>
      </c>
      <c r="F315" s="186">
        <v>33.090000000000003</v>
      </c>
      <c r="G315" s="186">
        <f t="shared" si="35"/>
        <v>32.692</v>
      </c>
      <c r="H315" s="187" t="str">
        <f t="shared" si="31"/>
        <v>IN</v>
      </c>
      <c r="I315" s="265">
        <f t="shared" si="33"/>
        <v>9668.9399999999914</v>
      </c>
      <c r="J315" s="265">
        <f t="shared" si="34"/>
        <v>1665.9400000000078</v>
      </c>
      <c r="K315" s="269">
        <f t="shared" si="32"/>
        <v>289.14832980901434</v>
      </c>
      <c r="L315" s="431">
        <v>0</v>
      </c>
      <c r="M315" s="444"/>
      <c r="N315" s="444"/>
      <c r="O315" s="13"/>
    </row>
    <row r="316" spans="2:15">
      <c r="B316" s="188">
        <f t="shared" si="38"/>
        <v>294</v>
      </c>
      <c r="C316" s="188"/>
      <c r="D316" s="265">
        <v>7</v>
      </c>
      <c r="E316" s="179">
        <f t="shared" si="37"/>
        <v>294</v>
      </c>
      <c r="F316" s="186">
        <v>33.840000000000003</v>
      </c>
      <c r="G316" s="265">
        <f t="shared" si="35"/>
        <v>33.442</v>
      </c>
      <c r="H316" s="187" t="str">
        <f t="shared" si="31"/>
        <v>IN</v>
      </c>
      <c r="I316" s="265">
        <f t="shared" si="33"/>
        <v>9702.3819999999905</v>
      </c>
      <c r="J316" s="265">
        <f t="shared" si="34"/>
        <v>1632.4980000000087</v>
      </c>
      <c r="K316" s="269">
        <f t="shared" si="32"/>
        <v>289.85441842322359</v>
      </c>
      <c r="L316" s="431">
        <v>0</v>
      </c>
      <c r="M316" s="447"/>
      <c r="N316" s="447"/>
      <c r="O316" s="13"/>
    </row>
    <row r="317" spans="2:15">
      <c r="B317" s="185">
        <f t="shared" si="38"/>
        <v>295</v>
      </c>
      <c r="C317" s="185"/>
      <c r="D317" s="186">
        <v>7</v>
      </c>
      <c r="E317" s="179">
        <f t="shared" si="37"/>
        <v>295</v>
      </c>
      <c r="F317" s="186">
        <v>33.54</v>
      </c>
      <c r="G317" s="186">
        <f t="shared" si="35"/>
        <v>33.141999999999996</v>
      </c>
      <c r="H317" s="187" t="str">
        <f t="shared" si="31"/>
        <v>IN</v>
      </c>
      <c r="I317" s="265">
        <f t="shared" si="33"/>
        <v>9735.5239999999903</v>
      </c>
      <c r="J317" s="265">
        <f t="shared" si="34"/>
        <v>1599.3560000000089</v>
      </c>
      <c r="K317" s="269">
        <f t="shared" si="32"/>
        <v>290.5541728892282</v>
      </c>
      <c r="L317" s="431">
        <v>0</v>
      </c>
      <c r="M317" s="444"/>
      <c r="N317" s="444"/>
      <c r="O317" s="13"/>
    </row>
    <row r="318" spans="2:15">
      <c r="B318" s="185">
        <f t="shared" si="38"/>
        <v>296</v>
      </c>
      <c r="C318" s="185"/>
      <c r="D318" s="186">
        <v>7</v>
      </c>
      <c r="E318" s="179">
        <f t="shared" si="37"/>
        <v>296</v>
      </c>
      <c r="F318" s="186">
        <v>31.8</v>
      </c>
      <c r="G318" s="186">
        <f t="shared" si="35"/>
        <v>31.402000000000001</v>
      </c>
      <c r="H318" s="187" t="str">
        <f t="shared" si="31"/>
        <v>IN</v>
      </c>
      <c r="I318" s="265">
        <f t="shared" si="33"/>
        <v>9766.9259999999904</v>
      </c>
      <c r="J318" s="265">
        <f t="shared" si="34"/>
        <v>1567.9540000000088</v>
      </c>
      <c r="K318" s="269">
        <f t="shared" si="32"/>
        <v>291.21718929564531</v>
      </c>
      <c r="L318" s="431">
        <v>0</v>
      </c>
      <c r="M318" s="444"/>
      <c r="N318" s="444"/>
      <c r="O318" s="13"/>
    </row>
    <row r="319" spans="2:15">
      <c r="B319" s="185">
        <f t="shared" si="38"/>
        <v>297</v>
      </c>
      <c r="C319" s="185"/>
      <c r="D319" s="186">
        <v>7</v>
      </c>
      <c r="E319" s="179">
        <f t="shared" si="37"/>
        <v>297</v>
      </c>
      <c r="F319" s="186">
        <v>33.590000000000003</v>
      </c>
      <c r="G319" s="186">
        <f t="shared" si="35"/>
        <v>33.192</v>
      </c>
      <c r="H319" s="187" t="str">
        <f t="shared" si="31"/>
        <v>IN</v>
      </c>
      <c r="I319" s="265">
        <f t="shared" si="33"/>
        <v>9800.1179999999895</v>
      </c>
      <c r="J319" s="265">
        <f t="shared" si="34"/>
        <v>1534.7620000000097</v>
      </c>
      <c r="K319" s="269">
        <f t="shared" si="32"/>
        <v>291.91799945301739</v>
      </c>
      <c r="L319" s="431">
        <v>0</v>
      </c>
      <c r="M319" s="444"/>
      <c r="N319" s="444"/>
      <c r="O319" s="13"/>
    </row>
    <row r="320" spans="2:15">
      <c r="B320" s="185">
        <f t="shared" si="38"/>
        <v>298</v>
      </c>
      <c r="C320" s="185"/>
      <c r="D320" s="186">
        <v>7</v>
      </c>
      <c r="E320" s="179">
        <f t="shared" si="37"/>
        <v>298</v>
      </c>
      <c r="F320" s="186">
        <v>33.49</v>
      </c>
      <c r="G320" s="186">
        <f t="shared" si="35"/>
        <v>33.091999999999999</v>
      </c>
      <c r="H320" s="187" t="str">
        <f t="shared" si="31"/>
        <v>IN</v>
      </c>
      <c r="I320" s="265">
        <f t="shared" si="33"/>
        <v>9833.20999999999</v>
      </c>
      <c r="J320" s="265">
        <f t="shared" si="34"/>
        <v>1501.6700000000092</v>
      </c>
      <c r="K320" s="269">
        <f t="shared" si="32"/>
        <v>292.61669822765452</v>
      </c>
      <c r="L320" s="431">
        <v>0</v>
      </c>
      <c r="M320" s="444"/>
      <c r="N320" s="444"/>
      <c r="O320" s="13"/>
    </row>
    <row r="321" spans="2:15">
      <c r="B321" s="185">
        <f t="shared" si="38"/>
        <v>299</v>
      </c>
      <c r="C321" s="185"/>
      <c r="D321" s="186">
        <v>7</v>
      </c>
      <c r="E321" s="179">
        <f t="shared" si="37"/>
        <v>299</v>
      </c>
      <c r="F321" s="186">
        <v>33.04</v>
      </c>
      <c r="G321" s="186">
        <f t="shared" si="35"/>
        <v>32.641999999999996</v>
      </c>
      <c r="H321" s="187" t="str">
        <f t="shared" si="31"/>
        <v>IN</v>
      </c>
      <c r="I321" s="265">
        <f t="shared" si="33"/>
        <v>9865.8519999999899</v>
      </c>
      <c r="J321" s="265">
        <f t="shared" si="34"/>
        <v>1469.0280000000093</v>
      </c>
      <c r="K321" s="269">
        <f t="shared" si="32"/>
        <v>293.3058957799845</v>
      </c>
      <c r="L321" s="431">
        <v>0</v>
      </c>
      <c r="M321" s="444"/>
      <c r="N321" s="444"/>
      <c r="O321" s="13"/>
    </row>
    <row r="322" spans="2:15">
      <c r="B322" s="185">
        <f t="shared" si="38"/>
        <v>300</v>
      </c>
      <c r="C322" s="185"/>
      <c r="D322" s="186">
        <v>7</v>
      </c>
      <c r="E322" s="179">
        <f t="shared" si="37"/>
        <v>300</v>
      </c>
      <c r="F322" s="186">
        <v>33.200000000000003</v>
      </c>
      <c r="G322" s="186">
        <f t="shared" si="35"/>
        <v>32.802</v>
      </c>
      <c r="H322" s="187" t="str">
        <f t="shared" si="31"/>
        <v>IN</v>
      </c>
      <c r="I322" s="265">
        <f t="shared" si="33"/>
        <v>9898.6539999999895</v>
      </c>
      <c r="J322" s="265">
        <f t="shared" si="34"/>
        <v>1436.2260000000097</v>
      </c>
      <c r="K322" s="269">
        <f t="shared" si="32"/>
        <v>293.9984715446904</v>
      </c>
      <c r="L322" s="431">
        <v>0</v>
      </c>
      <c r="M322" s="444"/>
      <c r="N322" s="444"/>
      <c r="O322" s="13"/>
    </row>
    <row r="323" spans="2:15">
      <c r="B323" s="185">
        <f t="shared" si="38"/>
        <v>301</v>
      </c>
      <c r="C323" s="185"/>
      <c r="D323" s="186">
        <v>7</v>
      </c>
      <c r="E323" s="179">
        <f t="shared" si="37"/>
        <v>301</v>
      </c>
      <c r="F323" s="186">
        <v>33</v>
      </c>
      <c r="G323" s="186">
        <f t="shared" si="35"/>
        <v>32.601999999999997</v>
      </c>
      <c r="H323" s="187" t="str">
        <f t="shared" si="31"/>
        <v>IN</v>
      </c>
      <c r="I323" s="265">
        <f t="shared" si="33"/>
        <v>9931.2559999999903</v>
      </c>
      <c r="J323" s="265">
        <f t="shared" si="34"/>
        <v>1403.6240000000089</v>
      </c>
      <c r="K323" s="269">
        <f t="shared" si="32"/>
        <v>294.68682454392649</v>
      </c>
      <c r="L323" s="431">
        <v>0</v>
      </c>
      <c r="M323" s="444"/>
      <c r="N323" s="444"/>
      <c r="O323" s="13"/>
    </row>
    <row r="324" spans="2:15">
      <c r="B324" s="185">
        <f t="shared" si="38"/>
        <v>302</v>
      </c>
      <c r="C324" s="185"/>
      <c r="D324" s="186">
        <v>7</v>
      </c>
      <c r="E324" s="179">
        <f t="shared" si="37"/>
        <v>302</v>
      </c>
      <c r="F324" s="186">
        <v>31.87</v>
      </c>
      <c r="G324" s="186">
        <f t="shared" si="35"/>
        <v>31.472000000000001</v>
      </c>
      <c r="H324" s="187" t="str">
        <f t="shared" si="31"/>
        <v>IN</v>
      </c>
      <c r="I324" s="265">
        <f t="shared" si="33"/>
        <v>9962.7279999999901</v>
      </c>
      <c r="J324" s="265">
        <f t="shared" si="34"/>
        <v>1372.1520000000091</v>
      </c>
      <c r="K324" s="269">
        <f t="shared" si="32"/>
        <v>295.35131891825802</v>
      </c>
      <c r="L324" s="431">
        <v>0</v>
      </c>
      <c r="M324" s="444"/>
      <c r="N324" s="444"/>
      <c r="O324" s="13"/>
    </row>
    <row r="325" spans="2:15">
      <c r="B325" s="185">
        <f t="shared" si="38"/>
        <v>303</v>
      </c>
      <c r="C325" s="185"/>
      <c r="D325" s="186">
        <v>7</v>
      </c>
      <c r="E325" s="179">
        <f t="shared" si="37"/>
        <v>303</v>
      </c>
      <c r="F325" s="186">
        <v>33.53</v>
      </c>
      <c r="G325" s="186">
        <f t="shared" si="35"/>
        <v>33.131999999999998</v>
      </c>
      <c r="H325" s="187" t="str">
        <f t="shared" si="31"/>
        <v>IN</v>
      </c>
      <c r="I325" s="265">
        <f t="shared" si="33"/>
        <v>9995.8599999999897</v>
      </c>
      <c r="J325" s="265">
        <f t="shared" si="34"/>
        <v>1339.0200000000095</v>
      </c>
      <c r="K325" s="269">
        <f t="shared" si="32"/>
        <v>296.05086224598909</v>
      </c>
      <c r="L325" s="431">
        <v>0</v>
      </c>
      <c r="M325" s="444"/>
      <c r="N325" s="444"/>
      <c r="O325" s="13"/>
    </row>
    <row r="326" spans="2:15">
      <c r="B326" s="185">
        <f t="shared" si="38"/>
        <v>304</v>
      </c>
      <c r="C326" s="185"/>
      <c r="D326" s="186">
        <v>7</v>
      </c>
      <c r="E326" s="179">
        <f t="shared" si="37"/>
        <v>304</v>
      </c>
      <c r="F326" s="186">
        <v>33.770000000000003</v>
      </c>
      <c r="G326" s="186">
        <f t="shared" si="35"/>
        <v>33.372</v>
      </c>
      <c r="H326" s="187" t="str">
        <f t="shared" si="31"/>
        <v>IN</v>
      </c>
      <c r="I326" s="265">
        <f t="shared" si="33"/>
        <v>10029.231999999989</v>
      </c>
      <c r="J326" s="265">
        <f t="shared" si="34"/>
        <v>1305.6480000000101</v>
      </c>
      <c r="K326" s="269">
        <f t="shared" si="32"/>
        <v>296.75547289228393</v>
      </c>
      <c r="L326" s="431">
        <v>0</v>
      </c>
      <c r="M326" s="444"/>
      <c r="N326" s="444"/>
      <c r="O326" s="13"/>
    </row>
    <row r="327" spans="2:15">
      <c r="B327" s="185">
        <f t="shared" si="38"/>
        <v>305</v>
      </c>
      <c r="C327" s="185"/>
      <c r="D327" s="186">
        <v>7</v>
      </c>
      <c r="E327" s="179">
        <f t="shared" si="37"/>
        <v>305</v>
      </c>
      <c r="F327" s="186">
        <v>33.229999999999997</v>
      </c>
      <c r="G327" s="186">
        <f t="shared" si="35"/>
        <v>32.831999999999994</v>
      </c>
      <c r="H327" s="187" t="str">
        <f t="shared" si="31"/>
        <v>IN</v>
      </c>
      <c r="I327" s="265">
        <f t="shared" si="33"/>
        <v>10062.063999999989</v>
      </c>
      <c r="J327" s="265">
        <f t="shared" si="34"/>
        <v>1272.8160000000098</v>
      </c>
      <c r="K327" s="269">
        <f t="shared" si="32"/>
        <v>297.44868207181037</v>
      </c>
      <c r="L327" s="431">
        <v>0</v>
      </c>
      <c r="M327" s="444"/>
      <c r="N327" s="444"/>
      <c r="O327" s="13"/>
    </row>
    <row r="328" spans="2:15" ht="13.5" thickBot="1">
      <c r="B328" s="185">
        <f t="shared" si="38"/>
        <v>306</v>
      </c>
      <c r="C328" s="185"/>
      <c r="D328" s="186">
        <v>7</v>
      </c>
      <c r="E328" s="179">
        <f t="shared" si="37"/>
        <v>306</v>
      </c>
      <c r="F328" s="186">
        <v>33.630000000000003</v>
      </c>
      <c r="G328" s="186">
        <f t="shared" si="35"/>
        <v>33.231999999999999</v>
      </c>
      <c r="H328" s="187" t="str">
        <f t="shared" si="31"/>
        <v>IN</v>
      </c>
      <c r="I328" s="265">
        <f t="shared" si="33"/>
        <v>10095.295999999989</v>
      </c>
      <c r="J328" s="265">
        <f t="shared" si="34"/>
        <v>1239.5840000000098</v>
      </c>
      <c r="K328" s="269">
        <f t="shared" si="32"/>
        <v>298.15033678227633</v>
      </c>
      <c r="L328" s="431">
        <v>0</v>
      </c>
      <c r="M328" s="444"/>
      <c r="N328" s="444"/>
      <c r="O328" s="13"/>
    </row>
    <row r="329" spans="2:15">
      <c r="B329" s="607" t="s">
        <v>95</v>
      </c>
      <c r="C329" s="609">
        <v>11849287</v>
      </c>
      <c r="D329" s="611" t="s">
        <v>69</v>
      </c>
      <c r="E329" s="611"/>
      <c r="F329" s="309">
        <v>6.21</v>
      </c>
      <c r="G329" s="348">
        <f t="shared" ref="G329" si="39">F329-($E$12)</f>
        <v>5.8120000000000003</v>
      </c>
      <c r="H329" s="349" t="str">
        <f t="shared" si="31"/>
        <v>IN</v>
      </c>
      <c r="I329" s="351">
        <f t="shared" ref="I329:I333" si="40">IF(H329="IN",I328+G329,I328)</f>
        <v>10101.107999999989</v>
      </c>
      <c r="J329" s="351">
        <f t="shared" ref="J329:J333" si="41">IF(I329="","",$M$9-I329)</f>
        <v>1233.7720000000099</v>
      </c>
      <c r="K329" s="366">
        <f t="shared" ref="K329:K333" si="42">$H$9+(I329*$E$10*$H$11/1000)</f>
        <v>298.27305034682945</v>
      </c>
      <c r="L329" s="612"/>
      <c r="M329" s="531" t="s">
        <v>96</v>
      </c>
      <c r="N329" s="532"/>
      <c r="O329" s="13"/>
    </row>
    <row r="330" spans="2:15">
      <c r="B330" s="533"/>
      <c r="C330" s="534"/>
      <c r="D330" s="530" t="s">
        <v>70</v>
      </c>
      <c r="E330" s="530"/>
      <c r="F330" s="309">
        <v>5.61</v>
      </c>
      <c r="G330" s="301">
        <f>F330</f>
        <v>5.61</v>
      </c>
      <c r="H330" s="266" t="str">
        <f t="shared" si="31"/>
        <v>IN</v>
      </c>
      <c r="I330" s="306">
        <f t="shared" si="40"/>
        <v>10106.71799999999</v>
      </c>
      <c r="J330" s="306">
        <f t="shared" si="41"/>
        <v>1228.1620000000094</v>
      </c>
      <c r="K330" s="367">
        <f t="shared" si="42"/>
        <v>298.39149891825798</v>
      </c>
      <c r="L330" s="613"/>
      <c r="M330" s="535" t="s">
        <v>184</v>
      </c>
      <c r="N330" s="536"/>
      <c r="O330" s="13"/>
    </row>
    <row r="331" spans="2:15">
      <c r="B331" s="533"/>
      <c r="C331" s="534"/>
      <c r="D331" s="615" t="s">
        <v>28</v>
      </c>
      <c r="E331" s="615"/>
      <c r="F331" s="310">
        <v>8.4700000000000006</v>
      </c>
      <c r="G331" s="303">
        <f>F331</f>
        <v>8.4700000000000006</v>
      </c>
      <c r="H331" s="267" t="str">
        <f t="shared" si="31"/>
        <v>IN</v>
      </c>
      <c r="I331" s="308">
        <f t="shared" si="40"/>
        <v>10115.187999999989</v>
      </c>
      <c r="J331" s="308">
        <f t="shared" si="41"/>
        <v>1219.69200000001</v>
      </c>
      <c r="K331" s="368">
        <f t="shared" si="42"/>
        <v>298.57033303590509</v>
      </c>
      <c r="L331" s="613"/>
      <c r="M331" s="537"/>
      <c r="N331" s="538"/>
      <c r="O331" s="13"/>
    </row>
    <row r="332" spans="2:15">
      <c r="B332" s="533"/>
      <c r="C332" s="534"/>
      <c r="D332" s="530" t="s">
        <v>70</v>
      </c>
      <c r="E332" s="530"/>
      <c r="F332" s="309">
        <v>11.62</v>
      </c>
      <c r="G332" s="301">
        <f>F332</f>
        <v>11.62</v>
      </c>
      <c r="H332" s="266" t="str">
        <f t="shared" si="31"/>
        <v>IN</v>
      </c>
      <c r="I332" s="306">
        <f t="shared" si="40"/>
        <v>10126.80799999999</v>
      </c>
      <c r="J332" s="306">
        <f t="shared" si="41"/>
        <v>1208.0720000000092</v>
      </c>
      <c r="K332" s="367">
        <f t="shared" si="42"/>
        <v>298.81567570970185</v>
      </c>
      <c r="L332" s="613"/>
      <c r="M332" s="539" t="s">
        <v>172</v>
      </c>
      <c r="N332" s="540"/>
      <c r="O332" s="13"/>
    </row>
    <row r="333" spans="2:15" ht="13.5" thickBot="1">
      <c r="B333" s="608"/>
      <c r="C333" s="610"/>
      <c r="D333" s="616" t="s">
        <v>69</v>
      </c>
      <c r="E333" s="616"/>
      <c r="F333" s="309">
        <v>7.91</v>
      </c>
      <c r="G333" s="354">
        <f>F333</f>
        <v>7.91</v>
      </c>
      <c r="H333" s="353" t="str">
        <f t="shared" si="31"/>
        <v>IN</v>
      </c>
      <c r="I333" s="352">
        <f t="shared" si="40"/>
        <v>10134.71799999999</v>
      </c>
      <c r="J333" s="352">
        <f t="shared" si="41"/>
        <v>1200.1620000000094</v>
      </c>
      <c r="K333" s="369">
        <f t="shared" si="42"/>
        <v>298.98268608403339</v>
      </c>
      <c r="L333" s="614"/>
      <c r="M333" s="541" t="s">
        <v>127</v>
      </c>
      <c r="N333" s="542"/>
      <c r="O333" s="13"/>
    </row>
    <row r="334" spans="2:15">
      <c r="B334" s="185">
        <v>307</v>
      </c>
      <c r="C334" s="185"/>
      <c r="D334" s="186">
        <v>7</v>
      </c>
      <c r="E334" s="179">
        <v>307</v>
      </c>
      <c r="F334" s="286">
        <v>33.96</v>
      </c>
      <c r="G334" s="186">
        <f t="shared" si="35"/>
        <v>33.561999999999998</v>
      </c>
      <c r="H334" s="187" t="str">
        <f t="shared" si="31"/>
        <v>IN</v>
      </c>
      <c r="I334" s="265">
        <f t="shared" si="33"/>
        <v>10168.27999999999</v>
      </c>
      <c r="J334" s="265">
        <f t="shared" si="34"/>
        <v>1166.6000000000095</v>
      </c>
      <c r="K334" s="269">
        <f t="shared" si="32"/>
        <v>299.69130835752463</v>
      </c>
      <c r="L334" s="432">
        <v>1</v>
      </c>
      <c r="M334" s="444"/>
      <c r="N334" s="444"/>
      <c r="O334" s="13"/>
    </row>
    <row r="335" spans="2:15">
      <c r="B335" s="185">
        <f t="shared" si="38"/>
        <v>308</v>
      </c>
      <c r="C335" s="185"/>
      <c r="D335" s="186">
        <v>7</v>
      </c>
      <c r="E335" s="179">
        <f t="shared" si="37"/>
        <v>308</v>
      </c>
      <c r="F335" s="286">
        <v>33.049999999999997</v>
      </c>
      <c r="G335" s="186">
        <f t="shared" si="35"/>
        <v>32.651999999999994</v>
      </c>
      <c r="H335" s="187" t="str">
        <f t="shared" si="31"/>
        <v>IN</v>
      </c>
      <c r="I335" s="265">
        <f t="shared" si="33"/>
        <v>10200.93199999999</v>
      </c>
      <c r="J335" s="265">
        <f t="shared" si="34"/>
        <v>1133.9480000000094</v>
      </c>
      <c r="K335" s="364">
        <f t="shared" si="32"/>
        <v>300.38071704812813</v>
      </c>
      <c r="L335" s="431">
        <v>1</v>
      </c>
      <c r="M335" s="444"/>
      <c r="N335" s="444"/>
      <c r="O335" s="13"/>
    </row>
    <row r="336" spans="2:15">
      <c r="B336" s="185">
        <f t="shared" si="38"/>
        <v>309</v>
      </c>
      <c r="C336" s="185"/>
      <c r="D336" s="186">
        <v>7</v>
      </c>
      <c r="E336" s="179">
        <f t="shared" si="37"/>
        <v>309</v>
      </c>
      <c r="F336" s="286">
        <v>33.299999999999997</v>
      </c>
      <c r="G336" s="186">
        <f t="shared" si="35"/>
        <v>32.901999999999994</v>
      </c>
      <c r="H336" s="187" t="str">
        <f t="shared" si="31"/>
        <v>IN</v>
      </c>
      <c r="I336" s="265">
        <f t="shared" si="33"/>
        <v>10233.83399999999</v>
      </c>
      <c r="J336" s="265">
        <f t="shared" si="34"/>
        <v>1101.0460000000094</v>
      </c>
      <c r="K336" s="269">
        <f t="shared" si="32"/>
        <v>301.07540419556892</v>
      </c>
      <c r="L336" s="431">
        <v>1</v>
      </c>
      <c r="M336" s="444"/>
      <c r="N336" s="444"/>
      <c r="O336" s="13"/>
    </row>
    <row r="337" spans="1:15">
      <c r="B337" s="185">
        <f>B336+1</f>
        <v>310</v>
      </c>
      <c r="C337" s="185"/>
      <c r="D337" s="186">
        <v>7</v>
      </c>
      <c r="E337" s="179">
        <f>E336+1</f>
        <v>310</v>
      </c>
      <c r="F337" s="286">
        <v>33.58</v>
      </c>
      <c r="G337" s="186">
        <f t="shared" ref="G337" si="43">F337-($E$12)</f>
        <v>33.181999999999995</v>
      </c>
      <c r="H337" s="187" t="str">
        <f t="shared" ref="H337:H368" si="44">IF(F337="","OUT","IN")</f>
        <v>IN</v>
      </c>
      <c r="I337" s="265">
        <f t="shared" ref="I337" si="45">IF(H337="IN",I336+G337,I336)</f>
        <v>10267.015999999991</v>
      </c>
      <c r="J337" s="265">
        <f t="shared" ref="J337" si="46">IF(I337="","",$M$9-I337)</f>
        <v>1067.8640000000087</v>
      </c>
      <c r="K337" s="269">
        <f t="shared" ref="K337" si="47">$H$9+(I337*$E$10*$H$11/1000)</f>
        <v>301.77600321466753</v>
      </c>
      <c r="L337" s="431">
        <v>1</v>
      </c>
      <c r="M337" s="444"/>
      <c r="N337" s="444"/>
      <c r="O337" s="13"/>
    </row>
    <row r="338" spans="1:15">
      <c r="B338" s="185">
        <f>B337+1</f>
        <v>311</v>
      </c>
      <c r="C338" s="185"/>
      <c r="D338" s="186">
        <v>7</v>
      </c>
      <c r="E338" s="179">
        <f>E337+1</f>
        <v>311</v>
      </c>
      <c r="F338" s="286">
        <v>32.869999999999997</v>
      </c>
      <c r="G338" s="186">
        <f t="shared" si="35"/>
        <v>32.471999999999994</v>
      </c>
      <c r="H338" s="187" t="str">
        <f t="shared" si="44"/>
        <v>IN</v>
      </c>
      <c r="I338" s="265">
        <f t="shared" ref="I338:I370" si="48">IF(H338="IN",I337+G338,I337)</f>
        <v>10299.48799999999</v>
      </c>
      <c r="J338" s="265">
        <f t="shared" ref="J338:J370" si="49">IF(I338="","",$M$9-I338)</f>
        <v>1035.3920000000089</v>
      </c>
      <c r="K338" s="269">
        <f t="shared" ref="K338:K369" si="50">$H$9+(I338*$E$10*$H$11/1000)</f>
        <v>302.46161141634815</v>
      </c>
      <c r="L338" s="431">
        <v>1</v>
      </c>
      <c r="M338" s="520"/>
      <c r="N338" s="520"/>
      <c r="O338" s="13"/>
    </row>
    <row r="339" spans="1:15">
      <c r="B339" s="185">
        <f t="shared" si="38"/>
        <v>312</v>
      </c>
      <c r="C339" s="185"/>
      <c r="D339" s="186">
        <v>7</v>
      </c>
      <c r="E339" s="179">
        <f t="shared" ref="E339:E364" si="51">E338+1</f>
        <v>312</v>
      </c>
      <c r="F339" s="286">
        <v>31.75</v>
      </c>
      <c r="G339" s="186">
        <f t="shared" si="35"/>
        <v>31.352</v>
      </c>
      <c r="H339" s="187" t="str">
        <f t="shared" si="44"/>
        <v>IN</v>
      </c>
      <c r="I339" s="265">
        <f t="shared" si="48"/>
        <v>10330.839999999991</v>
      </c>
      <c r="J339" s="265">
        <f t="shared" si="49"/>
        <v>1004.0400000000081</v>
      </c>
      <c r="K339" s="269">
        <f t="shared" si="50"/>
        <v>303.12357213139785</v>
      </c>
      <c r="L339" s="431">
        <v>1</v>
      </c>
      <c r="M339" s="520"/>
      <c r="N339" s="520"/>
      <c r="O339" s="13"/>
    </row>
    <row r="340" spans="1:15" s="264" customFormat="1">
      <c r="B340" s="188">
        <f t="shared" si="38"/>
        <v>313</v>
      </c>
      <c r="C340" s="188"/>
      <c r="D340" s="265">
        <v>7</v>
      </c>
      <c r="E340" s="312">
        <f t="shared" si="51"/>
        <v>313</v>
      </c>
      <c r="F340" s="286">
        <v>33.96</v>
      </c>
      <c r="G340" s="265">
        <f t="shared" ref="G340:G368" si="52">F340-($E$12)</f>
        <v>33.561999999999998</v>
      </c>
      <c r="H340" s="189" t="str">
        <f t="shared" si="44"/>
        <v>IN</v>
      </c>
      <c r="I340" s="265">
        <f t="shared" si="48"/>
        <v>10364.401999999991</v>
      </c>
      <c r="J340" s="265">
        <f t="shared" si="49"/>
        <v>970.47800000000825</v>
      </c>
      <c r="K340" s="269">
        <f t="shared" si="50"/>
        <v>303.83219440488904</v>
      </c>
      <c r="L340" s="431">
        <v>1</v>
      </c>
      <c r="M340" s="520"/>
      <c r="N340" s="520"/>
      <c r="O340" s="346"/>
    </row>
    <row r="341" spans="1:15" s="264" customFormat="1">
      <c r="B341" s="188">
        <f>B340+1</f>
        <v>314</v>
      </c>
      <c r="C341" s="188"/>
      <c r="D341" s="265">
        <v>7</v>
      </c>
      <c r="E341" s="312">
        <f t="shared" si="51"/>
        <v>314</v>
      </c>
      <c r="F341" s="286">
        <v>33.14</v>
      </c>
      <c r="G341" s="265">
        <f t="shared" si="52"/>
        <v>32.741999999999997</v>
      </c>
      <c r="H341" s="189" t="str">
        <f t="shared" si="44"/>
        <v>IN</v>
      </c>
      <c r="I341" s="265">
        <f t="shared" si="48"/>
        <v>10397.143999999991</v>
      </c>
      <c r="J341" s="265">
        <f t="shared" si="49"/>
        <v>937.73600000000806</v>
      </c>
      <c r="K341" s="269">
        <f t="shared" si="50"/>
        <v>304.523503339954</v>
      </c>
      <c r="L341" s="431">
        <v>1</v>
      </c>
      <c r="M341" s="586"/>
      <c r="N341" s="586"/>
      <c r="O341" s="346"/>
    </row>
    <row r="342" spans="1:15" s="264" customFormat="1">
      <c r="B342" s="188">
        <f t="shared" ref="B342:B365" si="53">B341+1</f>
        <v>315</v>
      </c>
      <c r="C342" s="188"/>
      <c r="D342" s="265">
        <v>7</v>
      </c>
      <c r="E342" s="312">
        <f t="shared" si="51"/>
        <v>315</v>
      </c>
      <c r="F342" s="286">
        <v>33.409999999999997</v>
      </c>
      <c r="G342" s="265">
        <f t="shared" si="52"/>
        <v>33.011999999999993</v>
      </c>
      <c r="H342" s="189" t="str">
        <f t="shared" si="44"/>
        <v>IN</v>
      </c>
      <c r="I342" s="265">
        <f t="shared" si="48"/>
        <v>10430.155999999992</v>
      </c>
      <c r="J342" s="265">
        <f t="shared" si="49"/>
        <v>904.72400000000744</v>
      </c>
      <c r="K342" s="269">
        <f t="shared" si="50"/>
        <v>305.2205130084032</v>
      </c>
      <c r="L342" s="431">
        <v>1</v>
      </c>
      <c r="M342" s="586"/>
      <c r="N342" s="586"/>
      <c r="O342" s="346"/>
    </row>
    <row r="343" spans="1:15" s="264" customFormat="1">
      <c r="B343" s="188">
        <f t="shared" si="53"/>
        <v>316</v>
      </c>
      <c r="C343" s="188"/>
      <c r="D343" s="265">
        <v>7</v>
      </c>
      <c r="E343" s="312">
        <f t="shared" si="51"/>
        <v>316</v>
      </c>
      <c r="F343" s="286">
        <v>33.950000000000003</v>
      </c>
      <c r="G343" s="265">
        <f t="shared" si="52"/>
        <v>33.552</v>
      </c>
      <c r="H343" s="189" t="str">
        <f t="shared" si="44"/>
        <v>IN</v>
      </c>
      <c r="I343" s="265">
        <f t="shared" si="48"/>
        <v>10463.707999999991</v>
      </c>
      <c r="J343" s="265">
        <f t="shared" si="49"/>
        <v>871.17200000000776</v>
      </c>
      <c r="K343" s="269">
        <f t="shared" si="50"/>
        <v>305.92892414362092</v>
      </c>
      <c r="L343" s="431">
        <v>1</v>
      </c>
      <c r="M343" s="586"/>
      <c r="N343" s="586"/>
      <c r="O343" s="346"/>
    </row>
    <row r="344" spans="1:15" s="264" customFormat="1">
      <c r="B344" s="188">
        <f t="shared" si="53"/>
        <v>317</v>
      </c>
      <c r="C344" s="188"/>
      <c r="D344" s="265">
        <v>7</v>
      </c>
      <c r="E344" s="312">
        <f t="shared" si="51"/>
        <v>317</v>
      </c>
      <c r="F344" s="286">
        <v>33.950000000000003</v>
      </c>
      <c r="G344" s="265">
        <f t="shared" si="52"/>
        <v>33.552</v>
      </c>
      <c r="H344" s="189" t="str">
        <f t="shared" si="44"/>
        <v>IN</v>
      </c>
      <c r="I344" s="265">
        <f t="shared" si="48"/>
        <v>10497.259999999991</v>
      </c>
      <c r="J344" s="265">
        <f t="shared" si="49"/>
        <v>837.62000000000808</v>
      </c>
      <c r="K344" s="269">
        <f t="shared" si="50"/>
        <v>306.63733527883863</v>
      </c>
      <c r="L344" s="431">
        <v>1</v>
      </c>
      <c r="M344" s="587"/>
      <c r="N344" s="588"/>
      <c r="O344" s="346"/>
    </row>
    <row r="345" spans="1:15">
      <c r="A345" s="264"/>
      <c r="B345" s="185">
        <f t="shared" si="53"/>
        <v>318</v>
      </c>
      <c r="C345" s="185"/>
      <c r="D345" s="186">
        <v>7</v>
      </c>
      <c r="E345" s="179">
        <f t="shared" si="51"/>
        <v>318</v>
      </c>
      <c r="F345" s="286">
        <v>33.96</v>
      </c>
      <c r="G345" s="186">
        <f t="shared" si="52"/>
        <v>33.561999999999998</v>
      </c>
      <c r="H345" s="187" t="str">
        <f t="shared" si="44"/>
        <v>IN</v>
      </c>
      <c r="I345" s="265">
        <f t="shared" si="48"/>
        <v>10530.821999999991</v>
      </c>
      <c r="J345" s="265">
        <f t="shared" si="49"/>
        <v>804.05800000000818</v>
      </c>
      <c r="K345" s="269">
        <f t="shared" si="50"/>
        <v>307.34595755232982</v>
      </c>
      <c r="L345" s="431">
        <v>1</v>
      </c>
      <c r="M345" s="445"/>
      <c r="N345" s="446"/>
      <c r="O345" s="13"/>
    </row>
    <row r="346" spans="1:15">
      <c r="A346" s="264"/>
      <c r="B346" s="185">
        <f t="shared" si="53"/>
        <v>319</v>
      </c>
      <c r="C346" s="185"/>
      <c r="D346" s="186">
        <v>7</v>
      </c>
      <c r="E346" s="179">
        <f t="shared" si="51"/>
        <v>319</v>
      </c>
      <c r="F346" s="286">
        <v>33.96</v>
      </c>
      <c r="G346" s="186">
        <f t="shared" si="52"/>
        <v>33.561999999999998</v>
      </c>
      <c r="H346" s="187" t="str">
        <f t="shared" si="44"/>
        <v>IN</v>
      </c>
      <c r="I346" s="265">
        <f t="shared" si="48"/>
        <v>10564.383999999991</v>
      </c>
      <c r="J346" s="265">
        <f t="shared" si="49"/>
        <v>770.49600000000828</v>
      </c>
      <c r="K346" s="269">
        <f t="shared" si="50"/>
        <v>308.05457982582107</v>
      </c>
      <c r="L346" s="431">
        <v>1</v>
      </c>
      <c r="M346" s="445"/>
      <c r="N346" s="446"/>
      <c r="O346" s="13"/>
    </row>
    <row r="347" spans="1:15">
      <c r="A347" s="264"/>
      <c r="B347" s="185">
        <f t="shared" si="53"/>
        <v>320</v>
      </c>
      <c r="C347" s="185"/>
      <c r="D347" s="186">
        <v>7</v>
      </c>
      <c r="E347" s="179">
        <f t="shared" si="51"/>
        <v>320</v>
      </c>
      <c r="F347" s="286">
        <v>32.090000000000003</v>
      </c>
      <c r="G347" s="186">
        <f t="shared" si="52"/>
        <v>31.692000000000004</v>
      </c>
      <c r="H347" s="187" t="str">
        <f t="shared" si="44"/>
        <v>IN</v>
      </c>
      <c r="I347" s="265">
        <f t="shared" si="48"/>
        <v>10596.07599999999</v>
      </c>
      <c r="J347" s="265">
        <f t="shared" si="49"/>
        <v>738.80400000000918</v>
      </c>
      <c r="K347" s="269">
        <f t="shared" si="50"/>
        <v>308.72371924216941</v>
      </c>
      <c r="L347" s="431">
        <v>1</v>
      </c>
      <c r="M347" s="277"/>
      <c r="N347" s="278"/>
      <c r="O347" s="13"/>
    </row>
    <row r="348" spans="1:15">
      <c r="A348" s="264"/>
      <c r="B348" s="185">
        <f t="shared" si="53"/>
        <v>321</v>
      </c>
      <c r="C348" s="185"/>
      <c r="D348" s="186">
        <v>7</v>
      </c>
      <c r="E348" s="179">
        <f t="shared" si="51"/>
        <v>321</v>
      </c>
      <c r="F348" s="286">
        <v>32.96</v>
      </c>
      <c r="G348" s="186">
        <f t="shared" si="52"/>
        <v>32.561999999999998</v>
      </c>
      <c r="H348" s="187" t="str">
        <f t="shared" si="44"/>
        <v>IN</v>
      </c>
      <c r="I348" s="265">
        <f t="shared" si="48"/>
        <v>10628.63799999999</v>
      </c>
      <c r="J348" s="265">
        <f t="shared" si="49"/>
        <v>706.24200000000928</v>
      </c>
      <c r="K348" s="269">
        <f t="shared" si="50"/>
        <v>309.4112276883115</v>
      </c>
      <c r="L348" s="431">
        <v>1</v>
      </c>
      <c r="M348" s="277"/>
      <c r="N348" s="278"/>
      <c r="O348" s="13"/>
    </row>
    <row r="349" spans="1:15">
      <c r="A349" s="264"/>
      <c r="B349" s="185">
        <f t="shared" si="53"/>
        <v>322</v>
      </c>
      <c r="C349" s="185"/>
      <c r="D349" s="186">
        <v>7</v>
      </c>
      <c r="E349" s="179">
        <f t="shared" si="51"/>
        <v>322</v>
      </c>
      <c r="F349" s="286">
        <v>33.96</v>
      </c>
      <c r="G349" s="186">
        <f t="shared" si="52"/>
        <v>33.561999999999998</v>
      </c>
      <c r="H349" s="187" t="str">
        <f t="shared" si="44"/>
        <v>IN</v>
      </c>
      <c r="I349" s="265">
        <f t="shared" si="48"/>
        <v>10662.19999999999</v>
      </c>
      <c r="J349" s="265">
        <f t="shared" si="49"/>
        <v>672.68000000000939</v>
      </c>
      <c r="K349" s="269">
        <f t="shared" si="50"/>
        <v>310.11984996180269</v>
      </c>
      <c r="L349" s="431">
        <v>1</v>
      </c>
      <c r="M349" s="277"/>
      <c r="N349" s="278"/>
      <c r="O349" s="13"/>
    </row>
    <row r="350" spans="1:15">
      <c r="A350" s="264"/>
      <c r="B350" s="185">
        <f t="shared" si="53"/>
        <v>323</v>
      </c>
      <c r="C350" s="185"/>
      <c r="D350" s="186">
        <v>7</v>
      </c>
      <c r="E350" s="179">
        <f t="shared" si="51"/>
        <v>323</v>
      </c>
      <c r="F350" s="286">
        <v>31.55</v>
      </c>
      <c r="G350" s="186">
        <f t="shared" si="52"/>
        <v>31.152000000000001</v>
      </c>
      <c r="H350" s="187" t="str">
        <f t="shared" si="44"/>
        <v>IN</v>
      </c>
      <c r="I350" s="265">
        <f t="shared" si="48"/>
        <v>10693.35199999999</v>
      </c>
      <c r="J350" s="265">
        <f t="shared" si="49"/>
        <v>641.52800000000934</v>
      </c>
      <c r="K350" s="269">
        <f t="shared" si="50"/>
        <v>310.77758791138251</v>
      </c>
      <c r="L350" s="431">
        <v>1</v>
      </c>
      <c r="M350" s="277"/>
      <c r="N350" s="278"/>
      <c r="O350" s="13"/>
    </row>
    <row r="351" spans="1:15">
      <c r="A351" s="264"/>
      <c r="B351" s="185">
        <f t="shared" si="53"/>
        <v>324</v>
      </c>
      <c r="C351" s="185"/>
      <c r="D351" s="186">
        <v>7</v>
      </c>
      <c r="E351" s="179">
        <f t="shared" si="51"/>
        <v>324</v>
      </c>
      <c r="F351" s="286">
        <v>33.950000000000003</v>
      </c>
      <c r="G351" s="186">
        <f t="shared" si="52"/>
        <v>33.552</v>
      </c>
      <c r="H351" s="187" t="str">
        <f t="shared" si="44"/>
        <v>IN</v>
      </c>
      <c r="I351" s="265">
        <f t="shared" si="48"/>
        <v>10726.90399999999</v>
      </c>
      <c r="J351" s="265">
        <f t="shared" si="49"/>
        <v>607.97600000000966</v>
      </c>
      <c r="K351" s="269">
        <f t="shared" si="50"/>
        <v>311.48599904660023</v>
      </c>
      <c r="L351" s="431">
        <v>1</v>
      </c>
      <c r="M351" s="277"/>
      <c r="N351" s="278"/>
      <c r="O351" s="13"/>
    </row>
    <row r="352" spans="1:15">
      <c r="A352" s="264"/>
      <c r="B352" s="185">
        <f t="shared" si="53"/>
        <v>325</v>
      </c>
      <c r="C352" s="185"/>
      <c r="D352" s="186">
        <v>7</v>
      </c>
      <c r="E352" s="179">
        <f t="shared" si="51"/>
        <v>325</v>
      </c>
      <c r="F352" s="286">
        <v>33.79</v>
      </c>
      <c r="G352" s="186">
        <f t="shared" si="52"/>
        <v>33.391999999999996</v>
      </c>
      <c r="H352" s="187" t="str">
        <f t="shared" si="44"/>
        <v>IN</v>
      </c>
      <c r="I352" s="265">
        <f t="shared" si="48"/>
        <v>10760.295999999989</v>
      </c>
      <c r="J352" s="265">
        <f t="shared" si="49"/>
        <v>574.58400000000984</v>
      </c>
      <c r="K352" s="269">
        <f t="shared" si="50"/>
        <v>312.19103196944207</v>
      </c>
      <c r="L352" s="431">
        <v>1</v>
      </c>
      <c r="M352" s="277"/>
      <c r="N352" s="278"/>
      <c r="O352" s="13"/>
    </row>
    <row r="353" spans="1:15">
      <c r="A353" s="264"/>
      <c r="B353" s="185">
        <f t="shared" si="53"/>
        <v>326</v>
      </c>
      <c r="C353" s="185"/>
      <c r="D353" s="186">
        <v>7</v>
      </c>
      <c r="E353" s="179">
        <f t="shared" si="51"/>
        <v>326</v>
      </c>
      <c r="F353" s="286">
        <v>33.71</v>
      </c>
      <c r="G353" s="186">
        <f t="shared" si="52"/>
        <v>33.311999999999998</v>
      </c>
      <c r="H353" s="187" t="str">
        <f t="shared" si="44"/>
        <v>IN</v>
      </c>
      <c r="I353" s="265">
        <f t="shared" si="48"/>
        <v>10793.607999999989</v>
      </c>
      <c r="J353" s="265">
        <f t="shared" si="49"/>
        <v>541.27200000000994</v>
      </c>
      <c r="K353" s="269">
        <f t="shared" si="50"/>
        <v>312.89437578609602</v>
      </c>
      <c r="L353" s="431">
        <v>1</v>
      </c>
      <c r="M353" s="277"/>
      <c r="N353" s="278"/>
      <c r="O353" s="13"/>
    </row>
    <row r="354" spans="1:15">
      <c r="A354" s="264"/>
      <c r="B354" s="185">
        <f t="shared" si="53"/>
        <v>327</v>
      </c>
      <c r="C354" s="185"/>
      <c r="D354" s="186">
        <v>7</v>
      </c>
      <c r="E354" s="179">
        <f t="shared" si="51"/>
        <v>327</v>
      </c>
      <c r="F354" s="286">
        <v>33.950000000000003</v>
      </c>
      <c r="G354" s="186">
        <f t="shared" si="52"/>
        <v>33.552</v>
      </c>
      <c r="H354" s="187" t="str">
        <f t="shared" si="44"/>
        <v>IN</v>
      </c>
      <c r="I354" s="265">
        <f t="shared" si="48"/>
        <v>10827.159999999989</v>
      </c>
      <c r="J354" s="265">
        <f t="shared" si="49"/>
        <v>507.72000000001026</v>
      </c>
      <c r="K354" s="269">
        <f t="shared" si="50"/>
        <v>313.60278692131374</v>
      </c>
      <c r="L354" s="431">
        <v>1</v>
      </c>
      <c r="M354" s="277"/>
      <c r="N354" s="278"/>
      <c r="O354" s="13"/>
    </row>
    <row r="355" spans="1:15">
      <c r="A355" s="264"/>
      <c r="B355" s="185">
        <f t="shared" si="53"/>
        <v>328</v>
      </c>
      <c r="C355" s="185"/>
      <c r="D355" s="186">
        <v>7</v>
      </c>
      <c r="E355" s="179">
        <f t="shared" si="51"/>
        <v>328</v>
      </c>
      <c r="F355" s="286">
        <v>33.950000000000003</v>
      </c>
      <c r="G355" s="186">
        <f t="shared" si="52"/>
        <v>33.552</v>
      </c>
      <c r="H355" s="187" t="str">
        <f t="shared" si="44"/>
        <v>IN</v>
      </c>
      <c r="I355" s="265">
        <f t="shared" si="48"/>
        <v>10860.711999999989</v>
      </c>
      <c r="J355" s="265">
        <f t="shared" si="49"/>
        <v>474.16800000001058</v>
      </c>
      <c r="K355" s="269">
        <f t="shared" si="50"/>
        <v>314.31119805653145</v>
      </c>
      <c r="L355" s="431">
        <v>1</v>
      </c>
      <c r="M355" s="277"/>
      <c r="N355" s="278"/>
      <c r="O355" s="13"/>
    </row>
    <row r="356" spans="1:15">
      <c r="A356" s="264"/>
      <c r="B356" s="185">
        <f t="shared" si="53"/>
        <v>329</v>
      </c>
      <c r="C356" s="185"/>
      <c r="D356" s="186">
        <v>7</v>
      </c>
      <c r="E356" s="179">
        <f t="shared" si="51"/>
        <v>329</v>
      </c>
      <c r="F356" s="286">
        <v>33.96</v>
      </c>
      <c r="G356" s="186">
        <f t="shared" si="52"/>
        <v>33.561999999999998</v>
      </c>
      <c r="H356" s="187" t="str">
        <f t="shared" si="44"/>
        <v>IN</v>
      </c>
      <c r="I356" s="265">
        <f t="shared" si="48"/>
        <v>10894.273999999989</v>
      </c>
      <c r="J356" s="265">
        <f t="shared" si="49"/>
        <v>440.60600000001068</v>
      </c>
      <c r="K356" s="269">
        <f t="shared" si="50"/>
        <v>315.0198203300227</v>
      </c>
      <c r="L356" s="431">
        <v>1</v>
      </c>
      <c r="M356" s="277"/>
      <c r="N356" s="278"/>
      <c r="O356" s="13"/>
    </row>
    <row r="357" spans="1:15">
      <c r="A357" s="264"/>
      <c r="B357" s="185">
        <f t="shared" si="53"/>
        <v>330</v>
      </c>
      <c r="C357" s="185"/>
      <c r="D357" s="186">
        <v>7</v>
      </c>
      <c r="E357" s="179">
        <f t="shared" si="51"/>
        <v>330</v>
      </c>
      <c r="F357" s="286">
        <v>33.96</v>
      </c>
      <c r="G357" s="186">
        <f t="shared" si="52"/>
        <v>33.561999999999998</v>
      </c>
      <c r="H357" s="187" t="str">
        <f t="shared" si="44"/>
        <v>IN</v>
      </c>
      <c r="I357" s="265">
        <f t="shared" si="48"/>
        <v>10927.835999999988</v>
      </c>
      <c r="J357" s="265">
        <f t="shared" si="49"/>
        <v>407.04400000001078</v>
      </c>
      <c r="K357" s="269">
        <f t="shared" si="50"/>
        <v>315.72844260351388</v>
      </c>
      <c r="L357" s="431">
        <v>1</v>
      </c>
      <c r="M357" s="277"/>
      <c r="N357" s="278"/>
      <c r="O357" s="13"/>
    </row>
    <row r="358" spans="1:15">
      <c r="A358" s="264"/>
      <c r="B358" s="185">
        <f t="shared" si="53"/>
        <v>331</v>
      </c>
      <c r="C358" s="185"/>
      <c r="D358" s="186">
        <v>7</v>
      </c>
      <c r="E358" s="179">
        <f t="shared" si="51"/>
        <v>331</v>
      </c>
      <c r="F358" s="433">
        <v>33.96</v>
      </c>
      <c r="G358" s="186">
        <f t="shared" si="52"/>
        <v>33.561999999999998</v>
      </c>
      <c r="H358" s="187" t="str">
        <f t="shared" si="44"/>
        <v>IN</v>
      </c>
      <c r="I358" s="265">
        <f t="shared" si="48"/>
        <v>10961.397999999988</v>
      </c>
      <c r="J358" s="265">
        <f t="shared" si="49"/>
        <v>373.48200000001088</v>
      </c>
      <c r="K358" s="269">
        <f t="shared" si="50"/>
        <v>316.43706487700513</v>
      </c>
      <c r="L358" s="431">
        <v>1</v>
      </c>
      <c r="M358" s="277"/>
      <c r="N358" s="278"/>
      <c r="O358" s="13"/>
    </row>
    <row r="359" spans="1:15">
      <c r="A359" s="264"/>
      <c r="B359" s="185">
        <f t="shared" si="53"/>
        <v>332</v>
      </c>
      <c r="C359" s="185"/>
      <c r="D359" s="186">
        <v>7</v>
      </c>
      <c r="E359" s="179">
        <f t="shared" si="51"/>
        <v>332</v>
      </c>
      <c r="F359" s="433">
        <v>33.65</v>
      </c>
      <c r="G359" s="186">
        <f t="shared" si="52"/>
        <v>33.251999999999995</v>
      </c>
      <c r="H359" s="187" t="str">
        <f t="shared" si="44"/>
        <v>IN</v>
      </c>
      <c r="I359" s="265">
        <f t="shared" si="48"/>
        <v>10994.649999999989</v>
      </c>
      <c r="J359" s="265">
        <f t="shared" si="49"/>
        <v>340.23000000001048</v>
      </c>
      <c r="K359" s="269">
        <f t="shared" si="50"/>
        <v>317.13914186401814</v>
      </c>
      <c r="L359" s="431">
        <v>1</v>
      </c>
      <c r="M359" s="277"/>
      <c r="N359" s="278"/>
      <c r="O359" s="13"/>
    </row>
    <row r="360" spans="1:15">
      <c r="A360" s="264"/>
      <c r="B360" s="185">
        <f t="shared" si="53"/>
        <v>333</v>
      </c>
      <c r="C360" s="185"/>
      <c r="D360" s="186">
        <v>7</v>
      </c>
      <c r="E360" s="179">
        <f t="shared" si="51"/>
        <v>333</v>
      </c>
      <c r="F360" s="433">
        <v>33.96</v>
      </c>
      <c r="G360" s="186">
        <f t="shared" si="52"/>
        <v>33.561999999999998</v>
      </c>
      <c r="H360" s="187" t="str">
        <f t="shared" si="44"/>
        <v>IN</v>
      </c>
      <c r="I360" s="265">
        <f t="shared" si="48"/>
        <v>11028.211999999989</v>
      </c>
      <c r="J360" s="265">
        <f t="shared" si="49"/>
        <v>306.66800000001058</v>
      </c>
      <c r="K360" s="269">
        <f t="shared" si="50"/>
        <v>317.84776413750933</v>
      </c>
      <c r="L360" s="431">
        <v>1</v>
      </c>
      <c r="M360" s="277"/>
      <c r="N360" s="278"/>
      <c r="O360" s="13"/>
    </row>
    <row r="361" spans="1:15">
      <c r="A361" s="264"/>
      <c r="B361" s="185">
        <f t="shared" si="53"/>
        <v>334</v>
      </c>
      <c r="C361" s="185"/>
      <c r="D361" s="186">
        <v>7</v>
      </c>
      <c r="E361" s="179">
        <f t="shared" si="51"/>
        <v>334</v>
      </c>
      <c r="F361" s="433">
        <v>33.96</v>
      </c>
      <c r="G361" s="186">
        <f t="shared" si="52"/>
        <v>33.561999999999998</v>
      </c>
      <c r="H361" s="187" t="str">
        <f t="shared" si="44"/>
        <v>IN</v>
      </c>
      <c r="I361" s="265">
        <f t="shared" si="48"/>
        <v>11061.773999999989</v>
      </c>
      <c r="J361" s="265">
        <f t="shared" si="49"/>
        <v>273.10600000001068</v>
      </c>
      <c r="K361" s="269">
        <f t="shared" si="50"/>
        <v>318.55638641100052</v>
      </c>
      <c r="L361" s="431">
        <v>1</v>
      </c>
      <c r="M361" s="277"/>
      <c r="N361" s="278"/>
      <c r="O361" s="13"/>
    </row>
    <row r="362" spans="1:15">
      <c r="A362" s="264"/>
      <c r="B362" s="185">
        <f t="shared" si="53"/>
        <v>335</v>
      </c>
      <c r="C362" s="185"/>
      <c r="D362" s="186">
        <v>7</v>
      </c>
      <c r="E362" s="179">
        <f t="shared" si="51"/>
        <v>335</v>
      </c>
      <c r="F362" s="433">
        <v>33.950000000000003</v>
      </c>
      <c r="G362" s="186">
        <f t="shared" si="52"/>
        <v>33.552</v>
      </c>
      <c r="H362" s="187" t="str">
        <f t="shared" si="44"/>
        <v>IN</v>
      </c>
      <c r="I362" s="265">
        <f t="shared" si="48"/>
        <v>11095.325999999988</v>
      </c>
      <c r="J362" s="265">
        <f t="shared" si="49"/>
        <v>239.554000000011</v>
      </c>
      <c r="K362" s="269">
        <f t="shared" si="50"/>
        <v>319.26479754621823</v>
      </c>
      <c r="L362" s="431">
        <v>1</v>
      </c>
      <c r="M362" s="277"/>
      <c r="N362" s="278"/>
      <c r="O362" s="13"/>
    </row>
    <row r="363" spans="1:15">
      <c r="A363" s="264"/>
      <c r="B363" s="185">
        <f t="shared" si="53"/>
        <v>336</v>
      </c>
      <c r="C363" s="185"/>
      <c r="D363" s="186">
        <v>7</v>
      </c>
      <c r="E363" s="179">
        <f t="shared" si="51"/>
        <v>336</v>
      </c>
      <c r="F363" s="433">
        <v>33.96</v>
      </c>
      <c r="G363" s="186">
        <f t="shared" si="52"/>
        <v>33.561999999999998</v>
      </c>
      <c r="H363" s="187" t="str">
        <f t="shared" si="44"/>
        <v>IN</v>
      </c>
      <c r="I363" s="265">
        <f t="shared" si="48"/>
        <v>11128.887999999988</v>
      </c>
      <c r="J363" s="265">
        <f t="shared" si="49"/>
        <v>205.9920000000111</v>
      </c>
      <c r="K363" s="269">
        <f t="shared" si="50"/>
        <v>319.97341981970948</v>
      </c>
      <c r="L363" s="431">
        <v>1</v>
      </c>
      <c r="M363" s="277"/>
      <c r="N363" s="278"/>
      <c r="O363" s="13"/>
    </row>
    <row r="364" spans="1:15">
      <c r="A364" s="264"/>
      <c r="B364" s="185">
        <f t="shared" si="53"/>
        <v>337</v>
      </c>
      <c r="C364" s="185"/>
      <c r="D364" s="186">
        <v>7</v>
      </c>
      <c r="E364" s="179">
        <f t="shared" si="51"/>
        <v>337</v>
      </c>
      <c r="F364" s="434">
        <v>33.96</v>
      </c>
      <c r="G364" s="186">
        <f t="shared" si="52"/>
        <v>33.561999999999998</v>
      </c>
      <c r="H364" s="187" t="str">
        <f t="shared" si="44"/>
        <v>IN</v>
      </c>
      <c r="I364" s="265">
        <f t="shared" si="48"/>
        <v>11162.449999999988</v>
      </c>
      <c r="J364" s="265">
        <f t="shared" si="49"/>
        <v>172.4300000000112</v>
      </c>
      <c r="K364" s="269">
        <f t="shared" si="50"/>
        <v>320.68204209320066</v>
      </c>
      <c r="L364" s="431">
        <v>1</v>
      </c>
      <c r="M364" s="277"/>
      <c r="N364" s="278"/>
      <c r="O364" s="13"/>
    </row>
    <row r="365" spans="1:15">
      <c r="A365" s="264"/>
      <c r="B365" s="185">
        <f t="shared" si="53"/>
        <v>338</v>
      </c>
      <c r="C365" s="185"/>
      <c r="D365" s="186">
        <v>7</v>
      </c>
      <c r="E365" s="179" t="s">
        <v>143</v>
      </c>
      <c r="F365" s="435">
        <v>15.19</v>
      </c>
      <c r="G365" s="186">
        <f t="shared" si="52"/>
        <v>14.792</v>
      </c>
      <c r="H365" s="187" t="str">
        <f t="shared" si="44"/>
        <v>IN</v>
      </c>
      <c r="I365" s="265">
        <f t="shared" si="48"/>
        <v>11177.241999999987</v>
      </c>
      <c r="J365" s="265">
        <f t="shared" si="49"/>
        <v>157.63800000001174</v>
      </c>
      <c r="K365" s="269">
        <f t="shared" si="50"/>
        <v>320.99435782734884</v>
      </c>
      <c r="L365" s="431">
        <v>1</v>
      </c>
      <c r="M365" s="589"/>
      <c r="N365" s="590"/>
      <c r="O365" s="13"/>
    </row>
    <row r="366" spans="1:15">
      <c r="A366" s="264"/>
      <c r="B366" s="185">
        <v>339</v>
      </c>
      <c r="C366" s="185"/>
      <c r="D366" s="186">
        <v>7</v>
      </c>
      <c r="E366" s="179" t="s">
        <v>144</v>
      </c>
      <c r="F366" s="435">
        <v>15.2</v>
      </c>
      <c r="G366" s="186">
        <f t="shared" si="52"/>
        <v>14.802</v>
      </c>
      <c r="H366" s="187" t="str">
        <f t="shared" si="44"/>
        <v>IN</v>
      </c>
      <c r="I366" s="265">
        <f t="shared" ref="I366:I368" si="54">IF(H366="IN",I365+G366,I365)</f>
        <v>11192.043999999987</v>
      </c>
      <c r="J366" s="265">
        <f t="shared" ref="J366:J368" si="55">IF(I366="","",$M$9-I366)</f>
        <v>142.83600000001206</v>
      </c>
      <c r="K366" s="269">
        <f t="shared" si="50"/>
        <v>321.30688469977054</v>
      </c>
      <c r="L366" s="431">
        <v>1</v>
      </c>
      <c r="M366" s="589"/>
      <c r="N366" s="590"/>
      <c r="O366" s="13"/>
    </row>
    <row r="367" spans="1:15" ht="13.5" thickBot="1">
      <c r="A367" s="264"/>
      <c r="B367" s="185">
        <v>340</v>
      </c>
      <c r="C367" s="185"/>
      <c r="D367" s="186">
        <v>7</v>
      </c>
      <c r="E367" s="179">
        <v>343</v>
      </c>
      <c r="F367" s="435">
        <v>33.25</v>
      </c>
      <c r="G367" s="186">
        <f t="shared" si="52"/>
        <v>32.851999999999997</v>
      </c>
      <c r="H367" s="187" t="str">
        <f t="shared" si="44"/>
        <v>IN</v>
      </c>
      <c r="I367" s="265">
        <f t="shared" si="54"/>
        <v>11224.895999999988</v>
      </c>
      <c r="J367" s="265">
        <f t="shared" si="55"/>
        <v>109.98400000001129</v>
      </c>
      <c r="K367" s="269">
        <f t="shared" si="50"/>
        <v>322.00051615584391</v>
      </c>
      <c r="L367" s="431">
        <v>1</v>
      </c>
      <c r="M367" s="589"/>
      <c r="N367" s="590"/>
      <c r="O367" s="13"/>
    </row>
    <row r="368" spans="1:15" ht="14.45" customHeight="1">
      <c r="B368" s="574" t="s">
        <v>137</v>
      </c>
      <c r="C368" s="577" t="s">
        <v>111</v>
      </c>
      <c r="D368" s="578"/>
      <c r="E368" s="579"/>
      <c r="F368" s="247">
        <v>7.9</v>
      </c>
      <c r="G368" s="350">
        <f t="shared" si="52"/>
        <v>7.5020000000000007</v>
      </c>
      <c r="H368" s="349" t="str">
        <f t="shared" si="44"/>
        <v>IN</v>
      </c>
      <c r="I368" s="306">
        <f t="shared" si="54"/>
        <v>11232.397999999988</v>
      </c>
      <c r="J368" s="306">
        <f t="shared" si="55"/>
        <v>102.48200000001088</v>
      </c>
      <c r="K368" s="268">
        <f t="shared" si="50"/>
        <v>322.15891208861706</v>
      </c>
      <c r="L368" s="436">
        <v>1</v>
      </c>
      <c r="M368" s="591" t="s">
        <v>197</v>
      </c>
      <c r="N368" s="592"/>
    </row>
    <row r="369" spans="2:14" ht="13.9" customHeight="1" thickBot="1">
      <c r="B369" s="575"/>
      <c r="C369" s="580" t="s">
        <v>112</v>
      </c>
      <c r="D369" s="581"/>
      <c r="E369" s="582"/>
      <c r="F369" s="248">
        <v>99.5</v>
      </c>
      <c r="G369" s="344">
        <f>F369</f>
        <v>99.5</v>
      </c>
      <c r="H369" s="249" t="s">
        <v>110</v>
      </c>
      <c r="I369" s="306">
        <f t="shared" si="48"/>
        <v>11331.897999999988</v>
      </c>
      <c r="J369" s="306">
        <f t="shared" si="49"/>
        <v>2.9820000000108848</v>
      </c>
      <c r="K369" s="268">
        <f t="shared" si="50"/>
        <v>324.25973790985461</v>
      </c>
      <c r="L369" s="437">
        <v>0</v>
      </c>
      <c r="M369" s="593"/>
      <c r="N369" s="593"/>
    </row>
    <row r="370" spans="2:14" ht="13.5" thickBot="1">
      <c r="B370" s="576"/>
      <c r="C370" s="583" t="s">
        <v>113</v>
      </c>
      <c r="D370" s="584"/>
      <c r="E370" s="584"/>
      <c r="F370" s="585"/>
      <c r="G370" s="345"/>
      <c r="H370" s="250" t="s">
        <v>110</v>
      </c>
      <c r="I370" s="345">
        <f t="shared" si="48"/>
        <v>11331.897999999988</v>
      </c>
      <c r="J370" s="355">
        <f t="shared" si="49"/>
        <v>2.9820000000108848</v>
      </c>
      <c r="K370" s="594" t="s">
        <v>196</v>
      </c>
      <c r="L370" s="595"/>
      <c r="M370" s="595"/>
      <c r="N370" s="596"/>
    </row>
    <row r="371" spans="2:14" ht="13.15" customHeight="1">
      <c r="B371" s="8"/>
      <c r="C371" s="8"/>
      <c r="D371" s="244"/>
      <c r="E371" s="244"/>
      <c r="F371" s="245"/>
      <c r="I371" s="356"/>
      <c r="J371" s="356"/>
      <c r="K371" s="246"/>
      <c r="L371" s="246"/>
      <c r="M371" s="519"/>
      <c r="N371" s="519"/>
    </row>
    <row r="372" spans="2:14">
      <c r="B372"/>
      <c r="C372"/>
      <c r="D372" s="17"/>
      <c r="E372"/>
      <c r="F372"/>
      <c r="G372" s="20"/>
      <c r="H372"/>
      <c r="I372"/>
      <c r="J372"/>
      <c r="K372"/>
      <c r="L372"/>
      <c r="N372" s="9"/>
    </row>
    <row r="373" spans="2:14">
      <c r="B373"/>
      <c r="C373"/>
      <c r="D373" s="17"/>
      <c r="E373"/>
      <c r="F373"/>
      <c r="G373" s="20"/>
      <c r="H373"/>
      <c r="I373"/>
      <c r="J373"/>
      <c r="K373"/>
      <c r="L373"/>
      <c r="N373" s="9"/>
    </row>
    <row r="374" spans="2:14">
      <c r="B374"/>
      <c r="C374"/>
      <c r="D374" s="17"/>
      <c r="E374"/>
      <c r="F374"/>
      <c r="G374" s="20"/>
      <c r="H374"/>
      <c r="I374"/>
      <c r="J374"/>
      <c r="K374" s="13"/>
      <c r="L374" s="13"/>
      <c r="N374" s="9"/>
    </row>
    <row r="375" spans="2:14">
      <c r="B375"/>
      <c r="C375"/>
      <c r="D375" s="17"/>
      <c r="E375"/>
      <c r="F375"/>
      <c r="G375" s="20"/>
      <c r="H375"/>
      <c r="I375"/>
      <c r="J375"/>
      <c r="K375"/>
      <c r="L375"/>
      <c r="N375" s="9"/>
    </row>
    <row r="376" spans="2:14">
      <c r="B376"/>
      <c r="C376"/>
      <c r="D376" s="17"/>
      <c r="E376"/>
      <c r="F376"/>
      <c r="G376" s="20"/>
      <c r="H376"/>
      <c r="I376"/>
      <c r="J376"/>
      <c r="K376"/>
      <c r="L376"/>
      <c r="N376" s="9"/>
    </row>
    <row r="377" spans="2:14">
      <c r="B377"/>
      <c r="C377"/>
      <c r="D377" s="17"/>
      <c r="E377"/>
      <c r="F377"/>
      <c r="G377" s="20"/>
      <c r="H377"/>
      <c r="I377"/>
      <c r="J377"/>
      <c r="K377"/>
      <c r="L377"/>
      <c r="N377" s="9"/>
    </row>
    <row r="378" spans="2:14">
      <c r="B378"/>
      <c r="C378"/>
      <c r="D378" s="17"/>
      <c r="E378"/>
      <c r="F378"/>
      <c r="G378" s="20"/>
      <c r="H378"/>
      <c r="I378"/>
      <c r="J378"/>
      <c r="K378"/>
      <c r="L378"/>
      <c r="N378" s="9"/>
    </row>
    <row r="379" spans="2:14">
      <c r="B379"/>
      <c r="C379"/>
      <c r="D379" s="17"/>
      <c r="E379"/>
      <c r="F379"/>
      <c r="G379" s="20"/>
      <c r="H379"/>
      <c r="I379"/>
      <c r="J379"/>
      <c r="K379"/>
      <c r="L379"/>
      <c r="N379" s="9"/>
    </row>
    <row r="380" spans="2:14">
      <c r="B380"/>
      <c r="C380"/>
      <c r="D380" s="17"/>
      <c r="E380"/>
      <c r="F380"/>
      <c r="G380" s="20"/>
      <c r="H380"/>
      <c r="I380"/>
      <c r="J380"/>
      <c r="K380"/>
      <c r="L380"/>
      <c r="N380" s="9"/>
    </row>
    <row r="381" spans="2:14">
      <c r="B381"/>
      <c r="C381"/>
      <c r="D381" s="17"/>
      <c r="E381"/>
      <c r="F381"/>
      <c r="G381" s="20"/>
      <c r="H381"/>
      <c r="I381"/>
      <c r="J381"/>
      <c r="K381"/>
      <c r="L381"/>
      <c r="N381" s="9"/>
    </row>
    <row r="382" spans="2:14">
      <c r="B382"/>
      <c r="C382"/>
      <c r="D382" s="17"/>
      <c r="E382"/>
      <c r="F382"/>
      <c r="G382" s="20"/>
      <c r="H382"/>
      <c r="I382"/>
      <c r="J382"/>
      <c r="K382"/>
      <c r="L382"/>
      <c r="N382" s="9"/>
    </row>
  </sheetData>
  <mergeCells count="354">
    <mergeCell ref="B329:B333"/>
    <mergeCell ref="C329:C333"/>
    <mergeCell ref="D329:E329"/>
    <mergeCell ref="L329:L333"/>
    <mergeCell ref="D330:E330"/>
    <mergeCell ref="D331:E331"/>
    <mergeCell ref="D332:E332"/>
    <mergeCell ref="D333:E333"/>
    <mergeCell ref="M64:N64"/>
    <mergeCell ref="M67:N67"/>
    <mergeCell ref="M68:N68"/>
    <mergeCell ref="M69:N69"/>
    <mergeCell ref="M70:N70"/>
    <mergeCell ref="M71:N71"/>
    <mergeCell ref="M72:N72"/>
    <mergeCell ref="M82:N82"/>
    <mergeCell ref="M83:N83"/>
    <mergeCell ref="M84:N84"/>
    <mergeCell ref="M91:N91"/>
    <mergeCell ref="M92:N92"/>
    <mergeCell ref="M93:N93"/>
    <mergeCell ref="M94:N94"/>
    <mergeCell ref="M95:N95"/>
    <mergeCell ref="M96:N96"/>
    <mergeCell ref="E6:F6"/>
    <mergeCell ref="E7:F7"/>
    <mergeCell ref="E8:F8"/>
    <mergeCell ref="E9:F9"/>
    <mergeCell ref="E10:F10"/>
    <mergeCell ref="E11:F11"/>
    <mergeCell ref="M35:N35"/>
    <mergeCell ref="M36:N36"/>
    <mergeCell ref="M38:N38"/>
    <mergeCell ref="M37:N37"/>
    <mergeCell ref="M13:N14"/>
    <mergeCell ref="M34:N34"/>
    <mergeCell ref="L13:L14"/>
    <mergeCell ref="B16:B18"/>
    <mergeCell ref="C16:C18"/>
    <mergeCell ref="D16:E16"/>
    <mergeCell ref="M16:N16"/>
    <mergeCell ref="D17:E17"/>
    <mergeCell ref="M17:N17"/>
    <mergeCell ref="D18:E18"/>
    <mergeCell ref="M18:N18"/>
    <mergeCell ref="D15:E15"/>
    <mergeCell ref="S31:T31"/>
    <mergeCell ref="M33:N33"/>
    <mergeCell ref="B20:B24"/>
    <mergeCell ref="C20:C24"/>
    <mergeCell ref="D20:E20"/>
    <mergeCell ref="M20:N20"/>
    <mergeCell ref="D21:E21"/>
    <mergeCell ref="M21:N21"/>
    <mergeCell ref="M22:N22"/>
    <mergeCell ref="M23:N23"/>
    <mergeCell ref="D24:E24"/>
    <mergeCell ref="M24:N24"/>
    <mergeCell ref="M40:N40"/>
    <mergeCell ref="M41:N41"/>
    <mergeCell ref="M42:N42"/>
    <mergeCell ref="M43:N43"/>
    <mergeCell ref="M25:N25"/>
    <mergeCell ref="P25:Q26"/>
    <mergeCell ref="M26:N26"/>
    <mergeCell ref="M28:N28"/>
    <mergeCell ref="O30:Q33"/>
    <mergeCell ref="M39:N39"/>
    <mergeCell ref="M50:N50"/>
    <mergeCell ref="M51:N51"/>
    <mergeCell ref="M52:N52"/>
    <mergeCell ref="M53:N53"/>
    <mergeCell ref="M54:N54"/>
    <mergeCell ref="M55:N55"/>
    <mergeCell ref="M44:N44"/>
    <mergeCell ref="M45:N45"/>
    <mergeCell ref="M46:N46"/>
    <mergeCell ref="M47:N47"/>
    <mergeCell ref="M48:N48"/>
    <mergeCell ref="M49:N49"/>
    <mergeCell ref="M56:N56"/>
    <mergeCell ref="M57:N57"/>
    <mergeCell ref="M58:N58"/>
    <mergeCell ref="M59:N59"/>
    <mergeCell ref="M60:N60"/>
    <mergeCell ref="M66:N66"/>
    <mergeCell ref="M79:N79"/>
    <mergeCell ref="M80:N80"/>
    <mergeCell ref="M81:N81"/>
    <mergeCell ref="M73:N73"/>
    <mergeCell ref="M74:N74"/>
    <mergeCell ref="M75:N75"/>
    <mergeCell ref="M76:N76"/>
    <mergeCell ref="M77:N77"/>
    <mergeCell ref="M78:N78"/>
    <mergeCell ref="M85:N85"/>
    <mergeCell ref="M86:N86"/>
    <mergeCell ref="M87:N87"/>
    <mergeCell ref="M88:N88"/>
    <mergeCell ref="M89:N89"/>
    <mergeCell ref="M90:N90"/>
    <mergeCell ref="M103:N103"/>
    <mergeCell ref="M104:N104"/>
    <mergeCell ref="M105:N105"/>
    <mergeCell ref="M106:N106"/>
    <mergeCell ref="M107:N107"/>
    <mergeCell ref="M108:N108"/>
    <mergeCell ref="M97:N97"/>
    <mergeCell ref="M98:N98"/>
    <mergeCell ref="M99:N99"/>
    <mergeCell ref="M100:N100"/>
    <mergeCell ref="M101:N101"/>
    <mergeCell ref="M102:N102"/>
    <mergeCell ref="M115:N115"/>
    <mergeCell ref="M116:N116"/>
    <mergeCell ref="M117:N117"/>
    <mergeCell ref="M118:N118"/>
    <mergeCell ref="M119:N119"/>
    <mergeCell ref="M120:N120"/>
    <mergeCell ref="M109:N109"/>
    <mergeCell ref="M110:N110"/>
    <mergeCell ref="M111:N111"/>
    <mergeCell ref="M112:N112"/>
    <mergeCell ref="M113:N113"/>
    <mergeCell ref="M114:N114"/>
    <mergeCell ref="M127:N127"/>
    <mergeCell ref="M128:N128"/>
    <mergeCell ref="M129:N129"/>
    <mergeCell ref="M130:N130"/>
    <mergeCell ref="M131:N131"/>
    <mergeCell ref="M132:N132"/>
    <mergeCell ref="M121:N121"/>
    <mergeCell ref="M122:N122"/>
    <mergeCell ref="M123:N123"/>
    <mergeCell ref="M124:N124"/>
    <mergeCell ref="M125:N125"/>
    <mergeCell ref="M126:N126"/>
    <mergeCell ref="M139:N139"/>
    <mergeCell ref="M140:N140"/>
    <mergeCell ref="M141:N141"/>
    <mergeCell ref="M142:N142"/>
    <mergeCell ref="M143:N143"/>
    <mergeCell ref="M144:N144"/>
    <mergeCell ref="M133:N133"/>
    <mergeCell ref="M134:N134"/>
    <mergeCell ref="M135:N135"/>
    <mergeCell ref="M136:N136"/>
    <mergeCell ref="M137:N137"/>
    <mergeCell ref="M138:N138"/>
    <mergeCell ref="M152:N152"/>
    <mergeCell ref="M153:N153"/>
    <mergeCell ref="M154:N154"/>
    <mergeCell ref="M155:N155"/>
    <mergeCell ref="M156:N156"/>
    <mergeCell ref="M157:N157"/>
    <mergeCell ref="M145:N145"/>
    <mergeCell ref="M146:N146"/>
    <mergeCell ref="M148:N148"/>
    <mergeCell ref="M149:N149"/>
    <mergeCell ref="M150:N150"/>
    <mergeCell ref="M151:N151"/>
    <mergeCell ref="M164:N164"/>
    <mergeCell ref="M165:N165"/>
    <mergeCell ref="M166:N166"/>
    <mergeCell ref="M167:N167"/>
    <mergeCell ref="M168:N168"/>
    <mergeCell ref="M169:N169"/>
    <mergeCell ref="M158:N158"/>
    <mergeCell ref="M159:N159"/>
    <mergeCell ref="M160:N160"/>
    <mergeCell ref="M161:N161"/>
    <mergeCell ref="M162:N162"/>
    <mergeCell ref="M163:N163"/>
    <mergeCell ref="M176:N176"/>
    <mergeCell ref="M177:N177"/>
    <mergeCell ref="M178:N178"/>
    <mergeCell ref="M179:N179"/>
    <mergeCell ref="M180:N180"/>
    <mergeCell ref="M181:N181"/>
    <mergeCell ref="M170:N170"/>
    <mergeCell ref="M171:N171"/>
    <mergeCell ref="M172:N172"/>
    <mergeCell ref="M173:N173"/>
    <mergeCell ref="M174:N174"/>
    <mergeCell ref="M175:N175"/>
    <mergeCell ref="M188:N188"/>
    <mergeCell ref="M189:N189"/>
    <mergeCell ref="M190:N190"/>
    <mergeCell ref="M191:N191"/>
    <mergeCell ref="M192:N192"/>
    <mergeCell ref="M193:N193"/>
    <mergeCell ref="M182:N182"/>
    <mergeCell ref="M183:N183"/>
    <mergeCell ref="M184:N184"/>
    <mergeCell ref="M185:N185"/>
    <mergeCell ref="M186:N186"/>
    <mergeCell ref="M187:N187"/>
    <mergeCell ref="M200:N200"/>
    <mergeCell ref="M201:N201"/>
    <mergeCell ref="M202:N202"/>
    <mergeCell ref="M203:N203"/>
    <mergeCell ref="M204:N204"/>
    <mergeCell ref="M205:N205"/>
    <mergeCell ref="M194:N194"/>
    <mergeCell ref="M195:N195"/>
    <mergeCell ref="M196:N196"/>
    <mergeCell ref="M197:N197"/>
    <mergeCell ref="M198:N198"/>
    <mergeCell ref="M199:N199"/>
    <mergeCell ref="M212:N212"/>
    <mergeCell ref="M213:N213"/>
    <mergeCell ref="M214:N214"/>
    <mergeCell ref="M215:N215"/>
    <mergeCell ref="M216:N216"/>
    <mergeCell ref="M217:N217"/>
    <mergeCell ref="M206:N206"/>
    <mergeCell ref="M207:N207"/>
    <mergeCell ref="M208:N208"/>
    <mergeCell ref="M209:N209"/>
    <mergeCell ref="M210:N210"/>
    <mergeCell ref="M211:N211"/>
    <mergeCell ref="M224:N224"/>
    <mergeCell ref="M225:N225"/>
    <mergeCell ref="M226:N226"/>
    <mergeCell ref="M227:N227"/>
    <mergeCell ref="M228:N228"/>
    <mergeCell ref="M229:N229"/>
    <mergeCell ref="M218:N218"/>
    <mergeCell ref="M219:N219"/>
    <mergeCell ref="M220:N220"/>
    <mergeCell ref="M221:N221"/>
    <mergeCell ref="M222:N222"/>
    <mergeCell ref="M223:N223"/>
    <mergeCell ref="M236:N236"/>
    <mergeCell ref="M237:N237"/>
    <mergeCell ref="M238:N238"/>
    <mergeCell ref="M239:N239"/>
    <mergeCell ref="M240:N240"/>
    <mergeCell ref="M241:N241"/>
    <mergeCell ref="M230:N230"/>
    <mergeCell ref="M231:N231"/>
    <mergeCell ref="M232:N232"/>
    <mergeCell ref="M233:N233"/>
    <mergeCell ref="M234:N234"/>
    <mergeCell ref="M235:N235"/>
    <mergeCell ref="M248:N248"/>
    <mergeCell ref="M249:N249"/>
    <mergeCell ref="M250:N250"/>
    <mergeCell ref="M251:N251"/>
    <mergeCell ref="M252:N252"/>
    <mergeCell ref="M253:N253"/>
    <mergeCell ref="M242:N242"/>
    <mergeCell ref="M243:N243"/>
    <mergeCell ref="M244:N244"/>
    <mergeCell ref="M245:N245"/>
    <mergeCell ref="M246:N246"/>
    <mergeCell ref="M247:N247"/>
    <mergeCell ref="M260:N260"/>
    <mergeCell ref="M261:N261"/>
    <mergeCell ref="M262:N262"/>
    <mergeCell ref="M263:N263"/>
    <mergeCell ref="M264:N264"/>
    <mergeCell ref="M265:N265"/>
    <mergeCell ref="M254:N254"/>
    <mergeCell ref="M255:N255"/>
    <mergeCell ref="M256:N256"/>
    <mergeCell ref="M257:N257"/>
    <mergeCell ref="M258:N258"/>
    <mergeCell ref="M259:N259"/>
    <mergeCell ref="M272:N272"/>
    <mergeCell ref="M273:N273"/>
    <mergeCell ref="M274:N274"/>
    <mergeCell ref="M275:N275"/>
    <mergeCell ref="M276:N276"/>
    <mergeCell ref="M277:N277"/>
    <mergeCell ref="M266:N266"/>
    <mergeCell ref="M267:N267"/>
    <mergeCell ref="M268:N268"/>
    <mergeCell ref="M269:N269"/>
    <mergeCell ref="M270:N270"/>
    <mergeCell ref="M271:N271"/>
    <mergeCell ref="M284:N284"/>
    <mergeCell ref="M285:N285"/>
    <mergeCell ref="M286:N286"/>
    <mergeCell ref="M287:N287"/>
    <mergeCell ref="M288:N288"/>
    <mergeCell ref="M289:N289"/>
    <mergeCell ref="M278:N278"/>
    <mergeCell ref="M279:N279"/>
    <mergeCell ref="M280:N280"/>
    <mergeCell ref="M281:N281"/>
    <mergeCell ref="M282:N282"/>
    <mergeCell ref="M283:N283"/>
    <mergeCell ref="M296:N296"/>
    <mergeCell ref="M297:N297"/>
    <mergeCell ref="M298:N298"/>
    <mergeCell ref="M299:N299"/>
    <mergeCell ref="M300:N300"/>
    <mergeCell ref="M301:N301"/>
    <mergeCell ref="M290:N290"/>
    <mergeCell ref="M291:N291"/>
    <mergeCell ref="M292:N292"/>
    <mergeCell ref="M293:N293"/>
    <mergeCell ref="M294:N294"/>
    <mergeCell ref="M295:N295"/>
    <mergeCell ref="M314:N314"/>
    <mergeCell ref="M315:N315"/>
    <mergeCell ref="M316:N316"/>
    <mergeCell ref="M317:N317"/>
    <mergeCell ref="M318:N318"/>
    <mergeCell ref="M319:N319"/>
    <mergeCell ref="M302:N302"/>
    <mergeCell ref="M303:N303"/>
    <mergeCell ref="M304:N304"/>
    <mergeCell ref="M305:N305"/>
    <mergeCell ref="M312:N312"/>
    <mergeCell ref="M313:N313"/>
    <mergeCell ref="M320:N320"/>
    <mergeCell ref="M321:N321"/>
    <mergeCell ref="M322:N322"/>
    <mergeCell ref="M323:N323"/>
    <mergeCell ref="M324:N324"/>
    <mergeCell ref="M325:N325"/>
    <mergeCell ref="M335:N335"/>
    <mergeCell ref="M329:N329"/>
    <mergeCell ref="M330:N330"/>
    <mergeCell ref="M331:N331"/>
    <mergeCell ref="M332:N332"/>
    <mergeCell ref="M333:N333"/>
    <mergeCell ref="M334:N334"/>
    <mergeCell ref="M326:N326"/>
    <mergeCell ref="M327:N327"/>
    <mergeCell ref="M328:N328"/>
    <mergeCell ref="M336:N336"/>
    <mergeCell ref="B368:B370"/>
    <mergeCell ref="C368:E368"/>
    <mergeCell ref="C369:E369"/>
    <mergeCell ref="C370:F370"/>
    <mergeCell ref="M371:N371"/>
    <mergeCell ref="M341:N341"/>
    <mergeCell ref="M342:N342"/>
    <mergeCell ref="M343:N343"/>
    <mergeCell ref="M344:N344"/>
    <mergeCell ref="M345:N345"/>
    <mergeCell ref="M346:N346"/>
    <mergeCell ref="M338:N338"/>
    <mergeCell ref="M337:N337"/>
    <mergeCell ref="M339:N339"/>
    <mergeCell ref="M340:N340"/>
    <mergeCell ref="M367:N367"/>
    <mergeCell ref="M365:N365"/>
    <mergeCell ref="M366:N366"/>
    <mergeCell ref="M368:N369"/>
    <mergeCell ref="K370:N370"/>
  </mergeCells>
  <printOptions horizontalCentered="1" verticalCentered="1"/>
  <pageMargins left="0.25" right="0.25" top="0.75" bottom="0.75" header="0.3" footer="0.3"/>
  <pageSetup scale="78" fitToHeight="8" orientation="portrait" r:id="rId1"/>
  <headerFooter alignWithMargins="0">
    <oddHeader>&amp;L&amp;"Calibri"&amp;9&amp;K000000Classification: Internal&amp;1#</oddHeader>
    <oddFooter>Page &amp;P</oddFooter>
  </headerFooter>
  <rowBreaks count="2" manualBreakCount="2">
    <brk id="60" max="16383" man="1"/>
    <brk id="321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C37D672F71B944937A65FB742CFDBF" ma:contentTypeVersion="1" ma:contentTypeDescription="Create a new document." ma:contentTypeScope="" ma:versionID="d6534ab704dccf109d0ed04eac0c5a9f">
  <xsd:schema xmlns:xsd="http://www.w3.org/2001/XMLSchema" xmlns:xs="http://www.w3.org/2001/XMLSchema" xmlns:p="http://schemas.microsoft.com/office/2006/metadata/properties" xmlns:ns2="3dac3852-c40f-424b-91f3-2b0e1d122f46" targetNamespace="http://schemas.microsoft.com/office/2006/metadata/properties" ma:root="true" ma:fieldsID="17c56f4c300bfd4079ac06512d9df2fa" ns2:_="">
    <xsd:import namespace="3dac3852-c40f-424b-91f3-2b0e1d122f46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3852-c40f-424b-91f3-2b0e1d122f4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0A13FC-79C5-4422-B62F-8EB3F8EB6FE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2C2E0D8-6385-42C7-BD68-5450C2CC11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ac3852-c40f-424b-91f3-2b0e1d122f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83825F-2469-482E-812E-118BD4BE1C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7" 26# Deck Tally</vt:lpstr>
      <vt:lpstr>NFQ22-10 Run Tally</vt:lpstr>
      <vt:lpstr>SPACE OUT Calculation</vt:lpstr>
      <vt:lpstr>NFQ22-10 As run</vt:lpstr>
      <vt:lpstr>'NFQ22-10 As run'!Область_печати</vt:lpstr>
      <vt:lpstr>'NFQ22-10 Run Tally'!Область_печати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DTF (Rig - Hak 8) - Ras Laffan</dc:creator>
  <cp:lastModifiedBy>Maxim Kiselev</cp:lastModifiedBy>
  <cp:lastPrinted>2025-04-25T07:35:00Z</cp:lastPrinted>
  <dcterms:created xsi:type="dcterms:W3CDTF">1998-08-22T05:18:06Z</dcterms:created>
  <dcterms:modified xsi:type="dcterms:W3CDTF">2026-01-25T16:47:31Z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0x0101001DC37D672F71B944937A65FB742CFDBF</vt:lpwstr>
  </property>
  <property fmtid="{D5CDD505-2E9C-101B-9397-08002B2CF9AE}" pid="3" name="MSIP_Label_668fbde5-0dd0-43d5-aca2-2bbc289e3948_Enabled">
    <vt:lpwstr>true</vt:lpwstr>
  </property>
  <property fmtid="{D5CDD505-2E9C-101B-9397-08002B2CF9AE}" pid="4" name="MSIP_Label_668fbde5-0dd0-43d5-aca2-2bbc289e3948_SetDate">
    <vt:lpwstr>2025-04-25T07:37:33Z</vt:lpwstr>
  </property>
  <property fmtid="{D5CDD505-2E9C-101B-9397-08002B2CF9AE}" pid="5" name="MSIP_Label_668fbde5-0dd0-43d5-aca2-2bbc289e3948_Method">
    <vt:lpwstr>Privileged</vt:lpwstr>
  </property>
  <property fmtid="{D5CDD505-2E9C-101B-9397-08002B2CF9AE}" pid="6" name="MSIP_Label_668fbde5-0dd0-43d5-aca2-2bbc289e3948_Name">
    <vt:lpwstr>668fbde5-0dd0-43d5-aca2-2bbc289e3948</vt:lpwstr>
  </property>
  <property fmtid="{D5CDD505-2E9C-101B-9397-08002B2CF9AE}" pid="7" name="MSIP_Label_668fbde5-0dd0-43d5-aca2-2bbc289e3948_SiteId">
    <vt:lpwstr>de2c0330-f2e8-4149-a927-0c5a8592f0da</vt:lpwstr>
  </property>
  <property fmtid="{D5CDD505-2E9C-101B-9397-08002B2CF9AE}" pid="8" name="MSIP_Label_668fbde5-0dd0-43d5-aca2-2bbc289e3948_ActionId">
    <vt:lpwstr>ed3e3c60-a61c-47af-9c0e-955b29d9cce6</vt:lpwstr>
  </property>
  <property fmtid="{D5CDD505-2E9C-101B-9397-08002B2CF9AE}" pid="9" name="MSIP_Label_668fbde5-0dd0-43d5-aca2-2bbc289e3948_ContentBits">
    <vt:lpwstr>1</vt:lpwstr>
  </property>
</Properties>
</file>