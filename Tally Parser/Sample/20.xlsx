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F65C1DAE-54C7-44F4-8EAA-A6E4BACAC1AA}" xr6:coauthVersionLast="47" xr6:coauthVersionMax="47" xr10:uidLastSave="{00000000-0000-0000-0000-000000000000}"/>
  <bookViews>
    <workbookView xWindow="-120" yWindow="-120" windowWidth="29040" windowHeight="15720" tabRatio="775" activeTab="2" xr2:uid="{00000000-000D-0000-FFFF-FFFF00000000}"/>
  </bookViews>
  <sheets>
    <sheet name="RIH-DRAFT" sheetId="17" r:id="rId1"/>
    <sheet name="Tally" sheetId="1" r:id="rId2"/>
    <sheet name="7&quot; JFE Pup Jts_UC" sheetId="22" r:id="rId3"/>
    <sheet name="7&quot; VT Pup Jts" sheetId="21" state="hidden" r:id="rId4"/>
  </sheets>
  <definedNames>
    <definedName name="\A" localSheetId="0">#REF!</definedName>
    <definedName name="\A" localSheetId="1">#REF!</definedName>
    <definedName name="\A">#REF!</definedName>
    <definedName name="\B" localSheetId="0">#REF!</definedName>
    <definedName name="\B">#REF!</definedName>
    <definedName name="\C" localSheetId="0">#REF!</definedName>
    <definedName name="\C" localSheetId="1">#REF!</definedName>
    <definedName name="\C">#REF!</definedName>
    <definedName name="\D" localSheetId="0">#REF!</definedName>
    <definedName name="\D" localSheetId="1">#REF!</definedName>
    <definedName name="\D">#REF!</definedName>
    <definedName name="\E" localSheetId="0">#REF!</definedName>
    <definedName name="\E" localSheetId="1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 localSheetId="1">#REF!</definedName>
    <definedName name="\I">#REF!</definedName>
    <definedName name="\J" localSheetId="0">#REF!</definedName>
    <definedName name="\J" localSheetId="1">#REF!</definedName>
    <definedName name="\J">#REF!</definedName>
    <definedName name="\L" localSheetId="0">#REF!</definedName>
    <definedName name="\L" localSheetId="1">#REF!</definedName>
    <definedName name="\L">#REF!</definedName>
    <definedName name="\N" localSheetId="0">#REF!</definedName>
    <definedName name="\N" localSheetId="1">#REF!</definedName>
    <definedName name="\N">#REF!</definedName>
    <definedName name="\q" localSheetId="0">#REF!</definedName>
    <definedName name="\q">#REF!</definedName>
    <definedName name="\r" localSheetId="0">#REF!</definedName>
    <definedName name="\r">#REF!</definedName>
    <definedName name="\S" localSheetId="0">#REF!</definedName>
    <definedName name="\S">#REF!</definedName>
    <definedName name="\V" localSheetId="0">#REF!</definedName>
    <definedName name="\V">#REF!</definedName>
    <definedName name="\X" localSheetId="0">#REF!</definedName>
    <definedName name="\X" localSheetId="1">#REF!</definedName>
    <definedName name="\X">#REF!</definedName>
    <definedName name="\Z" localSheetId="0">#REF!</definedName>
    <definedName name="\Z" localSheetId="1">#REF!</definedName>
    <definedName name="\Z">#REF!</definedName>
    <definedName name="__123Graph_A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BHR1" localSheetId="0">#REF!</definedName>
    <definedName name="__BHR1">#REF!</definedName>
    <definedName name="__Col1" localSheetId="0">#REF!</definedName>
    <definedName name="__Col1">#REF!</definedName>
    <definedName name="__Col10" localSheetId="0">#REF!</definedName>
    <definedName name="__Col10">#REF!</definedName>
    <definedName name="__Col11" localSheetId="0">#REF!</definedName>
    <definedName name="__Col11">#REF!</definedName>
    <definedName name="__Col12" localSheetId="0">#REF!</definedName>
    <definedName name="__Col12">#REF!</definedName>
    <definedName name="__Col13" localSheetId="0">#REF!</definedName>
    <definedName name="__Col13">#REF!</definedName>
    <definedName name="__Col14" localSheetId="0">#REF!</definedName>
    <definedName name="__Col14">#REF!</definedName>
    <definedName name="__Col15" localSheetId="0">#REF!</definedName>
    <definedName name="__Col15">#REF!</definedName>
    <definedName name="__Col16" localSheetId="0">#REF!</definedName>
    <definedName name="__Col16">#REF!</definedName>
    <definedName name="__Col17" localSheetId="0">#REF!</definedName>
    <definedName name="__Col17">#REF!</definedName>
    <definedName name="__Col18" localSheetId="0">#REF!</definedName>
    <definedName name="__Col18">#REF!</definedName>
    <definedName name="__Col19" localSheetId="0">#REF!</definedName>
    <definedName name="__Col19">#REF!</definedName>
    <definedName name="__Col2" localSheetId="0">#REF!</definedName>
    <definedName name="__Col2">#REF!</definedName>
    <definedName name="__Col20" localSheetId="0">#REF!</definedName>
    <definedName name="__Col20">#REF!</definedName>
    <definedName name="__Col21" localSheetId="0">#REF!</definedName>
    <definedName name="__Col21">#REF!</definedName>
    <definedName name="__Col22" localSheetId="0">#REF!</definedName>
    <definedName name="__Col22">#REF!</definedName>
    <definedName name="__Col23" localSheetId="0">#REF!</definedName>
    <definedName name="__Col23">#REF!</definedName>
    <definedName name="__Col24" localSheetId="0">#REF!</definedName>
    <definedName name="__Col24">#REF!</definedName>
    <definedName name="__Col25" localSheetId="0">#REF!</definedName>
    <definedName name="__Col25">#REF!</definedName>
    <definedName name="__Col26" localSheetId="0">#REF!</definedName>
    <definedName name="__Col26">#REF!</definedName>
    <definedName name="__Col27" localSheetId="0">#REF!</definedName>
    <definedName name="__Col27">#REF!</definedName>
    <definedName name="__Col28" localSheetId="0">#REF!</definedName>
    <definedName name="__Col28">#REF!</definedName>
    <definedName name="__Col29" localSheetId="0">#REF!</definedName>
    <definedName name="__Col29">#REF!</definedName>
    <definedName name="__Col3" localSheetId="0">#REF!</definedName>
    <definedName name="__Col3">#REF!</definedName>
    <definedName name="__Col30" localSheetId="0">#REF!</definedName>
    <definedName name="__Col30">#REF!</definedName>
    <definedName name="__Col4" localSheetId="0">#REF!</definedName>
    <definedName name="__Col4">#REF!</definedName>
    <definedName name="__Col5" localSheetId="0">#REF!</definedName>
    <definedName name="__Col5">#REF!</definedName>
    <definedName name="__Col6" localSheetId="0">#REF!</definedName>
    <definedName name="__Col6">#REF!</definedName>
    <definedName name="__Col7" localSheetId="0">#REF!</definedName>
    <definedName name="__Col7">#REF!</definedName>
    <definedName name="__Col8" localSheetId="0">#REF!</definedName>
    <definedName name="__Col8">#REF!</definedName>
    <definedName name="__Col9" localSheetId="0">#REF!</definedName>
    <definedName name="__Col9">#REF!</definedName>
    <definedName name="__GPD1">#N/A</definedName>
    <definedName name="__GUA2" localSheetId="0" hidden="1">#REF!</definedName>
    <definedName name="__GUA2" hidden="1">#REF!</definedName>
    <definedName name="__MR1" localSheetId="0">#REF!</definedName>
    <definedName name="__MR1">#REF!</definedName>
    <definedName name="_01_Oil" localSheetId="0">#REF!</definedName>
    <definedName name="_01_Oil">#REF!</definedName>
    <definedName name="_1" localSheetId="0">#REF!</definedName>
    <definedName name="_1">#REF!</definedName>
    <definedName name="_1_13_CSG" localSheetId="0">#REF!</definedName>
    <definedName name="_1_13_CSG">#REF!</definedName>
    <definedName name="_11" localSheetId="0">#REF!</definedName>
    <definedName name="_11">#REF!</definedName>
    <definedName name="_12" localSheetId="0">#REF!</definedName>
    <definedName name="_12">#REF!</definedName>
    <definedName name="_13" localSheetId="0">#REF!</definedName>
    <definedName name="_13">#REF!</definedName>
    <definedName name="_1338_cmt_calc">#REF!</definedName>
    <definedName name="_14" localSheetId="0">#REF!</definedName>
    <definedName name="_14">#REF!</definedName>
    <definedName name="_15" localSheetId="0">#REF!</definedName>
    <definedName name="_15">#REF!</definedName>
    <definedName name="_16" localSheetId="0">#REF!</definedName>
    <definedName name="_16">#REF!</definedName>
    <definedName name="_17" localSheetId="0">#REF!</definedName>
    <definedName name="_17">#REF!</definedName>
    <definedName name="_1858_cmt_calc">#REF!</definedName>
    <definedName name="_2" localSheetId="0">#REF!</definedName>
    <definedName name="_2">#REF!</definedName>
    <definedName name="_2_978_CSG" localSheetId="0">#REF!</definedName>
    <definedName name="_2_978_CSG">#REF!</definedName>
    <definedName name="_20__x_36" localSheetId="0">#REF!</definedName>
    <definedName name="_20__x_36">#REF!</definedName>
    <definedName name="_20inShoe" localSheetId="0">#REF!</definedName>
    <definedName name="_20inShoe">#REF!</definedName>
    <definedName name="_21" localSheetId="0">#REF!</definedName>
    <definedName name="_21">#REF!</definedName>
    <definedName name="_22" localSheetId="0">#REF!</definedName>
    <definedName name="_22">#REF!</definedName>
    <definedName name="_23" localSheetId="0">#REF!</definedName>
    <definedName name="_23">#REF!</definedName>
    <definedName name="_24" localSheetId="0">#REF!</definedName>
    <definedName name="_24">#REF!</definedName>
    <definedName name="_26" localSheetId="0">#REF!</definedName>
    <definedName name="_26">#REF!</definedName>
    <definedName name="_26__x_20" localSheetId="0">#REF!</definedName>
    <definedName name="_26__x_20">#REF!</definedName>
    <definedName name="_26inHole" localSheetId="0">#REF!</definedName>
    <definedName name="_26inHole">#REF!</definedName>
    <definedName name="_26x20_annulus" localSheetId="0">#REF!</definedName>
    <definedName name="_26x20_annulus">#REF!</definedName>
    <definedName name="_27" localSheetId="0">#REF!</definedName>
    <definedName name="_27">#REF!</definedName>
    <definedName name="_3" localSheetId="0">#REF!</definedName>
    <definedName name="_3">#REF!</definedName>
    <definedName name="_30__x_36" localSheetId="0">#REF!</definedName>
    <definedName name="_30__x_36">#REF!</definedName>
    <definedName name="_36_x_30_annulus" localSheetId="0">#REF!</definedName>
    <definedName name="_36_x_30_annulus">#REF!</definedName>
    <definedName name="_36x20_annulus" localSheetId="0">#REF!</definedName>
    <definedName name="_36x20_annulus">#REF!</definedName>
    <definedName name="_3RECOMPL__1" localSheetId="0">#REF!</definedName>
    <definedName name="_3RECOMPL__1">#REF!</definedName>
    <definedName name="_4" localSheetId="0">#REF!</definedName>
    <definedName name="_4">#REF!</definedName>
    <definedName name="_4RECOMPL_2" localSheetId="0">#REF!</definedName>
    <definedName name="_4RECOMPL_2">#REF!</definedName>
    <definedName name="_5" localSheetId="0">#REF!</definedName>
    <definedName name="_5">#REF!</definedName>
    <definedName name="_5__Drillpipe" localSheetId="0">#REF!</definedName>
    <definedName name="_5__Drillpipe">#REF!</definedName>
    <definedName name="_5inDP_cap" localSheetId="0">#REF!</definedName>
    <definedName name="_5inDP_cap">#REF!</definedName>
    <definedName name="_6" localSheetId="0">#REF!</definedName>
    <definedName name="_6">#REF!</definedName>
    <definedName name="_7" localSheetId="0">#REF!</definedName>
    <definedName name="_7">#REF!</definedName>
    <definedName name="_9_5_8__Shoe" localSheetId="0">#REF!</definedName>
    <definedName name="_9_5_8__Shoe">#REF!</definedName>
    <definedName name="_958_cmt_calc">#REF!</definedName>
    <definedName name="_BHR1" localSheetId="0">#REF!</definedName>
    <definedName name="_BHR1">#REF!</definedName>
    <definedName name="_CD10" localSheetId="0">#REF!</definedName>
    <definedName name="_CD10">#REF!</definedName>
    <definedName name="_Col1" localSheetId="0">#REF!</definedName>
    <definedName name="_Col1">#REF!</definedName>
    <definedName name="_Col10" localSheetId="0">#REF!</definedName>
    <definedName name="_Col10">#REF!</definedName>
    <definedName name="_Col11" localSheetId="0">#REF!</definedName>
    <definedName name="_Col11">#REF!</definedName>
    <definedName name="_Col12" localSheetId="0">#REF!</definedName>
    <definedName name="_Col12">#REF!</definedName>
    <definedName name="_Col13" localSheetId="0">#REF!</definedName>
    <definedName name="_Col13">#REF!</definedName>
    <definedName name="_Col14" localSheetId="0">#REF!</definedName>
    <definedName name="_Col14">#REF!</definedName>
    <definedName name="_Col15" localSheetId="0">#REF!</definedName>
    <definedName name="_Col15">#REF!</definedName>
    <definedName name="_Col16" localSheetId="0">#REF!</definedName>
    <definedName name="_Col16">#REF!</definedName>
    <definedName name="_Col17" localSheetId="0">#REF!</definedName>
    <definedName name="_Col17">#REF!</definedName>
    <definedName name="_Col18" localSheetId="0">#REF!</definedName>
    <definedName name="_Col18">#REF!</definedName>
    <definedName name="_Col19" localSheetId="0">#REF!</definedName>
    <definedName name="_Col19">#REF!</definedName>
    <definedName name="_Col2" localSheetId="0">#REF!</definedName>
    <definedName name="_Col2">#REF!</definedName>
    <definedName name="_Col20" localSheetId="0">#REF!</definedName>
    <definedName name="_Col20">#REF!</definedName>
    <definedName name="_Col21" localSheetId="0">#REF!</definedName>
    <definedName name="_Col21">#REF!</definedName>
    <definedName name="_Col22" localSheetId="0">#REF!</definedName>
    <definedName name="_Col22">#REF!</definedName>
    <definedName name="_Col23" localSheetId="0">#REF!</definedName>
    <definedName name="_Col23">#REF!</definedName>
    <definedName name="_Col24" localSheetId="0">#REF!</definedName>
    <definedName name="_Col24">#REF!</definedName>
    <definedName name="_Col25" localSheetId="0">#REF!</definedName>
    <definedName name="_Col25">#REF!</definedName>
    <definedName name="_Col26" localSheetId="0">#REF!</definedName>
    <definedName name="_Col26">#REF!</definedName>
    <definedName name="_Col27" localSheetId="0">#REF!</definedName>
    <definedName name="_Col27">#REF!</definedName>
    <definedName name="_Col28" localSheetId="0">#REF!</definedName>
    <definedName name="_Col28">#REF!</definedName>
    <definedName name="_Col29" localSheetId="0">#REF!</definedName>
    <definedName name="_Col29">#REF!</definedName>
    <definedName name="_Col3" localSheetId="0">#REF!</definedName>
    <definedName name="_Col3">#REF!</definedName>
    <definedName name="_Col30" localSheetId="0">#REF!</definedName>
    <definedName name="_Col30">#REF!</definedName>
    <definedName name="_Col4" localSheetId="0">#REF!</definedName>
    <definedName name="_Col4">#REF!</definedName>
    <definedName name="_Col5" localSheetId="0">#REF!</definedName>
    <definedName name="_Col5">#REF!</definedName>
    <definedName name="_Col6" localSheetId="0">#REF!</definedName>
    <definedName name="_Col6">#REF!</definedName>
    <definedName name="_Col7" localSheetId="0">#REF!</definedName>
    <definedName name="_Col7">#REF!</definedName>
    <definedName name="_Col8" localSheetId="0">#REF!</definedName>
    <definedName name="_Col8">#REF!</definedName>
    <definedName name="_Col9" localSheetId="0">#REF!</definedName>
    <definedName name="_Col9">#REF!</definedName>
    <definedName name="_Fill" localSheetId="0" hidden="1">#REF!</definedName>
    <definedName name="_Fill" hidden="1">#REF!</definedName>
    <definedName name="_Float_Collar" localSheetId="0">#REF!</definedName>
    <definedName name="_Float_Collar">#REF!</definedName>
    <definedName name="_GPD1">#N/A</definedName>
    <definedName name="_GUA2" localSheetId="0" hidden="1">#REF!</definedName>
    <definedName name="_GUA2" hidden="1">#REF!</definedName>
    <definedName name="_Key1" localSheetId="0" hidden="1">#REF!</definedName>
    <definedName name="_Key1" hidden="1">#REF!</definedName>
    <definedName name="_MPW39">#REF!</definedName>
    <definedName name="_MR1" localSheetId="0">#REF!</definedName>
    <definedName name="_MR1">#REF!</definedName>
    <definedName name="_MUD1" localSheetId="0">#REF!</definedName>
    <definedName name="_MUD1">#REF!</definedName>
    <definedName name="_MUD10" localSheetId="0">#REF!</definedName>
    <definedName name="_MUD10">#REF!</definedName>
    <definedName name="_MUD11" localSheetId="0">#REF!</definedName>
    <definedName name="_MUD11">#REF!</definedName>
    <definedName name="_MUD2" localSheetId="0">#REF!</definedName>
    <definedName name="_MUD2">#REF!</definedName>
    <definedName name="_MUD3" localSheetId="0">#REF!</definedName>
    <definedName name="_MUD3">#REF!</definedName>
    <definedName name="_MUD4" localSheetId="0">#REF!</definedName>
    <definedName name="_MUD4">#REF!</definedName>
    <definedName name="_MUD5" localSheetId="0">#REF!</definedName>
    <definedName name="_MUD5">#REF!</definedName>
    <definedName name="_MUD6" localSheetId="0">#REF!</definedName>
    <definedName name="_MUD6">#REF!</definedName>
    <definedName name="_MUD7" localSheetId="0">#REF!</definedName>
    <definedName name="_MUD7">#REF!</definedName>
    <definedName name="_MUD8" localSheetId="0">#REF!</definedName>
    <definedName name="_MUD8">#REF!</definedName>
    <definedName name="_MUD9" localSheetId="0">#REF!</definedName>
    <definedName name="_MUD9">#REF!</definedName>
    <definedName name="_No1" localSheetId="0">#REF!</definedName>
    <definedName name="_No1">#REF!</definedName>
    <definedName name="_No2" localSheetId="0">#REF!</definedName>
    <definedName name="_No2">#REF!</definedName>
    <definedName name="_No3" localSheetId="0">#REF!</definedName>
    <definedName name="_No3">#REF!</definedName>
    <definedName name="_No4" localSheetId="0">#REF!</definedName>
    <definedName name="_No4">#REF!</definedName>
    <definedName name="_Order1" hidden="1">255</definedName>
    <definedName name="_pg1" localSheetId="0">#REF!</definedName>
    <definedName name="_pg1">#REF!</definedName>
    <definedName name="_pg2" localSheetId="0">#REF!</definedName>
    <definedName name="_pg2">#REF!</definedName>
    <definedName name="_Regression_Int">1</definedName>
    <definedName name="_Shoe" localSheetId="0">#REF!</definedName>
    <definedName name="_Shoe">#REF!</definedName>
    <definedName name="_Sort" localSheetId="0" hidden="1">#REF!</definedName>
    <definedName name="_Sort" hidden="1">#REF!</definedName>
    <definedName name="_Table1_In1" hidden="1">#REF!</definedName>
    <definedName name="_Table1_Out" hidden="1">#REF!</definedName>
    <definedName name="_td1" localSheetId="0">#REF!</definedName>
    <definedName name="_td1">#REF!</definedName>
    <definedName name="_TD16inHole" localSheetId="0">#REF!</definedName>
    <definedName name="_TD16inHole">#REF!</definedName>
    <definedName name="_Top1" localSheetId="0">#REF!</definedName>
    <definedName name="_Top1">#REF!</definedName>
    <definedName name="_xlnm._FilterDatabase" localSheetId="0" hidden="1">#REF!</definedName>
    <definedName name="_xlnm._FilterDatabase" hidden="1">#REF!</definedName>
    <definedName name="a" localSheetId="0" hidden="1">#REF!</definedName>
    <definedName name="a" hidden="1">#REF!</definedName>
    <definedName name="aa" localSheetId="0">!#REF!</definedName>
    <definedName name="aa">!#REF!</definedName>
    <definedName name="AAA" localSheetId="0">#REF!</definedName>
    <definedName name="AAA">#REF!</definedName>
    <definedName name="aaddde" localSheetId="0">#REF!</definedName>
    <definedName name="aaddde">#REF!</definedName>
    <definedName name="AbnTime" localSheetId="0">#REF!</definedName>
    <definedName name="AbnTime">#REF!</definedName>
    <definedName name="AbsVolume" localSheetId="0">#REF!</definedName>
    <definedName name="AbsVolume">#REF!</definedName>
    <definedName name="ABX" hidden="1">#REF!</definedName>
    <definedName name="ACC_TBG_COST" localSheetId="0">#REF!</definedName>
    <definedName name="ACC_TBG_COST">#REF!</definedName>
    <definedName name="ACCESS_COST" localSheetId="0">#REF!</definedName>
    <definedName name="ACCESS_COST">#REF!</definedName>
    <definedName name="ACCESS_DESC" localSheetId="0">#REF!</definedName>
    <definedName name="ACCESS_DESC">#REF!</definedName>
    <definedName name="ACCESS_UNIT" localSheetId="0">#REF!</definedName>
    <definedName name="ACCESS_UNIT">#REF!</definedName>
    <definedName name="ACCESSORIES" localSheetId="0">#REF!</definedName>
    <definedName name="ACCESSORIES">#REF!</definedName>
    <definedName name="ACID_STIM" localSheetId="0">#REF!</definedName>
    <definedName name="ACID_STIM">#REF!</definedName>
    <definedName name="Act_MD" localSheetId="0">OFFSET(#REF!,1,0,#REF!)</definedName>
    <definedName name="Act_MD">OFFSET(#REF!,1,0,#REF!)</definedName>
    <definedName name="Act_PU" localSheetId="0">OFFSET(#REF!,1,0,#REF!)</definedName>
    <definedName name="Act_PU">OFFSET(#REF!,1,0,#REF!)</definedName>
    <definedName name="Act_Rot" localSheetId="0">OFFSET(#REF!,1,0,#REF!)</definedName>
    <definedName name="Act_Rot">OFFSET(#REF!,1,0,#REF!)</definedName>
    <definedName name="Act_RPM" localSheetId="0">OFFSET(#REF!,1,0,#REF!)</definedName>
    <definedName name="Act_RPM">OFFSET(#REF!,1,0,#REF!)</definedName>
    <definedName name="Act_SO" localSheetId="0">OFFSET(#REF!,1,0,#REF!)</definedName>
    <definedName name="Act_SO">OFFSET(#REF!,1,0,#REF!)</definedName>
    <definedName name="Act_Toff" localSheetId="0">OFFSET(#REF!,1,0,#REF!)</definedName>
    <definedName name="Act_Toff">OFFSET(#REF!,1,0,#REF!)</definedName>
    <definedName name="Act_Ton" localSheetId="0">OFFSET(#REF!,1,0,#REF!)</definedName>
    <definedName name="Act_Ton">OFFSET(#REF!,1,0,#REF!)</definedName>
    <definedName name="Act_WOB" localSheetId="0">OFFSET(#REF!,1,0,#REF!)</definedName>
    <definedName name="Act_WOB">OFFSET(#REF!,1,0,#REF!)</definedName>
    <definedName name="Ai" localSheetId="0">#REF!</definedName>
    <definedName name="Ai">#REF!</definedName>
    <definedName name="Alt_Print_Titles">#REF!,#REF!</definedName>
    <definedName name="amis">#REF!</definedName>
    <definedName name="Angle" localSheetId="0">#REF!</definedName>
    <definedName name="Angle">#REF!</definedName>
    <definedName name="Annulus_to_SPM" localSheetId="0">#REF!</definedName>
    <definedName name="Annulus_to_SPM">#REF!</definedName>
    <definedName name="anscount" hidden="1">1</definedName>
    <definedName name="API_Number" localSheetId="0">#REF!</definedName>
    <definedName name="API_Number">#REF!</definedName>
    <definedName name="As" localSheetId="0">#REF!</definedName>
    <definedName name="As">#REF!</definedName>
    <definedName name="asasas">#N/A</definedName>
    <definedName name="AVIATION_FACTOR" localSheetId="0">#REF!</definedName>
    <definedName name="AVIATION_FACTOR">#REF!</definedName>
    <definedName name="AzimColumn" localSheetId="0">!#REF!</definedName>
    <definedName name="AzimColumn">!#REF!</definedName>
    <definedName name="Azimuth_In" localSheetId="0">#REF!</definedName>
    <definedName name="Azimuth_In">#REF!</definedName>
    <definedName name="Azimuth_Out" localSheetId="0">#REF!</definedName>
    <definedName name="Azimuth_Out">#REF!</definedName>
    <definedName name="b" localSheetId="0" hidden="1">#REF!</definedName>
    <definedName name="b" hidden="1">#REF!</definedName>
    <definedName name="BAKERTOOL" localSheetId="0">#REF!</definedName>
    <definedName name="BAKERTOOL">#REF!</definedName>
    <definedName name="bal" localSheetId="0">#REF!</definedName>
    <definedName name="bal">#REF!</definedName>
    <definedName name="BBLDRILLSHOE" localSheetId="0">#REF!</definedName>
    <definedName name="BBLDRILLSHOE">#REF!</definedName>
    <definedName name="BDFile" localSheetId="0">#REF!</definedName>
    <definedName name="BDFile">#REF!</definedName>
    <definedName name="Bha_Range" localSheetId="0">#REF!</definedName>
    <definedName name="Bha_Range">#REF!</definedName>
    <definedName name="bhp" localSheetId="0">#REF!</definedName>
    <definedName name="bhp">#REF!</definedName>
    <definedName name="bhr" localSheetId="0">#REF!</definedName>
    <definedName name="bhr">#REF!</definedName>
    <definedName name="BHRR" localSheetId="0">#REF!</definedName>
    <definedName name="BHRR">#REF!</definedName>
    <definedName name="bht" localSheetId="0">#REF!</definedName>
    <definedName name="bht">#REF!</definedName>
    <definedName name="BIT" localSheetId="0">#REF!</definedName>
    <definedName name="BIT">#REF!</definedName>
    <definedName name="BlankLength" localSheetId="0">#REF!</definedName>
    <definedName name="BlankLength">#REF!</definedName>
    <definedName name="BlFl" localSheetId="0">#REF!</definedName>
    <definedName name="BlFl">#REF!</definedName>
    <definedName name="Borehole" localSheetId="0">#REF!</definedName>
    <definedName name="Borehole">#REF!</definedName>
    <definedName name="BoreholeName" localSheetId="0">#REF!</definedName>
    <definedName name="BoreholeName">#REF!</definedName>
    <definedName name="botcsg" localSheetId="0">#REF!</definedName>
    <definedName name="botcsg">#REF!</definedName>
    <definedName name="Bottom" localSheetId="0">#REF!</definedName>
    <definedName name="Bottom">#REF!</definedName>
    <definedName name="Bottom1" localSheetId="0">#REF!</definedName>
    <definedName name="Bottom1">#REF!</definedName>
    <definedName name="BottomHole" localSheetId="0">#REF!</definedName>
    <definedName name="BottomHole">#REF!</definedName>
    <definedName name="BottomOfAssy" localSheetId="0">#REF!</definedName>
    <definedName name="BottomOfAssy">#REF!</definedName>
    <definedName name="BP_CHOH" localSheetId="0">#REF!</definedName>
    <definedName name="BP_CHOH">#REF!</definedName>
    <definedName name="BP_ID" localSheetId="0">#REF!</definedName>
    <definedName name="BP_ID">#REF!</definedName>
    <definedName name="BP_LCH" localSheetId="0">#REF!</definedName>
    <definedName name="BP_LCH">#REF!</definedName>
    <definedName name="BP_Lgth" localSheetId="0">#REF!</definedName>
    <definedName name="BP_Lgth">#REF!</definedName>
    <definedName name="BP_LOH" localSheetId="0">#REF!</definedName>
    <definedName name="BP_LOH">#REF!</definedName>
    <definedName name="BP_OD" localSheetId="0">#REF!</definedName>
    <definedName name="BP_OD">#REF!</definedName>
    <definedName name="BRINE" localSheetId="0">#REF!</definedName>
    <definedName name="BRINE">#REF!</definedName>
    <definedName name="BTC_M_U_LOSS">#REF!</definedName>
    <definedName name="BufferDens" localSheetId="0">#REF!</definedName>
    <definedName name="BufferDens">#REF!</definedName>
    <definedName name="BULK" localSheetId="0">#REF!</definedName>
    <definedName name="BULK">#REF!</definedName>
    <definedName name="by216final" localSheetId="0" hidden="1">#REF!</definedName>
    <definedName name="by216final" hidden="1">#REF!</definedName>
    <definedName name="C_" localSheetId="0">#REF!</definedName>
    <definedName name="C_">#REF!</definedName>
    <definedName name="CASED_TYPE1" localSheetId="0">#REF!</definedName>
    <definedName name="CASED_TYPE1">#REF!</definedName>
    <definedName name="CASED_TYPE10" localSheetId="0">#REF!</definedName>
    <definedName name="CASED_TYPE10">#REF!</definedName>
    <definedName name="CASED_TYPE2" localSheetId="0">#REF!</definedName>
    <definedName name="CASED_TYPE2">#REF!</definedName>
    <definedName name="CASED_TYPE3" localSheetId="0">#REF!</definedName>
    <definedName name="CASED_TYPE3">#REF!</definedName>
    <definedName name="CASED_TYPE4" localSheetId="0">#REF!</definedName>
    <definedName name="CASED_TYPE4">#REF!</definedName>
    <definedName name="CASED_TYPE5" localSheetId="0">#REF!</definedName>
    <definedName name="CASED_TYPE5">#REF!</definedName>
    <definedName name="CASED_TYPE6" localSheetId="0">#REF!</definedName>
    <definedName name="CASED_TYPE6">#REF!</definedName>
    <definedName name="CASED_TYPE7" localSheetId="0">#REF!</definedName>
    <definedName name="CASED_TYPE7">#REF!</definedName>
    <definedName name="CASED_TYPE8" localSheetId="0">#REF!</definedName>
    <definedName name="CASED_TYPE8">#REF!</definedName>
    <definedName name="CASED_TYPE9" localSheetId="0">#REF!</definedName>
    <definedName name="CASED_TYPE9">#REF!</definedName>
    <definedName name="CASING" localSheetId="0">#REF!</definedName>
    <definedName name="CASING">#REF!</definedName>
    <definedName name="CASING_COST" localSheetId="0">#REF!</definedName>
    <definedName name="CASING_COST">#REF!</definedName>
    <definedName name="CASING_INFO" localSheetId="0">#REF!</definedName>
    <definedName name="CASING_INFO">#REF!</definedName>
    <definedName name="CASING_MILLING" localSheetId="0">#REF!</definedName>
    <definedName name="CASING_MILLING">#REF!</definedName>
    <definedName name="CasingValList" localSheetId="0">#REF!</definedName>
    <definedName name="CasingValList">#REF!</definedName>
    <definedName name="CBIL" localSheetId="0">#REF!</definedName>
    <definedName name="CBIL">#REF!</definedName>
    <definedName name="CC____CWS_OPN_SUPTs_MKM_Resv_Engs." localSheetId="0">#REF!</definedName>
    <definedName name="CC____CWS_OPN_SUPTs_MKM_Resv_Engs.">#REF!</definedName>
    <definedName name="CD" localSheetId="0">#REF!</definedName>
    <definedName name="CD">#REF!</definedName>
    <definedName name="CFD" localSheetId="0">#REF!</definedName>
    <definedName name="CFD">#REF!</definedName>
    <definedName name="Chemical_Cut" localSheetId="0">#REF!</definedName>
    <definedName name="Chemical_Cut">#REF!</definedName>
    <definedName name="Choice" localSheetId="1">#REF!</definedName>
    <definedName name="Choice">#REF!</definedName>
    <definedName name="CHON" localSheetId="0">#REF!</definedName>
    <definedName name="CHON">#REF!</definedName>
    <definedName name="CHROME_LINER">#REF!</definedName>
    <definedName name="City" localSheetId="0">#REF!</definedName>
    <definedName name="City">#REF!</definedName>
    <definedName name="Clear_Joblog" localSheetId="0">#REF!</definedName>
    <definedName name="Clear_Joblog">#REF!</definedName>
    <definedName name="Client" localSheetId="0">#REF!</definedName>
    <definedName name="Client">#REF!</definedName>
    <definedName name="Cmt_Design">#REF!</definedName>
    <definedName name="CMTCHEMICAL" localSheetId="0">#REF!</definedName>
    <definedName name="CMTCHEMICAL">#REF!</definedName>
    <definedName name="CMTTOOL" localSheetId="0">#REF!</definedName>
    <definedName name="CMTTOOL">#REF!</definedName>
    <definedName name="Coasting" localSheetId="0">#REF!</definedName>
    <definedName name="Coasting">#REF!</definedName>
    <definedName name="Col1_Name" localSheetId="0">#REF!</definedName>
    <definedName name="Col1_Name">#REF!</definedName>
    <definedName name="Col1_Stat_Name" localSheetId="0">#REF!</definedName>
    <definedName name="Col1_Stat_Name">#REF!</definedName>
    <definedName name="Col1_Unit" localSheetId="0">#REF!</definedName>
    <definedName name="Col1_Unit">#REF!</definedName>
    <definedName name="Col10_Name" localSheetId="0">#REF!</definedName>
    <definedName name="Col10_Name">#REF!</definedName>
    <definedName name="Col10_Stat" localSheetId="0">#REF!</definedName>
    <definedName name="Col10_Stat">#REF!</definedName>
    <definedName name="Col10_Stat_Name" localSheetId="0">#REF!</definedName>
    <definedName name="Col10_Stat_Name">#REF!</definedName>
    <definedName name="Col10_Unit" localSheetId="0">#REF!</definedName>
    <definedName name="Col10_Unit">#REF!</definedName>
    <definedName name="Col11_Name" localSheetId="0">#REF!</definedName>
    <definedName name="Col11_Name">#REF!</definedName>
    <definedName name="Col11_Stat" localSheetId="0">#REF!</definedName>
    <definedName name="Col11_Stat">#REF!</definedName>
    <definedName name="Col11_Stat_Name" localSheetId="0">#REF!</definedName>
    <definedName name="Col11_Stat_Name">#REF!</definedName>
    <definedName name="Col11_Unit" localSheetId="0">#REF!</definedName>
    <definedName name="Col11_Unit">#REF!</definedName>
    <definedName name="Col12_Name" localSheetId="0">#REF!</definedName>
    <definedName name="Col12_Name">#REF!</definedName>
    <definedName name="Col12_Stat" localSheetId="0">#REF!</definedName>
    <definedName name="Col12_Stat">#REF!</definedName>
    <definedName name="Col12_Stat_Name" localSheetId="0">#REF!</definedName>
    <definedName name="Col12_Stat_Name">#REF!</definedName>
    <definedName name="Col12_Unit" localSheetId="0">#REF!</definedName>
    <definedName name="Col12_Unit">#REF!</definedName>
    <definedName name="Col13_Name" localSheetId="0">#REF!</definedName>
    <definedName name="Col13_Name">#REF!</definedName>
    <definedName name="Col13_Stat" localSheetId="0">#REF!</definedName>
    <definedName name="Col13_Stat">#REF!</definedName>
    <definedName name="Col13_Stat_Name" localSheetId="0">#REF!</definedName>
    <definedName name="Col13_Stat_Name">#REF!</definedName>
    <definedName name="Col13_Unit" localSheetId="0">#REF!</definedName>
    <definedName name="Col13_Unit">#REF!</definedName>
    <definedName name="Col14_Name" localSheetId="0">#REF!</definedName>
    <definedName name="Col14_Name">#REF!</definedName>
    <definedName name="Col14_Stat" localSheetId="0">#REF!</definedName>
    <definedName name="Col14_Stat">#REF!</definedName>
    <definedName name="Col14_Stat_Name" localSheetId="0">#REF!</definedName>
    <definedName name="Col14_Stat_Name">#REF!</definedName>
    <definedName name="Col14_Unit" localSheetId="0">#REF!</definedName>
    <definedName name="Col14_Unit">#REF!</definedName>
    <definedName name="Col15_Name" localSheetId="0">#REF!</definedName>
    <definedName name="Col15_Name">#REF!</definedName>
    <definedName name="Col15_Stat" localSheetId="0">#REF!</definedName>
    <definedName name="Col15_Stat">#REF!</definedName>
    <definedName name="Col15_Stat_Name" localSheetId="0">#REF!</definedName>
    <definedName name="Col15_Stat_Name">#REF!</definedName>
    <definedName name="Col15_Unit" localSheetId="0">#REF!</definedName>
    <definedName name="Col15_Unit">#REF!</definedName>
    <definedName name="Col16_Name" localSheetId="0">#REF!</definedName>
    <definedName name="Col16_Name">#REF!</definedName>
    <definedName name="Col16_Stat" localSheetId="0">#REF!</definedName>
    <definedName name="Col16_Stat">#REF!</definedName>
    <definedName name="Col16_Stat_Name" localSheetId="0">#REF!</definedName>
    <definedName name="Col16_Stat_Name">#REF!</definedName>
    <definedName name="Col16_Unit" localSheetId="0">#REF!</definedName>
    <definedName name="Col16_Unit">#REF!</definedName>
    <definedName name="Col17_Name" localSheetId="0">#REF!</definedName>
    <definedName name="Col17_Name">#REF!</definedName>
    <definedName name="Col17_Stat" localSheetId="0">#REF!</definedName>
    <definedName name="Col17_Stat">#REF!</definedName>
    <definedName name="Col17_Stat_Name" localSheetId="0">#REF!</definedName>
    <definedName name="Col17_Stat_Name">#REF!</definedName>
    <definedName name="Col17_Unit" localSheetId="0">#REF!</definedName>
    <definedName name="Col17_Unit">#REF!</definedName>
    <definedName name="Col18_Name" localSheetId="0">#REF!</definedName>
    <definedName name="Col18_Name">#REF!</definedName>
    <definedName name="Col18_Stat" localSheetId="0">#REF!</definedName>
    <definedName name="Col18_Stat">#REF!</definedName>
    <definedName name="Col18_Stat_Name" localSheetId="0">#REF!</definedName>
    <definedName name="Col18_Stat_Name">#REF!</definedName>
    <definedName name="Col18_Unit" localSheetId="0">#REF!</definedName>
    <definedName name="Col18_Unit">#REF!</definedName>
    <definedName name="Col19_Name" localSheetId="0">#REF!</definedName>
    <definedName name="Col19_Name">#REF!</definedName>
    <definedName name="Col19_Stat" localSheetId="0">#REF!</definedName>
    <definedName name="Col19_Stat">#REF!</definedName>
    <definedName name="Col19_Stat_Name" localSheetId="0">#REF!</definedName>
    <definedName name="Col19_Stat_Name">#REF!</definedName>
    <definedName name="Col19_Unit" localSheetId="0">#REF!</definedName>
    <definedName name="Col19_Unit">#REF!</definedName>
    <definedName name="Col2_Name" localSheetId="0">#REF!</definedName>
    <definedName name="Col2_Name">#REF!</definedName>
    <definedName name="Col2_Stat" localSheetId="0">#REF!</definedName>
    <definedName name="Col2_Stat">#REF!</definedName>
    <definedName name="Col2_Stat_Name" localSheetId="0">#REF!</definedName>
    <definedName name="Col2_Stat_Name">#REF!</definedName>
    <definedName name="Col2_Unit" localSheetId="0">#REF!</definedName>
    <definedName name="Col2_Unit">#REF!</definedName>
    <definedName name="Col20_Name" localSheetId="0">#REF!</definedName>
    <definedName name="Col20_Name">#REF!</definedName>
    <definedName name="Col20_Stat" localSheetId="0">#REF!</definedName>
    <definedName name="Col20_Stat">#REF!</definedName>
    <definedName name="Col20_Stat_Name" localSheetId="0">#REF!</definedName>
    <definedName name="Col20_Stat_Name">#REF!</definedName>
    <definedName name="Col20_Unit" localSheetId="0">#REF!</definedName>
    <definedName name="Col20_Unit">#REF!</definedName>
    <definedName name="Col21_Name" localSheetId="0">#REF!</definedName>
    <definedName name="Col21_Name">#REF!</definedName>
    <definedName name="Col21_Stat" localSheetId="0">#REF!</definedName>
    <definedName name="Col21_Stat">#REF!</definedName>
    <definedName name="Col21_Stat_Name" localSheetId="0">#REF!</definedName>
    <definedName name="Col21_Stat_Name">#REF!</definedName>
    <definedName name="Col21_Unit" localSheetId="0">#REF!</definedName>
    <definedName name="Col21_Unit">#REF!</definedName>
    <definedName name="Col22_Name" localSheetId="0">#REF!</definedName>
    <definedName name="Col22_Name">#REF!</definedName>
    <definedName name="Col22_Stat" localSheetId="0">#REF!</definedName>
    <definedName name="Col22_Stat">#REF!</definedName>
    <definedName name="Col22_Stat_Name" localSheetId="0">#REF!</definedName>
    <definedName name="Col22_Stat_Name">#REF!</definedName>
    <definedName name="Col22_Unit" localSheetId="0">#REF!</definedName>
    <definedName name="Col22_Unit">#REF!</definedName>
    <definedName name="Col23_Name" localSheetId="0">#REF!</definedName>
    <definedName name="Col23_Name">#REF!</definedName>
    <definedName name="Col23_Stat" localSheetId="0">#REF!</definedName>
    <definedName name="Col23_Stat">#REF!</definedName>
    <definedName name="Col23_Stat_Name" localSheetId="0">#REF!</definedName>
    <definedName name="Col23_Stat_Name">#REF!</definedName>
    <definedName name="Col23_Unit" localSheetId="0">#REF!</definedName>
    <definedName name="Col23_Unit">#REF!</definedName>
    <definedName name="Col24_Name" localSheetId="0">#REF!</definedName>
    <definedName name="Col24_Name">#REF!</definedName>
    <definedName name="Col24_Stat" localSheetId="0">#REF!</definedName>
    <definedName name="Col24_Stat">#REF!</definedName>
    <definedName name="Col24_Stat_Name" localSheetId="0">#REF!</definedName>
    <definedName name="Col24_Stat_Name">#REF!</definedName>
    <definedName name="Col24_Unit" localSheetId="0">#REF!</definedName>
    <definedName name="Col24_Unit">#REF!</definedName>
    <definedName name="Col25_Name" localSheetId="0">#REF!</definedName>
    <definedName name="Col25_Name">#REF!</definedName>
    <definedName name="Col25_Stat" localSheetId="0">#REF!</definedName>
    <definedName name="Col25_Stat">#REF!</definedName>
    <definedName name="Col25_Stat_Name" localSheetId="0">#REF!</definedName>
    <definedName name="Col25_Stat_Name">#REF!</definedName>
    <definedName name="Col25_Unit" localSheetId="0">#REF!</definedName>
    <definedName name="Col25_Unit">#REF!</definedName>
    <definedName name="Col26_Name" localSheetId="0">#REF!</definedName>
    <definedName name="Col26_Name">#REF!</definedName>
    <definedName name="Col26_Stat" localSheetId="0">#REF!</definedName>
    <definedName name="Col26_Stat">#REF!</definedName>
    <definedName name="Col26_Stat_Name" localSheetId="0">#REF!</definedName>
    <definedName name="Col26_Stat_Name">#REF!</definedName>
    <definedName name="Col26_Unit" localSheetId="0">#REF!</definedName>
    <definedName name="Col26_Unit">#REF!</definedName>
    <definedName name="Col27_Name" localSheetId="0">#REF!</definedName>
    <definedName name="Col27_Name">#REF!</definedName>
    <definedName name="Col27_Stat" localSheetId="0">#REF!</definedName>
    <definedName name="Col27_Stat">#REF!</definedName>
    <definedName name="Col27_Stat_Name" localSheetId="0">#REF!</definedName>
    <definedName name="Col27_Stat_Name">#REF!</definedName>
    <definedName name="Col27_Unit" localSheetId="0">#REF!</definedName>
    <definedName name="Col27_Unit">#REF!</definedName>
    <definedName name="Col28_Name" localSheetId="0">#REF!</definedName>
    <definedName name="Col28_Name">#REF!</definedName>
    <definedName name="Col28_Stat" localSheetId="0">#REF!</definedName>
    <definedName name="Col28_Stat">#REF!</definedName>
    <definedName name="Col28_Stat_Name" localSheetId="0">#REF!</definedName>
    <definedName name="Col28_Stat_Name">#REF!</definedName>
    <definedName name="Col28_Unit" localSheetId="0">#REF!</definedName>
    <definedName name="Col28_Unit">#REF!</definedName>
    <definedName name="Col29_Name" localSheetId="0">#REF!</definedName>
    <definedName name="Col29_Name">#REF!</definedName>
    <definedName name="Col29_Stat" localSheetId="0">#REF!</definedName>
    <definedName name="Col29_Stat">#REF!</definedName>
    <definedName name="Col29_Stat_Name" localSheetId="0">#REF!</definedName>
    <definedName name="Col29_Stat_Name">#REF!</definedName>
    <definedName name="Col29_Unit" localSheetId="0">#REF!</definedName>
    <definedName name="Col29_Unit">#REF!</definedName>
    <definedName name="Col3_Name" localSheetId="0">#REF!</definedName>
    <definedName name="Col3_Name">#REF!</definedName>
    <definedName name="Col3_Stat" localSheetId="0">#REF!</definedName>
    <definedName name="Col3_Stat">#REF!</definedName>
    <definedName name="Col3_Stat_Name" localSheetId="0">#REF!</definedName>
    <definedName name="Col3_Stat_Name">#REF!</definedName>
    <definedName name="Col3_Unit" localSheetId="0">#REF!</definedName>
    <definedName name="Col3_Unit">#REF!</definedName>
    <definedName name="Col30_Name" localSheetId="0">#REF!</definedName>
    <definedName name="Col30_Name">#REF!</definedName>
    <definedName name="Col30_Stat" localSheetId="0">#REF!</definedName>
    <definedName name="Col30_Stat">#REF!</definedName>
    <definedName name="Col30_Stat_Name" localSheetId="0">#REF!</definedName>
    <definedName name="Col30_Stat_Name">#REF!</definedName>
    <definedName name="Col30_Unit" localSheetId="0">#REF!</definedName>
    <definedName name="Col30_Unit">#REF!</definedName>
    <definedName name="Col4_Name" localSheetId="0">#REF!</definedName>
    <definedName name="Col4_Name">#REF!</definedName>
    <definedName name="Col4_Stat" localSheetId="0">#REF!</definedName>
    <definedName name="Col4_Stat">#REF!</definedName>
    <definedName name="Col4_Stat_Name" localSheetId="0">#REF!</definedName>
    <definedName name="Col4_Stat_Name">#REF!</definedName>
    <definedName name="Col4_Unit" localSheetId="0">#REF!</definedName>
    <definedName name="Col4_Unit">#REF!</definedName>
    <definedName name="Col5_Name" localSheetId="0">#REF!</definedName>
    <definedName name="Col5_Name">#REF!</definedName>
    <definedName name="Col5_Stat" localSheetId="0">#REF!</definedName>
    <definedName name="Col5_Stat">#REF!</definedName>
    <definedName name="Col5_Stat_Name" localSheetId="0">#REF!</definedName>
    <definedName name="Col5_Stat_Name">#REF!</definedName>
    <definedName name="Col5_Unit" localSheetId="0">#REF!</definedName>
    <definedName name="Col5_Unit">#REF!</definedName>
    <definedName name="Col6_Name" localSheetId="0">#REF!</definedName>
    <definedName name="Col6_Name">#REF!</definedName>
    <definedName name="Col6_Stat" localSheetId="0">#REF!</definedName>
    <definedName name="Col6_Stat">#REF!</definedName>
    <definedName name="Col6_Stat_Name" localSheetId="0">#REF!</definedName>
    <definedName name="Col6_Stat_Name">#REF!</definedName>
    <definedName name="Col6_Unit" localSheetId="0">#REF!</definedName>
    <definedName name="Col6_Unit">#REF!</definedName>
    <definedName name="Col7_Name" localSheetId="0">#REF!</definedName>
    <definedName name="Col7_Name">#REF!</definedName>
    <definedName name="Col7_Stat" localSheetId="0">#REF!</definedName>
    <definedName name="Col7_Stat">#REF!</definedName>
    <definedName name="Col7_Stat_Name" localSheetId="0">#REF!</definedName>
    <definedName name="Col7_Stat_Name">#REF!</definedName>
    <definedName name="Col7_Unit" localSheetId="0">#REF!</definedName>
    <definedName name="Col7_Unit">#REF!</definedName>
    <definedName name="Col8_Name" localSheetId="0">#REF!</definedName>
    <definedName name="Col8_Name">#REF!</definedName>
    <definedName name="Col8_Stat" localSheetId="0">#REF!</definedName>
    <definedName name="Col8_Stat">#REF!</definedName>
    <definedName name="Col8_Stat_Name" localSheetId="0">#REF!</definedName>
    <definedName name="Col8_Stat_Name">#REF!</definedName>
    <definedName name="Col8_Unit" localSheetId="0">#REF!</definedName>
    <definedName name="Col8_Unit">#REF!</definedName>
    <definedName name="Col9_Name" localSheetId="0">#REF!</definedName>
    <definedName name="Col9_Name">#REF!</definedName>
    <definedName name="Col9_Stat" localSheetId="0">#REF!</definedName>
    <definedName name="Col9_Stat">#REF!</definedName>
    <definedName name="Col9_Stat_Name" localSheetId="0">#REF!</definedName>
    <definedName name="Col9_Stat_Name">#REF!</definedName>
    <definedName name="Col9_Unit" localSheetId="0">#REF!</definedName>
    <definedName name="Col9_Unit">#REF!</definedName>
    <definedName name="CommentColumn" localSheetId="0">!#REF!</definedName>
    <definedName name="CommentColumn">!#REF!</definedName>
    <definedName name="COMP_DETAILS" localSheetId="0">#REF!</definedName>
    <definedName name="COMP_DETAILS">#REF!</definedName>
    <definedName name="Compaction" localSheetId="0">#REF!</definedName>
    <definedName name="Compaction">#REF!</definedName>
    <definedName name="COMPLETION__DAYS" localSheetId="0">#REF!</definedName>
    <definedName name="COMPLETION__DAYS">#REF!</definedName>
    <definedName name="COMPOUND" localSheetId="0">#REF!</definedName>
    <definedName name="COMPOUND">#REF!</definedName>
    <definedName name="Compressive" localSheetId="0">#REF!</definedName>
    <definedName name="Compressive">#REF!</definedName>
    <definedName name="CompTime" localSheetId="0">#REF!</definedName>
    <definedName name="CompTime">#REF!</definedName>
    <definedName name="COMQUIP" localSheetId="0">#REF!</definedName>
    <definedName name="COMQUIP">#REF!</definedName>
    <definedName name="COMTOOLBOX" localSheetId="0">#REF!</definedName>
    <definedName name="COMTOOLBOX">#REF!</definedName>
    <definedName name="COND_CONN" localSheetId="0">#REF!</definedName>
    <definedName name="COND_CONN">#REF!</definedName>
    <definedName name="COND_GRD" localSheetId="0">#REF!</definedName>
    <definedName name="COND_GRD">#REF!</definedName>
    <definedName name="COND_VAL" localSheetId="0">#REF!</definedName>
    <definedName name="COND_VAL">#REF!</definedName>
    <definedName name="COND_WT" localSheetId="0">#REF!</definedName>
    <definedName name="COND_WT">#REF!</definedName>
    <definedName name="conductor" localSheetId="0">#REF!</definedName>
    <definedName name="conductor">#REF!</definedName>
    <definedName name="conical" localSheetId="0">#REF!</definedName>
    <definedName name="conical" localSheetId="1">#REF!</definedName>
    <definedName name="conical">#REF!</definedName>
    <definedName name="ConversionFactor">521.494</definedName>
    <definedName name="CoordinateReference" localSheetId="0">#REF!</definedName>
    <definedName name="CoordinateReference">#REF!</definedName>
    <definedName name="CoordinateSystem" localSheetId="0">#REF!</definedName>
    <definedName name="CoordinateSystem">#REF!</definedName>
    <definedName name="CORINGFTGE" localSheetId="0">#REF!</definedName>
    <definedName name="CORINGFTGE">#REF!</definedName>
    <definedName name="COST_CONTINGENCY" localSheetId="0">#REF!</definedName>
    <definedName name="COST_CONTINGENCY">#REF!</definedName>
    <definedName name="Coupls" localSheetId="0">#REF!</definedName>
    <definedName name="Coupls">#REF!</definedName>
    <definedName name="Credit" localSheetId="0">#REF!</definedName>
    <definedName name="Credit">#REF!</definedName>
    <definedName name="Credit_Check" localSheetId="0">#REF!</definedName>
    <definedName name="Credit_Check">#REF!</definedName>
    <definedName name="creeria1" localSheetId="0">#REF!</definedName>
    <definedName name="creeria1">#REF!</definedName>
    <definedName name="Crit">#REF!</definedName>
    <definedName name="csg" localSheetId="0">#REF!</definedName>
    <definedName name="csg">#REF!</definedName>
    <definedName name="Csg._Milling" localSheetId="0">#REF!</definedName>
    <definedName name="Csg._Milling">#REF!</definedName>
    <definedName name="csg_blank_ann_vol_factor" localSheetId="0">#REF!</definedName>
    <definedName name="csg_blank_ann_vol_factor">#REF!</definedName>
    <definedName name="CSG_COST_FR_TABLE" localSheetId="0">#REF!</definedName>
    <definedName name="CSG_COST_FR_TABLE">#REF!</definedName>
    <definedName name="Csg_ID" localSheetId="0">#REF!</definedName>
    <definedName name="Csg_ID">#REF!</definedName>
    <definedName name="CSG_LGTH" localSheetId="0">#REF!</definedName>
    <definedName name="CSG_LGTH">#REF!</definedName>
    <definedName name="CSG_MILL_NR" localSheetId="0">#REF!</definedName>
    <definedName name="CSG_MILL_NR">#REF!</definedName>
    <definedName name="CSG_OD" localSheetId="0">#REF!</definedName>
    <definedName name="CSG_OD">#REF!</definedName>
    <definedName name="csg_screen_ann_vol_factor" localSheetId="0">#REF!</definedName>
    <definedName name="csg_screen_ann_vol_factor">#REF!</definedName>
    <definedName name="CSG_SIZE" localSheetId="0">#REF!</definedName>
    <definedName name="CSG_SIZE">#REF!</definedName>
    <definedName name="Csg_Spear" localSheetId="0">#REF!</definedName>
    <definedName name="Csg_Spear">#REF!</definedName>
    <definedName name="CSG_VAL1" localSheetId="0">#REF!</definedName>
    <definedName name="CSG_VAL1">#REF!</definedName>
    <definedName name="CSG_VAL10" localSheetId="0">#REF!</definedName>
    <definedName name="CSG_VAL10">#REF!</definedName>
    <definedName name="CSG_VAL2" localSheetId="0">#REF!</definedName>
    <definedName name="CSG_VAL2">#REF!</definedName>
    <definedName name="CSG_VAL3" localSheetId="0">#REF!</definedName>
    <definedName name="CSG_VAL3">#REF!</definedName>
    <definedName name="CSG_VAL4" localSheetId="0">#REF!</definedName>
    <definedName name="CSG_VAL4">#REF!</definedName>
    <definedName name="CSG_VAL5" localSheetId="0">#REF!</definedName>
    <definedName name="CSG_VAL5">#REF!</definedName>
    <definedName name="CSG_VAL6" localSheetId="0">#REF!</definedName>
    <definedName name="CSG_VAL6">#REF!</definedName>
    <definedName name="CSG_VAL7" localSheetId="0">#REF!</definedName>
    <definedName name="CSG_VAL7">#REF!</definedName>
    <definedName name="CSG_VAL8" localSheetId="0">#REF!</definedName>
    <definedName name="CSG_VAL8">#REF!</definedName>
    <definedName name="CSG_VAL9" localSheetId="0">#REF!</definedName>
    <definedName name="CSG_VAL9">#REF!</definedName>
    <definedName name="CSG1_CONN" localSheetId="0">#REF!</definedName>
    <definedName name="CSG1_CONN">#REF!</definedName>
    <definedName name="CSG1_GRD" localSheetId="0">#REF!</definedName>
    <definedName name="CSG1_GRD">#REF!</definedName>
    <definedName name="CSG1_WT" localSheetId="0">#REF!</definedName>
    <definedName name="CSG1_WT">#REF!</definedName>
    <definedName name="CSG10_CONN" localSheetId="0">#REF!</definedName>
    <definedName name="CSG10_CONN">#REF!</definedName>
    <definedName name="CSG10_GRD" localSheetId="0">#REF!</definedName>
    <definedName name="CSG10_GRD">#REF!</definedName>
    <definedName name="CSG10_WT" localSheetId="0">#REF!</definedName>
    <definedName name="CSG10_WT">#REF!</definedName>
    <definedName name="CSG11_CONN" localSheetId="0">#REF!</definedName>
    <definedName name="CSG11_CONN">#REF!</definedName>
    <definedName name="CSG11_GRD" localSheetId="0">#REF!</definedName>
    <definedName name="CSG11_GRD">#REF!</definedName>
    <definedName name="CSG11_WT" localSheetId="0">#REF!</definedName>
    <definedName name="CSG11_WT">#REF!</definedName>
    <definedName name="CSG2_CONN" localSheetId="0">#REF!</definedName>
    <definedName name="CSG2_CONN">#REF!</definedName>
    <definedName name="CSG2_GRD" localSheetId="0">#REF!</definedName>
    <definedName name="CSG2_GRD">#REF!</definedName>
    <definedName name="CSG2_WT" localSheetId="0">#REF!</definedName>
    <definedName name="CSG2_WT">#REF!</definedName>
    <definedName name="CSG3_CONN" localSheetId="0">#REF!</definedName>
    <definedName name="CSG3_CONN">#REF!</definedName>
    <definedName name="CSG3_GRD" localSheetId="0">#REF!</definedName>
    <definedName name="CSG3_GRD">#REF!</definedName>
    <definedName name="CSG3_WT" localSheetId="0">#REF!</definedName>
    <definedName name="CSG3_WT">#REF!</definedName>
    <definedName name="CSG4_CONN" localSheetId="0">#REF!</definedName>
    <definedName name="CSG4_CONN">#REF!</definedName>
    <definedName name="CSG4_GRD" localSheetId="0">#REF!</definedName>
    <definedName name="CSG4_GRD">#REF!</definedName>
    <definedName name="CSG4_WT" localSheetId="0">#REF!</definedName>
    <definedName name="CSG4_WT">#REF!</definedName>
    <definedName name="CSG5_CONN" localSheetId="0">#REF!</definedName>
    <definedName name="CSG5_CONN">#REF!</definedName>
    <definedName name="CSG5_GRD" localSheetId="0">#REF!</definedName>
    <definedName name="CSG5_GRD">#REF!</definedName>
    <definedName name="CSG5_WT" localSheetId="0">#REF!</definedName>
    <definedName name="CSG5_WT">#REF!</definedName>
    <definedName name="CSG6_CONN" localSheetId="0">#REF!</definedName>
    <definedName name="CSG6_CONN">#REF!</definedName>
    <definedName name="CSG6_GRD" localSheetId="0">#REF!</definedName>
    <definedName name="CSG6_GRD">#REF!</definedName>
    <definedName name="CSG6_WT" localSheetId="0">#REF!</definedName>
    <definedName name="CSG6_WT">#REF!</definedName>
    <definedName name="CSG7_CONN" localSheetId="0">#REF!</definedName>
    <definedName name="CSG7_CONN">#REF!</definedName>
    <definedName name="CSG7_GRD" localSheetId="0">#REF!</definedName>
    <definedName name="CSG7_GRD">#REF!</definedName>
    <definedName name="CSG7_WT" localSheetId="0">#REF!</definedName>
    <definedName name="CSG7_WT">#REF!</definedName>
    <definedName name="CSG8_CONN" localSheetId="0">#REF!</definedName>
    <definedName name="CSG8_CONN">#REF!</definedName>
    <definedName name="CSG8_GRD" localSheetId="0">#REF!</definedName>
    <definedName name="CSG8_GRD">#REF!</definedName>
    <definedName name="CSG8_WT" localSheetId="0">#REF!</definedName>
    <definedName name="CSG8_WT">#REF!</definedName>
    <definedName name="CSG9_CONN" localSheetId="0">#REF!</definedName>
    <definedName name="CSG9_CONN">#REF!</definedName>
    <definedName name="CSG9_GRD" localSheetId="0">#REF!</definedName>
    <definedName name="CSG9_GRD">#REF!</definedName>
    <definedName name="CSG9_WT" localSheetId="0">#REF!</definedName>
    <definedName name="CSG9_WT">#REF!</definedName>
    <definedName name="CSGLINER" localSheetId="0">#REF!</definedName>
    <definedName name="CSGLINER">#REF!</definedName>
    <definedName name="d" localSheetId="0">#REF!</definedName>
    <definedName name="d">#REF!</definedName>
    <definedName name="D_I" localSheetId="0">#REF!</definedName>
    <definedName name="D_I">#REF!</definedName>
    <definedName name="D_t" localSheetId="0">#REF!</definedName>
    <definedName name="D_t">#REF!</definedName>
    <definedName name="D_t_pt" localSheetId="0">#REF!</definedName>
    <definedName name="D_t_pt">#REF!</definedName>
    <definedName name="D_t_te" localSheetId="0">#REF!</definedName>
    <definedName name="D_t_te">#REF!</definedName>
    <definedName name="D_t_yp" localSheetId="0">#REF!</definedName>
    <definedName name="D_t_yp">#REF!</definedName>
    <definedName name="DAD">#N/A</definedName>
    <definedName name="DADAA">#N/A</definedName>
    <definedName name="DAEFF">#N/A</definedName>
    <definedName name="Daily_Rental" localSheetId="0">#REF!</definedName>
    <definedName name="Daily_Rental">#REF!</definedName>
    <definedName name="DATA1" localSheetId="0">#REF!</definedName>
    <definedName name="DATA1">#REF!</definedName>
    <definedName name="DATA10" localSheetId="0">#REF!</definedName>
    <definedName name="DATA10">#REF!</definedName>
    <definedName name="DATA11" localSheetId="0">#REF!</definedName>
    <definedName name="DATA11">#REF!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 localSheetId="0">#REF!</definedName>
    <definedName name="DATA15">#REF!</definedName>
    <definedName name="DATA16" localSheetId="0">#REF!</definedName>
    <definedName name="DATA16">#REF!</definedName>
    <definedName name="DATA17" localSheetId="0">#REF!</definedName>
    <definedName name="DATA17">#REF!</definedName>
    <definedName name="DATA18" localSheetId="0">#REF!</definedName>
    <definedName name="DATA18">#REF!</definedName>
    <definedName name="DATA2" localSheetId="0">#REF!</definedName>
    <definedName name="DATA2">#REF!</definedName>
    <definedName name="DATA24" localSheetId="0">#REF!</definedName>
    <definedName name="DATA24">#REF!</definedName>
    <definedName name="DATA25" localSheetId="0">#REF!</definedName>
    <definedName name="DATA25">#REF!</definedName>
    <definedName name="DATA26" localSheetId="0">#REF!</definedName>
    <definedName name="DATA26">#REF!</definedName>
    <definedName name="DATA27" localSheetId="0">#REF!</definedName>
    <definedName name="DATA27">#REF!</definedName>
    <definedName name="DATA28" localSheetId="0">#REF!</definedName>
    <definedName name="DATA28">#REF!</definedName>
    <definedName name="DATA29" localSheetId="0">#REF!</definedName>
    <definedName name="DATA29">#REF!</definedName>
    <definedName name="DATA3" localSheetId="0">#REF!</definedName>
    <definedName name="DATA3">#REF!</definedName>
    <definedName name="DATA30" localSheetId="0">#REF!</definedName>
    <definedName name="DATA30">#REF!</definedName>
    <definedName name="DATA31" localSheetId="0">#REF!</definedName>
    <definedName name="DATA31">#REF!</definedName>
    <definedName name="DATA32" localSheetId="0">#REF!</definedName>
    <definedName name="DATA32">#REF!</definedName>
    <definedName name="DATA33" localSheetId="0">#REF!</definedName>
    <definedName name="DATA33">#REF!</definedName>
    <definedName name="DATA34" localSheetId="0">#REF!</definedName>
    <definedName name="DATA34">#REF!</definedName>
    <definedName name="DATA35" localSheetId="0">#REF!</definedName>
    <definedName name="DATA35">#REF!</definedName>
    <definedName name="DATA36" localSheetId="0">#REF!</definedName>
    <definedName name="DATA36">#REF!</definedName>
    <definedName name="DATA4" localSheetId="0">#REF!</definedName>
    <definedName name="DATA4">#REF!</definedName>
    <definedName name="DATA5" localSheetId="0">#REF!</definedName>
    <definedName name="DATA5">#REF!</definedName>
    <definedName name="DATA6" localSheetId="0">#REF!</definedName>
    <definedName name="DATA6">#REF!</definedName>
    <definedName name="DATA7" localSheetId="0">#REF!</definedName>
    <definedName name="DATA7">#REF!</definedName>
    <definedName name="DATA8" localSheetId="0">#REF!</definedName>
    <definedName name="DATA8">#REF!</definedName>
    <definedName name="DATA9" localSheetId="0">#REF!</definedName>
    <definedName name="DATA9">#REF!</definedName>
    <definedName name="DataStart" localSheetId="0">!#REF!</definedName>
    <definedName name="DataStart">!#REF!</definedName>
    <definedName name="Date" localSheetId="0">#REF!</definedName>
    <definedName name="Date">#REF!</definedName>
    <definedName name="Datum" localSheetId="0">#REF!</definedName>
    <definedName name="Datum">#REF!</definedName>
    <definedName name="DB" localSheetId="0">#REF!</definedName>
    <definedName name="DB">#REF!</definedName>
    <definedName name="dc1botcsg" localSheetId="0">#REF!</definedName>
    <definedName name="dc1botcsg">#REF!</definedName>
    <definedName name="dc1botcsgnoliner" localSheetId="0">#REF!</definedName>
    <definedName name="dc1botcsgnoliner">#REF!</definedName>
    <definedName name="dc1csg" localSheetId="0">#REF!</definedName>
    <definedName name="dc1csg">#REF!</definedName>
    <definedName name="dc1liner" localSheetId="0">#REF!</definedName>
    <definedName name="dc1liner">#REF!</definedName>
    <definedName name="dc1long" localSheetId="0">#REF!</definedName>
    <definedName name="dc1long">#REF!</definedName>
    <definedName name="dc1oh" localSheetId="0">#REF!</definedName>
    <definedName name="dc1oh">#REF!</definedName>
    <definedName name="dc2botcsg" localSheetId="0">#REF!</definedName>
    <definedName name="dc2botcsg">#REF!</definedName>
    <definedName name="dc2csg" localSheetId="0">#REF!</definedName>
    <definedName name="dc2csg">#REF!</definedName>
    <definedName name="dc2liner" localSheetId="0">#REF!</definedName>
    <definedName name="dc2liner">#REF!</definedName>
    <definedName name="dc2long" localSheetId="0">#REF!</definedName>
    <definedName name="dc2long">#REF!</definedName>
    <definedName name="dc2oh" localSheetId="0">#REF!</definedName>
    <definedName name="dc2oh">#REF!</definedName>
    <definedName name="dd" localSheetId="0">#REF!</definedName>
    <definedName name="dd">#REF!</definedName>
    <definedName name="Dd1_Name" localSheetId="0">#REF!</definedName>
    <definedName name="Dd1_Name">#REF!</definedName>
    <definedName name="Dd2_Name" localSheetId="0">#REF!</definedName>
    <definedName name="Dd2_Name">#REF!</definedName>
    <definedName name="decdhm">#REF!</definedName>
    <definedName name="decdlr">#REF!</definedName>
    <definedName name="decfrc">#REF!</definedName>
    <definedName name="DECK_TALLY" localSheetId="0">#REF!</definedName>
    <definedName name="DECK_TALLY">#REF!</definedName>
    <definedName name="deck1034" localSheetId="0">#REF!</definedName>
    <definedName name="deck1034">#REF!</definedName>
    <definedName name="decpnd">#REF!</definedName>
    <definedName name="decrl">#REF!</definedName>
    <definedName name="decrup">#REF!</definedName>
    <definedName name="decrupees">#REF!</definedName>
    <definedName name="deg" localSheetId="0">#REF!</definedName>
    <definedName name="deg">#REF!</definedName>
    <definedName name="Delay" localSheetId="0">#REF!</definedName>
    <definedName name="Delay">#REF!</definedName>
    <definedName name="DelayDual1" localSheetId="0">#REF!</definedName>
    <definedName name="DelayDual1">#REF!</definedName>
    <definedName name="DelayDual2" localSheetId="0">#REF!</definedName>
    <definedName name="DelayDual2">#REF!</definedName>
    <definedName name="delete">#N/A</definedName>
    <definedName name="Delete_Comment" localSheetId="0">#REF!</definedName>
    <definedName name="Delete_Comment">#REF!</definedName>
    <definedName name="DensSandkgl">1*0.1198264</definedName>
    <definedName name="depth" localSheetId="0">#REF!</definedName>
    <definedName name="depth">#REF!</definedName>
    <definedName name="Depth_In" localSheetId="0">#REF!</definedName>
    <definedName name="Depth_In">#REF!</definedName>
    <definedName name="Depth_Out" localSheetId="0">#REF!</definedName>
    <definedName name="Depth_Out">#REF!</definedName>
    <definedName name="DEQ">#N/A</definedName>
    <definedName name="df" localSheetId="0">#REF!</definedName>
    <definedName name="df">#REF!</definedName>
    <definedName name="DFE" localSheetId="0">#REF!</definedName>
    <definedName name="DFE">#REF!</definedName>
    <definedName name="DIP" localSheetId="0">#REF!</definedName>
    <definedName name="DIP">#REF!</definedName>
    <definedName name="DipAngle" localSheetId="0">#REF!</definedName>
    <definedName name="DipAngle">#REF!</definedName>
    <definedName name="Dist_Orient_Mode_1" localSheetId="0">#REF!</definedName>
    <definedName name="Dist_Orient_Mode_1">#REF!</definedName>
    <definedName name="Dist_Orient_Mode_1_Name" localSheetId="0">#REF!</definedName>
    <definedName name="Dist_Orient_Mode_1_Name">#REF!</definedName>
    <definedName name="Dist_Orient_Mode_2" localSheetId="0">#REF!</definedName>
    <definedName name="Dist_Orient_Mode_2">#REF!</definedName>
    <definedName name="Dist_Orient_Mode_2_Name" localSheetId="0">#REF!</definedName>
    <definedName name="Dist_Orient_Mode_2_Name">#REF!</definedName>
    <definedName name="Distance" localSheetId="0">#REF!</definedName>
    <definedName name="Distance">#REF!</definedName>
    <definedName name="dlr_pnd" localSheetId="0">#REF!</definedName>
    <definedName name="dlr_pnd">#REF!</definedName>
    <definedName name="DLS" localSheetId="0">!#REF!</definedName>
    <definedName name="DLS">!#REF!</definedName>
    <definedName name="DLS_Column" localSheetId="0">!#REF!</definedName>
    <definedName name="DLS_Column">!#REF!</definedName>
    <definedName name="DLS_CompMethod" localSheetId="0">#REF!</definedName>
    <definedName name="DLS_CompMethod">#REF!</definedName>
    <definedName name="DLS_CompmMethod1" localSheetId="0">#REF!</definedName>
    <definedName name="DLS_CompmMethod1">#REF!</definedName>
    <definedName name="DLS_Unit" localSheetId="0">#REF!</definedName>
    <definedName name="DLS_Unit">#REF!</definedName>
    <definedName name="DP" localSheetId="0">#REF!</definedName>
    <definedName name="DP">#REF!</definedName>
    <definedName name="DP_ID" localSheetId="0">#REF!</definedName>
    <definedName name="DP_ID">#REF!</definedName>
    <definedName name="DP_LGTH" localSheetId="0">#REF!</definedName>
    <definedName name="DP_LGTH">#REF!</definedName>
    <definedName name="DP_OD" localSheetId="0">#REF!</definedName>
    <definedName name="DP_OD">#REF!</definedName>
    <definedName name="dp1botcsg" localSheetId="0">#REF!</definedName>
    <definedName name="dp1botcsg">#REF!</definedName>
    <definedName name="dp1long" localSheetId="0">#REF!</definedName>
    <definedName name="dp1long">#REF!</definedName>
    <definedName name="dp1oh" localSheetId="0">#REF!</definedName>
    <definedName name="dp1oh">#REF!</definedName>
    <definedName name="dp1riser" localSheetId="0">#REF!</definedName>
    <definedName name="dp1riser">#REF!</definedName>
    <definedName name="dp1rkb" localSheetId="0">#REF!</definedName>
    <definedName name="dp1rkb">#REF!</definedName>
    <definedName name="dp1topcsg" localSheetId="0">#REF!</definedName>
    <definedName name="dp1topcsg">#REF!</definedName>
    <definedName name="dp2botcsg" localSheetId="0">#REF!</definedName>
    <definedName name="dp2botcsg">#REF!</definedName>
    <definedName name="dp2long" localSheetId="0">#REF!</definedName>
    <definedName name="dp2long">#REF!</definedName>
    <definedName name="dp2oh" localSheetId="0">#REF!</definedName>
    <definedName name="dp2oh">#REF!</definedName>
    <definedName name="dp2topcsg" localSheetId="0">#REF!</definedName>
    <definedName name="dp2topcsg">#REF!</definedName>
    <definedName name="dp3botcsgliner" localSheetId="0">#REF!</definedName>
    <definedName name="dp3botcsgliner">#REF!</definedName>
    <definedName name="dp3botcsgnoliner" localSheetId="0">#REF!</definedName>
    <definedName name="dp3botcsgnoliner">#REF!</definedName>
    <definedName name="dp3csg" localSheetId="0">#REF!</definedName>
    <definedName name="dp3csg">#REF!</definedName>
    <definedName name="dp3liner" localSheetId="0">#REF!</definedName>
    <definedName name="dp3liner">#REF!</definedName>
    <definedName name="dp3long" localSheetId="0">#REF!</definedName>
    <definedName name="dp3long">#REF!</definedName>
    <definedName name="dp3max" localSheetId="0">#REF!</definedName>
    <definedName name="dp3max">#REF!</definedName>
    <definedName name="dp3oh" localSheetId="0">#REF!</definedName>
    <definedName name="dp3oh">#REF!</definedName>
    <definedName name="dp3topcsg" localSheetId="0">#REF!</definedName>
    <definedName name="dp3topcsg">#REF!</definedName>
    <definedName name="draw_blanks">#N/A</definedName>
    <definedName name="draw_linerfirst">#N/A</definedName>
    <definedName name="draw_linersecond">#N/A</definedName>
    <definedName name="draw_miscellaneous">#N/A</definedName>
    <definedName name="draw_productionfirst">#N/A</definedName>
    <definedName name="draw_productionsecond">#N/A</definedName>
    <definedName name="draw_quantum">#N/A</definedName>
    <definedName name="draw_screens">#N/A</definedName>
    <definedName name="draw_shearsubs">#N/A</definedName>
    <definedName name="draw_sump">#N/A</definedName>
    <definedName name="drawblanks">#N/A</definedName>
    <definedName name="drawlinerfirst">#N/A</definedName>
    <definedName name="drawlinersecond">#N/A</definedName>
    <definedName name="drawmiscellaneous">#N/A</definedName>
    <definedName name="drawproductionfirst">#N/A</definedName>
    <definedName name="drawproductionsecond">#N/A</definedName>
    <definedName name="drawquantum">#N/A</definedName>
    <definedName name="drawscreens">#N/A</definedName>
    <definedName name="drawshearsubs">#N/A</definedName>
    <definedName name="drawsump">#N/A</definedName>
    <definedName name="DRILLING__DAYS" localSheetId="0">#REF!</definedName>
    <definedName name="DRILLING__DAYS">#REF!</definedName>
    <definedName name="DrillSiteOrWellPad" localSheetId="0">#REF!</definedName>
    <definedName name="DrillSiteOrWellPad">#REF!</definedName>
    <definedName name="DrlgTime" localSheetId="0">#REF!</definedName>
    <definedName name="DrlgTime">#REF!</definedName>
    <definedName name="DSAFSAFAS">#N/A</definedName>
    <definedName name="DualTally" localSheetId="0">#REF!</definedName>
    <definedName name="DualTally">#REF!</definedName>
    <definedName name="E" localSheetId="0">#REF!</definedName>
    <definedName name="E">#REF!</definedName>
    <definedName name="Easting" localSheetId="0">!#REF!</definedName>
    <definedName name="Easting">!#REF!</definedName>
    <definedName name="EastingColumn" localSheetId="0">!#REF!</definedName>
    <definedName name="EastingColumn">!#REF!</definedName>
    <definedName name="EastingUnit" localSheetId="0">#REF!</definedName>
    <definedName name="EastingUnit">#REF!</definedName>
    <definedName name="ECP_COST" localSheetId="0">#REF!</definedName>
    <definedName name="ECP_COST">#REF!</definedName>
    <definedName name="ECP_COST_FR_TABLE" localSheetId="0">#REF!</definedName>
    <definedName name="ECP_COST_FR_TABLE">#REF!</definedName>
    <definedName name="ECP_LENGTH" localSheetId="0">#REF!</definedName>
    <definedName name="ECP_LENGTH">#REF!</definedName>
    <definedName name="ECP_SIZE" localSheetId="0">#REF!</definedName>
    <definedName name="ECP_SIZE">#REF!</definedName>
    <definedName name="EEE">#REF!</definedName>
    <definedName name="EEEE" localSheetId="0">#REF!</definedName>
    <definedName name="EEEE">#REF!</definedName>
    <definedName name="EJYETYJEJ">#N/A</definedName>
    <definedName name="EKIKO2" localSheetId="0">#REF!</definedName>
    <definedName name="EKIKO2">#REF!</definedName>
    <definedName name="Elast" localSheetId="0">#REF!</definedName>
    <definedName name="Elast">#REF!</definedName>
    <definedName name="Elast2" localSheetId="0">#REF!</definedName>
    <definedName name="Elast2">#REF!</definedName>
    <definedName name="Elastomer_Material" localSheetId="0">#REF!</definedName>
    <definedName name="Elastomer_Material">#REF!</definedName>
    <definedName name="Elevation" localSheetId="0">#REF!</definedName>
    <definedName name="Elevation">#REF!</definedName>
    <definedName name="ElevationReference" localSheetId="0">#REF!</definedName>
    <definedName name="ElevationReference">#REF!</definedName>
    <definedName name="ellfile" localSheetId="0">#REF!</definedName>
    <definedName name="ellfile">#REF!</definedName>
    <definedName name="EMS" localSheetId="0">#REF!</definedName>
    <definedName name="EMS">#REF!</definedName>
    <definedName name="EST._DAYS" localSheetId="0">#REF!</definedName>
    <definedName name="EST._DAYS">#REF!</definedName>
    <definedName name="EvalTime" localSheetId="0">#REF!</definedName>
    <definedName name="EvalTime">#REF!</definedName>
    <definedName name="EVALUATION__DAYS" localSheetId="0">#REF!</definedName>
    <definedName name="EVALUATION__DAYS">#REF!</definedName>
    <definedName name="EW" localSheetId="0">!#REF!</definedName>
    <definedName name="EW">!#REF!</definedName>
    <definedName name="EW_Column" localSheetId="0">!#REF!</definedName>
    <definedName name="EW_Column">!#REF!</definedName>
    <definedName name="EW_Unit" localSheetId="0">#REF!</definedName>
    <definedName name="EW_Unit">#REF!</definedName>
    <definedName name="ex" localSheetId="0">#REF!</definedName>
    <definedName name="ex">#REF!</definedName>
    <definedName name="Excess" localSheetId="0">#REF!</definedName>
    <definedName name="Excess">#REF!</definedName>
    <definedName name="Excess1" localSheetId="0">#REF!</definedName>
    <definedName name="Excess1">#REF!</definedName>
    <definedName name="EXTERNAL_CSG_CUT" localSheetId="0">#REF!</definedName>
    <definedName name="EXTERNAL_CSG_CUT">#REF!</definedName>
    <definedName name="EXTERNAL_CUT_NR" localSheetId="0">#REF!</definedName>
    <definedName name="EXTERNAL_CUT_NR">#REF!</definedName>
    <definedName name="Extra" localSheetId="0">#REF!</definedName>
    <definedName name="Extra">#REF!</definedName>
    <definedName name="F">#REF!</definedName>
    <definedName name="februpees">#REF!</definedName>
    <definedName name="FEWFW">#N/A</definedName>
    <definedName name="fff">#N/A</definedName>
    <definedName name="Field" localSheetId="0">#REF!</definedName>
    <definedName name="Field">#REF!</definedName>
    <definedName name="FieldName" localSheetId="0">#REF!</definedName>
    <definedName name="FieldName">#REF!</definedName>
    <definedName name="FieldStrength" localSheetId="0">#REF!</definedName>
    <definedName name="FieldStrength">#REF!</definedName>
    <definedName name="Final_Joblog" localSheetId="0">#REF!</definedName>
    <definedName name="Final_Joblog">#REF!</definedName>
    <definedName name="fiveandahalfdp">#REF!</definedName>
    <definedName name="FiveSevenEightDP">#REF!</definedName>
    <definedName name="FJNDEF">#N/A</definedName>
    <definedName name="flow" localSheetId="0">#REF!</definedName>
    <definedName name="flow">#REF!</definedName>
    <definedName name="FluidDens" localSheetId="0">#REF!</definedName>
    <definedName name="FluidDens">#REF!</definedName>
    <definedName name="FMT_Pressure_Point" localSheetId="0">#REF!</definedName>
    <definedName name="FMT_Pressure_Point">#REF!</definedName>
    <definedName name="FMT_Segregated_Sample" localSheetId="0">#REF!</definedName>
    <definedName name="FMT_Segregated_Sample">#REF!</definedName>
    <definedName name="FMT_Single_Sample" localSheetId="0">#REF!</definedName>
    <definedName name="FMT_Single_Sample">#REF!</definedName>
    <definedName name="FOOTAGE_DRILLED" localSheetId="0">#REF!</definedName>
    <definedName name="FOOTAGE_DRILLED">#REF!</definedName>
    <definedName name="Formation" localSheetId="0">#REF!</definedName>
    <definedName name="Formation">#REF!</definedName>
    <definedName name="fourDP">#REF!</definedName>
    <definedName name="FROM___HSHASSA__Ext_4481" localSheetId="0">#REF!</definedName>
    <definedName name="FROM___HSHASSA__Ext_4481">#REF!</definedName>
    <definedName name="FTGEDRILLED" localSheetId="0">#REF!</definedName>
    <definedName name="FTGEDRILLED">#REF!</definedName>
    <definedName name="FWtol" localSheetId="0">#REF!</definedName>
    <definedName name="FWtol">#REF!</definedName>
    <definedName name="G" localSheetId="0">#REF!</definedName>
    <definedName name="G">#REF!</definedName>
    <definedName name="gas" localSheetId="0">#REF!</definedName>
    <definedName name="gas">#REF!</definedName>
    <definedName name="gas_cumm" localSheetId="0">#REF!</definedName>
    <definedName name="gas_cumm">#REF!</definedName>
    <definedName name="gas_time" localSheetId="0">#REF!</definedName>
    <definedName name="gas_time">#REF!</definedName>
    <definedName name="gasrate" localSheetId="0">#REF!</definedName>
    <definedName name="gasrate">#REF!</definedName>
    <definedName name="gdsg" hidden="1">#REF!</definedName>
    <definedName name="GEN_DATA" localSheetId="0">#REF!,#REF!</definedName>
    <definedName name="GEN_DATA">#REF!,#REF!</definedName>
    <definedName name="GEN_DATA_PASTE" localSheetId="0">#REF!</definedName>
    <definedName name="GEN_DATA_PASTE">#REF!</definedName>
    <definedName name="GeodeticLocation" localSheetId="0">#REF!</definedName>
    <definedName name="GeodeticLocation">#REF!</definedName>
    <definedName name="GGGR">#N/A</definedName>
    <definedName name="gh">#REF!</definedName>
    <definedName name="GMS" localSheetId="0">#REF!</definedName>
    <definedName name="GMS">#REF!</definedName>
    <definedName name="gor" localSheetId="0">#REF!</definedName>
    <definedName name="gor">#REF!</definedName>
    <definedName name="gpd" localSheetId="0">IF(UPPER('RIH-DRAFT'!UseBulkWeightPor)="Y",'RIH-DRAFT'!GravelDensityPorosity,'RIH-DRAFT'!GravelDensityRedBook)</definedName>
    <definedName name="gpd">IF(UPPER(UseBulkWeightPor)="Y",GravelDensityPorosity,GravelDensityRedBook)</definedName>
    <definedName name="GpParts">#REF!</definedName>
    <definedName name="GQGQ">#N/A</definedName>
    <definedName name="GQQ">#N/A</definedName>
    <definedName name="gravden" localSheetId="0">IF(UPPER(#REF!)="Y",#REF!,#REF!)</definedName>
    <definedName name="gravden">IF(UPPER(#REF!)="Y",#REF!,#REF!)</definedName>
    <definedName name="gravden1">#N/A</definedName>
    <definedName name="GravelDensity" localSheetId="0">IF(UPPER('RIH-DRAFT'!UseBulkWeightPor)="Y",'RIH-DRAFT'!GravelDensityPorosity,'RIH-DRAFT'!GravelDensityRedBook)</definedName>
    <definedName name="GravelDensity">IF(UPPER(UseBulkWeightPor)="Y",GravelDensityPorosity,GravelDensityRedBook)</definedName>
    <definedName name="GravelDensityPorosity" localSheetId="0">#REF!</definedName>
    <definedName name="GravelDensityPorosity">#REF!</definedName>
    <definedName name="GravelDensityRedBook" localSheetId="0">#REF!</definedName>
    <definedName name="GravelDensityRedBook">#REF!</definedName>
    <definedName name="GridConvergence" localSheetId="0">#REF!</definedName>
    <definedName name="GridConvergence">#REF!</definedName>
    <definedName name="GridLocation" localSheetId="0">#REF!</definedName>
    <definedName name="GridLocation">#REF!</definedName>
    <definedName name="GroundLevelElevation" localSheetId="0">#REF!</definedName>
    <definedName name="GroundLevelElevation">#REF!</definedName>
    <definedName name="GRQ">#N/A</definedName>
    <definedName name="GSS" localSheetId="0">#REF!</definedName>
    <definedName name="GSS">#REF!</definedName>
    <definedName name="GUB24SECWELL" hidden="1">#REF!</definedName>
    <definedName name="GudCont" localSheetId="0">#REF!</definedName>
    <definedName name="GudCont">#REF!</definedName>
    <definedName name="GUN" localSheetId="0">#REF!</definedName>
    <definedName name="GUN">#REF!</definedName>
    <definedName name="GWS">#N/A</definedName>
    <definedName name="h">#REF!</definedName>
    <definedName name="HCTEJCH" localSheetId="0">#REF!</definedName>
    <definedName name="HCTEJCH">#REF!</definedName>
    <definedName name="HEXDIP" localSheetId="0">#REF!</definedName>
    <definedName name="HEXDIP">#REF!</definedName>
    <definedName name="HGF" localSheetId="0">#REF!</definedName>
    <definedName name="HGF">#REF!</definedName>
    <definedName name="hgh" hidden="1">#REF!</definedName>
    <definedName name="hh" localSheetId="0">#REF!</definedName>
    <definedName name="hh">#REF!</definedName>
    <definedName name="HIDDEN_FPMV" localSheetId="0">#REF!</definedName>
    <definedName name="HIDDEN_FPMV">#REF!</definedName>
    <definedName name="hj">#REF!</definedName>
    <definedName name="hn">#REF!</definedName>
    <definedName name="HOLE_SIZE" localSheetId="0">#REF!</definedName>
    <definedName name="HOLE_SIZE">#REF!</definedName>
    <definedName name="HOLE_SIZE_OPTION" localSheetId="0">#REF!</definedName>
    <definedName name="HOLE_SIZE_OPTION">#REF!</definedName>
    <definedName name="HoleSizeValList" localSheetId="0">#REF!</definedName>
    <definedName name="HoleSizeValList">#REF!</definedName>
    <definedName name="hwbotcsgliner" localSheetId="0">#REF!</definedName>
    <definedName name="hwbotcsgliner">#REF!</definedName>
    <definedName name="hwbotcsgnoliner" localSheetId="0">#REF!</definedName>
    <definedName name="hwbotcsgnoliner">#REF!</definedName>
    <definedName name="hwcsg" localSheetId="0">#REF!</definedName>
    <definedName name="hwcsg">#REF!</definedName>
    <definedName name="hwdp">#REF!</definedName>
    <definedName name="hwliner" localSheetId="0">#REF!</definedName>
    <definedName name="hwliner">#REF!</definedName>
    <definedName name="hwlong" localSheetId="0">#REF!</definedName>
    <definedName name="hwlong">#REF!</definedName>
    <definedName name="hwmax" localSheetId="0">#REF!</definedName>
    <definedName name="hwmax">#REF!</definedName>
    <definedName name="hwoh" localSheetId="0">#REF!</definedName>
    <definedName name="hwoh">#REF!</definedName>
    <definedName name="HWU_CWR" localSheetId="0">#REF!</definedName>
    <definedName name="HWU_CWR">#REF!</definedName>
    <definedName name="HYDRIL_521_BOX_x_N_VAM_PIN">#REF!</definedName>
    <definedName name="HYDRIL_521_M_U_LOSS">#REF!</definedName>
    <definedName name="I" localSheetId="0">#REF!</definedName>
    <definedName name="I">#REF!</definedName>
    <definedName name="ID" localSheetId="0">#REF!</definedName>
    <definedName name="ID">#REF!</definedName>
    <definedName name="ik" localSheetId="0">#REF!</definedName>
    <definedName name="ik">#REF!</definedName>
    <definedName name="IN_SMITH_LINER_BASKET">#REF!</definedName>
    <definedName name="InclColumn" localSheetId="0">!#REF!</definedName>
    <definedName name="InclColumn">!#REF!</definedName>
    <definedName name="Inclination_In" localSheetId="0">#REF!</definedName>
    <definedName name="Inclination_In">#REF!</definedName>
    <definedName name="Inclination_Out" localSheetId="0">#REF!</definedName>
    <definedName name="Inclination_Out">#REF!</definedName>
    <definedName name="INPUT_ACCESS_COST" localSheetId="0">#REF!</definedName>
    <definedName name="INPUT_ACCESS_COST">#REF!</definedName>
    <definedName name="INPUT_CSG_COST" localSheetId="0">#REF!</definedName>
    <definedName name="INPUT_CSG_COST">#REF!</definedName>
    <definedName name="INPUT_ECP_COST" localSheetId="0">#REF!</definedName>
    <definedName name="INPUT_ECP_COST">#REF!</definedName>
    <definedName name="INPUT_MUD_COST" localSheetId="0">#REF!</definedName>
    <definedName name="INPUT_MUD_COST">#REF!</definedName>
    <definedName name="INPUT_RIG_COST" localSheetId="0">#REF!</definedName>
    <definedName name="INPUT_RIG_COST">#REF!</definedName>
    <definedName name="INPUT_SHOE_DEPTH" localSheetId="0">#REF!</definedName>
    <definedName name="INPUT_SHOE_DEPTH">#REF!</definedName>
    <definedName name="INPUT_TBG1_COST" localSheetId="0">#REF!</definedName>
    <definedName name="INPUT_TBG1_COST">#REF!</definedName>
    <definedName name="INPUT_TBG2_COST" localSheetId="0">#REF!</definedName>
    <definedName name="INPUT_TBG2_COST">#REF!</definedName>
    <definedName name="INPUT_WH_COST" localSheetId="0">#REF!</definedName>
    <definedName name="INPUT_WH_COST">#REF!</definedName>
    <definedName name="INPUT_WWS_COST" localSheetId="0">#REF!</definedName>
    <definedName name="INPUT_WWS_COST">#REF!</definedName>
    <definedName name="INPUT_XMASTREE_COST" localSheetId="0">#REF!</definedName>
    <definedName name="INPUT_XMASTREE_COST">#REF!</definedName>
    <definedName name="InputShoeDepth" localSheetId="0">#REF!</definedName>
    <definedName name="InputShoeDepth">#REF!</definedName>
    <definedName name="Insert_Comment" localSheetId="0">#REF!</definedName>
    <definedName name="Insert_Comment">#REF!</definedName>
    <definedName name="INTERNAL_CSG_CUT" localSheetId="0">#REF!</definedName>
    <definedName name="INTERNAL_CSG_CUT">#REF!</definedName>
    <definedName name="INTERNAL_CUT_NR" localSheetId="0">#REF!</definedName>
    <definedName name="INTERNAL_CUT_NR">#REF!</definedName>
    <definedName name="Issue">#REF!</definedName>
    <definedName name="J" localSheetId="0" hidden="1">#REF!</definedName>
    <definedName name="J" hidden="1">#REF!</definedName>
    <definedName name="janrupees">#REF!</definedName>
    <definedName name="JEYJD">#N/A</definedName>
    <definedName name="Job_Number" localSheetId="0">#REF!</definedName>
    <definedName name="Job_Number">#REF!</definedName>
    <definedName name="Joint">#REF!</definedName>
    <definedName name="JOYCE" localSheetId="0" hidden="1">#REF!</definedName>
    <definedName name="JOYCE" hidden="1">#REF!</definedName>
    <definedName name="JRJTRJT">#N/A</definedName>
    <definedName name="JTNFN">#N/A</definedName>
    <definedName name="JUNK_MILL" localSheetId="0">#REF!</definedName>
    <definedName name="JUNK_MILL">#REF!</definedName>
    <definedName name="k" localSheetId="0" hidden="1">#REF!</definedName>
    <definedName name="k" hidden="1">#REF!</definedName>
    <definedName name="K_1" localSheetId="0">#REF!</definedName>
    <definedName name="K_1">#REF!</definedName>
    <definedName name="K_2" localSheetId="0">#REF!</definedName>
    <definedName name="K_2">#REF!</definedName>
    <definedName name="K_Dual" localSheetId="0">#REF!</definedName>
    <definedName name="K_Dual">#REF!</definedName>
    <definedName name="KB">#REF!</definedName>
    <definedName name="KD" localSheetId="0">#REF!</definedName>
    <definedName name="KD">#REF!</definedName>
    <definedName name="KLJHCGXGHX.CVVJBKLCGXGHKVJVB" localSheetId="0">#REF!</definedName>
    <definedName name="KLJHCGXGHX.CVVJBKLCGXGHKVJVB">#REF!</definedName>
    <definedName name="KRR">#N/A</definedName>
    <definedName name="KUYUKR">#N/A</definedName>
    <definedName name="L" localSheetId="0">#REF!</definedName>
    <definedName name="L">#REF!</definedName>
    <definedName name="LatColumn" localSheetId="0">!#REF!</definedName>
    <definedName name="LatColumn">!#REF!</definedName>
    <definedName name="LBD_File_Name" localSheetId="0">#REF!</definedName>
    <definedName name="LBD_File_Name">#REF!</definedName>
    <definedName name="Length" localSheetId="0">#REF!</definedName>
    <definedName name="Length">#REF!</definedName>
    <definedName name="LENGTH_TBG1" localSheetId="0">#REF!</definedName>
    <definedName name="LENGTH_TBG1">#REF!</definedName>
    <definedName name="LENGTH_TBG2" localSheetId="0">#REF!</definedName>
    <definedName name="LENGTH_TBG2">#REF!</definedName>
    <definedName name="LengthBlankPilot" localSheetId="0">#REF!</definedName>
    <definedName name="LengthBlankPilot">#REF!</definedName>
    <definedName name="LengthBlankUnder" localSheetId="0">#REF!</definedName>
    <definedName name="LengthBlankUnder">#REF!</definedName>
    <definedName name="LengthUR" localSheetId="0">#REF!</definedName>
    <definedName name="LengthUR">#REF!</definedName>
    <definedName name="LINER" localSheetId="0">#REF!</definedName>
    <definedName name="LINER">#REF!</definedName>
    <definedName name="list1" localSheetId="0">#REF!</definedName>
    <definedName name="list1">#REF!</definedName>
    <definedName name="listk" localSheetId="0">#REF!</definedName>
    <definedName name="listk">#REF!</definedName>
    <definedName name="lkj" hidden="1">#REF!</definedName>
    <definedName name="load" localSheetId="0">#REF!</definedName>
    <definedName name="load">#REF!</definedName>
    <definedName name="Loc" localSheetId="0">#REF!</definedName>
    <definedName name="Loc">#REF!</definedName>
    <definedName name="LOCATION" localSheetId="0">#REF!</definedName>
    <definedName name="LOCATION">#REF!</definedName>
    <definedName name="Location_Prospect">#REF!</definedName>
    <definedName name="LOGS" localSheetId="0">#REF!</definedName>
    <definedName name="LOGS">#REF!</definedName>
    <definedName name="LongColumn" localSheetId="0">!#REF!</definedName>
    <definedName name="LongColumn">!#REF!</definedName>
    <definedName name="loudout" hidden="1">#REF!</definedName>
    <definedName name="LS" localSheetId="0">#REF!</definedName>
    <definedName name="LS">#REF!</definedName>
    <definedName name="LWD_REQ" localSheetId="0">#REF!</definedName>
    <definedName name="LWD_REQ">#REF!</definedName>
    <definedName name="M" localSheetId="0" hidden="1">#REF!</definedName>
    <definedName name="M" hidden="1">#REF!</definedName>
    <definedName name="M_Dual" localSheetId="0">#REF!</definedName>
    <definedName name="M_Dual">#REF!</definedName>
    <definedName name="MAC" localSheetId="0">#REF!</definedName>
    <definedName name="MAC">#REF!</definedName>
    <definedName name="MagneticDeclDate" localSheetId="0">#REF!</definedName>
    <definedName name="MagneticDeclDate">#REF!</definedName>
    <definedName name="MagneticDeclination" localSheetId="0">#REF!</definedName>
    <definedName name="MagneticDeclination">#REF!</definedName>
    <definedName name="MagneticDeclModel" localSheetId="0">#REF!</definedName>
    <definedName name="MagneticDeclModel">#REF!</definedName>
    <definedName name="MainDens" localSheetId="0">#REF!</definedName>
    <definedName name="MainDens">#REF!</definedName>
    <definedName name="MakeupLoss">#REF!</definedName>
    <definedName name="ManualInputArea" localSheetId="0">#REF!,#REF!,#REF!</definedName>
    <definedName name="ManualInputArea">#REF!,#REF!,#REF!</definedName>
    <definedName name="MARINE_FACTOR" localSheetId="0">#REF!</definedName>
    <definedName name="MARINE_FACTOR">#REF!</definedName>
    <definedName name="mark" localSheetId="0">#REF!</definedName>
    <definedName name="mark">#REF!</definedName>
    <definedName name="mark1" localSheetId="0">#REF!</definedName>
    <definedName name="mark1">#REF!</definedName>
    <definedName name="mark2" localSheetId="0">#REF!</definedName>
    <definedName name="mark2">#REF!</definedName>
    <definedName name="marrupees">#REF!</definedName>
    <definedName name="materialdata" localSheetId="0">#REF!</definedName>
    <definedName name="materialdata">#REF!</definedName>
    <definedName name="MaxABS" localSheetId="0">#REF!</definedName>
    <definedName name="MaxABS">#REF!</definedName>
    <definedName name="MAXDEPTH" localSheetId="0">#REF!</definedName>
    <definedName name="MAXDEPTH">#REF!</definedName>
    <definedName name="MaxFW" localSheetId="0">#REF!</definedName>
    <definedName name="MaxFW">#REF!</definedName>
    <definedName name="MaxHP" localSheetId="0">#REF!</definedName>
    <definedName name="MaxHP">#REF!</definedName>
    <definedName name="MaxSP" localSheetId="0">#REF!</definedName>
    <definedName name="MaxSP">#REF!</definedName>
    <definedName name="MD_Column" localSheetId="0">!#REF!</definedName>
    <definedName name="MD_Column">!#REF!</definedName>
    <definedName name="MD_Unit" localSheetId="0">#REF!</definedName>
    <definedName name="MD_Unit">#REF!</definedName>
    <definedName name="MDRTtoTVDRT" localSheetId="0">#REF!</definedName>
    <definedName name="MDRTtoTVDRT">#REF!</definedName>
    <definedName name="Middle" localSheetId="0">#REF!</definedName>
    <definedName name="Middle">#REF!</definedName>
    <definedName name="Middle1" localSheetId="0">#REF!</definedName>
    <definedName name="Middle1">#REF!</definedName>
    <definedName name="min" localSheetId="0">#REF!</definedName>
    <definedName name="min">#REF!</definedName>
    <definedName name="MinABS" localSheetId="0">#REF!</definedName>
    <definedName name="MinABS">#REF!</definedName>
    <definedName name="MinFW" localSheetId="0">#REF!</definedName>
    <definedName name="MinFW">#REF!</definedName>
    <definedName name="MinHP" localSheetId="0">#REF!</definedName>
    <definedName name="MinHP">#REF!</definedName>
    <definedName name="MISC" localSheetId="0">#REF!</definedName>
    <definedName name="MISC">#REF!</definedName>
    <definedName name="Module1.draw_productionfirst">#N/A</definedName>
    <definedName name="Module1.draw_productionsecond">#N/A</definedName>
    <definedName name="Module4.drawblanks">#N/A</definedName>
    <definedName name="Module4.drawlinerfirst">#N/A</definedName>
    <definedName name="Module4.drawlinersecond">#N/A</definedName>
    <definedName name="Module4.drawmiscellaneous">#N/A</definedName>
    <definedName name="Module4.drawproductionfirst">#N/A</definedName>
    <definedName name="Module4.drawproductionsecond">#N/A</definedName>
    <definedName name="Module4.drawquantum">#N/A</definedName>
    <definedName name="Module4.drawscreens">#N/A</definedName>
    <definedName name="Module4.drawshearsubs">#N/A</definedName>
    <definedName name="Module4.drawsump">#N/A</definedName>
    <definedName name="Module4.textfive">#N/A</definedName>
    <definedName name="Module4.textfivehalf">#N/A</definedName>
    <definedName name="Module4.textninefiveeightfourfirst">#N/A</definedName>
    <definedName name="Module4.textninefiveeightfoursecond">#N/A</definedName>
    <definedName name="Module4.textninefiveeightsixfirst">#N/A</definedName>
    <definedName name="Module4.textninefiveeightsixsecond">#N/A</definedName>
    <definedName name="Module4.textsevenfiveeightfour">#N/A</definedName>
    <definedName name="Module4.textsevenfiveeightthree">#N/A</definedName>
    <definedName name="Module4.textsevenfour">#N/A</definedName>
    <definedName name="Module4.textseventhree">#N/A</definedName>
    <definedName name="MOE" localSheetId="0">#REF!</definedName>
    <definedName name="MOE">#REF!</definedName>
    <definedName name="MPOINT1" localSheetId="0">#REF!</definedName>
    <definedName name="MPOINT1">#REF!</definedName>
    <definedName name="MPOINT2" localSheetId="0">#REF!</definedName>
    <definedName name="MPOINT2">#REF!</definedName>
    <definedName name="MPOINT3" localSheetId="0">#REF!</definedName>
    <definedName name="MPOINT3">#REF!</definedName>
    <definedName name="MUD" localSheetId="0">#REF!</definedName>
    <definedName name="MUD">#REF!</definedName>
    <definedName name="MUD_COST" localSheetId="0">#REF!</definedName>
    <definedName name="MUD_COST">#REF!</definedName>
    <definedName name="MUD_COST_FR_TABLE" localSheetId="0">#REF!</definedName>
    <definedName name="MUD_COST_FR_TABLE">#REF!</definedName>
    <definedName name="MUD_TABLE" localSheetId="0">#REF!</definedName>
    <definedName name="MUD_TABLE">#REF!</definedName>
    <definedName name="N_VAM_BOX_x_HYDRIL_521_PIN" localSheetId="0">#REF!</definedName>
    <definedName name="N_VAM_BOX_x_HYDRIL_521_PIN">#REF!</definedName>
    <definedName name="N_VAM_M_U_LOSS">#REF!</definedName>
    <definedName name="new" localSheetId="0">#REF!</definedName>
    <definedName name="new">#REF!</definedName>
    <definedName name="newname" localSheetId="0">#REF!</definedName>
    <definedName name="newname">#REF!</definedName>
    <definedName name="Nipples" localSheetId="0">#REF!</definedName>
    <definedName name="Nipples">#REF!</definedName>
    <definedName name="NJ">#N/A</definedName>
    <definedName name="No" localSheetId="0">#REF!</definedName>
    <definedName name="No">#REF!</definedName>
    <definedName name="NO._OF_ABANDONMENT_PLUGS_TO_SET" localSheetId="0">#REF!</definedName>
    <definedName name="NO._OF_ABANDONMENT_PLUGS_TO_SET">#REF!</definedName>
    <definedName name="NO._OF_ACID_PREPACK_ZONES" localSheetId="0">#REF!</definedName>
    <definedName name="NO._OF_ACID_PREPACK_ZONES">#REF!</definedName>
    <definedName name="NO._OF_COMPLETION_STRINGS" localSheetId="0">#REF!</definedName>
    <definedName name="NO._OF_COMPLETION_STRINGS">#REF!</definedName>
    <definedName name="NO._OF_JOBS" localSheetId="0">#REF!</definedName>
    <definedName name="NO._OF_JOBS">#REF!</definedName>
    <definedName name="NO._OF_PACKERS" localSheetId="0">#REF!</definedName>
    <definedName name="NO._OF_PACKERS">#REF!</definedName>
    <definedName name="NO._OF_PACKERS_TO_MILL" localSheetId="0">#REF!</definedName>
    <definedName name="NO._OF_PACKERS_TO_MILL">#REF!</definedName>
    <definedName name="NO._OF_PROD._TEST_ZONES" localSheetId="0">#REF!</definedName>
    <definedName name="NO._OF_PROD._TEST_ZONES">#REF!</definedName>
    <definedName name="NO._OF_STRINGS_TO_PULL" localSheetId="0">#REF!</definedName>
    <definedName name="NO._OF_STRINGS_TO_PULL">#REF!</definedName>
    <definedName name="NOP_6150" localSheetId="0">#REF!</definedName>
    <definedName name="NOP_6150">#REF!</definedName>
    <definedName name="NOP_6155" localSheetId="0">#REF!</definedName>
    <definedName name="NOP_6155">#REF!</definedName>
    <definedName name="NOP_6160" localSheetId="0">#REF!</definedName>
    <definedName name="NOP_6160">#REF!</definedName>
    <definedName name="NOP_6166" localSheetId="0">#REF!</definedName>
    <definedName name="NOP_6166">#REF!</definedName>
    <definedName name="NOP_6170" localSheetId="0">#REF!</definedName>
    <definedName name="NOP_6170">#REF!</definedName>
    <definedName name="NOP_6179" localSheetId="0">#REF!</definedName>
    <definedName name="NOP_6179">#REF!</definedName>
    <definedName name="NOP_6180" localSheetId="0">#REF!</definedName>
    <definedName name="NOP_6180">#REF!</definedName>
    <definedName name="NOP_6185" localSheetId="0">#REF!</definedName>
    <definedName name="NOP_6185">#REF!</definedName>
    <definedName name="NOP_6190" localSheetId="0">#REF!</definedName>
    <definedName name="NOP_6190">#REF!</definedName>
    <definedName name="NOP_7110" localSheetId="0">#REF!</definedName>
    <definedName name="NOP_7110">#REF!</definedName>
    <definedName name="NOP_7111" localSheetId="0">#REF!</definedName>
    <definedName name="NOP_7111">#REF!</definedName>
    <definedName name="NOP_7112" localSheetId="0">#REF!</definedName>
    <definedName name="NOP_7112">#REF!</definedName>
    <definedName name="NOP_7113" localSheetId="0">#REF!</definedName>
    <definedName name="NOP_7113">#REF!</definedName>
    <definedName name="NOP_7114" localSheetId="0">#REF!</definedName>
    <definedName name="NOP_7114">#REF!</definedName>
    <definedName name="NOP_7115" localSheetId="0">#REF!</definedName>
    <definedName name="NOP_7115">#REF!</definedName>
    <definedName name="NOP_7120" localSheetId="0">#REF!</definedName>
    <definedName name="NOP_7120">#REF!</definedName>
    <definedName name="NOP_7121" localSheetId="0">#REF!</definedName>
    <definedName name="NOP_7121">#REF!</definedName>
    <definedName name="NOP_PASTE" localSheetId="0">#REF!</definedName>
    <definedName name="NOP_PASTE">#REF!</definedName>
    <definedName name="NorthingColumn" localSheetId="0">!#REF!</definedName>
    <definedName name="NorthingColumn">!#REF!</definedName>
    <definedName name="NorthingUnit" localSheetId="0">#REF!</definedName>
    <definedName name="NorthingUnit">#REF!</definedName>
    <definedName name="NorthReference" localSheetId="0">#REF!</definedName>
    <definedName name="NorthReference">#REF!</definedName>
    <definedName name="NosOfTubing" localSheetId="0">#REF!</definedName>
    <definedName name="NosOfTubing">#REF!</definedName>
    <definedName name="NPT" localSheetId="0">#REF!</definedName>
    <definedName name="NPT">#REF!</definedName>
    <definedName name="NS_Column" localSheetId="0">!#REF!</definedName>
    <definedName name="NS_Column">!#REF!</definedName>
    <definedName name="NS_Unit" localSheetId="0">#REF!</definedName>
    <definedName name="NS_Unit">#REF!</definedName>
    <definedName name="NW" localSheetId="0">#REF!</definedName>
    <definedName name="NW">#REF!</definedName>
    <definedName name="O">#REF!</definedName>
    <definedName name="OD" localSheetId="0">#REF!</definedName>
    <definedName name="OD">#REF!</definedName>
    <definedName name="ogr">#REF!,#REF!,#REF!</definedName>
    <definedName name="OH_ID" localSheetId="0">#REF!</definedName>
    <definedName name="OH_ID">#REF!</definedName>
    <definedName name="OH_LGTH" localSheetId="0">#REF!</definedName>
    <definedName name="OH_LGTH">#REF!</definedName>
    <definedName name="oil_cumm" localSheetId="0">#REF!</definedName>
    <definedName name="oil_cumm">#REF!</definedName>
    <definedName name="oilM" localSheetId="0">#REF!</definedName>
    <definedName name="oilM">#REF!</definedName>
    <definedName name="oilrate" localSheetId="0">#REF!</definedName>
    <definedName name="oilrate">#REF!</definedName>
    <definedName name="oilT" localSheetId="0">#REF!</definedName>
    <definedName name="oilT">#REF!</definedName>
    <definedName name="ok" localSheetId="0">#REF!</definedName>
    <definedName name="ok">#REF!</definedName>
    <definedName name="ooo" localSheetId="0">#REF!</definedName>
    <definedName name="ooo">#REF!</definedName>
    <definedName name="openhole" localSheetId="0">#REF!</definedName>
    <definedName name="openhole">#REF!</definedName>
    <definedName name="OW" localSheetId="0">#REF!</definedName>
    <definedName name="OW">#REF!</definedName>
    <definedName name="PACKER_MILLING" localSheetId="0">#REF!</definedName>
    <definedName name="PACKER_MILLING">#REF!</definedName>
    <definedName name="Packer_Retrieval" localSheetId="0">#REF!</definedName>
    <definedName name="Packer_Retrieval">#REF!</definedName>
    <definedName name="PageTop3" localSheetId="0">#REF!</definedName>
    <definedName name="PageTop3">#REF!</definedName>
    <definedName name="PageTop4" localSheetId="0">#REF!</definedName>
    <definedName name="PageTop4">#REF!</definedName>
    <definedName name="Parts" localSheetId="0">#REF!</definedName>
    <definedName name="Parts">#REF!</definedName>
    <definedName name="Paul" localSheetId="0">#REF!</definedName>
    <definedName name="Paul">#REF!</definedName>
    <definedName name="PCL" localSheetId="0">#REF!</definedName>
    <definedName name="PCL">#REF!</definedName>
    <definedName name="Pe" localSheetId="0">#REF!</definedName>
    <definedName name="Pe">#REF!</definedName>
    <definedName name="Per_Dist_Orient_Mode_1" localSheetId="0">#REF!</definedName>
    <definedName name="Per_Dist_Orient_Mode_1">#REF!</definedName>
    <definedName name="Per_Dist_Orient_Mode_1_Name" localSheetId="0">#REF!</definedName>
    <definedName name="Per_Dist_Orient_Mode_1_Name">#REF!</definedName>
    <definedName name="Per_Dist_Orient_Mode_2" localSheetId="0">#REF!</definedName>
    <definedName name="Per_Dist_Orient_Mode_2">#REF!</definedName>
    <definedName name="Per_Dist_Orient_Mode_2_Name" localSheetId="0">#REF!</definedName>
    <definedName name="Per_Dist_Orient_Mode_2_Name">#REF!</definedName>
    <definedName name="Perf" localSheetId="0">#REF!</definedName>
    <definedName name="Perf">#REF!</definedName>
    <definedName name="perforating_cost" localSheetId="0">#REF!</definedName>
    <definedName name="perforating_cost">#REF!</definedName>
    <definedName name="Perforation_Gun" localSheetId="0">#REF!</definedName>
    <definedName name="Perforation_Gun">#REF!</definedName>
    <definedName name="PI">3.14159265</definedName>
    <definedName name="pick_5_system">#N/A</definedName>
    <definedName name="pick_512_system">#N/A</definedName>
    <definedName name="pick_758x314_system">#N/A</definedName>
    <definedName name="pick_758x4_system">#N/A</definedName>
    <definedName name="pick_7x314_system">#N/A</definedName>
    <definedName name="pick_7x4_system">#N/A</definedName>
    <definedName name="pick_blanks">#N/A</definedName>
    <definedName name="pick_liner">#N/A</definedName>
    <definedName name="Pick_liner1">#N/A</definedName>
    <definedName name="pick_liner2">#N/A</definedName>
    <definedName name="pick_miscellaneous">#N/A</definedName>
    <definedName name="pick_quantum">#N/A</definedName>
    <definedName name="pick_screens">#N/A</definedName>
    <definedName name="pick_shearsubs">#N/A</definedName>
    <definedName name="pick_sump">#N/A</definedName>
    <definedName name="pick1_958x475_system">#N/A</definedName>
    <definedName name="pick1_958x6_system">#N/A</definedName>
    <definedName name="pick1_production">#N/A</definedName>
    <definedName name="pick2_958x475_system">#N/A</definedName>
    <definedName name="pick2_958x6_system">#N/A</definedName>
    <definedName name="pick2_production">#N/A</definedName>
    <definedName name="Pilothole" localSheetId="0">#REF!</definedName>
    <definedName name="Pilothole">#REF!</definedName>
    <definedName name="PilotLength" localSheetId="0">#REF!</definedName>
    <definedName name="PilotLength">#REF!</definedName>
    <definedName name="Pin" localSheetId="0">#REF!</definedName>
    <definedName name="Pin">#REF!</definedName>
    <definedName name="pird">3.14159265/180</definedName>
    <definedName name="Pkrs" localSheetId="0">#REF!</definedName>
    <definedName name="Pkrs">#REF!</definedName>
    <definedName name="Platform" localSheetId="0">#REF!</definedName>
    <definedName name="Platform">#REF!</definedName>
    <definedName name="Porosity" localSheetId="0">#REF!</definedName>
    <definedName name="Porosity">#REF!</definedName>
    <definedName name="PortCollar" localSheetId="0">#REF!</definedName>
    <definedName name="PortCollar">#REF!</definedName>
    <definedName name="Pp" localSheetId="0">#REF!</definedName>
    <definedName name="Pp">#REF!</definedName>
    <definedName name="PPF" localSheetId="0">#REF!</definedName>
    <definedName name="PPF">#REF!</definedName>
    <definedName name="PreparedName" localSheetId="0">#REF!</definedName>
    <definedName name="PreparedName">#REF!</definedName>
    <definedName name="pressflow" localSheetId="0">#REF!</definedName>
    <definedName name="pressflow">#REF!</definedName>
    <definedName name="Pressure" localSheetId="0">#REF!</definedName>
    <definedName name="Pressure">#REF!</definedName>
    <definedName name="Pressure_1" localSheetId="0">#REF!</definedName>
    <definedName name="Pressure_1">#REF!</definedName>
    <definedName name="Pressure_2" localSheetId="0">#REF!</definedName>
    <definedName name="Pressure_2">#REF!</definedName>
    <definedName name="Print_Area_MI" localSheetId="0">#REF!</definedName>
    <definedName name="Print_Area_MI">#REF!</definedName>
    <definedName name="Print_Formation" localSheetId="0">#REF!</definedName>
    <definedName name="Print_Formation">#REF!</definedName>
    <definedName name="Print_Formation_1" localSheetId="0">#REF!</definedName>
    <definedName name="Print_Formation_1">#REF!</definedName>
    <definedName name="Print_Titles_MI" localSheetId="0">#REF!</definedName>
    <definedName name="Print_Titles_MI">#REF!</definedName>
    <definedName name="Print_Worksheet" localSheetId="0">#REF!</definedName>
    <definedName name="Print_Worksheet">#REF!</definedName>
    <definedName name="Pro_DT" localSheetId="0">OFFSET(#REF!,1,0,#REF!)</definedName>
    <definedName name="Pro_DT">OFFSET(#REF!,1,0,#REF!)</definedName>
    <definedName name="Pro_MD" localSheetId="0">OFFSET(#REF!,1,0,#REF!)</definedName>
    <definedName name="Pro_MD">OFFSET(#REF!,1,0,#REF!)</definedName>
    <definedName name="Pro_PUF1" localSheetId="0">OFFSET(#REF!,1,0,#REF!)</definedName>
    <definedName name="Pro_PUF1">OFFSET(#REF!,1,0,#REF!)</definedName>
    <definedName name="Pro_PUF2" localSheetId="0">OFFSET(#REF!,1,0,#REF!)</definedName>
    <definedName name="Pro_PUF2">OFFSET(#REF!,1,0,#REF!)</definedName>
    <definedName name="Pro_ROT" localSheetId="0">OFFSET(#REF!,1,0,#REF!)</definedName>
    <definedName name="Pro_ROT">OFFSET(#REF!,1,0,#REF!)</definedName>
    <definedName name="Pro_SOF1" localSheetId="0">OFFSET(#REF!,1,0,#REF!)</definedName>
    <definedName name="Pro_SOF1">OFFSET(#REF!,1,0,#REF!)</definedName>
    <definedName name="Pro_SOF2" localSheetId="0">OFFSET(#REF!,1,0,#REF!)</definedName>
    <definedName name="Pro_SOF2">OFFSET(#REF!,1,0,#REF!)</definedName>
    <definedName name="Pro_Tn" localSheetId="0">OFFSET(#REF!,1,0,#REF!)</definedName>
    <definedName name="Pro_Tn">OFFSET(#REF!,1,0,#REF!)</definedName>
    <definedName name="Pro_Toff" localSheetId="0">OFFSET(#REF!,1,0,#REF!)</definedName>
    <definedName name="Pro_Toff">OFFSET(#REF!,1,0,#REF!)</definedName>
    <definedName name="Pro_WOB" localSheetId="0">OFFSET(#REF!,1,0,#REF!)</definedName>
    <definedName name="Pro_WOB">OFFSET(#REF!,1,0,#REF!)</definedName>
    <definedName name="Processor" localSheetId="0">#REF!</definedName>
    <definedName name="Processor">#REF!</definedName>
    <definedName name="Projazi" localSheetId="0">#REF!</definedName>
    <definedName name="Projazi">#REF!</definedName>
    <definedName name="Pt" localSheetId="0">#REF!</definedName>
    <definedName name="Pt">#REF!</definedName>
    <definedName name="PT_ID" localSheetId="0">#REF!</definedName>
    <definedName name="PT_ID">#REF!</definedName>
    <definedName name="PT_LGTH" localSheetId="0">#REF!</definedName>
    <definedName name="PT_LGTH">#REF!</definedName>
    <definedName name="PT_OD" localSheetId="0">#REF!</definedName>
    <definedName name="PT_OD">#REF!</definedName>
    <definedName name="PTTime" localSheetId="0">#REF!</definedName>
    <definedName name="PTTime">#REF!</definedName>
    <definedName name="PumpRate" localSheetId="0">#REF!</definedName>
    <definedName name="PumpRate">#REF!</definedName>
    <definedName name="PumpRateBuffer" localSheetId="0">#REF!</definedName>
    <definedName name="PumpRateBuffer">#REF!</definedName>
    <definedName name="Pups" localSheetId="0">#REF!</definedName>
    <definedName name="Pups">#REF!</definedName>
    <definedName name="Pyp" localSheetId="0">#REF!</definedName>
    <definedName name="Pyp">#REF!</definedName>
    <definedName name="q">#REF!</definedName>
    <definedName name="qq">#REF!</definedName>
    <definedName name="QQQ">#N/A</definedName>
    <definedName name="qr">#REF!</definedName>
    <definedName name="qw">#REF!</definedName>
    <definedName name="ra" localSheetId="0">#REF!</definedName>
    <definedName name="ra">#REF!</definedName>
    <definedName name="ramandan" localSheetId="0">#REF!</definedName>
    <definedName name="ramandan">#REF!</definedName>
    <definedName name="Range1">OFFSET(#REF!, 1, 0,#REF!,1)</definedName>
    <definedName name="RatHoleLength" localSheetId="0">#REF!</definedName>
    <definedName name="RatHoleLength">#REF!</definedName>
    <definedName name="rb" localSheetId="0">#REF!</definedName>
    <definedName name="rb">#REF!</definedName>
    <definedName name="RCI" localSheetId="0">#REF!</definedName>
    <definedName name="RCI">#REF!</definedName>
    <definedName name="RDrec" localSheetId="0">#REF!</definedName>
    <definedName name="RDrec">#REF!</definedName>
    <definedName name="RDtol" localSheetId="0">#REF!</definedName>
    <definedName name="RDtol">#REF!</definedName>
    <definedName name="RDused" localSheetId="0">#REF!</definedName>
    <definedName name="RDused">#REF!</definedName>
    <definedName name="reading" localSheetId="0">#REF!</definedName>
    <definedName name="reading">#REF!</definedName>
    <definedName name="Ready" localSheetId="0">#REF!</definedName>
    <definedName name="Ready">#REF!</definedName>
    <definedName name="Ready1" localSheetId="0">#REF!</definedName>
    <definedName name="Ready1">#REF!</definedName>
    <definedName name="Reasons">#REF!</definedName>
    <definedName name="RecDensChange" localSheetId="0">#REF!</definedName>
    <definedName name="RecDensChange">#REF!</definedName>
    <definedName name="report" localSheetId="0">#REF!</definedName>
    <definedName name="report">#REF!</definedName>
    <definedName name="Report_Title" localSheetId="0">#REF!</definedName>
    <definedName name="Report_Title">#REF!</definedName>
    <definedName name="REPORT3" localSheetId="0">#REF!</definedName>
    <definedName name="REPORT3">#REF!</definedName>
    <definedName name="RequesterName" localSheetId="0">#REF!</definedName>
    <definedName name="RequesterName">#REF!</definedName>
    <definedName name="RESE">#N/A</definedName>
    <definedName name="Reserve" localSheetId="0">#REF!</definedName>
    <definedName name="Reserve">#REF!</definedName>
    <definedName name="RESET" localSheetId="0">#REF!</definedName>
    <definedName name="RESET">#REF!</definedName>
    <definedName name="Rig" localSheetId="1">#REF!</definedName>
    <definedName name="Rig">#REF!</definedName>
    <definedName name="RIG_COST" localSheetId="0">#REF!</definedName>
    <definedName name="RIG_COST">#REF!</definedName>
    <definedName name="Rig_name" localSheetId="0">#REF!</definedName>
    <definedName name="Rig_name">#REF!</definedName>
    <definedName name="RIG_SCENARIO" localSheetId="0">#REF!</definedName>
    <definedName name="RIG_SCENARIO">#REF!</definedName>
    <definedName name="rig_scenario_paste" localSheetId="0">#REF!</definedName>
    <definedName name="rig_scenario_paste">#REF!</definedName>
    <definedName name="RIGMOVE" localSheetId="0">#REF!</definedName>
    <definedName name="RIGMOVE">#REF!</definedName>
    <definedName name="RigMoveTime" localSheetId="0">#REF!</definedName>
    <definedName name="RigMoveTime">#REF!</definedName>
    <definedName name="Rigname" localSheetId="0">#REF!</definedName>
    <definedName name="Rigname">#REF!</definedName>
    <definedName name="RIGTYPE" localSheetId="0">#REF!</definedName>
    <definedName name="RIGTYPE">#REF!</definedName>
    <definedName name="ROC">#N/A</definedName>
    <definedName name="ROC_TOOL">#N/A</definedName>
    <definedName name="Rop_Orient_Mode_1" localSheetId="0">#REF!</definedName>
    <definedName name="Rop_Orient_Mode_1">#REF!</definedName>
    <definedName name="Rop_Orient_Mode_1_Name" localSheetId="0">#REF!</definedName>
    <definedName name="Rop_Orient_Mode_1_Name">#REF!</definedName>
    <definedName name="Rop_Orient_Mode_2" localSheetId="0">#REF!</definedName>
    <definedName name="Rop_Orient_Mode_2">#REF!</definedName>
    <definedName name="Rop_Orient_Mode_2_Name" localSheetId="0">#REF!</definedName>
    <definedName name="Rop_Orient_Mode_2_Name">#REF!</definedName>
    <definedName name="RthLth" localSheetId="0">#REF!</definedName>
    <definedName name="RthLth">#REF!</definedName>
    <definedName name="RU_RD" localSheetId="0">#REF!</definedName>
    <definedName name="RU_RD">#REF!</definedName>
    <definedName name="RUNLINERDAYS" localSheetId="0">#REF!</definedName>
    <definedName name="RUNLINERDAYS">#REF!</definedName>
    <definedName name="Running_Eqmt" localSheetId="0">#REF!</definedName>
    <definedName name="Running_Eqmt">#REF!</definedName>
    <definedName name="Running_Eqmt_for_HNS" localSheetId="0">#REF!</definedName>
    <definedName name="Running_Eqmt_for_HNS">#REF!</definedName>
    <definedName name="Running_Eqmt_for_RDX" localSheetId="0">#REF!</definedName>
    <definedName name="Running_Eqmt_for_RDX">#REF!</definedName>
    <definedName name="Rupees">#REF!</definedName>
    <definedName name="S" localSheetId="0">#REF!</definedName>
    <definedName name="S">#REF!</definedName>
    <definedName name="salinity" localSheetId="0">#REF!</definedName>
    <definedName name="salinity">#REF!</definedName>
    <definedName name="SandFeedBuffer" localSheetId="0">#REF!</definedName>
    <definedName name="SandFeedBuffer">#REF!</definedName>
    <definedName name="SandFeedMain" localSheetId="0">#REF!</definedName>
    <definedName name="SandFeedMain">#REF!</definedName>
    <definedName name="SandInStringFactor" localSheetId="0">#REF!</definedName>
    <definedName name="SandInStringFactor">#REF!</definedName>
    <definedName name="SandInWorkStringMain" localSheetId="0">#REF!</definedName>
    <definedName name="SandInWorkStringMain">#REF!</definedName>
    <definedName name="SandMtrBlankCasing" localSheetId="0">#REF!</definedName>
    <definedName name="SandMtrBlankCasing">#REF!</definedName>
    <definedName name="SandMtrBlankPilot" localSheetId="0">#REF!</definedName>
    <definedName name="SandMtrBlankPilot">#REF!</definedName>
    <definedName name="SandMtrBlankUR" localSheetId="0">#REF!</definedName>
    <definedName name="SandMtrBlankUR">#REF!</definedName>
    <definedName name="SandMtrScreen" localSheetId="0">#REF!</definedName>
    <definedName name="SandMtrScreen">#REF!</definedName>
    <definedName name="SandOnBlank" localSheetId="0">#REF!</definedName>
    <definedName name="SandOnBlank">#REF!</definedName>
    <definedName name="SandRequired" localSheetId="0">#REF!</definedName>
    <definedName name="SandRequired">#REF!</definedName>
    <definedName name="SAP" localSheetId="0">#REF!</definedName>
    <definedName name="SAP">#REF!</definedName>
    <definedName name="Sap_1" localSheetId="0">#REF!</definedName>
    <definedName name="Sap_1">#REF!</definedName>
    <definedName name="Sap_2" localSheetId="0">#REF!</definedName>
    <definedName name="Sap_2">#REF!</definedName>
    <definedName name="Sap_3" localSheetId="0">#REF!</definedName>
    <definedName name="Sap_3">#REF!</definedName>
    <definedName name="Sap_4" localSheetId="0">#REF!</definedName>
    <definedName name="Sap_4">#REF!</definedName>
    <definedName name="SASASA" localSheetId="0">#REF!</definedName>
    <definedName name="SASASA">#REF!</definedName>
    <definedName name="SBE" localSheetId="0">#REF!</definedName>
    <definedName name="SBE">#REF!</definedName>
    <definedName name="SBT" localSheetId="0">#REF!</definedName>
    <definedName name="SBT">#REF!</definedName>
    <definedName name="SC" localSheetId="0">#REF!</definedName>
    <definedName name="SC">#REF!</definedName>
    <definedName name="SCABLINER" localSheetId="0">#REF!</definedName>
    <definedName name="SCABLINER">#REF!</definedName>
    <definedName name="ScaleFactor" localSheetId="0">#REF!</definedName>
    <definedName name="ScaleFactor">#REF!</definedName>
    <definedName name="SCHEMATIC" hidden="1">#REF!</definedName>
    <definedName name="SCR_CHOH" localSheetId="0">#REF!</definedName>
    <definedName name="SCR_CHOH">#REF!</definedName>
    <definedName name="Scr_ID" localSheetId="0">#REF!</definedName>
    <definedName name="Scr_ID">#REF!</definedName>
    <definedName name="SCR_LCH" localSheetId="0">#REF!</definedName>
    <definedName name="SCR_LCH">#REF!</definedName>
    <definedName name="Scr_Lgth" localSheetId="0">#REF!</definedName>
    <definedName name="Scr_Lgth">#REF!</definedName>
    <definedName name="SCR_LOH" localSheetId="0">#REF!</definedName>
    <definedName name="SCR_LOH">#REF!</definedName>
    <definedName name="Scr_OD" localSheetId="0">#REF!</definedName>
    <definedName name="Scr_OD">#REF!</definedName>
    <definedName name="ScreenandTail" localSheetId="0">#REF!</definedName>
    <definedName name="ScreenandTail">#REF!</definedName>
    <definedName name="ScreenBlk">#REF!</definedName>
    <definedName name="ScreenFillOnBlank" localSheetId="0">#REF!</definedName>
    <definedName name="ScreenFillOnBlank">#REF!</definedName>
    <definedName name="ScreenFillPerM" localSheetId="0">#REF!</definedName>
    <definedName name="ScreenFillPerM">#REF!</definedName>
    <definedName name="ScreenLength" localSheetId="0">#REF!</definedName>
    <definedName name="ScreenLength">#REF!</definedName>
    <definedName name="SD" localSheetId="0">#REF!</definedName>
    <definedName name="SD">#REF!</definedName>
    <definedName name="sdg">#N/A</definedName>
    <definedName name="SDTRDEPTH" localSheetId="0">#REF!</definedName>
    <definedName name="SDTRDEPTH">#REF!</definedName>
    <definedName name="SE" localSheetId="0">#REF!</definedName>
    <definedName name="SE">#REF!</definedName>
    <definedName name="Seals" localSheetId="0">#REF!</definedName>
    <definedName name="Seals">#REF!</definedName>
    <definedName name="selva" localSheetId="0">#REF!</definedName>
    <definedName name="selva">#REF!</definedName>
    <definedName name="sep_press" localSheetId="0">#REF!</definedName>
    <definedName name="sep_press">#REF!</definedName>
    <definedName name="sep_temp" localSheetId="0">#REF!</definedName>
    <definedName name="sep_temp">#REF!</definedName>
    <definedName name="Set_LOCK_OFF" localSheetId="0">#REF!</definedName>
    <definedName name="Set_LOCK_OFF">#REF!</definedName>
    <definedName name="Set_WTR_RATE" localSheetId="0">#REF!</definedName>
    <definedName name="Set_WTR_RATE">#REF!</definedName>
    <definedName name="SEVEN" localSheetId="0">#REF!</definedName>
    <definedName name="SEVEN">#REF!</definedName>
    <definedName name="sf" localSheetId="0">#REF!</definedName>
    <definedName name="sf">#REF!</definedName>
    <definedName name="SHER">#N/A</definedName>
    <definedName name="SHOE_DEPTH" localSheetId="0">#REF!</definedName>
    <definedName name="SHOE_DEPTH">#REF!</definedName>
    <definedName name="ShowDialog">#N/A</definedName>
    <definedName name="Shroud">#REF!</definedName>
    <definedName name="ShroudBlk">#REF!</definedName>
    <definedName name="sizeofcsg" localSheetId="0">#REF!</definedName>
    <definedName name="sizeofcsg">#REF!</definedName>
    <definedName name="sizeofcsg2" localSheetId="0">#REF!</definedName>
    <definedName name="sizeofcsg2">#REF!</definedName>
    <definedName name="SizePilot" localSheetId="0">#REF!</definedName>
    <definedName name="SizePilot">#REF!</definedName>
    <definedName name="SizeUR" localSheetId="0">#REF!</definedName>
    <definedName name="SizeUR">#REF!</definedName>
    <definedName name="SO" localSheetId="0">#REF!</definedName>
    <definedName name="SO">#REF!</definedName>
    <definedName name="SOILBORING" localSheetId="0">#REF!</definedName>
    <definedName name="SOILBORING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localSheetId="0" hidden="1">#REF!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" hidden="1">#REF!</definedName>
    <definedName name="SPM" localSheetId="0">#REF!</definedName>
    <definedName name="SPM">#REF!</definedName>
    <definedName name="SR" localSheetId="0">#REF!</definedName>
    <definedName name="SR">#REF!</definedName>
    <definedName name="ss" localSheetId="0">#REF!</definedName>
    <definedName name="ss">#REF!</definedName>
    <definedName name="SSDHGR" localSheetId="0">#REF!</definedName>
    <definedName name="SSDHGR">#REF!</definedName>
    <definedName name="SSR_Plug" localSheetId="0">#REF!</definedName>
    <definedName name="SSR_Plug">#REF!</definedName>
    <definedName name="SSSV" localSheetId="0">#REF!</definedName>
    <definedName name="SSSV">#REF!</definedName>
    <definedName name="st" localSheetId="0">#REF!</definedName>
    <definedName name="st">#REF!</definedName>
    <definedName name="Stand_1">#REF!</definedName>
    <definedName name="Stand_38" localSheetId="0">#REF!</definedName>
    <definedName name="Stand_38">#REF!</definedName>
    <definedName name="STEEL_LINER">#REF!</definedName>
    <definedName name="StickUp" localSheetId="0">#REF!</definedName>
    <definedName name="StickUp">#REF!</definedName>
    <definedName name="stone" localSheetId="0">#REF!</definedName>
    <definedName name="stone">#REF!</definedName>
    <definedName name="Structure" localSheetId="0">#REF!</definedName>
    <definedName name="Structure">#REF!</definedName>
    <definedName name="SUBSEA_WELLHEAD_RECOVERY" localSheetId="0">#REF!</definedName>
    <definedName name="SUBSEA_WELLHEAD_RECOVERY">#REF!</definedName>
    <definedName name="SURVEY" localSheetId="0">#REF!</definedName>
    <definedName name="SURVEY">#REF!</definedName>
    <definedName name="SurveyCompMethod" localSheetId="0">#REF!</definedName>
    <definedName name="SurveyCompMethod">#REF!</definedName>
    <definedName name="SurveyDate" localSheetId="0">#REF!</definedName>
    <definedName name="SurveyDate">#REF!</definedName>
    <definedName name="SurveyProgram" localSheetId="0">!#REF!</definedName>
    <definedName name="SurveyProgram">!#REF!</definedName>
    <definedName name="SurveyStats" localSheetId="0">#REF!</definedName>
    <definedName name="SurveyStats">#REF!</definedName>
    <definedName name="SvyDLSCompMethod" localSheetId="0">#REF!</definedName>
    <definedName name="SvyDLSCompMethod">#REF!</definedName>
    <definedName name="sweed" localSheetId="0">#REF!</definedName>
    <definedName name="sweed">#REF!</definedName>
    <definedName name="sweq" localSheetId="0">#REF!</definedName>
    <definedName name="sweq">#REF!</definedName>
    <definedName name="Sy" localSheetId="0">#REF!</definedName>
    <definedName name="Sy">#REF!</definedName>
    <definedName name="sz" localSheetId="0">#REF!</definedName>
    <definedName name="sz">#REF!</definedName>
    <definedName name="T" localSheetId="0">#REF!</definedName>
    <definedName name="T">#REF!</definedName>
    <definedName name="T_Dual" localSheetId="0">#REF!</definedName>
    <definedName name="T_Dual">#REF!</definedName>
    <definedName name="TA_s" localSheetId="0">#REF!</definedName>
    <definedName name="TA_s">#REF!</definedName>
    <definedName name="TALL" localSheetId="0">#REF!</definedName>
    <definedName name="TALL">#REF!</definedName>
    <definedName name="Tally" localSheetId="0">Tally!$A$5:$H$371</definedName>
    <definedName name="Tally" localSheetId="1">Tally!$A$5:$H$372</definedName>
    <definedName name="Tally">#REF!</definedName>
    <definedName name="tally1">#REF!</definedName>
    <definedName name="tally2" localSheetId="0">#REF!</definedName>
    <definedName name="tally2">#REF!</definedName>
    <definedName name="tallya">#REF!</definedName>
    <definedName name="tallyc" localSheetId="0">#REF!</definedName>
    <definedName name="tallyc">#REF!</definedName>
    <definedName name="tallyibb">#REF!</definedName>
    <definedName name="TALLYS" localSheetId="0">#REF!</definedName>
    <definedName name="TALLYS">#REF!</definedName>
    <definedName name="TargetE" localSheetId="0">#REF!</definedName>
    <definedName name="TargetE">#REF!</definedName>
    <definedName name="TargetN" localSheetId="0">#REF!</definedName>
    <definedName name="TargetN">#REF!</definedName>
    <definedName name="Tbg" localSheetId="0">#REF!</definedName>
    <definedName name="Tbg">#REF!</definedName>
    <definedName name="TBG1_COST" localSheetId="0">#REF!</definedName>
    <definedName name="TBG1_COST">#REF!</definedName>
    <definedName name="TBG1_UNIT" localSheetId="0">#REF!</definedName>
    <definedName name="TBG1_UNIT">#REF!</definedName>
    <definedName name="TBG2_COST" localSheetId="0">#REF!</definedName>
    <definedName name="TBG2_COST">#REF!</definedName>
    <definedName name="TD" localSheetId="0">#REF!</definedName>
    <definedName name="TD">#REF!</definedName>
    <definedName name="TD_12_1_4__Hole" localSheetId="0">#REF!</definedName>
    <definedName name="TD_12_1_4__Hole">#REF!</definedName>
    <definedName name="TD_AH_BDF" localSheetId="0">#REF!</definedName>
    <definedName name="TD_AH_BDF">#REF!</definedName>
    <definedName name="TD_AH_BDF__FOOTAGE" localSheetId="0">#REF!</definedName>
    <definedName name="TD_AH_BDF__FOOTAGE">#REF!</definedName>
    <definedName name="TD_TVD">#REF!</definedName>
    <definedName name="TD_TVDSS">#REF!</definedName>
    <definedName name="TELY" localSheetId="0">#REF!</definedName>
    <definedName name="TELY">#REF!</definedName>
    <definedName name="Temp" localSheetId="0">#REF!</definedName>
    <definedName name="Temp">#REF!</definedName>
    <definedName name="tempC" localSheetId="0">IF(#REF!="C",#REF!,#REF!)</definedName>
    <definedName name="tempC">IF(#REF!="C",#REF!,#REF!)</definedName>
    <definedName name="Temperature" localSheetId="0">#REF!</definedName>
    <definedName name="Temperature">#REF!</definedName>
    <definedName name="TENDER">#REF!</definedName>
    <definedName name="test" localSheetId="0">#REF!</definedName>
    <definedName name="test">#REF!</definedName>
    <definedName name="text_five">#N/A</definedName>
    <definedName name="text_fivehalf">#N/A</definedName>
    <definedName name="text_ninefiveeightfourfirst">#N/A</definedName>
    <definedName name="text_ninefiveeightfoursecond">#N/A</definedName>
    <definedName name="text_ninefiveeightsixfirst">#N/A</definedName>
    <definedName name="text_ninefiveeightsixsecond">#N/A</definedName>
    <definedName name="text_sevenfiveeightfour">#N/A</definedName>
    <definedName name="text_sevenfiveeightthree">#N/A</definedName>
    <definedName name="text_sevenfour">#N/A</definedName>
    <definedName name="text_seventhree">#N/A</definedName>
    <definedName name="textfive">#N/A</definedName>
    <definedName name="textfivehalf">#N/A</definedName>
    <definedName name="textninefiveeightfourfirst">#N/A</definedName>
    <definedName name="textninefiveeightfoursecond">#N/A</definedName>
    <definedName name="textninefiveeightsixfirst">#N/A</definedName>
    <definedName name="textninefiveeightsixsecond">#N/A</definedName>
    <definedName name="textsevenfiveeightfour">#N/A</definedName>
    <definedName name="textsevenfiveeightthree">#N/A</definedName>
    <definedName name="textsevenfour">#N/A</definedName>
    <definedName name="textseventhree">#N/A</definedName>
    <definedName name="TGW">#N/A</definedName>
    <definedName name="threeandahalfdp">#REF!</definedName>
    <definedName name="TIL" localSheetId="0">#REF!</definedName>
    <definedName name="TIL">#REF!</definedName>
    <definedName name="TIM" localSheetId="0">#REF!</definedName>
    <definedName name="TIM">#REF!</definedName>
    <definedName name="TIME" localSheetId="0">#REF!</definedName>
    <definedName name="TIME">#REF!</definedName>
    <definedName name="Time_1" localSheetId="0">#REF!</definedName>
    <definedName name="Time_1">#REF!</definedName>
    <definedName name="Time_1__Time_2" localSheetId="0">#REF!</definedName>
    <definedName name="Time_1__Time_2">#REF!</definedName>
    <definedName name="Time_2" localSheetId="0">#REF!</definedName>
    <definedName name="Time_2">#REF!</definedName>
    <definedName name="Time_Orient_Mode_1" localSheetId="0">#REF!</definedName>
    <definedName name="Time_Orient_Mode_1">#REF!</definedName>
    <definedName name="Time_Orient_Mode_1_Name" localSheetId="0">#REF!</definedName>
    <definedName name="Time_Orient_Mode_1_Name">#REF!</definedName>
    <definedName name="Time_Orient_Mode_2" localSheetId="0">#REF!</definedName>
    <definedName name="Time_Orient_Mode_2">#REF!</definedName>
    <definedName name="Time_Orient_Mode_2_Name" localSheetId="0">#REF!</definedName>
    <definedName name="Time_Orient_Mode_2_Name">#REF!</definedName>
    <definedName name="TJt" localSheetId="0">#REF!</definedName>
    <definedName name="TJt">#REF!</definedName>
    <definedName name="TO____DCL_CHM_LH_RWJ_RMT_MW_GCL_Asokan_WO_Engrs." localSheetId="0">#REF!</definedName>
    <definedName name="TO____DCL_CHM_LH_RWJ_RMT_MW_GCL_Asokan_WO_Engrs.">#REF!</definedName>
    <definedName name="Top" localSheetId="0">#REF!</definedName>
    <definedName name="Top">#REF!</definedName>
    <definedName name="top_hole_size" localSheetId="0">#REF!</definedName>
    <definedName name="top_hole_size">#REF!</definedName>
    <definedName name="topcsg" localSheetId="0">#REF!</definedName>
    <definedName name="topcsg">#REF!</definedName>
    <definedName name="topliner" localSheetId="0">#REF!</definedName>
    <definedName name="topliner">#REF!</definedName>
    <definedName name="TopUR" localSheetId="0">'RIH-DRAFT'!BottomHole-'RIH-DRAFT'!RatHoleLength-'RIH-DRAFT'!LengthUR</definedName>
    <definedName name="TopUR">BottomHole-RatHoleLength-LengthUR</definedName>
    <definedName name="Tot_Distance" localSheetId="0">#REF!</definedName>
    <definedName name="Tot_Distance">#REF!</definedName>
    <definedName name="Tot_Rop" localSheetId="0">#REF!</definedName>
    <definedName name="Tot_Rop">#REF!</definedName>
    <definedName name="Tot_Rop_Name" localSheetId="0">#REF!</definedName>
    <definedName name="Tot_Rop_Name">#REF!</definedName>
    <definedName name="Tot_Time" localSheetId="0">#REF!</definedName>
    <definedName name="Tot_Time">#REF!</definedName>
    <definedName name="Tot_Time_Name" localSheetId="0">#REF!</definedName>
    <definedName name="Tot_Time_Name">#REF!</definedName>
    <definedName name="TOTAL" localSheetId="0">#REF!</definedName>
    <definedName name="TOTAL">#REF!</definedName>
    <definedName name="TOTAL_6150_DEF" localSheetId="0">#REF!</definedName>
    <definedName name="TOTAL_6150_DEF">#REF!</definedName>
    <definedName name="TOTAL_6150_INP" localSheetId="0">#REF!</definedName>
    <definedName name="TOTAL_6150_INP">#REF!</definedName>
    <definedName name="TOTAL_6150A" localSheetId="0">#REF!</definedName>
    <definedName name="TOTAL_6150A">#REF!</definedName>
    <definedName name="TOTAL_6150B" localSheetId="0">#REF!</definedName>
    <definedName name="TOTAL_6150B">#REF!</definedName>
    <definedName name="TOTAL_6150C" localSheetId="0">#REF!</definedName>
    <definedName name="TOTAL_6150C">#REF!</definedName>
    <definedName name="TOTAL_6155_DEF" localSheetId="0">#REF!</definedName>
    <definedName name="TOTAL_6155_DEF">#REF!</definedName>
    <definedName name="TOTAL_6155_INP" localSheetId="0">#REF!</definedName>
    <definedName name="TOTAL_6155_INP">#REF!</definedName>
    <definedName name="TOTAL_6160_DEF" localSheetId="0">#REF!</definedName>
    <definedName name="TOTAL_6160_DEF">#REF!</definedName>
    <definedName name="TOTAL_6160_INP" localSheetId="0">#REF!</definedName>
    <definedName name="TOTAL_6160_INP">#REF!</definedName>
    <definedName name="TOTAL_6166_DEF" localSheetId="0">#REF!</definedName>
    <definedName name="TOTAL_6166_DEF">#REF!</definedName>
    <definedName name="TOTAL_6166_INP" localSheetId="0">#REF!</definedName>
    <definedName name="TOTAL_6166_INP">#REF!</definedName>
    <definedName name="TOTAL_6170_DEF" localSheetId="0">#REF!</definedName>
    <definedName name="TOTAL_6170_DEF">#REF!</definedName>
    <definedName name="TOTAL_6170_INP" localSheetId="0">#REF!</definedName>
    <definedName name="TOTAL_6170_INP">#REF!</definedName>
    <definedName name="TOTAL_6170A" localSheetId="0">#REF!</definedName>
    <definedName name="TOTAL_6170A">#REF!</definedName>
    <definedName name="TOTAL_6170B" localSheetId="0">#REF!</definedName>
    <definedName name="TOTAL_6170B">#REF!</definedName>
    <definedName name="TOTAL_6170C" localSheetId="0">#REF!</definedName>
    <definedName name="TOTAL_6170C">#REF!</definedName>
    <definedName name="TOTAL_6170D" localSheetId="0">#REF!</definedName>
    <definedName name="TOTAL_6170D">#REF!</definedName>
    <definedName name="TOTAL_6179_DEF" localSheetId="0">#REF!</definedName>
    <definedName name="TOTAL_6179_DEF">#REF!</definedName>
    <definedName name="TOTAL_6179_INP" localSheetId="0">#REF!</definedName>
    <definedName name="TOTAL_6179_INP">#REF!</definedName>
    <definedName name="TOTAL_6179A" localSheetId="0">#REF!</definedName>
    <definedName name="TOTAL_6179A">#REF!</definedName>
    <definedName name="TOTAL_6179B" localSheetId="0">#REF!</definedName>
    <definedName name="TOTAL_6179B">#REF!</definedName>
    <definedName name="TOTAL_6179C" localSheetId="0">#REF!</definedName>
    <definedName name="TOTAL_6179C">#REF!</definedName>
    <definedName name="TOTAL_6179D" localSheetId="0">#REF!</definedName>
    <definedName name="TOTAL_6179D">#REF!</definedName>
    <definedName name="TOTAL_6179E" localSheetId="0">#REF!</definedName>
    <definedName name="TOTAL_6179E">#REF!</definedName>
    <definedName name="TOTAL_6180_DEF" localSheetId="0">#REF!</definedName>
    <definedName name="TOTAL_6180_DEF">#REF!</definedName>
    <definedName name="TOTAL_6180_INP" localSheetId="0">#REF!</definedName>
    <definedName name="TOTAL_6180_INP">#REF!</definedName>
    <definedName name="TOTAL_6185_DEF" localSheetId="0">#REF!</definedName>
    <definedName name="TOTAL_6185_DEF">#REF!</definedName>
    <definedName name="TOTAL_6185_INP" localSheetId="0">#REF!</definedName>
    <definedName name="TOTAL_6185_INP">#REF!</definedName>
    <definedName name="TOTAL_7110_DEF" localSheetId="0">#REF!</definedName>
    <definedName name="TOTAL_7110_DEF">#REF!</definedName>
    <definedName name="TOTAL_7110_INP" localSheetId="0">#REF!</definedName>
    <definedName name="TOTAL_7110_INP">#REF!</definedName>
    <definedName name="TOTAL_7111_DEF" localSheetId="0">#REF!</definedName>
    <definedName name="TOTAL_7111_DEF">#REF!</definedName>
    <definedName name="TOTAL_7111_INP" localSheetId="0">#REF!</definedName>
    <definedName name="TOTAL_7111_INP">#REF!</definedName>
    <definedName name="TOTAL_7112_DEF" localSheetId="0">#REF!</definedName>
    <definedName name="TOTAL_7112_DEF">#REF!</definedName>
    <definedName name="TOTAL_7112_INP" localSheetId="0">#REF!</definedName>
    <definedName name="TOTAL_7112_INP">#REF!</definedName>
    <definedName name="TOTAL_7113_DEF" localSheetId="0">#REF!</definedName>
    <definedName name="TOTAL_7113_DEF">#REF!</definedName>
    <definedName name="TOTAL_7113_INP" localSheetId="0">#REF!</definedName>
    <definedName name="TOTAL_7113_INP">#REF!</definedName>
    <definedName name="TOTAL_7114_DEF" localSheetId="0">#REF!</definedName>
    <definedName name="TOTAL_7114_DEF">#REF!</definedName>
    <definedName name="TOTAL_7114_INP" localSheetId="0">#REF!</definedName>
    <definedName name="TOTAL_7114_INP">#REF!</definedName>
    <definedName name="TOTAL_7115_DEF" localSheetId="0">#REF!</definedName>
    <definedName name="TOTAL_7115_DEF">#REF!</definedName>
    <definedName name="TOTAL_7115_INP" localSheetId="0">#REF!</definedName>
    <definedName name="TOTAL_7115_INP">#REF!</definedName>
    <definedName name="TOTAL_7120_DEF" localSheetId="0">#REF!</definedName>
    <definedName name="TOTAL_7120_DEF">#REF!</definedName>
    <definedName name="TOTAL_7120_INP" localSheetId="0">#REF!</definedName>
    <definedName name="TOTAL_7120_INP">#REF!</definedName>
    <definedName name="TOTAL_7120A" localSheetId="0">#REF!</definedName>
    <definedName name="TOTAL_7120A">#REF!</definedName>
    <definedName name="TOTAL_7120B" localSheetId="0">#REF!</definedName>
    <definedName name="TOTAL_7120B">#REF!</definedName>
    <definedName name="TOTAL_7120C" localSheetId="0">#REF!</definedName>
    <definedName name="TOTAL_7120C">#REF!</definedName>
    <definedName name="TOTAL_7121_DEF" localSheetId="0">#REF!</definedName>
    <definedName name="TOTAL_7121_DEF">#REF!</definedName>
    <definedName name="TOTAL_7121_INP" localSheetId="0">#REF!</definedName>
    <definedName name="TOTAL_7121_INP">#REF!</definedName>
    <definedName name="TOTAL_7121A" localSheetId="0">#REF!</definedName>
    <definedName name="TOTAL_7121A">#REF!</definedName>
    <definedName name="TOTAL_7121B" localSheetId="0">#REF!</definedName>
    <definedName name="TOTAL_7121B">#REF!</definedName>
    <definedName name="TOTAL_7121C" localSheetId="0">#REF!</definedName>
    <definedName name="TOTAL_7121C">#REF!</definedName>
    <definedName name="TOTAL_7121D" localSheetId="0">#REF!</definedName>
    <definedName name="TOTAL_7121D">#REF!</definedName>
    <definedName name="total_duration" localSheetId="0">#REF!</definedName>
    <definedName name="total_duration">#REF!</definedName>
    <definedName name="TOTAL_EVAL" localSheetId="0">#REF!,#REF!,#REF!,#REF!,#REF!,#REF!</definedName>
    <definedName name="TOTAL_EVAL">#REF!,#REF!,#REF!,#REF!,#REF!,#REF!</definedName>
    <definedName name="TOTAL_EVAL2" localSheetId="0">#REF!,#REF!,#REF!,#REF!,#REF!</definedName>
    <definedName name="TOTAL_EVAL2">#REF!,#REF!,#REF!,#REF!,#REF!</definedName>
    <definedName name="TOTAL_WORKOVER_DAYS" localSheetId="0">#REF!</definedName>
    <definedName name="TOTAL_WORKOVER_DAYS">#REF!</definedName>
    <definedName name="TotalCorrection" localSheetId="0">#REF!</definedName>
    <definedName name="TotalCorrection">#REF!</definedName>
    <definedName name="TotalCorrectionLbl" localSheetId="0">#REF!</definedName>
    <definedName name="TotalCorrectionLbl">#REF!</definedName>
    <definedName name="totalgel" localSheetId="0">#REF!</definedName>
    <definedName name="totalgel">#REF!</definedName>
    <definedName name="TotalSandRequired" localSheetId="0">#REF!</definedName>
    <definedName name="TotalSandRequired">#REF!</definedName>
    <definedName name="totgel" localSheetId="0">#REF!</definedName>
    <definedName name="totgel">#REF!</definedName>
    <definedName name="TQW">#N/A</definedName>
    <definedName name="tub">#N/A</definedName>
    <definedName name="Tubing">#REF!</definedName>
    <definedName name="Tubing_to_SPM" localSheetId="0">#REF!</definedName>
    <definedName name="Tubing_to_SPM">#REF!</definedName>
    <definedName name="tubing2">#REF!</definedName>
    <definedName name="TubingAverage" localSheetId="0">#N/A</definedName>
    <definedName name="TubingAverage">((SUM([0]!NosOfTubing))-(MakeupLoss*COUNT([0]!NosOfTubing)))/COUNT([0]!NosOfTubing)</definedName>
    <definedName name="TubingLength" localSheetId="0">#REF!</definedName>
    <definedName name="TubingLength">#REF!</definedName>
    <definedName name="Tubingtally">#REF!</definedName>
    <definedName name="TVD">#REF!</definedName>
    <definedName name="TVD_Column" localSheetId="0">!#REF!</definedName>
    <definedName name="TVD_Column">!#REF!</definedName>
    <definedName name="TVD_Unit" localSheetId="0">#REF!</definedName>
    <definedName name="TVD_Unit">#REF!</definedName>
    <definedName name="TVDRTtoMDRT" localSheetId="0">#REF!</definedName>
    <definedName name="TVDRTtoMDRT">#REF!</definedName>
    <definedName name="TYJEJE">#N/A</definedName>
    <definedName name="TYPE_OF_BRINE" localSheetId="0">#REF!</definedName>
    <definedName name="TYPE_OF_BRINE">#REF!</definedName>
    <definedName name="U">#REF!</definedName>
    <definedName name="unit" localSheetId="0">#REF!</definedName>
    <definedName name="unit">#REF!</definedName>
    <definedName name="USD_EXC_RATE" localSheetId="0">#REF!</definedName>
    <definedName name="USD_EXC_RATE">#REF!</definedName>
    <definedName name="USD_EXCHANGE_RATE" localSheetId="0">#REF!</definedName>
    <definedName name="USD_EXCHANGE_RATE">#REF!</definedName>
    <definedName name="UseBulkWeightPor" localSheetId="0">#REF!</definedName>
    <definedName name="UseBulkWeightPor">#REF!</definedName>
    <definedName name="UseLogged" localSheetId="0">#REF!</definedName>
    <definedName name="UseLogged">#REF!</definedName>
    <definedName name="v" localSheetId="0">#REF!</definedName>
    <definedName name="v">#REF!</definedName>
    <definedName name="vbcode.draw_blanks">#N/A</definedName>
    <definedName name="vbcode.draw_linerfirst">#N/A</definedName>
    <definedName name="vbcode.draw_linersecond">#N/A</definedName>
    <definedName name="vbcode.draw_miscellaneous">#N/A</definedName>
    <definedName name="vbcode.draw_productionfirst">#N/A</definedName>
    <definedName name="vbcode.draw_productionsecond">#N/A</definedName>
    <definedName name="vbcode.draw_quantum">#N/A</definedName>
    <definedName name="vbcode.draw_screens">#N/A</definedName>
    <definedName name="vbcode.draw_shearsubs">#N/A</definedName>
    <definedName name="vbcode.draw_sump">#N/A</definedName>
    <definedName name="vbcode.text_five">#N/A</definedName>
    <definedName name="vbcode.text_fivehalf">#N/A</definedName>
    <definedName name="vbcode.text_ninefiveeightfourfirst">#N/A</definedName>
    <definedName name="vbcode.text_ninefiveeightfoursecond">#N/A</definedName>
    <definedName name="vbcode.text_ninefiveeightsixfirst">#N/A</definedName>
    <definedName name="vbcode.text_ninefiveeightsixsecond">#N/A</definedName>
    <definedName name="vbcode.text_sevenfiveeightfour">#N/A</definedName>
    <definedName name="vbcode.text_sevenfiveeightthree">#N/A</definedName>
    <definedName name="vbcode.text_sevenfour">#N/A</definedName>
    <definedName name="vbcode.text_seventhree">#N/A</definedName>
    <definedName name="vcds12" localSheetId="0">#REF!</definedName>
    <definedName name="vcds12">#REF!</definedName>
    <definedName name="verdepth" localSheetId="0">#REF!</definedName>
    <definedName name="verdepth">#REF!</definedName>
    <definedName name="vio" localSheetId="0">#REF!</definedName>
    <definedName name="vio">#REF!</definedName>
    <definedName name="viogina" localSheetId="0">#REF!</definedName>
    <definedName name="viogina">#REF!</definedName>
    <definedName name="Viton" localSheetId="0">#REF!</definedName>
    <definedName name="Viton">#REF!</definedName>
    <definedName name="vol" localSheetId="0">#REF!</definedName>
    <definedName name="vol">#REF!</definedName>
    <definedName name="VolBlank" localSheetId="0">#REF!</definedName>
    <definedName name="VolBlank">#REF!</definedName>
    <definedName name="VolDisplaced" localSheetId="0">#REF!</definedName>
    <definedName name="VolDisplaced">#REF!</definedName>
    <definedName name="VolumeCalc" localSheetId="0">#REF!</definedName>
    <definedName name="VolumeCalc">#REF!</definedName>
    <definedName name="VolumeLogged" localSheetId="0">#REF!</definedName>
    <definedName name="VolumeLogged">#REF!</definedName>
    <definedName name="VolumeScreenDisplaced" localSheetId="0">#REF!</definedName>
    <definedName name="VolumeScreenDisplaced">#REF!</definedName>
    <definedName name="VSEC_Azim" localSheetId="0">#REF!</definedName>
    <definedName name="VSEC_Azim">#REF!</definedName>
    <definedName name="VSEC_Column" localSheetId="0">!#REF!</definedName>
    <definedName name="VSEC_Column">!#REF!</definedName>
    <definedName name="VSEC_Origin" localSheetId="0">#REF!</definedName>
    <definedName name="VSEC_Origin">#REF!</definedName>
    <definedName name="VSEC_Unit" localSheetId="0">#REF!</definedName>
    <definedName name="VSEC_Unit">#REF!</definedName>
    <definedName name="VSP" localSheetId="0">#REF!</definedName>
    <definedName name="VSP">#REF!</definedName>
    <definedName name="w" localSheetId="0">#REF!</definedName>
    <definedName name="w">#REF!</definedName>
    <definedName name="WASASA">#N/A</definedName>
    <definedName name="WASHOVER_NO" localSheetId="0">#REF!</definedName>
    <definedName name="WASHOVER_NO">#REF!</definedName>
    <definedName name="WASHOVER_NR" localSheetId="0">#REF!</definedName>
    <definedName name="WASHOVER_NR">#REF!</definedName>
    <definedName name="WASHOVER_TYPE" localSheetId="0">#REF!</definedName>
    <definedName name="WASHOVER_TYPE">#REF!</definedName>
    <definedName name="washpipe">#REF!</definedName>
    <definedName name="water_depth">#REF!</definedName>
    <definedName name="WaterDepth" localSheetId="0">#REF!</definedName>
    <definedName name="WaterDepth">#REF!</definedName>
    <definedName name="WD" localSheetId="0">#REF!</definedName>
    <definedName name="WD">#REF!</definedName>
    <definedName name="Weight" localSheetId="0">#REF!</definedName>
    <definedName name="Weight">#REF!</definedName>
    <definedName name="Well" localSheetId="0">#REF!</definedName>
    <definedName name="Well">#REF!</definedName>
    <definedName name="Well_name" localSheetId="0">#REF!</definedName>
    <definedName name="Well_name">#REF!</definedName>
    <definedName name="WELL_TYPE" localSheetId="0">#REF!</definedName>
    <definedName name="WELL_TYPE">#REF!</definedName>
    <definedName name="WELLHEAD" localSheetId="0">#REF!</definedName>
    <definedName name="WELLHEAD">#REF!</definedName>
    <definedName name="Wellname" localSheetId="0">#REF!</definedName>
    <definedName name="Wellname">#REF!</definedName>
    <definedName name="WellNo" localSheetId="1">#REF!</definedName>
    <definedName name="WellNo">#REF!</definedName>
    <definedName name="WELLNUMBER" localSheetId="0">#REF!</definedName>
    <definedName name="WELLNUMBER">#REF!</definedName>
    <definedName name="WELLTYPE" localSheetId="0">#REF!</definedName>
    <definedName name="WELLTYPE">#REF!</definedName>
    <definedName name="WH_COST" localSheetId="0">#REF!</definedName>
    <definedName name="WH_COST">#REF!</definedName>
    <definedName name="WH_DESC" localSheetId="0">#REF!</definedName>
    <definedName name="WH_DESC">#REF!</definedName>
    <definedName name="WH_UNIT" localSheetId="0">#REF!</definedName>
    <definedName name="WH_UNIT">#REF!</definedName>
    <definedName name="WINDOW_MILLING" localSheetId="0">#REF!</definedName>
    <definedName name="WINDOW_MILLING">#REF!</definedName>
    <definedName name="WIRE_WRAPPED_SCREEN" localSheetId="0">#REF!</definedName>
    <definedName name="WIRE_WRAPPED_SCREEN">#REF!</definedName>
    <definedName name="WO_DESCRIPTION" localSheetId="0">#REF!</definedName>
    <definedName name="WO_DESCRIPTION">#REF!</definedName>
    <definedName name="Workvolume" localSheetId="0">#REF!</definedName>
    <definedName name="Workvolume">#REF!</definedName>
    <definedName name="WOTime" localSheetId="0">#REF!</definedName>
    <definedName name="WOTime">#REF!</definedName>
    <definedName name="WP_ID" localSheetId="0">#REF!</definedName>
    <definedName name="WP_ID">#REF!</definedName>
    <definedName name="WP_LGTH" localSheetId="0">#REF!</definedName>
    <definedName name="WP_LGTH">#REF!</definedName>
    <definedName name="WP_OD" localSheetId="0">#REF!</definedName>
    <definedName name="WP_OD">#REF!</definedName>
    <definedName name="WP_Tally" localSheetId="0">#REF!</definedName>
    <definedName name="WP_Tally">#REF!</definedName>
    <definedName name="ws2h94" localSheetId="0">#REF!</definedName>
    <definedName name="ws2h94">#REF!</definedName>
    <definedName name="wtr_cumm" localSheetId="0">#REF!</definedName>
    <definedName name="wtr_cumm">#REF!</definedName>
    <definedName name="wtr_rate" localSheetId="0">#REF!</definedName>
    <definedName name="wtr_rate">#REF!</definedName>
    <definedName name="WWS" localSheetId="0">#REF!</definedName>
    <definedName name="WWS">#REF!</definedName>
    <definedName name="WWS_COST" localSheetId="0">#REF!</definedName>
    <definedName name="WWS_COST">#REF!</definedName>
    <definedName name="WWS_UNIT" localSheetId="0">#REF!</definedName>
    <definedName name="WWS_UNIT">#REF!</definedName>
    <definedName name="X" localSheetId="0">#REF!</definedName>
    <definedName name="X">#REF!</definedName>
    <definedName name="XMAS_TREE" localSheetId="0">#REF!</definedName>
    <definedName name="XMAS_TREE">#REF!</definedName>
    <definedName name="XMASTREE" localSheetId="0">#REF!</definedName>
    <definedName name="XMASTREE">#REF!</definedName>
    <definedName name="XMASTREE_COST" localSheetId="0">#REF!</definedName>
    <definedName name="XMASTREE_COST">#REF!</definedName>
    <definedName name="XMASTREE_DESC" localSheetId="0">#REF!</definedName>
    <definedName name="XMASTREE_DESC">#REF!</definedName>
    <definedName name="XMASTREE_UNIT" localSheetId="0">#REF!</definedName>
    <definedName name="XMASTREE_UNIT">#REF!</definedName>
    <definedName name="XO" localSheetId="0">#REF!</definedName>
    <definedName name="XO">#REF!</definedName>
    <definedName name="xocsg" localSheetId="0">#REF!</definedName>
    <definedName name="xocsg">#REF!</definedName>
    <definedName name="XXX">#N/A</definedName>
    <definedName name="xy" localSheetId="0">#REF!</definedName>
    <definedName name="xy">#REF!</definedName>
    <definedName name="xz" localSheetId="0">#REF!</definedName>
    <definedName name="xz">#REF!</definedName>
    <definedName name="Y" localSheetId="0">#REF!</definedName>
    <definedName name="Y">#REF!</definedName>
    <definedName name="YJEJD">#N/A</definedName>
    <definedName name="Z" localSheetId="0">#REF!</definedName>
    <definedName name="Z">#REF!</definedName>
    <definedName name="Z_57705AE0_A88A_11D2_80E7_0080C79FE08D_.wvu.Cols" localSheetId="0" hidden="1">'RIH-DRAFT'!#REF!</definedName>
    <definedName name="Z_57705AE0_A88A_11D2_80E7_0080C79FE08D_.wvu.PrintArea" localSheetId="0" hidden="1">'RIH-DRAFT'!$B$21:$M$304</definedName>
    <definedName name="Z_57705AE0_A88A_11D2_80E7_0080C79FE08D_.wvu.PrintTitles" localSheetId="0" hidden="1">'RIH-DRAFT'!$21:$22</definedName>
    <definedName name="za" localSheetId="0">#REF!</definedName>
    <definedName name="za">#REF!</definedName>
    <definedName name="zc" localSheetId="0">#REF!</definedName>
    <definedName name="zc">#REF!</definedName>
    <definedName name="zz" localSheetId="0">#REF!</definedName>
    <definedName name="zz">#REF!</definedName>
    <definedName name="_xlnm.Database" localSheetId="0">#REF!</definedName>
    <definedName name="_xlnm.Database">#REF!</definedName>
    <definedName name="_xlnm.Print_Titles" localSheetId="0">'RIH-DRAFT'!$21:$22</definedName>
    <definedName name="_xlnm.Print_Titles">#REF!</definedName>
    <definedName name="_xlnm.Criteria" localSheetId="0">#REF!</definedName>
    <definedName name="_xlnm.Criteria">#REF!</definedName>
    <definedName name="_xlnm.Print_Area" localSheetId="2">'7" JFE Pup Jts_UC'!$A$1:$W$34</definedName>
    <definedName name="_xlnm.Print_Area" localSheetId="0">'RIH-DRAFT'!$A$1:$O$254</definedName>
    <definedName name="_xlnm.Print_Area" localSheetId="1">Tally!$A$1:$Q$376</definedName>
    <definedName name="_xlnm.Print_Area">#N/A</definedName>
    <definedName name="_xlnm.Recorder" localSheetId="0">#REF!</definedName>
    <definedName name="_xlnm.Record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7" l="1"/>
  <c r="M10" i="17"/>
  <c r="F247" i="17" l="1"/>
  <c r="F246" i="17"/>
  <c r="F245" i="17"/>
  <c r="G57" i="17"/>
  <c r="G70" i="17"/>
  <c r="G201" i="17"/>
  <c r="C35" i="17" l="1"/>
  <c r="H41" i="17" l="1"/>
  <c r="H42" i="17" s="1"/>
  <c r="H39" i="17"/>
  <c r="H38" i="17" s="1"/>
  <c r="H37" i="17" s="1"/>
  <c r="H36" i="17" s="1"/>
  <c r="F34" i="22"/>
  <c r="F33" i="22"/>
  <c r="F32" i="22"/>
  <c r="R19" i="22"/>
  <c r="R18" i="22"/>
  <c r="R17" i="22"/>
  <c r="J18" i="22"/>
  <c r="J17" i="22"/>
  <c r="J16" i="22"/>
  <c r="B34" i="22"/>
  <c r="B33" i="22"/>
  <c r="B32" i="22"/>
  <c r="J34" i="22"/>
  <c r="J33" i="22"/>
  <c r="J32" i="22"/>
  <c r="H35" i="17" l="1"/>
  <c r="P36" i="17"/>
  <c r="H43" i="17"/>
  <c r="M8" i="17"/>
  <c r="M9" i="17"/>
  <c r="I37" i="17"/>
  <c r="I38" i="17" l="1"/>
  <c r="P37" i="17"/>
  <c r="H34" i="17"/>
  <c r="H33" i="17" s="1"/>
  <c r="P35" i="17"/>
  <c r="H44" i="17"/>
  <c r="G69" i="17"/>
  <c r="H21" i="1"/>
  <c r="M71" i="17"/>
  <c r="M69" i="17"/>
  <c r="I39" i="17" l="1"/>
  <c r="P38" i="17"/>
  <c r="P30" i="17"/>
  <c r="P32" i="17"/>
  <c r="P39" i="17" l="1"/>
  <c r="I40" i="17"/>
  <c r="P40" i="17" l="1"/>
  <c r="I41" i="17"/>
  <c r="P41" i="17" l="1"/>
  <c r="I42" i="17"/>
  <c r="O37" i="17"/>
  <c r="G83" i="17"/>
  <c r="P42" i="17" l="1"/>
  <c r="I43" i="17"/>
  <c r="O38" i="17"/>
  <c r="O39" i="17" s="1"/>
  <c r="O40" i="17" s="1"/>
  <c r="O41" i="17" s="1"/>
  <c r="O42" i="17" s="1"/>
  <c r="O43" i="17" s="1"/>
  <c r="O44" i="17" s="1"/>
  <c r="O45" i="17" s="1"/>
  <c r="O46" i="17" s="1"/>
  <c r="O47" i="17" s="1"/>
  <c r="O48" i="17" s="1"/>
  <c r="O49" i="17" s="1"/>
  <c r="O50" i="17" s="1"/>
  <c r="O51" i="17" s="1"/>
  <c r="O52" i="17" s="1"/>
  <c r="O53" i="17" s="1"/>
  <c r="O54" i="17" s="1"/>
  <c r="O55" i="17" s="1"/>
  <c r="O56" i="17" s="1"/>
  <c r="O57" i="17" s="1"/>
  <c r="O58" i="17" s="1"/>
  <c r="O59" i="17" s="1"/>
  <c r="O60" i="17" s="1"/>
  <c r="O61" i="17" s="1"/>
  <c r="O62" i="17" s="1"/>
  <c r="O63" i="17" s="1"/>
  <c r="O64" i="17" s="1"/>
  <c r="O65" i="17" s="1"/>
  <c r="O66" i="17" s="1"/>
  <c r="O67" i="17" s="1"/>
  <c r="O68" i="17" s="1"/>
  <c r="O69" i="17" s="1"/>
  <c r="O70" i="17" s="1"/>
  <c r="O71" i="17" s="1"/>
  <c r="O72" i="17" s="1"/>
  <c r="O73" i="17" s="1"/>
  <c r="O74" i="17" s="1"/>
  <c r="O75" i="17" s="1"/>
  <c r="O76" i="17" s="1"/>
  <c r="O77" i="17" s="1"/>
  <c r="O78" i="17" s="1"/>
  <c r="O79" i="17" s="1"/>
  <c r="O80" i="17" s="1"/>
  <c r="O81" i="17" s="1"/>
  <c r="O82" i="17" s="1"/>
  <c r="O83" i="17" s="1"/>
  <c r="O84" i="17" s="1"/>
  <c r="O85" i="17" s="1"/>
  <c r="O86" i="17" s="1"/>
  <c r="O87" i="17" s="1"/>
  <c r="O88" i="17" s="1"/>
  <c r="O89" i="17" s="1"/>
  <c r="O90" i="17" s="1"/>
  <c r="O91" i="17" s="1"/>
  <c r="O92" i="17" s="1"/>
  <c r="O93" i="17" s="1"/>
  <c r="O94" i="17" s="1"/>
  <c r="O95" i="17" s="1"/>
  <c r="O96" i="17" s="1"/>
  <c r="O97" i="17" s="1"/>
  <c r="O98" i="17" s="1"/>
  <c r="O99" i="17" s="1"/>
  <c r="O100" i="17" s="1"/>
  <c r="O101" i="17" s="1"/>
  <c r="O102" i="17" s="1"/>
  <c r="O103" i="17" s="1"/>
  <c r="O104" i="17" s="1"/>
  <c r="O105" i="17" s="1"/>
  <c r="O106" i="17" s="1"/>
  <c r="O107" i="17" s="1"/>
  <c r="O108" i="17" s="1"/>
  <c r="O109" i="17" s="1"/>
  <c r="O110" i="17" s="1"/>
  <c r="O111" i="17" s="1"/>
  <c r="O112" i="17" s="1"/>
  <c r="O113" i="17" s="1"/>
  <c r="O114" i="17" s="1"/>
  <c r="O115" i="17" s="1"/>
  <c r="O116" i="17" s="1"/>
  <c r="O117" i="17" s="1"/>
  <c r="O118" i="17" s="1"/>
  <c r="O119" i="17" s="1"/>
  <c r="O120" i="17" s="1"/>
  <c r="O121" i="17" s="1"/>
  <c r="O122" i="17" s="1"/>
  <c r="O123" i="17" s="1"/>
  <c r="O124" i="17" s="1"/>
  <c r="O125" i="17" s="1"/>
  <c r="O126" i="17" s="1"/>
  <c r="O127" i="17" s="1"/>
  <c r="O128" i="17" s="1"/>
  <c r="O129" i="17" s="1"/>
  <c r="O130" i="17" s="1"/>
  <c r="O131" i="17" s="1"/>
  <c r="O132" i="17" s="1"/>
  <c r="O133" i="17" s="1"/>
  <c r="O134" i="17" s="1"/>
  <c r="O135" i="17" s="1"/>
  <c r="O136" i="17" s="1"/>
  <c r="O137" i="17" s="1"/>
  <c r="O138" i="17" s="1"/>
  <c r="O139" i="17" s="1"/>
  <c r="O140" i="17" s="1"/>
  <c r="O141" i="17" s="1"/>
  <c r="O142" i="17" s="1"/>
  <c r="O143" i="17" s="1"/>
  <c r="O144" i="17" s="1"/>
  <c r="O145" i="17" s="1"/>
  <c r="O146" i="17" s="1"/>
  <c r="O147" i="17" s="1"/>
  <c r="O148" i="17" s="1"/>
  <c r="O149" i="17" s="1"/>
  <c r="O150" i="17" s="1"/>
  <c r="O151" i="17" s="1"/>
  <c r="O152" i="17" s="1"/>
  <c r="O153" i="17" s="1"/>
  <c r="O154" i="17" s="1"/>
  <c r="O155" i="17" s="1"/>
  <c r="O156" i="17" s="1"/>
  <c r="O157" i="17" s="1"/>
  <c r="O158" i="17" s="1"/>
  <c r="O159" i="17" s="1"/>
  <c r="O160" i="17" s="1"/>
  <c r="O161" i="17" s="1"/>
  <c r="O162" i="17" s="1"/>
  <c r="O163" i="17" s="1"/>
  <c r="O164" i="17" s="1"/>
  <c r="O165" i="17" s="1"/>
  <c r="O166" i="17" s="1"/>
  <c r="O167" i="17" s="1"/>
  <c r="O168" i="17" s="1"/>
  <c r="O169" i="17" s="1"/>
  <c r="O170" i="17" s="1"/>
  <c r="O171" i="17" s="1"/>
  <c r="O172" i="17" s="1"/>
  <c r="O173" i="17" s="1"/>
  <c r="O174" i="17" s="1"/>
  <c r="O175" i="17" s="1"/>
  <c r="O176" i="17" s="1"/>
  <c r="O177" i="17" s="1"/>
  <c r="O178" i="17" s="1"/>
  <c r="O179" i="17" s="1"/>
  <c r="O180" i="17" s="1"/>
  <c r="O181" i="17" s="1"/>
  <c r="O182" i="17" s="1"/>
  <c r="O183" i="17" s="1"/>
  <c r="O184" i="17" s="1"/>
  <c r="O185" i="17" s="1"/>
  <c r="O186" i="17" s="1"/>
  <c r="O187" i="17" s="1"/>
  <c r="O188" i="17" s="1"/>
  <c r="O189" i="17" s="1"/>
  <c r="O190" i="17" s="1"/>
  <c r="O191" i="17" s="1"/>
  <c r="O192" i="17" s="1"/>
  <c r="O193" i="17" s="1"/>
  <c r="O194" i="17" s="1"/>
  <c r="O195" i="17" s="1"/>
  <c r="O196" i="17" s="1"/>
  <c r="O197" i="17" s="1"/>
  <c r="O198" i="17" s="1"/>
  <c r="O199" i="17" s="1"/>
  <c r="O200" i="17" s="1"/>
  <c r="O201" i="17" s="1"/>
  <c r="O202" i="17" s="1"/>
  <c r="O203" i="17" s="1"/>
  <c r="O204" i="17" s="1"/>
  <c r="O205" i="17" s="1"/>
  <c r="O206" i="17" s="1"/>
  <c r="O207" i="17" s="1"/>
  <c r="O208" i="17" s="1"/>
  <c r="O209" i="17" s="1"/>
  <c r="O210" i="17" s="1"/>
  <c r="O211" i="17" s="1"/>
  <c r="O212" i="17" s="1"/>
  <c r="O213" i="17" s="1"/>
  <c r="O214" i="17" s="1"/>
  <c r="O215" i="17" s="1"/>
  <c r="O216" i="17" s="1"/>
  <c r="O217" i="17" s="1"/>
  <c r="O218" i="17" s="1"/>
  <c r="O219" i="17" s="1"/>
  <c r="O220" i="17" s="1"/>
  <c r="O221" i="17" s="1"/>
  <c r="O222" i="17" s="1"/>
  <c r="O223" i="17" s="1"/>
  <c r="O224" i="17" s="1"/>
  <c r="O225" i="17" s="1"/>
  <c r="O226" i="17" s="1"/>
  <c r="O227" i="17" s="1"/>
  <c r="O228" i="17" s="1"/>
  <c r="P43" i="17" l="1"/>
  <c r="I44" i="17"/>
  <c r="P44" i="17" l="1"/>
  <c r="P33" i="17"/>
  <c r="P34" i="17"/>
  <c r="C5" i="1" l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50" i="1" l="1"/>
  <c r="O6" i="22"/>
  <c r="S13" i="22" s="1"/>
  <c r="S37" i="22"/>
  <c r="S29" i="22"/>
  <c r="S28" i="22"/>
  <c r="A1" i="22"/>
  <c r="O6" i="21"/>
  <c r="K17" i="21" s="1"/>
  <c r="S37" i="21"/>
  <c r="S29" i="21"/>
  <c r="S28" i="21"/>
  <c r="A1" i="21"/>
  <c r="L16" i="1"/>
  <c r="C35" i="1"/>
  <c r="K15" i="21" l="1"/>
  <c r="K28" i="22"/>
  <c r="K13" i="21"/>
  <c r="K12" i="21"/>
  <c r="G27" i="22"/>
  <c r="C28" i="22"/>
  <c r="C27" i="22"/>
  <c r="K13" i="22"/>
  <c r="C26" i="22"/>
  <c r="K16" i="21"/>
  <c r="K26" i="22"/>
  <c r="K27" i="22"/>
  <c r="K14" i="21"/>
  <c r="G28" i="22"/>
  <c r="O11" i="21"/>
  <c r="O14" i="21"/>
  <c r="O13" i="21"/>
  <c r="O12" i="21"/>
  <c r="O15" i="21"/>
  <c r="K11" i="21"/>
  <c r="K34" i="22"/>
  <c r="K17" i="22"/>
  <c r="C32" i="22"/>
  <c r="C33" i="22"/>
  <c r="C34" i="22"/>
  <c r="K16" i="22"/>
  <c r="K18" i="22"/>
  <c r="S17" i="22"/>
  <c r="S18" i="22"/>
  <c r="S19" i="22"/>
  <c r="G32" i="22"/>
  <c r="G33" i="22"/>
  <c r="G34" i="22"/>
  <c r="K32" i="22"/>
  <c r="K33" i="22"/>
  <c r="G26" i="22"/>
  <c r="O13" i="22"/>
  <c r="S11" i="22"/>
  <c r="K11" i="22"/>
  <c r="O11" i="22"/>
  <c r="K12" i="22"/>
  <c r="O12" i="22"/>
  <c r="S12" i="22"/>
  <c r="S12" i="21"/>
  <c r="S11" i="21"/>
  <c r="C23" i="1" l="1"/>
  <c r="C24" i="1"/>
  <c r="C25" i="1"/>
  <c r="C26" i="1"/>
  <c r="C27" i="1"/>
  <c r="C28" i="1"/>
  <c r="C29" i="1"/>
  <c r="C30" i="1"/>
  <c r="C31" i="1"/>
  <c r="C32" i="1"/>
  <c r="C33" i="1"/>
  <c r="C34" i="1"/>
  <c r="C36" i="1"/>
  <c r="C37" i="1"/>
  <c r="C38" i="1"/>
  <c r="C39" i="1"/>
  <c r="C40" i="1"/>
  <c r="H5" i="1"/>
  <c r="H274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G224" i="17" s="1"/>
  <c r="F248" i="17" s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G177" i="17" s="1"/>
  <c r="H168" i="1"/>
  <c r="G178" i="17" s="1"/>
  <c r="H169" i="1"/>
  <c r="G179" i="17" s="1"/>
  <c r="H170" i="1"/>
  <c r="G180" i="17" s="1"/>
  <c r="H171" i="1"/>
  <c r="G181" i="17" s="1"/>
  <c r="H172" i="1"/>
  <c r="G182" i="17" s="1"/>
  <c r="H173" i="1"/>
  <c r="G183" i="17" s="1"/>
  <c r="H174" i="1"/>
  <c r="G184" i="17" s="1"/>
  <c r="H175" i="1"/>
  <c r="H176" i="1"/>
  <c r="G168" i="17" s="1"/>
  <c r="H177" i="1"/>
  <c r="G169" i="17" s="1"/>
  <c r="H178" i="1"/>
  <c r="G170" i="17" s="1"/>
  <c r="H179" i="1"/>
  <c r="G171" i="17" s="1"/>
  <c r="H180" i="1"/>
  <c r="G172" i="17" s="1"/>
  <c r="H181" i="1"/>
  <c r="G173" i="17" s="1"/>
  <c r="H182" i="1"/>
  <c r="G174" i="17" s="1"/>
  <c r="H183" i="1"/>
  <c r="G175" i="17" s="1"/>
  <c r="H184" i="1"/>
  <c r="G176" i="17" s="1"/>
  <c r="H185" i="1"/>
  <c r="G159" i="17" s="1"/>
  <c r="H186" i="1"/>
  <c r="G160" i="17" s="1"/>
  <c r="H187" i="1"/>
  <c r="G161" i="17" s="1"/>
  <c r="H188" i="1"/>
  <c r="G162" i="17" s="1"/>
  <c r="H189" i="1"/>
  <c r="G163" i="17" s="1"/>
  <c r="H190" i="1"/>
  <c r="G164" i="17" s="1"/>
  <c r="H191" i="1"/>
  <c r="G165" i="17" s="1"/>
  <c r="H192" i="1"/>
  <c r="G166" i="17" s="1"/>
  <c r="H193" i="1"/>
  <c r="G167" i="17" s="1"/>
  <c r="H194" i="1"/>
  <c r="H195" i="1"/>
  <c r="H196" i="1"/>
  <c r="H197" i="1"/>
  <c r="H198" i="1"/>
  <c r="H199" i="1"/>
  <c r="G155" i="17" s="1"/>
  <c r="H200" i="1"/>
  <c r="G156" i="17" s="1"/>
  <c r="H201" i="1"/>
  <c r="G157" i="17" s="1"/>
  <c r="H202" i="1"/>
  <c r="G158" i="17" s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G73" i="17" s="1"/>
  <c r="H267" i="1"/>
  <c r="G49" i="17" s="1"/>
  <c r="H268" i="1"/>
  <c r="G48" i="17" s="1"/>
  <c r="H269" i="1"/>
  <c r="G47" i="17" s="1"/>
  <c r="H270" i="1"/>
  <c r="G46" i="17" s="1"/>
  <c r="H271" i="1"/>
  <c r="G45" i="17" s="1"/>
  <c r="H272" i="1"/>
  <c r="H273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L6" i="1"/>
  <c r="L7" i="1"/>
  <c r="L8" i="1"/>
  <c r="L9" i="1"/>
  <c r="L10" i="1"/>
  <c r="L11" i="1"/>
  <c r="L12" i="1"/>
  <c r="L13" i="1"/>
  <c r="L14" i="1"/>
  <c r="L15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" i="1"/>
  <c r="C8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  <c r="H3" i="1"/>
  <c r="H45" i="17" l="1"/>
  <c r="I45" i="17"/>
  <c r="I46" i="17" s="1"/>
  <c r="I47" i="17" s="1"/>
  <c r="I48" i="17" s="1"/>
  <c r="I49" i="17" s="1"/>
  <c r="I50" i="17" s="1"/>
  <c r="I51" i="17" s="1"/>
  <c r="G3" i="1"/>
  <c r="H46" i="17" l="1"/>
  <c r="P45" i="17"/>
  <c r="I52" i="17"/>
  <c r="B3" i="1"/>
  <c r="P46" i="17" l="1"/>
  <c r="H47" i="17"/>
  <c r="I53" i="17"/>
  <c r="H15" i="17"/>
  <c r="H14" i="17"/>
  <c r="P47" i="17" l="1"/>
  <c r="H48" i="17"/>
  <c r="G81" i="17"/>
  <c r="G197" i="17"/>
  <c r="G235" i="17"/>
  <c r="G243" i="17" s="1"/>
  <c r="I54" i="17"/>
  <c r="G66" i="17"/>
  <c r="G55" i="17"/>
  <c r="H49" i="17" l="1"/>
  <c r="P48" i="17"/>
  <c r="I55" i="17"/>
  <c r="I56" i="17" s="1"/>
  <c r="I57" i="17" s="1"/>
  <c r="I58" i="17" s="1"/>
  <c r="I59" i="17" s="1"/>
  <c r="I60" i="17" s="1"/>
  <c r="I61" i="17" s="1"/>
  <c r="I62" i="17" s="1"/>
  <c r="I63" i="17" s="1"/>
  <c r="H50" i="17" l="1"/>
  <c r="P49" i="17"/>
  <c r="I64" i="17"/>
  <c r="D5" i="17"/>
  <c r="H51" i="17" l="1"/>
  <c r="P50" i="17"/>
  <c r="I65" i="17"/>
  <c r="T416" i="17"/>
  <c r="T415" i="17"/>
  <c r="T414" i="17"/>
  <c r="T413" i="17"/>
  <c r="T412" i="17"/>
  <c r="T411" i="17"/>
  <c r="T410" i="17"/>
  <c r="T409" i="17"/>
  <c r="T408" i="17"/>
  <c r="T407" i="17"/>
  <c r="T406" i="17"/>
  <c r="T405" i="17"/>
  <c r="T404" i="17"/>
  <c r="T403" i="17"/>
  <c r="T402" i="17"/>
  <c r="T401" i="17"/>
  <c r="T400" i="17"/>
  <c r="T399" i="17"/>
  <c r="T398" i="17"/>
  <c r="T397" i="17"/>
  <c r="T396" i="17"/>
  <c r="T395" i="17"/>
  <c r="T394" i="17"/>
  <c r="T393" i="17"/>
  <c r="T392" i="17"/>
  <c r="T391" i="17"/>
  <c r="T390" i="17"/>
  <c r="T389" i="17"/>
  <c r="T388" i="17"/>
  <c r="T387" i="17"/>
  <c r="T386" i="17"/>
  <c r="T385" i="17"/>
  <c r="T384" i="17"/>
  <c r="T383" i="17"/>
  <c r="T382" i="17"/>
  <c r="T381" i="17"/>
  <c r="T380" i="17"/>
  <c r="T379" i="17"/>
  <c r="T378" i="17"/>
  <c r="T377" i="17"/>
  <c r="T376" i="17"/>
  <c r="T375" i="17"/>
  <c r="T374" i="17"/>
  <c r="T373" i="17"/>
  <c r="T372" i="17"/>
  <c r="T371" i="17"/>
  <c r="T370" i="17"/>
  <c r="T369" i="17"/>
  <c r="T368" i="17"/>
  <c r="T367" i="17"/>
  <c r="T366" i="17"/>
  <c r="T365" i="17"/>
  <c r="T364" i="17"/>
  <c r="T363" i="17"/>
  <c r="T362" i="17"/>
  <c r="T361" i="17"/>
  <c r="T360" i="17"/>
  <c r="T359" i="17"/>
  <c r="T358" i="17"/>
  <c r="T357" i="17"/>
  <c r="T356" i="17"/>
  <c r="T355" i="17"/>
  <c r="T354" i="17"/>
  <c r="T353" i="17"/>
  <c r="T352" i="17"/>
  <c r="T351" i="17"/>
  <c r="T350" i="17"/>
  <c r="T349" i="17"/>
  <c r="T348" i="17"/>
  <c r="T347" i="17"/>
  <c r="T346" i="17"/>
  <c r="T345" i="17"/>
  <c r="T344" i="17"/>
  <c r="T343" i="17"/>
  <c r="T342" i="17"/>
  <c r="T341" i="17"/>
  <c r="T340" i="17"/>
  <c r="T339" i="17"/>
  <c r="T338" i="17"/>
  <c r="T337" i="17"/>
  <c r="T336" i="17"/>
  <c r="T335" i="17"/>
  <c r="T334" i="17"/>
  <c r="T333" i="17"/>
  <c r="T332" i="17"/>
  <c r="T331" i="17"/>
  <c r="T330" i="17"/>
  <c r="T329" i="17"/>
  <c r="T328" i="17"/>
  <c r="T327" i="17"/>
  <c r="T326" i="17"/>
  <c r="T325" i="17"/>
  <c r="T324" i="17"/>
  <c r="T323" i="17"/>
  <c r="T322" i="17"/>
  <c r="T321" i="17"/>
  <c r="T320" i="17"/>
  <c r="T319" i="17"/>
  <c r="T318" i="17"/>
  <c r="T317" i="17"/>
  <c r="T316" i="17"/>
  <c r="T315" i="17"/>
  <c r="T314" i="17"/>
  <c r="T313" i="17"/>
  <c r="T312" i="17"/>
  <c r="T311" i="17"/>
  <c r="T309" i="17"/>
  <c r="T308" i="17"/>
  <c r="S30" i="17"/>
  <c r="T28" i="17"/>
  <c r="H52" i="17" l="1"/>
  <c r="P51" i="17"/>
  <c r="I66" i="17"/>
  <c r="I67" i="17" s="1"/>
  <c r="G87" i="17"/>
  <c r="H53" i="17" l="1"/>
  <c r="P52" i="17"/>
  <c r="I68" i="17"/>
  <c r="G88" i="17"/>
  <c r="O298" i="1"/>
  <c r="H54" i="17" l="1"/>
  <c r="P53" i="17"/>
  <c r="I69" i="17"/>
  <c r="G89" i="17"/>
  <c r="H376" i="1"/>
  <c r="P4" i="1"/>
  <c r="F376" i="1"/>
  <c r="O4" i="1" s="1"/>
  <c r="H374" i="1"/>
  <c r="F374" i="1"/>
  <c r="H55" i="17" l="1"/>
  <c r="P54" i="17"/>
  <c r="I70" i="17"/>
  <c r="G90" i="17"/>
  <c r="C374" i="1"/>
  <c r="N2" i="1" s="1"/>
  <c r="C376" i="1"/>
  <c r="H56" i="17" l="1"/>
  <c r="P55" i="17"/>
  <c r="I71" i="17"/>
  <c r="G91" i="17"/>
  <c r="N4" i="1"/>
  <c r="H57" i="17" l="1"/>
  <c r="P56" i="17"/>
  <c r="I72" i="17"/>
  <c r="G92" i="17"/>
  <c r="H58" i="17" l="1"/>
  <c r="P57" i="17"/>
  <c r="I73" i="17"/>
  <c r="G93" i="17"/>
  <c r="P58" i="17" l="1"/>
  <c r="H59" i="17"/>
  <c r="G94" i="17"/>
  <c r="P59" i="17" l="1"/>
  <c r="H60" i="17"/>
  <c r="G95" i="17"/>
  <c r="H61" i="17" l="1"/>
  <c r="P60" i="17"/>
  <c r="I74" i="17"/>
  <c r="G96" i="17"/>
  <c r="H62" i="17" l="1"/>
  <c r="P61" i="17"/>
  <c r="I75" i="17"/>
  <c r="G97" i="17"/>
  <c r="H63" i="17" l="1"/>
  <c r="P62" i="17"/>
  <c r="I76" i="17"/>
  <c r="G98" i="17"/>
  <c r="H64" i="17" l="1"/>
  <c r="P63" i="17"/>
  <c r="I77" i="17"/>
  <c r="G99" i="17"/>
  <c r="H65" i="17" l="1"/>
  <c r="P64" i="17"/>
  <c r="I78" i="17"/>
  <c r="G100" i="17"/>
  <c r="H66" i="17" l="1"/>
  <c r="P65" i="17"/>
  <c r="I79" i="17"/>
  <c r="G101" i="17"/>
  <c r="H67" i="17" l="1"/>
  <c r="P66" i="17"/>
  <c r="I80" i="17"/>
  <c r="G102" i="17"/>
  <c r="H68" i="17" l="1"/>
  <c r="P67" i="17"/>
  <c r="I81" i="17"/>
  <c r="G103" i="17"/>
  <c r="C64" i="17" l="1"/>
  <c r="H69" i="17"/>
  <c r="P68" i="17"/>
  <c r="L65" i="17"/>
  <c r="I82" i="17"/>
  <c r="G104" i="17"/>
  <c r="L64" i="17" l="1"/>
  <c r="L66" i="17"/>
  <c r="M56" i="17"/>
  <c r="H70" i="17"/>
  <c r="P69" i="17"/>
  <c r="I83" i="17"/>
  <c r="G105" i="17"/>
  <c r="H71" i="17" l="1"/>
  <c r="P70" i="17"/>
  <c r="I84" i="17"/>
  <c r="G106" i="17"/>
  <c r="H72" i="17" l="1"/>
  <c r="P71" i="17"/>
  <c r="I85" i="17"/>
  <c r="G107" i="17"/>
  <c r="H73" i="17" l="1"/>
  <c r="P72" i="17"/>
  <c r="I86" i="17"/>
  <c r="G108" i="17"/>
  <c r="H74" i="17" l="1"/>
  <c r="P73" i="17"/>
  <c r="I87" i="17"/>
  <c r="G109" i="17"/>
  <c r="H75" i="17" l="1"/>
  <c r="P74" i="17"/>
  <c r="I88" i="17"/>
  <c r="G110" i="17"/>
  <c r="P75" i="17" l="1"/>
  <c r="H76" i="17"/>
  <c r="I89" i="17"/>
  <c r="G111" i="17"/>
  <c r="H77" i="17" l="1"/>
  <c r="P76" i="17"/>
  <c r="I90" i="17"/>
  <c r="G112" i="17"/>
  <c r="P77" i="17" l="1"/>
  <c r="H78" i="17"/>
  <c r="I91" i="17"/>
  <c r="G113" i="17"/>
  <c r="H79" i="17" l="1"/>
  <c r="P78" i="17"/>
  <c r="I92" i="17"/>
  <c r="G114" i="17"/>
  <c r="H80" i="17" l="1"/>
  <c r="P79" i="17"/>
  <c r="I93" i="17"/>
  <c r="G115" i="17"/>
  <c r="H81" i="17" l="1"/>
  <c r="P80" i="17"/>
  <c r="I94" i="17"/>
  <c r="G116" i="17"/>
  <c r="H82" i="17" l="1"/>
  <c r="P81" i="17"/>
  <c r="I95" i="17"/>
  <c r="G117" i="17"/>
  <c r="C79" i="17" l="1"/>
  <c r="H83" i="17"/>
  <c r="P82" i="17"/>
  <c r="L81" i="17"/>
  <c r="L83" i="17" s="1"/>
  <c r="I96" i="17"/>
  <c r="G118" i="17"/>
  <c r="H84" i="17" l="1"/>
  <c r="P83" i="17"/>
  <c r="I97" i="17"/>
  <c r="G119" i="17"/>
  <c r="H85" i="17" l="1"/>
  <c r="P84" i="17"/>
  <c r="I98" i="17"/>
  <c r="G120" i="17"/>
  <c r="H86" i="17" l="1"/>
  <c r="P85" i="17"/>
  <c r="I99" i="17"/>
  <c r="G121" i="17"/>
  <c r="H87" i="17" l="1"/>
  <c r="P86" i="17"/>
  <c r="I100" i="17"/>
  <c r="G122" i="17"/>
  <c r="H88" i="17" l="1"/>
  <c r="P87" i="17"/>
  <c r="I101" i="17"/>
  <c r="G123" i="17"/>
  <c r="H89" i="17" l="1"/>
  <c r="P88" i="17"/>
  <c r="I102" i="17"/>
  <c r="G124" i="17"/>
  <c r="H90" i="17" l="1"/>
  <c r="P89" i="17"/>
  <c r="I103" i="17"/>
  <c r="G125" i="17"/>
  <c r="H91" i="17" l="1"/>
  <c r="P90" i="17"/>
  <c r="I104" i="17"/>
  <c r="G126" i="17"/>
  <c r="H92" i="17" l="1"/>
  <c r="P91" i="17"/>
  <c r="I105" i="17"/>
  <c r="G127" i="17"/>
  <c r="H93" i="17" l="1"/>
  <c r="P92" i="17"/>
  <c r="I106" i="17"/>
  <c r="G128" i="17"/>
  <c r="H94" i="17" l="1"/>
  <c r="P93" i="17"/>
  <c r="I107" i="17"/>
  <c r="G129" i="17"/>
  <c r="H95" i="17" l="1"/>
  <c r="P94" i="17"/>
  <c r="I108" i="17"/>
  <c r="G130" i="17"/>
  <c r="H96" i="17" l="1"/>
  <c r="P95" i="17"/>
  <c r="I109" i="17"/>
  <c r="G131" i="17"/>
  <c r="H97" i="17" l="1"/>
  <c r="P96" i="17"/>
  <c r="I110" i="17"/>
  <c r="G132" i="17"/>
  <c r="H98" i="17" l="1"/>
  <c r="P97" i="17"/>
  <c r="I111" i="17"/>
  <c r="G133" i="17"/>
  <c r="H99" i="17" l="1"/>
  <c r="P98" i="17"/>
  <c r="I112" i="17"/>
  <c r="G134" i="17"/>
  <c r="H100" i="17" l="1"/>
  <c r="P99" i="17"/>
  <c r="I113" i="17"/>
  <c r="G135" i="17"/>
  <c r="H101" i="17" l="1"/>
  <c r="P100" i="17"/>
  <c r="I114" i="17"/>
  <c r="G136" i="17"/>
  <c r="H102" i="17" l="1"/>
  <c r="P101" i="17"/>
  <c r="I115" i="17"/>
  <c r="G137" i="17"/>
  <c r="H103" i="17" l="1"/>
  <c r="P102" i="17"/>
  <c r="I116" i="17"/>
  <c r="G138" i="17"/>
  <c r="H104" i="17" l="1"/>
  <c r="P103" i="17"/>
  <c r="I117" i="17"/>
  <c r="G139" i="17"/>
  <c r="H105" i="17" l="1"/>
  <c r="P104" i="17"/>
  <c r="I118" i="17"/>
  <c r="G140" i="17"/>
  <c r="H106" i="17" l="1"/>
  <c r="P105" i="17"/>
  <c r="I119" i="17"/>
  <c r="G141" i="17"/>
  <c r="H107" i="17" l="1"/>
  <c r="P106" i="17"/>
  <c r="I120" i="17"/>
  <c r="G142" i="17"/>
  <c r="H108" i="17" l="1"/>
  <c r="P107" i="17"/>
  <c r="I121" i="17"/>
  <c r="G143" i="17"/>
  <c r="P296" i="17"/>
  <c r="H109" i="17" l="1"/>
  <c r="P108" i="17"/>
  <c r="I122" i="17"/>
  <c r="G144" i="17"/>
  <c r="P297" i="17"/>
  <c r="H110" i="17" l="1"/>
  <c r="P109" i="17"/>
  <c r="I123" i="17"/>
  <c r="G145" i="17"/>
  <c r="P298" i="17"/>
  <c r="P110" i="17" l="1"/>
  <c r="H111" i="17"/>
  <c r="I124" i="17"/>
  <c r="G146" i="17"/>
  <c r="P299" i="17"/>
  <c r="H112" i="17" l="1"/>
  <c r="P111" i="17"/>
  <c r="I125" i="17"/>
  <c r="G147" i="17"/>
  <c r="P300" i="17"/>
  <c r="H113" i="17" l="1"/>
  <c r="P112" i="17"/>
  <c r="I126" i="17"/>
  <c r="G148" i="17"/>
  <c r="P301" i="17"/>
  <c r="H114" i="17" l="1"/>
  <c r="P113" i="17"/>
  <c r="I127" i="17"/>
  <c r="G149" i="17"/>
  <c r="P302" i="17"/>
  <c r="H115" i="17" l="1"/>
  <c r="P114" i="17"/>
  <c r="I128" i="17"/>
  <c r="G150" i="17"/>
  <c r="P303" i="17"/>
  <c r="H116" i="17" l="1"/>
  <c r="P115" i="17"/>
  <c r="I129" i="17"/>
  <c r="G151" i="17"/>
  <c r="P304" i="17"/>
  <c r="P305" i="17"/>
  <c r="H117" i="17" l="1"/>
  <c r="P116" i="17"/>
  <c r="I130" i="17"/>
  <c r="G153" i="17"/>
  <c r="G152" i="17"/>
  <c r="H118" i="17" l="1"/>
  <c r="P117" i="17"/>
  <c r="I131" i="17"/>
  <c r="G154" i="17"/>
  <c r="G205" i="17"/>
  <c r="H119" i="17" l="1"/>
  <c r="P118" i="17"/>
  <c r="I132" i="17"/>
  <c r="G206" i="17"/>
  <c r="H120" i="17" l="1"/>
  <c r="P119" i="17"/>
  <c r="I133" i="17"/>
  <c r="G207" i="17"/>
  <c r="H121" i="17" l="1"/>
  <c r="P120" i="17"/>
  <c r="I134" i="17"/>
  <c r="G208" i="17"/>
  <c r="H122" i="17" l="1"/>
  <c r="P121" i="17"/>
  <c r="I135" i="17"/>
  <c r="G185" i="17"/>
  <c r="G209" i="17"/>
  <c r="H123" i="17" l="1"/>
  <c r="P122" i="17"/>
  <c r="I136" i="17"/>
  <c r="G186" i="17"/>
  <c r="G210" i="17"/>
  <c r="H124" i="17" l="1"/>
  <c r="P123" i="17"/>
  <c r="I137" i="17"/>
  <c r="G187" i="17"/>
  <c r="G211" i="17"/>
  <c r="H125" i="17" l="1"/>
  <c r="P124" i="17"/>
  <c r="I138" i="17"/>
  <c r="G188" i="17"/>
  <c r="G212" i="17"/>
  <c r="H126" i="17" l="1"/>
  <c r="P125" i="17"/>
  <c r="I139" i="17"/>
  <c r="G189" i="17"/>
  <c r="G213" i="17"/>
  <c r="H127" i="17" l="1"/>
  <c r="P126" i="17"/>
  <c r="I140" i="17"/>
  <c r="G190" i="17"/>
  <c r="G214" i="17"/>
  <c r="H128" i="17" l="1"/>
  <c r="P127" i="17"/>
  <c r="I141" i="17"/>
  <c r="G191" i="17"/>
  <c r="G215" i="17"/>
  <c r="H129" i="17" l="1"/>
  <c r="P128" i="17"/>
  <c r="I142" i="17"/>
  <c r="G192" i="17"/>
  <c r="G216" i="17"/>
  <c r="H130" i="17" l="1"/>
  <c r="P129" i="17"/>
  <c r="I143" i="17"/>
  <c r="G217" i="17"/>
  <c r="H131" i="17" l="1"/>
  <c r="P130" i="17"/>
  <c r="I144" i="17"/>
  <c r="G218" i="17"/>
  <c r="H132" i="17" l="1"/>
  <c r="P131" i="17"/>
  <c r="I145" i="17"/>
  <c r="G219" i="17"/>
  <c r="H133" i="17" l="1"/>
  <c r="P132" i="17"/>
  <c r="I146" i="17"/>
  <c r="G220" i="17"/>
  <c r="H134" i="17" l="1"/>
  <c r="P133" i="17"/>
  <c r="I147" i="17"/>
  <c r="G221" i="17"/>
  <c r="H135" i="17" l="1"/>
  <c r="P134" i="17"/>
  <c r="I148" i="17"/>
  <c r="G222" i="17"/>
  <c r="H136" i="17" l="1"/>
  <c r="P135" i="17"/>
  <c r="I149" i="17"/>
  <c r="G223" i="17"/>
  <c r="H137" i="17" l="1"/>
  <c r="P136" i="17"/>
  <c r="I150" i="17"/>
  <c r="H138" i="17" l="1"/>
  <c r="P137" i="17"/>
  <c r="I151" i="17"/>
  <c r="H139" i="17" l="1"/>
  <c r="P138" i="17"/>
  <c r="I152" i="17"/>
  <c r="H140" i="17" l="1"/>
  <c r="P139" i="17"/>
  <c r="I153" i="17"/>
  <c r="H141" i="17" l="1"/>
  <c r="P140" i="17"/>
  <c r="I154" i="17"/>
  <c r="H142" i="17" l="1"/>
  <c r="P141" i="17"/>
  <c r="I155" i="17"/>
  <c r="P294" i="17"/>
  <c r="P295" i="17"/>
  <c r="H143" i="17" l="1"/>
  <c r="P142" i="17"/>
  <c r="I156" i="17"/>
  <c r="H144" i="17" l="1"/>
  <c r="P143" i="17"/>
  <c r="I157" i="17"/>
  <c r="H145" i="17" l="1"/>
  <c r="P144" i="17"/>
  <c r="I158" i="17"/>
  <c r="H146" i="17" l="1"/>
  <c r="P145" i="17"/>
  <c r="I159" i="17"/>
  <c r="H147" i="17" l="1"/>
  <c r="P146" i="17"/>
  <c r="I160" i="17"/>
  <c r="H148" i="17" l="1"/>
  <c r="P147" i="17"/>
  <c r="I161" i="17"/>
  <c r="H149" i="17" l="1"/>
  <c r="P148" i="17"/>
  <c r="I162" i="17"/>
  <c r="H150" i="17" l="1"/>
  <c r="P149" i="17"/>
  <c r="I163" i="17"/>
  <c r="H151" i="17" l="1"/>
  <c r="P150" i="17"/>
  <c r="I164" i="17"/>
  <c r="H152" i="17" l="1"/>
  <c r="P151" i="17"/>
  <c r="I165" i="17"/>
  <c r="H153" i="17" l="1"/>
  <c r="P152" i="17"/>
  <c r="I166" i="17"/>
  <c r="H154" i="17" l="1"/>
  <c r="P153" i="17"/>
  <c r="I167" i="17"/>
  <c r="H155" i="17" l="1"/>
  <c r="P154" i="17"/>
  <c r="I168" i="17"/>
  <c r="H156" i="17" l="1"/>
  <c r="P155" i="17"/>
  <c r="I169" i="17"/>
  <c r="H157" i="17" l="1"/>
  <c r="P156" i="17"/>
  <c r="I170" i="17"/>
  <c r="H158" i="17" l="1"/>
  <c r="P157" i="17"/>
  <c r="I171" i="17"/>
  <c r="H159" i="17" l="1"/>
  <c r="P158" i="17"/>
  <c r="I172" i="17"/>
  <c r="H160" i="17" l="1"/>
  <c r="P159" i="17"/>
  <c r="I173" i="17"/>
  <c r="H161" i="17" l="1"/>
  <c r="P160" i="17"/>
  <c r="I174" i="17"/>
  <c r="H162" i="17" l="1"/>
  <c r="P161" i="17"/>
  <c r="I175" i="17"/>
  <c r="H163" i="17" l="1"/>
  <c r="P162" i="17"/>
  <c r="I176" i="17"/>
  <c r="H164" i="17" l="1"/>
  <c r="P163" i="17"/>
  <c r="I177" i="17"/>
  <c r="H165" i="17" l="1"/>
  <c r="P164" i="17"/>
  <c r="I178" i="17"/>
  <c r="H166" i="17" l="1"/>
  <c r="P165" i="17"/>
  <c r="I179" i="17"/>
  <c r="H167" i="17" l="1"/>
  <c r="P166" i="17"/>
  <c r="I180" i="17"/>
  <c r="H168" i="17" l="1"/>
  <c r="P167" i="17"/>
  <c r="I181" i="17"/>
  <c r="H169" i="17" l="1"/>
  <c r="P168" i="17"/>
  <c r="I182" i="17"/>
  <c r="H170" i="17" l="1"/>
  <c r="P169" i="17"/>
  <c r="I183" i="17"/>
  <c r="H171" i="17" l="1"/>
  <c r="P170" i="17"/>
  <c r="I184" i="17"/>
  <c r="H172" i="17" l="1"/>
  <c r="P171" i="17"/>
  <c r="I185" i="17"/>
  <c r="H173" i="17" l="1"/>
  <c r="P172" i="17"/>
  <c r="I186" i="17"/>
  <c r="H174" i="17" l="1"/>
  <c r="P173" i="17"/>
  <c r="I187" i="17"/>
  <c r="H175" i="17" l="1"/>
  <c r="P174" i="17"/>
  <c r="I188" i="17"/>
  <c r="H176" i="17" l="1"/>
  <c r="P175" i="17"/>
  <c r="I189" i="17"/>
  <c r="H177" i="17" l="1"/>
  <c r="P176" i="17"/>
  <c r="I190" i="17"/>
  <c r="H178" i="17" l="1"/>
  <c r="P177" i="17"/>
  <c r="I191" i="17"/>
  <c r="H179" i="17" l="1"/>
  <c r="P178" i="17"/>
  <c r="I192" i="17"/>
  <c r="H180" i="17" l="1"/>
  <c r="P179" i="17"/>
  <c r="I193" i="17"/>
  <c r="H181" i="17" l="1"/>
  <c r="P180" i="17"/>
  <c r="I194" i="17"/>
  <c r="H182" i="17" l="1"/>
  <c r="P181" i="17"/>
  <c r="I195" i="17"/>
  <c r="H183" i="17" l="1"/>
  <c r="P182" i="17"/>
  <c r="I196" i="17"/>
  <c r="H184" i="17" l="1"/>
  <c r="P183" i="17"/>
  <c r="I197" i="17"/>
  <c r="H185" i="17" l="1"/>
  <c r="P184" i="17"/>
  <c r="I198" i="17"/>
  <c r="H186" i="17" l="1"/>
  <c r="P185" i="17"/>
  <c r="I199" i="17"/>
  <c r="H187" i="17" l="1"/>
  <c r="P186" i="17"/>
  <c r="I200" i="17"/>
  <c r="H188" i="17" l="1"/>
  <c r="P187" i="17"/>
  <c r="I201" i="17"/>
  <c r="H189" i="17" l="1"/>
  <c r="P188" i="17"/>
  <c r="I202" i="17"/>
  <c r="H190" i="17" l="1"/>
  <c r="P189" i="17"/>
  <c r="I203" i="17"/>
  <c r="H191" i="17" l="1"/>
  <c r="P190" i="17"/>
  <c r="I204" i="17"/>
  <c r="H192" i="17" l="1"/>
  <c r="P191" i="17"/>
  <c r="I205" i="17"/>
  <c r="H193" i="17" l="1"/>
  <c r="P192" i="17"/>
  <c r="I206" i="17"/>
  <c r="H194" i="17" l="1"/>
  <c r="P193" i="17"/>
  <c r="I207" i="17"/>
  <c r="H195" i="17" l="1"/>
  <c r="P194" i="17"/>
  <c r="I208" i="17"/>
  <c r="H196" i="17" l="1"/>
  <c r="P195" i="17"/>
  <c r="I209" i="17"/>
  <c r="H197" i="17" l="1"/>
  <c r="P196" i="17"/>
  <c r="I210" i="17"/>
  <c r="H198" i="17" l="1"/>
  <c r="P197" i="17"/>
  <c r="I211" i="17"/>
  <c r="H199" i="17" l="1"/>
  <c r="P198" i="17"/>
  <c r="I212" i="17"/>
  <c r="H200" i="17" l="1"/>
  <c r="C195" i="17"/>
  <c r="L197" i="17"/>
  <c r="L199" i="17" s="1"/>
  <c r="P199" i="17"/>
  <c r="I213" i="17"/>
  <c r="H201" i="17" l="1"/>
  <c r="P200" i="17"/>
  <c r="I214" i="17"/>
  <c r="H202" i="17" l="1"/>
  <c r="P201" i="17"/>
  <c r="I215" i="17"/>
  <c r="H203" i="17" l="1"/>
  <c r="P202" i="17"/>
  <c r="I216" i="17"/>
  <c r="H204" i="17" l="1"/>
  <c r="P203" i="17"/>
  <c r="I217" i="17"/>
  <c r="H205" i="17" l="1"/>
  <c r="P204" i="17"/>
  <c r="I218" i="17"/>
  <c r="H206" i="17" l="1"/>
  <c r="P205" i="17"/>
  <c r="I219" i="17"/>
  <c r="H207" i="17" l="1"/>
  <c r="P206" i="17"/>
  <c r="I220" i="17"/>
  <c r="H208" i="17" l="1"/>
  <c r="P207" i="17"/>
  <c r="I221" i="17"/>
  <c r="H209" i="17" l="1"/>
  <c r="P208" i="17"/>
  <c r="I222" i="17"/>
  <c r="H210" i="17" l="1"/>
  <c r="P209" i="17"/>
  <c r="I223" i="17"/>
  <c r="H211" i="17" l="1"/>
  <c r="P210" i="17"/>
  <c r="I224" i="17"/>
  <c r="H212" i="17" l="1"/>
  <c r="P211" i="17"/>
  <c r="I225" i="17"/>
  <c r="H213" i="17" l="1"/>
  <c r="P212" i="17"/>
  <c r="I226" i="17"/>
  <c r="H214" i="17" l="1"/>
  <c r="P213" i="17"/>
  <c r="I227" i="17"/>
  <c r="I228" i="17" s="1"/>
  <c r="I229" i="17" s="1"/>
  <c r="H215" i="17" l="1"/>
  <c r="P214" i="17"/>
  <c r="H216" i="17" l="1"/>
  <c r="P215" i="17"/>
  <c r="H217" i="17" l="1"/>
  <c r="P216" i="17"/>
  <c r="H218" i="17" l="1"/>
  <c r="P217" i="17"/>
  <c r="H219" i="17" l="1"/>
  <c r="P218" i="17"/>
  <c r="H220" i="17" l="1"/>
  <c r="P219" i="17"/>
  <c r="H221" i="17" l="1"/>
  <c r="P220" i="17"/>
  <c r="H222" i="17" l="1"/>
  <c r="P221" i="17"/>
  <c r="H223" i="17" l="1"/>
  <c r="P222" i="17"/>
  <c r="H232" i="17" l="1"/>
  <c r="H224" i="17"/>
  <c r="P223" i="17"/>
  <c r="H225" i="17" l="1"/>
  <c r="P224" i="17"/>
  <c r="H226" i="17" l="1"/>
  <c r="P225" i="17"/>
  <c r="H227" i="17" l="1"/>
  <c r="P226" i="17"/>
  <c r="H228" i="17" l="1"/>
  <c r="P227" i="17"/>
  <c r="F244" i="17" l="1"/>
  <c r="F250" i="17" s="1"/>
  <c r="G251" i="17" s="1"/>
  <c r="G233" i="17" s="1"/>
  <c r="H233" i="17" s="1"/>
  <c r="H234" i="17" s="1"/>
  <c r="H235" i="17" s="1"/>
  <c r="H236" i="17" s="1"/>
  <c r="H237" i="17" s="1"/>
  <c r="H238" i="17" s="1"/>
  <c r="H229" i="17"/>
  <c r="P229" i="17" s="1"/>
  <c r="P228" i="17"/>
</calcChain>
</file>

<file path=xl/sharedStrings.xml><?xml version="1.0" encoding="utf-8"?>
<sst xmlns="http://schemas.openxmlformats.org/spreadsheetml/2006/main" count="621" uniqueCount="471">
  <si>
    <t>Total</t>
  </si>
  <si>
    <t>Jt #</t>
  </si>
  <si>
    <t>M'SURED</t>
  </si>
  <si>
    <t>ADJUSTED</t>
  </si>
  <si>
    <t>Average</t>
  </si>
  <si>
    <t>Well</t>
  </si>
  <si>
    <t>Rig</t>
  </si>
  <si>
    <t>Weight</t>
  </si>
  <si>
    <t>ft</t>
  </si>
  <si>
    <t>Length</t>
  </si>
  <si>
    <t>MEASUREMENT END TO END</t>
  </si>
  <si>
    <t>M/UP LOSS:</t>
  </si>
  <si>
    <t>No</t>
  </si>
  <si>
    <t>CUSTOMER :</t>
  </si>
  <si>
    <t xml:space="preserve">    WELL # :</t>
  </si>
  <si>
    <t xml:space="preserve">    DATE :</t>
  </si>
  <si>
    <t xml:space="preserve">    RIG :</t>
  </si>
  <si>
    <t>CUSTOMER REPS :</t>
  </si>
  <si>
    <t>HALLIBURTON REPS :</t>
  </si>
  <si>
    <t>Assy</t>
  </si>
  <si>
    <t>Item Description</t>
  </si>
  <si>
    <t>Jt No.</t>
  </si>
  <si>
    <t>Final Depth</t>
  </si>
  <si>
    <t>RIH Depth</t>
  </si>
  <si>
    <t>TBG</t>
  </si>
  <si>
    <t>CHECK</t>
  </si>
  <si>
    <t>No.</t>
  </si>
  <si>
    <t>RIH</t>
  </si>
  <si>
    <t>E.O.T</t>
  </si>
  <si>
    <t>Back Up/Balance</t>
  </si>
  <si>
    <t>Damaged</t>
  </si>
  <si>
    <t>m</t>
  </si>
  <si>
    <t>meter</t>
  </si>
  <si>
    <t>UOM</t>
  </si>
  <si>
    <t>METER (m)</t>
  </si>
  <si>
    <t>12ft pup</t>
  </si>
  <si>
    <t>20ft pup</t>
  </si>
  <si>
    <t>15ft pup</t>
  </si>
  <si>
    <t>10ft pup</t>
  </si>
  <si>
    <t>8ft pup</t>
  </si>
  <si>
    <t>6ft pup</t>
  </si>
  <si>
    <t>4ft pup</t>
  </si>
  <si>
    <t>3ft pup</t>
  </si>
  <si>
    <t>2ft pup</t>
  </si>
  <si>
    <t>SINGLE STRING</t>
  </si>
  <si>
    <t>NOTE:</t>
  </si>
  <si>
    <t>All length have been accounted for make up loss</t>
  </si>
  <si>
    <t>Space Out</t>
  </si>
  <si>
    <t>Landing Jt</t>
  </si>
  <si>
    <t>LINER</t>
  </si>
  <si>
    <t>6-5/8"</t>
  </si>
  <si>
    <t>24ppf</t>
  </si>
  <si>
    <t>L80-13Cr</t>
  </si>
  <si>
    <t>VAM21-HT</t>
  </si>
  <si>
    <t>TUBING</t>
  </si>
  <si>
    <t>7"</t>
  </si>
  <si>
    <t>23ppf</t>
  </si>
  <si>
    <t>JFE LION</t>
  </si>
  <si>
    <t>DESCRIPTION</t>
  </si>
  <si>
    <t>SPECIFICATION: [MEASURED JOINTS]</t>
  </si>
  <si>
    <t>WASH PIPE</t>
  </si>
  <si>
    <t xml:space="preserve">       MINIMUM (ft-lb)                 OPTIMUM (ft-lb)                 MAXIMUM TORQUE (ft-lb)</t>
  </si>
  <si>
    <t>M/UP LOSS (in / m)</t>
  </si>
  <si>
    <t>9-5/8"</t>
  </si>
  <si>
    <t>47ppf</t>
  </si>
  <si>
    <t>L80</t>
  </si>
  <si>
    <t>VAM TOP</t>
  </si>
  <si>
    <t>L/OUT</t>
  </si>
  <si>
    <t>BAL</t>
  </si>
  <si>
    <t>OD</t>
  </si>
  <si>
    <t>ID</t>
  </si>
  <si>
    <t>PACKER FLUID :</t>
  </si>
  <si>
    <t>COMPLETION FLUID:</t>
  </si>
  <si>
    <t>10-3/4"</t>
  </si>
  <si>
    <t>10-3/4" x 9-5/8" Casing Shoe Depth</t>
  </si>
  <si>
    <t>CASING FLUID :</t>
  </si>
  <si>
    <t>Sapura OMV</t>
  </si>
  <si>
    <t>Gunnlod Jack Up Rig</t>
  </si>
  <si>
    <t>Jawan Undom (NCSV)</t>
  </si>
  <si>
    <t>PROD. CASING</t>
  </si>
  <si>
    <t>HP2-13Cr-95</t>
  </si>
  <si>
    <t>3-1/2"</t>
  </si>
  <si>
    <t>ID (in)</t>
  </si>
  <si>
    <t>OD (in)</t>
  </si>
  <si>
    <t>COMPLETION TYPE:</t>
  </si>
  <si>
    <t>Single Gas Producer</t>
  </si>
  <si>
    <t>-</t>
  </si>
  <si>
    <t xml:space="preserve">         7470                                    8300                                     9130           </t>
  </si>
  <si>
    <t>LINER (Vam Top)</t>
  </si>
  <si>
    <t>TUBING (JFE Lion)</t>
  </si>
  <si>
    <t xml:space="preserve">        15080                                  16300                                     17520           </t>
  </si>
  <si>
    <t>3-1/2" HYDRIL 511</t>
  </si>
  <si>
    <t>Production Casing/Tubing</t>
  </si>
  <si>
    <t>GUNNLOD BORR</t>
  </si>
  <si>
    <t>26 ppf</t>
  </si>
  <si>
    <t>29 ppf</t>
  </si>
  <si>
    <t>Grade/ Thread</t>
  </si>
  <si>
    <t>Hp2 13CR 95 / JFE Lion</t>
  </si>
  <si>
    <t>Prod Cas</t>
  </si>
  <si>
    <t>Make Up Loss</t>
  </si>
  <si>
    <t>Wash Pipe</t>
  </si>
  <si>
    <t>9.2 ppf</t>
  </si>
  <si>
    <t xml:space="preserve">L80  </t>
  </si>
  <si>
    <t>L80 13CR  / Vam Top</t>
  </si>
  <si>
    <t>Slotted</t>
  </si>
  <si>
    <t>Blanks</t>
  </si>
  <si>
    <t>Drift ID</t>
  </si>
  <si>
    <t>Upper Completion Well A1</t>
  </si>
  <si>
    <t>L1</t>
  </si>
  <si>
    <t>BP1</t>
  </si>
  <si>
    <t>BP2</t>
  </si>
  <si>
    <t>BP3</t>
  </si>
  <si>
    <t>BP4</t>
  </si>
  <si>
    <t>BP5</t>
  </si>
  <si>
    <t>BP6</t>
  </si>
  <si>
    <t>BP7</t>
  </si>
  <si>
    <t>BP8</t>
  </si>
  <si>
    <t>BP9</t>
  </si>
  <si>
    <t>BP10</t>
  </si>
  <si>
    <t>BP11</t>
  </si>
  <si>
    <t>BP12</t>
  </si>
  <si>
    <t>BP13</t>
  </si>
  <si>
    <t>BP14</t>
  </si>
  <si>
    <t>BP15</t>
  </si>
  <si>
    <t>BP16</t>
  </si>
  <si>
    <t>BP17</t>
  </si>
  <si>
    <t>BP18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</si>
  <si>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</si>
  <si>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</si>
  <si>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</si>
  <si>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</si>
  <si>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</si>
  <si>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</si>
  <si>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</si>
  <si>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</si>
  <si>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</si>
  <si>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</si>
  <si>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</si>
  <si>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</si>
  <si>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</si>
  <si>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</si>
  <si>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</si>
  <si>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</si>
  <si>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</si>
  <si>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Pre-Drilled LINER/Blanks</t>
  </si>
  <si>
    <t>Liner</t>
  </si>
  <si>
    <t>Onboard</t>
  </si>
  <si>
    <t xml:space="preserve">Measured </t>
  </si>
  <si>
    <t>Adjusted (m)</t>
  </si>
  <si>
    <t>Damage</t>
  </si>
  <si>
    <t>7" 26# VAM TOP 13CR L80</t>
  </si>
  <si>
    <t>8VT-1</t>
  </si>
  <si>
    <t>8VT-2</t>
  </si>
  <si>
    <t>10VT-1</t>
  </si>
  <si>
    <t>10VT-2</t>
  </si>
  <si>
    <t>10VT-3</t>
  </si>
  <si>
    <t>10VT-4</t>
  </si>
  <si>
    <t>10VT-5</t>
  </si>
  <si>
    <t>12VT-1</t>
  </si>
  <si>
    <t>12VT-2</t>
  </si>
  <si>
    <t>12VT-3</t>
  </si>
  <si>
    <t>12VT-4</t>
  </si>
  <si>
    <t>12VT-5</t>
  </si>
  <si>
    <t>12VT-6</t>
  </si>
  <si>
    <t>12VT-7</t>
  </si>
  <si>
    <t>7" 29# JFE Lion HP2 13CR 95</t>
  </si>
  <si>
    <t>3P1</t>
  </si>
  <si>
    <t>3P2</t>
  </si>
  <si>
    <t>3P3</t>
  </si>
  <si>
    <t>4P1</t>
  </si>
  <si>
    <t>4P2</t>
  </si>
  <si>
    <t>4P3</t>
  </si>
  <si>
    <t>6P1</t>
  </si>
  <si>
    <t>6P2</t>
  </si>
  <si>
    <t>6P3</t>
  </si>
  <si>
    <t>8P1</t>
  </si>
  <si>
    <t>8P2</t>
  </si>
  <si>
    <t>8P3</t>
  </si>
  <si>
    <t>10P1</t>
  </si>
  <si>
    <t>10P2</t>
  </si>
  <si>
    <t>10P3</t>
  </si>
  <si>
    <t>12P1</t>
  </si>
  <si>
    <t>12P2</t>
  </si>
  <si>
    <t>12P3</t>
  </si>
  <si>
    <t>Meter</t>
  </si>
  <si>
    <t>Bundle A</t>
  </si>
  <si>
    <t>Bundle B</t>
  </si>
  <si>
    <t>SLOTTED LINER</t>
  </si>
  <si>
    <t>LINER BLANK</t>
  </si>
  <si>
    <t>Inhibited Sea water, 8.5 ppg</t>
  </si>
  <si>
    <t>(Inch)</t>
  </si>
  <si>
    <t>CCP / CL</t>
  </si>
  <si>
    <t>Notes</t>
  </si>
  <si>
    <t>(m MDDF)</t>
  </si>
  <si>
    <t xml:space="preserve">7" 29ppf JFELion HP2-13CR-95 PxP (6ft) </t>
  </si>
  <si>
    <t>Bottom Bullet Seal Packing to end of Half Mule Shoe</t>
  </si>
  <si>
    <t>Middle Seal to Bottom Bullet Seal Packing</t>
  </si>
  <si>
    <t>Top Seal to Middle Bullet Seal Packing</t>
  </si>
  <si>
    <t>NO - GO Locator to Top Bullet Seal Packing</t>
  </si>
  <si>
    <t>6ft Pup Joint 7'' 29ppf 13CR 95KSI JFELion BOX X PIN</t>
  </si>
  <si>
    <t>Top of AHC PKR,9 5/8,47-53.5,7-29.00 JFELION,B-P to COE</t>
  </si>
  <si>
    <t>6ft 7" 29ppf JFELion HP2-13CR-95 BxP</t>
  </si>
  <si>
    <t>10ft 7" 29ppf JFELion HP2-13CR-95 BxP</t>
  </si>
  <si>
    <t>FLO CPLG,FN,59,S13CR,7-29.00 JFELION,B-P</t>
  </si>
  <si>
    <t xml:space="preserve">6ft 7" 29ppf JFELion HP2-13CR-95 B x P </t>
  </si>
  <si>
    <t>Proposed depth : 270 m</t>
  </si>
  <si>
    <r>
      <t xml:space="preserve">Tubing Hanger 7" x 13-5/8" </t>
    </r>
    <r>
      <rPr>
        <b/>
        <sz val="12"/>
        <rFont val="Arial Narrow"/>
        <family val="2"/>
      </rPr>
      <t>(HOP)</t>
    </r>
  </si>
  <si>
    <t>Rig Floor Elevation (RKB - HOP)</t>
  </si>
  <si>
    <t>Top of Baker Liner Hanger</t>
  </si>
  <si>
    <t>Assy #1 Baker Tie Back Assy</t>
  </si>
  <si>
    <t xml:space="preserve">Assy #2 Landing Nipple </t>
  </si>
  <si>
    <t>Assy #3            AHC Packer</t>
  </si>
  <si>
    <t xml:space="preserve">Assy #4          PDG </t>
  </si>
  <si>
    <t>Assy #5            SP-ENH TRSV</t>
  </si>
  <si>
    <t>Stick Up RKB</t>
  </si>
  <si>
    <t>Balance:</t>
  </si>
  <si>
    <t>Depth:</t>
  </si>
  <si>
    <t>Assy #6            FMC Hanger</t>
  </si>
  <si>
    <t>Top to Bottom CUT ZONE:</t>
  </si>
  <si>
    <t>Length of CUT ZONE:</t>
  </si>
  <si>
    <t>Bottom CCL:</t>
  </si>
  <si>
    <t>COE:</t>
  </si>
  <si>
    <t>Top CCL:</t>
  </si>
  <si>
    <t>SPECIAL 2</t>
  </si>
  <si>
    <t>TOTAL ELEVATION</t>
  </si>
  <si>
    <t>IN</t>
  </si>
  <si>
    <t>OUT</t>
  </si>
  <si>
    <t>TOTAL OUT</t>
  </si>
  <si>
    <r>
      <t xml:space="preserve">Space Out P/Jt </t>
    </r>
    <r>
      <rPr>
        <sz val="14"/>
        <color rgb="FFFF0000"/>
        <rFont val="Arial Narrow"/>
        <family val="2"/>
      </rPr>
      <t>(ESTIMATED)</t>
    </r>
  </si>
  <si>
    <t>CCP =</t>
  </si>
  <si>
    <t>Special Clamp =</t>
  </si>
  <si>
    <t>EA</t>
  </si>
  <si>
    <t>Pick Up Weight =</t>
  </si>
  <si>
    <t>Slack Off Weight =</t>
  </si>
  <si>
    <t>klbs</t>
  </si>
  <si>
    <t>CL Length:</t>
  </si>
  <si>
    <t>TEC Length:</t>
  </si>
  <si>
    <t xml:space="preserve">        SIZE              GRADE          WEIGHT   THREAD       DEPTH m             </t>
  </si>
  <si>
    <t>1 / 5</t>
  </si>
  <si>
    <t>2 / 5</t>
  </si>
  <si>
    <t>3 / 5</t>
  </si>
  <si>
    <t>4 / 5</t>
  </si>
  <si>
    <t>5 / 5</t>
  </si>
  <si>
    <t>Bottom of cut zone to
 RPT:</t>
  </si>
  <si>
    <t>Install TRSV Special Clamp</t>
  </si>
  <si>
    <t xml:space="preserve">8ft 7" 29ppf JFELion HP2-13CR-95 P x P </t>
  </si>
  <si>
    <t>5 JT(s) R3 Tubing Joint,7" 29# JFE LION HP2  13CR 95, BOX x PIN</t>
  </si>
  <si>
    <t>1 JT(s) R3 Tubing Joint,7" 29# JFE LION HP2  13CR 95, BOX x PIN</t>
  </si>
  <si>
    <t>1 / 1</t>
  </si>
  <si>
    <t>1 / 20</t>
  </si>
  <si>
    <t>2 / 20</t>
  </si>
  <si>
    <t>3 / 20</t>
  </si>
  <si>
    <t>4 / 20</t>
  </si>
  <si>
    <t>5 / 20</t>
  </si>
  <si>
    <t>6 / 20</t>
  </si>
  <si>
    <t>7 / 20</t>
  </si>
  <si>
    <t>8 / 20</t>
  </si>
  <si>
    <t>9 / 20</t>
  </si>
  <si>
    <t>10 / 20</t>
  </si>
  <si>
    <t>11 / 20</t>
  </si>
  <si>
    <t>12 / 20</t>
  </si>
  <si>
    <t>13 / 20</t>
  </si>
  <si>
    <t>14 / 20</t>
  </si>
  <si>
    <t>15 / 20</t>
  </si>
  <si>
    <t>16 / 20</t>
  </si>
  <si>
    <t>17 / 20</t>
  </si>
  <si>
    <t>18 / 20</t>
  </si>
  <si>
    <t>19 / 20</t>
  </si>
  <si>
    <t>20 / 20</t>
  </si>
  <si>
    <t>XO (5.5in FH box x 7" JFE Lion Pin)</t>
  </si>
  <si>
    <t>5.5in Drill Pipe Stand # 1</t>
  </si>
  <si>
    <t>20 JT(s) R3 Tubing Joint,7" 29# JFE LION HP2  13CR 95, BOX x PIN</t>
  </si>
  <si>
    <t>8P10</t>
  </si>
  <si>
    <t>8P11</t>
  </si>
  <si>
    <t>8P12</t>
  </si>
  <si>
    <t>6P10</t>
  </si>
  <si>
    <t>6P11</t>
  </si>
  <si>
    <t>6P12</t>
  </si>
  <si>
    <t>12P10</t>
  </si>
  <si>
    <t>12P11</t>
  </si>
  <si>
    <t>12P12</t>
  </si>
  <si>
    <t>3P10</t>
  </si>
  <si>
    <t>3P11</t>
  </si>
  <si>
    <t>3P12</t>
  </si>
  <si>
    <t>4P10</t>
  </si>
  <si>
    <t>4P11</t>
  </si>
  <si>
    <t>4P12</t>
  </si>
  <si>
    <t>*15ea P/jt LO for A-4</t>
  </si>
  <si>
    <t>Jerun A-4</t>
  </si>
  <si>
    <t>Mohd Zainudi Shah (CSV)</t>
  </si>
  <si>
    <t>Hitla Baring, Khoa Nguyen</t>
  </si>
  <si>
    <t>Natalie Chu</t>
  </si>
  <si>
    <t>Keith Armstrong, Rozaidi Tek</t>
  </si>
  <si>
    <t xml:space="preserve">      '47#         VAM 21        1732.62</t>
  </si>
  <si>
    <t xml:space="preserve">      '55.5#      VAM 21         310.15</t>
  </si>
  <si>
    <t xml:space="preserve">      '26#         VAM TOP     2020</t>
  </si>
  <si>
    <t xml:space="preserve">      '26#         VAM TOP     '-</t>
  </si>
  <si>
    <r>
      <t xml:space="preserve">      '29#         JFE LION    </t>
    </r>
    <r>
      <rPr>
        <sz val="12"/>
        <color theme="1"/>
        <rFont val="Arial Narrow"/>
        <family val="2"/>
      </rPr>
      <t xml:space="preserve"> </t>
    </r>
    <r>
      <rPr>
        <sz val="12"/>
        <color rgb="FFFF0000"/>
        <rFont val="Arial Narrow"/>
        <family val="2"/>
      </rPr>
      <t xml:space="preserve"> (TBC)</t>
    </r>
  </si>
  <si>
    <t>TBC</t>
  </si>
  <si>
    <t>10.42 / 9.625</t>
  </si>
  <si>
    <t>11.626 / 10.75</t>
  </si>
  <si>
    <t>7.565 / 7.00</t>
  </si>
  <si>
    <t>7.752 / 7.00</t>
  </si>
  <si>
    <t>MAX DEVIATION : 36.3 Deg @ 978.15m MDDF</t>
  </si>
  <si>
    <t>10-3/4" x 9-5/8" XO Depth</t>
  </si>
  <si>
    <t>COE to Bottom Pkr</t>
  </si>
  <si>
    <t>Proposed depth : 1682.6 m</t>
  </si>
  <si>
    <t>RIH A1</t>
  </si>
  <si>
    <t xml:space="preserve">RIH  </t>
  </si>
  <si>
    <t>Cradle #26</t>
  </si>
  <si>
    <t>Cradle #27</t>
  </si>
  <si>
    <t>Cradle #28</t>
  </si>
  <si>
    <t>Cradle #29</t>
  </si>
  <si>
    <t>Cradle #30</t>
  </si>
  <si>
    <t>Cradle #25</t>
  </si>
  <si>
    <t>Cradle #24</t>
  </si>
  <si>
    <t>Cradle #23</t>
  </si>
  <si>
    <t>Cradle #22</t>
  </si>
  <si>
    <t>Cradle #21</t>
  </si>
  <si>
    <t>Cradle #20</t>
  </si>
  <si>
    <t>Cradle #19</t>
  </si>
  <si>
    <t>Cradle #18</t>
  </si>
  <si>
    <t>Cradle #17</t>
  </si>
  <si>
    <t>Cradle #16</t>
  </si>
  <si>
    <t>S</t>
  </si>
  <si>
    <t>D</t>
  </si>
  <si>
    <t>OUT DP# 1, Double</t>
  </si>
  <si>
    <t>OUT DP# 1, Bottom Single</t>
  </si>
  <si>
    <t>OUT Jt# 144</t>
  </si>
  <si>
    <t>Bundle#30 17/17</t>
  </si>
  <si>
    <t>Bundle#29 16/17</t>
  </si>
  <si>
    <t>Bundle#28 15/17</t>
  </si>
  <si>
    <t>Bundle#27 14/17</t>
  </si>
  <si>
    <t>Bundle#26 13/17</t>
  </si>
  <si>
    <t>Bundle#25 12/17</t>
  </si>
  <si>
    <t>Bundle#24 11/17</t>
  </si>
  <si>
    <t>Bundle #23 10/17</t>
  </si>
  <si>
    <t>Bundle#22 9/17</t>
  </si>
  <si>
    <t>Bundle#21 8/17</t>
  </si>
  <si>
    <t>Bundle#20 7/17</t>
  </si>
  <si>
    <t>Bundle#19 6/17</t>
  </si>
  <si>
    <t>Bundle#18 5/17</t>
  </si>
  <si>
    <t>Bundle#17 4/17</t>
  </si>
  <si>
    <t>Jamel Abd Rahman (DSV)</t>
  </si>
  <si>
    <t>(S/N: P4000117609/2MY-1279098)</t>
  </si>
  <si>
    <r>
      <t xml:space="preserve">TRSV,SP-ENH,8.90 5.875,H2S,7.5K </t>
    </r>
    <r>
      <rPr>
        <b/>
        <sz val="12"/>
        <color rgb="FF0000CC"/>
        <rFont val="Arial Narrow"/>
        <family val="2"/>
      </rPr>
      <t>(TRSV-0527-L)</t>
    </r>
  </si>
  <si>
    <r>
      <t xml:space="preserve">COE </t>
    </r>
    <r>
      <rPr>
        <b/>
        <sz val="12"/>
        <color rgb="FF0000CC"/>
        <rFont val="Arial Narrow"/>
        <family val="2"/>
      </rPr>
      <t>(AHC-0855-L)</t>
    </r>
  </si>
  <si>
    <r>
      <t xml:space="preserve">GGE MDRL ASSY </t>
    </r>
    <r>
      <rPr>
        <b/>
        <sz val="12"/>
        <color rgb="FF0000CC"/>
        <rFont val="Arial Narrow"/>
        <family val="2"/>
      </rPr>
      <t>(ERD-0002-L)</t>
    </r>
  </si>
  <si>
    <r>
      <t xml:space="preserve">LN,5.625,RPT,S13CR,7-29.00 JFELION,B-P </t>
    </r>
    <r>
      <rPr>
        <b/>
        <sz val="12"/>
        <color rgb="FF0000CC"/>
        <rFont val="Arial Narrow"/>
        <family val="2"/>
      </rPr>
      <t>(LN-0353-L)</t>
    </r>
  </si>
  <si>
    <t>Coupling 7'' 29ppf JFELion B x B To NO-GO LOCATOR</t>
  </si>
  <si>
    <t>Bundle#16 3/17</t>
  </si>
  <si>
    <t>Bundle#15 2/17</t>
  </si>
  <si>
    <t>Bundle#14 1/17</t>
  </si>
  <si>
    <t>OUT DP# 1, Top Single</t>
  </si>
  <si>
    <t>Space Out P/jt / Full Joint</t>
  </si>
  <si>
    <t>nata</t>
  </si>
  <si>
    <t>106 JT(s) R3 Tubing Joint,7" 29# JFE LION HP2  13CR 95, BOX x PIN</t>
  </si>
  <si>
    <t>1 / 106</t>
  </si>
  <si>
    <t>2 / 106</t>
  </si>
  <si>
    <t>3 / 106</t>
  </si>
  <si>
    <t>4 / 106</t>
  </si>
  <si>
    <t>5 / 106</t>
  </si>
  <si>
    <t>6 / 106</t>
  </si>
  <si>
    <t>7 / 106</t>
  </si>
  <si>
    <t>8 / 106</t>
  </si>
  <si>
    <t>9 / 106</t>
  </si>
  <si>
    <t>10 / 106</t>
  </si>
  <si>
    <t>11 / 106</t>
  </si>
  <si>
    <t>12 / 106</t>
  </si>
  <si>
    <t>13 / 106</t>
  </si>
  <si>
    <t>14 / 106</t>
  </si>
  <si>
    <t>15 / 106</t>
  </si>
  <si>
    <t>16 / 106</t>
  </si>
  <si>
    <t>17 / 106</t>
  </si>
  <si>
    <t>18 / 106</t>
  </si>
  <si>
    <t>19 / 106</t>
  </si>
  <si>
    <t>20 / 106</t>
  </si>
  <si>
    <t>21 / 106</t>
  </si>
  <si>
    <t>22 / 106</t>
  </si>
  <si>
    <t>23 / 106</t>
  </si>
  <si>
    <t>24 / 106</t>
  </si>
  <si>
    <t>25 / 106</t>
  </si>
  <si>
    <t>26 / 106</t>
  </si>
  <si>
    <t>27 / 106</t>
  </si>
  <si>
    <t>28 / 106</t>
  </si>
  <si>
    <t>29 / 106</t>
  </si>
  <si>
    <t>30 / 106</t>
  </si>
  <si>
    <t>31 / 106</t>
  </si>
  <si>
    <t>32 / 106</t>
  </si>
  <si>
    <t>33 / 106</t>
  </si>
  <si>
    <t>34 / 106</t>
  </si>
  <si>
    <t>35 / 106</t>
  </si>
  <si>
    <t>36 / 106</t>
  </si>
  <si>
    <t>37 / 106</t>
  </si>
  <si>
    <t>38 / 106</t>
  </si>
  <si>
    <t>39 / 106</t>
  </si>
  <si>
    <t>40 / 106</t>
  </si>
  <si>
    <t>41 / 106</t>
  </si>
  <si>
    <t>42 / 106</t>
  </si>
  <si>
    <t>43 / 106</t>
  </si>
  <si>
    <t>44 / 106</t>
  </si>
  <si>
    <t>45 / 106</t>
  </si>
  <si>
    <t>46 / 106</t>
  </si>
  <si>
    <t>47 / 106</t>
  </si>
  <si>
    <t>48 / 106</t>
  </si>
  <si>
    <t>49 / 106</t>
  </si>
  <si>
    <t>50 / 106</t>
  </si>
  <si>
    <t>51 / 106</t>
  </si>
  <si>
    <t>52 / 106</t>
  </si>
  <si>
    <t>53 / 106</t>
  </si>
  <si>
    <t>54 / 106</t>
  </si>
  <si>
    <t>55 / 106</t>
  </si>
  <si>
    <t>56 / 106</t>
  </si>
  <si>
    <t>57 / 106</t>
  </si>
  <si>
    <t>58 / 106</t>
  </si>
  <si>
    <t>59 / 106</t>
  </si>
  <si>
    <t>60 / 106</t>
  </si>
  <si>
    <t>61 / 106</t>
  </si>
  <si>
    <t>62 / 106</t>
  </si>
  <si>
    <t>63 / 106</t>
  </si>
  <si>
    <t>64 / 106</t>
  </si>
  <si>
    <t>65 / 106</t>
  </si>
  <si>
    <t>66 / 106</t>
  </si>
  <si>
    <t>67 / 106</t>
  </si>
  <si>
    <t>68 / 106</t>
  </si>
  <si>
    <t>69 / 106</t>
  </si>
  <si>
    <t>70 / 106</t>
  </si>
  <si>
    <t>71 / 106</t>
  </si>
  <si>
    <t>72 / 106</t>
  </si>
  <si>
    <t>73 / 106</t>
  </si>
  <si>
    <t>74 / 106</t>
  </si>
  <si>
    <t>75 / 106</t>
  </si>
  <si>
    <t>76 / 106</t>
  </si>
  <si>
    <t>77 / 106</t>
  </si>
  <si>
    <t>78 / 106</t>
  </si>
  <si>
    <t>79 / 106</t>
  </si>
  <si>
    <t>80 / 106</t>
  </si>
  <si>
    <t>81 / 106</t>
  </si>
  <si>
    <t>82 / 106</t>
  </si>
  <si>
    <t>83 / 106</t>
  </si>
  <si>
    <t>84 / 106</t>
  </si>
  <si>
    <t>85 / 106</t>
  </si>
  <si>
    <t>86 / 106</t>
  </si>
  <si>
    <t>87 / 106</t>
  </si>
  <si>
    <t>88 / 106</t>
  </si>
  <si>
    <t>89 / 106</t>
  </si>
  <si>
    <t>90 / 106</t>
  </si>
  <si>
    <t>91 / 106</t>
  </si>
  <si>
    <t>92 / 106</t>
  </si>
  <si>
    <t>93 / 106</t>
  </si>
  <si>
    <t>94 / 106</t>
  </si>
  <si>
    <t>95 / 106</t>
  </si>
  <si>
    <t>96 / 106</t>
  </si>
  <si>
    <t>97 / 106</t>
  </si>
  <si>
    <t>98 / 106</t>
  </si>
  <si>
    <t>99 / 106</t>
  </si>
  <si>
    <t>100 / 106</t>
  </si>
  <si>
    <t>101 / 106</t>
  </si>
  <si>
    <t>102 / 106</t>
  </si>
  <si>
    <t>103 / 106</t>
  </si>
  <si>
    <t>104 / 106</t>
  </si>
  <si>
    <t>105 / 106</t>
  </si>
  <si>
    <t>106 / 106</t>
  </si>
  <si>
    <t>OUT XO</t>
  </si>
  <si>
    <t>PUPS</t>
  </si>
  <si>
    <t>UPPER COMPLETION SERVICES</t>
  </si>
  <si>
    <t>Syahdimin Rashidi (NDSV)</t>
  </si>
  <si>
    <t>Proposed depth : 1611.8 m</t>
  </si>
  <si>
    <t>Proposed depth : 1595.8 m</t>
  </si>
  <si>
    <t>*Note: Depth based on 2ft pick up-space out.</t>
  </si>
  <si>
    <t>DRAFT TALLY REV :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</si>
</sst>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1">
    <numFmt numFmtId="41" formatCode="_-* #,##0_-;\-* #,##0_-;_-* &quot;-&quot;_-;_-@_-"/>
    <numFmt numFmtId="43" formatCode="_-* #,##0.00_-;\-* #,##0.00_-;_-* &quot;-&quot;??_-;_-@_-"/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_-&quot;$&quot;* #,##0.00_-;\-&quot;$&quot;* #,##0.00_-;_-&quot;$&quot;* &quot;-&quot;??_-;_-@_-"/>
    <numFmt numFmtId="168" formatCode="&quot;$&quot;#,##0_);[Red]\(&quot;$&quot;#,##0\)"/>
    <numFmt numFmtId="169" formatCode="&quot;$&quot;#,##0.00_);[Red]\(&quot;$&quot;#,##0.00\)"/>
    <numFmt numFmtId="170" formatCode="_(&quot;$&quot;* #,##0_);_(&quot;$&quot;* \(#,##0\);_(&quot;$&quot;* &quot;-&quot;_);_(@_)"/>
    <numFmt numFmtId="171" formatCode="_(&quot;$&quot;* #,##0.00_);_(&quot;$&quot;* \(#,##0.00\);_(&quot;$&quot;* &quot;-&quot;??_);_(@_)"/>
    <numFmt numFmtId="172" formatCode="_(* #,##0.00_);_(* \(#,##0.00\);_(* &quot;-&quot;??_);_(@_)"/>
    <numFmt numFmtId="173" formatCode="0.000"/>
    <numFmt numFmtId="174" formatCode="0.00_)"/>
    <numFmt numFmtId="175" formatCode="0.000_)"/>
    <numFmt numFmtId="176" formatCode="#,##0.000"/>
    <numFmt numFmtId="177" formatCode="0_)"/>
    <numFmt numFmtId="178" formatCode="#,##0.00\ &quot;F&quot;;\-#,##0.00\ &quot;F&quot;"/>
    <numFmt numFmtId="179" formatCode="mmmm\ dd\,\ yyyy"/>
    <numFmt numFmtId="180" formatCode="ddd\-mmm\-yyyy"/>
    <numFmt numFmtId="181" formatCode="#."/>
    <numFmt numFmtId="182" formatCode="0.00_);[Red]\(0.00\)"/>
    <numFmt numFmtId="183" formatCode="_ * #,##0_ ;_ * \-#,##0_ ;_ * &quot;-&quot;_ ;_ @_ "/>
    <numFmt numFmtId="184" formatCode="_ * #,##0.00_ ;_ * \-#,##0.00_ ;_ * &quot;-&quot;??_ ;_ @_ "/>
    <numFmt numFmtId="185" formatCode="_ &quot;kr&quot;\ * #,##0_ ;_ &quot;kr&quot;\ * \-#,##0_ ;_ &quot;kr&quot;\ * &quot;-&quot;_ ;_ @_ "/>
    <numFmt numFmtId="186" formatCode="_(&quot;£&quot;* #,##0_);_(&quot;£&quot;* \(#,##0\);_(&quot;£&quot;* &quot;-&quot;_);_(@_)"/>
    <numFmt numFmtId="187" formatCode="0\ ;&quot;0 &quot;;;&quot;&quot;"/>
    <numFmt numFmtId="188" formatCode="\1\0\/\1\7"/>
    <numFmt numFmtId="189" formatCode="#,##0.0%;\(#,##0.0%\)"/>
    <numFmt numFmtId="190" formatCode="&quot;$&quot;#.;\(&quot;$&quot;#,\)"/>
    <numFmt numFmtId="191" formatCode="&quot;$&quot;#.###"/>
    <numFmt numFmtId="192" formatCode="&quot;$&quot;#.##"/>
    <numFmt numFmtId="193" formatCode="&quot;$&quot;#,##0\ ;\(&quot;$&quot;#,##0\)"/>
    <numFmt numFmtId="194" formatCode="#,##0_ ;[Red]\-#,##0\ "/>
    <numFmt numFmtId="195" formatCode="#,##0.00_ ;[Red]\-#,##0.00\ "/>
    <numFmt numFmtId="196" formatCode="&quot;$&quot;##,##0_);[Red]\(&quot;$&quot;#,##0\)"/>
    <numFmt numFmtId="197" formatCode="&quot;£ &quot;#,##0;[Red]\-&quot;£ &quot;#,##0"/>
    <numFmt numFmtId="198" formatCode="_-* #,##0\ _D_M_-;\-* #,##0\ _D_M_-;_-* &quot;-&quot;\ _D_M_-;_-@_-"/>
    <numFmt numFmtId="199" formatCode="[$$-409]#,##0.00"/>
    <numFmt numFmtId="200" formatCode="_-&quot;£&quot;* #,##0.00_-;\-&quot;£&quot;* #,##0.00_-;_-&quot;£&quot;* &quot;-&quot;??_-;_-@_-"/>
    <numFmt numFmtId="201" formatCode="_ &quot;￥&quot;* #,##0_ ;_ &quot;￥&quot;* \-#,##0_ ;_ &quot;￥&quot;* &quot;-&quot;_ ;_ @_ "/>
    <numFmt numFmtId="202" formatCode="_ &quot;￥&quot;* #,##0.00_ ;_ &quot;￥&quot;* \-#,##0.00_ ;_ &quot;￥&quot;* &quot;-&quot;??_ ;_ @_ "/>
    <numFmt numFmtId="203" formatCode="[$-409]d\-mmm\-yy;@"/>
    <numFmt numFmtId="204" formatCode="[$-1009]d\-mmm\-yy;@"/>
    <numFmt numFmtId="205" formatCode="_-* #,##0\ &quot;DM&quot;_-;\-* #,##0\ &quot;DM&quot;_-;_-* &quot;-&quot;\ &quot;DM&quot;_-;_-@_-"/>
    <numFmt numFmtId="206" formatCode="#,##0.0_);[Red]\(#,##0.0\)"/>
    <numFmt numFmtId="207" formatCode="mmm\ d\,\ yyyy"/>
    <numFmt numFmtId="208" formatCode="0%_);[Red]\(0%\);_(* &quot;-&quot;??_);_(@_)"/>
    <numFmt numFmtId="209" formatCode="_(* #,###,_);[Red]* \(#,###,\);_(* &quot;-&quot;_);_(@_)"/>
    <numFmt numFmtId="210" formatCode="_(* #,##0.00_);[Red]_(* \(#,##0.00\);_(* &quot;-&quot;???_);_(@_)"/>
    <numFmt numFmtId="211" formatCode="_(* #,##0.0_);[Red]_(* \(#,##0.0\);_(* &quot;-&quot;??_);_(@_)"/>
    <numFmt numFmtId="212" formatCode="_(&quot;$&quot;* #,##0.00_);[Red]_(&quot;$&quot;* \(#,##0.00\);_(&quot;$&quot;* &quot;-&quot;???_);_(@_)"/>
    <numFmt numFmtId="213" formatCode="_(&quot;$&quot;* #,##0.0_);[Red]_(&quot;$&quot;* \(#,##0.0\);_(&quot;$&quot;* &quot;-&quot;??_);_(@_)"/>
    <numFmt numFmtId="214" formatCode="0.00%_);[Red]\(0.00%\);_(* &quot;-&quot;????_);_(@_)"/>
    <numFmt numFmtId="215" formatCode="_(* #,###.0,_);[Red]* \(#,###.0,\);_(* &quot;-&quot;??_);_(@_)"/>
    <numFmt numFmtId="216" formatCode="_(* #,###.00,_);[Red]* \(#,###.00,\);_(* &quot;-&quot;???_);_(@_)"/>
    <numFmt numFmtId="217" formatCode="_(&quot;$&quot;* #,###.00,_);[Red]_(&quot;$&quot;* \(#,###.00,\);_(&quot;$&quot;* &quot;-&quot;???_);_(@_)"/>
    <numFmt numFmtId="218" formatCode="_(&quot;$&quot;* #,###.0,_);[Red]_(&quot;$&quot;* \(#,###.0,\);_(&quot;$&quot;* &quot;-&quot;??_);_(@_)"/>
    <numFmt numFmtId="219" formatCode="_(&quot;$&quot;* #,###,_);[Red]_(&quot;$&quot;* \(#,###,\);_(&quot;$&quot;* &quot;-&quot;_);_(@_)"/>
    <numFmt numFmtId="220" formatCode="_(* #,###.00,,_);[Red]* \(#,###.00,,\);_(* &quot;-&quot;???_);_(@_)"/>
    <numFmt numFmtId="221" formatCode="_(* #,###.0,,_);[Red]* \(#,###.0,,\);_(* &quot;-&quot;??_);_(@_)"/>
    <numFmt numFmtId="222" formatCode="_(* #,###,,_);[Red]* \(#,###,,\);_(* &quot;-&quot;_);_(@_)"/>
    <numFmt numFmtId="223" formatCode="_(&quot;$&quot;* #,###,,_);[Red]_(&quot;$&quot;* \(#,###,,\);_(&quot;$&quot;* &quot;-&quot;_);_(@_)"/>
    <numFmt numFmtId="224" formatCode="_(&quot;$&quot;* #,###.0,,_);[Red]_(&quot;$&quot;* \(#,###.0,,\);_(&quot;$&quot;* &quot;-&quot;??_);_(@_)"/>
    <numFmt numFmtId="225" formatCode="_(&quot;$&quot;* #,###.00,,_);[Red]_(&quot;$&quot;* \(#,###.00,,\);_(&quot;$&quot;* &quot;-&quot;???_);_(@_)"/>
    <numFmt numFmtId="226" formatCode="mmm\-dd"/>
    <numFmt numFmtId="227" formatCode="&quot;$&quot;* #,##0.00_);[Red]&quot;$&quot;* \(#,##0.00\)"/>
    <numFmt numFmtId="228" formatCode="&quot;$&quot;* #,##0_);[Red]&quot;$&quot;* \(#,##0\)"/>
    <numFmt numFmtId="229" formatCode="&quot;$&quot;* #,##0.0_);[Red]&quot;$&quot;* \(#,##0.0\)"/>
    <numFmt numFmtId="230" formatCode="&quot;$&quot;#,##0.0_);[Red]\(&quot;$&quot;#,##0.0\)"/>
    <numFmt numFmtId="231" formatCode="[&gt;0]#0.00&quot; d&quot;;&quot;&quot;"/>
    <numFmt numFmtId="232" formatCode="_-* #,##0\ &quot;F&quot;_-;\-* #,##0\ &quot;F&quot;_-;_-* &quot;-&quot;\ &quot;F&quot;_-;_-@_-"/>
    <numFmt numFmtId="233" formatCode="_-* #,##0.00\ &quot;F&quot;_-;\-* #,##0.00\ &quot;F&quot;_-;_-* &quot;-&quot;??\ &quot;F&quot;_-;_-@_-"/>
    <numFmt numFmtId="234" formatCode="0&quot; &quot;"/>
    <numFmt numFmtId="235" formatCode="0.0&quot;ft&quot;"/>
    <numFmt numFmtId="236" formatCode="#,##0.00&quot; F&quot;_);[Red]\(#,##0.00&quot; F&quot;\)"/>
    <numFmt numFmtId="237" formatCode="0\6\.####"/>
    <numFmt numFmtId="238" formatCode="General_)"/>
    <numFmt numFmtId="239" formatCode="_(* #,##0.00_);_(* \(#,##0.00\);_(* &quot;-&quot;_);_(@_)"/>
    <numFmt numFmtId="240" formatCode="#,##0&quot; F&quot;_);\(#,##0&quot; F&quot;\)"/>
    <numFmt numFmtId="241" formatCode="&quot;JT-&quot;0"/>
    <numFmt numFmtId="242" formatCode="&quot;CCP-&quot;0"/>
  </numFmts>
  <fonts count="19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12"/>
      <name val="Helv"/>
    </font>
    <font>
      <sz val="10"/>
      <name val="Helv"/>
    </font>
    <font>
      <sz val="8"/>
      <name val="Arial"/>
      <family val="2"/>
    </font>
    <font>
      <sz val="10"/>
      <name val="Times New Roman Cyr"/>
      <family val="1"/>
      <charset val="204"/>
    </font>
    <font>
      <b/>
      <sz val="18"/>
      <color indexed="10"/>
      <name val="Arial Narrow"/>
      <family val="2"/>
    </font>
    <font>
      <sz val="12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2"/>
      <name val="Arial"/>
      <family val="2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  <font>
      <sz val="12"/>
      <color indexed="10"/>
      <name val="Arial Narrow"/>
      <family val="2"/>
    </font>
    <font>
      <b/>
      <sz val="12"/>
      <color indexed="10"/>
      <name val="Arial Narrow"/>
      <family val="2"/>
    </font>
    <font>
      <b/>
      <u/>
      <sz val="12"/>
      <name val="Arial Narrow"/>
      <family val="2"/>
    </font>
    <font>
      <u/>
      <sz val="12"/>
      <name val="Arial Narrow"/>
      <family val="2"/>
    </font>
    <font>
      <b/>
      <sz val="11"/>
      <name val="Arial Narrow"/>
      <family val="2"/>
    </font>
    <font>
      <b/>
      <sz val="12"/>
      <color rgb="FF0000CC"/>
      <name val="Arial Narrow"/>
      <family val="2"/>
    </font>
    <font>
      <b/>
      <sz val="10"/>
      <name val="Arial Narrow"/>
      <family val="2"/>
    </font>
    <font>
      <b/>
      <sz val="12"/>
      <color rgb="FFFF0000"/>
      <name val="Arial Narrow"/>
      <family val="2"/>
    </font>
    <font>
      <b/>
      <sz val="12"/>
      <color indexed="12"/>
      <name val="Arial Narrow"/>
      <family val="2"/>
    </font>
    <font>
      <sz val="13"/>
      <name val="Arial Narrow"/>
      <family val="2"/>
    </font>
    <font>
      <sz val="11"/>
      <name val="Arial Narrow"/>
      <family val="2"/>
    </font>
    <font>
      <b/>
      <sz val="14"/>
      <name val="Arial Narrow"/>
      <family val="2"/>
    </font>
    <font>
      <i/>
      <sz val="12"/>
      <color rgb="FFFF0000"/>
      <name val="Arial Narrow"/>
      <family val="2"/>
    </font>
    <font>
      <sz val="11"/>
      <name val="Arial"/>
      <family val="2"/>
    </font>
    <font>
      <b/>
      <u/>
      <sz val="12"/>
      <color rgb="FF0000CC"/>
      <name val="Arial Narrow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sz val="12"/>
      <color theme="0"/>
      <name val="Arial Narrow"/>
      <family val="2"/>
    </font>
    <font>
      <sz val="10"/>
      <name val="Arial Narrow"/>
      <family val="2"/>
    </font>
    <font>
      <sz val="14"/>
      <name val="Arial Narrow"/>
      <family val="2"/>
    </font>
    <font>
      <b/>
      <sz val="14"/>
      <color rgb="FFFF0000"/>
      <name val="Arial Narrow"/>
      <family val="2"/>
    </font>
    <font>
      <sz val="8"/>
      <name val="Times New Roman"/>
      <family val="1"/>
    </font>
    <font>
      <sz val="12"/>
      <name val="Tms Rmn"/>
    </font>
    <font>
      <sz val="11"/>
      <name val="Tms Rmn"/>
    </font>
    <font>
      <sz val="10"/>
      <name val="MS Serif"/>
      <family val="1"/>
    </font>
    <font>
      <b/>
      <sz val="10"/>
      <name val="Times New Roman"/>
      <family val="1"/>
    </font>
    <font>
      <sz val="10"/>
      <color indexed="16"/>
      <name val="MS Serif"/>
      <family val="1"/>
    </font>
    <font>
      <sz val="8"/>
      <name val="Helv"/>
    </font>
    <font>
      <b/>
      <sz val="12"/>
      <color indexed="9"/>
      <name val="Tms Rmn"/>
    </font>
    <font>
      <b/>
      <sz val="8"/>
      <name val="MS Sans Serif"/>
      <family val="2"/>
    </font>
    <font>
      <sz val="10"/>
      <name val="MS Sans Serif"/>
      <family val="2"/>
    </font>
    <font>
      <b/>
      <i/>
      <sz val="16"/>
      <name val="Helv"/>
    </font>
    <font>
      <sz val="8"/>
      <name val="Wingdings"/>
      <charset val="2"/>
    </font>
    <font>
      <sz val="10"/>
      <color indexed="8"/>
      <name val="Arial"/>
      <family val="2"/>
    </font>
    <font>
      <sz val="8"/>
      <name val="MS Sans Serif"/>
      <family val="2"/>
    </font>
    <font>
      <b/>
      <sz val="8"/>
      <color indexed="8"/>
      <name val="Helv"/>
    </font>
    <font>
      <sz val="11"/>
      <name val="CG Times (WN)"/>
    </font>
    <font>
      <b/>
      <sz val="11"/>
      <name val="Times New Roman"/>
      <family val="1"/>
    </font>
    <font>
      <sz val="12"/>
      <name val="??"/>
      <charset val="134"/>
    </font>
    <font>
      <sz val="9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2"/>
      <name val="Tms Rmn"/>
      <family val="1"/>
    </font>
    <font>
      <sz val="10"/>
      <name val="Geneva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ms Rmn"/>
      <charset val="178"/>
    </font>
    <font>
      <i/>
      <sz val="11"/>
      <color indexed="23"/>
      <name val="Calibri"/>
      <family val="2"/>
    </font>
    <font>
      <sz val="8"/>
      <name val="Helv"/>
      <family val="2"/>
    </font>
    <font>
      <sz val="11"/>
      <color indexed="17"/>
      <name val="Calibri"/>
      <family val="2"/>
    </font>
    <font>
      <b/>
      <sz val="12"/>
      <color indexed="9"/>
      <name val="Tms Rm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8.4"/>
      <color indexed="12"/>
      <name val="Arial"/>
      <family val="2"/>
    </font>
    <font>
      <sz val="11"/>
      <color indexed="62"/>
      <name val="Calibri"/>
      <family val="2"/>
    </font>
    <font>
      <sz val="12"/>
      <name val="Times New Roman"/>
      <family val="1"/>
    </font>
    <font>
      <sz val="8"/>
      <name val="TimesNewRomanPS"/>
    </font>
    <font>
      <sz val="11"/>
      <color indexed="52"/>
      <name val="Calibri"/>
      <family val="2"/>
    </font>
    <font>
      <sz val="10"/>
      <name val="Arabic Transparent"/>
    </font>
    <font>
      <sz val="11"/>
      <color indexed="60"/>
      <name val="Calibri"/>
      <family val="2"/>
    </font>
    <font>
      <sz val="10"/>
      <name val="Tahoma"/>
      <family val="2"/>
    </font>
    <font>
      <sz val="6"/>
      <name val="Helv"/>
      <charset val="178"/>
    </font>
    <font>
      <sz val="6"/>
      <color indexed="10"/>
      <name val="Helv"/>
      <charset val="178"/>
    </font>
    <font>
      <sz val="10"/>
      <name val="Arial"/>
      <family val="2"/>
      <charset val="222"/>
    </font>
    <font>
      <b/>
      <sz val="11"/>
      <color indexed="63"/>
      <name val="Calibri"/>
      <family val="2"/>
    </font>
    <font>
      <b/>
      <sz val="12"/>
      <color indexed="13"/>
      <name val="Arial MT"/>
      <charset val="178"/>
    </font>
    <font>
      <sz val="10"/>
      <name val="Times New Roman"/>
      <family val="1"/>
    </font>
    <font>
      <b/>
      <u/>
      <sz val="14"/>
      <name val="TimesNewRomanPS"/>
      <charset val="178"/>
    </font>
    <font>
      <sz val="12"/>
      <name val="TimesNewRomanPS"/>
      <charset val="178"/>
    </font>
    <font>
      <b/>
      <sz val="12"/>
      <name val="TimesNewRomanPS"/>
      <charset val="178"/>
    </font>
    <font>
      <b/>
      <sz val="8"/>
      <color indexed="8"/>
      <name val="Helv"/>
      <family val="2"/>
    </font>
    <font>
      <sz val="8"/>
      <color indexed="12"/>
      <name val="Helv"/>
      <charset val="178"/>
    </font>
    <font>
      <sz val="8"/>
      <color indexed="14"/>
      <name val="Helv"/>
      <charset val="178"/>
    </font>
    <font>
      <b/>
      <sz val="18"/>
      <color indexed="56"/>
      <name val="Cambria"/>
      <family val="2"/>
    </font>
    <font>
      <b/>
      <sz val="8"/>
      <name val="Helv"/>
      <charset val="178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Times New Roman"/>
      <family val="1"/>
    </font>
    <font>
      <u/>
      <sz val="10"/>
      <color indexed="36"/>
      <name val="Times New Roman"/>
      <family val="1"/>
    </font>
    <font>
      <sz val="14"/>
      <name val="Cordia New"/>
      <family val="2"/>
    </font>
    <font>
      <sz val="12"/>
      <name val="新細明體"/>
      <charset val="136"/>
    </font>
    <font>
      <sz val="12"/>
      <name val="宋体"/>
      <charset val="134"/>
    </font>
    <font>
      <sz val="14"/>
      <color rgb="FFFF0000"/>
      <name val="Arial Narrow"/>
      <family val="2"/>
    </font>
    <font>
      <b/>
      <sz val="12"/>
      <color theme="0" tint="-0.14999847407452621"/>
      <name val="Arial Narrow"/>
      <family val="2"/>
    </font>
    <font>
      <b/>
      <sz val="12"/>
      <color theme="0" tint="-0.249977111117893"/>
      <name val="Arial Narrow"/>
      <family val="2"/>
    </font>
    <font>
      <sz val="12"/>
      <color theme="0" tint="-0.249977111117893"/>
      <name val="Arial Narrow"/>
      <family val="2"/>
    </font>
    <font>
      <sz val="13"/>
      <color theme="0" tint="-0.249977111117893"/>
      <name val="Arial Narrow"/>
      <family val="2"/>
    </font>
    <font>
      <b/>
      <sz val="14"/>
      <color rgb="FF0000CC"/>
      <name val="Arial Narrow"/>
      <family val="2"/>
    </font>
    <font>
      <sz val="10"/>
      <color theme="0" tint="-0.249977111117893"/>
      <name val="Arial"/>
      <family val="2"/>
    </font>
    <font>
      <b/>
      <sz val="10"/>
      <color theme="0" tint="-0.249977111117893"/>
      <name val="Arial"/>
      <family val="2"/>
    </font>
    <font>
      <b/>
      <u/>
      <sz val="11"/>
      <name val="Arial"/>
      <family val="2"/>
    </font>
    <font>
      <b/>
      <sz val="8"/>
      <name val="Arial"/>
      <family val="2"/>
    </font>
    <font>
      <sz val="12"/>
      <name val="Geneva"/>
    </font>
    <font>
      <sz val="10"/>
      <color indexed="22"/>
      <name val="Arial"/>
      <family val="2"/>
    </font>
    <font>
      <b/>
      <sz val="12"/>
      <color indexed="22"/>
      <name val="Arial"/>
      <family val="2"/>
    </font>
    <font>
      <sz val="12"/>
      <name val="Arial MT"/>
    </font>
    <font>
      <sz val="6"/>
      <name val="Helv"/>
    </font>
    <font>
      <sz val="6"/>
      <color indexed="10"/>
      <name val="Helv"/>
    </font>
    <font>
      <b/>
      <u/>
      <sz val="14"/>
      <name val="TimesNewRomanPS"/>
    </font>
    <font>
      <sz val="12"/>
      <name val="TimesNewRomanPS"/>
    </font>
    <font>
      <b/>
      <sz val="12"/>
      <name val="TimesNewRomanPS"/>
    </font>
    <font>
      <sz val="8"/>
      <color indexed="12"/>
      <name val="Helv"/>
    </font>
    <font>
      <sz val="8"/>
      <color indexed="14"/>
      <name val="Helv"/>
    </font>
    <font>
      <sz val="8"/>
      <name val="Tms Rmn"/>
    </font>
    <font>
      <b/>
      <sz val="8"/>
      <name val="Helv"/>
    </font>
    <font>
      <sz val="10"/>
      <name val="New York"/>
      <family val="1"/>
    </font>
    <font>
      <b/>
      <i/>
      <sz val="10"/>
      <color indexed="12"/>
      <name val="Univers (WN)"/>
      <family val="2"/>
    </font>
    <font>
      <sz val="8"/>
      <name val="Helvetica"/>
      <family val="2"/>
    </font>
    <font>
      <b/>
      <i/>
      <sz val="16"/>
      <name val="Helv"/>
      <family val="2"/>
    </font>
    <font>
      <sz val="10"/>
      <name val="Courier"/>
      <family val="3"/>
    </font>
    <font>
      <b/>
      <sz val="16"/>
      <name val="Times New Roman"/>
      <family val="1"/>
    </font>
    <font>
      <b/>
      <sz val="20"/>
      <name val="Arial Narrow"/>
      <family val="2"/>
    </font>
    <font>
      <sz val="12"/>
      <color rgb="FF0000CC"/>
      <name val="Arial Narrow"/>
      <family val="2"/>
    </font>
    <font>
      <sz val="11"/>
      <color rgb="FFFF0000"/>
      <name val="Arial"/>
      <family val="2"/>
    </font>
    <font>
      <sz val="10"/>
      <color theme="1"/>
      <name val="Arial"/>
      <family val="2"/>
    </font>
    <font>
      <i/>
      <u/>
      <sz val="12"/>
      <name val="Arial Narrow"/>
      <family val="2"/>
    </font>
    <font>
      <sz val="12"/>
      <color theme="0" tint="-0.34998626667073579"/>
      <name val="Arial Narrow"/>
      <family val="2"/>
    </font>
    <font>
      <sz val="16"/>
      <color rgb="FF0000CC"/>
      <name val="Arial Narrow"/>
      <family val="2"/>
    </font>
    <font>
      <b/>
      <sz val="16"/>
      <color rgb="FF0000CC"/>
      <name val="Arial Narrow"/>
      <family val="2"/>
    </font>
    <font>
      <sz val="12"/>
      <color rgb="FFFF0000"/>
      <name val="Arial Narrow"/>
      <family val="2"/>
    </font>
    <font>
      <b/>
      <sz val="12"/>
      <color theme="0" tint="-0.249977111117893"/>
      <name val="Arial"/>
      <family val="2"/>
    </font>
    <font>
      <i/>
      <sz val="11"/>
      <name val="Arial Narrow"/>
      <family val="2"/>
    </font>
    <font>
      <sz val="10"/>
      <color rgb="FF0000CC"/>
      <name val="Arial"/>
      <family val="2"/>
    </font>
    <font>
      <sz val="10"/>
      <color theme="0" tint="-0.14999847407452621"/>
      <name val="Arial"/>
      <family val="2"/>
    </font>
    <font>
      <b/>
      <sz val="12"/>
      <color theme="0" tint="-0.14999847407452621"/>
      <name val="Arial"/>
      <family val="2"/>
    </font>
    <font>
      <b/>
      <sz val="10"/>
      <color theme="0" tint="-0.14999847407452621"/>
      <name val="Arial"/>
      <family val="2"/>
    </font>
    <font>
      <i/>
      <u/>
      <sz val="10"/>
      <name val="Arial"/>
      <family val="2"/>
    </font>
    <font>
      <i/>
      <sz val="10"/>
      <name val="Arial Narrow"/>
      <family val="2"/>
    </font>
    <font>
      <b/>
      <sz val="10"/>
      <color rgb="FFFF0000"/>
      <name val="Arial"/>
      <family val="2"/>
    </font>
    <font>
      <b/>
      <sz val="14"/>
      <color indexed="8"/>
      <name val="Arial Narrow"/>
      <family val="2"/>
    </font>
    <font>
      <u/>
      <sz val="12"/>
      <color rgb="FF0000CC"/>
      <name val="Arial Narrow"/>
      <family val="2"/>
    </font>
    <font>
      <strike/>
      <sz val="12"/>
      <color rgb="FFFF0000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trike/>
      <sz val="12"/>
      <color theme="1"/>
      <name val="Arial Narrow"/>
      <family val="2"/>
    </font>
    <font>
      <b/>
      <sz val="11"/>
      <color theme="0" tint="-0.1499984740745262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2"/>
      <color theme="0" tint="-0.14999847407452621"/>
      <name val="Arial"/>
      <family val="2"/>
    </font>
    <font>
      <sz val="12"/>
      <color theme="1" tint="4.9989318521683403E-2"/>
      <name val="Arial Narrow"/>
      <family val="2"/>
    </font>
    <font>
      <sz val="12"/>
      <color theme="0" tint="-0.14999847407452621"/>
      <name val="Arial Narrow"/>
      <family val="2"/>
    </font>
    <font>
      <u/>
      <sz val="12"/>
      <color theme="0" tint="-0.14999847407452621"/>
      <name val="Arial Narrow"/>
      <family val="2"/>
    </font>
    <font>
      <b/>
      <i/>
      <sz val="12"/>
      <color rgb="FFFF0000"/>
      <name val="Arial"/>
      <family val="2"/>
    </font>
    <font>
      <b/>
      <i/>
      <u/>
      <sz val="11"/>
      <color rgb="FFFF0000"/>
      <name val="Arial"/>
      <family val="2"/>
    </font>
    <font>
      <u/>
      <sz val="12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i/>
      <u/>
      <sz val="12"/>
      <name val="Arial Narrow"/>
      <family val="2"/>
    </font>
    <font>
      <sz val="11"/>
      <color theme="1"/>
      <name val="Arial"/>
      <family val="2"/>
    </font>
    <font>
      <i/>
      <sz val="11"/>
      <color theme="1"/>
      <name val="Arial Narrow"/>
      <family val="2"/>
    </font>
    <font>
      <b/>
      <sz val="12"/>
      <color rgb="FF0000CC"/>
      <name val="Arial"/>
      <family val="2"/>
    </font>
    <font>
      <b/>
      <sz val="10"/>
      <color rgb="FF0000CC"/>
      <name val="Arial"/>
      <family val="2"/>
    </font>
    <font>
      <b/>
      <sz val="9"/>
      <name val="Arial"/>
      <family val="2"/>
    </font>
    <font>
      <sz val="10"/>
      <color theme="0" tint="-0.34998626667073579"/>
      <name val="Arial"/>
      <family val="2"/>
    </font>
    <font>
      <b/>
      <sz val="12"/>
      <color theme="0" tint="-0.34998626667073579"/>
      <name val="Arial"/>
      <family val="2"/>
    </font>
    <font>
      <sz val="12"/>
      <color rgb="FFFF0000"/>
      <name val="Arial"/>
      <family val="2"/>
    </font>
    <font>
      <b/>
      <i/>
      <u/>
      <sz val="12"/>
      <color rgb="FFFF0000"/>
      <name val="Arial Narrow"/>
      <family val="2"/>
    </font>
    <font>
      <b/>
      <sz val="16"/>
      <name val="Arial Narrow"/>
      <family val="2"/>
    </font>
    <font>
      <b/>
      <sz val="18"/>
      <color theme="1"/>
      <name val="Arial Narrow"/>
      <family val="2"/>
    </font>
    <font>
      <b/>
      <sz val="18"/>
      <name val="Arial Narrow"/>
      <family val="2"/>
    </font>
    <font>
      <b/>
      <sz val="14"/>
      <color theme="0"/>
      <name val="Arial Narrow"/>
      <family val="2"/>
    </font>
    <font>
      <sz val="16"/>
      <color rgb="FFFF0000"/>
      <name val="Arial Narrow"/>
      <family val="2"/>
    </font>
    <font>
      <b/>
      <sz val="16"/>
      <color rgb="FFFF0000"/>
      <name val="Arial Narrow"/>
      <family val="2"/>
    </font>
  </fonts>
  <fills count="5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/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ck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ed">
        <color indexed="64"/>
      </bottom>
      <diagonal/>
    </border>
    <border>
      <left style="thin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</borders>
  <cellStyleXfs count="1163">
    <xf numFmtId="0" fontId="0" fillId="0" borderId="0"/>
    <xf numFmtId="172" fontId="10" fillId="0" borderId="0" applyFont="0" applyFill="0" applyBorder="0" applyAlignment="0" applyProtection="0"/>
    <xf numFmtId="0" fontId="10" fillId="0" borderId="0"/>
    <xf numFmtId="0" fontId="10" fillId="0" borderId="0"/>
    <xf numFmtId="0" fontId="15" fillId="0" borderId="0"/>
    <xf numFmtId="4" fontId="18" fillId="0" borderId="0">
      <alignment vertical="center"/>
    </xf>
    <xf numFmtId="4" fontId="18" fillId="0" borderId="0">
      <alignment vertical="center"/>
    </xf>
    <xf numFmtId="0" fontId="20" fillId="0" borderId="0"/>
    <xf numFmtId="0" fontId="10" fillId="0" borderId="0"/>
    <xf numFmtId="178" fontId="10" fillId="0" borderId="0" applyProtection="0">
      <protection locked="0"/>
    </xf>
    <xf numFmtId="0" fontId="47" fillId="0" borderId="0">
      <alignment horizontal="center" wrapText="1"/>
      <protection locked="0"/>
    </xf>
    <xf numFmtId="0" fontId="48" fillId="0" borderId="0" applyNumberFormat="0" applyFill="0" applyBorder="0" applyAlignment="0" applyProtection="0"/>
    <xf numFmtId="179" fontId="20" fillId="0" borderId="0" applyFill="0" applyBorder="0" applyAlignment="0"/>
    <xf numFmtId="175" fontId="49" fillId="0" borderId="0"/>
    <xf numFmtId="175" fontId="49" fillId="0" borderId="0"/>
    <xf numFmtId="175" fontId="49" fillId="0" borderId="0"/>
    <xf numFmtId="175" fontId="49" fillId="0" borderId="0"/>
    <xf numFmtId="175" fontId="49" fillId="0" borderId="0"/>
    <xf numFmtId="175" fontId="49" fillId="0" borderId="0"/>
    <xf numFmtId="175" fontId="49" fillId="0" borderId="0"/>
    <xf numFmtId="175" fontId="49" fillId="0" borderId="0"/>
    <xf numFmtId="0" fontId="50" fillId="0" borderId="0" applyNumberFormat="0" applyAlignment="0">
      <alignment horizontal="left"/>
    </xf>
    <xf numFmtId="170" fontId="51" fillId="0" borderId="24" applyBorder="0"/>
    <xf numFmtId="180" fontId="10" fillId="0" borderId="0">
      <protection locked="0"/>
    </xf>
    <xf numFmtId="0" fontId="52" fillId="0" borderId="0" applyNumberFormat="0" applyAlignment="0">
      <alignment horizontal="left"/>
    </xf>
    <xf numFmtId="0" fontId="53" fillId="0" borderId="0"/>
    <xf numFmtId="38" fontId="17" fillId="7" borderId="0" applyNumberFormat="0" applyBorder="0" applyAlignment="0" applyProtection="0"/>
    <xf numFmtId="0" fontId="54" fillId="8" borderId="0"/>
    <xf numFmtId="0" fontId="23" fillId="0" borderId="25" applyNumberFormat="0" applyAlignment="0" applyProtection="0">
      <alignment horizontal="left" vertical="center"/>
    </xf>
    <xf numFmtId="0" fontId="23" fillId="0" borderId="8">
      <alignment horizontal="left" vertical="center"/>
    </xf>
    <xf numFmtId="0" fontId="55" fillId="0" borderId="20">
      <alignment horizontal="center"/>
    </xf>
    <xf numFmtId="0" fontId="55" fillId="0" borderId="0">
      <alignment horizontal="center"/>
    </xf>
    <xf numFmtId="10" fontId="17" fillId="9" borderId="4" applyNumberFormat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168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4" fontId="57" fillId="0" borderId="0"/>
    <xf numFmtId="0" fontId="10" fillId="0" borderId="0"/>
    <xf numFmtId="0" fontId="9" fillId="0" borderId="0"/>
    <xf numFmtId="14" fontId="47" fillId="0" borderId="0">
      <alignment horizontal="center" wrapText="1"/>
      <protection locked="0"/>
    </xf>
    <xf numFmtId="10" fontId="10" fillId="0" borderId="0" applyFont="0" applyFill="0" applyBorder="0" applyAlignment="0" applyProtection="0"/>
    <xf numFmtId="0" fontId="58" fillId="10" borderId="0" applyNumberFormat="0" applyFont="0" applyBorder="0" applyAlignment="0">
      <alignment horizontal="center"/>
    </xf>
    <xf numFmtId="14" fontId="53" fillId="0" borderId="0" applyNumberFormat="0" applyFill="0" applyBorder="0" applyAlignment="0" applyProtection="0">
      <alignment horizontal="left"/>
    </xf>
    <xf numFmtId="0" fontId="58" fillId="1" borderId="8" applyNumberFormat="0" applyFont="0" applyAlignment="0">
      <alignment horizontal="center"/>
    </xf>
    <xf numFmtId="0" fontId="53" fillId="0" borderId="26"/>
    <xf numFmtId="177" fontId="59" fillId="0" borderId="10">
      <alignment horizontal="justify" vertical="top" wrapText="1"/>
    </xf>
    <xf numFmtId="0" fontId="60" fillId="0" borderId="0" applyNumberFormat="0" applyFill="0" applyBorder="0" applyAlignment="0">
      <alignment horizontal="center"/>
    </xf>
    <xf numFmtId="40" fontId="61" fillId="0" borderId="0" applyBorder="0">
      <alignment horizontal="right"/>
    </xf>
    <xf numFmtId="181" fontId="62" fillId="0" borderId="0" applyNumberFormat="0" applyFill="0" applyBorder="0" applyAlignment="0" applyProtection="0">
      <alignment horizontal="left"/>
    </xf>
    <xf numFmtId="40" fontId="63" fillId="0" borderId="0"/>
    <xf numFmtId="4" fontId="18" fillId="0" borderId="0">
      <alignment vertical="center"/>
    </xf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83" fontId="64" fillId="0" borderId="0" applyFont="0" applyFill="0" applyBorder="0" applyAlignment="0" applyProtection="0"/>
    <xf numFmtId="184" fontId="64" fillId="0" borderId="0" applyFont="0" applyFill="0" applyBorder="0" applyAlignment="0" applyProtection="0"/>
    <xf numFmtId="183" fontId="10" fillId="0" borderId="0" applyFont="0" applyFill="0" applyBorder="0" applyAlignment="0" applyProtection="0"/>
    <xf numFmtId="184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7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0" fontId="56" fillId="0" borderId="0"/>
    <xf numFmtId="0" fontId="56" fillId="0" borderId="0"/>
    <xf numFmtId="185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7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7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88" fontId="65" fillId="0" borderId="10">
      <alignment horizontal="center"/>
      <protection locked="0"/>
    </xf>
    <xf numFmtId="0" fontId="66" fillId="11" borderId="0" applyNumberFormat="0" applyBorder="0" applyAlignment="0" applyProtection="0"/>
    <xf numFmtId="0" fontId="66" fillId="12" borderId="0" applyNumberFormat="0" applyBorder="0" applyAlignment="0" applyProtection="0"/>
    <xf numFmtId="0" fontId="66" fillId="13" borderId="0" applyNumberFormat="0" applyBorder="0" applyAlignment="0" applyProtection="0"/>
    <xf numFmtId="0" fontId="66" fillId="14" borderId="0" applyNumberFormat="0" applyBorder="0" applyAlignment="0" applyProtection="0"/>
    <xf numFmtId="0" fontId="66" fillId="15" borderId="0" applyNumberFormat="0" applyBorder="0" applyAlignment="0" applyProtection="0"/>
    <xf numFmtId="0" fontId="66" fillId="16" borderId="0" applyNumberFormat="0" applyBorder="0" applyAlignment="0" applyProtection="0"/>
    <xf numFmtId="178" fontId="10" fillId="0" borderId="0" applyProtection="0">
      <protection locked="0"/>
    </xf>
    <xf numFmtId="189" fontId="10" fillId="0" borderId="0" applyProtection="0">
      <protection locked="0"/>
    </xf>
    <xf numFmtId="0" fontId="66" fillId="17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0" fontId="66" fillId="14" borderId="0" applyNumberFormat="0" applyBorder="0" applyAlignment="0" applyProtection="0"/>
    <xf numFmtId="0" fontId="66" fillId="17" borderId="0" applyNumberFormat="0" applyBorder="0" applyAlignment="0" applyProtection="0"/>
    <xf numFmtId="0" fontId="66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18" borderId="0" applyNumberFormat="0" applyBorder="0" applyAlignment="0" applyProtection="0"/>
    <xf numFmtId="0" fontId="67" fillId="19" borderId="0" applyNumberFormat="0" applyBorder="0" applyAlignment="0" applyProtection="0"/>
    <xf numFmtId="0" fontId="67" fillId="22" borderId="0" applyNumberFormat="0" applyBorder="0" applyAlignment="0" applyProtection="0"/>
    <xf numFmtId="0" fontId="67" fillId="23" borderId="0" applyNumberFormat="0" applyBorder="0" applyAlignment="0" applyProtection="0"/>
    <xf numFmtId="0" fontId="67" fillId="24" borderId="0" applyNumberFormat="0" applyBorder="0" applyAlignment="0" applyProtection="0"/>
    <xf numFmtId="0" fontId="67" fillId="25" borderId="0" applyNumberFormat="0" applyBorder="0" applyAlignment="0" applyProtection="0"/>
    <xf numFmtId="0" fontId="67" fillId="26" borderId="0" applyNumberFormat="0" applyBorder="0" applyAlignment="0" applyProtection="0"/>
    <xf numFmtId="0" fontId="67" fillId="27" borderId="0" applyNumberFormat="0" applyBorder="0" applyAlignment="0" applyProtection="0"/>
    <xf numFmtId="0" fontId="67" fillId="22" borderId="0" applyNumberFormat="0" applyBorder="0" applyAlignment="0" applyProtection="0"/>
    <xf numFmtId="0" fontId="67" fillId="23" borderId="0" applyNumberFormat="0" applyBorder="0" applyAlignment="0" applyProtection="0"/>
    <xf numFmtId="0" fontId="67" fillId="28" borderId="0" applyNumberFormat="0" applyBorder="0" applyAlignment="0" applyProtection="0"/>
    <xf numFmtId="0" fontId="47" fillId="0" borderId="0">
      <alignment horizontal="center" wrapText="1"/>
      <protection locked="0"/>
    </xf>
    <xf numFmtId="0" fontId="68" fillId="12" borderId="0" applyNumberFormat="0" applyBorder="0" applyAlignment="0" applyProtection="0"/>
    <xf numFmtId="0" fontId="69" fillId="0" borderId="0" applyNumberFormat="0" applyFill="0" applyBorder="0" applyAlignment="0" applyProtection="0"/>
    <xf numFmtId="0" fontId="55" fillId="0" borderId="0"/>
    <xf numFmtId="179" fontId="20" fillId="0" borderId="0" applyFill="0" applyBorder="0" applyAlignment="0"/>
    <xf numFmtId="190" fontId="70" fillId="0" borderId="0" applyFill="0" applyBorder="0" applyAlignment="0"/>
    <xf numFmtId="0" fontId="71" fillId="29" borderId="27" applyNumberFormat="0" applyAlignment="0" applyProtection="0"/>
    <xf numFmtId="0" fontId="71" fillId="29" borderId="27" applyNumberFormat="0" applyAlignment="0" applyProtection="0"/>
    <xf numFmtId="0" fontId="71" fillId="29" borderId="27" applyNumberFormat="0" applyAlignment="0" applyProtection="0"/>
    <xf numFmtId="0" fontId="72" fillId="30" borderId="28" applyNumberFormat="0" applyAlignment="0" applyProtection="0"/>
    <xf numFmtId="175" fontId="49" fillId="0" borderId="0"/>
    <xf numFmtId="191" fontId="10" fillId="0" borderId="0"/>
    <xf numFmtId="175" fontId="49" fillId="0" borderId="0"/>
    <xf numFmtId="191" fontId="10" fillId="0" borderId="0"/>
    <xf numFmtId="175" fontId="49" fillId="0" borderId="0"/>
    <xf numFmtId="191" fontId="10" fillId="0" borderId="0"/>
    <xf numFmtId="175" fontId="49" fillId="0" borderId="0"/>
    <xf numFmtId="191" fontId="10" fillId="0" borderId="0"/>
    <xf numFmtId="175" fontId="49" fillId="0" borderId="0"/>
    <xf numFmtId="191" fontId="10" fillId="0" borderId="0"/>
    <xf numFmtId="175" fontId="49" fillId="0" borderId="0"/>
    <xf numFmtId="191" fontId="10" fillId="0" borderId="0"/>
    <xf numFmtId="175" fontId="49" fillId="0" borderId="0"/>
    <xf numFmtId="191" fontId="10" fillId="0" borderId="0"/>
    <xf numFmtId="175" fontId="49" fillId="0" borderId="0"/>
    <xf numFmtId="191" fontId="10" fillId="0" borderId="0"/>
    <xf numFmtId="172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0" fontId="56" fillId="0" borderId="0" applyFont="0" applyFill="0" applyBorder="0" applyAlignment="0" applyProtection="0"/>
    <xf numFmtId="43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0" fontId="50" fillId="0" borderId="0" applyNumberFormat="0" applyAlignment="0">
      <alignment horizontal="left"/>
    </xf>
    <xf numFmtId="186" fontId="51" fillId="0" borderId="24" applyBorder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0" fontId="10" fillId="0" borderId="0">
      <protection locked="0"/>
    </xf>
    <xf numFmtId="192" fontId="10" fillId="0" borderId="0">
      <protection locked="0"/>
    </xf>
    <xf numFmtId="19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9" fillId="0" borderId="4">
      <alignment horizontal="center"/>
    </xf>
    <xf numFmtId="194" fontId="16" fillId="0" borderId="0" applyFont="0" applyFill="0" applyBorder="0" applyAlignment="0" applyProtection="0"/>
    <xf numFmtId="195" fontId="16" fillId="0" borderId="0" applyFont="0" applyFill="0" applyBorder="0" applyAlignment="0" applyProtection="0"/>
    <xf numFmtId="0" fontId="52" fillId="0" borderId="0" applyNumberFormat="0" applyAlignment="0">
      <alignment horizontal="left"/>
    </xf>
    <xf numFmtId="2" fontId="73" fillId="0" borderId="0"/>
    <xf numFmtId="0" fontId="74" fillId="0" borderId="0" applyNumberFormat="0" applyFill="0" applyBorder="0" applyAlignment="0" applyProtection="0"/>
    <xf numFmtId="2" fontId="10" fillId="0" borderId="0" applyFont="0" applyFill="0" applyBorder="0" applyAlignment="0" applyProtection="0"/>
    <xf numFmtId="0" fontId="75" fillId="0" borderId="0"/>
    <xf numFmtId="0" fontId="76" fillId="13" borderId="0" applyNumberFormat="0" applyBorder="0" applyAlignment="0" applyProtection="0"/>
    <xf numFmtId="0" fontId="77" fillId="8" borderId="0"/>
    <xf numFmtId="0" fontId="23" fillId="0" borderId="8">
      <alignment horizontal="left" vertical="center"/>
    </xf>
    <xf numFmtId="0" fontId="78" fillId="0" borderId="29" applyNumberFormat="0" applyFill="0" applyAlignment="0" applyProtection="0"/>
    <xf numFmtId="0" fontId="79" fillId="0" borderId="30" applyNumberFormat="0" applyFill="0" applyAlignment="0" applyProtection="0"/>
    <xf numFmtId="0" fontId="80" fillId="0" borderId="31" applyNumberFormat="0" applyFill="0" applyAlignment="0" applyProtection="0"/>
    <xf numFmtId="0" fontId="80" fillId="0" borderId="0" applyNumberFormat="0" applyFill="0" applyBorder="0" applyAlignment="0" applyProtection="0"/>
    <xf numFmtId="0" fontId="55" fillId="0" borderId="20">
      <alignment horizontal="center"/>
    </xf>
    <xf numFmtId="0" fontId="55" fillId="0" borderId="0">
      <alignment horizontal="center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2" fillId="16" borderId="27" applyNumberFormat="0" applyAlignment="0" applyProtection="0"/>
    <xf numFmtId="0" fontId="83" fillId="0" borderId="0" applyBorder="0">
      <alignment horizontal="justify" vertical="top"/>
    </xf>
    <xf numFmtId="0" fontId="83" fillId="0" borderId="0" applyBorder="0">
      <alignment horizontal="justify" vertical="top"/>
    </xf>
    <xf numFmtId="2" fontId="84" fillId="0" borderId="32" applyNumberFormat="0" applyFont="0" applyFill="0" applyAlignment="0" applyProtection="0">
      <alignment horizontal="center" vertical="center"/>
    </xf>
    <xf numFmtId="0" fontId="85" fillId="0" borderId="33" applyNumberFormat="0" applyFill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6" fillId="0" borderId="0" applyNumberFormat="0">
      <alignment horizontal="right"/>
    </xf>
    <xf numFmtId="196" fontId="10" fillId="0" borderId="0" applyFill="0" applyBorder="0" applyAlignment="0"/>
    <xf numFmtId="0" fontId="87" fillId="31" borderId="0" applyNumberFormat="0" applyBorder="0" applyAlignment="0" applyProtection="0"/>
    <xf numFmtId="197" fontId="10" fillId="0" borderId="0"/>
    <xf numFmtId="198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" fontId="10" fillId="0" borderId="0">
      <alignment vertical="center"/>
    </xf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10" fillId="0" borderId="0"/>
    <xf numFmtId="4" fontId="10" fillId="0" borderId="0">
      <alignment vertical="center"/>
    </xf>
    <xf numFmtId="0" fontId="10" fillId="0" borderId="0"/>
    <xf numFmtId="0" fontId="10" fillId="0" borderId="0"/>
    <xf numFmtId="0" fontId="6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199" fontId="8" fillId="0" borderId="0"/>
    <xf numFmtId="0" fontId="10" fillId="0" borderId="0"/>
    <xf numFmtId="4" fontId="10" fillId="0" borderId="0">
      <alignment vertical="center"/>
    </xf>
    <xf numFmtId="0" fontId="10" fillId="0" borderId="0"/>
    <xf numFmtId="0" fontId="10" fillId="0" borderId="0"/>
    <xf numFmtId="4" fontId="10" fillId="0" borderId="0">
      <alignment vertical="center"/>
    </xf>
    <xf numFmtId="199" fontId="8" fillId="0" borderId="0"/>
    <xf numFmtId="4" fontId="10" fillId="0" borderId="0">
      <alignment vertical="center"/>
    </xf>
    <xf numFmtId="0" fontId="10" fillId="0" borderId="0"/>
    <xf numFmtId="0" fontId="8" fillId="0" borderId="0"/>
    <xf numFmtId="0" fontId="8" fillId="0" borderId="0"/>
    <xf numFmtId="4" fontId="10" fillId="0" borderId="0">
      <alignment vertical="center"/>
    </xf>
    <xf numFmtId="0" fontId="88" fillId="0" borderId="0"/>
    <xf numFmtId="4" fontId="10" fillId="0" borderId="0">
      <alignment vertical="center"/>
    </xf>
    <xf numFmtId="0" fontId="8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right" vertical="center"/>
    </xf>
    <xf numFmtId="0" fontId="10" fillId="0" borderId="0"/>
    <xf numFmtId="0" fontId="8" fillId="0" borderId="0"/>
    <xf numFmtId="0" fontId="8" fillId="0" borderId="0"/>
    <xf numFmtId="4" fontId="10" fillId="0" borderId="0">
      <alignment vertical="center"/>
    </xf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4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10" fillId="0" borderId="0">
      <alignment vertical="center"/>
    </xf>
    <xf numFmtId="0" fontId="10" fillId="0" borderId="0"/>
    <xf numFmtId="4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4" fontId="10" fillId="0" borderId="0">
      <alignment vertical="center"/>
    </xf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10" fillId="0" borderId="0">
      <alignment vertical="center"/>
    </xf>
    <xf numFmtId="0" fontId="10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4" fontId="10" fillId="0" borderId="0">
      <alignment vertical="center"/>
    </xf>
    <xf numFmtId="0" fontId="8" fillId="0" borderId="0"/>
    <xf numFmtId="4" fontId="10" fillId="0" borderId="0">
      <alignment vertical="center"/>
    </xf>
    <xf numFmtId="4" fontId="10" fillId="0" borderId="0">
      <alignment vertical="center"/>
    </xf>
    <xf numFmtId="4" fontId="10" fillId="0" borderId="0">
      <alignment vertical="center"/>
    </xf>
    <xf numFmtId="4" fontId="10" fillId="0" borderId="0">
      <alignment vertical="center"/>
    </xf>
    <xf numFmtId="4" fontId="10" fillId="0" borderId="0">
      <alignment vertical="center"/>
    </xf>
    <xf numFmtId="0" fontId="10" fillId="0" borderId="0"/>
    <xf numFmtId="4" fontId="56" fillId="0" borderId="0">
      <alignment vertical="center"/>
    </xf>
    <xf numFmtId="4" fontId="10" fillId="0" borderId="0">
      <alignment vertical="center"/>
    </xf>
    <xf numFmtId="4" fontId="10" fillId="0" borderId="0">
      <alignment vertical="center"/>
    </xf>
    <xf numFmtId="4" fontId="10" fillId="0" borderId="0">
      <alignment vertical="center"/>
    </xf>
    <xf numFmtId="4" fontId="10" fillId="0" borderId="0">
      <alignment vertical="center"/>
    </xf>
    <xf numFmtId="4" fontId="10" fillId="0" borderId="0">
      <alignment vertical="center"/>
    </xf>
    <xf numFmtId="4" fontId="10" fillId="0" borderId="0">
      <alignment vertical="center"/>
    </xf>
    <xf numFmtId="4" fontId="10" fillId="0" borderId="0">
      <alignment vertical="center"/>
    </xf>
    <xf numFmtId="4" fontId="10" fillId="0" borderId="0">
      <alignment vertical="center"/>
    </xf>
    <xf numFmtId="4" fontId="10" fillId="0" borderId="0">
      <alignment vertical="center"/>
    </xf>
    <xf numFmtId="4" fontId="10" fillId="0" borderId="0">
      <alignment vertical="center"/>
    </xf>
    <xf numFmtId="0" fontId="10" fillId="0" borderId="0"/>
    <xf numFmtId="0" fontId="8" fillId="0" borderId="0"/>
    <xf numFmtId="0" fontId="8" fillId="0" borderId="0"/>
    <xf numFmtId="4" fontId="10" fillId="0" borderId="0">
      <alignment vertical="center"/>
    </xf>
    <xf numFmtId="0" fontId="8" fillId="0" borderId="0"/>
    <xf numFmtId="16" fontId="89" fillId="0" borderId="34" applyNumberFormat="0" applyBorder="0" applyAlignment="0">
      <alignment horizontal="center"/>
    </xf>
    <xf numFmtId="0" fontId="90" fillId="0" borderId="35" applyBorder="0">
      <alignment horizontal="center"/>
    </xf>
    <xf numFmtId="0" fontId="10" fillId="0" borderId="0"/>
    <xf numFmtId="0" fontId="10" fillId="32" borderId="36" applyNumberFormat="0" applyFont="0" applyAlignment="0" applyProtection="0"/>
    <xf numFmtId="0" fontId="10" fillId="32" borderId="36" applyNumberFormat="0" applyFont="0" applyAlignment="0" applyProtection="0"/>
    <xf numFmtId="0" fontId="10" fillId="32" borderId="36" applyNumberFormat="0" applyFont="0" applyAlignment="0" applyProtection="0"/>
    <xf numFmtId="0" fontId="10" fillId="32" borderId="36" applyNumberFormat="0" applyFont="0" applyAlignment="0" applyProtection="0"/>
    <xf numFmtId="2" fontId="91" fillId="0" borderId="4" applyBorder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92" fillId="29" borderId="37" applyNumberFormat="0" applyAlignment="0" applyProtection="0"/>
    <xf numFmtId="0" fontId="92" fillId="29" borderId="37" applyNumberFormat="0" applyAlignment="0" applyProtection="0"/>
    <xf numFmtId="0" fontId="92" fillId="29" borderId="37" applyNumberFormat="0" applyAlignment="0" applyProtection="0"/>
    <xf numFmtId="174" fontId="93" fillId="33" borderId="38"/>
    <xf numFmtId="14" fontId="47" fillId="0" borderId="0">
      <alignment horizontal="center" wrapText="1"/>
      <protection locked="0"/>
    </xf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left"/>
    </xf>
    <xf numFmtId="0" fontId="94" fillId="0" borderId="0" applyNumberFormat="0" applyFill="0" applyBorder="0" applyAlignment="0" applyProtection="0">
      <alignment horizontal="left"/>
    </xf>
    <xf numFmtId="0" fontId="58" fillId="10" borderId="0" applyNumberFormat="0" applyFont="0" applyBorder="0" applyAlignment="0">
      <alignment horizontal="center"/>
    </xf>
    <xf numFmtId="2" fontId="84" fillId="0" borderId="27">
      <alignment horizontal="center" vertical="center"/>
    </xf>
    <xf numFmtId="2" fontId="84" fillId="0" borderId="27">
      <alignment horizontal="center" vertical="center"/>
    </xf>
    <xf numFmtId="14" fontId="75" fillId="0" borderId="0" applyNumberFormat="0" applyFill="0" applyBorder="0" applyAlignment="0" applyProtection="0">
      <alignment horizontal="left"/>
    </xf>
    <xf numFmtId="0" fontId="58" fillId="1" borderId="8" applyNumberFormat="0" applyFont="0" applyAlignment="0">
      <alignment horizontal="center"/>
    </xf>
    <xf numFmtId="0" fontId="58" fillId="1" borderId="8" applyNumberFormat="0" applyFont="0" applyAlignment="0">
      <alignment horizontal="center"/>
    </xf>
    <xf numFmtId="0" fontId="75" fillId="0" borderId="26"/>
    <xf numFmtId="0" fontId="95" fillId="0" borderId="0" applyProtection="0">
      <alignment vertical="center"/>
    </xf>
    <xf numFmtId="0" fontId="96" fillId="0" borderId="0" applyProtection="0">
      <alignment vertical="center"/>
    </xf>
    <xf numFmtId="0" fontId="97" fillId="0" borderId="0"/>
    <xf numFmtId="177" fontId="59" fillId="0" borderId="10">
      <alignment horizontal="justify" vertical="top" wrapText="1"/>
    </xf>
    <xf numFmtId="0" fontId="60" fillId="0" borderId="0" applyNumberFormat="0" applyFill="0" applyBorder="0" applyAlignment="0">
      <alignment horizontal="center"/>
    </xf>
    <xf numFmtId="0" fontId="20" fillId="0" borderId="0"/>
    <xf numFmtId="40" fontId="98" fillId="0" borderId="0" applyBorder="0">
      <alignment horizontal="right"/>
    </xf>
    <xf numFmtId="200" fontId="10" fillId="0" borderId="0" applyNumberFormat="0" applyFill="0" applyBorder="0" applyAlignment="0" applyProtection="0">
      <alignment horizontal="left"/>
    </xf>
    <xf numFmtId="12" fontId="99" fillId="0" borderId="0" applyFill="0" applyBorder="0"/>
    <xf numFmtId="12" fontId="99" fillId="0" borderId="0"/>
    <xf numFmtId="12" fontId="100" fillId="0" borderId="39" applyBorder="0" applyAlignment="0">
      <alignment horizontal="center"/>
    </xf>
    <xf numFmtId="0" fontId="101" fillId="0" borderId="0" applyNumberFormat="0" applyFill="0" applyBorder="0" applyAlignment="0" applyProtection="0"/>
    <xf numFmtId="1" fontId="102" fillId="0" borderId="40"/>
    <xf numFmtId="0" fontId="103" fillId="0" borderId="41" applyNumberFormat="0" applyFill="0" applyAlignment="0" applyProtection="0"/>
    <xf numFmtId="0" fontId="103" fillId="0" borderId="41" applyNumberFormat="0" applyFill="0" applyAlignment="0" applyProtection="0"/>
    <xf numFmtId="0" fontId="103" fillId="0" borderId="41" applyNumberFormat="0" applyFill="0" applyAlignment="0" applyProtection="0"/>
    <xf numFmtId="170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top"/>
      <protection locked="0"/>
    </xf>
    <xf numFmtId="0" fontId="107" fillId="0" borderId="0" applyProtection="0"/>
    <xf numFmtId="0" fontId="10" fillId="0" borderId="0"/>
    <xf numFmtId="0" fontId="108" fillId="0" borderId="0"/>
    <xf numFmtId="183" fontId="109" fillId="0" borderId="0" applyFont="0" applyFill="0" applyBorder="0" applyAlignment="0" applyProtection="0"/>
    <xf numFmtId="184" fontId="109" fillId="0" borderId="0" applyFont="0" applyFill="0" applyBorder="0" applyAlignment="0" applyProtection="0"/>
    <xf numFmtId="183" fontId="109" fillId="0" borderId="0" applyFont="0" applyFill="0" applyBorder="0" applyAlignment="0" applyProtection="0"/>
    <xf numFmtId="184" fontId="109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0" fontId="10" fillId="0" borderId="0"/>
    <xf numFmtId="0" fontId="10" fillId="0" borderId="0"/>
    <xf numFmtId="0" fontId="109" fillId="0" borderId="0"/>
    <xf numFmtId="166" fontId="108" fillId="0" borderId="0" applyFont="0" applyFill="0" applyBorder="0" applyAlignment="0" applyProtection="0"/>
    <xf numFmtId="167" fontId="108" fillId="0" borderId="0" applyFont="0" applyFill="0" applyBorder="0" applyAlignment="0" applyProtection="0"/>
    <xf numFmtId="201" fontId="109" fillId="0" borderId="0" applyFont="0" applyFill="0" applyBorder="0" applyAlignment="0" applyProtection="0"/>
    <xf numFmtId="202" fontId="109" fillId="0" borderId="0" applyFont="0" applyFill="0" applyBorder="0" applyAlignment="0" applyProtection="0"/>
    <xf numFmtId="0" fontId="7" fillId="0" borderId="0"/>
    <xf numFmtId="0" fontId="6" fillId="0" borderId="0"/>
    <xf numFmtId="4" fontId="1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9" fontId="5" fillId="0" borderId="0"/>
    <xf numFmtId="19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6" fillId="0" borderId="0" applyFont="0" applyFill="0" applyBorder="0" applyAlignment="0" applyProtection="0"/>
    <xf numFmtId="229" fontId="120" fillId="0" borderId="0" applyFont="0" applyFill="0" applyBorder="0" applyAlignment="0" applyProtection="0"/>
    <xf numFmtId="227" fontId="120" fillId="0" borderId="0" applyFont="0" applyFill="0" applyBorder="0" applyAlignment="0" applyProtection="0"/>
    <xf numFmtId="228" fontId="120" fillId="0" borderId="0" applyFont="0" applyFill="0" applyBorder="0" applyAlignment="0" applyProtection="0"/>
    <xf numFmtId="0" fontId="1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10" fillId="0" borderId="0"/>
    <xf numFmtId="0" fontId="10" fillId="0" borderId="0"/>
    <xf numFmtId="164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3" fontId="133" fillId="0" borderId="0" applyFont="0" applyFill="0" applyBorder="0" applyAlignment="0" applyProtection="0">
      <alignment wrapText="1"/>
    </xf>
    <xf numFmtId="188" fontId="65" fillId="0" borderId="53">
      <alignment horizontal="center"/>
      <protection locked="0"/>
    </xf>
    <xf numFmtId="0" fontId="66" fillId="11" borderId="0" applyNumberFormat="0" applyBorder="0" applyAlignment="0" applyProtection="0"/>
    <xf numFmtId="0" fontId="66" fillId="12" borderId="0" applyNumberFormat="0" applyBorder="0" applyAlignment="0" applyProtection="0"/>
    <xf numFmtId="0" fontId="66" fillId="13" borderId="0" applyNumberFormat="0" applyBorder="0" applyAlignment="0" applyProtection="0"/>
    <xf numFmtId="0" fontId="66" fillId="14" borderId="0" applyNumberFormat="0" applyBorder="0" applyAlignment="0" applyProtection="0"/>
    <xf numFmtId="0" fontId="66" fillId="15" borderId="0" applyNumberFormat="0" applyBorder="0" applyAlignment="0" applyProtection="0"/>
    <xf numFmtId="0" fontId="66" fillId="16" borderId="0" applyNumberFormat="0" applyBorder="0" applyAlignment="0" applyProtection="0"/>
    <xf numFmtId="0" fontId="56" fillId="0" borderId="0"/>
    <xf numFmtId="178" fontId="10" fillId="0" borderId="0" applyProtection="0">
      <protection locked="0"/>
    </xf>
    <xf numFmtId="237" fontId="17" fillId="0" borderId="0" applyProtection="0">
      <protection locked="0"/>
    </xf>
    <xf numFmtId="178" fontId="10" fillId="0" borderId="0" applyProtection="0">
      <protection locked="0"/>
    </xf>
    <xf numFmtId="178" fontId="10" fillId="0" borderId="0" applyProtection="0">
      <protection locked="0"/>
    </xf>
    <xf numFmtId="178" fontId="10" fillId="0" borderId="0" applyProtection="0">
      <protection locked="0"/>
    </xf>
    <xf numFmtId="178" fontId="10" fillId="0" borderId="0" applyProtection="0">
      <protection locked="0"/>
    </xf>
    <xf numFmtId="178" fontId="10" fillId="0" borderId="0" applyProtection="0">
      <protection locked="0"/>
    </xf>
    <xf numFmtId="178" fontId="10" fillId="0" borderId="0" applyProtection="0">
      <protection locked="0"/>
    </xf>
    <xf numFmtId="178" fontId="10" fillId="0" borderId="0" applyProtection="0">
      <protection locked="0"/>
    </xf>
    <xf numFmtId="0" fontId="10" fillId="0" borderId="0"/>
    <xf numFmtId="0" fontId="66" fillId="17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0" fontId="66" fillId="14" borderId="0" applyNumberFormat="0" applyBorder="0" applyAlignment="0" applyProtection="0"/>
    <xf numFmtId="0" fontId="66" fillId="17" borderId="0" applyNumberFormat="0" applyBorder="0" applyAlignment="0" applyProtection="0"/>
    <xf numFmtId="0" fontId="66" fillId="20" borderId="0" applyNumberFormat="0" applyBorder="0" applyAlignment="0" applyProtection="0"/>
    <xf numFmtId="0" fontId="134" fillId="0" borderId="0" applyNumberFormat="0" applyFill="0" applyBorder="0" applyAlignment="0" applyProtection="0">
      <alignment horizontal="right"/>
    </xf>
    <xf numFmtId="0" fontId="94" fillId="0" borderId="0"/>
    <xf numFmtId="0" fontId="47" fillId="0" borderId="0">
      <alignment horizontal="center" wrapText="1"/>
      <protection locked="0"/>
    </xf>
    <xf numFmtId="0" fontId="47" fillId="0" borderId="0">
      <alignment horizontal="center" wrapText="1"/>
      <protection locked="0"/>
    </xf>
    <xf numFmtId="0" fontId="47" fillId="0" borderId="0">
      <alignment horizontal="center" wrapText="1"/>
      <protection locked="0"/>
    </xf>
    <xf numFmtId="183" fontId="83" fillId="0" borderId="0" applyFont="0" applyFill="0" applyBorder="0" applyAlignment="0" applyProtection="0"/>
    <xf numFmtId="184" fontId="83" fillId="0" borderId="0" applyFont="0" applyFill="0" applyBorder="0" applyAlignment="0" applyProtection="0"/>
    <xf numFmtId="183" fontId="10" fillId="0" borderId="0" applyFont="0" applyFill="0" applyBorder="0" applyAlignment="0" applyProtection="0"/>
    <xf numFmtId="184" fontId="10" fillId="0" borderId="0" applyFont="0" applyFill="0" applyBorder="0" applyAlignment="0" applyProtection="0"/>
    <xf numFmtId="179" fontId="20" fillId="0" borderId="0" applyFill="0" applyBorder="0" applyAlignment="0"/>
    <xf numFmtId="179" fontId="20" fillId="0" borderId="0" applyFill="0" applyBorder="0" applyAlignment="0"/>
    <xf numFmtId="236" fontId="56" fillId="0" borderId="0"/>
    <xf numFmtId="236" fontId="56" fillId="0" borderId="0"/>
    <xf numFmtId="236" fontId="56" fillId="0" borderId="0"/>
    <xf numFmtId="236" fontId="56" fillId="0" borderId="0"/>
    <xf numFmtId="236" fontId="56" fillId="0" borderId="0"/>
    <xf numFmtId="236" fontId="56" fillId="0" borderId="0"/>
    <xf numFmtId="236" fontId="56" fillId="0" borderId="0"/>
    <xf numFmtId="236" fontId="56" fillId="0" borderId="0"/>
    <xf numFmtId="206" fontId="120" fillId="0" borderId="0" applyFont="0" applyFill="0" applyBorder="0" applyAlignment="0" applyProtection="0"/>
    <xf numFmtId="40" fontId="120" fillId="0" borderId="0" applyFont="0" applyFill="0" applyBorder="0" applyAlignment="0" applyProtection="0"/>
    <xf numFmtId="211" fontId="48" fillId="0" borderId="0" applyFont="0" applyFill="0" applyBorder="0" applyAlignment="0" applyProtection="0"/>
    <xf numFmtId="210" fontId="4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0" fontId="5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1" fillId="0" borderId="46" applyNumberFormat="0" applyFill="0" applyAlignment="0" applyProtection="0"/>
    <xf numFmtId="3" fontId="10" fillId="0" borderId="0" applyFont="0" applyFill="0" applyBorder="0" applyAlignment="0" applyProtection="0"/>
    <xf numFmtId="0" fontId="50" fillId="0" borderId="0" applyNumberFormat="0" applyAlignment="0">
      <alignment horizontal="left"/>
    </xf>
    <xf numFmtId="230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213" fontId="48" fillId="0" borderId="0" applyFont="0" applyFill="0" applyBorder="0" applyAlignment="0" applyProtection="0"/>
    <xf numFmtId="212" fontId="48" fillId="0" borderId="0" applyFont="0" applyFill="0" applyBorder="0" applyAlignment="0" applyProtection="0"/>
    <xf numFmtId="166" fontId="51" fillId="0" borderId="24" applyBorder="0"/>
    <xf numFmtId="205" fontId="51" fillId="0" borderId="24" applyBorder="0"/>
    <xf numFmtId="186" fontId="51" fillId="0" borderId="24" applyBorder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80" fontId="10" fillId="0" borderId="0">
      <protection locked="0"/>
    </xf>
    <xf numFmtId="0" fontId="56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180" fontId="10" fillId="0" borderId="0">
      <protection locked="0"/>
    </xf>
    <xf numFmtId="0" fontId="121" fillId="0" borderId="46" applyNumberFormat="0" applyFill="0" applyAlignment="0" applyProtection="0"/>
    <xf numFmtId="193" fontId="10" fillId="0" borderId="0" applyFont="0" applyFill="0" applyBorder="0" applyAlignment="0" applyProtection="0"/>
    <xf numFmtId="0" fontId="135" fillId="26" borderId="0" applyNumberFormat="0" applyBorder="0" applyAlignment="0">
      <protection locked="0"/>
    </xf>
    <xf numFmtId="15" fontId="120" fillId="0" borderId="0" applyFont="0" applyFill="0" applyBorder="0" applyAlignment="0" applyProtection="0"/>
    <xf numFmtId="14" fontId="120" fillId="0" borderId="0" applyFont="0" applyFill="0" applyBorder="0" applyAlignment="0" applyProtection="0"/>
    <xf numFmtId="17" fontId="120" fillId="0" borderId="0" applyFont="0" applyFill="0" applyBorder="0" applyAlignment="0" applyProtection="0"/>
    <xf numFmtId="15" fontId="48" fillId="0" borderId="0" applyFont="0" applyFill="0" applyBorder="0" applyAlignment="0" applyProtection="0"/>
    <xf numFmtId="14" fontId="48" fillId="0" borderId="0" applyFont="0" applyFill="0" applyBorder="0" applyAlignment="0" applyProtection="0"/>
    <xf numFmtId="207" fontId="48" fillId="0" borderId="0" applyFont="0" applyFill="0" applyBorder="0" applyAlignment="0" applyProtection="0"/>
    <xf numFmtId="226" fontId="48" fillId="0" borderId="0" applyFont="0" applyFill="0" applyBorder="0" applyAlignment="0" applyProtection="0"/>
    <xf numFmtId="17" fontId="48" fillId="0" borderId="0" applyFont="0" applyFill="0" applyBorder="0" applyAlignment="0" applyProtection="0"/>
    <xf numFmtId="0" fontId="122" fillId="0" borderId="54" applyNumberFormat="0" applyFill="0" applyAlignment="0" applyProtection="0"/>
    <xf numFmtId="0" fontId="122" fillId="0" borderId="54" applyNumberFormat="0" applyFill="0" applyAlignment="0" applyProtection="0"/>
    <xf numFmtId="0" fontId="122" fillId="0" borderId="54" applyNumberFormat="0" applyFill="0" applyAlignment="0" applyProtection="0"/>
    <xf numFmtId="0" fontId="122" fillId="0" borderId="54" applyNumberFormat="0" applyFill="0" applyAlignment="0" applyProtection="0"/>
    <xf numFmtId="0" fontId="122" fillId="0" borderId="54" applyNumberFormat="0" applyFill="0" applyAlignment="0" applyProtection="0"/>
    <xf numFmtId="0" fontId="122" fillId="0" borderId="54" applyNumberFormat="0" applyFill="0" applyAlignment="0" applyProtection="0"/>
    <xf numFmtId="0" fontId="122" fillId="0" borderId="54" applyNumberFormat="0" applyFill="0" applyAlignment="0" applyProtection="0"/>
    <xf numFmtId="22" fontId="120" fillId="0" borderId="0" applyFont="0" applyFill="0" applyBorder="0" applyAlignment="0" applyProtection="0"/>
    <xf numFmtId="0" fontId="56" fillId="0" borderId="0"/>
    <xf numFmtId="0" fontId="10" fillId="40" borderId="55">
      <alignment horizontal="centerContinuous"/>
    </xf>
    <xf numFmtId="0" fontId="10" fillId="40" borderId="55">
      <alignment horizontal="centerContinuous"/>
    </xf>
    <xf numFmtId="0" fontId="10" fillId="41" borderId="55"/>
    <xf numFmtId="0" fontId="10" fillId="41" borderId="55"/>
    <xf numFmtId="0" fontId="10" fillId="41" borderId="56"/>
    <xf numFmtId="0" fontId="10" fillId="41" borderId="56"/>
    <xf numFmtId="0" fontId="52" fillId="0" borderId="0" applyNumberFormat="0" applyAlignment="0">
      <alignment horizontal="left"/>
    </xf>
    <xf numFmtId="239" fontId="10" fillId="0" borderId="0">
      <protection locked="0"/>
    </xf>
    <xf numFmtId="239" fontId="10" fillId="0" borderId="0">
      <protection locked="0"/>
    </xf>
    <xf numFmtId="239" fontId="10" fillId="0" borderId="0">
      <protection locked="0"/>
    </xf>
    <xf numFmtId="239" fontId="10" fillId="0" borderId="0">
      <protection locked="0"/>
    </xf>
    <xf numFmtId="239" fontId="10" fillId="0" borderId="0">
      <protection locked="0"/>
    </xf>
    <xf numFmtId="239" fontId="10" fillId="0" borderId="0">
      <protection locked="0"/>
    </xf>
    <xf numFmtId="239" fontId="10" fillId="0" borderId="0">
      <protection locked="0"/>
    </xf>
    <xf numFmtId="0" fontId="122" fillId="0" borderId="54" applyNumberFormat="0" applyFill="0" applyAlignment="0" applyProtection="0"/>
    <xf numFmtId="2" fontId="10" fillId="0" borderId="0" applyFont="0" applyFill="0" applyBorder="0" applyAlignment="0" applyProtection="0"/>
    <xf numFmtId="0" fontId="17" fillId="9" borderId="0"/>
    <xf numFmtId="38" fontId="17" fillId="7" borderId="0" applyNumberFormat="0" applyBorder="0" applyAlignment="0" applyProtection="0"/>
    <xf numFmtId="38" fontId="17" fillId="7" borderId="0" applyNumberFormat="0" applyBorder="0" applyAlignment="0" applyProtection="0"/>
    <xf numFmtId="0" fontId="138" fillId="0" borderId="0"/>
    <xf numFmtId="0" fontId="121" fillId="0" borderId="46" applyNumberFormat="0" applyFill="0" applyAlignment="0" applyProtection="0"/>
    <xf numFmtId="0" fontId="121" fillId="0" borderId="46" applyNumberFormat="0" applyFill="0" applyAlignment="0" applyProtection="0"/>
    <xf numFmtId="239" fontId="10" fillId="0" borderId="0">
      <protection locked="0"/>
    </xf>
    <xf numFmtId="239" fontId="10" fillId="0" borderId="0">
      <protection locked="0"/>
    </xf>
    <xf numFmtId="0" fontId="55" fillId="0" borderId="20">
      <alignment horizontal="center"/>
    </xf>
    <xf numFmtId="0" fontId="55" fillId="0" borderId="0">
      <alignment horizontal="center"/>
    </xf>
    <xf numFmtId="10" fontId="17" fillId="9" borderId="4" applyNumberFormat="0" applyBorder="0" applyAlignment="0" applyProtection="0"/>
    <xf numFmtId="10" fontId="17" fillId="9" borderId="4" applyNumberFormat="0" applyBorder="0" applyAlignment="0" applyProtection="0"/>
    <xf numFmtId="0" fontId="83" fillId="0" borderId="0" applyBorder="0">
      <alignment horizontal="justify" vertical="top"/>
    </xf>
    <xf numFmtId="165" fontId="16" fillId="0" borderId="0" applyFont="0" applyFill="0" applyBorder="0" applyAlignment="0" applyProtection="0"/>
    <xf numFmtId="0" fontId="17" fillId="9" borderId="0">
      <alignment horizontal="right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21" fontId="48" fillId="0" borderId="0" applyFont="0" applyFill="0" applyBorder="0" applyAlignment="0" applyProtection="0"/>
    <xf numFmtId="220" fontId="48" fillId="0" borderId="0" applyFont="0" applyFill="0" applyBorder="0" applyAlignment="0" applyProtection="0"/>
    <xf numFmtId="222" fontId="48" fillId="0" borderId="0" applyFont="0" applyFill="0" applyBorder="0" applyAlignment="0" applyProtection="0"/>
    <xf numFmtId="224" fontId="48" fillId="0" borderId="0" applyFont="0" applyFill="0" applyBorder="0" applyAlignment="0" applyProtection="0"/>
    <xf numFmtId="225" fontId="48" fillId="0" borderId="0" applyFont="0" applyFill="0" applyBorder="0" applyAlignment="0" applyProtection="0"/>
    <xf numFmtId="223" fontId="48" fillId="0" borderId="0" applyFont="0" applyFill="0" applyBorder="0" applyAlignment="0" applyProtection="0"/>
    <xf numFmtId="232" fontId="10" fillId="0" borderId="0" applyFont="0" applyFill="0" applyBorder="0" applyAlignment="0" applyProtection="0"/>
    <xf numFmtId="233" fontId="10" fillId="0" borderId="0" applyFont="0" applyFill="0" applyBorder="0" applyAlignment="0" applyProtection="0"/>
    <xf numFmtId="235" fontId="10" fillId="0" borderId="0" applyFill="0" applyBorder="0" applyAlignment="0"/>
    <xf numFmtId="196" fontId="10" fillId="0" borderId="0" applyFill="0" applyBorder="0" applyAlignment="0"/>
    <xf numFmtId="196" fontId="10" fillId="0" borderId="0" applyFill="0" applyBorder="0" applyAlignment="0"/>
    <xf numFmtId="240" fontId="10" fillId="0" borderId="0" applyFill="0" applyBorder="0" applyAlignment="0"/>
    <xf numFmtId="234" fontId="123" fillId="0" borderId="20" applyNumberFormat="0" applyFill="0" applyAlignment="0">
      <alignment horizontal="left"/>
    </xf>
    <xf numFmtId="174" fontId="136" fillId="0" borderId="0"/>
    <xf numFmtId="174" fontId="57" fillId="0" borderId="0"/>
    <xf numFmtId="197" fontId="10" fillId="0" borderId="0"/>
    <xf numFmtId="197" fontId="10" fillId="0" borderId="0"/>
    <xf numFmtId="197" fontId="10" fillId="0" borderId="0"/>
    <xf numFmtId="197" fontId="10" fillId="0" borderId="0"/>
    <xf numFmtId="0" fontId="4" fillId="0" borderId="0"/>
    <xf numFmtId="4" fontId="10" fillId="0" borderId="0">
      <alignment vertical="center"/>
    </xf>
    <xf numFmtId="0" fontId="10" fillId="0" borderId="0"/>
    <xf numFmtId="0" fontId="10" fillId="0" borderId="0"/>
    <xf numFmtId="0" fontId="4" fillId="0" borderId="0"/>
    <xf numFmtId="0" fontId="10" fillId="0" borderId="0"/>
    <xf numFmtId="0" fontId="66" fillId="0" borderId="0"/>
    <xf numFmtId="0" fontId="10" fillId="0" borderId="0"/>
    <xf numFmtId="4" fontId="10" fillId="0" borderId="0">
      <alignment vertical="center"/>
    </xf>
    <xf numFmtId="0" fontId="4" fillId="0" borderId="0"/>
    <xf numFmtId="4" fontId="10" fillId="0" borderId="0">
      <alignment vertical="center"/>
    </xf>
    <xf numFmtId="4" fontId="10" fillId="0" borderId="0">
      <alignment vertical="center"/>
    </xf>
    <xf numFmtId="4" fontId="10" fillId="0" borderId="0">
      <alignment vertical="center"/>
    </xf>
    <xf numFmtId="0" fontId="10" fillId="0" borderId="0"/>
    <xf numFmtId="4" fontId="10" fillId="0" borderId="0">
      <alignment vertical="center"/>
    </xf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66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199" fontId="4" fillId="0" borderId="0"/>
    <xf numFmtId="199" fontId="4" fillId="0" borderId="0"/>
    <xf numFmtId="199" fontId="4" fillId="0" borderId="0"/>
    <xf numFmtId="199" fontId="4" fillId="0" borderId="0"/>
    <xf numFmtId="199" fontId="4" fillId="0" borderId="0"/>
    <xf numFmtId="199" fontId="4" fillId="0" borderId="0"/>
    <xf numFmtId="199" fontId="4" fillId="0" borderId="0"/>
    <xf numFmtId="199" fontId="4" fillId="0" borderId="0"/>
    <xf numFmtId="199" fontId="4" fillId="0" borderId="0"/>
    <xf numFmtId="199" fontId="4" fillId="0" borderId="0"/>
    <xf numFmtId="0" fontId="20" fillId="0" borderId="0"/>
    <xf numFmtId="4" fontId="10" fillId="0" borderId="0">
      <alignment vertical="center"/>
    </xf>
    <xf numFmtId="0" fontId="10" fillId="0" borderId="0"/>
    <xf numFmtId="0" fontId="4" fillId="0" borderId="0"/>
    <xf numFmtId="0" fontId="10" fillId="0" borderId="0"/>
    <xf numFmtId="203" fontId="10" fillId="0" borderId="0"/>
    <xf numFmtId="0" fontId="10" fillId="0" borderId="0">
      <alignment horizontal="right" vertical="center"/>
    </xf>
    <xf numFmtId="0" fontId="10" fillId="0" borderId="0">
      <alignment horizontal="right" vertical="center"/>
    </xf>
    <xf numFmtId="0" fontId="10" fillId="0" borderId="0"/>
    <xf numFmtId="0" fontId="10" fillId="0" borderId="0"/>
    <xf numFmtId="0" fontId="4" fillId="0" borderId="0"/>
    <xf numFmtId="204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" fontId="10" fillId="0" borderId="0">
      <alignment vertical="center"/>
    </xf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4" fontId="1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03" fontId="66" fillId="0" borderId="0"/>
    <xf numFmtId="203" fontId="66" fillId="0" borderId="0"/>
    <xf numFmtId="0" fontId="4" fillId="0" borderId="0"/>
    <xf numFmtId="203" fontId="66" fillId="0" borderId="0"/>
    <xf numFmtId="203" fontId="66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0" fontId="4" fillId="0" borderId="0"/>
    <xf numFmtId="4" fontId="10" fillId="0" borderId="0">
      <alignment vertical="center"/>
    </xf>
    <xf numFmtId="0" fontId="10" fillId="0" borderId="0"/>
    <xf numFmtId="203" fontId="10" fillId="0" borderId="0"/>
    <xf numFmtId="0" fontId="10" fillId="0" borderId="0"/>
    <xf numFmtId="0" fontId="10" fillId="0" borderId="0"/>
    <xf numFmtId="0" fontId="10" fillId="0" borderId="0"/>
    <xf numFmtId="0" fontId="13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203" fontId="66" fillId="0" borderId="0"/>
    <xf numFmtId="203" fontId="66" fillId="0" borderId="0"/>
    <xf numFmtId="203" fontId="66" fillId="0" borderId="0"/>
    <xf numFmtId="203" fontId="66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203" fontId="4" fillId="0" borderId="0"/>
    <xf numFmtId="0" fontId="10" fillId="0" borderId="0"/>
    <xf numFmtId="4" fontId="1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03" fontId="6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38" fontId="137" fillId="0" borderId="0"/>
    <xf numFmtId="238" fontId="13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38" fontId="137" fillId="0" borderId="0"/>
    <xf numFmtId="0" fontId="4" fillId="0" borderId="0"/>
    <xf numFmtId="0" fontId="4" fillId="0" borderId="0"/>
    <xf numFmtId="0" fontId="83" fillId="0" borderId="0">
      <alignment horizontal="justify" vertical="top" wrapText="1"/>
    </xf>
    <xf numFmtId="4" fontId="10" fillId="0" borderId="0">
      <alignment vertical="center"/>
    </xf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3" fillId="0" borderId="0">
      <alignment horizontal="justify" vertical="top" wrapText="1"/>
    </xf>
    <xf numFmtId="0" fontId="4" fillId="0" borderId="0"/>
    <xf numFmtId="0" fontId="83" fillId="0" borderId="0">
      <alignment horizontal="justify" vertical="top" wrapText="1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16" fontId="124" fillId="0" borderId="34" applyNumberFormat="0" applyBorder="0" applyAlignment="0">
      <alignment horizontal="center"/>
    </xf>
    <xf numFmtId="16" fontId="89" fillId="0" borderId="34" applyNumberFormat="0" applyBorder="0" applyAlignment="0">
      <alignment horizontal="center"/>
    </xf>
    <xf numFmtId="0" fontId="125" fillId="0" borderId="35" applyBorder="0">
      <alignment horizontal="center"/>
    </xf>
    <xf numFmtId="0" fontId="90" fillId="0" borderId="35" applyBorder="0">
      <alignment horizontal="center"/>
    </xf>
    <xf numFmtId="0" fontId="10" fillId="32" borderId="36" applyNumberFormat="0" applyFont="0" applyAlignment="0" applyProtection="0"/>
    <xf numFmtId="43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12" fontId="129" fillId="0" borderId="0" applyFill="0" applyBorder="0"/>
    <xf numFmtId="14" fontId="47" fillId="0" borderId="0">
      <alignment horizontal="center" wrapText="1"/>
      <protection locked="0"/>
    </xf>
    <xf numFmtId="14" fontId="47" fillId="0" borderId="0">
      <alignment horizontal="center" wrapText="1"/>
      <protection locked="0"/>
    </xf>
    <xf numFmtId="14" fontId="47" fillId="0" borderId="0">
      <alignment horizontal="center" wrapText="1"/>
      <protection locked="0"/>
    </xf>
    <xf numFmtId="9" fontId="120" fillId="0" borderId="0" applyFont="0" applyFill="0" applyBorder="0" applyAlignment="0" applyProtection="0"/>
    <xf numFmtId="214" fontId="48" fillId="0" borderId="0" applyFont="0" applyFill="0" applyBorder="0" applyAlignment="0" applyProtection="0"/>
    <xf numFmtId="208" fontId="48" fillId="0" borderId="0" applyFont="0" applyFill="0" applyBorder="0" applyAlignment="0" applyProtection="0"/>
    <xf numFmtId="12" fontId="129" fillId="0" borderId="0" applyFill="0" applyBorder="0"/>
    <xf numFmtId="10" fontId="10" fillId="0" borderId="0" applyFont="0" applyFill="0" applyBorder="0" applyAlignment="0" applyProtection="0"/>
    <xf numFmtId="12" fontId="129" fillId="0" borderId="0" applyFill="0" applyBorder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8" fillId="10" borderId="0" applyNumberFormat="0" applyFont="0" applyBorder="0" applyAlignment="0">
      <alignment horizontal="center"/>
    </xf>
    <xf numFmtId="0" fontId="17" fillId="40" borderId="45">
      <alignment horizontal="left"/>
      <protection locked="0"/>
    </xf>
    <xf numFmtId="231" fontId="17" fillId="9" borderId="55" applyProtection="0"/>
    <xf numFmtId="0" fontId="17" fillId="40" borderId="45">
      <protection locked="0"/>
    </xf>
    <xf numFmtId="0" fontId="17" fillId="42" borderId="57">
      <protection locked="0"/>
    </xf>
    <xf numFmtId="0" fontId="17" fillId="40" borderId="55">
      <protection locked="0"/>
    </xf>
    <xf numFmtId="0" fontId="17" fillId="42" borderId="55">
      <protection locked="0"/>
    </xf>
    <xf numFmtId="0" fontId="17" fillId="40" borderId="57">
      <protection locked="0"/>
    </xf>
    <xf numFmtId="0" fontId="58" fillId="1" borderId="8" applyNumberFormat="0" applyFont="0" applyAlignment="0">
      <alignment horizontal="center"/>
    </xf>
    <xf numFmtId="0" fontId="23" fillId="7" borderId="4" applyFont="0" applyBorder="0" applyAlignment="0">
      <alignment horizontal="center"/>
    </xf>
    <xf numFmtId="0" fontId="48" fillId="0" borderId="0" applyFont="0" applyFill="0" applyBorder="0" applyAlignment="0" applyProtection="0"/>
    <xf numFmtId="0" fontId="126" fillId="0" borderId="0" applyProtection="0">
      <alignment vertical="center"/>
    </xf>
    <xf numFmtId="0" fontId="95" fillId="0" borderId="0" applyProtection="0">
      <alignment vertical="center"/>
    </xf>
    <xf numFmtId="0" fontId="127" fillId="0" borderId="0" applyProtection="0">
      <alignment vertical="center"/>
    </xf>
    <xf numFmtId="0" fontId="96" fillId="0" borderId="0" applyProtection="0">
      <alignment vertical="center"/>
    </xf>
    <xf numFmtId="0" fontId="128" fillId="0" borderId="0"/>
    <xf numFmtId="0" fontId="97" fillId="0" borderId="0"/>
    <xf numFmtId="177" fontId="59" fillId="0" borderId="53">
      <alignment horizontal="justify" vertical="top" wrapText="1"/>
    </xf>
    <xf numFmtId="177" fontId="59" fillId="0" borderId="53">
      <alignment horizontal="justify" vertical="top" wrapText="1"/>
    </xf>
    <xf numFmtId="177" fontId="59" fillId="0" borderId="53">
      <alignment horizontal="justify" vertical="top" wrapText="1"/>
    </xf>
    <xf numFmtId="0" fontId="60" fillId="0" borderId="0" applyNumberFormat="0" applyFill="0" applyBorder="0" applyAlignment="0">
      <alignment horizontal="center"/>
    </xf>
    <xf numFmtId="0" fontId="60" fillId="0" borderId="0" applyNumberFormat="0" applyFill="0" applyBorder="0" applyAlignment="0">
      <alignment horizontal="center"/>
    </xf>
    <xf numFmtId="0" fontId="60" fillId="0" borderId="0" applyNumberFormat="0" applyFill="0" applyBorder="0" applyAlignment="0">
      <alignment horizontal="center"/>
    </xf>
    <xf numFmtId="0" fontId="119" fillId="9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3" fillId="0" borderId="0">
      <alignment horizontal="justify" vertical="top" wrapText="1"/>
    </xf>
    <xf numFmtId="200" fontId="10" fillId="0" borderId="0" applyNumberFormat="0" applyFill="0" applyBorder="0" applyAlignment="0" applyProtection="0">
      <alignment horizontal="left"/>
    </xf>
    <xf numFmtId="0" fontId="83" fillId="0" borderId="0">
      <alignment horizontal="justify" vertical="top" wrapText="1"/>
    </xf>
    <xf numFmtId="215" fontId="48" fillId="0" borderId="0" applyFont="0" applyFill="0" applyAlignment="0" applyProtection="0"/>
    <xf numFmtId="216" fontId="48" fillId="0" borderId="0" applyFont="0" applyFill="0" applyBorder="0" applyAlignment="0" applyProtection="0"/>
    <xf numFmtId="209" fontId="48" fillId="0" borderId="0" applyFont="0" applyFill="0" applyBorder="0" applyAlignment="0" applyProtection="0"/>
    <xf numFmtId="218" fontId="48" fillId="0" borderId="0" applyFont="0" applyFill="0" applyBorder="0" applyAlignment="0" applyProtection="0"/>
    <xf numFmtId="217" fontId="48" fillId="0" borderId="0" applyFont="0" applyFill="0" applyBorder="0" applyAlignment="0" applyProtection="0"/>
    <xf numFmtId="219" fontId="48" fillId="0" borderId="0" applyFont="0" applyFill="0" applyBorder="0" applyAlignment="0" applyProtection="0"/>
    <xf numFmtId="12" fontId="129" fillId="0" borderId="0" applyFill="0" applyBorder="0"/>
    <xf numFmtId="20" fontId="120" fillId="0" borderId="0" applyFont="0" applyFill="0" applyBorder="0" applyAlignment="0" applyProtection="0"/>
    <xf numFmtId="21" fontId="15" fillId="0" borderId="0" applyFont="0" applyFill="0" applyBorder="0" applyAlignment="0" applyProtection="0"/>
    <xf numFmtId="18" fontId="120" fillId="0" borderId="0" applyFont="0" applyFill="0" applyBorder="0" applyAlignment="0" applyProtection="0"/>
    <xf numFmtId="19" fontId="120" fillId="0" borderId="0" applyFont="0" applyFill="0" applyBorder="0" applyAlignment="0" applyProtection="0"/>
    <xf numFmtId="12" fontId="99" fillId="0" borderId="0" applyFill="0" applyBorder="0"/>
    <xf numFmtId="12" fontId="99" fillId="0" borderId="0" applyFill="0" applyBorder="0"/>
    <xf numFmtId="12" fontId="129" fillId="0" borderId="0"/>
    <xf numFmtId="12" fontId="99" fillId="0" borderId="0"/>
    <xf numFmtId="12" fontId="130" fillId="0" borderId="39" applyBorder="0" applyAlignment="0">
      <alignment horizontal="center"/>
    </xf>
    <xf numFmtId="12" fontId="100" fillId="0" borderId="39" applyBorder="0" applyAlignment="0">
      <alignment horizontal="center"/>
    </xf>
    <xf numFmtId="1" fontId="131" fillId="0" borderId="58" applyNumberFormat="0" applyFill="0" applyBorder="0" applyAlignment="0"/>
    <xf numFmtId="1" fontId="132" fillId="0" borderId="40"/>
    <xf numFmtId="1" fontId="102" fillId="0" borderId="40"/>
    <xf numFmtId="0" fontId="23" fillId="9" borderId="0"/>
    <xf numFmtId="0" fontId="121" fillId="0" borderId="46" applyNumberFormat="0" applyFill="0" applyAlignment="0" applyProtection="0"/>
    <xf numFmtId="0" fontId="17" fillId="40" borderId="0">
      <protection locked="0"/>
    </xf>
    <xf numFmtId="12" fontId="129" fillId="0" borderId="0" applyFill="0" applyBorder="0"/>
    <xf numFmtId="0" fontId="83" fillId="0" borderId="0">
      <alignment horizontal="justify" vertical="top" wrapText="1"/>
    </xf>
    <xf numFmtId="0" fontId="83" fillId="0" borderId="0">
      <alignment horizontal="justify" vertical="top" wrapText="1"/>
    </xf>
    <xf numFmtId="0" fontId="83" fillId="0" borderId="0">
      <alignment horizontal="justify" vertical="top" wrapText="1"/>
    </xf>
    <xf numFmtId="12" fontId="129" fillId="0" borderId="0" applyFill="0" applyBorder="0"/>
    <xf numFmtId="12" fontId="129" fillId="0" borderId="0" applyFill="0" applyBorder="0"/>
    <xf numFmtId="12" fontId="129" fillId="0" borderId="0" applyFill="0" applyBorder="0"/>
    <xf numFmtId="12" fontId="129" fillId="0" borderId="0" applyFill="0" applyBorder="0"/>
    <xf numFmtId="0" fontId="83" fillId="0" borderId="0">
      <alignment horizontal="justify" vertical="top" wrapText="1"/>
    </xf>
    <xf numFmtId="12" fontId="129" fillId="0" borderId="0" applyFill="0" applyBorder="0"/>
    <xf numFmtId="12" fontId="129" fillId="0" borderId="0" applyFill="0" applyBorder="0"/>
    <xf numFmtId="12" fontId="129" fillId="0" borderId="0" applyFill="0" applyBorder="0"/>
    <xf numFmtId="12" fontId="129" fillId="0" borderId="0" applyFill="0" applyBorder="0"/>
    <xf numFmtId="12" fontId="129" fillId="0" borderId="0" applyFill="0" applyBorder="0"/>
    <xf numFmtId="12" fontId="129" fillId="0" borderId="0" applyFill="0" applyBorder="0"/>
    <xf numFmtId="0" fontId="3" fillId="0" borderId="0"/>
    <xf numFmtId="4" fontId="1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956">
    <xf numFmtId="0" fontId="0" fillId="0" borderId="0" xfId="0"/>
    <xf numFmtId="0" fontId="10" fillId="0" borderId="0" xfId="2"/>
    <xf numFmtId="0" fontId="10" fillId="0" borderId="0" xfId="2" applyAlignment="1">
      <alignment horizontal="center"/>
    </xf>
    <xf numFmtId="0" fontId="11" fillId="0" borderId="0" xfId="2" applyFont="1"/>
    <xf numFmtId="2" fontId="11" fillId="0" borderId="0" xfId="2" applyNumberFormat="1" applyFont="1" applyAlignment="1">
      <alignment horizontal="center"/>
    </xf>
    <xf numFmtId="173" fontId="11" fillId="0" borderId="0" xfId="2" applyNumberFormat="1" applyFont="1"/>
    <xf numFmtId="2" fontId="11" fillId="0" borderId="0" xfId="2" applyNumberFormat="1" applyFont="1"/>
    <xf numFmtId="0" fontId="10" fillId="0" borderId="0" xfId="2" applyAlignment="1">
      <alignment horizontal="centerContinuous"/>
    </xf>
    <xf numFmtId="0" fontId="11" fillId="0" borderId="1" xfId="2" applyFont="1" applyBorder="1" applyAlignment="1">
      <alignment horizontal="center"/>
    </xf>
    <xf numFmtId="0" fontId="11" fillId="0" borderId="0" xfId="2" applyFont="1" applyAlignment="1">
      <alignment horizontal="right"/>
    </xf>
    <xf numFmtId="173" fontId="11" fillId="0" borderId="0" xfId="2" applyNumberFormat="1" applyFont="1" applyAlignment="1">
      <alignment horizontal="center"/>
    </xf>
    <xf numFmtId="2" fontId="10" fillId="0" borderId="0" xfId="2" applyNumberFormat="1"/>
    <xf numFmtId="0" fontId="0" fillId="0" borderId="0" xfId="2" applyFont="1"/>
    <xf numFmtId="173" fontId="11" fillId="0" borderId="2" xfId="2" applyNumberFormat="1" applyFont="1" applyBorder="1"/>
    <xf numFmtId="2" fontId="14" fillId="0" borderId="0" xfId="2" applyNumberFormat="1" applyFont="1"/>
    <xf numFmtId="173" fontId="10" fillId="0" borderId="0" xfId="2" applyNumberFormat="1"/>
    <xf numFmtId="173" fontId="10" fillId="0" borderId="0" xfId="3" applyNumberFormat="1"/>
    <xf numFmtId="0" fontId="20" fillId="0" borderId="0" xfId="5" applyNumberFormat="1" applyFont="1" applyAlignment="1"/>
    <xf numFmtId="0" fontId="10" fillId="0" borderId="0" xfId="5" applyNumberFormat="1" applyFont="1" applyAlignment="1"/>
    <xf numFmtId="4" fontId="21" fillId="0" borderId="0" xfId="5" applyFont="1" applyAlignment="1">
      <alignment horizontal="center"/>
    </xf>
    <xf numFmtId="4" fontId="21" fillId="0" borderId="0" xfId="5" applyFont="1" applyAlignment="1">
      <alignment horizontal="left"/>
    </xf>
    <xf numFmtId="4" fontId="22" fillId="0" borderId="0" xfId="5" applyFont="1" applyAlignment="1">
      <alignment horizontal="center"/>
    </xf>
    <xf numFmtId="4" fontId="21" fillId="2" borderId="0" xfId="5" applyFont="1" applyFill="1" applyAlignment="1">
      <alignment horizontal="left"/>
    </xf>
    <xf numFmtId="4" fontId="21" fillId="2" borderId="0" xfId="5" applyFont="1" applyFill="1" applyAlignment="1">
      <alignment horizontal="center"/>
    </xf>
    <xf numFmtId="176" fontId="22" fillId="2" borderId="0" xfId="5" applyNumberFormat="1" applyFont="1" applyFill="1" applyAlignment="1">
      <alignment horizontal="center"/>
    </xf>
    <xf numFmtId="0" fontId="21" fillId="0" borderId="0" xfId="5" applyNumberFormat="1" applyFont="1" applyAlignment="1">
      <alignment horizontal="left"/>
    </xf>
    <xf numFmtId="4" fontId="21" fillId="0" borderId="0" xfId="5" applyFont="1">
      <alignment vertical="center"/>
    </xf>
    <xf numFmtId="4" fontId="22" fillId="0" borderId="0" xfId="5" applyFont="1">
      <alignment vertical="center"/>
    </xf>
    <xf numFmtId="0" fontId="20" fillId="0" borderId="0" xfId="5" applyNumberFormat="1" applyFont="1" applyAlignment="1">
      <alignment horizontal="left"/>
    </xf>
    <xf numFmtId="4" fontId="22" fillId="2" borderId="11" xfId="5" applyFont="1" applyFill="1" applyBorder="1" applyAlignment="1">
      <alignment horizontal="center"/>
    </xf>
    <xf numFmtId="4" fontId="22" fillId="2" borderId="12" xfId="5" applyFont="1" applyFill="1" applyBorder="1" applyAlignment="1">
      <alignment horizontal="center"/>
    </xf>
    <xf numFmtId="4" fontId="22" fillId="4" borderId="12" xfId="5" applyFont="1" applyFill="1" applyBorder="1">
      <alignment vertical="center"/>
    </xf>
    <xf numFmtId="4" fontId="22" fillId="2" borderId="13" xfId="5" applyFont="1" applyFill="1" applyBorder="1" applyAlignment="1">
      <alignment horizontal="center"/>
    </xf>
    <xf numFmtId="4" fontId="22" fillId="4" borderId="14" xfId="5" applyFont="1" applyFill="1" applyBorder="1">
      <alignment vertical="center"/>
    </xf>
    <xf numFmtId="0" fontId="23" fillId="3" borderId="0" xfId="5" applyNumberFormat="1" applyFont="1" applyFill="1" applyAlignment="1"/>
    <xf numFmtId="0" fontId="11" fillId="3" borderId="0" xfId="5" applyNumberFormat="1" applyFont="1" applyFill="1" applyAlignment="1"/>
    <xf numFmtId="4" fontId="21" fillId="4" borderId="4" xfId="5" applyFont="1" applyFill="1" applyBorder="1" applyAlignment="1">
      <alignment horizontal="center" vertical="center"/>
    </xf>
    <xf numFmtId="4" fontId="21" fillId="4" borderId="4" xfId="5" applyFont="1" applyFill="1" applyBorder="1">
      <alignment vertical="center"/>
    </xf>
    <xf numFmtId="4" fontId="21" fillId="4" borderId="6" xfId="5" applyFont="1" applyFill="1" applyBorder="1" applyAlignment="1">
      <alignment horizontal="center" vertical="center"/>
    </xf>
    <xf numFmtId="0" fontId="23" fillId="0" borderId="0" xfId="5" applyNumberFormat="1" applyFont="1" applyAlignment="1"/>
    <xf numFmtId="0" fontId="11" fillId="0" borderId="0" xfId="5" applyNumberFormat="1" applyFont="1" applyAlignment="1"/>
    <xf numFmtId="4" fontId="22" fillId="4" borderId="12" xfId="5" applyFont="1" applyFill="1" applyBorder="1" applyAlignment="1">
      <alignment horizontal="center" vertical="center"/>
    </xf>
    <xf numFmtId="4" fontId="18" fillId="0" borderId="0" xfId="5" applyAlignment="1">
      <alignment horizontal="center"/>
    </xf>
    <xf numFmtId="4" fontId="11" fillId="0" borderId="0" xfId="5" applyFont="1">
      <alignment vertical="center"/>
    </xf>
    <xf numFmtId="4" fontId="18" fillId="0" borderId="0" xfId="5">
      <alignment vertical="center"/>
    </xf>
    <xf numFmtId="4" fontId="11" fillId="0" borderId="0" xfId="5" applyFont="1" applyAlignment="1">
      <alignment horizontal="center"/>
    </xf>
    <xf numFmtId="0" fontId="10" fillId="0" borderId="0" xfId="5" applyNumberFormat="1" applyFont="1" applyAlignment="1">
      <alignment horizontal="center"/>
    </xf>
    <xf numFmtId="0" fontId="11" fillId="0" borderId="0" xfId="5" applyNumberFormat="1" applyFont="1" applyAlignment="1">
      <alignment horizontal="center"/>
    </xf>
    <xf numFmtId="2" fontId="21" fillId="0" borderId="1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center" vertical="center"/>
    </xf>
    <xf numFmtId="4" fontId="21" fillId="5" borderId="4" xfId="5" applyFont="1" applyFill="1" applyBorder="1" applyAlignment="1">
      <alignment horizontal="center" vertical="center"/>
    </xf>
    <xf numFmtId="2" fontId="21" fillId="5" borderId="4" xfId="5" applyNumberFormat="1" applyFont="1" applyFill="1" applyBorder="1" applyAlignment="1">
      <alignment horizontal="center" vertical="center"/>
    </xf>
    <xf numFmtId="4" fontId="21" fillId="5" borderId="4" xfId="5" applyFont="1" applyFill="1" applyBorder="1" applyAlignment="1">
      <alignment horizontal="center"/>
    </xf>
    <xf numFmtId="4" fontId="25" fillId="5" borderId="4" xfId="5" applyFont="1" applyFill="1" applyBorder="1" applyAlignment="1">
      <alignment horizontal="center"/>
    </xf>
    <xf numFmtId="2" fontId="25" fillId="5" borderId="4" xfId="5" applyNumberFormat="1" applyFont="1" applyFill="1" applyBorder="1" applyAlignment="1">
      <alignment horizontal="center"/>
    </xf>
    <xf numFmtId="2" fontId="24" fillId="5" borderId="7" xfId="5" applyNumberFormat="1" applyFont="1" applyFill="1" applyBorder="1" applyAlignment="1">
      <alignment horizontal="center"/>
    </xf>
    <xf numFmtId="0" fontId="11" fillId="0" borderId="2" xfId="2" applyFont="1" applyBorder="1" applyAlignment="1">
      <alignment horizontal="center"/>
    </xf>
    <xf numFmtId="173" fontId="10" fillId="0" borderId="2" xfId="2" applyNumberFormat="1" applyBorder="1"/>
    <xf numFmtId="173" fontId="11" fillId="5" borderId="5" xfId="2" applyNumberFormat="1" applyFont="1" applyFill="1" applyBorder="1"/>
    <xf numFmtId="173" fontId="10" fillId="5" borderId="5" xfId="2" applyNumberFormat="1" applyFill="1" applyBorder="1"/>
    <xf numFmtId="0" fontId="10" fillId="36" borderId="0" xfId="2" applyFill="1"/>
    <xf numFmtId="0" fontId="10" fillId="37" borderId="0" xfId="2" applyFill="1"/>
    <xf numFmtId="0" fontId="10" fillId="35" borderId="4" xfId="2" applyFill="1" applyBorder="1"/>
    <xf numFmtId="4" fontId="22" fillId="0" borderId="0" xfId="5" applyFont="1" applyAlignment="1">
      <alignment horizontal="left"/>
    </xf>
    <xf numFmtId="4" fontId="21" fillId="34" borderId="0" xfId="5" applyFont="1" applyFill="1" applyAlignment="1">
      <alignment horizontal="left"/>
    </xf>
    <xf numFmtId="0" fontId="0" fillId="2" borderId="0" xfId="2" applyFont="1" applyFill="1"/>
    <xf numFmtId="4" fontId="21" fillId="38" borderId="0" xfId="5" applyFont="1" applyFill="1">
      <alignment vertical="center"/>
    </xf>
    <xf numFmtId="0" fontId="11" fillId="0" borderId="0" xfId="2" applyFont="1" applyAlignment="1">
      <alignment horizontal="center" vertical="center"/>
    </xf>
    <xf numFmtId="2" fontId="21" fillId="5" borderId="4" xfId="5" applyNumberFormat="1" applyFont="1" applyFill="1" applyBorder="1" applyAlignment="1">
      <alignment horizontal="center"/>
    </xf>
    <xf numFmtId="182" fontId="25" fillId="5" borderId="4" xfId="5" applyNumberFormat="1" applyFont="1" applyFill="1" applyBorder="1" applyAlignment="1">
      <alignment horizontal="center"/>
    </xf>
    <xf numFmtId="173" fontId="21" fillId="5" borderId="4" xfId="5" applyNumberFormat="1" applyFont="1" applyFill="1" applyBorder="1" applyAlignment="1">
      <alignment horizontal="center" vertical="center"/>
    </xf>
    <xf numFmtId="176" fontId="25" fillId="5" borderId="4" xfId="5" applyNumberFormat="1" applyFont="1" applyFill="1" applyBorder="1" applyAlignment="1">
      <alignment horizontal="center"/>
    </xf>
    <xf numFmtId="173" fontId="21" fillId="0" borderId="17" xfId="0" applyNumberFormat="1" applyFont="1" applyBorder="1" applyAlignment="1">
      <alignment horizontal="center" vertical="center"/>
    </xf>
    <xf numFmtId="2" fontId="10" fillId="0" borderId="0" xfId="8" applyNumberFormat="1" applyAlignment="1">
      <alignment vertical="center"/>
    </xf>
    <xf numFmtId="0" fontId="10" fillId="0" borderId="0" xfId="8" applyAlignment="1">
      <alignment vertical="center"/>
    </xf>
    <xf numFmtId="4" fontId="22" fillId="0" borderId="0" xfId="7" applyNumberFormat="1" applyFont="1" applyAlignment="1">
      <alignment vertical="center"/>
    </xf>
    <xf numFmtId="0" fontId="22" fillId="0" borderId="0" xfId="7" applyFont="1" applyAlignment="1">
      <alignment vertical="center"/>
    </xf>
    <xf numFmtId="2" fontId="22" fillId="0" borderId="0" xfId="7" applyNumberFormat="1" applyFont="1" applyAlignment="1">
      <alignment horizontal="center" vertical="center"/>
    </xf>
    <xf numFmtId="4" fontId="22" fillId="0" borderId="0" xfId="7" applyNumberFormat="1" applyFont="1" applyAlignment="1">
      <alignment horizontal="center" vertical="center"/>
    </xf>
    <xf numFmtId="0" fontId="11" fillId="0" borderId="0" xfId="8" applyFont="1" applyAlignment="1">
      <alignment horizontal="center" vertical="center"/>
    </xf>
    <xf numFmtId="0" fontId="27" fillId="5" borderId="23" xfId="0" applyFont="1" applyFill="1" applyBorder="1" applyAlignment="1">
      <alignment vertical="center"/>
    </xf>
    <xf numFmtId="2" fontId="26" fillId="0" borderId="4" xfId="0" quotePrefix="1" applyNumberFormat="1" applyFon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/>
    </xf>
    <xf numFmtId="2" fontId="26" fillId="0" borderId="8" xfId="0" applyNumberFormat="1" applyFont="1" applyBorder="1" applyAlignment="1">
      <alignment horizontal="center" vertical="center"/>
    </xf>
    <xf numFmtId="0" fontId="22" fillId="5" borderId="23" xfId="0" applyFont="1" applyFill="1" applyBorder="1" applyAlignment="1">
      <alignment vertical="center"/>
    </xf>
    <xf numFmtId="2" fontId="21" fillId="0" borderId="4" xfId="0" quotePrefix="1" applyNumberFormat="1" applyFont="1" applyBorder="1" applyAlignment="1">
      <alignment horizontal="center" vertical="center"/>
    </xf>
    <xf numFmtId="2" fontId="21" fillId="0" borderId="8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2" fillId="0" borderId="2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4" fontId="18" fillId="0" borderId="0" xfId="6">
      <alignment vertical="center"/>
    </xf>
    <xf numFmtId="4" fontId="36" fillId="0" borderId="0" xfId="6" applyFont="1" applyAlignment="1">
      <alignment horizontal="center" vertical="center"/>
    </xf>
    <xf numFmtId="4" fontId="37" fillId="0" borderId="0" xfId="6" applyFont="1" applyAlignment="1">
      <alignment horizontal="right" vertical="center"/>
    </xf>
    <xf numFmtId="3" fontId="37" fillId="0" borderId="0" xfId="6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73" fontId="39" fillId="0" borderId="0" xfId="0" applyNumberFormat="1" applyFont="1" applyAlignment="1">
      <alignment horizontal="center" vertical="center"/>
    </xf>
    <xf numFmtId="2" fontId="39" fillId="0" borderId="0" xfId="0" applyNumberFormat="1" applyFont="1" applyAlignment="1">
      <alignment horizontal="center" vertical="center"/>
    </xf>
    <xf numFmtId="4" fontId="39" fillId="0" borderId="0" xfId="0" applyNumberFormat="1" applyFont="1" applyAlignment="1">
      <alignment horizontal="center" vertical="center"/>
    </xf>
    <xf numFmtId="173" fontId="25" fillId="5" borderId="4" xfId="5" applyNumberFormat="1" applyFont="1" applyFill="1" applyBorder="1" applyAlignment="1">
      <alignment horizontal="center"/>
    </xf>
    <xf numFmtId="4" fontId="113" fillId="5" borderId="4" xfId="5" applyFont="1" applyFill="1" applyBorder="1" applyAlignment="1">
      <alignment horizontal="center" vertical="center"/>
    </xf>
    <xf numFmtId="173" fontId="113" fillId="5" borderId="4" xfId="5" applyNumberFormat="1" applyFont="1" applyFill="1" applyBorder="1" applyAlignment="1">
      <alignment horizontal="center" vertical="center"/>
    </xf>
    <xf numFmtId="176" fontId="113" fillId="5" borderId="4" xfId="5" applyNumberFormat="1" applyFont="1" applyFill="1" applyBorder="1" applyAlignment="1">
      <alignment horizontal="center" vertical="center"/>
    </xf>
    <xf numFmtId="2" fontId="113" fillId="5" borderId="4" xfId="5" applyNumberFormat="1" applyFont="1" applyFill="1" applyBorder="1" applyAlignment="1">
      <alignment horizontal="center" vertical="center"/>
    </xf>
    <xf numFmtId="0" fontId="116" fillId="0" borderId="0" xfId="0" applyFont="1" applyAlignment="1">
      <alignment vertical="center"/>
    </xf>
    <xf numFmtId="2" fontId="116" fillId="0" borderId="0" xfId="8" applyNumberFormat="1" applyFont="1" applyAlignment="1">
      <alignment vertical="center"/>
    </xf>
    <xf numFmtId="0" fontId="117" fillId="0" borderId="0" xfId="8" applyFont="1" applyAlignment="1">
      <alignment horizontal="center" vertical="center"/>
    </xf>
    <xf numFmtId="0" fontId="116" fillId="0" borderId="0" xfId="8" applyFont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31" fillId="0" borderId="49" xfId="0" applyFont="1" applyBorder="1" applyAlignment="1">
      <alignment horizontal="center" vertical="center"/>
    </xf>
    <xf numFmtId="2" fontId="21" fillId="5" borderId="4" xfId="0" quotePrefix="1" applyNumberFormat="1" applyFont="1" applyFill="1" applyBorder="1" applyAlignment="1">
      <alignment horizontal="center" vertical="center"/>
    </xf>
    <xf numFmtId="0" fontId="10" fillId="5" borderId="3" xfId="2" applyFill="1" applyBorder="1"/>
    <xf numFmtId="173" fontId="10" fillId="5" borderId="4" xfId="0" applyNumberFormat="1" applyFont="1" applyFill="1" applyBorder="1" applyAlignment="1">
      <alignment horizontal="center"/>
    </xf>
    <xf numFmtId="173" fontId="23" fillId="5" borderId="5" xfId="2" applyNumberFormat="1" applyFont="1" applyFill="1" applyBorder="1" applyAlignment="1">
      <alignment horizontal="right"/>
    </xf>
    <xf numFmtId="0" fontId="10" fillId="5" borderId="8" xfId="2" applyFill="1" applyBorder="1"/>
    <xf numFmtId="2" fontId="11" fillId="5" borderId="43" xfId="2" applyNumberFormat="1" applyFont="1" applyFill="1" applyBorder="1" applyAlignment="1">
      <alignment vertical="center" textRotation="90"/>
    </xf>
    <xf numFmtId="173" fontId="21" fillId="5" borderId="4" xfId="4" applyNumberFormat="1" applyFont="1" applyFill="1" applyBorder="1" applyAlignment="1">
      <alignment horizontal="center" vertical="center"/>
    </xf>
    <xf numFmtId="4" fontId="22" fillId="5" borderId="9" xfId="6" applyFont="1" applyFill="1" applyBorder="1" applyAlignment="1" applyProtection="1">
      <alignment horizontal="left" vertical="center"/>
      <protection locked="0"/>
    </xf>
    <xf numFmtId="0" fontId="118" fillId="0" borderId="9" xfId="7" applyFont="1" applyBorder="1"/>
    <xf numFmtId="4" fontId="23" fillId="0" borderId="17" xfId="307" applyFont="1" applyBorder="1" applyAlignment="1">
      <alignment horizontal="left"/>
    </xf>
    <xf numFmtId="2" fontId="21" fillId="5" borderId="6" xfId="0" quotePrefix="1" applyNumberFormat="1" applyFont="1" applyFill="1" applyBorder="1" applyAlignment="1">
      <alignment horizontal="center" vertical="center"/>
    </xf>
    <xf numFmtId="173" fontId="39" fillId="0" borderId="8" xfId="307" applyNumberFormat="1" applyFont="1" applyBorder="1" applyAlignment="1">
      <alignment horizontal="center"/>
    </xf>
    <xf numFmtId="4" fontId="21" fillId="37" borderId="0" xfId="5" applyFont="1" applyFill="1" applyAlignment="1">
      <alignment horizontal="left"/>
    </xf>
    <xf numFmtId="176" fontId="112" fillId="5" borderId="53" xfId="5" applyNumberFormat="1" applyFont="1" applyFill="1" applyBorder="1" applyAlignment="1">
      <alignment horizontal="center"/>
    </xf>
    <xf numFmtId="2" fontId="22" fillId="5" borderId="53" xfId="5" applyNumberFormat="1" applyFont="1" applyFill="1" applyBorder="1" applyAlignment="1">
      <alignment horizontal="center"/>
    </xf>
    <xf numFmtId="2" fontId="24" fillId="5" borderId="53" xfId="5" applyNumberFormat="1" applyFont="1" applyFill="1" applyBorder="1" applyAlignment="1">
      <alignment horizontal="center"/>
    </xf>
    <xf numFmtId="2" fontId="112" fillId="5" borderId="53" xfId="5" applyNumberFormat="1" applyFont="1" applyFill="1" applyBorder="1" applyAlignment="1">
      <alignment horizontal="center"/>
    </xf>
    <xf numFmtId="173" fontId="24" fillId="5" borderId="53" xfId="5" applyNumberFormat="1" applyFont="1" applyFill="1" applyBorder="1" applyAlignment="1">
      <alignment horizontal="center"/>
    </xf>
    <xf numFmtId="173" fontId="112" fillId="5" borderId="53" xfId="5" applyNumberFormat="1" applyFont="1" applyFill="1" applyBorder="1" applyAlignment="1">
      <alignment horizontal="center"/>
    </xf>
    <xf numFmtId="173" fontId="22" fillId="5" borderId="53" xfId="5" applyNumberFormat="1" applyFont="1" applyFill="1" applyBorder="1" applyAlignment="1">
      <alignment horizontal="center"/>
    </xf>
    <xf numFmtId="4" fontId="21" fillId="39" borderId="0" xfId="5" applyFont="1" applyFill="1" applyAlignment="1">
      <alignment horizontal="left"/>
    </xf>
    <xf numFmtId="176" fontId="22" fillId="5" borderId="53" xfId="5" applyNumberFormat="1" applyFont="1" applyFill="1" applyBorder="1" applyAlignment="1">
      <alignment horizontal="center"/>
    </xf>
    <xf numFmtId="2" fontId="31" fillId="0" borderId="53" xfId="0" applyNumberFormat="1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115" fillId="0" borderId="51" xfId="0" applyFont="1" applyBorder="1" applyAlignment="1">
      <alignment horizontal="center" vertical="center"/>
    </xf>
    <xf numFmtId="0" fontId="22" fillId="0" borderId="47" xfId="0" applyFont="1" applyBorder="1" applyAlignment="1">
      <alignment vertical="center"/>
    </xf>
    <xf numFmtId="4" fontId="35" fillId="5" borderId="47" xfId="6" applyFont="1" applyFill="1" applyBorder="1" applyAlignment="1">
      <alignment horizontal="center" vertical="center"/>
    </xf>
    <xf numFmtId="0" fontId="116" fillId="5" borderId="0" xfId="0" applyFont="1" applyFill="1" applyAlignment="1">
      <alignment vertical="center"/>
    </xf>
    <xf numFmtId="2" fontId="116" fillId="5" borderId="0" xfId="8" applyNumberFormat="1" applyFont="1" applyFill="1" applyAlignment="1">
      <alignment vertical="center"/>
    </xf>
    <xf numFmtId="173" fontId="116" fillId="5" borderId="0" xfId="8" applyNumberFormat="1" applyFont="1" applyFill="1" applyAlignment="1">
      <alignment vertical="center"/>
    </xf>
    <xf numFmtId="0" fontId="10" fillId="5" borderId="0" xfId="8" applyFill="1" applyAlignment="1">
      <alignment horizontal="center" vertical="center"/>
    </xf>
    <xf numFmtId="0" fontId="116" fillId="5" borderId="0" xfId="8" applyFont="1" applyFill="1" applyAlignment="1">
      <alignment horizontal="center" vertical="center"/>
    </xf>
    <xf numFmtId="173" fontId="10" fillId="5" borderId="0" xfId="6" applyNumberFormat="1" applyFont="1" applyFill="1" applyAlignment="1">
      <alignment horizontal="left" vertical="center"/>
    </xf>
    <xf numFmtId="0" fontId="10" fillId="5" borderId="3" xfId="2" applyFill="1" applyBorder="1" applyAlignment="1">
      <alignment horizontal="right"/>
    </xf>
    <xf numFmtId="173" fontId="142" fillId="5" borderId="4" xfId="242" applyNumberFormat="1" applyFont="1" applyFill="1" applyBorder="1" applyAlignment="1">
      <alignment horizontal="left" vertical="center"/>
    </xf>
    <xf numFmtId="12" fontId="142" fillId="5" borderId="4" xfId="242" applyNumberFormat="1" applyFont="1" applyFill="1" applyBorder="1" applyAlignment="1">
      <alignment horizontal="center" vertical="center"/>
    </xf>
    <xf numFmtId="12" fontId="142" fillId="5" borderId="4" xfId="242" quotePrefix="1" applyNumberFormat="1" applyFont="1" applyFill="1" applyBorder="1" applyAlignment="1">
      <alignment horizontal="center" vertical="center"/>
    </xf>
    <xf numFmtId="0" fontId="142" fillId="5" borderId="4" xfId="242" quotePrefix="1" applyFont="1" applyFill="1" applyBorder="1" applyAlignment="1">
      <alignment horizontal="center" vertical="center"/>
    </xf>
    <xf numFmtId="0" fontId="142" fillId="5" borderId="4" xfId="242" applyFont="1" applyFill="1" applyBorder="1" applyAlignment="1">
      <alignment horizontal="center" vertical="center"/>
    </xf>
    <xf numFmtId="173" fontId="142" fillId="5" borderId="4" xfId="242" applyNumberFormat="1" applyFont="1" applyFill="1" applyBorder="1" applyAlignment="1">
      <alignment vertical="center"/>
    </xf>
    <xf numFmtId="173" fontId="142" fillId="5" borderId="4" xfId="0" applyNumberFormat="1" applyFont="1" applyFill="1" applyBorder="1" applyAlignment="1">
      <alignment horizontal="center" vertical="top"/>
    </xf>
    <xf numFmtId="0" fontId="21" fillId="0" borderId="9" xfId="7" applyFont="1" applyBorder="1" applyAlignment="1">
      <alignment horizontal="left" vertical="center"/>
    </xf>
    <xf numFmtId="0" fontId="21" fillId="0" borderId="0" xfId="7" applyFont="1" applyAlignment="1">
      <alignment horizontal="center" vertical="center"/>
    </xf>
    <xf numFmtId="0" fontId="22" fillId="0" borderId="0" xfId="7" applyFont="1" applyAlignment="1">
      <alignment horizontal="right" vertical="center"/>
    </xf>
    <xf numFmtId="0" fontId="21" fillId="0" borderId="0" xfId="7" applyFont="1" applyAlignment="1">
      <alignment horizontal="left" vertical="center"/>
    </xf>
    <xf numFmtId="203" fontId="21" fillId="0" borderId="0" xfId="7" applyNumberFormat="1" applyFont="1" applyAlignment="1">
      <alignment horizontal="left" vertical="center"/>
    </xf>
    <xf numFmtId="0" fontId="21" fillId="5" borderId="0" xfId="7" applyFont="1" applyFill="1" applyAlignment="1">
      <alignment horizontal="left" vertical="center"/>
    </xf>
    <xf numFmtId="2" fontId="21" fillId="0" borderId="0" xfId="7" applyNumberFormat="1" applyFont="1" applyAlignment="1">
      <alignment horizontal="left" vertical="center"/>
    </xf>
    <xf numFmtId="0" fontId="21" fillId="5" borderId="0" xfId="7" applyFont="1" applyFill="1" applyAlignment="1">
      <alignment horizontal="left" vertical="center" wrapText="1"/>
    </xf>
    <xf numFmtId="0" fontId="22" fillId="0" borderId="0" xfId="7" applyFont="1" applyAlignment="1">
      <alignment horizontal="left" vertical="center"/>
    </xf>
    <xf numFmtId="177" fontId="22" fillId="0" borderId="0" xfId="7" applyNumberFormat="1" applyFont="1" applyAlignment="1">
      <alignment vertical="center"/>
    </xf>
    <xf numFmtId="0" fontId="28" fillId="0" borderId="0" xfId="7" applyFont="1" applyAlignment="1">
      <alignment horizontal="left" vertical="center"/>
    </xf>
    <xf numFmtId="0" fontId="22" fillId="0" borderId="0" xfId="7" applyFont="1" applyAlignment="1">
      <alignment horizontal="centerContinuous" vertical="center"/>
    </xf>
    <xf numFmtId="2" fontId="22" fillId="0" borderId="0" xfId="7" applyNumberFormat="1" applyFont="1" applyAlignment="1">
      <alignment vertical="center"/>
    </xf>
    <xf numFmtId="0" fontId="22" fillId="5" borderId="0" xfId="7" applyFont="1" applyFill="1" applyAlignment="1">
      <alignment horizontal="center" vertical="center"/>
    </xf>
    <xf numFmtId="0" fontId="22" fillId="5" borderId="0" xfId="7" applyFont="1" applyFill="1" applyAlignment="1">
      <alignment vertical="center"/>
    </xf>
    <xf numFmtId="0" fontId="21" fillId="5" borderId="0" xfId="7" applyFont="1" applyFill="1" applyAlignment="1">
      <alignment vertical="center"/>
    </xf>
    <xf numFmtId="0" fontId="40" fillId="0" borderId="0" xfId="7" applyFont="1" applyAlignment="1">
      <alignment vertical="center"/>
    </xf>
    <xf numFmtId="2" fontId="111" fillId="0" borderId="0" xfId="7" applyNumberFormat="1" applyFont="1" applyAlignment="1">
      <alignment horizontal="left" vertical="center"/>
    </xf>
    <xf numFmtId="4" fontId="33" fillId="0" borderId="0" xfId="7" applyNumberFormat="1" applyFont="1" applyAlignment="1">
      <alignment horizontal="left" vertical="center"/>
    </xf>
    <xf numFmtId="0" fontId="22" fillId="0" borderId="0" xfId="7" quotePrefix="1" applyFont="1" applyAlignment="1">
      <alignment vertical="center"/>
    </xf>
    <xf numFmtId="0" fontId="22" fillId="5" borderId="0" xfId="7" applyFont="1" applyFill="1" applyAlignment="1">
      <alignment horizontal="right" vertical="center"/>
    </xf>
    <xf numFmtId="0" fontId="23" fillId="5" borderId="0" xfId="0" applyFont="1" applyFill="1" applyAlignment="1">
      <alignment vertical="center"/>
    </xf>
    <xf numFmtId="173" fontId="39" fillId="5" borderId="0" xfId="0" applyNumberFormat="1" applyFont="1" applyFill="1" applyAlignment="1">
      <alignment horizontal="center" vertical="center"/>
    </xf>
    <xf numFmtId="2" fontId="39" fillId="5" borderId="0" xfId="0" applyNumberFormat="1" applyFont="1" applyFill="1" applyAlignment="1">
      <alignment horizontal="center" vertical="center"/>
    </xf>
    <xf numFmtId="176" fontId="42" fillId="5" borderId="0" xfId="7" applyNumberFormat="1" applyFont="1" applyFill="1" applyAlignment="1">
      <alignment horizontal="center" vertical="center"/>
    </xf>
    <xf numFmtId="4" fontId="143" fillId="5" borderId="0" xfId="7" applyNumberFormat="1" applyFont="1" applyFill="1" applyAlignment="1">
      <alignment horizontal="center" vertical="center"/>
    </xf>
    <xf numFmtId="177" fontId="22" fillId="5" borderId="0" xfId="7" quotePrefix="1" applyNumberFormat="1" applyFont="1" applyFill="1" applyAlignment="1">
      <alignment horizontal="center" vertical="center"/>
    </xf>
    <xf numFmtId="177" fontId="22" fillId="5" borderId="0" xfId="7" applyNumberFormat="1" applyFont="1" applyFill="1" applyAlignment="1">
      <alignment horizontal="center" vertical="center"/>
    </xf>
    <xf numFmtId="3" fontId="22" fillId="5" borderId="0" xfId="7" applyNumberFormat="1" applyFont="1" applyFill="1" applyAlignment="1">
      <alignment horizontal="center" vertical="center"/>
    </xf>
    <xf numFmtId="3" fontId="22" fillId="0" borderId="0" xfId="7" applyNumberFormat="1" applyFont="1" applyAlignment="1">
      <alignment horizontal="center" vertical="center"/>
    </xf>
    <xf numFmtId="0" fontId="22" fillId="0" borderId="9" xfId="7" applyFont="1" applyBorder="1" applyAlignment="1">
      <alignment horizontal="right" vertical="center"/>
    </xf>
    <xf numFmtId="0" fontId="22" fillId="0" borderId="9" xfId="7" applyFont="1" applyBorder="1" applyAlignment="1">
      <alignment vertical="center"/>
    </xf>
    <xf numFmtId="177" fontId="22" fillId="0" borderId="9" xfId="7" applyNumberFormat="1" applyFont="1" applyBorder="1" applyAlignment="1">
      <alignment vertical="center"/>
    </xf>
    <xf numFmtId="2" fontId="22" fillId="0" borderId="9" xfId="7" applyNumberFormat="1" applyFont="1" applyBorder="1" applyAlignment="1">
      <alignment vertical="center"/>
    </xf>
    <xf numFmtId="4" fontId="22" fillId="0" borderId="9" xfId="7" applyNumberFormat="1" applyFont="1" applyBorder="1" applyAlignment="1">
      <alignment vertical="center"/>
    </xf>
    <xf numFmtId="0" fontId="21" fillId="5" borderId="49" xfId="7" applyFont="1" applyFill="1" applyBorder="1" applyAlignment="1">
      <alignment horizontal="left" vertical="center" wrapText="1"/>
    </xf>
    <xf numFmtId="0" fontId="22" fillId="0" borderId="49" xfId="7" applyFont="1" applyBorder="1" applyAlignment="1">
      <alignment vertical="center"/>
    </xf>
    <xf numFmtId="0" fontId="22" fillId="0" borderId="49" xfId="7" quotePrefix="1" applyFont="1" applyBorder="1" applyAlignment="1">
      <alignment vertical="center"/>
    </xf>
    <xf numFmtId="0" fontId="37" fillId="0" borderId="49" xfId="7" applyFont="1" applyBorder="1" applyAlignment="1">
      <alignment horizontal="center" vertical="center"/>
    </xf>
    <xf numFmtId="0" fontId="22" fillId="0" borderId="49" xfId="7" applyFont="1" applyBorder="1" applyAlignment="1">
      <alignment horizontal="center" vertical="center"/>
    </xf>
    <xf numFmtId="2" fontId="22" fillId="0" borderId="49" xfId="7" applyNumberFormat="1" applyFont="1" applyBorder="1" applyAlignment="1">
      <alignment horizontal="center" vertical="center"/>
    </xf>
    <xf numFmtId="4" fontId="22" fillId="0" borderId="49" xfId="7" applyNumberFormat="1" applyFont="1" applyBorder="1" applyAlignment="1">
      <alignment horizontal="center" vertical="center"/>
    </xf>
    <xf numFmtId="176" fontId="22" fillId="38" borderId="0" xfId="5" applyNumberFormat="1" applyFont="1" applyFill="1" applyAlignment="1">
      <alignment horizontal="center" vertical="center"/>
    </xf>
    <xf numFmtId="4" fontId="21" fillId="5" borderId="6" xfId="5" applyFont="1" applyFill="1" applyBorder="1" applyAlignment="1">
      <alignment horizontal="center" vertical="center"/>
    </xf>
    <xf numFmtId="4" fontId="22" fillId="5" borderId="4" xfId="5" applyFont="1" applyFill="1" applyBorder="1" applyAlignment="1">
      <alignment horizontal="center"/>
    </xf>
    <xf numFmtId="2" fontId="24" fillId="5" borderId="4" xfId="5" applyNumberFormat="1" applyFont="1" applyFill="1" applyBorder="1" applyAlignment="1">
      <alignment horizontal="center"/>
    </xf>
    <xf numFmtId="4" fontId="21" fillId="5" borderId="53" xfId="5" applyFont="1" applyFill="1" applyBorder="1" applyAlignment="1">
      <alignment horizontal="center" vertical="center"/>
    </xf>
    <xf numFmtId="176" fontId="21" fillId="5" borderId="4" xfId="5" applyNumberFormat="1" applyFont="1" applyFill="1" applyBorder="1" applyAlignment="1">
      <alignment horizontal="center"/>
    </xf>
    <xf numFmtId="4" fontId="25" fillId="5" borderId="4" xfId="5" applyFont="1" applyFill="1" applyBorder="1" applyAlignment="1">
      <alignment horizontal="left"/>
    </xf>
    <xf numFmtId="4" fontId="22" fillId="5" borderId="6" xfId="5" applyFont="1" applyFill="1" applyBorder="1" applyAlignment="1">
      <alignment horizontal="center"/>
    </xf>
    <xf numFmtId="4" fontId="22" fillId="5" borderId="6" xfId="5" applyFont="1" applyFill="1" applyBorder="1" applyAlignment="1">
      <alignment horizontal="center" vertical="center"/>
    </xf>
    <xf numFmtId="4" fontId="21" fillId="5" borderId="4" xfId="5" applyFont="1" applyFill="1" applyBorder="1">
      <alignment vertical="center"/>
    </xf>
    <xf numFmtId="2" fontId="11" fillId="0" borderId="0" xfId="0" applyNumberFormat="1" applyFont="1" applyAlignment="1" applyProtection="1">
      <alignment horizontal="center"/>
      <protection locked="0"/>
    </xf>
    <xf numFmtId="0" fontId="10" fillId="5" borderId="5" xfId="2" applyFill="1" applyBorder="1"/>
    <xf numFmtId="173" fontId="11" fillId="5" borderId="0" xfId="2" applyNumberFormat="1" applyFont="1" applyFill="1"/>
    <xf numFmtId="2" fontId="12" fillId="5" borderId="43" xfId="2" applyNumberFormat="1" applyFont="1" applyFill="1" applyBorder="1" applyAlignment="1">
      <alignment vertical="center" textRotation="90"/>
    </xf>
    <xf numFmtId="0" fontId="11" fillId="0" borderId="0" xfId="2" applyFont="1" applyAlignment="1">
      <alignment horizontal="center" vertical="top"/>
    </xf>
    <xf numFmtId="173" fontId="10" fillId="5" borderId="0" xfId="2" applyNumberFormat="1" applyFill="1"/>
    <xf numFmtId="0" fontId="23" fillId="0" borderId="0" xfId="2" applyFont="1"/>
    <xf numFmtId="173" fontId="23" fillId="0" borderId="0" xfId="2" applyNumberFormat="1" applyFont="1"/>
    <xf numFmtId="173" fontId="23" fillId="0" borderId="0" xfId="3" applyNumberFormat="1" applyFont="1"/>
    <xf numFmtId="173" fontId="21" fillId="0" borderId="0" xfId="4" applyNumberFormat="1" applyFont="1" applyAlignment="1">
      <alignment horizontal="center" vertical="center"/>
    </xf>
    <xf numFmtId="173" fontId="23" fillId="5" borderId="0" xfId="2" applyNumberFormat="1" applyFont="1" applyFill="1"/>
    <xf numFmtId="173" fontId="23" fillId="0" borderId="4" xfId="2" applyNumberFormat="1" applyFont="1" applyBorder="1"/>
    <xf numFmtId="1" fontId="20" fillId="0" borderId="59" xfId="2" applyNumberFormat="1" applyFont="1" applyBorder="1"/>
    <xf numFmtId="4" fontId="32" fillId="0" borderId="0" xfId="6" applyFont="1" applyAlignment="1">
      <alignment horizontal="center" vertical="center"/>
    </xf>
    <xf numFmtId="2" fontId="45" fillId="0" borderId="0" xfId="6" applyNumberFormat="1" applyFont="1" applyAlignment="1">
      <alignment horizontal="center" vertical="center"/>
    </xf>
    <xf numFmtId="4" fontId="37" fillId="0" borderId="0" xfId="6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4" fontId="44" fillId="0" borderId="0" xfId="6" applyFont="1">
      <alignment vertical="center"/>
    </xf>
    <xf numFmtId="4" fontId="145" fillId="0" borderId="0" xfId="6" applyFont="1">
      <alignment vertical="center"/>
    </xf>
    <xf numFmtId="4" fontId="145" fillId="2" borderId="0" xfId="6" applyFont="1" applyFill="1">
      <alignment vertical="center"/>
    </xf>
    <xf numFmtId="4" fontId="146" fillId="2" borderId="0" xfId="6" applyFont="1" applyFill="1" applyAlignment="1">
      <alignment horizontal="left" vertical="center"/>
    </xf>
    <xf numFmtId="173" fontId="10" fillId="5" borderId="4" xfId="2" applyNumberFormat="1" applyFill="1" applyBorder="1"/>
    <xf numFmtId="173" fontId="10" fillId="0" borderId="4" xfId="2" applyNumberFormat="1" applyBorder="1"/>
    <xf numFmtId="173" fontId="23" fillId="0" borderId="59" xfId="2" applyNumberFormat="1" applyFont="1" applyBorder="1" applyAlignment="1">
      <alignment horizontal="center"/>
    </xf>
    <xf numFmtId="4" fontId="22" fillId="0" borderId="8" xfId="6" applyFont="1" applyBorder="1">
      <alignment vertical="center"/>
    </xf>
    <xf numFmtId="0" fontId="23" fillId="0" borderId="8" xfId="536" applyFont="1" applyBorder="1" applyAlignment="1">
      <alignment horizontal="left" vertical="center"/>
    </xf>
    <xf numFmtId="173" fontId="22" fillId="0" borderId="4" xfId="0" applyNumberFormat="1" applyFont="1" applyBorder="1" applyAlignment="1">
      <alignment horizontal="center" vertical="center"/>
    </xf>
    <xf numFmtId="173" fontId="22" fillId="5" borderId="4" xfId="0" applyNumberFormat="1" applyFont="1" applyFill="1" applyBorder="1" applyAlignment="1">
      <alignment horizontal="center" vertical="center"/>
    </xf>
    <xf numFmtId="173" fontId="22" fillId="5" borderId="6" xfId="0" applyNumberFormat="1" applyFont="1" applyFill="1" applyBorder="1" applyAlignment="1">
      <alignment horizontal="center" vertical="center"/>
    </xf>
    <xf numFmtId="173" fontId="21" fillId="5" borderId="23" xfId="0" applyNumberFormat="1" applyFont="1" applyFill="1" applyBorder="1" applyAlignment="1">
      <alignment horizontal="center" vertical="center"/>
    </xf>
    <xf numFmtId="4" fontId="22" fillId="0" borderId="17" xfId="6" applyFont="1" applyBorder="1">
      <alignment vertical="center"/>
    </xf>
    <xf numFmtId="173" fontId="148" fillId="0" borderId="59" xfId="2" applyNumberFormat="1" applyFont="1" applyBorder="1" applyAlignment="1">
      <alignment horizontal="center"/>
    </xf>
    <xf numFmtId="173" fontId="116" fillId="0" borderId="4" xfId="2" applyNumberFormat="1" applyFont="1" applyBorder="1"/>
    <xf numFmtId="173" fontId="148" fillId="0" borderId="4" xfId="2" applyNumberFormat="1" applyFont="1" applyBorder="1"/>
    <xf numFmtId="0" fontId="10" fillId="0" borderId="0" xfId="8" applyAlignment="1">
      <alignment horizontal="center" vertical="center"/>
    </xf>
    <xf numFmtId="0" fontId="116" fillId="0" borderId="0" xfId="8" applyFont="1" applyAlignment="1">
      <alignment horizontal="center" vertical="center"/>
    </xf>
    <xf numFmtId="2" fontId="10" fillId="0" borderId="0" xfId="8" applyNumberFormat="1" applyAlignment="1">
      <alignment horizontal="center" vertical="center"/>
    </xf>
    <xf numFmtId="2" fontId="116" fillId="0" borderId="0" xfId="8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20" fillId="5" borderId="59" xfId="2" applyNumberFormat="1" applyFont="1" applyFill="1" applyBorder="1"/>
    <xf numFmtId="173" fontId="23" fillId="5" borderId="4" xfId="2" applyNumberFormat="1" applyFont="1" applyFill="1" applyBorder="1"/>
    <xf numFmtId="0" fontId="22" fillId="0" borderId="49" xfId="7" applyFont="1" applyBorder="1" applyAlignment="1">
      <alignment horizontal="right" vertical="center"/>
    </xf>
    <xf numFmtId="0" fontId="23" fillId="5" borderId="0" xfId="0" applyFont="1" applyFill="1" applyAlignment="1">
      <alignment horizontal="center" vertical="center"/>
    </xf>
    <xf numFmtId="0" fontId="22" fillId="5" borderId="0" xfId="7" quotePrefix="1" applyFont="1" applyFill="1" applyAlignment="1">
      <alignment horizontal="center" vertical="center"/>
    </xf>
    <xf numFmtId="173" fontId="39" fillId="5" borderId="0" xfId="0" quotePrefix="1" applyNumberFormat="1" applyFont="1" applyFill="1" applyAlignment="1">
      <alignment horizontal="center" vertical="center"/>
    </xf>
    <xf numFmtId="203" fontId="22" fillId="5" borderId="0" xfId="7" applyNumberFormat="1" applyFont="1" applyFill="1" applyAlignment="1">
      <alignment horizontal="center" vertical="center"/>
    </xf>
    <xf numFmtId="0" fontId="21" fillId="5" borderId="0" xfId="7" quotePrefix="1" applyFont="1" applyFill="1" applyAlignment="1">
      <alignment horizontal="center" vertical="center"/>
    </xf>
    <xf numFmtId="0" fontId="21" fillId="5" borderId="0" xfId="7" quotePrefix="1" applyFont="1" applyFill="1" applyAlignment="1">
      <alignment vertical="center"/>
    </xf>
    <xf numFmtId="3" fontId="22" fillId="5" borderId="0" xfId="7" quotePrefix="1" applyNumberFormat="1" applyFont="1" applyFill="1" applyAlignment="1">
      <alignment horizontal="center" vertical="center"/>
    </xf>
    <xf numFmtId="0" fontId="39" fillId="5" borderId="0" xfId="0" applyFont="1" applyFill="1" applyAlignment="1">
      <alignment horizontal="center" vertical="center"/>
    </xf>
    <xf numFmtId="4" fontId="22" fillId="5" borderId="0" xfId="7" applyNumberFormat="1" applyFont="1" applyFill="1" applyAlignment="1">
      <alignment vertical="center"/>
    </xf>
    <xf numFmtId="4" fontId="33" fillId="5" borderId="0" xfId="7" applyNumberFormat="1" applyFont="1" applyFill="1" applyAlignment="1">
      <alignment horizontal="left" vertical="center"/>
    </xf>
    <xf numFmtId="177" fontId="22" fillId="5" borderId="0" xfId="7" applyNumberFormat="1" applyFont="1" applyFill="1" applyAlignment="1">
      <alignment horizontal="left" vertical="center"/>
    </xf>
    <xf numFmtId="176" fontId="149" fillId="5" borderId="0" xfId="7" applyNumberFormat="1" applyFont="1" applyFill="1" applyAlignment="1">
      <alignment horizontal="center" vertical="center"/>
    </xf>
    <xf numFmtId="0" fontId="10" fillId="5" borderId="0" xfId="2" applyFill="1" applyAlignment="1">
      <alignment horizontal="right"/>
    </xf>
    <xf numFmtId="0" fontId="10" fillId="5" borderId="8" xfId="2" applyFill="1" applyBorder="1" applyAlignment="1">
      <alignment horizontal="right"/>
    </xf>
    <xf numFmtId="0" fontId="150" fillId="38" borderId="0" xfId="2" applyFont="1" applyFill="1"/>
    <xf numFmtId="0" fontId="10" fillId="38" borderId="0" xfId="2" applyFill="1"/>
    <xf numFmtId="173" fontId="0" fillId="5" borderId="4" xfId="0" applyNumberFormat="1" applyFill="1" applyBorder="1" applyAlignment="1">
      <alignment horizontal="right" vertical="center"/>
    </xf>
    <xf numFmtId="173" fontId="10" fillId="5" borderId="4" xfId="0" applyNumberFormat="1" applyFont="1" applyFill="1" applyBorder="1" applyAlignment="1">
      <alignment horizontal="right" vertical="center"/>
    </xf>
    <xf numFmtId="173" fontId="10" fillId="0" borderId="62" xfId="2" applyNumberFormat="1" applyBorder="1"/>
    <xf numFmtId="173" fontId="11" fillId="0" borderId="62" xfId="2" applyNumberFormat="1" applyFont="1" applyBorder="1"/>
    <xf numFmtId="0" fontId="151" fillId="5" borderId="0" xfId="2" applyFont="1" applyFill="1"/>
    <xf numFmtId="0" fontId="151" fillId="0" borderId="0" xfId="2" applyFont="1"/>
    <xf numFmtId="0" fontId="152" fillId="0" borderId="0" xfId="2" applyFont="1"/>
    <xf numFmtId="173" fontId="152" fillId="0" borderId="0" xfId="2" applyNumberFormat="1" applyFont="1"/>
    <xf numFmtId="173" fontId="152" fillId="5" borderId="0" xfId="2" applyNumberFormat="1" applyFont="1" applyFill="1"/>
    <xf numFmtId="173" fontId="151" fillId="5" borderId="5" xfId="2" applyNumberFormat="1" applyFont="1" applyFill="1" applyBorder="1"/>
    <xf numFmtId="173" fontId="152" fillId="5" borderId="5" xfId="2" applyNumberFormat="1" applyFont="1" applyFill="1" applyBorder="1"/>
    <xf numFmtId="173" fontId="151" fillId="5" borderId="5" xfId="2" applyNumberFormat="1" applyFont="1" applyFill="1" applyBorder="1" applyAlignment="1">
      <alignment horizontal="right"/>
    </xf>
    <xf numFmtId="173" fontId="153" fillId="5" borderId="5" xfId="2" applyNumberFormat="1" applyFont="1" applyFill="1" applyBorder="1"/>
    <xf numFmtId="173" fontId="153" fillId="5" borderId="5" xfId="2" applyNumberFormat="1" applyFont="1" applyFill="1" applyBorder="1" applyAlignment="1">
      <alignment horizontal="right"/>
    </xf>
    <xf numFmtId="173" fontId="153" fillId="0" borderId="5" xfId="2" applyNumberFormat="1" applyFont="1" applyBorder="1"/>
    <xf numFmtId="173" fontId="152" fillId="0" borderId="5" xfId="2" applyNumberFormat="1" applyFont="1" applyBorder="1"/>
    <xf numFmtId="173" fontId="151" fillId="5" borderId="0" xfId="2" applyNumberFormat="1" applyFont="1" applyFill="1"/>
    <xf numFmtId="173" fontId="151" fillId="0" borderId="0" xfId="2" applyNumberFormat="1" applyFont="1"/>
    <xf numFmtId="173" fontId="151" fillId="5" borderId="0" xfId="3" applyNumberFormat="1" applyFont="1" applyFill="1"/>
    <xf numFmtId="173" fontId="152" fillId="0" borderId="0" xfId="3" applyNumberFormat="1" applyFont="1"/>
    <xf numFmtId="0" fontId="154" fillId="5" borderId="0" xfId="0" applyFont="1" applyFill="1" applyAlignment="1">
      <alignment vertical="center"/>
    </xf>
    <xf numFmtId="0" fontId="155" fillId="5" borderId="0" xfId="0" applyFont="1" applyFill="1" applyAlignment="1">
      <alignment horizontal="center" vertical="center"/>
    </xf>
    <xf numFmtId="173" fontId="0" fillId="5" borderId="4" xfId="0" applyNumberFormat="1" applyFill="1" applyBorder="1" applyAlignment="1">
      <alignment horizontal="center" vertical="center"/>
    </xf>
    <xf numFmtId="0" fontId="156" fillId="0" borderId="0" xfId="2" applyFont="1" applyAlignment="1">
      <alignment horizontal="center" vertical="center"/>
    </xf>
    <xf numFmtId="4" fontId="21" fillId="5" borderId="0" xfId="5" applyFont="1" applyFill="1" applyAlignment="1">
      <alignment horizontal="left"/>
    </xf>
    <xf numFmtId="4" fontId="22" fillId="2" borderId="60" xfId="5" applyFont="1" applyFill="1" applyBorder="1" applyAlignment="1">
      <alignment horizontal="center"/>
    </xf>
    <xf numFmtId="4" fontId="22" fillId="2" borderId="64" xfId="5" applyFont="1" applyFill="1" applyBorder="1" applyAlignment="1">
      <alignment horizontal="center"/>
    </xf>
    <xf numFmtId="4" fontId="22" fillId="5" borderId="12" xfId="5" applyFont="1" applyFill="1" applyBorder="1" applyAlignment="1">
      <alignment horizontal="center"/>
    </xf>
    <xf numFmtId="176" fontId="37" fillId="5" borderId="53" xfId="5" applyNumberFormat="1" applyFont="1" applyFill="1" applyBorder="1" applyAlignment="1">
      <alignment horizontal="center"/>
    </xf>
    <xf numFmtId="173" fontId="113" fillId="5" borderId="4" xfId="5" applyNumberFormat="1" applyFont="1" applyFill="1" applyBorder="1" applyAlignment="1">
      <alignment horizontal="center"/>
    </xf>
    <xf numFmtId="173" fontId="157" fillId="5" borderId="53" xfId="5" applyNumberFormat="1" applyFont="1" applyFill="1" applyBorder="1" applyAlignment="1">
      <alignment horizontal="center"/>
    </xf>
    <xf numFmtId="173" fontId="22" fillId="2" borderId="4" xfId="0" applyNumberFormat="1" applyFont="1" applyFill="1" applyBorder="1" applyAlignment="1">
      <alignment horizontal="center" vertical="center"/>
    </xf>
    <xf numFmtId="173" fontId="21" fillId="0" borderId="23" xfId="0" applyNumberFormat="1" applyFont="1" applyBorder="1" applyAlignment="1">
      <alignment horizontal="center" vertical="center"/>
    </xf>
    <xf numFmtId="4" fontId="21" fillId="34" borderId="4" xfId="5" applyFont="1" applyFill="1" applyBorder="1" applyAlignment="1">
      <alignment horizontal="center"/>
    </xf>
    <xf numFmtId="173" fontId="113" fillId="34" borderId="4" xfId="5" applyNumberFormat="1" applyFont="1" applyFill="1" applyBorder="1" applyAlignment="1">
      <alignment horizontal="center"/>
    </xf>
    <xf numFmtId="176" fontId="37" fillId="34" borderId="53" xfId="5" applyNumberFormat="1" applyFont="1" applyFill="1" applyBorder="1" applyAlignment="1">
      <alignment horizontal="center"/>
    </xf>
    <xf numFmtId="4" fontId="21" fillId="34" borderId="4" xfId="5" applyFont="1" applyFill="1" applyBorder="1" applyAlignment="1">
      <alignment horizontal="center" vertical="center"/>
    </xf>
    <xf numFmtId="176" fontId="113" fillId="34" borderId="4" xfId="5" applyNumberFormat="1" applyFont="1" applyFill="1" applyBorder="1" applyAlignment="1">
      <alignment horizontal="center" vertical="center"/>
    </xf>
    <xf numFmtId="173" fontId="10" fillId="0" borderId="0" xfId="8" applyNumberFormat="1" applyAlignment="1">
      <alignment horizontal="center" vertical="center"/>
    </xf>
    <xf numFmtId="3" fontId="23" fillId="5" borderId="0" xfId="7" applyNumberFormat="1" applyFont="1" applyFill="1" applyAlignment="1">
      <alignment horizontal="center" wrapText="1"/>
    </xf>
    <xf numFmtId="12" fontId="142" fillId="5" borderId="0" xfId="242" applyNumberFormat="1" applyFont="1" applyFill="1" applyAlignment="1">
      <alignment horizontal="center" vertical="center"/>
    </xf>
    <xf numFmtId="0" fontId="142" fillId="5" borderId="0" xfId="242" applyFont="1" applyFill="1" applyAlignment="1">
      <alignment horizontal="center" vertical="center"/>
    </xf>
    <xf numFmtId="173" fontId="157" fillId="34" borderId="53" xfId="5" applyNumberFormat="1" applyFont="1" applyFill="1" applyBorder="1" applyAlignment="1">
      <alignment horizontal="center"/>
    </xf>
    <xf numFmtId="173" fontId="158" fillId="0" borderId="0" xfId="4" applyNumberFormat="1" applyFont="1" applyAlignment="1">
      <alignment horizontal="center" vertical="center"/>
    </xf>
    <xf numFmtId="0" fontId="21" fillId="0" borderId="0" xfId="4" applyFont="1" applyAlignment="1">
      <alignment horizontal="left" vertical="center"/>
    </xf>
    <xf numFmtId="0" fontId="29" fillId="0" borderId="0" xfId="7" applyFont="1" applyAlignment="1">
      <alignment horizontal="left" vertical="center"/>
    </xf>
    <xf numFmtId="173" fontId="21" fillId="0" borderId="0" xfId="7" applyNumberFormat="1" applyFont="1" applyAlignment="1">
      <alignment horizontal="center" vertical="center"/>
    </xf>
    <xf numFmtId="0" fontId="144" fillId="0" borderId="0" xfId="7" applyFont="1" applyAlignment="1">
      <alignment vertical="center"/>
    </xf>
    <xf numFmtId="0" fontId="21" fillId="0" borderId="0" xfId="7" applyFont="1" applyAlignment="1">
      <alignment vertical="center"/>
    </xf>
    <xf numFmtId="0" fontId="22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vertical="center" textRotation="90"/>
    </xf>
    <xf numFmtId="0" fontId="22" fillId="0" borderId="4" xfId="0" applyFont="1" applyBorder="1" applyAlignment="1">
      <alignment vertical="center" textRotation="90"/>
    </xf>
    <xf numFmtId="4" fontId="21" fillId="0" borderId="4" xfId="6" applyFont="1" applyBorder="1" applyAlignment="1">
      <alignment horizontal="center" vertical="center"/>
    </xf>
    <xf numFmtId="2" fontId="31" fillId="0" borderId="17" xfId="0" applyNumberFormat="1" applyFont="1" applyBorder="1" applyAlignment="1">
      <alignment horizontal="center" vertical="center"/>
    </xf>
    <xf numFmtId="173" fontId="21" fillId="0" borderId="4" xfId="0" applyNumberFormat="1" applyFont="1" applyBorder="1" applyAlignment="1">
      <alignment horizontal="center" vertical="center"/>
    </xf>
    <xf numFmtId="173" fontId="161" fillId="5" borderId="4" xfId="4" applyNumberFormat="1" applyFont="1" applyFill="1" applyBorder="1" applyAlignment="1">
      <alignment horizontal="center" vertical="center"/>
    </xf>
    <xf numFmtId="4" fontId="161" fillId="0" borderId="17" xfId="6" quotePrefix="1" applyFont="1" applyBorder="1" applyAlignment="1">
      <alignment horizontal="center" vertical="top" wrapText="1"/>
    </xf>
    <xf numFmtId="3" fontId="161" fillId="0" borderId="8" xfId="6" applyNumberFormat="1" applyFont="1" applyBorder="1" applyAlignment="1">
      <alignment horizontal="center" vertical="top"/>
    </xf>
    <xf numFmtId="4" fontId="161" fillId="0" borderId="17" xfId="6" applyFont="1" applyBorder="1">
      <alignment vertical="center"/>
    </xf>
    <xf numFmtId="173" fontId="21" fillId="0" borderId="8" xfId="307" applyNumberFormat="1" applyFont="1" applyBorder="1" applyAlignment="1">
      <alignment horizontal="center"/>
    </xf>
    <xf numFmtId="0" fontId="22" fillId="0" borderId="8" xfId="8" applyFont="1" applyBorder="1" applyAlignment="1">
      <alignment horizontal="center" vertical="center"/>
    </xf>
    <xf numFmtId="4" fontId="22" fillId="0" borderId="8" xfId="8" applyNumberFormat="1" applyFont="1" applyBorder="1" applyAlignment="1">
      <alignment horizontal="center" vertical="center"/>
    </xf>
    <xf numFmtId="4" fontId="22" fillId="0" borderId="23" xfId="8" applyNumberFormat="1" applyFont="1" applyBorder="1" applyAlignment="1">
      <alignment horizontal="center" vertical="center"/>
    </xf>
    <xf numFmtId="173" fontId="21" fillId="5" borderId="0" xfId="6" applyNumberFormat="1" applyFont="1" applyFill="1" applyAlignment="1">
      <alignment horizontal="left" vertical="center"/>
    </xf>
    <xf numFmtId="173" fontId="21" fillId="0" borderId="23" xfId="307" applyNumberFormat="1" applyFont="1" applyBorder="1" applyAlignment="1">
      <alignment horizontal="center"/>
    </xf>
    <xf numFmtId="4" fontId="161" fillId="0" borderId="8" xfId="6" applyFont="1" applyBorder="1" applyAlignment="1">
      <alignment horizontal="center" vertical="center"/>
    </xf>
    <xf numFmtId="0" fontId="151" fillId="5" borderId="3" xfId="2" applyFont="1" applyFill="1" applyBorder="1" applyAlignment="1">
      <alignment horizontal="right"/>
    </xf>
    <xf numFmtId="173" fontId="151" fillId="0" borderId="4" xfId="0" applyNumberFormat="1" applyFont="1" applyBorder="1" applyAlignment="1">
      <alignment horizontal="center"/>
    </xf>
    <xf numFmtId="173" fontId="152" fillId="34" borderId="5" xfId="2" applyNumberFormat="1" applyFont="1" applyFill="1" applyBorder="1" applyAlignment="1">
      <alignment horizontal="right"/>
    </xf>
    <xf numFmtId="173" fontId="151" fillId="0" borderId="23" xfId="0" applyNumberFormat="1" applyFont="1" applyBorder="1" applyAlignment="1">
      <alignment horizontal="center" vertical="center"/>
    </xf>
    <xf numFmtId="173" fontId="151" fillId="5" borderId="4" xfId="0" applyNumberFormat="1" applyFont="1" applyFill="1" applyBorder="1" applyAlignment="1">
      <alignment horizontal="center" vertical="center"/>
    </xf>
    <xf numFmtId="0" fontId="142" fillId="5" borderId="0" xfId="2" applyFont="1" applyFill="1"/>
    <xf numFmtId="0" fontId="142" fillId="38" borderId="0" xfId="2" applyFont="1" applyFill="1"/>
    <xf numFmtId="0" fontId="164" fillId="38" borderId="0" xfId="2" applyFont="1" applyFill="1"/>
    <xf numFmtId="0" fontId="165" fillId="5" borderId="0" xfId="2" applyFont="1" applyFill="1"/>
    <xf numFmtId="0" fontId="165" fillId="0" borderId="0" xfId="2" applyFont="1" applyAlignment="1">
      <alignment horizontal="center" vertical="top"/>
    </xf>
    <xf numFmtId="0" fontId="165" fillId="0" borderId="0" xfId="2" applyFont="1"/>
    <xf numFmtId="0" fontId="165" fillId="5" borderId="1" xfId="2" applyFont="1" applyFill="1" applyBorder="1" applyAlignment="1">
      <alignment horizontal="center"/>
    </xf>
    <xf numFmtId="0" fontId="165" fillId="0" borderId="1" xfId="2" applyFont="1" applyBorder="1" applyAlignment="1">
      <alignment horizontal="center"/>
    </xf>
    <xf numFmtId="0" fontId="165" fillId="0" borderId="0" xfId="2" applyFont="1" applyAlignment="1">
      <alignment horizontal="center"/>
    </xf>
    <xf numFmtId="1" fontId="166" fillId="0" borderId="59" xfId="2" applyNumberFormat="1" applyFont="1" applyBorder="1"/>
    <xf numFmtId="173" fontId="151" fillId="5" borderId="63" xfId="354" applyNumberFormat="1" applyFont="1" applyFill="1" applyBorder="1" applyAlignment="1">
      <alignment horizontal="center" vertical="center"/>
    </xf>
    <xf numFmtId="173" fontId="152" fillId="34" borderId="4" xfId="2" applyNumberFormat="1" applyFont="1" applyFill="1" applyBorder="1"/>
    <xf numFmtId="1" fontId="166" fillId="5" borderId="59" xfId="2" applyNumberFormat="1" applyFont="1" applyFill="1" applyBorder="1"/>
    <xf numFmtId="173" fontId="151" fillId="5" borderId="4" xfId="2" applyNumberFormat="1" applyFont="1" applyFill="1" applyBorder="1" applyAlignment="1">
      <alignment horizontal="center"/>
    </xf>
    <xf numFmtId="173" fontId="151" fillId="5" borderId="4" xfId="2" applyNumberFormat="1" applyFont="1" applyFill="1" applyBorder="1"/>
    <xf numFmtId="173" fontId="152" fillId="2" borderId="4" xfId="2" applyNumberFormat="1" applyFont="1" applyFill="1" applyBorder="1"/>
    <xf numFmtId="2" fontId="151" fillId="0" borderId="0" xfId="2" applyNumberFormat="1" applyFont="1"/>
    <xf numFmtId="2" fontId="153" fillId="0" borderId="0" xfId="2" applyNumberFormat="1" applyFont="1"/>
    <xf numFmtId="0" fontId="165" fillId="0" borderId="19" xfId="2" applyFont="1" applyBorder="1"/>
    <xf numFmtId="0" fontId="142" fillId="0" borderId="9" xfId="2" applyFont="1" applyBorder="1"/>
    <xf numFmtId="0" fontId="142" fillId="0" borderId="47" xfId="2" applyFont="1" applyBorder="1"/>
    <xf numFmtId="0" fontId="165" fillId="0" borderId="44" xfId="2" applyFont="1" applyBorder="1"/>
    <xf numFmtId="0" fontId="142" fillId="0" borderId="0" xfId="2" applyFont="1"/>
    <xf numFmtId="0" fontId="142" fillId="0" borderId="1" xfId="2" applyFont="1" applyBorder="1"/>
    <xf numFmtId="0" fontId="142" fillId="46" borderId="0" xfId="2" applyFont="1" applyFill="1" applyAlignment="1">
      <alignment horizontal="center"/>
    </xf>
    <xf numFmtId="0" fontId="142" fillId="46" borderId="1" xfId="2" applyFont="1" applyFill="1" applyBorder="1"/>
    <xf numFmtId="0" fontId="153" fillId="0" borderId="19" xfId="2" applyFont="1" applyBorder="1"/>
    <xf numFmtId="0" fontId="151" fillId="0" borderId="9" xfId="2" applyFont="1" applyBorder="1"/>
    <xf numFmtId="0" fontId="151" fillId="0" borderId="47" xfId="2" applyFont="1" applyBorder="1"/>
    <xf numFmtId="0" fontId="153" fillId="0" borderId="44" xfId="2" applyFont="1" applyBorder="1"/>
    <xf numFmtId="0" fontId="151" fillId="0" borderId="1" xfId="2" applyFont="1" applyBorder="1"/>
    <xf numFmtId="0" fontId="151" fillId="46" borderId="49" xfId="2" applyFont="1" applyFill="1" applyBorder="1" applyAlignment="1">
      <alignment horizontal="center"/>
    </xf>
    <xf numFmtId="0" fontId="151" fillId="46" borderId="48" xfId="2" applyFont="1" applyFill="1" applyBorder="1"/>
    <xf numFmtId="0" fontId="153" fillId="0" borderId="51" xfId="2" applyFont="1" applyBorder="1"/>
    <xf numFmtId="173" fontId="151" fillId="46" borderId="49" xfId="2" applyNumberFormat="1" applyFont="1" applyFill="1" applyBorder="1" applyAlignment="1">
      <alignment horizontal="center"/>
    </xf>
    <xf numFmtId="4" fontId="161" fillId="0" borderId="8" xfId="6" applyFont="1" applyBorder="1">
      <alignment vertical="center"/>
    </xf>
    <xf numFmtId="173" fontId="21" fillId="0" borderId="6" xfId="0" applyNumberFormat="1" applyFont="1" applyBorder="1" applyAlignment="1">
      <alignment horizontal="center" vertical="center"/>
    </xf>
    <xf numFmtId="2" fontId="31" fillId="0" borderId="51" xfId="0" applyNumberFormat="1" applyFont="1" applyBorder="1" applyAlignment="1">
      <alignment horizontal="center" vertical="center"/>
    </xf>
    <xf numFmtId="2" fontId="31" fillId="0" borderId="48" xfId="0" applyNumberFormat="1" applyFont="1" applyBorder="1" applyAlignment="1">
      <alignment horizontal="center" vertical="center"/>
    </xf>
    <xf numFmtId="173" fontId="160" fillId="0" borderId="23" xfId="0" applyNumberFormat="1" applyFont="1" applyBorder="1" applyAlignment="1">
      <alignment horizontal="center" vertical="center"/>
    </xf>
    <xf numFmtId="173" fontId="160" fillId="5" borderId="4" xfId="4" applyNumberFormat="1" applyFont="1" applyFill="1" applyBorder="1" applyAlignment="1">
      <alignment horizontal="center" vertical="center"/>
    </xf>
    <xf numFmtId="0" fontId="31" fillId="2" borderId="51" xfId="0" applyFont="1" applyFill="1" applyBorder="1" applyAlignment="1">
      <alignment horizontal="centerContinuous" vertical="center"/>
    </xf>
    <xf numFmtId="0" fontId="22" fillId="2" borderId="48" xfId="0" applyFont="1" applyFill="1" applyBorder="1" applyAlignment="1">
      <alignment horizontal="centerContinuous" vertical="center"/>
    </xf>
    <xf numFmtId="0" fontId="161" fillId="0" borderId="17" xfId="6" quotePrefix="1" applyNumberFormat="1" applyFont="1" applyBorder="1" applyAlignment="1">
      <alignment horizontal="center" vertical="center"/>
    </xf>
    <xf numFmtId="241" fontId="21" fillId="0" borderId="23" xfId="0" applyNumberFormat="1" applyFont="1" applyBorder="1" applyAlignment="1">
      <alignment horizontal="center" vertical="center"/>
    </xf>
    <xf numFmtId="173" fontId="161" fillId="5" borderId="0" xfId="6" applyNumberFormat="1" applyFont="1" applyFill="1" applyAlignment="1">
      <alignment horizontal="left" vertical="center"/>
    </xf>
    <xf numFmtId="173" fontId="167" fillId="0" borderId="0" xfId="6" applyNumberFormat="1" applyFont="1" applyAlignment="1">
      <alignment horizontal="left" vertical="center"/>
    </xf>
    <xf numFmtId="241" fontId="21" fillId="0" borderId="8" xfId="0" applyNumberFormat="1" applyFont="1" applyBorder="1" applyAlignment="1">
      <alignment horizontal="center" vertical="center"/>
    </xf>
    <xf numFmtId="0" fontId="24" fillId="0" borderId="51" xfId="0" quotePrefix="1" applyFont="1" applyBorder="1" applyAlignment="1" applyProtection="1">
      <alignment vertical="center"/>
      <protection locked="0"/>
    </xf>
    <xf numFmtId="173" fontId="161" fillId="5" borderId="6" xfId="4" applyNumberFormat="1" applyFont="1" applyFill="1" applyBorder="1" applyAlignment="1">
      <alignment horizontal="center" vertical="center"/>
    </xf>
    <xf numFmtId="173" fontId="161" fillId="5" borderId="53" xfId="4" applyNumberFormat="1" applyFont="1" applyFill="1" applyBorder="1" applyAlignment="1">
      <alignment horizontal="center" vertical="center"/>
    </xf>
    <xf numFmtId="173" fontId="147" fillId="5" borderId="4" xfId="4" applyNumberFormat="1" applyFont="1" applyFill="1" applyBorder="1" applyAlignment="1">
      <alignment horizontal="center" vertical="center"/>
    </xf>
    <xf numFmtId="0" fontId="22" fillId="0" borderId="0" xfId="7" applyFont="1" applyAlignment="1">
      <alignment horizontal="center" vertical="center"/>
    </xf>
    <xf numFmtId="0" fontId="111" fillId="0" borderId="0" xfId="7" applyFont="1" applyAlignment="1">
      <alignment horizontal="right" vertical="center"/>
    </xf>
    <xf numFmtId="0" fontId="168" fillId="0" borderId="0" xfId="7" applyFont="1" applyAlignment="1">
      <alignment horizontal="center" vertical="center"/>
    </xf>
    <xf numFmtId="173" fontId="169" fillId="0" borderId="0" xfId="4" applyNumberFormat="1" applyFont="1" applyAlignment="1">
      <alignment horizontal="center" vertical="center"/>
    </xf>
    <xf numFmtId="0" fontId="168" fillId="0" borderId="0" xfId="4" applyFont="1" applyAlignment="1">
      <alignment horizontal="left" vertical="center"/>
    </xf>
    <xf numFmtId="0" fontId="169" fillId="0" borderId="0" xfId="7" applyFont="1" applyAlignment="1">
      <alignment horizontal="left" vertical="center"/>
    </xf>
    <xf numFmtId="2" fontId="169" fillId="0" borderId="0" xfId="7" applyNumberFormat="1" applyFont="1" applyAlignment="1">
      <alignment horizontal="left" vertical="center"/>
    </xf>
    <xf numFmtId="0" fontId="37" fillId="0" borderId="0" xfId="7" applyFont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2" fontId="22" fillId="0" borderId="6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4" fontId="161" fillId="5" borderId="8" xfId="6" applyFont="1" applyFill="1" applyBorder="1" applyAlignment="1" applyProtection="1">
      <alignment horizontal="left" vertical="center"/>
      <protection locked="0"/>
    </xf>
    <xf numFmtId="4" fontId="161" fillId="5" borderId="23" xfId="6" applyFont="1" applyFill="1" applyBorder="1" applyAlignment="1">
      <alignment horizontal="center" vertical="center"/>
    </xf>
    <xf numFmtId="0" fontId="170" fillId="0" borderId="51" xfId="307" applyNumberFormat="1" applyFont="1" applyBorder="1" applyAlignment="1">
      <alignment horizontal="left"/>
    </xf>
    <xf numFmtId="0" fontId="171" fillId="0" borderId="52" xfId="7" applyFont="1" applyBorder="1"/>
    <xf numFmtId="4" fontId="38" fillId="0" borderId="17" xfId="6" quotePrefix="1" applyFont="1" applyBorder="1" applyAlignment="1">
      <alignment horizontal="left" vertical="top" wrapText="1"/>
    </xf>
    <xf numFmtId="3" fontId="161" fillId="5" borderId="8" xfId="6" applyNumberFormat="1" applyFont="1" applyFill="1" applyBorder="1" applyAlignment="1">
      <alignment horizontal="centerContinuous" vertical="top"/>
    </xf>
    <xf numFmtId="173" fontId="161" fillId="5" borderId="8" xfId="4" applyNumberFormat="1" applyFont="1" applyFill="1" applyBorder="1" applyAlignment="1">
      <alignment horizontal="center" vertical="center"/>
    </xf>
    <xf numFmtId="173" fontId="161" fillId="5" borderId="23" xfId="4" applyNumberFormat="1" applyFont="1" applyFill="1" applyBorder="1" applyAlignment="1">
      <alignment horizontal="center" vertical="center"/>
    </xf>
    <xf numFmtId="0" fontId="21" fillId="0" borderId="17" xfId="6" quotePrefix="1" applyNumberFormat="1" applyFont="1" applyBorder="1" applyAlignment="1">
      <alignment horizontal="center" vertical="center"/>
    </xf>
    <xf numFmtId="4" fontId="175" fillId="0" borderId="17" xfId="6" applyFont="1" applyBorder="1">
      <alignment vertical="center"/>
    </xf>
    <xf numFmtId="4" fontId="160" fillId="0" borderId="17" xfId="6" applyFont="1" applyBorder="1">
      <alignment vertical="center"/>
    </xf>
    <xf numFmtId="0" fontId="22" fillId="0" borderId="9" xfId="8" applyFont="1" applyBorder="1" applyAlignment="1">
      <alignment horizontal="center" vertical="center"/>
    </xf>
    <xf numFmtId="4" fontId="22" fillId="0" borderId="9" xfId="8" applyNumberFormat="1" applyFont="1" applyBorder="1" applyAlignment="1">
      <alignment horizontal="center" vertical="center"/>
    </xf>
    <xf numFmtId="4" fontId="22" fillId="0" borderId="47" xfId="8" applyNumberFormat="1" applyFont="1" applyBorder="1" applyAlignment="1">
      <alignment horizontal="center" vertical="center"/>
    </xf>
    <xf numFmtId="0" fontId="161" fillId="0" borderId="51" xfId="6" applyNumberFormat="1" applyFont="1" applyBorder="1" applyAlignment="1">
      <alignment horizontal="center" vertical="center"/>
    </xf>
    <xf numFmtId="4" fontId="161" fillId="0" borderId="51" xfId="6" applyFont="1" applyBorder="1">
      <alignment vertical="center"/>
    </xf>
    <xf numFmtId="241" fontId="21" fillId="0" borderId="48" xfId="0" applyNumberFormat="1" applyFont="1" applyBorder="1" applyAlignment="1">
      <alignment horizontal="center" vertical="center"/>
    </xf>
    <xf numFmtId="0" fontId="22" fillId="0" borderId="49" xfId="8" applyFont="1" applyBorder="1" applyAlignment="1">
      <alignment horizontal="center" vertical="center"/>
    </xf>
    <xf numFmtId="4" fontId="22" fillId="0" borderId="49" xfId="8" applyNumberFormat="1" applyFont="1" applyBorder="1" applyAlignment="1">
      <alignment horizontal="center" vertical="center"/>
    </xf>
    <xf numFmtId="4" fontId="22" fillId="0" borderId="48" xfId="8" applyNumberFormat="1" applyFont="1" applyBorder="1" applyAlignment="1">
      <alignment horizontal="center" vertical="center"/>
    </xf>
    <xf numFmtId="173" fontId="161" fillId="5" borderId="67" xfId="4" applyNumberFormat="1" applyFont="1" applyFill="1" applyBorder="1" applyAlignment="1">
      <alignment horizontal="center" vertical="center"/>
    </xf>
    <xf numFmtId="0" fontId="161" fillId="0" borderId="18" xfId="6" applyNumberFormat="1" applyFont="1" applyBorder="1" applyAlignment="1">
      <alignment horizontal="center" vertical="center"/>
    </xf>
    <xf numFmtId="0" fontId="21" fillId="0" borderId="70" xfId="0" applyFont="1" applyBorder="1" applyAlignment="1">
      <alignment vertical="center"/>
    </xf>
    <xf numFmtId="0" fontId="173" fillId="5" borderId="50" xfId="6" applyNumberFormat="1" applyFont="1" applyFill="1" applyBorder="1" applyAlignment="1">
      <alignment vertical="center" textRotation="90" wrapText="1"/>
    </xf>
    <xf numFmtId="173" fontId="161" fillId="5" borderId="72" xfId="4" applyNumberFormat="1" applyFont="1" applyFill="1" applyBorder="1" applyAlignment="1">
      <alignment horizontal="center" vertical="center"/>
    </xf>
    <xf numFmtId="0" fontId="161" fillId="0" borderId="74" xfId="6" applyNumberFormat="1" applyFont="1" applyBorder="1" applyAlignment="1">
      <alignment horizontal="center" vertical="center"/>
    </xf>
    <xf numFmtId="4" fontId="161" fillId="0" borderId="19" xfId="6" applyFont="1" applyBorder="1">
      <alignment vertical="center"/>
    </xf>
    <xf numFmtId="241" fontId="21" fillId="0" borderId="47" xfId="0" applyNumberFormat="1" applyFont="1" applyBorder="1" applyAlignment="1">
      <alignment horizontal="center" vertical="center"/>
    </xf>
    <xf numFmtId="0" fontId="161" fillId="0" borderId="0" xfId="6" applyNumberFormat="1" applyFont="1" applyAlignment="1">
      <alignment horizontal="center" vertical="center"/>
    </xf>
    <xf numFmtId="4" fontId="161" fillId="0" borderId="0" xfId="6" applyFont="1">
      <alignment vertical="center"/>
    </xf>
    <xf numFmtId="241" fontId="21" fillId="0" borderId="0" xfId="0" applyNumberFormat="1" applyFont="1" applyAlignment="1">
      <alignment horizontal="center" vertical="center"/>
    </xf>
    <xf numFmtId="173" fontId="161" fillId="5" borderId="0" xfId="4" applyNumberFormat="1" applyFont="1" applyFill="1" applyAlignment="1">
      <alignment horizontal="center" vertical="center"/>
    </xf>
    <xf numFmtId="4" fontId="21" fillId="0" borderId="0" xfId="6" applyFont="1" applyAlignment="1">
      <alignment horizontal="center" vertical="center"/>
    </xf>
    <xf numFmtId="2" fontId="31" fillId="0" borderId="0" xfId="0" applyNumberFormat="1" applyFont="1" applyAlignment="1">
      <alignment horizontal="center" vertical="center"/>
    </xf>
    <xf numFmtId="0" fontId="22" fillId="0" borderId="0" xfId="8" applyFont="1" applyAlignment="1">
      <alignment horizontal="center" vertical="center"/>
    </xf>
    <xf numFmtId="4" fontId="22" fillId="0" borderId="0" xfId="8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3" fontId="161" fillId="0" borderId="0" xfId="6" applyNumberFormat="1" applyFont="1" applyAlignment="1">
      <alignment horizontal="center" vertical="center"/>
    </xf>
    <xf numFmtId="4" fontId="161" fillId="0" borderId="0" xfId="6" applyFont="1" applyAlignment="1">
      <alignment horizontal="center" vertical="center" wrapText="1"/>
    </xf>
    <xf numFmtId="4" fontId="161" fillId="0" borderId="0" xfId="6" quotePrefix="1" applyFont="1" applyAlignment="1">
      <alignment horizontal="center" vertical="center" wrapText="1"/>
    </xf>
    <xf numFmtId="3" fontId="161" fillId="0" borderId="0" xfId="6" applyNumberFormat="1" applyFont="1" applyAlignment="1">
      <alignment horizontal="center" vertical="top"/>
    </xf>
    <xf numFmtId="4" fontId="28" fillId="5" borderId="0" xfId="6" applyFont="1" applyFill="1" applyAlignment="1">
      <alignment horizontal="left" vertical="top" wrapText="1"/>
    </xf>
    <xf numFmtId="4" fontId="28" fillId="5" borderId="0" xfId="6" applyFont="1" applyFill="1" applyAlignment="1">
      <alignment horizontal="left" vertical="top"/>
    </xf>
    <xf numFmtId="0" fontId="21" fillId="5" borderId="0" xfId="0" applyFont="1" applyFill="1" applyAlignment="1">
      <alignment vertical="center"/>
    </xf>
    <xf numFmtId="4" fontId="162" fillId="0" borderId="0" xfId="6" applyFont="1">
      <alignment vertical="center"/>
    </xf>
    <xf numFmtId="173" fontId="21" fillId="0" borderId="0" xfId="0" applyNumberFormat="1" applyFont="1" applyAlignment="1">
      <alignment horizontal="center" vertical="center"/>
    </xf>
    <xf numFmtId="173" fontId="21" fillId="0" borderId="0" xfId="307" applyNumberFormat="1" applyFont="1" applyAlignment="1">
      <alignment horizontal="center"/>
    </xf>
    <xf numFmtId="0" fontId="22" fillId="0" borderId="0" xfId="0" applyFont="1" applyAlignment="1">
      <alignment vertical="center" textRotation="90"/>
    </xf>
    <xf numFmtId="0" fontId="21" fillId="5" borderId="0" xfId="6" applyNumberFormat="1" applyFont="1" applyFill="1" applyAlignment="1">
      <alignment horizontal="center" vertical="center"/>
    </xf>
    <xf numFmtId="4" fontId="161" fillId="5" borderId="0" xfId="6" applyFont="1" applyFill="1">
      <alignment vertical="center"/>
    </xf>
    <xf numFmtId="3" fontId="161" fillId="5" borderId="0" xfId="6" applyNumberFormat="1" applyFont="1" applyFill="1" applyAlignment="1">
      <alignment horizontal="center" vertical="center"/>
    </xf>
    <xf numFmtId="173" fontId="21" fillId="5" borderId="0" xfId="0" applyNumberFormat="1" applyFont="1" applyFill="1" applyAlignment="1">
      <alignment horizontal="center" vertical="center"/>
    </xf>
    <xf numFmtId="0" fontId="159" fillId="5" borderId="0" xfId="6" applyNumberFormat="1" applyFont="1" applyFill="1" applyAlignment="1">
      <alignment horizontal="center" vertical="center"/>
    </xf>
    <xf numFmtId="4" fontId="162" fillId="5" borderId="0" xfId="6" applyFont="1" applyFill="1">
      <alignment vertical="center"/>
    </xf>
    <xf numFmtId="0" fontId="21" fillId="5" borderId="0" xfId="6" applyNumberFormat="1" applyFont="1" applyFill="1" applyAlignment="1">
      <alignment vertical="center" textRotation="90"/>
    </xf>
    <xf numFmtId="4" fontId="147" fillId="5" borderId="0" xfId="6" applyFont="1" applyFill="1">
      <alignment vertical="center"/>
    </xf>
    <xf numFmtId="4" fontId="29" fillId="5" borderId="0" xfId="6" applyFont="1" applyFill="1">
      <alignment vertical="center"/>
    </xf>
    <xf numFmtId="173" fontId="21" fillId="5" borderId="0" xfId="4" applyNumberFormat="1" applyFont="1" applyFill="1" applyAlignment="1">
      <alignment horizontal="center" vertical="center"/>
    </xf>
    <xf numFmtId="4" fontId="21" fillId="5" borderId="0" xfId="307" quotePrefix="1" applyFont="1" applyFill="1" applyAlignment="1">
      <alignment horizontal="center" vertical="center"/>
    </xf>
    <xf numFmtId="3" fontId="21" fillId="5" borderId="0" xfId="6" applyNumberFormat="1" applyFont="1" applyFill="1" applyAlignment="1">
      <alignment horizontal="center" vertical="center"/>
    </xf>
    <xf numFmtId="173" fontId="140" fillId="5" borderId="0" xfId="1" applyNumberFormat="1" applyFont="1" applyFill="1" applyBorder="1" applyAlignment="1" applyProtection="1">
      <alignment horizontal="center" vertical="center"/>
    </xf>
    <xf numFmtId="0" fontId="22" fillId="5" borderId="0" xfId="0" applyFont="1" applyFill="1" applyAlignment="1">
      <alignment vertical="center" textRotation="90"/>
    </xf>
    <xf numFmtId="4" fontId="38" fillId="5" borderId="0" xfId="6" applyFont="1" applyFill="1">
      <alignment vertical="center"/>
    </xf>
    <xf numFmtId="173" fontId="22" fillId="5" borderId="0" xfId="4" applyNumberFormat="1" applyFont="1" applyFill="1" applyAlignment="1">
      <alignment horizontal="center" vertical="center"/>
    </xf>
    <xf numFmtId="173" fontId="46" fillId="0" borderId="0" xfId="6" applyNumberFormat="1" applyFont="1" applyAlignment="1">
      <alignment horizontal="left" vertical="center"/>
    </xf>
    <xf numFmtId="2" fontId="110" fillId="0" borderId="0" xfId="6" applyNumberFormat="1" applyFont="1" applyAlignment="1">
      <alignment horizontal="center" vertical="center"/>
    </xf>
    <xf numFmtId="4" fontId="46" fillId="0" borderId="0" xfId="6" applyFont="1" applyAlignment="1">
      <alignment horizontal="center" vertical="center"/>
    </xf>
    <xf numFmtId="0" fontId="37" fillId="0" borderId="0" xfId="2" applyFont="1" applyAlignment="1">
      <alignment horizontal="center" vertical="center"/>
    </xf>
    <xf numFmtId="2" fontId="37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173" fontId="21" fillId="5" borderId="0" xfId="307" applyNumberFormat="1" applyFont="1" applyFill="1" applyAlignment="1">
      <alignment horizontal="center"/>
    </xf>
    <xf numFmtId="2" fontId="31" fillId="5" borderId="0" xfId="0" applyNumberFormat="1" applyFont="1" applyFill="1" applyAlignment="1">
      <alignment horizontal="center" vertical="center"/>
    </xf>
    <xf numFmtId="0" fontId="22" fillId="5" borderId="0" xfId="8" applyFont="1" applyFill="1" applyAlignment="1">
      <alignment horizontal="center" vertical="center"/>
    </xf>
    <xf numFmtId="4" fontId="22" fillId="5" borderId="0" xfId="8" applyNumberFormat="1" applyFont="1" applyFill="1" applyAlignment="1">
      <alignment horizontal="center" vertical="center"/>
    </xf>
    <xf numFmtId="3" fontId="21" fillId="5" borderId="0" xfId="307" applyNumberFormat="1" applyFont="1" applyFill="1" applyAlignment="1">
      <alignment horizontal="center"/>
    </xf>
    <xf numFmtId="0" fontId="37" fillId="5" borderId="0" xfId="6" applyNumberFormat="1" applyFont="1" applyFill="1" applyAlignment="1">
      <alignment vertical="center" textRotation="90"/>
    </xf>
    <xf numFmtId="4" fontId="34" fillId="5" borderId="0" xfId="6" applyFont="1" applyFill="1" applyAlignment="1">
      <alignment horizontal="center" vertical="center"/>
    </xf>
    <xf numFmtId="4" fontId="21" fillId="5" borderId="0" xfId="6" quotePrefix="1" applyFont="1" applyFill="1" applyAlignment="1">
      <alignment horizontal="center" vertical="center"/>
    </xf>
    <xf numFmtId="173" fontId="33" fillId="5" borderId="0" xfId="4" applyNumberFormat="1" applyFont="1" applyFill="1" applyAlignment="1">
      <alignment horizontal="center" vertical="center"/>
    </xf>
    <xf numFmtId="173" fontId="39" fillId="5" borderId="0" xfId="307" applyNumberFormat="1" applyFont="1" applyFill="1" applyAlignment="1">
      <alignment horizontal="center"/>
    </xf>
    <xf numFmtId="0" fontId="22" fillId="5" borderId="0" xfId="0" applyFont="1" applyFill="1" applyAlignment="1">
      <alignment horizontal="center" vertical="center"/>
    </xf>
    <xf numFmtId="4" fontId="113" fillId="5" borderId="0" xfId="6" quotePrefix="1" applyFont="1" applyFill="1" applyAlignment="1" applyProtection="1">
      <alignment horizontal="center" vertical="center"/>
      <protection locked="0"/>
    </xf>
    <xf numFmtId="3" fontId="114" fillId="5" borderId="0" xfId="0" applyNumberFormat="1" applyFont="1" applyFill="1" applyAlignment="1">
      <alignment horizontal="center" vertical="center"/>
    </xf>
    <xf numFmtId="173" fontId="113" fillId="5" borderId="0" xfId="0" quotePrefix="1" applyNumberFormat="1" applyFont="1" applyFill="1" applyAlignment="1">
      <alignment horizontal="center" vertical="center"/>
    </xf>
    <xf numFmtId="2" fontId="113" fillId="5" borderId="0" xfId="4" applyNumberFormat="1" applyFont="1" applyFill="1" applyAlignment="1">
      <alignment horizontal="center" vertical="center"/>
    </xf>
    <xf numFmtId="4" fontId="113" fillId="5" borderId="0" xfId="0" applyNumberFormat="1" applyFont="1" applyFill="1" applyAlignment="1">
      <alignment horizontal="center" vertical="center"/>
    </xf>
    <xf numFmtId="3" fontId="141" fillId="5" borderId="0" xfId="307" applyNumberFormat="1" applyFont="1" applyFill="1" applyAlignment="1">
      <alignment horizontal="center"/>
    </xf>
    <xf numFmtId="4" fontId="32" fillId="5" borderId="0" xfId="6" applyFont="1" applyFill="1" applyAlignment="1">
      <alignment horizontal="center" vertical="center"/>
    </xf>
    <xf numFmtId="4" fontId="22" fillId="5" borderId="0" xfId="6" quotePrefix="1" applyFont="1" applyFill="1" applyAlignment="1">
      <alignment horizontal="center" vertical="center"/>
    </xf>
    <xf numFmtId="2" fontId="21" fillId="5" borderId="0" xfId="6" applyNumberFormat="1" applyFont="1" applyFill="1" applyAlignment="1">
      <alignment horizontal="center" vertical="center"/>
    </xf>
    <xf numFmtId="2" fontId="45" fillId="5" borderId="0" xfId="6" applyNumberFormat="1" applyFont="1" applyFill="1" applyAlignment="1">
      <alignment horizontal="center" vertical="center"/>
    </xf>
    <xf numFmtId="4" fontId="22" fillId="5" borderId="0" xfId="6" applyFont="1" applyFill="1" applyAlignment="1">
      <alignment horizontal="center" vertical="center"/>
    </xf>
    <xf numFmtId="2" fontId="22" fillId="5" borderId="0" xfId="4" applyNumberFormat="1" applyFont="1" applyFill="1" applyAlignment="1">
      <alignment horizontal="center" vertical="center"/>
    </xf>
    <xf numFmtId="4" fontId="36" fillId="5" borderId="0" xfId="6" applyFont="1" applyFill="1" applyAlignment="1">
      <alignment horizontal="center" vertical="center"/>
    </xf>
    <xf numFmtId="4" fontId="44" fillId="5" borderId="0" xfId="6" applyFont="1" applyFill="1">
      <alignment vertical="center"/>
    </xf>
    <xf numFmtId="4" fontId="161" fillId="0" borderId="9" xfId="6" applyFont="1" applyBorder="1">
      <alignment vertical="center"/>
    </xf>
    <xf numFmtId="0" fontId="161" fillId="0" borderId="44" xfId="6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4" fontId="161" fillId="0" borderId="49" xfId="6" applyFont="1" applyBorder="1">
      <alignment vertical="center"/>
    </xf>
    <xf numFmtId="3" fontId="161" fillId="0" borderId="49" xfId="6" applyNumberFormat="1" applyFont="1" applyBorder="1" applyAlignment="1">
      <alignment horizontal="center" vertical="center"/>
    </xf>
    <xf numFmtId="173" fontId="161" fillId="5" borderId="49" xfId="4" applyNumberFormat="1" applyFont="1" applyFill="1" applyBorder="1" applyAlignment="1">
      <alignment horizontal="center" vertical="center"/>
    </xf>
    <xf numFmtId="4" fontId="21" fillId="0" borderId="49" xfId="6" applyFont="1" applyBorder="1" applyAlignment="1">
      <alignment horizontal="center" vertical="center"/>
    </xf>
    <xf numFmtId="2" fontId="31" fillId="0" borderId="49" xfId="0" applyNumberFormat="1" applyFont="1" applyBorder="1" applyAlignment="1">
      <alignment horizontal="center" vertical="center"/>
    </xf>
    <xf numFmtId="0" fontId="21" fillId="0" borderId="48" xfId="0" applyFont="1" applyBorder="1" applyAlignment="1">
      <alignment vertical="center"/>
    </xf>
    <xf numFmtId="173" fontId="22" fillId="5" borderId="0" xfId="8" applyNumberFormat="1" applyFont="1" applyFill="1" applyAlignment="1">
      <alignment horizontal="center" vertical="center"/>
    </xf>
    <xf numFmtId="4" fontId="22" fillId="5" borderId="0" xfId="8" applyNumberFormat="1" applyFont="1" applyFill="1" applyAlignment="1">
      <alignment horizontal="right" vertical="center"/>
    </xf>
    <xf numFmtId="176" fontId="22" fillId="5" borderId="0" xfId="8" applyNumberFormat="1" applyFont="1" applyFill="1" applyAlignment="1">
      <alignment horizontal="right" vertical="center"/>
    </xf>
    <xf numFmtId="4" fontId="22" fillId="5" borderId="0" xfId="8" applyNumberFormat="1" applyFont="1" applyFill="1" applyAlignment="1">
      <alignment horizontal="left" vertical="center"/>
    </xf>
    <xf numFmtId="4" fontId="22" fillId="5" borderId="9" xfId="8" applyNumberFormat="1" applyFont="1" applyFill="1" applyBorder="1" applyAlignment="1">
      <alignment horizontal="right" vertical="center"/>
    </xf>
    <xf numFmtId="173" fontId="22" fillId="5" borderId="15" xfId="8" applyNumberFormat="1" applyFont="1" applyFill="1" applyBorder="1" applyAlignment="1">
      <alignment horizontal="center" vertical="center"/>
    </xf>
    <xf numFmtId="4" fontId="22" fillId="5" borderId="15" xfId="8" applyNumberFormat="1" applyFont="1" applyFill="1" applyBorder="1" applyAlignment="1">
      <alignment horizontal="left" vertical="center"/>
    </xf>
    <xf numFmtId="4" fontId="22" fillId="0" borderId="77" xfId="8" applyNumberFormat="1" applyFont="1" applyBorder="1" applyAlignment="1">
      <alignment horizontal="center" vertical="center"/>
    </xf>
    <xf numFmtId="2" fontId="22" fillId="5" borderId="78" xfId="0" applyNumberFormat="1" applyFont="1" applyFill="1" applyBorder="1" applyAlignment="1">
      <alignment horizontal="right" vertical="center"/>
    </xf>
    <xf numFmtId="4" fontId="22" fillId="0" borderId="16" xfId="8" applyNumberFormat="1" applyFont="1" applyBorder="1" applyAlignment="1">
      <alignment horizontal="center" vertical="center"/>
    </xf>
    <xf numFmtId="4" fontId="22" fillId="0" borderId="79" xfId="8" applyNumberFormat="1" applyFont="1" applyBorder="1" applyAlignment="1">
      <alignment horizontal="left" vertical="center"/>
    </xf>
    <xf numFmtId="4" fontId="22" fillId="0" borderId="16" xfId="8" applyNumberFormat="1" applyFont="1" applyBorder="1" applyAlignment="1">
      <alignment horizontal="left" vertical="center"/>
    </xf>
    <xf numFmtId="2" fontId="31" fillId="5" borderId="78" xfId="0" applyNumberFormat="1" applyFont="1" applyFill="1" applyBorder="1" applyAlignment="1">
      <alignment vertical="center"/>
    </xf>
    <xf numFmtId="176" fontId="22" fillId="5" borderId="20" xfId="8" applyNumberFormat="1" applyFont="1" applyFill="1" applyBorder="1" applyAlignment="1">
      <alignment horizontal="right" vertical="center"/>
    </xf>
    <xf numFmtId="4" fontId="22" fillId="0" borderId="81" xfId="8" applyNumberFormat="1" applyFont="1" applyBorder="1" applyAlignment="1">
      <alignment horizontal="left" vertical="center"/>
    </xf>
    <xf numFmtId="2" fontId="31" fillId="5" borderId="74" xfId="0" applyNumberFormat="1" applyFont="1" applyFill="1" applyBorder="1" applyAlignment="1">
      <alignment vertical="center"/>
    </xf>
    <xf numFmtId="0" fontId="22" fillId="5" borderId="9" xfId="8" applyFont="1" applyFill="1" applyBorder="1" applyAlignment="1">
      <alignment vertical="center"/>
    </xf>
    <xf numFmtId="0" fontId="22" fillId="5" borderId="0" xfId="8" applyFont="1" applyFill="1" applyAlignment="1">
      <alignment vertical="center"/>
    </xf>
    <xf numFmtId="2" fontId="31" fillId="5" borderId="80" xfId="0" applyNumberFormat="1" applyFont="1" applyFill="1" applyBorder="1" applyAlignment="1">
      <alignment vertical="center"/>
    </xf>
    <xf numFmtId="0" fontId="22" fillId="5" borderId="20" xfId="8" applyFont="1" applyFill="1" applyBorder="1" applyAlignment="1">
      <alignment vertical="center"/>
    </xf>
    <xf numFmtId="4" fontId="161" fillId="5" borderId="17" xfId="6" applyFont="1" applyFill="1" applyBorder="1">
      <alignment vertical="center"/>
    </xf>
    <xf numFmtId="4" fontId="161" fillId="5" borderId="8" xfId="6" applyFont="1" applyFill="1" applyBorder="1">
      <alignment vertical="center"/>
    </xf>
    <xf numFmtId="4" fontId="161" fillId="5" borderId="17" xfId="6" applyFont="1" applyFill="1" applyBorder="1" applyAlignment="1" applyProtection="1">
      <alignment horizontal="left" vertical="center"/>
      <protection locked="0"/>
    </xf>
    <xf numFmtId="4" fontId="161" fillId="5" borderId="8" xfId="6" applyFont="1" applyFill="1" applyBorder="1" applyAlignment="1">
      <alignment horizontal="center" vertical="center"/>
    </xf>
    <xf numFmtId="4" fontId="160" fillId="5" borderId="17" xfId="6" applyFont="1" applyFill="1" applyBorder="1" applyAlignment="1" applyProtection="1">
      <alignment horizontal="left" vertical="center"/>
      <protection locked="0"/>
    </xf>
    <xf numFmtId="3" fontId="161" fillId="5" borderId="8" xfId="6" applyNumberFormat="1" applyFont="1" applyFill="1" applyBorder="1" applyAlignment="1">
      <alignment horizontal="center" vertical="top"/>
    </xf>
    <xf numFmtId="4" fontId="161" fillId="5" borderId="17" xfId="6" quotePrefix="1" applyFont="1" applyFill="1" applyBorder="1" applyAlignment="1">
      <alignment horizontal="left" vertical="top"/>
    </xf>
    <xf numFmtId="173" fontId="160" fillId="43" borderId="23" xfId="4" applyNumberFormat="1" applyFont="1" applyFill="1" applyBorder="1" applyAlignment="1">
      <alignment horizontal="center" vertical="center"/>
    </xf>
    <xf numFmtId="173" fontId="21" fillId="0" borderId="47" xfId="0" applyNumberFormat="1" applyFont="1" applyBorder="1" applyAlignment="1">
      <alignment horizontal="center" vertical="center"/>
    </xf>
    <xf numFmtId="173" fontId="21" fillId="0" borderId="47" xfId="307" applyNumberFormat="1" applyFont="1" applyBorder="1" applyAlignment="1">
      <alignment horizontal="center"/>
    </xf>
    <xf numFmtId="4" fontId="161" fillId="5" borderId="65" xfId="6" applyFont="1" applyFill="1" applyBorder="1">
      <alignment vertical="center"/>
    </xf>
    <xf numFmtId="4" fontId="161" fillId="5" borderId="68" xfId="6" applyFont="1" applyFill="1" applyBorder="1">
      <alignment vertical="center"/>
    </xf>
    <xf numFmtId="4" fontId="161" fillId="5" borderId="61" xfId="6" applyFont="1" applyFill="1" applyBorder="1">
      <alignment vertical="center"/>
    </xf>
    <xf numFmtId="4" fontId="161" fillId="5" borderId="21" xfId="6" applyFont="1" applyFill="1" applyBorder="1">
      <alignment vertical="center"/>
    </xf>
    <xf numFmtId="173" fontId="160" fillId="2" borderId="23" xfId="4" applyNumberFormat="1" applyFont="1" applyFill="1" applyBorder="1" applyAlignment="1">
      <alignment horizontal="center" vertical="center"/>
    </xf>
    <xf numFmtId="4" fontId="161" fillId="0" borderId="19" xfId="6" applyFont="1" applyBorder="1" applyAlignment="1">
      <alignment vertical="top" wrapText="1"/>
    </xf>
    <xf numFmtId="4" fontId="161" fillId="0" borderId="9" xfId="6" applyFont="1" applyBorder="1" applyAlignment="1">
      <alignment vertical="top"/>
    </xf>
    <xf numFmtId="4" fontId="38" fillId="0" borderId="19" xfId="6" applyFont="1" applyBorder="1" applyAlignment="1">
      <alignment vertical="top" wrapText="1"/>
    </xf>
    <xf numFmtId="4" fontId="161" fillId="0" borderId="51" xfId="6" quotePrefix="1" applyFont="1" applyBorder="1" applyAlignment="1">
      <alignment horizontal="left" vertical="top"/>
    </xf>
    <xf numFmtId="3" fontId="161" fillId="0" borderId="49" xfId="6" applyNumberFormat="1" applyFont="1" applyBorder="1" applyAlignment="1">
      <alignment horizontal="center" vertical="top"/>
    </xf>
    <xf numFmtId="3" fontId="161" fillId="5" borderId="68" xfId="6" applyNumberFormat="1" applyFont="1" applyFill="1" applyBorder="1" applyAlignment="1">
      <alignment horizontal="center" vertical="top"/>
    </xf>
    <xf numFmtId="3" fontId="161" fillId="5" borderId="21" xfId="6" applyNumberFormat="1" applyFont="1" applyFill="1" applyBorder="1" applyAlignment="1">
      <alignment horizontal="center" vertical="top"/>
    </xf>
    <xf numFmtId="3" fontId="161" fillId="0" borderId="9" xfId="6" applyNumberFormat="1" applyFont="1" applyBorder="1" applyAlignment="1">
      <alignment horizontal="center" vertical="top"/>
    </xf>
    <xf numFmtId="4" fontId="161" fillId="5" borderId="65" xfId="6" quotePrefix="1" applyFont="1" applyFill="1" applyBorder="1" applyAlignment="1">
      <alignment horizontal="left" vertical="top"/>
    </xf>
    <xf numFmtId="4" fontId="161" fillId="5" borderId="61" xfId="6" quotePrefix="1" applyFont="1" applyFill="1" applyBorder="1" applyAlignment="1">
      <alignment horizontal="left" vertical="top"/>
    </xf>
    <xf numFmtId="0" fontId="161" fillId="5" borderId="8" xfId="0" applyFont="1" applyFill="1" applyBorder="1" applyAlignment="1">
      <alignment vertical="center"/>
    </xf>
    <xf numFmtId="0" fontId="21" fillId="5" borderId="17" xfId="0" quotePrefix="1" applyFont="1" applyFill="1" applyBorder="1" applyAlignment="1" applyProtection="1">
      <alignment horizontal="left" vertical="center"/>
      <protection locked="0"/>
    </xf>
    <xf numFmtId="173" fontId="173" fillId="2" borderId="53" xfId="4" applyNumberFormat="1" applyFont="1" applyFill="1" applyBorder="1" applyAlignment="1">
      <alignment horizontal="center" vertical="center"/>
    </xf>
    <xf numFmtId="0" fontId="161" fillId="5" borderId="65" xfId="0" quotePrefix="1" applyFont="1" applyFill="1" applyBorder="1" applyAlignment="1">
      <alignment horizontal="left" vertical="center"/>
    </xf>
    <xf numFmtId="0" fontId="161" fillId="5" borderId="68" xfId="0" applyFont="1" applyFill="1" applyBorder="1" applyAlignment="1">
      <alignment vertical="center"/>
    </xf>
    <xf numFmtId="173" fontId="161" fillId="5" borderId="83" xfId="4" applyNumberFormat="1" applyFont="1" applyFill="1" applyBorder="1" applyAlignment="1">
      <alignment vertical="center"/>
    </xf>
    <xf numFmtId="0" fontId="21" fillId="5" borderId="21" xfId="0" quotePrefix="1" applyFont="1" applyFill="1" applyBorder="1" applyAlignment="1" applyProtection="1">
      <alignment vertical="center"/>
      <protection locked="0"/>
    </xf>
    <xf numFmtId="176" fontId="22" fillId="5" borderId="61" xfId="0" applyNumberFormat="1" applyFont="1" applyFill="1" applyBorder="1" applyAlignment="1" applyProtection="1">
      <alignment vertical="center"/>
      <protection locked="0"/>
    </xf>
    <xf numFmtId="176" fontId="22" fillId="5" borderId="72" xfId="0" applyNumberFormat="1" applyFont="1" applyFill="1" applyBorder="1" applyAlignment="1" applyProtection="1">
      <alignment vertical="center"/>
      <protection locked="0"/>
    </xf>
    <xf numFmtId="176" fontId="22" fillId="5" borderId="85" xfId="0" applyNumberFormat="1" applyFont="1" applyFill="1" applyBorder="1" applyAlignment="1" applyProtection="1">
      <alignment vertical="center"/>
      <protection locked="0"/>
    </xf>
    <xf numFmtId="0" fontId="37" fillId="0" borderId="23" xfId="0" applyFont="1" applyBorder="1" applyAlignment="1">
      <alignment horizontal="center" vertical="center"/>
    </xf>
    <xf numFmtId="4" fontId="21" fillId="5" borderId="65" xfId="6" quotePrefix="1" applyFont="1" applyFill="1" applyBorder="1" applyAlignment="1">
      <alignment horizontal="left" vertical="top"/>
    </xf>
    <xf numFmtId="173" fontId="174" fillId="5" borderId="0" xfId="4" applyNumberFormat="1" applyFont="1" applyFill="1" applyAlignment="1">
      <alignment horizontal="center" vertical="center"/>
    </xf>
    <xf numFmtId="4" fontId="174" fillId="0" borderId="0" xfId="6" applyFont="1">
      <alignment vertical="center"/>
    </xf>
    <xf numFmtId="173" fontId="172" fillId="5" borderId="0" xfId="4" applyNumberFormat="1" applyFont="1" applyFill="1" applyAlignment="1">
      <alignment horizontal="center" vertical="center"/>
    </xf>
    <xf numFmtId="4" fontId="174" fillId="0" borderId="49" xfId="6" applyFont="1" applyBorder="1">
      <alignment vertical="center"/>
    </xf>
    <xf numFmtId="173" fontId="174" fillId="5" borderId="49" xfId="4" applyNumberFormat="1" applyFont="1" applyFill="1" applyBorder="1" applyAlignment="1">
      <alignment horizontal="center" vertical="center"/>
    </xf>
    <xf numFmtId="4" fontId="174" fillId="0" borderId="8" xfId="6" applyFont="1" applyBorder="1">
      <alignment vertical="center"/>
    </xf>
    <xf numFmtId="3" fontId="174" fillId="0" borderId="8" xfId="6" applyNumberFormat="1" applyFont="1" applyBorder="1" applyAlignment="1">
      <alignment horizontal="center" vertical="center"/>
    </xf>
    <xf numFmtId="173" fontId="174" fillId="5" borderId="8" xfId="4" applyNumberFormat="1" applyFont="1" applyFill="1" applyBorder="1" applyAlignment="1">
      <alignment horizontal="center" vertical="center"/>
    </xf>
    <xf numFmtId="4" fontId="147" fillId="0" borderId="17" xfId="6" applyFont="1" applyBorder="1" applyAlignment="1">
      <alignment horizontal="center" vertical="center"/>
    </xf>
    <xf numFmtId="173" fontId="110" fillId="5" borderId="8" xfId="4" applyNumberFormat="1" applyFont="1" applyFill="1" applyBorder="1" applyAlignment="1">
      <alignment horizontal="center" vertical="center"/>
    </xf>
    <xf numFmtId="0" fontId="21" fillId="49" borderId="51" xfId="6" quotePrefix="1" applyNumberFormat="1" applyFont="1" applyFill="1" applyBorder="1" applyAlignment="1">
      <alignment horizontal="center" vertical="center"/>
    </xf>
    <xf numFmtId="173" fontId="161" fillId="49" borderId="53" xfId="4" applyNumberFormat="1" applyFont="1" applyFill="1" applyBorder="1" applyAlignment="1">
      <alignment horizontal="center" vertical="center"/>
    </xf>
    <xf numFmtId="0" fontId="21" fillId="49" borderId="17" xfId="6" quotePrefix="1" applyNumberFormat="1" applyFont="1" applyFill="1" applyBorder="1" applyAlignment="1">
      <alignment horizontal="center" vertical="center"/>
    </xf>
    <xf numFmtId="0" fontId="37" fillId="49" borderId="23" xfId="0" applyFont="1" applyFill="1" applyBorder="1" applyAlignment="1">
      <alignment horizontal="center" vertical="center"/>
    </xf>
    <xf numFmtId="173" fontId="161" fillId="2" borderId="0" xfId="4" applyNumberFormat="1" applyFont="1" applyFill="1" applyAlignment="1">
      <alignment horizontal="center" vertical="center"/>
    </xf>
    <xf numFmtId="4" fontId="21" fillId="2" borderId="0" xfId="6" applyFont="1" applyFill="1" applyAlignment="1">
      <alignment horizontal="right" vertical="center"/>
    </xf>
    <xf numFmtId="0" fontId="22" fillId="2" borderId="0" xfId="8" applyFont="1" applyFill="1" applyAlignment="1">
      <alignment horizontal="left" vertical="center"/>
    </xf>
    <xf numFmtId="4" fontId="21" fillId="2" borderId="0" xfId="6" applyFont="1" applyFill="1" applyAlignment="1">
      <alignment horizontal="center" vertical="center"/>
    </xf>
    <xf numFmtId="2" fontId="31" fillId="2" borderId="0" xfId="0" applyNumberFormat="1" applyFont="1" applyFill="1" applyAlignment="1">
      <alignment horizontal="center" vertical="center"/>
    </xf>
    <xf numFmtId="0" fontId="22" fillId="2" borderId="0" xfId="8" applyFont="1" applyFill="1" applyAlignment="1">
      <alignment horizontal="center" vertical="center"/>
    </xf>
    <xf numFmtId="2" fontId="21" fillId="5" borderId="76" xfId="0" applyNumberFormat="1" applyFont="1" applyFill="1" applyBorder="1" applyAlignment="1">
      <alignment horizontal="right" vertical="center"/>
    </xf>
    <xf numFmtId="2" fontId="21" fillId="5" borderId="78" xfId="0" applyNumberFormat="1" applyFont="1" applyFill="1" applyBorder="1" applyAlignment="1">
      <alignment horizontal="right" vertical="center"/>
    </xf>
    <xf numFmtId="0" fontId="21" fillId="5" borderId="0" xfId="7" quotePrefix="1" applyFont="1" applyFill="1" applyAlignment="1">
      <alignment horizontal="left" vertical="center"/>
    </xf>
    <xf numFmtId="0" fontId="21" fillId="5" borderId="49" xfId="7" applyFont="1" applyFill="1" applyBorder="1" applyAlignment="1">
      <alignment horizontal="left" vertical="center"/>
    </xf>
    <xf numFmtId="4" fontId="145" fillId="0" borderId="78" xfId="6" applyFont="1" applyBorder="1">
      <alignment vertical="center"/>
    </xf>
    <xf numFmtId="4" fontId="145" fillId="0" borderId="16" xfId="6" applyFont="1" applyBorder="1">
      <alignment vertical="center"/>
    </xf>
    <xf numFmtId="0" fontId="21" fillId="0" borderId="74" xfId="7" applyFont="1" applyBorder="1" applyAlignment="1">
      <alignment horizontal="center" vertical="center"/>
    </xf>
    <xf numFmtId="0" fontId="22" fillId="0" borderId="79" xfId="7" applyFont="1" applyBorder="1" applyAlignment="1">
      <alignment vertical="center"/>
    </xf>
    <xf numFmtId="0" fontId="21" fillId="0" borderId="78" xfId="7" applyFont="1" applyBorder="1" applyAlignment="1">
      <alignment horizontal="center" vertical="center"/>
    </xf>
    <xf numFmtId="0" fontId="22" fillId="0" borderId="16" xfId="4" applyFont="1" applyBorder="1" applyAlignment="1">
      <alignment horizontal="left" vertical="center"/>
    </xf>
    <xf numFmtId="0" fontId="143" fillId="5" borderId="16" xfId="4" applyFont="1" applyFill="1" applyBorder="1" applyAlignment="1">
      <alignment horizontal="center" vertical="center"/>
    </xf>
    <xf numFmtId="0" fontId="149" fillId="5" borderId="16" xfId="4" applyFont="1" applyFill="1" applyBorder="1" applyAlignment="1">
      <alignment horizontal="center" vertical="center"/>
    </xf>
    <xf numFmtId="173" fontId="149" fillId="5" borderId="16" xfId="4" applyNumberFormat="1" applyFont="1" applyFill="1" applyBorder="1" applyAlignment="1">
      <alignment horizontal="center" vertical="center"/>
    </xf>
    <xf numFmtId="0" fontId="21" fillId="5" borderId="78" xfId="7" applyFont="1" applyFill="1" applyBorder="1" applyAlignment="1">
      <alignment horizontal="center" vertical="center"/>
    </xf>
    <xf numFmtId="0" fontId="42" fillId="5" borderId="16" xfId="4" applyFont="1" applyFill="1" applyBorder="1" applyAlignment="1">
      <alignment horizontal="center" vertical="center"/>
    </xf>
    <xf numFmtId="0" fontId="22" fillId="5" borderId="16" xfId="7" applyFont="1" applyFill="1" applyBorder="1" applyAlignment="1">
      <alignment vertical="center"/>
    </xf>
    <xf numFmtId="0" fontId="21" fillId="5" borderId="16" xfId="7" applyFont="1" applyFill="1" applyBorder="1" applyAlignment="1">
      <alignment vertical="center"/>
    </xf>
    <xf numFmtId="0" fontId="22" fillId="5" borderId="16" xfId="4" applyFont="1" applyFill="1" applyBorder="1" applyAlignment="1">
      <alignment horizontal="left" vertical="center"/>
    </xf>
    <xf numFmtId="0" fontId="22" fillId="0" borderId="16" xfId="4" applyFont="1" applyBorder="1" applyAlignment="1">
      <alignment horizontal="center" vertical="center"/>
    </xf>
    <xf numFmtId="0" fontId="21" fillId="0" borderId="86" xfId="7" applyFont="1" applyBorder="1" applyAlignment="1">
      <alignment horizontal="center" vertical="center"/>
    </xf>
    <xf numFmtId="0" fontId="22" fillId="0" borderId="87" xfId="7" applyFont="1" applyBorder="1" applyAlignment="1">
      <alignment horizontal="center" vertical="center"/>
    </xf>
    <xf numFmtId="0" fontId="22" fillId="0" borderId="16" xfId="7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89" xfId="0" applyFont="1" applyBorder="1" applyAlignment="1">
      <alignment horizontal="center" vertical="center"/>
    </xf>
    <xf numFmtId="0" fontId="22" fillId="0" borderId="90" xfId="0" applyFont="1" applyBorder="1" applyAlignment="1">
      <alignment horizontal="center" vertical="center"/>
    </xf>
    <xf numFmtId="4" fontId="22" fillId="5" borderId="90" xfId="6" applyFont="1" applyFill="1" applyBorder="1" applyAlignment="1">
      <alignment vertical="center" textRotation="90" wrapText="1"/>
    </xf>
    <xf numFmtId="4" fontId="21" fillId="5" borderId="90" xfId="6" applyFont="1" applyFill="1" applyBorder="1" applyAlignment="1">
      <alignment vertical="center" textRotation="90" wrapText="1"/>
    </xf>
    <xf numFmtId="4" fontId="21" fillId="0" borderId="18" xfId="6" applyFont="1" applyBorder="1" applyAlignment="1">
      <alignment vertical="center" textRotation="90" wrapText="1"/>
    </xf>
    <xf numFmtId="4" fontId="21" fillId="0" borderId="74" xfId="6" applyFont="1" applyBorder="1" applyAlignment="1">
      <alignment vertical="center" textRotation="90" wrapText="1"/>
    </xf>
    <xf numFmtId="4" fontId="21" fillId="0" borderId="86" xfId="6" applyFont="1" applyBorder="1" applyAlignment="1">
      <alignment vertical="center" textRotation="90" wrapText="1"/>
    </xf>
    <xf numFmtId="4" fontId="21" fillId="0" borderId="90" xfId="6" applyFont="1" applyBorder="1" applyAlignment="1">
      <alignment vertical="center" textRotation="90" wrapText="1"/>
    </xf>
    <xf numFmtId="4" fontId="161" fillId="0" borderId="74" xfId="6" applyFont="1" applyBorder="1" applyAlignment="1">
      <alignment vertical="center" textRotation="90" wrapText="1"/>
    </xf>
    <xf numFmtId="4" fontId="161" fillId="0" borderId="86" xfId="6" applyFont="1" applyBorder="1" applyAlignment="1">
      <alignment horizontal="center" vertical="center" wrapText="1"/>
    </xf>
    <xf numFmtId="4" fontId="161" fillId="0" borderId="18" xfId="6" applyFont="1" applyBorder="1" applyAlignment="1">
      <alignment vertical="center" textRotation="90" wrapText="1"/>
    </xf>
    <xf numFmtId="4" fontId="161" fillId="0" borderId="18" xfId="6" applyFont="1" applyBorder="1" applyAlignment="1">
      <alignment horizontal="center" vertical="center" wrapText="1"/>
    </xf>
    <xf numFmtId="4" fontId="161" fillId="0" borderId="86" xfId="6" applyFont="1" applyBorder="1" applyAlignment="1">
      <alignment vertical="center" textRotation="90" wrapText="1"/>
    </xf>
    <xf numFmtId="0" fontId="161" fillId="0" borderId="91" xfId="6" applyNumberFormat="1" applyFont="1" applyBorder="1" applyAlignment="1">
      <alignment horizontal="center" vertical="center"/>
    </xf>
    <xf numFmtId="4" fontId="161" fillId="0" borderId="61" xfId="6" applyFont="1" applyBorder="1">
      <alignment vertical="center"/>
    </xf>
    <xf numFmtId="241" fontId="21" fillId="0" borderId="42" xfId="0" applyNumberFormat="1" applyFont="1" applyBorder="1" applyAlignment="1">
      <alignment horizontal="center" vertical="center"/>
    </xf>
    <xf numFmtId="4" fontId="21" fillId="0" borderId="72" xfId="6" applyFont="1" applyBorder="1" applyAlignment="1">
      <alignment horizontal="center" vertical="center"/>
    </xf>
    <xf numFmtId="2" fontId="31" fillId="0" borderId="61" xfId="0" applyNumberFormat="1" applyFont="1" applyBorder="1" applyAlignment="1">
      <alignment horizontal="center" vertical="center"/>
    </xf>
    <xf numFmtId="0" fontId="22" fillId="0" borderId="21" xfId="8" applyFont="1" applyBorder="1" applyAlignment="1">
      <alignment horizontal="center" vertical="center"/>
    </xf>
    <xf numFmtId="4" fontId="22" fillId="0" borderId="21" xfId="8" applyNumberFormat="1" applyFont="1" applyBorder="1" applyAlignment="1">
      <alignment horizontal="center" vertical="center"/>
    </xf>
    <xf numFmtId="4" fontId="22" fillId="0" borderId="42" xfId="8" applyNumberFormat="1" applyFont="1" applyBorder="1" applyAlignment="1">
      <alignment horizontal="center" vertical="center"/>
    </xf>
    <xf numFmtId="0" fontId="21" fillId="0" borderId="73" xfId="0" applyFont="1" applyBorder="1" applyAlignment="1">
      <alignment vertical="center"/>
    </xf>
    <xf numFmtId="4" fontId="22" fillId="0" borderId="90" xfId="6" applyFont="1" applyBorder="1" applyAlignment="1">
      <alignment horizontal="center" vertical="center" wrapText="1"/>
    </xf>
    <xf numFmtId="4" fontId="160" fillId="0" borderId="8" xfId="6" applyFont="1" applyBorder="1" applyAlignment="1">
      <alignment horizontal="center" vertical="center"/>
    </xf>
    <xf numFmtId="173" fontId="161" fillId="0" borderId="4" xfId="4" applyNumberFormat="1" applyFont="1" applyBorder="1" applyAlignment="1">
      <alignment horizontal="center" vertical="center"/>
    </xf>
    <xf numFmtId="0" fontId="37" fillId="0" borderId="47" xfId="0" applyFont="1" applyBorder="1" applyAlignment="1">
      <alignment horizontal="center" vertical="center"/>
    </xf>
    <xf numFmtId="0" fontId="161" fillId="0" borderId="17" xfId="6" quotePrefix="1" applyNumberFormat="1" applyFont="1" applyBorder="1" applyAlignment="1">
      <alignment horizontal="left" vertical="center"/>
    </xf>
    <xf numFmtId="4" fontId="21" fillId="0" borderId="4" xfId="5" applyFont="1" applyBorder="1" applyAlignment="1">
      <alignment horizontal="center"/>
    </xf>
    <xf numFmtId="173" fontId="113" fillId="0" borderId="4" xfId="5" applyNumberFormat="1" applyFont="1" applyBorder="1" applyAlignment="1">
      <alignment horizontal="center"/>
    </xf>
    <xf numFmtId="173" fontId="157" fillId="0" borderId="53" xfId="5" applyNumberFormat="1" applyFont="1" applyBorder="1" applyAlignment="1">
      <alignment horizontal="center"/>
    </xf>
    <xf numFmtId="4" fontId="21" fillId="0" borderId="6" xfId="5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2" fontId="176" fillId="5" borderId="0" xfId="0" applyNumberFormat="1" applyFont="1" applyFill="1" applyAlignment="1">
      <alignment horizontal="center" vertical="center"/>
    </xf>
    <xf numFmtId="176" fontId="177" fillId="5" borderId="0" xfId="7" applyNumberFormat="1" applyFont="1" applyFill="1" applyAlignment="1">
      <alignment horizontal="center" vertical="center"/>
    </xf>
    <xf numFmtId="4" fontId="140" fillId="5" borderId="4" xfId="5" applyFont="1" applyFill="1" applyBorder="1" applyAlignment="1">
      <alignment horizontal="center"/>
    </xf>
    <xf numFmtId="173" fontId="140" fillId="5" borderId="4" xfId="5" applyNumberFormat="1" applyFont="1" applyFill="1" applyBorder="1" applyAlignment="1">
      <alignment horizontal="center"/>
    </xf>
    <xf numFmtId="173" fontId="115" fillId="0" borderId="53" xfId="5" applyNumberFormat="1" applyFont="1" applyBorder="1" applyAlignment="1">
      <alignment horizontal="center"/>
    </xf>
    <xf numFmtId="4" fontId="140" fillId="5" borderId="6" xfId="5" applyFont="1" applyFill="1" applyBorder="1" applyAlignment="1">
      <alignment horizontal="center" vertical="center"/>
    </xf>
    <xf numFmtId="4" fontId="140" fillId="5" borderId="4" xfId="5" applyFont="1" applyFill="1" applyBorder="1" applyAlignment="1">
      <alignment horizontal="center" vertical="center"/>
    </xf>
    <xf numFmtId="182" fontId="140" fillId="5" borderId="4" xfId="5" applyNumberFormat="1" applyFont="1" applyFill="1" applyBorder="1" applyAlignment="1">
      <alignment horizontal="center"/>
    </xf>
    <xf numFmtId="2" fontId="31" fillId="5" borderId="53" xfId="5" applyNumberFormat="1" applyFont="1" applyFill="1" applyBorder="1" applyAlignment="1">
      <alignment horizontal="center"/>
    </xf>
    <xf numFmtId="2" fontId="140" fillId="5" borderId="4" xfId="5" applyNumberFormat="1" applyFont="1" applyFill="1" applyBorder="1" applyAlignment="1">
      <alignment horizontal="center" vertical="center"/>
    </xf>
    <xf numFmtId="176" fontId="115" fillId="5" borderId="53" xfId="5" applyNumberFormat="1" applyFont="1" applyFill="1" applyBorder="1" applyAlignment="1">
      <alignment horizontal="center"/>
    </xf>
    <xf numFmtId="173" fontId="140" fillId="5" borderId="4" xfId="5" applyNumberFormat="1" applyFont="1" applyFill="1" applyBorder="1" applyAlignment="1">
      <alignment horizontal="center" vertical="center"/>
    </xf>
    <xf numFmtId="2" fontId="140" fillId="5" borderId="4" xfId="5" applyNumberFormat="1" applyFont="1" applyFill="1" applyBorder="1" applyAlignment="1">
      <alignment horizontal="center"/>
    </xf>
    <xf numFmtId="176" fontId="140" fillId="5" borderId="4" xfId="5" applyNumberFormat="1" applyFont="1" applyFill="1" applyBorder="1" applyAlignment="1">
      <alignment horizontal="center"/>
    </xf>
    <xf numFmtId="173" fontId="115" fillId="5" borderId="53" xfId="5" applyNumberFormat="1" applyFont="1" applyFill="1" applyBorder="1" applyAlignment="1">
      <alignment horizontal="center"/>
    </xf>
    <xf numFmtId="176" fontId="140" fillId="5" borderId="4" xfId="5" applyNumberFormat="1" applyFont="1" applyFill="1" applyBorder="1" applyAlignment="1">
      <alignment horizontal="center" vertical="center"/>
    </xf>
    <xf numFmtId="0" fontId="178" fillId="2" borderId="0" xfId="5" applyNumberFormat="1" applyFont="1" applyFill="1" applyAlignment="1"/>
    <xf numFmtId="0" fontId="179" fillId="2" borderId="0" xfId="5" applyNumberFormat="1" applyFont="1" applyFill="1" applyAlignment="1"/>
    <xf numFmtId="1" fontId="20" fillId="5" borderId="23" xfId="2" applyNumberFormat="1" applyFont="1" applyFill="1" applyBorder="1"/>
    <xf numFmtId="1" fontId="20" fillId="0" borderId="23" xfId="2" applyNumberFormat="1" applyFont="1" applyBorder="1"/>
    <xf numFmtId="1" fontId="181" fillId="5" borderId="49" xfId="2" applyNumberFormat="1" applyFont="1" applyFill="1" applyBorder="1" applyAlignment="1">
      <alignment horizontal="right"/>
    </xf>
    <xf numFmtId="173" fontId="181" fillId="5" borderId="4" xfId="0" applyNumberFormat="1" applyFont="1" applyFill="1" applyBorder="1" applyAlignment="1">
      <alignment horizontal="right" vertical="center"/>
    </xf>
    <xf numFmtId="173" fontId="182" fillId="5" borderId="4" xfId="2" applyNumberFormat="1" applyFont="1" applyFill="1" applyBorder="1"/>
    <xf numFmtId="1" fontId="181" fillId="5" borderId="49" xfId="2" applyNumberFormat="1" applyFont="1" applyFill="1" applyBorder="1"/>
    <xf numFmtId="1" fontId="10" fillId="5" borderId="49" xfId="2" applyNumberFormat="1" applyFill="1" applyBorder="1"/>
    <xf numFmtId="173" fontId="23" fillId="47" borderId="4" xfId="2" applyNumberFormat="1" applyFont="1" applyFill="1" applyBorder="1"/>
    <xf numFmtId="1" fontId="10" fillId="5" borderId="49" xfId="2" applyNumberFormat="1" applyFill="1" applyBorder="1" applyAlignment="1">
      <alignment horizontal="right"/>
    </xf>
    <xf numFmtId="1" fontId="183" fillId="5" borderId="0" xfId="0" applyNumberFormat="1" applyFont="1" applyFill="1" applyAlignment="1">
      <alignment horizontal="center" vertical="center"/>
    </xf>
    <xf numFmtId="1" fontId="147" fillId="5" borderId="0" xfId="7" applyNumberFormat="1" applyFont="1" applyFill="1" applyAlignment="1">
      <alignment horizontal="center" vertical="center"/>
    </xf>
    <xf numFmtId="176" fontId="149" fillId="5" borderId="0" xfId="7" quotePrefix="1" applyNumberFormat="1" applyFont="1" applyFill="1" applyAlignment="1">
      <alignment horizontal="center" vertical="center"/>
    </xf>
    <xf numFmtId="0" fontId="149" fillId="5" borderId="0" xfId="4" applyFont="1" applyFill="1" applyAlignment="1">
      <alignment horizontal="center" vertical="center"/>
    </xf>
    <xf numFmtId="0" fontId="149" fillId="5" borderId="0" xfId="0" applyFont="1" applyFill="1" applyAlignment="1">
      <alignment horizontal="center" vertical="center"/>
    </xf>
    <xf numFmtId="0" fontId="37" fillId="46" borderId="23" xfId="0" applyFont="1" applyFill="1" applyBorder="1" applyAlignment="1">
      <alignment horizontal="center" vertical="center"/>
    </xf>
    <xf numFmtId="4" fontId="161" fillId="5" borderId="44" xfId="6" applyFont="1" applyFill="1" applyBorder="1">
      <alignment vertical="center"/>
    </xf>
    <xf numFmtId="173" fontId="161" fillId="5" borderId="7" xfId="4" applyNumberFormat="1" applyFont="1" applyFill="1" applyBorder="1" applyAlignment="1">
      <alignment horizontal="center" vertical="center"/>
    </xf>
    <xf numFmtId="173" fontId="147" fillId="5" borderId="44" xfId="4" applyNumberFormat="1" applyFont="1" applyFill="1" applyBorder="1" applyAlignment="1">
      <alignment horizontal="center" vertical="center"/>
    </xf>
    <xf numFmtId="4" fontId="37" fillId="5" borderId="78" xfId="6" applyFont="1" applyFill="1" applyBorder="1" applyAlignment="1">
      <alignment horizontal="center" vertical="center" textRotation="90" wrapText="1"/>
    </xf>
    <xf numFmtId="4" fontId="21" fillId="5" borderId="86" xfId="6" applyFont="1" applyFill="1" applyBorder="1" applyAlignment="1">
      <alignment vertical="center" textRotation="90" wrapText="1"/>
    </xf>
    <xf numFmtId="4" fontId="161" fillId="5" borderId="51" xfId="6" applyFont="1" applyFill="1" applyBorder="1">
      <alignment vertical="center"/>
    </xf>
    <xf numFmtId="4" fontId="161" fillId="5" borderId="49" xfId="6" applyFont="1" applyFill="1" applyBorder="1">
      <alignment vertical="center"/>
    </xf>
    <xf numFmtId="4" fontId="37" fillId="5" borderId="18" xfId="6" applyFont="1" applyFill="1" applyBorder="1" applyAlignment="1">
      <alignment horizontal="center" vertical="center" textRotation="90" wrapText="1"/>
    </xf>
    <xf numFmtId="173" fontId="147" fillId="5" borderId="17" xfId="4" applyNumberFormat="1" applyFont="1" applyFill="1" applyBorder="1" applyAlignment="1">
      <alignment horizontal="center" vertical="center"/>
    </xf>
    <xf numFmtId="4" fontId="184" fillId="0" borderId="17" xfId="6" applyFont="1" applyBorder="1">
      <alignment vertical="center"/>
    </xf>
    <xf numFmtId="4" fontId="147" fillId="5" borderId="8" xfId="6" applyFont="1" applyFill="1" applyBorder="1">
      <alignment vertical="center"/>
    </xf>
    <xf numFmtId="0" fontId="147" fillId="0" borderId="17" xfId="6" quotePrefix="1" applyNumberFormat="1" applyFont="1" applyBorder="1" applyAlignment="1">
      <alignment horizontal="left" vertical="center"/>
    </xf>
    <xf numFmtId="173" fontId="147" fillId="5" borderId="7" xfId="4" applyNumberFormat="1" applyFont="1" applyFill="1" applyBorder="1" applyAlignment="1">
      <alignment horizontal="center" vertical="center"/>
    </xf>
    <xf numFmtId="4" fontId="33" fillId="5" borderId="90" xfId="6" applyFont="1" applyFill="1" applyBorder="1" applyAlignment="1">
      <alignment horizontal="center" vertical="center" wrapText="1"/>
    </xf>
    <xf numFmtId="4" fontId="33" fillId="5" borderId="8" xfId="6" applyFont="1" applyFill="1" applyBorder="1" applyAlignment="1">
      <alignment horizontal="center" vertical="center"/>
    </xf>
    <xf numFmtId="0" fontId="161" fillId="0" borderId="51" xfId="6" quotePrefix="1" applyNumberFormat="1" applyFont="1" applyBorder="1" applyAlignment="1">
      <alignment horizontal="center" vertical="center"/>
    </xf>
    <xf numFmtId="0" fontId="161" fillId="0" borderId="61" xfId="6" quotePrefix="1" applyNumberFormat="1" applyFont="1" applyBorder="1" applyAlignment="1">
      <alignment horizontal="center" vertical="center"/>
    </xf>
    <xf numFmtId="0" fontId="161" fillId="0" borderId="19" xfId="6" quotePrefix="1" applyNumberFormat="1" applyFont="1" applyBorder="1" applyAlignment="1">
      <alignment horizontal="center" vertical="center"/>
    </xf>
    <xf numFmtId="0" fontId="161" fillId="0" borderId="65" xfId="6" quotePrefix="1" applyNumberFormat="1" applyFont="1" applyBorder="1" applyAlignment="1">
      <alignment horizontal="center" vertical="center"/>
    </xf>
    <xf numFmtId="173" fontId="161" fillId="5" borderId="69" xfId="4" applyNumberFormat="1" applyFont="1" applyFill="1" applyBorder="1" applyAlignment="1">
      <alignment horizontal="center" vertical="center"/>
    </xf>
    <xf numFmtId="173" fontId="161" fillId="5" borderId="70" xfId="4" applyNumberFormat="1" applyFont="1" applyFill="1" applyBorder="1" applyAlignment="1">
      <alignment horizontal="center" vertical="center"/>
    </xf>
    <xf numFmtId="173" fontId="161" fillId="5" borderId="73" xfId="4" applyNumberFormat="1" applyFont="1" applyFill="1" applyBorder="1" applyAlignment="1">
      <alignment horizontal="center" vertical="center"/>
    </xf>
    <xf numFmtId="4" fontId="21" fillId="49" borderId="4" xfId="5" applyFont="1" applyFill="1" applyBorder="1" applyAlignment="1">
      <alignment horizontal="center"/>
    </xf>
    <xf numFmtId="176" fontId="113" fillId="49" borderId="4" xfId="5" applyNumberFormat="1" applyFont="1" applyFill="1" applyBorder="1" applyAlignment="1">
      <alignment horizontal="center" vertical="center"/>
    </xf>
    <xf numFmtId="176" fontId="37" fillId="49" borderId="53" xfId="5" applyNumberFormat="1" applyFont="1" applyFill="1" applyBorder="1" applyAlignment="1">
      <alignment horizontal="center"/>
    </xf>
    <xf numFmtId="173" fontId="113" fillId="49" borderId="4" xfId="5" applyNumberFormat="1" applyFont="1" applyFill="1" applyBorder="1" applyAlignment="1">
      <alignment horizontal="center"/>
    </xf>
    <xf numFmtId="173" fontId="157" fillId="49" borderId="53" xfId="5" applyNumberFormat="1" applyFont="1" applyFill="1" applyBorder="1" applyAlignment="1">
      <alignment horizontal="center"/>
    </xf>
    <xf numFmtId="173" fontId="113" fillId="49" borderId="4" xfId="5" applyNumberFormat="1" applyFont="1" applyFill="1" applyBorder="1" applyAlignment="1">
      <alignment horizontal="center" vertical="center"/>
    </xf>
    <xf numFmtId="4" fontId="21" fillId="49" borderId="0" xfId="5" applyFont="1" applyFill="1" applyAlignment="1">
      <alignment horizontal="left"/>
    </xf>
    <xf numFmtId="4" fontId="21" fillId="38" borderId="0" xfId="5" applyFont="1" applyFill="1" applyAlignment="1">
      <alignment horizontal="left"/>
    </xf>
    <xf numFmtId="173" fontId="45" fillId="38" borderId="0" xfId="0" applyNumberFormat="1" applyFont="1" applyFill="1" applyAlignment="1">
      <alignment horizontal="center" vertical="center"/>
    </xf>
    <xf numFmtId="173" fontId="45" fillId="38" borderId="0" xfId="8" applyNumberFormat="1" applyFont="1" applyFill="1" applyAlignment="1">
      <alignment horizontal="center" vertical="center"/>
    </xf>
    <xf numFmtId="173" fontId="161" fillId="5" borderId="83" xfId="4" applyNumberFormat="1" applyFont="1" applyFill="1" applyBorder="1" applyAlignment="1">
      <alignment horizontal="center" vertical="center"/>
    </xf>
    <xf numFmtId="4" fontId="175" fillId="0" borderId="19" xfId="6" applyFont="1" applyBorder="1">
      <alignment vertical="center"/>
    </xf>
    <xf numFmtId="0" fontId="37" fillId="46" borderId="66" xfId="0" applyFont="1" applyFill="1" applyBorder="1" applyAlignment="1">
      <alignment horizontal="center" vertical="center"/>
    </xf>
    <xf numFmtId="4" fontId="173" fillId="0" borderId="18" xfId="6" applyFont="1" applyBorder="1" applyAlignment="1">
      <alignment vertical="center" wrapText="1"/>
    </xf>
    <xf numFmtId="173" fontId="161" fillId="5" borderId="75" xfId="4" applyNumberFormat="1" applyFont="1" applyFill="1" applyBorder="1" applyAlignment="1">
      <alignment horizontal="center" vertical="center"/>
    </xf>
    <xf numFmtId="0" fontId="145" fillId="0" borderId="66" xfId="0" applyFont="1" applyBorder="1" applyAlignment="1">
      <alignment horizontal="center" vertical="center"/>
    </xf>
    <xf numFmtId="0" fontId="145" fillId="0" borderId="23" xfId="0" applyFont="1" applyBorder="1" applyAlignment="1">
      <alignment horizontal="center" vertical="center"/>
    </xf>
    <xf numFmtId="0" fontId="145" fillId="0" borderId="42" xfId="0" applyFont="1" applyBorder="1" applyAlignment="1">
      <alignment horizontal="center" vertical="center"/>
    </xf>
    <xf numFmtId="0" fontId="145" fillId="46" borderId="66" xfId="0" applyFont="1" applyFill="1" applyBorder="1" applyAlignment="1">
      <alignment horizontal="center" vertical="center"/>
    </xf>
    <xf numFmtId="0" fontId="21" fillId="0" borderId="51" xfId="6" quotePrefix="1" applyNumberFormat="1" applyFont="1" applyBorder="1" applyAlignment="1">
      <alignment horizontal="center" vertical="center"/>
    </xf>
    <xf numFmtId="0" fontId="21" fillId="0" borderId="61" xfId="6" quotePrefix="1" applyNumberFormat="1" applyFont="1" applyBorder="1" applyAlignment="1">
      <alignment horizontal="center" vertical="center"/>
    </xf>
    <xf numFmtId="0" fontId="161" fillId="0" borderId="67" xfId="6" applyNumberFormat="1" applyFont="1" applyBorder="1" applyAlignment="1">
      <alignment horizontal="center" vertical="center"/>
    </xf>
    <xf numFmtId="0" fontId="161" fillId="0" borderId="4" xfId="6" applyNumberFormat="1" applyFont="1" applyBorder="1" applyAlignment="1">
      <alignment horizontal="center" vertical="center"/>
    </xf>
    <xf numFmtId="0" fontId="161" fillId="0" borderId="72" xfId="6" applyNumberFormat="1" applyFont="1" applyBorder="1" applyAlignment="1">
      <alignment horizontal="center" vertical="center"/>
    </xf>
    <xf numFmtId="0" fontId="145" fillId="46" borderId="23" xfId="0" applyFont="1" applyFill="1" applyBorder="1" applyAlignment="1">
      <alignment horizontal="center" vertical="center"/>
    </xf>
    <xf numFmtId="0" fontId="21" fillId="0" borderId="19" xfId="6" quotePrefix="1" applyNumberFormat="1" applyFont="1" applyBorder="1" applyAlignment="1">
      <alignment horizontal="center" vertical="center"/>
    </xf>
    <xf numFmtId="0" fontId="145" fillId="5" borderId="47" xfId="0" applyFont="1" applyFill="1" applyBorder="1" applyAlignment="1">
      <alignment horizontal="center" vertical="center"/>
    </xf>
    <xf numFmtId="0" fontId="21" fillId="0" borderId="65" xfId="6" quotePrefix="1" applyNumberFormat="1" applyFont="1" applyBorder="1" applyAlignment="1">
      <alignment horizontal="center" vertical="center"/>
    </xf>
    <xf numFmtId="0" fontId="161" fillId="49" borderId="6" xfId="6" applyNumberFormat="1" applyFont="1" applyFill="1" applyBorder="1" applyAlignment="1">
      <alignment horizontal="center" vertical="center"/>
    </xf>
    <xf numFmtId="0" fontId="37" fillId="49" borderId="47" xfId="0" applyFont="1" applyFill="1" applyBorder="1" applyAlignment="1">
      <alignment horizontal="center" vertical="center"/>
    </xf>
    <xf numFmtId="173" fontId="161" fillId="49" borderId="6" xfId="4" applyNumberFormat="1" applyFont="1" applyFill="1" applyBorder="1" applyAlignment="1">
      <alignment horizontal="center" vertical="center"/>
    </xf>
    <xf numFmtId="0" fontId="21" fillId="49" borderId="65" xfId="6" quotePrefix="1" applyNumberFormat="1" applyFont="1" applyFill="1" applyBorder="1" applyAlignment="1">
      <alignment horizontal="center" vertical="center"/>
    </xf>
    <xf numFmtId="0" fontId="37" fillId="49" borderId="66" xfId="0" applyFont="1" applyFill="1" applyBorder="1" applyAlignment="1">
      <alignment horizontal="center" vertical="center"/>
    </xf>
    <xf numFmtId="0" fontId="21" fillId="49" borderId="61" xfId="6" quotePrefix="1" applyNumberFormat="1" applyFont="1" applyFill="1" applyBorder="1" applyAlignment="1">
      <alignment horizontal="center" vertical="center"/>
    </xf>
    <xf numFmtId="0" fontId="37" fillId="49" borderId="42" xfId="0" applyFont="1" applyFill="1" applyBorder="1" applyAlignment="1">
      <alignment horizontal="center" vertical="center"/>
    </xf>
    <xf numFmtId="0" fontId="145" fillId="49" borderId="48" xfId="0" applyFont="1" applyFill="1" applyBorder="1" applyAlignment="1">
      <alignment horizontal="center" vertical="center"/>
    </xf>
    <xf numFmtId="173" fontId="161" fillId="49" borderId="48" xfId="4" applyNumberFormat="1" applyFont="1" applyFill="1" applyBorder="1" applyAlignment="1">
      <alignment horizontal="center" vertical="center"/>
    </xf>
    <xf numFmtId="173" fontId="161" fillId="49" borderId="23" xfId="4" applyNumberFormat="1" applyFont="1" applyFill="1" applyBorder="1" applyAlignment="1">
      <alignment horizontal="center" vertical="center"/>
    </xf>
    <xf numFmtId="0" fontId="186" fillId="5" borderId="53" xfId="6" applyNumberFormat="1" applyFont="1" applyFill="1" applyBorder="1" applyAlignment="1">
      <alignment vertical="center" textRotation="90"/>
    </xf>
    <xf numFmtId="0" fontId="185" fillId="49" borderId="93" xfId="6" applyNumberFormat="1" applyFont="1" applyFill="1" applyBorder="1" applyAlignment="1">
      <alignment horizontal="center" vertical="center"/>
    </xf>
    <xf numFmtId="173" fontId="21" fillId="49" borderId="67" xfId="4" applyNumberFormat="1" applyFont="1" applyFill="1" applyBorder="1" applyAlignment="1">
      <alignment horizontal="center" vertical="center"/>
    </xf>
    <xf numFmtId="173" fontId="21" fillId="49" borderId="69" xfId="4" applyNumberFormat="1" applyFont="1" applyFill="1" applyBorder="1" applyAlignment="1">
      <alignment horizontal="center" vertical="center"/>
    </xf>
    <xf numFmtId="0" fontId="185" fillId="49" borderId="90" xfId="6" applyNumberFormat="1" applyFont="1" applyFill="1" applyBorder="1" applyAlignment="1">
      <alignment horizontal="center" vertical="center"/>
    </xf>
    <xf numFmtId="173" fontId="21" fillId="49" borderId="4" xfId="4" applyNumberFormat="1" applyFont="1" applyFill="1" applyBorder="1" applyAlignment="1">
      <alignment horizontal="center" vertical="center"/>
    </xf>
    <xf numFmtId="173" fontId="21" fillId="49" borderId="70" xfId="4" applyNumberFormat="1" applyFont="1" applyFill="1" applyBorder="1" applyAlignment="1">
      <alignment horizontal="center" vertical="center"/>
    </xf>
    <xf numFmtId="0" fontId="185" fillId="49" borderId="94" xfId="6" applyNumberFormat="1" applyFont="1" applyFill="1" applyBorder="1" applyAlignment="1">
      <alignment horizontal="center" vertical="center"/>
    </xf>
    <xf numFmtId="173" fontId="21" fillId="49" borderId="72" xfId="4" applyNumberFormat="1" applyFont="1" applyFill="1" applyBorder="1" applyAlignment="1">
      <alignment horizontal="center" vertical="center"/>
    </xf>
    <xf numFmtId="173" fontId="21" fillId="49" borderId="73" xfId="4" applyNumberFormat="1" applyFont="1" applyFill="1" applyBorder="1" applyAlignment="1">
      <alignment horizontal="center" vertical="center"/>
    </xf>
    <xf numFmtId="1" fontId="150" fillId="5" borderId="49" xfId="2" applyNumberFormat="1" applyFont="1" applyFill="1" applyBorder="1" applyAlignment="1">
      <alignment horizontal="right"/>
    </xf>
    <xf numFmtId="173" fontId="150" fillId="5" borderId="4" xfId="0" applyNumberFormat="1" applyFont="1" applyFill="1" applyBorder="1" applyAlignment="1">
      <alignment horizontal="right" vertical="center"/>
    </xf>
    <xf numFmtId="1" fontId="33" fillId="2" borderId="0" xfId="0" applyNumberFormat="1" applyFont="1" applyFill="1" applyAlignment="1">
      <alignment horizontal="right" vertical="center"/>
    </xf>
    <xf numFmtId="173" fontId="21" fillId="5" borderId="70" xfId="4" applyNumberFormat="1" applyFont="1" applyFill="1" applyBorder="1" applyAlignment="1">
      <alignment horizontal="center" vertical="center"/>
    </xf>
    <xf numFmtId="0" fontId="140" fillId="5" borderId="84" xfId="0" quotePrefix="1" applyFont="1" applyFill="1" applyBorder="1" applyAlignment="1" applyProtection="1">
      <alignment vertical="center"/>
      <protection locked="0"/>
    </xf>
    <xf numFmtId="173" fontId="188" fillId="37" borderId="4" xfId="4" applyNumberFormat="1" applyFont="1" applyFill="1" applyBorder="1" applyAlignment="1">
      <alignment horizontal="center" vertical="center"/>
    </xf>
    <xf numFmtId="4" fontId="160" fillId="5" borderId="17" xfId="6" quotePrefix="1" applyFont="1" applyFill="1" applyBorder="1" applyAlignment="1">
      <alignment horizontal="left" vertical="top"/>
    </xf>
    <xf numFmtId="173" fontId="21" fillId="5" borderId="69" xfId="4" applyNumberFormat="1" applyFont="1" applyFill="1" applyBorder="1" applyAlignment="1">
      <alignment horizontal="center" vertical="center"/>
    </xf>
    <xf numFmtId="173" fontId="21" fillId="5" borderId="73" xfId="4" applyNumberFormat="1" applyFont="1" applyFill="1" applyBorder="1" applyAlignment="1">
      <alignment horizontal="center" vertical="center"/>
    </xf>
    <xf numFmtId="4" fontId="160" fillId="5" borderId="17" xfId="6" applyFont="1" applyFill="1" applyBorder="1" applyAlignment="1">
      <alignment horizontal="left" vertical="center"/>
    </xf>
    <xf numFmtId="173" fontId="21" fillId="5" borderId="82" xfId="4" applyNumberFormat="1" applyFont="1" applyFill="1" applyBorder="1" applyAlignment="1">
      <alignment horizontal="center" vertical="center"/>
    </xf>
    <xf numFmtId="0" fontId="190" fillId="49" borderId="19" xfId="6" quotePrefix="1" applyNumberFormat="1" applyFont="1" applyFill="1" applyBorder="1" applyAlignment="1">
      <alignment horizontal="left" vertical="center"/>
    </xf>
    <xf numFmtId="0" fontId="37" fillId="5" borderId="42" xfId="0" applyFont="1" applyFill="1" applyBorder="1" applyAlignment="1">
      <alignment horizontal="center" vertical="center"/>
    </xf>
    <xf numFmtId="0" fontId="37" fillId="5" borderId="23" xfId="0" applyFont="1" applyFill="1" applyBorder="1" applyAlignment="1">
      <alignment horizontal="center" vertical="center"/>
    </xf>
    <xf numFmtId="0" fontId="37" fillId="5" borderId="66" xfId="0" applyFont="1" applyFill="1" applyBorder="1" applyAlignment="1">
      <alignment horizontal="center" vertical="center"/>
    </xf>
    <xf numFmtId="0" fontId="37" fillId="5" borderId="48" xfId="0" applyFont="1" applyFill="1" applyBorder="1" applyAlignment="1">
      <alignment horizontal="center" vertical="center"/>
    </xf>
    <xf numFmtId="0" fontId="37" fillId="5" borderId="47" xfId="0" applyFont="1" applyFill="1" applyBorder="1" applyAlignment="1">
      <alignment horizontal="center" vertical="center"/>
    </xf>
    <xf numFmtId="173" fontId="110" fillId="49" borderId="6" xfId="4" applyNumberFormat="1" applyFont="1" applyFill="1" applyBorder="1" applyAlignment="1">
      <alignment horizontal="center" vertical="center"/>
    </xf>
    <xf numFmtId="1" fontId="10" fillId="5" borderId="17" xfId="1045" applyNumberFormat="1" applyFill="1" applyBorder="1" applyAlignment="1">
      <alignment vertical="top" wrapText="1"/>
    </xf>
    <xf numFmtId="2" fontId="59" fillId="0" borderId="17" xfId="0" applyNumberFormat="1" applyFont="1" applyBorder="1" applyAlignment="1">
      <alignment horizontal="right" vertical="center"/>
    </xf>
    <xf numFmtId="1" fontId="0" fillId="0" borderId="17" xfId="1045" applyNumberFormat="1" applyFont="1" applyBorder="1" applyAlignment="1">
      <alignment vertical="top" wrapText="1"/>
    </xf>
    <xf numFmtId="173" fontId="161" fillId="5" borderId="17" xfId="4" applyNumberFormat="1" applyFont="1" applyFill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21" fillId="0" borderId="82" xfId="0" applyFont="1" applyBorder="1" applyAlignment="1">
      <alignment vertical="center"/>
    </xf>
    <xf numFmtId="0" fontId="43" fillId="0" borderId="82" xfId="0" applyFont="1" applyBorder="1" applyAlignment="1">
      <alignment vertical="center"/>
    </xf>
    <xf numFmtId="0" fontId="43" fillId="5" borderId="82" xfId="0" applyFont="1" applyFill="1" applyBorder="1" applyAlignment="1">
      <alignment vertical="center"/>
    </xf>
    <xf numFmtId="0" fontId="21" fillId="5" borderId="82" xfId="0" applyFont="1" applyFill="1" applyBorder="1" applyAlignment="1">
      <alignment vertical="center"/>
    </xf>
    <xf numFmtId="0" fontId="30" fillId="0" borderId="0" xfId="8" applyFont="1" applyAlignment="1">
      <alignment horizontal="center" vertical="center"/>
    </xf>
    <xf numFmtId="4" fontId="32" fillId="0" borderId="0" xfId="8" applyNumberFormat="1" applyFont="1" applyAlignment="1">
      <alignment horizontal="center" vertical="center"/>
    </xf>
    <xf numFmtId="2" fontId="33" fillId="0" borderId="0" xfId="0" applyNumberFormat="1" applyFont="1" applyAlignment="1">
      <alignment horizontal="left" vertical="center"/>
    </xf>
    <xf numFmtId="2" fontId="31" fillId="0" borderId="0" xfId="0" applyNumberFormat="1" applyFont="1" applyAlignment="1">
      <alignment horizontal="left" vertical="center"/>
    </xf>
    <xf numFmtId="4" fontId="22" fillId="0" borderId="0" xfId="8" applyNumberFormat="1" applyFont="1" applyAlignment="1">
      <alignment horizontal="right" vertical="center"/>
    </xf>
    <xf numFmtId="1" fontId="10" fillId="5" borderId="19" xfId="1045" applyNumberFormat="1" applyFill="1" applyBorder="1" applyAlignment="1">
      <alignment vertical="top" wrapText="1"/>
    </xf>
    <xf numFmtId="2" fontId="31" fillId="0" borderId="9" xfId="0" applyNumberFormat="1" applyFont="1" applyBorder="1" applyAlignment="1">
      <alignment horizontal="center" vertical="center"/>
    </xf>
    <xf numFmtId="0" fontId="30" fillId="0" borderId="9" xfId="8" applyFont="1" applyBorder="1" applyAlignment="1">
      <alignment horizontal="center" vertical="center"/>
    </xf>
    <xf numFmtId="4" fontId="32" fillId="0" borderId="9" xfId="8" applyNumberFormat="1" applyFont="1" applyBorder="1" applyAlignment="1">
      <alignment horizontal="center" vertical="center"/>
    </xf>
    <xf numFmtId="4" fontId="32" fillId="0" borderId="47" xfId="8" applyNumberFormat="1" applyFont="1" applyBorder="1" applyAlignment="1">
      <alignment horizontal="center" vertical="center"/>
    </xf>
    <xf numFmtId="1" fontId="10" fillId="5" borderId="44" xfId="1045" applyNumberFormat="1" applyFill="1" applyBorder="1" applyAlignment="1">
      <alignment vertical="top" wrapText="1"/>
    </xf>
    <xf numFmtId="4" fontId="32" fillId="0" borderId="1" xfId="8" applyNumberFormat="1" applyFont="1" applyBorder="1" applyAlignment="1">
      <alignment horizontal="center" vertical="center"/>
    </xf>
    <xf numFmtId="2" fontId="59" fillId="0" borderId="44" xfId="0" applyNumberFormat="1" applyFont="1" applyBorder="1" applyAlignment="1">
      <alignment horizontal="right" vertical="center"/>
    </xf>
    <xf numFmtId="1" fontId="10" fillId="0" borderId="44" xfId="1045" applyNumberFormat="1" applyBorder="1" applyAlignment="1">
      <alignment vertical="top" wrapText="1"/>
    </xf>
    <xf numFmtId="1" fontId="21" fillId="0" borderId="44" xfId="1045" applyNumberFormat="1" applyFont="1" applyBorder="1" applyAlignment="1">
      <alignment vertical="top" wrapText="1"/>
    </xf>
    <xf numFmtId="4" fontId="22" fillId="0" borderId="1" xfId="8" applyNumberFormat="1" applyFont="1" applyBorder="1" applyAlignment="1">
      <alignment horizontal="center" vertical="center"/>
    </xf>
    <xf numFmtId="0" fontId="22" fillId="0" borderId="44" xfId="0" applyFont="1" applyBorder="1" applyAlignment="1">
      <alignment vertical="center"/>
    </xf>
    <xf numFmtId="2" fontId="147" fillId="0" borderId="44" xfId="1045" applyNumberFormat="1" applyFont="1" applyBorder="1" applyAlignment="1">
      <alignment vertical="center" wrapText="1"/>
    </xf>
    <xf numFmtId="1" fontId="21" fillId="0" borderId="44" xfId="1045" applyNumberFormat="1" applyFont="1" applyBorder="1" applyAlignment="1">
      <alignment horizontal="left" vertical="top" wrapText="1"/>
    </xf>
    <xf numFmtId="1" fontId="41" fillId="0" borderId="44" xfId="1045" applyNumberFormat="1" applyFont="1" applyBorder="1" applyAlignment="1">
      <alignment vertical="center" wrapText="1"/>
    </xf>
    <xf numFmtId="1" fontId="42" fillId="0" borderId="44" xfId="1045" applyNumberFormat="1" applyFont="1" applyBorder="1" applyAlignment="1">
      <alignment vertical="top" wrapText="1"/>
    </xf>
    <xf numFmtId="1" fontId="42" fillId="0" borderId="44" xfId="1045" applyNumberFormat="1" applyFont="1" applyBorder="1" applyAlignment="1">
      <alignment horizontal="center" vertical="center" wrapText="1"/>
    </xf>
    <xf numFmtId="4" fontId="22" fillId="0" borderId="1" xfId="8" applyNumberFormat="1" applyFont="1" applyBorder="1" applyAlignment="1">
      <alignment horizontal="left" vertical="center"/>
    </xf>
    <xf numFmtId="1" fontId="41" fillId="0" borderId="44" xfId="1045" applyNumberFormat="1" applyFont="1" applyBorder="1" applyAlignment="1">
      <alignment vertical="top" wrapText="1"/>
    </xf>
    <xf numFmtId="1" fontId="22" fillId="0" borderId="44" xfId="1045" applyNumberFormat="1" applyFont="1" applyBorder="1" applyAlignment="1">
      <alignment horizontal="center" vertical="center" wrapText="1"/>
    </xf>
    <xf numFmtId="173" fontId="21" fillId="5" borderId="17" xfId="4" applyNumberFormat="1" applyFont="1" applyFill="1" applyBorder="1" applyAlignment="1">
      <alignment horizontal="center" vertical="center"/>
    </xf>
    <xf numFmtId="173" fontId="46" fillId="45" borderId="17" xfId="4" applyNumberFormat="1" applyFont="1" applyFill="1" applyBorder="1" applyAlignment="1">
      <alignment horizontal="center" vertical="center"/>
    </xf>
    <xf numFmtId="173" fontId="161" fillId="49" borderId="51" xfId="4" applyNumberFormat="1" applyFont="1" applyFill="1" applyBorder="1" applyAlignment="1">
      <alignment horizontal="center" vertical="center"/>
    </xf>
    <xf numFmtId="173" fontId="161" fillId="49" borderId="17" xfId="4" applyNumberFormat="1" applyFont="1" applyFill="1" applyBorder="1" applyAlignment="1">
      <alignment horizontal="center" vertical="center"/>
    </xf>
    <xf numFmtId="2" fontId="31" fillId="49" borderId="0" xfId="0" applyNumberFormat="1" applyFont="1" applyFill="1" applyAlignment="1">
      <alignment horizontal="right" vertical="center"/>
    </xf>
    <xf numFmtId="173" fontId="22" fillId="49" borderId="0" xfId="8" applyNumberFormat="1" applyFont="1" applyFill="1" applyAlignment="1">
      <alignment horizontal="right" vertical="center"/>
    </xf>
    <xf numFmtId="4" fontId="31" fillId="49" borderId="0" xfId="8" applyNumberFormat="1" applyFont="1" applyFill="1" applyAlignment="1">
      <alignment horizontal="left" vertical="center"/>
    </xf>
    <xf numFmtId="2" fontId="22" fillId="49" borderId="0" xfId="8" applyNumberFormat="1" applyFont="1" applyFill="1" applyAlignment="1">
      <alignment horizontal="right" vertical="center"/>
    </xf>
    <xf numFmtId="2" fontId="31" fillId="0" borderId="0" xfId="0" applyNumberFormat="1" applyFont="1" applyAlignment="1">
      <alignment horizontal="right" vertical="center"/>
    </xf>
    <xf numFmtId="173" fontId="31" fillId="0" borderId="0" xfId="8" applyNumberFormat="1" applyFont="1" applyAlignment="1">
      <alignment horizontal="right" vertical="center"/>
    </xf>
    <xf numFmtId="4" fontId="31" fillId="0" borderId="0" xfId="8" applyNumberFormat="1" applyFont="1" applyAlignment="1">
      <alignment horizontal="left" vertical="center"/>
    </xf>
    <xf numFmtId="2" fontId="31" fillId="0" borderId="0" xfId="8" applyNumberFormat="1" applyFont="1" applyAlignment="1">
      <alignment horizontal="right" vertical="center"/>
    </xf>
    <xf numFmtId="1" fontId="22" fillId="0" borderId="19" xfId="1045" applyNumberFormat="1" applyFont="1" applyBorder="1" applyAlignment="1">
      <alignment horizontal="center" vertical="center" wrapText="1"/>
    </xf>
    <xf numFmtId="4" fontId="22" fillId="49" borderId="1" xfId="8" applyNumberFormat="1" applyFont="1" applyFill="1" applyBorder="1" applyAlignment="1">
      <alignment horizontal="center" vertical="center"/>
    </xf>
    <xf numFmtId="242" fontId="22" fillId="0" borderId="44" xfId="1045" applyNumberFormat="1" applyFont="1" applyBorder="1" applyAlignment="1">
      <alignment horizontal="center" vertical="center" wrapText="1"/>
    </xf>
    <xf numFmtId="1" fontId="22" fillId="46" borderId="44" xfId="1045" applyNumberFormat="1" applyFont="1" applyFill="1" applyBorder="1" applyAlignment="1">
      <alignment horizontal="center" vertical="center" wrapText="1"/>
    </xf>
    <xf numFmtId="242" fontId="33" fillId="5" borderId="44" xfId="1045" applyNumberFormat="1" applyFont="1" applyFill="1" applyBorder="1" applyAlignment="1">
      <alignment horizontal="center" vertical="center" wrapText="1"/>
    </xf>
    <xf numFmtId="4" fontId="22" fillId="5" borderId="1" xfId="8" applyNumberFormat="1" applyFont="1" applyFill="1" applyBorder="1" applyAlignment="1">
      <alignment horizontal="center" vertical="center"/>
    </xf>
    <xf numFmtId="0" fontId="21" fillId="5" borderId="87" xfId="0" applyFont="1" applyFill="1" applyBorder="1" applyAlignment="1">
      <alignment vertical="center"/>
    </xf>
    <xf numFmtId="242" fontId="22" fillId="5" borderId="44" xfId="1045" applyNumberFormat="1" applyFont="1" applyFill="1" applyBorder="1" applyAlignment="1">
      <alignment horizontal="center" vertical="center" wrapText="1"/>
    </xf>
    <xf numFmtId="2" fontId="31" fillId="5" borderId="0" xfId="0" applyNumberFormat="1" applyFont="1" applyFill="1" applyAlignment="1">
      <alignment horizontal="left" vertical="center"/>
    </xf>
    <xf numFmtId="0" fontId="161" fillId="44" borderId="7" xfId="6" applyNumberFormat="1" applyFont="1" applyFill="1" applyBorder="1" applyAlignment="1">
      <alignment horizontal="center" vertical="center"/>
    </xf>
    <xf numFmtId="0" fontId="37" fillId="44" borderId="44" xfId="6" quotePrefix="1" applyNumberFormat="1" applyFont="1" applyFill="1" applyBorder="1" applyAlignment="1">
      <alignment horizontal="center" vertical="center"/>
    </xf>
    <xf numFmtId="241" fontId="21" fillId="44" borderId="1" xfId="0" applyNumberFormat="1" applyFont="1" applyFill="1" applyBorder="1" applyAlignment="1">
      <alignment horizontal="center" vertical="center"/>
    </xf>
    <xf numFmtId="173" fontId="161" fillId="44" borderId="7" xfId="4" applyNumberFormat="1" applyFont="1" applyFill="1" applyBorder="1" applyAlignment="1">
      <alignment horizontal="center" vertical="center"/>
    </xf>
    <xf numFmtId="173" fontId="161" fillId="44" borderId="47" xfId="4" applyNumberFormat="1" applyFont="1" applyFill="1" applyBorder="1" applyAlignment="1">
      <alignment horizontal="center" vertical="center"/>
    </xf>
    <xf numFmtId="173" fontId="161" fillId="44" borderId="19" xfId="4" applyNumberFormat="1" applyFont="1" applyFill="1" applyBorder="1" applyAlignment="1">
      <alignment horizontal="center" vertical="center"/>
    </xf>
    <xf numFmtId="1" fontId="22" fillId="5" borderId="44" xfId="1045" applyNumberFormat="1" applyFont="1" applyFill="1" applyBorder="1" applyAlignment="1">
      <alignment horizontal="center" vertical="center" wrapText="1"/>
    </xf>
    <xf numFmtId="0" fontId="21" fillId="5" borderId="79" xfId="0" applyFont="1" applyFill="1" applyBorder="1" applyAlignment="1">
      <alignment vertical="center"/>
    </xf>
    <xf numFmtId="0" fontId="161" fillId="0" borderId="86" xfId="6" applyNumberFormat="1" applyFont="1" applyBorder="1" applyAlignment="1">
      <alignment horizontal="center" vertical="center"/>
    </xf>
    <xf numFmtId="4" fontId="21" fillId="0" borderId="53" xfId="6" applyFont="1" applyBorder="1" applyAlignment="1">
      <alignment horizontal="center" vertical="center"/>
    </xf>
    <xf numFmtId="0" fontId="21" fillId="0" borderId="83" xfId="0" applyFont="1" applyBorder="1" applyAlignment="1">
      <alignment vertical="center"/>
    </xf>
    <xf numFmtId="2" fontId="31" fillId="0" borderId="97" xfId="0" applyNumberFormat="1" applyFont="1" applyBorder="1" applyAlignment="1">
      <alignment horizontal="center" vertical="center"/>
    </xf>
    <xf numFmtId="0" fontId="22" fillId="0" borderId="97" xfId="8" applyFont="1" applyBorder="1" applyAlignment="1">
      <alignment horizontal="center" vertical="center"/>
    </xf>
    <xf numFmtId="4" fontId="22" fillId="0" borderId="97" xfId="8" applyNumberFormat="1" applyFont="1" applyBorder="1" applyAlignment="1">
      <alignment horizontal="center" vertical="center"/>
    </xf>
    <xf numFmtId="0" fontId="161" fillId="0" borderId="9" xfId="6" applyNumberFormat="1" applyFont="1" applyBorder="1" applyAlignment="1">
      <alignment horizontal="center" vertical="center"/>
    </xf>
    <xf numFmtId="0" fontId="147" fillId="0" borderId="9" xfId="6" quotePrefix="1" applyNumberFormat="1" applyFont="1" applyBorder="1" applyAlignment="1">
      <alignment horizontal="center" vertical="center"/>
    </xf>
    <xf numFmtId="241" fontId="21" fillId="0" borderId="9" xfId="0" applyNumberFormat="1" applyFont="1" applyBorder="1" applyAlignment="1">
      <alignment horizontal="center" vertical="center"/>
    </xf>
    <xf numFmtId="173" fontId="161" fillId="5" borderId="9" xfId="4" applyNumberFormat="1" applyFont="1" applyFill="1" applyBorder="1" applyAlignment="1">
      <alignment horizontal="center" vertical="center"/>
    </xf>
    <xf numFmtId="1" fontId="22" fillId="0" borderId="9" xfId="1045" applyNumberFormat="1" applyFont="1" applyBorder="1" applyAlignment="1">
      <alignment horizontal="center" vertical="center" wrapText="1"/>
    </xf>
    <xf numFmtId="0" fontId="21" fillId="0" borderId="9" xfId="0" applyFont="1" applyBorder="1" applyAlignment="1">
      <alignment vertical="center"/>
    </xf>
    <xf numFmtId="4" fontId="147" fillId="0" borderId="51" xfId="6" applyFont="1" applyBorder="1" applyAlignment="1">
      <alignment horizontal="center" vertical="center"/>
    </xf>
    <xf numFmtId="173" fontId="147" fillId="5" borderId="53" xfId="4" applyNumberFormat="1" applyFont="1" applyFill="1" applyBorder="1" applyAlignment="1">
      <alignment horizontal="center" vertical="center"/>
    </xf>
    <xf numFmtId="173" fontId="161" fillId="43" borderId="53" xfId="4" applyNumberFormat="1" applyFont="1" applyFill="1" applyBorder="1" applyAlignment="1">
      <alignment horizontal="center" vertical="center"/>
    </xf>
    <xf numFmtId="0" fontId="161" fillId="0" borderId="97" xfId="6" applyNumberFormat="1" applyFont="1" applyBorder="1" applyAlignment="1">
      <alignment horizontal="center" vertical="center"/>
    </xf>
    <xf numFmtId="4" fontId="161" fillId="0" borderId="97" xfId="6" applyFont="1" applyBorder="1">
      <alignment vertical="center"/>
    </xf>
    <xf numFmtId="241" fontId="21" fillId="0" borderId="97" xfId="0" applyNumberFormat="1" applyFont="1" applyBorder="1" applyAlignment="1">
      <alignment horizontal="center" vertical="center"/>
    </xf>
    <xf numFmtId="173" fontId="161" fillId="5" borderId="97" xfId="4" applyNumberFormat="1" applyFont="1" applyFill="1" applyBorder="1" applyAlignment="1">
      <alignment horizontal="center" vertical="center"/>
    </xf>
    <xf numFmtId="4" fontId="21" fillId="0" borderId="97" xfId="6" applyFont="1" applyBorder="1" applyAlignment="1">
      <alignment horizontal="center" vertical="center"/>
    </xf>
    <xf numFmtId="0" fontId="21" fillId="0" borderId="97" xfId="0" applyFont="1" applyBorder="1" applyAlignment="1">
      <alignment vertical="center"/>
    </xf>
    <xf numFmtId="173" fontId="189" fillId="2" borderId="4" xfId="4" applyNumberFormat="1" applyFont="1" applyFill="1" applyBorder="1" applyAlignment="1">
      <alignment horizontal="center" vertical="center"/>
    </xf>
    <xf numFmtId="2" fontId="33" fillId="2" borderId="49" xfId="0" applyNumberFormat="1" applyFont="1" applyFill="1" applyBorder="1" applyAlignment="1">
      <alignment horizontal="center" vertical="center"/>
    </xf>
    <xf numFmtId="4" fontId="21" fillId="38" borderId="4" xfId="5" applyFont="1" applyFill="1" applyBorder="1" applyAlignment="1">
      <alignment horizontal="center"/>
    </xf>
    <xf numFmtId="173" fontId="113" fillId="38" borderId="4" xfId="5" applyNumberFormat="1" applyFont="1" applyFill="1" applyBorder="1" applyAlignment="1">
      <alignment horizontal="center"/>
    </xf>
    <xf numFmtId="176" fontId="37" fillId="38" borderId="53" xfId="5" applyNumberFormat="1" applyFont="1" applyFill="1" applyBorder="1" applyAlignment="1">
      <alignment horizontal="center"/>
    </xf>
    <xf numFmtId="4" fontId="140" fillId="38" borderId="4" xfId="5" applyFont="1" applyFill="1" applyBorder="1" applyAlignment="1">
      <alignment horizontal="center"/>
    </xf>
    <xf numFmtId="173" fontId="140" fillId="38" borderId="4" xfId="5" applyNumberFormat="1" applyFont="1" applyFill="1" applyBorder="1" applyAlignment="1">
      <alignment horizontal="center"/>
    </xf>
    <xf numFmtId="176" fontId="115" fillId="38" borderId="53" xfId="5" applyNumberFormat="1" applyFont="1" applyFill="1" applyBorder="1" applyAlignment="1">
      <alignment horizontal="center"/>
    </xf>
    <xf numFmtId="173" fontId="140" fillId="5" borderId="4" xfId="4" applyNumberFormat="1" applyFont="1" applyFill="1" applyBorder="1" applyAlignment="1">
      <alignment horizontal="center" vertical="center"/>
    </xf>
    <xf numFmtId="1" fontId="150" fillId="5" borderId="49" xfId="2" applyNumberFormat="1" applyFont="1" applyFill="1" applyBorder="1"/>
    <xf numFmtId="173" fontId="178" fillId="2" borderId="4" xfId="2" applyNumberFormat="1" applyFont="1" applyFill="1" applyBorder="1"/>
    <xf numFmtId="173" fontId="147" fillId="2" borderId="0" xfId="4" applyNumberFormat="1" applyFont="1" applyFill="1" applyAlignment="1">
      <alignment horizontal="center" vertical="center"/>
    </xf>
    <xf numFmtId="0" fontId="190" fillId="5" borderId="4" xfId="6" applyNumberFormat="1" applyFont="1" applyFill="1" applyBorder="1" applyAlignment="1">
      <alignment horizontal="center" vertical="center"/>
    </xf>
    <xf numFmtId="0" fontId="46" fillId="5" borderId="17" xfId="6" quotePrefix="1" applyNumberFormat="1" applyFont="1" applyFill="1" applyBorder="1" applyAlignment="1">
      <alignment horizontal="center" vertical="center"/>
    </xf>
    <xf numFmtId="173" fontId="46" fillId="5" borderId="4" xfId="4" applyNumberFormat="1" applyFont="1" applyFill="1" applyBorder="1" applyAlignment="1">
      <alignment horizontal="center" vertical="center"/>
    </xf>
    <xf numFmtId="0" fontId="186" fillId="5" borderId="95" xfId="6" applyNumberFormat="1" applyFont="1" applyFill="1" applyBorder="1" applyAlignment="1">
      <alignment vertical="center" textRotation="90"/>
    </xf>
    <xf numFmtId="0" fontId="21" fillId="5" borderId="96" xfId="6" quotePrefix="1" applyNumberFormat="1" applyFont="1" applyFill="1" applyBorder="1" applyAlignment="1">
      <alignment horizontal="center" vertical="center"/>
    </xf>
    <xf numFmtId="0" fontId="145" fillId="5" borderId="98" xfId="0" applyFont="1" applyFill="1" applyBorder="1" applyAlignment="1">
      <alignment horizontal="center" vertical="center"/>
    </xf>
    <xf numFmtId="173" fontId="161" fillId="5" borderId="95" xfId="4" applyNumberFormat="1" applyFont="1" applyFill="1" applyBorder="1" applyAlignment="1">
      <alignment horizontal="center" vertical="center"/>
    </xf>
    <xf numFmtId="173" fontId="161" fillId="43" borderId="98" xfId="4" applyNumberFormat="1" applyFont="1" applyFill="1" applyBorder="1" applyAlignment="1">
      <alignment horizontal="center" vertical="center"/>
    </xf>
    <xf numFmtId="173" fontId="161" fillId="5" borderId="96" xfId="4" applyNumberFormat="1" applyFont="1" applyFill="1" applyBorder="1" applyAlignment="1">
      <alignment horizontal="center" vertical="center"/>
    </xf>
    <xf numFmtId="242" fontId="22" fillId="5" borderId="96" xfId="1045" applyNumberFormat="1" applyFont="1" applyFill="1" applyBorder="1" applyAlignment="1">
      <alignment horizontal="center" vertical="center" wrapText="1"/>
    </xf>
    <xf numFmtId="2" fontId="31" fillId="5" borderId="97" xfId="0" applyNumberFormat="1" applyFont="1" applyFill="1" applyBorder="1" applyAlignment="1">
      <alignment horizontal="center" vertical="center"/>
    </xf>
    <xf numFmtId="0" fontId="22" fillId="5" borderId="97" xfId="8" applyFont="1" applyFill="1" applyBorder="1" applyAlignment="1">
      <alignment horizontal="center" vertical="center"/>
    </xf>
    <xf numFmtId="4" fontId="22" fillId="5" borderId="97" xfId="8" applyNumberFormat="1" applyFont="1" applyFill="1" applyBorder="1" applyAlignment="1">
      <alignment horizontal="center" vertical="center"/>
    </xf>
    <xf numFmtId="4" fontId="22" fillId="5" borderId="98" xfId="8" applyNumberFormat="1" applyFont="1" applyFill="1" applyBorder="1" applyAlignment="1">
      <alignment horizontal="center" vertical="center"/>
    </xf>
    <xf numFmtId="0" fontId="21" fillId="5" borderId="99" xfId="0" applyFont="1" applyFill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145" fillId="46" borderId="48" xfId="0" applyFont="1" applyFill="1" applyBorder="1" applyAlignment="1">
      <alignment horizontal="center" vertical="center"/>
    </xf>
    <xf numFmtId="173" fontId="33" fillId="5" borderId="4" xfId="4" applyNumberFormat="1" applyFont="1" applyFill="1" applyBorder="1" applyAlignment="1">
      <alignment horizontal="center" vertical="center"/>
    </xf>
    <xf numFmtId="177" fontId="30" fillId="5" borderId="0" xfId="7" quotePrefix="1" applyNumberFormat="1" applyFont="1" applyFill="1" applyAlignment="1">
      <alignment horizontal="center" vertical="center"/>
    </xf>
    <xf numFmtId="173" fontId="160" fillId="5" borderId="23" xfId="4" applyNumberFormat="1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2" fontId="22" fillId="0" borderId="19" xfId="0" applyNumberFormat="1" applyFont="1" applyBorder="1" applyAlignment="1">
      <alignment horizontal="center" vertical="center"/>
    </xf>
    <xf numFmtId="2" fontId="22" fillId="0" borderId="9" xfId="0" applyNumberFormat="1" applyFont="1" applyBorder="1" applyAlignment="1">
      <alignment horizontal="center" vertical="center"/>
    </xf>
    <xf numFmtId="2" fontId="22" fillId="0" borderId="47" xfId="0" applyNumberFormat="1" applyFont="1" applyBorder="1" applyAlignment="1">
      <alignment horizontal="center" vertical="center"/>
    </xf>
    <xf numFmtId="2" fontId="22" fillId="0" borderId="44" xfId="0" applyNumberFormat="1" applyFont="1" applyBorder="1" applyAlignment="1">
      <alignment horizontal="center" vertical="center"/>
    </xf>
    <xf numFmtId="2" fontId="22" fillId="0" borderId="0" xfId="0" applyNumberFormat="1" applyFont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0" fontId="139" fillId="0" borderId="76" xfId="4" applyFont="1" applyBorder="1" applyAlignment="1">
      <alignment horizontal="center" vertical="center"/>
    </xf>
    <xf numFmtId="0" fontId="139" fillId="0" borderId="15" xfId="4" applyFont="1" applyBorder="1" applyAlignment="1">
      <alignment horizontal="center" vertical="center"/>
    </xf>
    <xf numFmtId="0" fontId="139" fillId="0" borderId="77" xfId="4" applyFont="1" applyBorder="1" applyAlignment="1">
      <alignment horizontal="center" vertical="center"/>
    </xf>
    <xf numFmtId="0" fontId="22" fillId="0" borderId="0" xfId="7" applyFont="1" applyAlignment="1">
      <alignment horizontal="center" vertical="center"/>
    </xf>
    <xf numFmtId="4" fontId="37" fillId="47" borderId="22" xfId="6" applyFont="1" applyFill="1" applyBorder="1" applyAlignment="1">
      <alignment horizontal="center" vertical="center" textRotation="90" wrapText="1"/>
    </xf>
    <xf numFmtId="4" fontId="37" fillId="47" borderId="71" xfId="6" applyFont="1" applyFill="1" applyBorder="1" applyAlignment="1">
      <alignment horizontal="center" vertical="center" textRotation="90" wrapText="1"/>
    </xf>
    <xf numFmtId="4" fontId="37" fillId="47" borderId="13" xfId="6" applyFont="1" applyFill="1" applyBorder="1" applyAlignment="1">
      <alignment horizontal="center" vertical="center" textRotation="90" wrapText="1"/>
    </xf>
    <xf numFmtId="0" fontId="173" fillId="48" borderId="22" xfId="6" applyNumberFormat="1" applyFont="1" applyFill="1" applyBorder="1" applyAlignment="1">
      <alignment horizontal="center" vertical="center" textRotation="90" wrapText="1"/>
    </xf>
    <xf numFmtId="0" fontId="173" fillId="48" borderId="71" xfId="6" applyNumberFormat="1" applyFont="1" applyFill="1" applyBorder="1" applyAlignment="1">
      <alignment horizontal="center" vertical="center" textRotation="90" wrapText="1"/>
    </xf>
    <xf numFmtId="0" fontId="173" fillId="48" borderId="13" xfId="6" applyNumberFormat="1" applyFont="1" applyFill="1" applyBorder="1" applyAlignment="1">
      <alignment horizontal="center" vertical="center" textRotation="90" wrapText="1"/>
    </xf>
    <xf numFmtId="4" fontId="186" fillId="5" borderId="71" xfId="6" applyFont="1" applyFill="1" applyBorder="1" applyAlignment="1">
      <alignment horizontal="center" vertical="center" textRotation="90"/>
    </xf>
    <xf numFmtId="4" fontId="186" fillId="5" borderId="92" xfId="6" applyFont="1" applyFill="1" applyBorder="1" applyAlignment="1">
      <alignment horizontal="center" vertical="center" textRotation="90"/>
    </xf>
    <xf numFmtId="4" fontId="186" fillId="5" borderId="7" xfId="6" applyFont="1" applyFill="1" applyBorder="1" applyAlignment="1">
      <alignment horizontal="center" vertical="center" textRotation="90"/>
    </xf>
    <xf numFmtId="4" fontId="186" fillId="5" borderId="64" xfId="6" applyFont="1" applyFill="1" applyBorder="1" applyAlignment="1">
      <alignment horizontal="center" vertical="center" textRotation="90"/>
    </xf>
    <xf numFmtId="4" fontId="186" fillId="5" borderId="22" xfId="6" applyFont="1" applyFill="1" applyBorder="1" applyAlignment="1">
      <alignment horizontal="center" vertical="center" textRotation="90"/>
    </xf>
    <xf numFmtId="4" fontId="186" fillId="5" borderId="13" xfId="6" applyFont="1" applyFill="1" applyBorder="1" applyAlignment="1">
      <alignment horizontal="center" vertical="center" textRotation="90"/>
    </xf>
    <xf numFmtId="0" fontId="186" fillId="0" borderId="92" xfId="6" applyNumberFormat="1" applyFont="1" applyBorder="1" applyAlignment="1">
      <alignment horizontal="center" vertical="center" textRotation="90"/>
    </xf>
    <xf numFmtId="0" fontId="186" fillId="0" borderId="7" xfId="6" applyNumberFormat="1" applyFont="1" applyBorder="1" applyAlignment="1">
      <alignment horizontal="center" vertical="center" textRotation="90"/>
    </xf>
    <xf numFmtId="0" fontId="186" fillId="0" borderId="53" xfId="6" applyNumberFormat="1" applyFont="1" applyBorder="1" applyAlignment="1">
      <alignment horizontal="center" vertical="center" textRotation="90"/>
    </xf>
    <xf numFmtId="0" fontId="173" fillId="0" borderId="6" xfId="6" applyNumberFormat="1" applyFont="1" applyBorder="1" applyAlignment="1">
      <alignment horizontal="center" vertical="center"/>
    </xf>
    <xf numFmtId="0" fontId="173" fillId="0" borderId="7" xfId="6" applyNumberFormat="1" applyFont="1" applyBorder="1" applyAlignment="1">
      <alignment horizontal="center" vertical="center"/>
    </xf>
    <xf numFmtId="0" fontId="186" fillId="0" borderId="22" xfId="6" applyNumberFormat="1" applyFont="1" applyBorder="1" applyAlignment="1">
      <alignment horizontal="center" vertical="center" textRotation="90"/>
    </xf>
    <xf numFmtId="0" fontId="186" fillId="0" borderId="71" xfId="6" applyNumberFormat="1" applyFont="1" applyBorder="1" applyAlignment="1">
      <alignment horizontal="center" vertical="center" textRotation="90"/>
    </xf>
    <xf numFmtId="0" fontId="186" fillId="0" borderId="13" xfId="6" applyNumberFormat="1" applyFont="1" applyBorder="1" applyAlignment="1">
      <alignment horizontal="center" vertical="center" textRotation="90"/>
    </xf>
    <xf numFmtId="4" fontId="173" fillId="39" borderId="22" xfId="6" applyFont="1" applyFill="1" applyBorder="1" applyAlignment="1">
      <alignment horizontal="center" vertical="center" textRotation="90" wrapText="1"/>
    </xf>
    <xf numFmtId="4" fontId="173" fillId="39" borderId="71" xfId="6" applyFont="1" applyFill="1" applyBorder="1" applyAlignment="1">
      <alignment horizontal="center" vertical="center" textRotation="90" wrapText="1"/>
    </xf>
    <xf numFmtId="4" fontId="173" fillId="39" borderId="13" xfId="6" applyFont="1" applyFill="1" applyBorder="1" applyAlignment="1">
      <alignment horizontal="center" vertical="center" textRotation="90" wrapText="1"/>
    </xf>
    <xf numFmtId="4" fontId="187" fillId="0" borderId="88" xfId="6" applyFont="1" applyBorder="1" applyAlignment="1">
      <alignment horizontal="center" vertical="center" textRotation="90" wrapText="1"/>
    </xf>
    <xf numFmtId="4" fontId="187" fillId="0" borderId="71" xfId="6" applyFont="1" applyBorder="1" applyAlignment="1">
      <alignment horizontal="center" vertical="center" textRotation="90" wrapText="1"/>
    </xf>
    <xf numFmtId="4" fontId="187" fillId="0" borderId="50" xfId="6" applyFont="1" applyBorder="1" applyAlignment="1">
      <alignment horizontal="center" vertical="center" textRotation="90" wrapText="1"/>
    </xf>
    <xf numFmtId="4" fontId="186" fillId="0" borderId="22" xfId="6" applyFont="1" applyBorder="1" applyAlignment="1">
      <alignment horizontal="center" vertical="center" textRotation="90"/>
    </xf>
    <xf numFmtId="4" fontId="186" fillId="0" borderId="71" xfId="6" applyFont="1" applyBorder="1" applyAlignment="1">
      <alignment horizontal="center" vertical="center" textRotation="90"/>
    </xf>
    <xf numFmtId="4" fontId="186" fillId="0" borderId="92" xfId="6" applyFont="1" applyBorder="1" applyAlignment="1">
      <alignment horizontal="center" vertical="center" textRotation="90" wrapText="1"/>
    </xf>
    <xf numFmtId="4" fontId="186" fillId="0" borderId="7" xfId="6" applyFont="1" applyBorder="1" applyAlignment="1">
      <alignment horizontal="center" vertical="center" textRotation="90" wrapText="1"/>
    </xf>
    <xf numFmtId="4" fontId="186" fillId="0" borderId="64" xfId="6" applyFont="1" applyBorder="1" applyAlignment="1">
      <alignment horizontal="center" vertical="center" textRotation="90" wrapText="1"/>
    </xf>
    <xf numFmtId="4" fontId="186" fillId="0" borderId="71" xfId="6" applyFont="1" applyBorder="1" applyAlignment="1">
      <alignment horizontal="center" vertical="center" textRotation="90" wrapText="1"/>
    </xf>
    <xf numFmtId="4" fontId="37" fillId="39" borderId="22" xfId="6" applyFont="1" applyFill="1" applyBorder="1" applyAlignment="1">
      <alignment horizontal="center" vertical="center" textRotation="90" wrapText="1"/>
    </xf>
    <xf numFmtId="4" fontId="37" fillId="39" borderId="71" xfId="6" applyFont="1" applyFill="1" applyBorder="1" applyAlignment="1">
      <alignment horizontal="center" vertical="center" textRotation="90" wrapText="1"/>
    </xf>
    <xf numFmtId="4" fontId="37" fillId="39" borderId="13" xfId="6" applyFont="1" applyFill="1" applyBorder="1" applyAlignment="1">
      <alignment horizontal="center" vertical="center" textRotation="90" wrapText="1"/>
    </xf>
    <xf numFmtId="173" fontId="180" fillId="5" borderId="6" xfId="2" applyNumberFormat="1" applyFont="1" applyFill="1" applyBorder="1" applyAlignment="1">
      <alignment horizontal="center" vertical="center" wrapText="1"/>
    </xf>
    <xf numFmtId="173" fontId="180" fillId="5" borderId="7" xfId="2" applyNumberFormat="1" applyFont="1" applyFill="1" applyBorder="1" applyAlignment="1">
      <alignment horizontal="center" vertical="center" wrapText="1"/>
    </xf>
    <xf numFmtId="173" fontId="180" fillId="5" borderId="53" xfId="2" applyNumberFormat="1" applyFont="1" applyFill="1" applyBorder="1" applyAlignment="1">
      <alignment horizontal="center" vertical="center" wrapText="1"/>
    </xf>
    <xf numFmtId="173" fontId="180" fillId="5" borderId="19" xfId="2" applyNumberFormat="1" applyFont="1" applyFill="1" applyBorder="1" applyAlignment="1">
      <alignment horizontal="center" vertical="center" wrapText="1"/>
    </xf>
    <xf numFmtId="173" fontId="180" fillId="5" borderId="44" xfId="2" applyNumberFormat="1" applyFont="1" applyFill="1" applyBorder="1" applyAlignment="1">
      <alignment horizontal="center" vertical="center" wrapText="1"/>
    </xf>
    <xf numFmtId="173" fontId="180" fillId="5" borderId="51" xfId="2" applyNumberFormat="1" applyFont="1" applyFill="1" applyBorder="1" applyAlignment="1">
      <alignment horizontal="center" vertical="center" wrapText="1"/>
    </xf>
    <xf numFmtId="2" fontId="11" fillId="5" borderId="43" xfId="2" applyNumberFormat="1" applyFont="1" applyFill="1" applyBorder="1" applyAlignment="1">
      <alignment horizontal="center" vertical="center" textRotation="90"/>
    </xf>
    <xf numFmtId="2" fontId="163" fillId="45" borderId="6" xfId="2" applyNumberFormat="1" applyFont="1" applyFill="1" applyBorder="1" applyAlignment="1">
      <alignment horizontal="center" vertical="center" textRotation="90"/>
    </xf>
    <xf numFmtId="2" fontId="163" fillId="45" borderId="7" xfId="2" applyNumberFormat="1" applyFont="1" applyFill="1" applyBorder="1" applyAlignment="1">
      <alignment horizontal="center" vertical="center" textRotation="90"/>
    </xf>
    <xf numFmtId="2" fontId="163" fillId="45" borderId="53" xfId="2" applyNumberFormat="1" applyFont="1" applyFill="1" applyBorder="1" applyAlignment="1">
      <alignment horizontal="center" vertical="center" textRotation="90"/>
    </xf>
    <xf numFmtId="2" fontId="163" fillId="6" borderId="6" xfId="2" applyNumberFormat="1" applyFont="1" applyFill="1" applyBorder="1" applyAlignment="1">
      <alignment horizontal="center" vertical="center" textRotation="90"/>
    </xf>
    <xf numFmtId="2" fontId="163" fillId="6" borderId="7" xfId="2" applyNumberFormat="1" applyFont="1" applyFill="1" applyBorder="1" applyAlignment="1">
      <alignment horizontal="center" vertical="center" textRotation="90"/>
    </xf>
    <xf numFmtId="2" fontId="163" fillId="6" borderId="53" xfId="2" applyNumberFormat="1" applyFont="1" applyFill="1" applyBorder="1" applyAlignment="1">
      <alignment horizontal="center" vertical="center" textRotation="90"/>
    </xf>
    <xf numFmtId="173" fontId="164" fillId="45" borderId="43" xfId="2" applyNumberFormat="1" applyFont="1" applyFill="1" applyBorder="1" applyAlignment="1">
      <alignment horizontal="center" vertical="center" textRotation="90"/>
    </xf>
    <xf numFmtId="2" fontId="153" fillId="45" borderId="44" xfId="2" applyNumberFormat="1" applyFont="1" applyFill="1" applyBorder="1" applyAlignment="1">
      <alignment horizontal="center" vertical="center"/>
    </xf>
    <xf numFmtId="2" fontId="153" fillId="43" borderId="44" xfId="2" applyNumberFormat="1" applyFont="1" applyFill="1" applyBorder="1" applyAlignment="1">
      <alignment horizontal="center" vertical="center"/>
    </xf>
    <xf numFmtId="2" fontId="12" fillId="5" borderId="43" xfId="2" applyNumberFormat="1" applyFont="1" applyFill="1" applyBorder="1" applyAlignment="1">
      <alignment horizontal="center" vertical="center" textRotation="90"/>
    </xf>
    <xf numFmtId="4" fontId="22" fillId="2" borderId="61" xfId="5" applyFont="1" applyFill="1" applyBorder="1" applyAlignment="1">
      <alignment horizontal="center"/>
    </xf>
    <xf numFmtId="4" fontId="22" fillId="2" borderId="21" xfId="5" applyFont="1" applyFill="1" applyBorder="1" applyAlignment="1">
      <alignment horizontal="center"/>
    </xf>
    <xf numFmtId="4" fontId="22" fillId="2" borderId="42" xfId="5" applyFont="1" applyFill="1" applyBorder="1" applyAlignment="1">
      <alignment horizontal="center"/>
    </xf>
    <xf numFmtId="4" fontId="19" fillId="0" borderId="0" xfId="5" applyFont="1" applyAlignment="1">
      <alignment horizontal="center"/>
    </xf>
    <xf numFmtId="203" fontId="19" fillId="0" borderId="0" xfId="5" applyNumberFormat="1" applyFont="1" applyAlignment="1">
      <alignment horizontal="center"/>
    </xf>
    <xf numFmtId="14" fontId="19" fillId="0" borderId="0" xfId="5" applyNumberFormat="1" applyFont="1" applyAlignment="1">
      <alignment horizontal="center"/>
    </xf>
    <xf numFmtId="4" fontId="22" fillId="2" borderId="17" xfId="5" applyFont="1" applyFill="1" applyBorder="1" applyAlignment="1">
      <alignment horizontal="center"/>
    </xf>
    <xf numFmtId="4" fontId="22" fillId="2" borderId="8" xfId="5" applyFont="1" applyFill="1" applyBorder="1" applyAlignment="1">
      <alignment horizontal="center"/>
    </xf>
    <xf numFmtId="4" fontId="22" fillId="2" borderId="23" xfId="5" applyFont="1" applyFill="1" applyBorder="1" applyAlignment="1">
      <alignment horizontal="center"/>
    </xf>
    <xf numFmtId="4" fontId="22" fillId="2" borderId="17" xfId="5" applyFont="1" applyFill="1" applyBorder="1" applyAlignment="1">
      <alignment horizontal="center" vertical="center"/>
    </xf>
    <xf numFmtId="4" fontId="21" fillId="2" borderId="8" xfId="5" applyFont="1" applyFill="1" applyBorder="1" applyAlignment="1">
      <alignment horizontal="center" vertical="center"/>
    </xf>
    <xf numFmtId="4" fontId="21" fillId="2" borderId="23" xfId="5" applyFont="1" applyFill="1" applyBorder="1" applyAlignment="1">
      <alignment horizontal="center" vertical="center"/>
    </xf>
    <xf numFmtId="0" fontId="12" fillId="2" borderId="17" xfId="5" applyNumberFormat="1" applyFont="1" applyFill="1" applyBorder="1" applyAlignment="1">
      <alignment horizontal="center"/>
    </xf>
    <xf numFmtId="0" fontId="12" fillId="2" borderId="8" xfId="5" applyNumberFormat="1" applyFont="1" applyFill="1" applyBorder="1" applyAlignment="1">
      <alignment horizontal="center"/>
    </xf>
    <xf numFmtId="0" fontId="12" fillId="2" borderId="23" xfId="5" applyNumberFormat="1" applyFont="1" applyFill="1" applyBorder="1" applyAlignment="1">
      <alignment horizontal="center"/>
    </xf>
  </cellXfs>
  <cellStyles count="1163">
    <cellStyle name="_x0007_" xfId="537" xr:uid="{00000000-0005-0000-0000-000000000000}"/>
    <cellStyle name=" 1" xfId="51" xr:uid="{00000000-0005-0000-0000-000001000000}"/>
    <cellStyle name="$* #,##0.0;[Red]" xfId="538" xr:uid="{00000000-0005-0000-0000-000002000000}"/>
    <cellStyle name="$* #,##0.00;[Red]" xfId="539" xr:uid="{00000000-0005-0000-0000-000003000000}"/>
    <cellStyle name="$* #,##0;[Red]" xfId="540" xr:uid="{00000000-0005-0000-0000-000004000000}"/>
    <cellStyle name="," xfId="541" xr:uid="{00000000-0005-0000-0000-000005000000}"/>
    <cellStyle name="??" xfId="52" xr:uid="{00000000-0005-0000-0000-000006000000}"/>
    <cellStyle name="?? 2" xfId="53" xr:uid="{00000000-0005-0000-0000-000007000000}"/>
    <cellStyle name="?? 2 2" xfId="543" xr:uid="{00000000-0005-0000-0000-000008000000}"/>
    <cellStyle name="?? 3" xfId="542" xr:uid="{00000000-0005-0000-0000-000009000000}"/>
    <cellStyle name="????[0]_A-A" xfId="54" xr:uid="{00000000-0005-0000-0000-00000A000000}"/>
    <cellStyle name="????_A-A" xfId="55" xr:uid="{00000000-0005-0000-0000-00000B000000}"/>
    <cellStyle name="???[0]_?????" xfId="56" xr:uid="{00000000-0005-0000-0000-00000C000000}"/>
    <cellStyle name="???_?????" xfId="57" xr:uid="{00000000-0005-0000-0000-00000D000000}"/>
    <cellStyle name="??[0]_?????" xfId="58" xr:uid="{00000000-0005-0000-0000-00000E000000}"/>
    <cellStyle name="??_?????" xfId="59" xr:uid="{00000000-0005-0000-0000-00000F000000}"/>
    <cellStyle name="_00 Oman Job Pprwk V16_printable" xfId="60" xr:uid="{00000000-0005-0000-0000-000010000000}"/>
    <cellStyle name="_Aberdeen Paperwork MWO" xfId="61" xr:uid="{00000000-0005-0000-0000-000011000000}"/>
    <cellStyle name="_ad" xfId="62" xr:uid="{00000000-0005-0000-0000-000012000000}"/>
    <cellStyle name="_Appraisal" xfId="63" xr:uid="{00000000-0005-0000-0000-000013000000}"/>
    <cellStyle name="_AUH paperwork" xfId="64" xr:uid="{00000000-0005-0000-0000-000014000000}"/>
    <cellStyle name="_Delivery note Australia" xfId="65" xr:uid="{00000000-0005-0000-0000-000015000000}"/>
    <cellStyle name="_Example Inventory August_21_" xfId="66" xr:uid="{00000000-0005-0000-0000-000016000000}"/>
    <cellStyle name="_Example Inventory August_21__Explosive PVD-1 4 June 08" xfId="67" xr:uid="{00000000-0005-0000-0000-000017000000}"/>
    <cellStyle name="_Job appraisal Wnt2-6" xfId="68" xr:uid="{00000000-0005-0000-0000-000018000000}"/>
    <cellStyle name="_Master" xfId="546" xr:uid="{00000000-0005-0000-0000-000019000000}"/>
    <cellStyle name="_Master (2)" xfId="547" xr:uid="{00000000-0005-0000-0000-00001A000000}"/>
    <cellStyle name="_Master (2)_1" xfId="548" xr:uid="{00000000-0005-0000-0000-00001B000000}"/>
    <cellStyle name="_Master (2)_2" xfId="549" xr:uid="{00000000-0005-0000-0000-00001C000000}"/>
    <cellStyle name="_Master (2)_3" xfId="550" xr:uid="{00000000-0005-0000-0000-00001D000000}"/>
    <cellStyle name="_Master_1" xfId="551" xr:uid="{00000000-0005-0000-0000-00001E000000}"/>
    <cellStyle name="_Master_2" xfId="552" xr:uid="{00000000-0005-0000-0000-00001F000000}"/>
    <cellStyle name="_NaCl" xfId="69" xr:uid="{00000000-0005-0000-0000-000020000000}"/>
    <cellStyle name="_OH Equipment Sheet" xfId="70" xr:uid="{00000000-0005-0000-0000-000021000000}"/>
    <cellStyle name="_OLD_TEMPLATE_PAPERWORK" xfId="71" xr:uid="{00000000-0005-0000-0000-000022000000}"/>
    <cellStyle name="_paperwork" xfId="72" xr:uid="{00000000-0005-0000-0000-000023000000}"/>
    <cellStyle name="_Parameter BHA#1-sheet 2 (2)" xfId="553" xr:uid="{00000000-0005-0000-0000-000024000000}"/>
    <cellStyle name="_Parameter BHA#1-sheet 2 (2)_1" xfId="554" xr:uid="{00000000-0005-0000-0000-000025000000}"/>
    <cellStyle name="_Parameter BHA#1-sheet 2 (2)_2" xfId="555" xr:uid="{00000000-0005-0000-0000-000026000000}"/>
    <cellStyle name="_RA source usage log 11-Jan-05" xfId="73" xr:uid="{00000000-0005-0000-0000-000027000000}"/>
    <cellStyle name="_RAMK" xfId="74" xr:uid="{00000000-0005-0000-0000-000028000000}"/>
    <cellStyle name="_service repair order" xfId="75" xr:uid="{00000000-0005-0000-0000-000029000000}"/>
    <cellStyle name="_SO_502497" xfId="76" xr:uid="{00000000-0005-0000-0000-00002A000000}"/>
    <cellStyle name="0" xfId="556" xr:uid="{00000000-0005-0000-0000-00002B000000}"/>
    <cellStyle name="10/16" xfId="77" xr:uid="{00000000-0005-0000-0000-00002C000000}"/>
    <cellStyle name="10/16 2" xfId="557" xr:uid="{00000000-0005-0000-0000-00002D000000}"/>
    <cellStyle name="20% - Accent1 2" xfId="78" xr:uid="{00000000-0005-0000-0000-00002E000000}"/>
    <cellStyle name="20% - Accent1 2 2" xfId="558" xr:uid="{00000000-0005-0000-0000-00002F000000}"/>
    <cellStyle name="20% - Accent2 2" xfId="79" xr:uid="{00000000-0005-0000-0000-000030000000}"/>
    <cellStyle name="20% - Accent2 2 2" xfId="559" xr:uid="{00000000-0005-0000-0000-000031000000}"/>
    <cellStyle name="20% - Accent3 2" xfId="80" xr:uid="{00000000-0005-0000-0000-000032000000}"/>
    <cellStyle name="20% - Accent3 2 2" xfId="560" xr:uid="{00000000-0005-0000-0000-000033000000}"/>
    <cellStyle name="20% - Accent4 2" xfId="81" xr:uid="{00000000-0005-0000-0000-000034000000}"/>
    <cellStyle name="20% - Accent4 2 2" xfId="561" xr:uid="{00000000-0005-0000-0000-000035000000}"/>
    <cellStyle name="20% - Accent5 2" xfId="82" xr:uid="{00000000-0005-0000-0000-000036000000}"/>
    <cellStyle name="20% - Accent5 2 2" xfId="562" xr:uid="{00000000-0005-0000-0000-000037000000}"/>
    <cellStyle name="20% - Accent6 2" xfId="83" xr:uid="{00000000-0005-0000-0000-000038000000}"/>
    <cellStyle name="20% - Accent6 2 2" xfId="563" xr:uid="{00000000-0005-0000-0000-000039000000}"/>
    <cellStyle name="22.11" xfId="564" xr:uid="{00000000-0005-0000-0000-00003A000000}"/>
    <cellStyle name="2decimal" xfId="9" xr:uid="{00000000-0005-0000-0000-00003B000000}"/>
    <cellStyle name="2decimal 2" xfId="84" xr:uid="{00000000-0005-0000-0000-00003C000000}"/>
    <cellStyle name="2decimal 2 2" xfId="565" xr:uid="{00000000-0005-0000-0000-00003D000000}"/>
    <cellStyle name="2decimal 3" xfId="85" xr:uid="{00000000-0005-0000-0000-00003E000000}"/>
    <cellStyle name="2decimal 3 2" xfId="567" xr:uid="{00000000-0005-0000-0000-00003F000000}"/>
    <cellStyle name="2decimal 3 3" xfId="568" xr:uid="{00000000-0005-0000-0000-000040000000}"/>
    <cellStyle name="2decimal 3 4" xfId="566" xr:uid="{00000000-0005-0000-0000-000041000000}"/>
    <cellStyle name="2decimal 4" xfId="569" xr:uid="{00000000-0005-0000-0000-000042000000}"/>
    <cellStyle name="2decimal 4 2" xfId="570" xr:uid="{00000000-0005-0000-0000-000043000000}"/>
    <cellStyle name="2decimal 5" xfId="571" xr:uid="{00000000-0005-0000-0000-000044000000}"/>
    <cellStyle name="2decimal 5 2" xfId="572" xr:uid="{00000000-0005-0000-0000-000045000000}"/>
    <cellStyle name="2decimal 6" xfId="573" xr:uid="{00000000-0005-0000-0000-000046000000}"/>
    <cellStyle name="³£¹æ_PERSONAL" xfId="574" xr:uid="{00000000-0005-0000-0000-000047000000}"/>
    <cellStyle name="40% - Accent1 2" xfId="86" xr:uid="{00000000-0005-0000-0000-000048000000}"/>
    <cellStyle name="40% - Accent1 2 2" xfId="575" xr:uid="{00000000-0005-0000-0000-000049000000}"/>
    <cellStyle name="40% - Accent2 2" xfId="87" xr:uid="{00000000-0005-0000-0000-00004A000000}"/>
    <cellStyle name="40% - Accent2 2 2" xfId="576" xr:uid="{00000000-0005-0000-0000-00004B000000}"/>
    <cellStyle name="40% - Accent3 2" xfId="88" xr:uid="{00000000-0005-0000-0000-00004C000000}"/>
    <cellStyle name="40% - Accent3 2 2" xfId="577" xr:uid="{00000000-0005-0000-0000-00004D000000}"/>
    <cellStyle name="40% - Accent4 2" xfId="89" xr:uid="{00000000-0005-0000-0000-00004E000000}"/>
    <cellStyle name="40% - Accent4 2 2" xfId="578" xr:uid="{00000000-0005-0000-0000-00004F000000}"/>
    <cellStyle name="40% - Accent5 2" xfId="90" xr:uid="{00000000-0005-0000-0000-000050000000}"/>
    <cellStyle name="40% - Accent5 2 2" xfId="579" xr:uid="{00000000-0005-0000-0000-000051000000}"/>
    <cellStyle name="40% - Accent6 2" xfId="91" xr:uid="{00000000-0005-0000-0000-000052000000}"/>
    <cellStyle name="40% - Accent6 2 2" xfId="580" xr:uid="{00000000-0005-0000-0000-000053000000}"/>
    <cellStyle name="60% - Accent1 2" xfId="92" xr:uid="{00000000-0005-0000-0000-000054000000}"/>
    <cellStyle name="60% - Accent2 2" xfId="93" xr:uid="{00000000-0005-0000-0000-000055000000}"/>
    <cellStyle name="60% - Accent3 2" xfId="94" xr:uid="{00000000-0005-0000-0000-000056000000}"/>
    <cellStyle name="60% - Accent4 2" xfId="95" xr:uid="{00000000-0005-0000-0000-000057000000}"/>
    <cellStyle name="60% - Accent5 2" xfId="96" xr:uid="{00000000-0005-0000-0000-000058000000}"/>
    <cellStyle name="60% - Accent6 2" xfId="97" xr:uid="{00000000-0005-0000-0000-000059000000}"/>
    <cellStyle name="A-4 B-16" xfId="581" xr:uid="{00000000-0005-0000-0000-00005A000000}"/>
    <cellStyle name="Accent1 2" xfId="98" xr:uid="{00000000-0005-0000-0000-00005B000000}"/>
    <cellStyle name="Accent2 2" xfId="99" xr:uid="{00000000-0005-0000-0000-00005C000000}"/>
    <cellStyle name="Accent3 2" xfId="100" xr:uid="{00000000-0005-0000-0000-00005D000000}"/>
    <cellStyle name="Accent4 2" xfId="101" xr:uid="{00000000-0005-0000-0000-00005E000000}"/>
    <cellStyle name="Accent5 2" xfId="102" xr:uid="{00000000-0005-0000-0000-00005F000000}"/>
    <cellStyle name="Accent6 2" xfId="103" xr:uid="{00000000-0005-0000-0000-000060000000}"/>
    <cellStyle name="ÆÕÍ¨_¸½Í¼¶þ" xfId="582" xr:uid="{00000000-0005-0000-0000-000061000000}"/>
    <cellStyle name="args.style" xfId="10" xr:uid="{00000000-0005-0000-0000-000062000000}"/>
    <cellStyle name="args.style 2" xfId="104" xr:uid="{00000000-0005-0000-0000-000063000000}"/>
    <cellStyle name="args.style 3" xfId="583" xr:uid="{00000000-0005-0000-0000-000064000000}"/>
    <cellStyle name="args.style 3 2" xfId="584" xr:uid="{00000000-0005-0000-0000-000065000000}"/>
    <cellStyle name="args.style_BRWA03 Wellfile rev0" xfId="585" xr:uid="{00000000-0005-0000-0000-000066000000}"/>
    <cellStyle name="Bad 2" xfId="105" xr:uid="{00000000-0005-0000-0000-000067000000}"/>
    <cellStyle name="Body" xfId="11" xr:uid="{00000000-0005-0000-0000-000068000000}"/>
    <cellStyle name="Body 2" xfId="106" xr:uid="{00000000-0005-0000-0000-000069000000}"/>
    <cellStyle name="Bold_8" xfId="107" xr:uid="{00000000-0005-0000-0000-00006A000000}"/>
    <cellStyle name="Ç§·ÖÎ»[0]_ 06Â©Ê§ÊÔÑé" xfId="586" xr:uid="{00000000-0005-0000-0000-00006B000000}"/>
    <cellStyle name="Ç§·ÖÎ»_ 06Â©Ê§ÊÔÑé" xfId="587" xr:uid="{00000000-0005-0000-0000-00006C000000}"/>
    <cellStyle name="Ç§Î»·Ö¸ô[0]_PERSONAL" xfId="588" xr:uid="{00000000-0005-0000-0000-00006D000000}"/>
    <cellStyle name="Ç§Î»·Ö¸ô_PERSONAL" xfId="589" xr:uid="{00000000-0005-0000-0000-00006E000000}"/>
    <cellStyle name="Calc Currency (0)" xfId="12" xr:uid="{00000000-0005-0000-0000-00006F000000}"/>
    <cellStyle name="Calc Currency (0) 2" xfId="108" xr:uid="{00000000-0005-0000-0000-000070000000}"/>
    <cellStyle name="Calc Currency (0) 2 2" xfId="590" xr:uid="{00000000-0005-0000-0000-000071000000}"/>
    <cellStyle name="Calc Currency (0) 3" xfId="109" xr:uid="{00000000-0005-0000-0000-000072000000}"/>
    <cellStyle name="Calc Currency (0) 3 2" xfId="591" xr:uid="{00000000-0005-0000-0000-000073000000}"/>
    <cellStyle name="Calculation 2" xfId="110" xr:uid="{00000000-0005-0000-0000-000074000000}"/>
    <cellStyle name="Calculation 3" xfId="111" xr:uid="{00000000-0005-0000-0000-000075000000}"/>
    <cellStyle name="Calculation 4" xfId="112" xr:uid="{00000000-0005-0000-0000-000076000000}"/>
    <cellStyle name="Check Cell 2" xfId="113" xr:uid="{00000000-0005-0000-0000-000077000000}"/>
    <cellStyle name="Comma  - Style1" xfId="13" xr:uid="{00000000-0005-0000-0000-000079000000}"/>
    <cellStyle name="Comma  - Style1 2" xfId="114" xr:uid="{00000000-0005-0000-0000-00007A000000}"/>
    <cellStyle name="Comma  - Style1 2 2" xfId="592" xr:uid="{00000000-0005-0000-0000-00007B000000}"/>
    <cellStyle name="Comma  - Style1 3" xfId="115" xr:uid="{00000000-0005-0000-0000-00007C000000}"/>
    <cellStyle name="Comma  - Style2" xfId="14" xr:uid="{00000000-0005-0000-0000-00007D000000}"/>
    <cellStyle name="Comma  - Style2 2" xfId="116" xr:uid="{00000000-0005-0000-0000-00007E000000}"/>
    <cellStyle name="Comma  - Style2 2 2" xfId="593" xr:uid="{00000000-0005-0000-0000-00007F000000}"/>
    <cellStyle name="Comma  - Style2 3" xfId="117" xr:uid="{00000000-0005-0000-0000-000080000000}"/>
    <cellStyle name="Comma  - Style3" xfId="15" xr:uid="{00000000-0005-0000-0000-000081000000}"/>
    <cellStyle name="Comma  - Style3 2" xfId="118" xr:uid="{00000000-0005-0000-0000-000082000000}"/>
    <cellStyle name="Comma  - Style3 2 2" xfId="594" xr:uid="{00000000-0005-0000-0000-000083000000}"/>
    <cellStyle name="Comma  - Style3 3" xfId="119" xr:uid="{00000000-0005-0000-0000-000084000000}"/>
    <cellStyle name="Comma  - Style4" xfId="16" xr:uid="{00000000-0005-0000-0000-000085000000}"/>
    <cellStyle name="Comma  - Style4 2" xfId="120" xr:uid="{00000000-0005-0000-0000-000086000000}"/>
    <cellStyle name="Comma  - Style4 2 2" xfId="595" xr:uid="{00000000-0005-0000-0000-000087000000}"/>
    <cellStyle name="Comma  - Style4 3" xfId="121" xr:uid="{00000000-0005-0000-0000-000088000000}"/>
    <cellStyle name="Comma  - Style5" xfId="17" xr:uid="{00000000-0005-0000-0000-000089000000}"/>
    <cellStyle name="Comma  - Style5 2" xfId="122" xr:uid="{00000000-0005-0000-0000-00008A000000}"/>
    <cellStyle name="Comma  - Style5 2 2" xfId="596" xr:uid="{00000000-0005-0000-0000-00008B000000}"/>
    <cellStyle name="Comma  - Style5 3" xfId="123" xr:uid="{00000000-0005-0000-0000-00008C000000}"/>
    <cellStyle name="Comma  - Style6" xfId="18" xr:uid="{00000000-0005-0000-0000-00008D000000}"/>
    <cellStyle name="Comma  - Style6 2" xfId="124" xr:uid="{00000000-0005-0000-0000-00008E000000}"/>
    <cellStyle name="Comma  - Style6 2 2" xfId="597" xr:uid="{00000000-0005-0000-0000-00008F000000}"/>
    <cellStyle name="Comma  - Style6 3" xfId="125" xr:uid="{00000000-0005-0000-0000-000090000000}"/>
    <cellStyle name="Comma  - Style7" xfId="19" xr:uid="{00000000-0005-0000-0000-000091000000}"/>
    <cellStyle name="Comma  - Style7 2" xfId="126" xr:uid="{00000000-0005-0000-0000-000092000000}"/>
    <cellStyle name="Comma  - Style7 2 2" xfId="598" xr:uid="{00000000-0005-0000-0000-000093000000}"/>
    <cellStyle name="Comma  - Style7 3" xfId="127" xr:uid="{00000000-0005-0000-0000-000094000000}"/>
    <cellStyle name="Comma  - Style8" xfId="20" xr:uid="{00000000-0005-0000-0000-000095000000}"/>
    <cellStyle name="Comma  - Style8 2" xfId="128" xr:uid="{00000000-0005-0000-0000-000096000000}"/>
    <cellStyle name="Comma  - Style8 2 2" xfId="599" xr:uid="{00000000-0005-0000-0000-000097000000}"/>
    <cellStyle name="Comma  - Style8 3" xfId="129" xr:uid="{00000000-0005-0000-0000-000098000000}"/>
    <cellStyle name="Comma (0.0)" xfId="600" xr:uid="{00000000-0005-0000-0000-000099000000}"/>
    <cellStyle name="Comma (0.00)" xfId="601" xr:uid="{00000000-0005-0000-0000-00009A000000}"/>
    <cellStyle name="Comma [0.0]" xfId="602" xr:uid="{00000000-0005-0000-0000-00009B000000}"/>
    <cellStyle name="Comma [0.00]" xfId="603" xr:uid="{00000000-0005-0000-0000-00009C000000}"/>
    <cellStyle name="Comma 10" xfId="604" xr:uid="{00000000-0005-0000-0000-00009D000000}"/>
    <cellStyle name="Comma 10 2" xfId="605" xr:uid="{00000000-0005-0000-0000-00009E000000}"/>
    <cellStyle name="Comma 10 2 2" xfId="606" xr:uid="{00000000-0005-0000-0000-00009F000000}"/>
    <cellStyle name="Comma 10 3" xfId="607" xr:uid="{00000000-0005-0000-0000-0000A0000000}"/>
    <cellStyle name="Comma 11" xfId="608" xr:uid="{00000000-0005-0000-0000-0000A1000000}"/>
    <cellStyle name="Comma 11 2" xfId="609" xr:uid="{00000000-0005-0000-0000-0000A2000000}"/>
    <cellStyle name="Comma 12" xfId="610" xr:uid="{00000000-0005-0000-0000-0000A3000000}"/>
    <cellStyle name="Comma 12 2" xfId="611" xr:uid="{00000000-0005-0000-0000-0000A4000000}"/>
    <cellStyle name="Comma 13" xfId="612" xr:uid="{00000000-0005-0000-0000-0000A5000000}"/>
    <cellStyle name="Comma 13 2" xfId="613" xr:uid="{00000000-0005-0000-0000-0000A6000000}"/>
    <cellStyle name="Comma 14" xfId="614" xr:uid="{00000000-0005-0000-0000-0000A7000000}"/>
    <cellStyle name="Comma 14 2" xfId="615" xr:uid="{00000000-0005-0000-0000-0000A8000000}"/>
    <cellStyle name="Comma 15" xfId="616" xr:uid="{00000000-0005-0000-0000-0000A9000000}"/>
    <cellStyle name="Comma 15 2" xfId="617" xr:uid="{00000000-0005-0000-0000-0000AA000000}"/>
    <cellStyle name="Comma 16" xfId="618" xr:uid="{00000000-0005-0000-0000-0000AB000000}"/>
    <cellStyle name="Comma 2" xfId="130" xr:uid="{00000000-0005-0000-0000-0000AC000000}"/>
    <cellStyle name="Comma 2 2" xfId="131" xr:uid="{00000000-0005-0000-0000-0000AD000000}"/>
    <cellStyle name="Comma 2 2 2" xfId="619" xr:uid="{00000000-0005-0000-0000-0000AE000000}"/>
    <cellStyle name="Comma 3" xfId="132" xr:uid="{00000000-0005-0000-0000-0000AF000000}"/>
    <cellStyle name="Comma 3 2" xfId="133" xr:uid="{00000000-0005-0000-0000-0000B0000000}"/>
    <cellStyle name="Comma 4" xfId="134" xr:uid="{00000000-0005-0000-0000-0000B1000000}"/>
    <cellStyle name="Comma 4 2" xfId="620" xr:uid="{00000000-0005-0000-0000-0000B2000000}"/>
    <cellStyle name="Comma 4 2 2" xfId="621" xr:uid="{00000000-0005-0000-0000-0000B3000000}"/>
    <cellStyle name="Comma 4 3" xfId="622" xr:uid="{00000000-0005-0000-0000-0000B4000000}"/>
    <cellStyle name="Comma 5" xfId="135" xr:uid="{00000000-0005-0000-0000-0000B5000000}"/>
    <cellStyle name="Comma 5 2" xfId="623" xr:uid="{00000000-0005-0000-0000-0000B6000000}"/>
    <cellStyle name="Comma 5 2 2" xfId="624" xr:uid="{00000000-0005-0000-0000-0000B7000000}"/>
    <cellStyle name="Comma 5 3" xfId="625" xr:uid="{00000000-0005-0000-0000-0000B8000000}"/>
    <cellStyle name="Comma 6" xfId="136" xr:uid="{00000000-0005-0000-0000-0000B9000000}"/>
    <cellStyle name="Comma 6 2" xfId="626" xr:uid="{00000000-0005-0000-0000-0000BA000000}"/>
    <cellStyle name="Comma 6 2 2" xfId="627" xr:uid="{00000000-0005-0000-0000-0000BB000000}"/>
    <cellStyle name="Comma 6 3" xfId="628" xr:uid="{00000000-0005-0000-0000-0000BC000000}"/>
    <cellStyle name="Comma 7" xfId="137" xr:uid="{00000000-0005-0000-0000-0000BD000000}"/>
    <cellStyle name="Comma 7 2" xfId="630" xr:uid="{00000000-0005-0000-0000-0000BE000000}"/>
    <cellStyle name="Comma 7 2 2" xfId="631" xr:uid="{00000000-0005-0000-0000-0000BF000000}"/>
    <cellStyle name="Comma 7 3" xfId="632" xr:uid="{00000000-0005-0000-0000-0000C0000000}"/>
    <cellStyle name="Comma 7 4" xfId="629" xr:uid="{00000000-0005-0000-0000-0000C1000000}"/>
    <cellStyle name="Comma 8" xfId="138" xr:uid="{00000000-0005-0000-0000-0000C2000000}"/>
    <cellStyle name="Comma 8 2" xfId="633" xr:uid="{00000000-0005-0000-0000-0000C3000000}"/>
    <cellStyle name="Comma 8 2 2" xfId="634" xr:uid="{00000000-0005-0000-0000-0000C4000000}"/>
    <cellStyle name="Comma 8 3" xfId="635" xr:uid="{00000000-0005-0000-0000-0000C5000000}"/>
    <cellStyle name="Comma 9" xfId="139" xr:uid="{00000000-0005-0000-0000-0000C6000000}"/>
    <cellStyle name="Comma 9 2" xfId="637" xr:uid="{00000000-0005-0000-0000-0000C7000000}"/>
    <cellStyle name="Comma 9 2 2" xfId="638" xr:uid="{00000000-0005-0000-0000-0000C8000000}"/>
    <cellStyle name="Comma 9 3" xfId="639" xr:uid="{00000000-0005-0000-0000-0000C9000000}"/>
    <cellStyle name="Comma 9 4" xfId="636" xr:uid="{00000000-0005-0000-0000-0000CA000000}"/>
    <cellStyle name="Comma0" xfId="140" xr:uid="{00000000-0005-0000-0000-0000CB000000}"/>
    <cellStyle name="Comma0 2" xfId="640" xr:uid="{00000000-0005-0000-0000-0000CC000000}"/>
    <cellStyle name="Comma0 3" xfId="641" xr:uid="{00000000-0005-0000-0000-0000CD000000}"/>
    <cellStyle name="Copied" xfId="21" xr:uid="{00000000-0005-0000-0000-0000CE000000}"/>
    <cellStyle name="Copied 2" xfId="141" xr:uid="{00000000-0005-0000-0000-0000CF000000}"/>
    <cellStyle name="Copied 2 2" xfId="642" xr:uid="{00000000-0005-0000-0000-0000D0000000}"/>
    <cellStyle name="Currency ($0.0)" xfId="643" xr:uid="{00000000-0005-0000-0000-0000D1000000}"/>
    <cellStyle name="Currency ($0.00)" xfId="644" xr:uid="{00000000-0005-0000-0000-0000D2000000}"/>
    <cellStyle name="Currency [0.0]" xfId="645" xr:uid="{00000000-0005-0000-0000-0000D3000000}"/>
    <cellStyle name="Currency [0.00]" xfId="646" xr:uid="{00000000-0005-0000-0000-0000D4000000}"/>
    <cellStyle name="Currency [0]b" xfId="22" xr:uid="{00000000-0005-0000-0000-0000D5000000}"/>
    <cellStyle name="Currency [0]b 2" xfId="142" xr:uid="{00000000-0005-0000-0000-0000D6000000}"/>
    <cellStyle name="Currency [0]b 2 2" xfId="649" xr:uid="{00000000-0005-0000-0000-0000D7000000}"/>
    <cellStyle name="Currency [0]b 2 3" xfId="648" xr:uid="{00000000-0005-0000-0000-0000D8000000}"/>
    <cellStyle name="Currency [0]b 3" xfId="647" xr:uid="{00000000-0005-0000-0000-0000D9000000}"/>
    <cellStyle name="Currency 2" xfId="143" xr:uid="{00000000-0005-0000-0000-0000DA000000}"/>
    <cellStyle name="Currency 2 2" xfId="144" xr:uid="{00000000-0005-0000-0000-0000DB000000}"/>
    <cellStyle name="Currency 2 2 2" xfId="651" xr:uid="{00000000-0005-0000-0000-0000DC000000}"/>
    <cellStyle name="Currency 2 3" xfId="145" xr:uid="{00000000-0005-0000-0000-0000DD000000}"/>
    <cellStyle name="Currency 2 4" xfId="650" xr:uid="{00000000-0005-0000-0000-0000DE000000}"/>
    <cellStyle name="Currency 3" xfId="146" xr:uid="{00000000-0005-0000-0000-0000DF000000}"/>
    <cellStyle name="Currency 3 2" xfId="652" xr:uid="{00000000-0005-0000-0000-0000E0000000}"/>
    <cellStyle name="currency(2)" xfId="23" xr:uid="{00000000-0005-0000-0000-0000E1000000}"/>
    <cellStyle name="currency(2) 2" xfId="147" xr:uid="{00000000-0005-0000-0000-0000E2000000}"/>
    <cellStyle name="currency(2) 2 2" xfId="653" xr:uid="{00000000-0005-0000-0000-0000E3000000}"/>
    <cellStyle name="currency(2) 3" xfId="148" xr:uid="{00000000-0005-0000-0000-0000E4000000}"/>
    <cellStyle name="currency(2) 3 2" xfId="655" xr:uid="{00000000-0005-0000-0000-0000E5000000}"/>
    <cellStyle name="currency(2) 3 3" xfId="656" xr:uid="{00000000-0005-0000-0000-0000E6000000}"/>
    <cellStyle name="currency(2) 3 4" xfId="654" xr:uid="{00000000-0005-0000-0000-0000E7000000}"/>
    <cellStyle name="currency(2) 4" xfId="657" xr:uid="{00000000-0005-0000-0000-0000E8000000}"/>
    <cellStyle name="currency(2) 4 2" xfId="658" xr:uid="{00000000-0005-0000-0000-0000E9000000}"/>
    <cellStyle name="currency(2) 5" xfId="659" xr:uid="{00000000-0005-0000-0000-0000EA000000}"/>
    <cellStyle name="currency(2) 5 2" xfId="660" xr:uid="{00000000-0005-0000-0000-0000EB000000}"/>
    <cellStyle name="currency(2) 6" xfId="661" xr:uid="{00000000-0005-0000-0000-0000EC000000}"/>
    <cellStyle name="Currency0" xfId="149" xr:uid="{00000000-0005-0000-0000-0000ED000000}"/>
    <cellStyle name="Currency0 2" xfId="662" xr:uid="{00000000-0005-0000-0000-0000EE000000}"/>
    <cellStyle name="Currency0 3" xfId="663" xr:uid="{00000000-0005-0000-0000-0000EF000000}"/>
    <cellStyle name="DATAFIELDS" xfId="664" xr:uid="{00000000-0005-0000-0000-0000F0000000}"/>
    <cellStyle name="Date" xfId="150" xr:uid="{00000000-0005-0000-0000-0000F1000000}"/>
    <cellStyle name="Date (4-Aug-93)" xfId="665" xr:uid="{00000000-0005-0000-0000-0000F2000000}"/>
    <cellStyle name="Date (8/4/93)" xfId="666" xr:uid="{00000000-0005-0000-0000-0000F3000000}"/>
    <cellStyle name="Date (Aug-93)" xfId="667" xr:uid="{00000000-0005-0000-0000-0000F4000000}"/>
    <cellStyle name="Date [4-Aug-50]" xfId="668" xr:uid="{00000000-0005-0000-0000-0000F5000000}"/>
    <cellStyle name="Date [8/4/50]" xfId="669" xr:uid="{00000000-0005-0000-0000-0000F6000000}"/>
    <cellStyle name="Date [Aug 4, 1950]" xfId="670" xr:uid="{00000000-0005-0000-0000-0000F7000000}"/>
    <cellStyle name="Date [Aug-04]" xfId="671" xr:uid="{00000000-0005-0000-0000-0000F8000000}"/>
    <cellStyle name="Date [Aug-50]" xfId="672" xr:uid="{00000000-0005-0000-0000-0000F9000000}"/>
    <cellStyle name="Date 2" xfId="673" xr:uid="{00000000-0005-0000-0000-0000FA000000}"/>
    <cellStyle name="Date 3" xfId="674" xr:uid="{00000000-0005-0000-0000-0000FB000000}"/>
    <cellStyle name="Date 4" xfId="675" xr:uid="{00000000-0005-0000-0000-0000FC000000}"/>
    <cellStyle name="Date 5" xfId="676" xr:uid="{00000000-0005-0000-0000-0000FD000000}"/>
    <cellStyle name="Date 6" xfId="677" xr:uid="{00000000-0005-0000-0000-0000FE000000}"/>
    <cellStyle name="Date 7" xfId="678" xr:uid="{00000000-0005-0000-0000-0000FF000000}"/>
    <cellStyle name="Date 8" xfId="679" xr:uid="{00000000-0005-0000-0000-000000010000}"/>
    <cellStyle name="Date/Time (8/4/93 20:50)" xfId="680" xr:uid="{00000000-0005-0000-0000-000001010000}"/>
    <cellStyle name="decimal" xfId="681" xr:uid="{00000000-0005-0000-0000-000002010000}"/>
    <cellStyle name="degrees" xfId="151" xr:uid="{00000000-0005-0000-0000-000003010000}"/>
    <cellStyle name="Dezimal [0]_081" xfId="152" xr:uid="{00000000-0005-0000-0000-000004010000}"/>
    <cellStyle name="Dezimal_081" xfId="153" xr:uid="{00000000-0005-0000-0000-000005010000}"/>
    <cellStyle name="E" xfId="682" xr:uid="{00000000-0005-0000-0000-000006010000}"/>
    <cellStyle name="E 2" xfId="683" xr:uid="{00000000-0005-0000-0000-000007010000}"/>
    <cellStyle name="Ed" xfId="684" xr:uid="{00000000-0005-0000-0000-000008010000}"/>
    <cellStyle name="Ed 2" xfId="685" xr:uid="{00000000-0005-0000-0000-000009010000}"/>
    <cellStyle name="Edm" xfId="686" xr:uid="{00000000-0005-0000-0000-00000A010000}"/>
    <cellStyle name="Edm 2" xfId="687" xr:uid="{00000000-0005-0000-0000-00000B010000}"/>
    <cellStyle name="Entered" xfId="24" xr:uid="{00000000-0005-0000-0000-00000C010000}"/>
    <cellStyle name="Entered 2" xfId="154" xr:uid="{00000000-0005-0000-0000-00000D010000}"/>
    <cellStyle name="Entered 2 2" xfId="688" xr:uid="{00000000-0005-0000-0000-00000E010000}"/>
    <cellStyle name="erik" xfId="155" xr:uid="{00000000-0005-0000-0000-00000F010000}"/>
    <cellStyle name="Explanatory Text 2" xfId="156" xr:uid="{00000000-0005-0000-0000-000010010000}"/>
    <cellStyle name="F2" xfId="689" xr:uid="{00000000-0005-0000-0000-000011010000}"/>
    <cellStyle name="F3" xfId="690" xr:uid="{00000000-0005-0000-0000-000012010000}"/>
    <cellStyle name="F4" xfId="691" xr:uid="{00000000-0005-0000-0000-000013010000}"/>
    <cellStyle name="F5" xfId="692" xr:uid="{00000000-0005-0000-0000-000014010000}"/>
    <cellStyle name="F6" xfId="693" xr:uid="{00000000-0005-0000-0000-000015010000}"/>
    <cellStyle name="F7" xfId="694" xr:uid="{00000000-0005-0000-0000-000016010000}"/>
    <cellStyle name="F8" xfId="695" xr:uid="{00000000-0005-0000-0000-000017010000}"/>
    <cellStyle name="Fixed" xfId="157" xr:uid="{00000000-0005-0000-0000-000018010000}"/>
    <cellStyle name="Fixed 2" xfId="696" xr:uid="{00000000-0005-0000-0000-000019010000}"/>
    <cellStyle name="Fixed 3" xfId="697" xr:uid="{00000000-0005-0000-0000-00001A010000}"/>
    <cellStyle name="Fond" xfId="698" xr:uid="{00000000-0005-0000-0000-00001B010000}"/>
    <cellStyle name="form" xfId="25" xr:uid="{00000000-0005-0000-0000-00001C010000}"/>
    <cellStyle name="form 2" xfId="158" xr:uid="{00000000-0005-0000-0000-00001D010000}"/>
    <cellStyle name="Good 2" xfId="159" xr:uid="{00000000-0005-0000-0000-00001E010000}"/>
    <cellStyle name="Grey" xfId="26" xr:uid="{00000000-0005-0000-0000-00001F010000}"/>
    <cellStyle name="Grey 2" xfId="699" xr:uid="{00000000-0005-0000-0000-000020010000}"/>
    <cellStyle name="Grey 3" xfId="700" xr:uid="{00000000-0005-0000-0000-000021010000}"/>
    <cellStyle name="Head 1" xfId="27" xr:uid="{00000000-0005-0000-0000-000022010000}"/>
    <cellStyle name="Head 1 2" xfId="160" xr:uid="{00000000-0005-0000-0000-000023010000}"/>
    <cellStyle name="header" xfId="701" xr:uid="{00000000-0005-0000-0000-000024010000}"/>
    <cellStyle name="Header1" xfId="28" xr:uid="{00000000-0005-0000-0000-000025010000}"/>
    <cellStyle name="Header2" xfId="29" xr:uid="{00000000-0005-0000-0000-000026010000}"/>
    <cellStyle name="Header2 2" xfId="161" xr:uid="{00000000-0005-0000-0000-000027010000}"/>
    <cellStyle name="Heading 1 2" xfId="162" xr:uid="{00000000-0005-0000-0000-000028010000}"/>
    <cellStyle name="Heading 1 3" xfId="702" xr:uid="{00000000-0005-0000-0000-000029010000}"/>
    <cellStyle name="Heading 2 2" xfId="163" xr:uid="{00000000-0005-0000-0000-00002A010000}"/>
    <cellStyle name="Heading 2 3" xfId="703" xr:uid="{00000000-0005-0000-0000-00002B010000}"/>
    <cellStyle name="Heading 3 2" xfId="164" xr:uid="{00000000-0005-0000-0000-00002C010000}"/>
    <cellStyle name="Heading 4 2" xfId="165" xr:uid="{00000000-0005-0000-0000-00002D010000}"/>
    <cellStyle name="Heading1" xfId="704" xr:uid="{00000000-0005-0000-0000-00002E010000}"/>
    <cellStyle name="Heading2" xfId="705" xr:uid="{00000000-0005-0000-0000-00002F010000}"/>
    <cellStyle name="HEADINGS" xfId="30" xr:uid="{00000000-0005-0000-0000-000030010000}"/>
    <cellStyle name="HEADINGS 2" xfId="166" xr:uid="{00000000-0005-0000-0000-000031010000}"/>
    <cellStyle name="HEADINGS 2 2" xfId="706" xr:uid="{00000000-0005-0000-0000-000032010000}"/>
    <cellStyle name="HEADINGSTOP" xfId="31" xr:uid="{00000000-0005-0000-0000-000033010000}"/>
    <cellStyle name="HEADINGSTOP 2" xfId="167" xr:uid="{00000000-0005-0000-0000-000034010000}"/>
    <cellStyle name="HEADINGSTOP 2 2" xfId="707" xr:uid="{00000000-0005-0000-0000-000035010000}"/>
    <cellStyle name="Hyperlink 2" xfId="168" xr:uid="{00000000-0005-0000-0000-000036010000}"/>
    <cellStyle name="Hyperlink 2 2" xfId="169" xr:uid="{00000000-0005-0000-0000-000037010000}"/>
    <cellStyle name="Hyperlink 3" xfId="170" xr:uid="{00000000-0005-0000-0000-000038010000}"/>
    <cellStyle name="Input [yellow]" xfId="32" xr:uid="{00000000-0005-0000-0000-000039010000}"/>
    <cellStyle name="Input [yellow] 2" xfId="708" xr:uid="{00000000-0005-0000-0000-00003A010000}"/>
    <cellStyle name="Input [yellow] 3" xfId="709" xr:uid="{00000000-0005-0000-0000-00003B010000}"/>
    <cellStyle name="Input 10" xfId="171" xr:uid="{00000000-0005-0000-0000-00003C010000}"/>
    <cellStyle name="Input 11" xfId="172" xr:uid="{00000000-0005-0000-0000-00003D010000}"/>
    <cellStyle name="Input 12" xfId="173" xr:uid="{00000000-0005-0000-0000-00003E010000}"/>
    <cellStyle name="Input 13" xfId="174" xr:uid="{00000000-0005-0000-0000-00003F010000}"/>
    <cellStyle name="Input 14" xfId="175" xr:uid="{00000000-0005-0000-0000-000040010000}"/>
    <cellStyle name="Input 15" xfId="176" xr:uid="{00000000-0005-0000-0000-000041010000}"/>
    <cellStyle name="Input 16" xfId="177" xr:uid="{00000000-0005-0000-0000-000042010000}"/>
    <cellStyle name="Input 17" xfId="178" xr:uid="{00000000-0005-0000-0000-000043010000}"/>
    <cellStyle name="Input 18" xfId="179" xr:uid="{00000000-0005-0000-0000-000044010000}"/>
    <cellStyle name="Input 19" xfId="180" xr:uid="{00000000-0005-0000-0000-000045010000}"/>
    <cellStyle name="Input 2" xfId="181" xr:uid="{00000000-0005-0000-0000-000046010000}"/>
    <cellStyle name="Input 20" xfId="182" xr:uid="{00000000-0005-0000-0000-000047010000}"/>
    <cellStyle name="Input 21" xfId="183" xr:uid="{00000000-0005-0000-0000-000048010000}"/>
    <cellStyle name="Input 22" xfId="184" xr:uid="{00000000-0005-0000-0000-000049010000}"/>
    <cellStyle name="Input 23" xfId="185" xr:uid="{00000000-0005-0000-0000-00004A010000}"/>
    <cellStyle name="Input 24" xfId="186" xr:uid="{00000000-0005-0000-0000-00004B010000}"/>
    <cellStyle name="Input 25" xfId="187" xr:uid="{00000000-0005-0000-0000-00004C010000}"/>
    <cellStyle name="Input 26" xfId="188" xr:uid="{00000000-0005-0000-0000-00004D010000}"/>
    <cellStyle name="Input 27" xfId="189" xr:uid="{00000000-0005-0000-0000-00004E010000}"/>
    <cellStyle name="Input 28" xfId="190" xr:uid="{00000000-0005-0000-0000-00004F010000}"/>
    <cellStyle name="Input 29" xfId="191" xr:uid="{00000000-0005-0000-0000-000050010000}"/>
    <cellStyle name="Input 3" xfId="192" xr:uid="{00000000-0005-0000-0000-000051010000}"/>
    <cellStyle name="Input 30" xfId="193" xr:uid="{00000000-0005-0000-0000-000052010000}"/>
    <cellStyle name="Input 31" xfId="194" xr:uid="{00000000-0005-0000-0000-000053010000}"/>
    <cellStyle name="Input 32" xfId="195" xr:uid="{00000000-0005-0000-0000-000054010000}"/>
    <cellStyle name="Input 33" xfId="196" xr:uid="{00000000-0005-0000-0000-000055010000}"/>
    <cellStyle name="Input 34" xfId="197" xr:uid="{00000000-0005-0000-0000-000056010000}"/>
    <cellStyle name="Input 4" xfId="198" xr:uid="{00000000-0005-0000-0000-000057010000}"/>
    <cellStyle name="Input 5" xfId="199" xr:uid="{00000000-0005-0000-0000-000058010000}"/>
    <cellStyle name="Input 6" xfId="200" xr:uid="{00000000-0005-0000-0000-000059010000}"/>
    <cellStyle name="Input 7" xfId="201" xr:uid="{00000000-0005-0000-0000-00005A010000}"/>
    <cellStyle name="Input 8" xfId="202" xr:uid="{00000000-0005-0000-0000-00005B010000}"/>
    <cellStyle name="Input 9" xfId="203" xr:uid="{00000000-0005-0000-0000-00005C010000}"/>
    <cellStyle name="justify" xfId="204" xr:uid="{00000000-0005-0000-0000-00005D010000}"/>
    <cellStyle name="justify 2" xfId="205" xr:uid="{00000000-0005-0000-0000-00005E010000}"/>
    <cellStyle name="justify 2 2" xfId="710" xr:uid="{00000000-0005-0000-0000-00005F010000}"/>
    <cellStyle name="kJet 1600CM" xfId="711" xr:uid="{00000000-0005-0000-0000-000060010000}"/>
    <cellStyle name="Libelle" xfId="712" xr:uid="{00000000-0005-0000-0000-000061010000}"/>
    <cellStyle name="LIGHT" xfId="206" xr:uid="{00000000-0005-0000-0000-000062010000}"/>
    <cellStyle name="Linked Cell 2" xfId="207" xr:uid="{00000000-0005-0000-0000-000063010000}"/>
    <cellStyle name="Migliaia (0)_laroux" xfId="208" xr:uid="{00000000-0005-0000-0000-000064010000}"/>
    <cellStyle name="Migliaia_laroux" xfId="209" xr:uid="{00000000-0005-0000-0000-000065010000}"/>
    <cellStyle name="Millares [0]_Well Timing" xfId="33" xr:uid="{00000000-0005-0000-0000-000066010000}"/>
    <cellStyle name="Millares_Well Timing" xfId="34" xr:uid="{00000000-0005-0000-0000-000067010000}"/>
    <cellStyle name="Milliers [0]_abandon1" xfId="713" xr:uid="{00000000-0005-0000-0000-000068010000}"/>
    <cellStyle name="Milliers_abandon1" xfId="714" xr:uid="{00000000-0005-0000-0000-000069010000}"/>
    <cellStyle name="Millions [0.0]" xfId="715" xr:uid="{00000000-0005-0000-0000-00006A010000}"/>
    <cellStyle name="Millions [0.00]" xfId="716" xr:uid="{00000000-0005-0000-0000-00006B010000}"/>
    <cellStyle name="Millions [0]" xfId="717" xr:uid="{00000000-0005-0000-0000-00006C010000}"/>
    <cellStyle name="Millions-$ [0.0]" xfId="718" xr:uid="{00000000-0005-0000-0000-00006D010000}"/>
    <cellStyle name="Millions-$ [0.00]" xfId="719" xr:uid="{00000000-0005-0000-0000-00006E010000}"/>
    <cellStyle name="Millions-$ [0]" xfId="720" xr:uid="{00000000-0005-0000-0000-00006F010000}"/>
    <cellStyle name="Moneda [0]_Well Timing" xfId="35" xr:uid="{00000000-0005-0000-0000-000070010000}"/>
    <cellStyle name="Moneda_Well Timing" xfId="36" xr:uid="{00000000-0005-0000-0000-000071010000}"/>
    <cellStyle name="Monétaire [0]_AbandonmentStatusReport" xfId="721" xr:uid="{00000000-0005-0000-0000-000072010000}"/>
    <cellStyle name="Monétaire_AbandonmentStatusReport" xfId="722" xr:uid="{00000000-0005-0000-0000-000073010000}"/>
    <cellStyle name="MS_Arabic" xfId="210" xr:uid="{00000000-0005-0000-0000-000074010000}"/>
    <cellStyle name="Naira" xfId="211" xr:uid="{00000000-0005-0000-0000-000075010000}"/>
    <cellStyle name="Naira 2" xfId="724" xr:uid="{00000000-0005-0000-0000-000076010000}"/>
    <cellStyle name="Naira 3" xfId="725" xr:uid="{00000000-0005-0000-0000-000077010000}"/>
    <cellStyle name="Naira 4" xfId="726" xr:uid="{00000000-0005-0000-0000-000078010000}"/>
    <cellStyle name="Naira 5" xfId="723" xr:uid="{00000000-0005-0000-0000-000079010000}"/>
    <cellStyle name="Neutral 2" xfId="212" xr:uid="{00000000-0005-0000-0000-00007A010000}"/>
    <cellStyle name="Normal - EXPENSES" xfId="727" xr:uid="{00000000-0005-0000-0000-00007C010000}"/>
    <cellStyle name="Normal - Style1" xfId="37" xr:uid="{00000000-0005-0000-0000-00007D010000}"/>
    <cellStyle name="Normal - Style1 2" xfId="213" xr:uid="{00000000-0005-0000-0000-00007E010000}"/>
    <cellStyle name="Normal - Style1 2 2" xfId="729" xr:uid="{00000000-0005-0000-0000-00007F010000}"/>
    <cellStyle name="Normal - Style1 2 3" xfId="728" xr:uid="{00000000-0005-0000-0000-000080010000}"/>
    <cellStyle name="Normal - Style1 3" xfId="214" xr:uid="{00000000-0005-0000-0000-000081010000}"/>
    <cellStyle name="Normal - Style1 3 2" xfId="731" xr:uid="{00000000-0005-0000-0000-000082010000}"/>
    <cellStyle name="Normal - Style1 3 3" xfId="730" xr:uid="{00000000-0005-0000-0000-000083010000}"/>
    <cellStyle name="Normal - Style1 4" xfId="732" xr:uid="{00000000-0005-0000-0000-000084010000}"/>
    <cellStyle name="Normal - Style1_20120614 BRWA08 Schematic" xfId="733" xr:uid="{00000000-0005-0000-0000-000085010000}"/>
    <cellStyle name="Normal - Style2" xfId="215" xr:uid="{00000000-0005-0000-0000-000086010000}"/>
    <cellStyle name="Normal - Style3" xfId="216" xr:uid="{00000000-0005-0000-0000-000087010000}"/>
    <cellStyle name="Normal - Style4" xfId="217" xr:uid="{00000000-0005-0000-0000-000088010000}"/>
    <cellStyle name="Normal - Style5" xfId="218" xr:uid="{00000000-0005-0000-0000-000089010000}"/>
    <cellStyle name="Normal - Style6" xfId="219" xr:uid="{00000000-0005-0000-0000-00008A010000}"/>
    <cellStyle name="Normal - Style7" xfId="220" xr:uid="{00000000-0005-0000-0000-00008B010000}"/>
    <cellStyle name="Normal - Style8" xfId="221" xr:uid="{00000000-0005-0000-0000-00008C010000}"/>
    <cellStyle name="Normal 10" xfId="222" xr:uid="{00000000-0005-0000-0000-00008D010000}"/>
    <cellStyle name="Normal 10 2" xfId="8" xr:uid="{00000000-0005-0000-0000-00008E010000}"/>
    <cellStyle name="Normal 10 2 2" xfId="223" xr:uid="{00000000-0005-0000-0000-00008F010000}"/>
    <cellStyle name="Normal 10 3" xfId="734" xr:uid="{00000000-0005-0000-0000-000090010000}"/>
    <cellStyle name="Normal 10 4" xfId="735" xr:uid="{00000000-0005-0000-0000-000091010000}"/>
    <cellStyle name="Normal 11" xfId="38" xr:uid="{00000000-0005-0000-0000-000092010000}"/>
    <cellStyle name="Normal 11 2" xfId="224" xr:uid="{00000000-0005-0000-0000-000093010000}"/>
    <cellStyle name="Normal 11 2 2" xfId="462" xr:uid="{00000000-0005-0000-0000-000094010000}"/>
    <cellStyle name="Normal 11 2 3" xfId="736" xr:uid="{00000000-0005-0000-0000-000095010000}"/>
    <cellStyle name="Normal 11 3" xfId="225" xr:uid="{00000000-0005-0000-0000-000096010000}"/>
    <cellStyle name="Normal 11 3 2" xfId="226" xr:uid="{00000000-0005-0000-0000-000097010000}"/>
    <cellStyle name="Normal 11 3 2 2" xfId="464" xr:uid="{00000000-0005-0000-0000-000098010000}"/>
    <cellStyle name="Normal 11 3 3" xfId="227" xr:uid="{00000000-0005-0000-0000-000099010000}"/>
    <cellStyle name="Normal 11 3 3 2" xfId="228" xr:uid="{00000000-0005-0000-0000-00009A010000}"/>
    <cellStyle name="Normal 11 3 3 2 2" xfId="466" xr:uid="{00000000-0005-0000-0000-00009B010000}"/>
    <cellStyle name="Normal 11 3 3 3" xfId="465" xr:uid="{00000000-0005-0000-0000-00009C010000}"/>
    <cellStyle name="Normal 11 3 4" xfId="463" xr:uid="{00000000-0005-0000-0000-00009D010000}"/>
    <cellStyle name="Normal 12" xfId="229" xr:uid="{00000000-0005-0000-0000-00009E010000}"/>
    <cellStyle name="Normal 12 2" xfId="39" xr:uid="{00000000-0005-0000-0000-00009F010000}"/>
    <cellStyle name="Normal 12 2 15" xfId="1159" xr:uid="{BB99F9C7-890D-47E8-BF75-1272C76890FD}"/>
    <cellStyle name="Normal 12 2 15 3" xfId="1160" xr:uid="{19E2B125-1ED5-495C-BA15-A40F2E723971}"/>
    <cellStyle name="Normal 12 2 17" xfId="1157" xr:uid="{BB0AF1B6-4A88-4CD2-8E9A-C9BB1652320F}"/>
    <cellStyle name="Normal 12 2 19" xfId="1161" xr:uid="{83A9871A-7E2F-45AC-801C-E462A607FD4D}"/>
    <cellStyle name="Normal 12 2 2" xfId="230" xr:uid="{00000000-0005-0000-0000-0000A0010000}"/>
    <cellStyle name="Normal 12 2 2 2" xfId="459" xr:uid="{00000000-0005-0000-0000-0000A1010000}"/>
    <cellStyle name="Normal 12 2 2 2 2" xfId="469" xr:uid="{00000000-0005-0000-0000-0000A2010000}"/>
    <cellStyle name="Normal 12 2 2 3" xfId="460" xr:uid="{00000000-0005-0000-0000-0000A3010000}"/>
    <cellStyle name="Normal 12 2 2 4" xfId="468" xr:uid="{00000000-0005-0000-0000-0000A4010000}"/>
    <cellStyle name="Normal 12 2 3" xfId="467" xr:uid="{00000000-0005-0000-0000-0000A5010000}"/>
    <cellStyle name="Normal 12 2 4" xfId="737" xr:uid="{00000000-0005-0000-0000-0000A6010000}"/>
    <cellStyle name="Normal 12 2 5" xfId="1156" xr:uid="{2DCA6119-9DE7-4CD7-9702-0E93ABC7957F}"/>
    <cellStyle name="Normal 12 2 5 2" xfId="1162" xr:uid="{4B18B1C8-517F-45BE-BE92-F78EE182800C}"/>
    <cellStyle name="Normal 12 3" xfId="231" xr:uid="{00000000-0005-0000-0000-0000A7010000}"/>
    <cellStyle name="Normal 12 3 2" xfId="738" xr:uid="{00000000-0005-0000-0000-0000A8010000}"/>
    <cellStyle name="Normal 12 4" xfId="739" xr:uid="{00000000-0005-0000-0000-0000A9010000}"/>
    <cellStyle name="Normal 12 5" xfId="740" xr:uid="{00000000-0005-0000-0000-0000AA010000}"/>
    <cellStyle name="Normal 13" xfId="232" xr:uid="{00000000-0005-0000-0000-0000AB010000}"/>
    <cellStyle name="Normal 13 2" xfId="233" xr:uid="{00000000-0005-0000-0000-0000AC010000}"/>
    <cellStyle name="Normal 13 2 2" xfId="741" xr:uid="{00000000-0005-0000-0000-0000AD010000}"/>
    <cellStyle name="Normal 13 3" xfId="742" xr:uid="{00000000-0005-0000-0000-0000AE010000}"/>
    <cellStyle name="Normal 14" xfId="234" xr:uid="{00000000-0005-0000-0000-0000AF010000}"/>
    <cellStyle name="Normal 14 2" xfId="744" xr:uid="{00000000-0005-0000-0000-0000B0010000}"/>
    <cellStyle name="Normal 14 2 2" xfId="745" xr:uid="{00000000-0005-0000-0000-0000B1010000}"/>
    <cellStyle name="Normal 14 2 2 2" xfId="746" xr:uid="{00000000-0005-0000-0000-0000B2010000}"/>
    <cellStyle name="Normal 14 2 3" xfId="747" xr:uid="{00000000-0005-0000-0000-0000B3010000}"/>
    <cellStyle name="Normal 14 3" xfId="748" xr:uid="{00000000-0005-0000-0000-0000B4010000}"/>
    <cellStyle name="Normal 14 3 2" xfId="749" xr:uid="{00000000-0005-0000-0000-0000B5010000}"/>
    <cellStyle name="Normal 14 4" xfId="750" xr:uid="{00000000-0005-0000-0000-0000B6010000}"/>
    <cellStyle name="Normal 14 4 2" xfId="751" xr:uid="{00000000-0005-0000-0000-0000B7010000}"/>
    <cellStyle name="Normal 14 4 2 2" xfId="752" xr:uid="{00000000-0005-0000-0000-0000B8010000}"/>
    <cellStyle name="Normal 14 4 3" xfId="753" xr:uid="{00000000-0005-0000-0000-0000B9010000}"/>
    <cellStyle name="Normal 14 5" xfId="754" xr:uid="{00000000-0005-0000-0000-0000BA010000}"/>
    <cellStyle name="Normal 14 5 2" xfId="755" xr:uid="{00000000-0005-0000-0000-0000BB010000}"/>
    <cellStyle name="Normal 14 5 2 2" xfId="756" xr:uid="{00000000-0005-0000-0000-0000BC010000}"/>
    <cellStyle name="Normal 14 5 3" xfId="757" xr:uid="{00000000-0005-0000-0000-0000BD010000}"/>
    <cellStyle name="Normal 14 6" xfId="758" xr:uid="{00000000-0005-0000-0000-0000BE010000}"/>
    <cellStyle name="Normal 14 6 2" xfId="759" xr:uid="{00000000-0005-0000-0000-0000BF010000}"/>
    <cellStyle name="Normal 14 6 2 2" xfId="760" xr:uid="{00000000-0005-0000-0000-0000C0010000}"/>
    <cellStyle name="Normal 14 6 3" xfId="761" xr:uid="{00000000-0005-0000-0000-0000C1010000}"/>
    <cellStyle name="Normal 14 7" xfId="762" xr:uid="{00000000-0005-0000-0000-0000C2010000}"/>
    <cellStyle name="Normal 14 7 2" xfId="763" xr:uid="{00000000-0005-0000-0000-0000C3010000}"/>
    <cellStyle name="Normal 14 7 2 2" xfId="764" xr:uid="{00000000-0005-0000-0000-0000C4010000}"/>
    <cellStyle name="Normal 14 7 3" xfId="765" xr:uid="{00000000-0005-0000-0000-0000C5010000}"/>
    <cellStyle name="Normal 14 8" xfId="743" xr:uid="{00000000-0005-0000-0000-0000C6010000}"/>
    <cellStyle name="Normal 15" xfId="235" xr:uid="{00000000-0005-0000-0000-0000C7010000}"/>
    <cellStyle name="Normal 15 2" xfId="236" xr:uid="{00000000-0005-0000-0000-0000C8010000}"/>
    <cellStyle name="Normal 15 2 2" xfId="766" xr:uid="{00000000-0005-0000-0000-0000C9010000}"/>
    <cellStyle name="Normal 15 2 3" xfId="767" xr:uid="{00000000-0005-0000-0000-0000CA010000}"/>
    <cellStyle name="Normal 15 3" xfId="768" xr:uid="{00000000-0005-0000-0000-0000CB010000}"/>
    <cellStyle name="Normal 16" xfId="237" xr:uid="{00000000-0005-0000-0000-0000CC010000}"/>
    <cellStyle name="Normal 16 2" xfId="769" xr:uid="{00000000-0005-0000-0000-0000CD010000}"/>
    <cellStyle name="Normal 17" xfId="238" xr:uid="{00000000-0005-0000-0000-0000CE010000}"/>
    <cellStyle name="Normal 17 2" xfId="770" xr:uid="{00000000-0005-0000-0000-0000CF010000}"/>
    <cellStyle name="Normal 17 2 2" xfId="771" xr:uid="{00000000-0005-0000-0000-0000D0010000}"/>
    <cellStyle name="Normal 17 2 2 2" xfId="772" xr:uid="{00000000-0005-0000-0000-0000D1010000}"/>
    <cellStyle name="Normal 17 2 2 2 2" xfId="773" xr:uid="{00000000-0005-0000-0000-0000D2010000}"/>
    <cellStyle name="Normal 17 2 2 3" xfId="774" xr:uid="{00000000-0005-0000-0000-0000D3010000}"/>
    <cellStyle name="Normal 17 2 2 3 2" xfId="775" xr:uid="{00000000-0005-0000-0000-0000D4010000}"/>
    <cellStyle name="Normal 17 2 2 3 3" xfId="776" xr:uid="{00000000-0005-0000-0000-0000D5010000}"/>
    <cellStyle name="Normal 17 2 2 4" xfId="777" xr:uid="{00000000-0005-0000-0000-0000D6010000}"/>
    <cellStyle name="Normal 17 2 3" xfId="778" xr:uid="{00000000-0005-0000-0000-0000D7010000}"/>
    <cellStyle name="Normal 17 2 3 2" xfId="779" xr:uid="{00000000-0005-0000-0000-0000D8010000}"/>
    <cellStyle name="Normal 17 2 4" xfId="780" xr:uid="{00000000-0005-0000-0000-0000D9010000}"/>
    <cellStyle name="Normal 17 3" xfId="781" xr:uid="{00000000-0005-0000-0000-0000DA010000}"/>
    <cellStyle name="Normal 18" xfId="239" xr:uid="{00000000-0005-0000-0000-0000DB010000}"/>
    <cellStyle name="Normal 19" xfId="240" xr:uid="{00000000-0005-0000-0000-0000DC010000}"/>
    <cellStyle name="Normal 19 2" xfId="241" xr:uid="{00000000-0005-0000-0000-0000DD010000}"/>
    <cellStyle name="Normal 19 3" xfId="470" xr:uid="{00000000-0005-0000-0000-0000DE010000}"/>
    <cellStyle name="Normal 2" xfId="242" xr:uid="{00000000-0005-0000-0000-0000DF010000}"/>
    <cellStyle name="Normal 2 2" xfId="243" xr:uid="{00000000-0005-0000-0000-0000E0010000}"/>
    <cellStyle name="Normal 2 2 2" xfId="244" xr:uid="{00000000-0005-0000-0000-0000E1010000}"/>
    <cellStyle name="Normal 2 2 2 2" xfId="245" xr:uid="{00000000-0005-0000-0000-0000E2010000}"/>
    <cellStyle name="Normal 2 2 2 2 2" xfId="246" xr:uid="{00000000-0005-0000-0000-0000E3010000}"/>
    <cellStyle name="Normal 2 2 2 2 3" xfId="782" xr:uid="{00000000-0005-0000-0000-0000E4010000}"/>
    <cellStyle name="Normal 2 2 2 3" xfId="783" xr:uid="{00000000-0005-0000-0000-0000E5010000}"/>
    <cellStyle name="Normal 2 2 3" xfId="247" xr:uid="{00000000-0005-0000-0000-0000E6010000}"/>
    <cellStyle name="Normal 2 2 3 2" xfId="248" xr:uid="{00000000-0005-0000-0000-0000E7010000}"/>
    <cellStyle name="Normal 2 2 3 2 2" xfId="784" xr:uid="{00000000-0005-0000-0000-0000E8010000}"/>
    <cellStyle name="Normal 2 2 4" xfId="249" xr:uid="{00000000-0005-0000-0000-0000E9010000}"/>
    <cellStyle name="Normal 2 2 4 2" xfId="472" xr:uid="{00000000-0005-0000-0000-0000EA010000}"/>
    <cellStyle name="Normal 2 2 4 2 2" xfId="787" xr:uid="{00000000-0005-0000-0000-0000EB010000}"/>
    <cellStyle name="Normal 2 2 4 2 2 2" xfId="788" xr:uid="{00000000-0005-0000-0000-0000EC010000}"/>
    <cellStyle name="Normal 2 2 4 2 3" xfId="789" xr:uid="{00000000-0005-0000-0000-0000ED010000}"/>
    <cellStyle name="Normal 2 2 4 2 4" xfId="790" xr:uid="{00000000-0005-0000-0000-0000EE010000}"/>
    <cellStyle name="Normal 2 2 4 2 5" xfId="786" xr:uid="{00000000-0005-0000-0000-0000EF010000}"/>
    <cellStyle name="Normal 2 2 4 3" xfId="791" xr:uid="{00000000-0005-0000-0000-0000F0010000}"/>
    <cellStyle name="Normal 2 2 4 3 2" xfId="792" xr:uid="{00000000-0005-0000-0000-0000F1010000}"/>
    <cellStyle name="Normal 2 2 4 4" xfId="793" xr:uid="{00000000-0005-0000-0000-0000F2010000}"/>
    <cellStyle name="Normal 2 2 4 5" xfId="794" xr:uid="{00000000-0005-0000-0000-0000F3010000}"/>
    <cellStyle name="Normal 2 2 4 6" xfId="785" xr:uid="{00000000-0005-0000-0000-0000F4010000}"/>
    <cellStyle name="Normal 2 2 5" xfId="250" xr:uid="{00000000-0005-0000-0000-0000F5010000}"/>
    <cellStyle name="Normal 2 2 6" xfId="471" xr:uid="{00000000-0005-0000-0000-0000F6010000}"/>
    <cellStyle name="Normal 2 3" xfId="251" xr:uid="{00000000-0005-0000-0000-0000F7010000}"/>
    <cellStyle name="Normal 2 3 2" xfId="252" xr:uid="{00000000-0005-0000-0000-0000F8010000}"/>
    <cellStyle name="Normal 2 3 2 2" xfId="473" xr:uid="{00000000-0005-0000-0000-0000F9010000}"/>
    <cellStyle name="Normal 2 3 2 2 2" xfId="797" xr:uid="{00000000-0005-0000-0000-0000FA010000}"/>
    <cellStyle name="Normal 2 3 2 3" xfId="796" xr:uid="{00000000-0005-0000-0000-0000FB010000}"/>
    <cellStyle name="Normal 2 3 3" xfId="253" xr:uid="{00000000-0005-0000-0000-0000FC010000}"/>
    <cellStyle name="Normal 2 3 3 2" xfId="474" xr:uid="{00000000-0005-0000-0000-0000FD010000}"/>
    <cellStyle name="Normal 2 3 3 3" xfId="798" xr:uid="{00000000-0005-0000-0000-0000FE010000}"/>
    <cellStyle name="Normal 2 3 4" xfId="799" xr:uid="{00000000-0005-0000-0000-0000FF010000}"/>
    <cellStyle name="Normal 2 3 5" xfId="795" xr:uid="{00000000-0005-0000-0000-000000020000}"/>
    <cellStyle name="Normal 2 4" xfId="254" xr:uid="{00000000-0005-0000-0000-000001020000}"/>
    <cellStyle name="Normal 2 4 2" xfId="801" xr:uid="{00000000-0005-0000-0000-000002020000}"/>
    <cellStyle name="Normal 2 4 3" xfId="802" xr:uid="{00000000-0005-0000-0000-000003020000}"/>
    <cellStyle name="Normal 2 4 4" xfId="803" xr:uid="{00000000-0005-0000-0000-000004020000}"/>
    <cellStyle name="Normal 2 4 5" xfId="800" xr:uid="{00000000-0005-0000-0000-000005020000}"/>
    <cellStyle name="Normal 2 5" xfId="255" xr:uid="{00000000-0005-0000-0000-000006020000}"/>
    <cellStyle name="Normal 2 5 2" xfId="805" xr:uid="{00000000-0005-0000-0000-000007020000}"/>
    <cellStyle name="Normal 2 5 3" xfId="804" xr:uid="{00000000-0005-0000-0000-000008020000}"/>
    <cellStyle name="Normal 2 6" xfId="256" xr:uid="{00000000-0005-0000-0000-000009020000}"/>
    <cellStyle name="Normal 2 6 2" xfId="806" xr:uid="{00000000-0005-0000-0000-00000A020000}"/>
    <cellStyle name="Normal 2_20120614 BRWA08 Schematic" xfId="807" xr:uid="{00000000-0005-0000-0000-00000B020000}"/>
    <cellStyle name="Normal 20" xfId="257" xr:uid="{00000000-0005-0000-0000-00000C020000}"/>
    <cellStyle name="Normal 20 2" xfId="258" xr:uid="{00000000-0005-0000-0000-00000D020000}"/>
    <cellStyle name="Normal 20 3" xfId="475" xr:uid="{00000000-0005-0000-0000-00000E020000}"/>
    <cellStyle name="Normal 21" xfId="259" xr:uid="{00000000-0005-0000-0000-00000F020000}"/>
    <cellStyle name="Normal 21 2" xfId="260" xr:uid="{00000000-0005-0000-0000-000010020000}"/>
    <cellStyle name="Normal 21 2 2" xfId="808" xr:uid="{00000000-0005-0000-0000-000011020000}"/>
    <cellStyle name="Normal 22" xfId="261" xr:uid="{00000000-0005-0000-0000-000012020000}"/>
    <cellStyle name="Normal 22 2" xfId="262" xr:uid="{00000000-0005-0000-0000-000013020000}"/>
    <cellStyle name="Normal 22 2 2" xfId="809" xr:uid="{00000000-0005-0000-0000-000014020000}"/>
    <cellStyle name="Normal 22 3" xfId="476" xr:uid="{00000000-0005-0000-0000-000015020000}"/>
    <cellStyle name="Normal 23" xfId="263" xr:uid="{00000000-0005-0000-0000-000016020000}"/>
    <cellStyle name="Normal 23 2" xfId="264" xr:uid="{00000000-0005-0000-0000-000017020000}"/>
    <cellStyle name="Normal 23 2 2" xfId="810" xr:uid="{00000000-0005-0000-0000-000018020000}"/>
    <cellStyle name="Normal 23 3" xfId="477" xr:uid="{00000000-0005-0000-0000-000019020000}"/>
    <cellStyle name="Normal 24" xfId="265" xr:uid="{00000000-0005-0000-0000-00001A020000}"/>
    <cellStyle name="Normal 24 2" xfId="266" xr:uid="{00000000-0005-0000-0000-00001B020000}"/>
    <cellStyle name="Normal 24 2 2" xfId="811" xr:uid="{00000000-0005-0000-0000-00001C020000}"/>
    <cellStyle name="Normal 24 3" xfId="478" xr:uid="{00000000-0005-0000-0000-00001D020000}"/>
    <cellStyle name="Normal 25" xfId="267" xr:uid="{00000000-0005-0000-0000-00001E020000}"/>
    <cellStyle name="Normal 25 2" xfId="268" xr:uid="{00000000-0005-0000-0000-00001F020000}"/>
    <cellStyle name="Normal 25 2 2" xfId="812" xr:uid="{00000000-0005-0000-0000-000020020000}"/>
    <cellStyle name="Normal 25 3" xfId="479" xr:uid="{00000000-0005-0000-0000-000021020000}"/>
    <cellStyle name="Normal 26" xfId="269" xr:uid="{00000000-0005-0000-0000-000022020000}"/>
    <cellStyle name="Normal 26 2" xfId="270" xr:uid="{00000000-0005-0000-0000-000023020000}"/>
    <cellStyle name="Normal 26 2 2" xfId="813" xr:uid="{00000000-0005-0000-0000-000024020000}"/>
    <cellStyle name="Normal 26 3" xfId="480" xr:uid="{00000000-0005-0000-0000-000025020000}"/>
    <cellStyle name="Normal 27" xfId="271" xr:uid="{00000000-0005-0000-0000-000026020000}"/>
    <cellStyle name="Normal 27 2" xfId="272" xr:uid="{00000000-0005-0000-0000-000027020000}"/>
    <cellStyle name="Normal 27 2 2" xfId="814" xr:uid="{00000000-0005-0000-0000-000028020000}"/>
    <cellStyle name="Normal 27 3" xfId="481" xr:uid="{00000000-0005-0000-0000-000029020000}"/>
    <cellStyle name="Normal 28" xfId="273" xr:uid="{00000000-0005-0000-0000-00002A020000}"/>
    <cellStyle name="Normal 28 2" xfId="815" xr:uid="{00000000-0005-0000-0000-00002B020000}"/>
    <cellStyle name="Normal 29" xfId="274" xr:uid="{00000000-0005-0000-0000-00002C020000}"/>
    <cellStyle name="Normal 29 2" xfId="816" xr:uid="{00000000-0005-0000-0000-00002D020000}"/>
    <cellStyle name="Normal 3" xfId="275" xr:uid="{00000000-0005-0000-0000-00002E020000}"/>
    <cellStyle name="Normal 3 10" xfId="817" xr:uid="{00000000-0005-0000-0000-00002F020000}"/>
    <cellStyle name="Normal 3 2" xfId="276" xr:uid="{00000000-0005-0000-0000-000030020000}"/>
    <cellStyle name="Normal 3 2 2" xfId="277" xr:uid="{00000000-0005-0000-0000-000031020000}"/>
    <cellStyle name="Normal 3 2 2 2" xfId="278" xr:uid="{00000000-0005-0000-0000-000032020000}"/>
    <cellStyle name="Normal 3 2 2 2 2" xfId="483" xr:uid="{00000000-0005-0000-0000-000033020000}"/>
    <cellStyle name="Normal 3 2 2 2 3" xfId="819" xr:uid="{00000000-0005-0000-0000-000034020000}"/>
    <cellStyle name="Normal 3 2 2 3" xfId="482" xr:uid="{00000000-0005-0000-0000-000035020000}"/>
    <cellStyle name="Normal 3 2 2 4" xfId="818" xr:uid="{00000000-0005-0000-0000-000036020000}"/>
    <cellStyle name="Normal 3 2 3" xfId="279" xr:uid="{00000000-0005-0000-0000-000037020000}"/>
    <cellStyle name="Normal 3 2 3 2" xfId="820" xr:uid="{00000000-0005-0000-0000-000038020000}"/>
    <cellStyle name="Normal 3 3" xfId="280" xr:uid="{00000000-0005-0000-0000-000039020000}"/>
    <cellStyle name="Normal 3 3 2" xfId="484" xr:uid="{00000000-0005-0000-0000-00003A020000}"/>
    <cellStyle name="Normal 3 3 2 2" xfId="823" xr:uid="{00000000-0005-0000-0000-00003B020000}"/>
    <cellStyle name="Normal 3 3 2 2 2" xfId="824" xr:uid="{00000000-0005-0000-0000-00003C020000}"/>
    <cellStyle name="Normal 3 3 2 2 2 2" xfId="825" xr:uid="{00000000-0005-0000-0000-00003D020000}"/>
    <cellStyle name="Normal 3 3 2 2 3" xfId="826" xr:uid="{00000000-0005-0000-0000-00003E020000}"/>
    <cellStyle name="Normal 3 3 2 2 4" xfId="827" xr:uid="{00000000-0005-0000-0000-00003F020000}"/>
    <cellStyle name="Normal 3 3 2 3" xfId="828" xr:uid="{00000000-0005-0000-0000-000040020000}"/>
    <cellStyle name="Normal 3 3 2 3 2" xfId="829" xr:uid="{00000000-0005-0000-0000-000041020000}"/>
    <cellStyle name="Normal 3 3 2 4" xfId="830" xr:uid="{00000000-0005-0000-0000-000042020000}"/>
    <cellStyle name="Normal 3 3 2 5" xfId="831" xr:uid="{00000000-0005-0000-0000-000043020000}"/>
    <cellStyle name="Normal 3 3 2 6" xfId="822" xr:uid="{00000000-0005-0000-0000-000044020000}"/>
    <cellStyle name="Normal 3 3 3" xfId="832" xr:uid="{00000000-0005-0000-0000-000045020000}"/>
    <cellStyle name="Normal 3 3 3 2" xfId="833" xr:uid="{00000000-0005-0000-0000-000046020000}"/>
    <cellStyle name="Normal 3 3 3 2 2" xfId="834" xr:uid="{00000000-0005-0000-0000-000047020000}"/>
    <cellStyle name="Normal 3 3 3 3" xfId="835" xr:uid="{00000000-0005-0000-0000-000048020000}"/>
    <cellStyle name="Normal 3 3 3 4" xfId="836" xr:uid="{00000000-0005-0000-0000-000049020000}"/>
    <cellStyle name="Normal 3 3 4" xfId="837" xr:uid="{00000000-0005-0000-0000-00004A020000}"/>
    <cellStyle name="Normal 3 3 4 2" xfId="838" xr:uid="{00000000-0005-0000-0000-00004B020000}"/>
    <cellStyle name="Normal 3 3 5" xfId="839" xr:uid="{00000000-0005-0000-0000-00004C020000}"/>
    <cellStyle name="Normal 3 3 6" xfId="840" xr:uid="{00000000-0005-0000-0000-00004D020000}"/>
    <cellStyle name="Normal 3 3 7" xfId="841" xr:uid="{00000000-0005-0000-0000-00004E020000}"/>
    <cellStyle name="Normal 3 3 8" xfId="842" xr:uid="{00000000-0005-0000-0000-00004F020000}"/>
    <cellStyle name="Normal 3 3 9" xfId="821" xr:uid="{00000000-0005-0000-0000-000050020000}"/>
    <cellStyle name="Normal 3 4" xfId="281" xr:uid="{00000000-0005-0000-0000-000051020000}"/>
    <cellStyle name="Normal 3 4 2" xfId="485" xr:uid="{00000000-0005-0000-0000-000052020000}"/>
    <cellStyle name="Normal 3 4 2 2" xfId="845" xr:uid="{00000000-0005-0000-0000-000053020000}"/>
    <cellStyle name="Normal 3 4 2 2 2" xfId="846" xr:uid="{00000000-0005-0000-0000-000054020000}"/>
    <cellStyle name="Normal 3 4 2 3" xfId="847" xr:uid="{00000000-0005-0000-0000-000055020000}"/>
    <cellStyle name="Normal 3 4 2 4" xfId="848" xr:uid="{00000000-0005-0000-0000-000056020000}"/>
    <cellStyle name="Normal 3 4 2 5" xfId="844" xr:uid="{00000000-0005-0000-0000-000057020000}"/>
    <cellStyle name="Normal 3 4 2 6" xfId="1154" xr:uid="{8E239273-F40A-40F8-96D3-9261513CA505}"/>
    <cellStyle name="Normal 3 4 3" xfId="849" xr:uid="{00000000-0005-0000-0000-000058020000}"/>
    <cellStyle name="Normal 3 4 3 2" xfId="850" xr:uid="{00000000-0005-0000-0000-000059020000}"/>
    <cellStyle name="Normal 3 4 4" xfId="851" xr:uid="{00000000-0005-0000-0000-00005A020000}"/>
    <cellStyle name="Normal 3 4 5" xfId="852" xr:uid="{00000000-0005-0000-0000-00005B020000}"/>
    <cellStyle name="Normal 3 4 6" xfId="853" xr:uid="{00000000-0005-0000-0000-00005C020000}"/>
    <cellStyle name="Normal 3 4 7" xfId="843" xr:uid="{00000000-0005-0000-0000-00005D020000}"/>
    <cellStyle name="Normal 3 5" xfId="854" xr:uid="{00000000-0005-0000-0000-00005E020000}"/>
    <cellStyle name="Normal 3 5 2" xfId="855" xr:uid="{00000000-0005-0000-0000-00005F020000}"/>
    <cellStyle name="Normal 3 5 2 2" xfId="856" xr:uid="{00000000-0005-0000-0000-000060020000}"/>
    <cellStyle name="Normal 3 5 2 2 2" xfId="857" xr:uid="{00000000-0005-0000-0000-000061020000}"/>
    <cellStyle name="Normal 3 5 2 3" xfId="858" xr:uid="{00000000-0005-0000-0000-000062020000}"/>
    <cellStyle name="Normal 3 5 2 4" xfId="859" xr:uid="{00000000-0005-0000-0000-000063020000}"/>
    <cellStyle name="Normal 3 5 3" xfId="860" xr:uid="{00000000-0005-0000-0000-000064020000}"/>
    <cellStyle name="Normal 3 5 3 2" xfId="861" xr:uid="{00000000-0005-0000-0000-000065020000}"/>
    <cellStyle name="Normal 3 5 4" xfId="862" xr:uid="{00000000-0005-0000-0000-000066020000}"/>
    <cellStyle name="Normal 3 5 5" xfId="863" xr:uid="{00000000-0005-0000-0000-000067020000}"/>
    <cellStyle name="Normal 3 6" xfId="864" xr:uid="{00000000-0005-0000-0000-000068020000}"/>
    <cellStyle name="Normal 3_BRWA12 Loc BR-Oil14 Wellfile" xfId="865" xr:uid="{00000000-0005-0000-0000-000069020000}"/>
    <cellStyle name="Normal 30" xfId="282" xr:uid="{00000000-0005-0000-0000-00006A020000}"/>
    <cellStyle name="Normal 30 2" xfId="866" xr:uid="{00000000-0005-0000-0000-00006B020000}"/>
    <cellStyle name="Normal 31" xfId="283" xr:uid="{00000000-0005-0000-0000-00006C020000}"/>
    <cellStyle name="Normal 31 2" xfId="867" xr:uid="{00000000-0005-0000-0000-00006D020000}"/>
    <cellStyle name="Normal 32" xfId="284" xr:uid="{00000000-0005-0000-0000-00006E020000}"/>
    <cellStyle name="Normal 32 2" xfId="486" xr:uid="{00000000-0005-0000-0000-00006F020000}"/>
    <cellStyle name="Normal 32 2 2" xfId="869" xr:uid="{00000000-0005-0000-0000-000070020000}"/>
    <cellStyle name="Normal 32 3" xfId="868" xr:uid="{00000000-0005-0000-0000-000071020000}"/>
    <cellStyle name="Normal 33" xfId="285" xr:uid="{00000000-0005-0000-0000-000072020000}"/>
    <cellStyle name="Normal 33 2" xfId="487" xr:uid="{00000000-0005-0000-0000-000073020000}"/>
    <cellStyle name="Normal 33 2 2" xfId="871" xr:uid="{00000000-0005-0000-0000-000074020000}"/>
    <cellStyle name="Normal 33 3" xfId="870" xr:uid="{00000000-0005-0000-0000-000075020000}"/>
    <cellStyle name="Normal 34" xfId="286" xr:uid="{00000000-0005-0000-0000-000076020000}"/>
    <cellStyle name="Normal 34 2" xfId="488" xr:uid="{00000000-0005-0000-0000-000077020000}"/>
    <cellStyle name="Normal 34 2 2" xfId="873" xr:uid="{00000000-0005-0000-0000-000078020000}"/>
    <cellStyle name="Normal 34 3" xfId="872" xr:uid="{00000000-0005-0000-0000-000079020000}"/>
    <cellStyle name="Normal 35" xfId="287" xr:uid="{00000000-0005-0000-0000-00007A020000}"/>
    <cellStyle name="Normal 35 2" xfId="489" xr:uid="{00000000-0005-0000-0000-00007B020000}"/>
    <cellStyle name="Normal 35 2 2" xfId="875" xr:uid="{00000000-0005-0000-0000-00007C020000}"/>
    <cellStyle name="Normal 35 3" xfId="874" xr:uid="{00000000-0005-0000-0000-00007D020000}"/>
    <cellStyle name="Normal 36" xfId="288" xr:uid="{00000000-0005-0000-0000-00007E020000}"/>
    <cellStyle name="Normal 36 2" xfId="490" xr:uid="{00000000-0005-0000-0000-00007F020000}"/>
    <cellStyle name="Normal 36 2 2" xfId="877" xr:uid="{00000000-0005-0000-0000-000080020000}"/>
    <cellStyle name="Normal 36 3" xfId="876" xr:uid="{00000000-0005-0000-0000-000081020000}"/>
    <cellStyle name="Normal 37" xfId="289" xr:uid="{00000000-0005-0000-0000-000082020000}"/>
    <cellStyle name="Normal 37 2" xfId="491" xr:uid="{00000000-0005-0000-0000-000083020000}"/>
    <cellStyle name="Normal 37 2 2" xfId="879" xr:uid="{00000000-0005-0000-0000-000084020000}"/>
    <cellStyle name="Normal 37 3" xfId="878" xr:uid="{00000000-0005-0000-0000-000085020000}"/>
    <cellStyle name="Normal 38" xfId="290" xr:uid="{00000000-0005-0000-0000-000086020000}"/>
    <cellStyle name="Normal 38 2" xfId="492" xr:uid="{00000000-0005-0000-0000-000087020000}"/>
    <cellStyle name="Normal 38 2 2" xfId="881" xr:uid="{00000000-0005-0000-0000-000088020000}"/>
    <cellStyle name="Normal 38 3" xfId="880" xr:uid="{00000000-0005-0000-0000-000089020000}"/>
    <cellStyle name="Normal 39" xfId="291" xr:uid="{00000000-0005-0000-0000-00008A020000}"/>
    <cellStyle name="Normal 39 2" xfId="493" xr:uid="{00000000-0005-0000-0000-00008B020000}"/>
    <cellStyle name="Normal 39 3" xfId="882" xr:uid="{00000000-0005-0000-0000-00008C020000}"/>
    <cellStyle name="Normal 4" xfId="292" xr:uid="{00000000-0005-0000-0000-00008D020000}"/>
    <cellStyle name="Normal 4 2" xfId="293" xr:uid="{00000000-0005-0000-0000-00008E020000}"/>
    <cellStyle name="Normal 4 2 2" xfId="884" xr:uid="{00000000-0005-0000-0000-00008F020000}"/>
    <cellStyle name="Normal 4 2 2 2" xfId="885" xr:uid="{00000000-0005-0000-0000-000090020000}"/>
    <cellStyle name="Normal 4 2 2 2 2" xfId="886" xr:uid="{00000000-0005-0000-0000-000091020000}"/>
    <cellStyle name="Normal 4 2 2 3" xfId="887" xr:uid="{00000000-0005-0000-0000-000092020000}"/>
    <cellStyle name="Normal 4 2 3" xfId="888" xr:uid="{00000000-0005-0000-0000-000093020000}"/>
    <cellStyle name="Normal 4 2 3 2" xfId="889" xr:uid="{00000000-0005-0000-0000-000094020000}"/>
    <cellStyle name="Normal 4 2 3 2 2" xfId="890" xr:uid="{00000000-0005-0000-0000-000095020000}"/>
    <cellStyle name="Normal 4 2 3 3" xfId="891" xr:uid="{00000000-0005-0000-0000-000096020000}"/>
    <cellStyle name="Normal 4 2 4" xfId="892" xr:uid="{00000000-0005-0000-0000-000097020000}"/>
    <cellStyle name="Normal 4 2 4 2" xfId="893" xr:uid="{00000000-0005-0000-0000-000098020000}"/>
    <cellStyle name="Normal 4 2 4 2 2" xfId="894" xr:uid="{00000000-0005-0000-0000-000099020000}"/>
    <cellStyle name="Normal 4 2 4 3" xfId="895" xr:uid="{00000000-0005-0000-0000-00009A020000}"/>
    <cellStyle name="Normal 4 2 5" xfId="896" xr:uid="{00000000-0005-0000-0000-00009B020000}"/>
    <cellStyle name="Normal 4 2 5 2" xfId="897" xr:uid="{00000000-0005-0000-0000-00009C020000}"/>
    <cellStyle name="Normal 4 2 5 2 2" xfId="898" xr:uid="{00000000-0005-0000-0000-00009D020000}"/>
    <cellStyle name="Normal 4 2 5 3" xfId="899" xr:uid="{00000000-0005-0000-0000-00009E020000}"/>
    <cellStyle name="Normal 4 2 6" xfId="900" xr:uid="{00000000-0005-0000-0000-00009F020000}"/>
    <cellStyle name="Normal 4 2 6 2" xfId="901" xr:uid="{00000000-0005-0000-0000-0000A0020000}"/>
    <cellStyle name="Normal 4 2 7" xfId="902" xr:uid="{00000000-0005-0000-0000-0000A1020000}"/>
    <cellStyle name="Normal 4 2 8" xfId="883" xr:uid="{00000000-0005-0000-0000-0000A2020000}"/>
    <cellStyle name="Normal 4 3" xfId="294" xr:uid="{00000000-0005-0000-0000-0000A3020000}"/>
    <cellStyle name="Normal 4 3 2" xfId="904" xr:uid="{00000000-0005-0000-0000-0000A4020000}"/>
    <cellStyle name="Normal 4 3 3" xfId="905" xr:uid="{00000000-0005-0000-0000-0000A5020000}"/>
    <cellStyle name="Normal 4 3 4" xfId="903" xr:uid="{00000000-0005-0000-0000-0000A6020000}"/>
    <cellStyle name="Normal 4 4" xfId="906" xr:uid="{00000000-0005-0000-0000-0000A7020000}"/>
    <cellStyle name="Normal 4 4 2" xfId="907" xr:uid="{00000000-0005-0000-0000-0000A8020000}"/>
    <cellStyle name="Normal 4 4 2 2" xfId="908" xr:uid="{00000000-0005-0000-0000-0000A9020000}"/>
    <cellStyle name="Normal 4 4 2 2 2" xfId="909" xr:uid="{00000000-0005-0000-0000-0000AA020000}"/>
    <cellStyle name="Normal 4 4 2 2 2 2" xfId="910" xr:uid="{00000000-0005-0000-0000-0000AB020000}"/>
    <cellStyle name="Normal 4 4 2 2 3" xfId="911" xr:uid="{00000000-0005-0000-0000-0000AC020000}"/>
    <cellStyle name="Normal 4 4 2 2 4" xfId="912" xr:uid="{00000000-0005-0000-0000-0000AD020000}"/>
    <cellStyle name="Normal 4 4 2 3" xfId="913" xr:uid="{00000000-0005-0000-0000-0000AE020000}"/>
    <cellStyle name="Normal 4 4 2 3 2" xfId="914" xr:uid="{00000000-0005-0000-0000-0000AF020000}"/>
    <cellStyle name="Normal 4 4 2 4" xfId="915" xr:uid="{00000000-0005-0000-0000-0000B0020000}"/>
    <cellStyle name="Normal 4 4 2 5" xfId="916" xr:uid="{00000000-0005-0000-0000-0000B1020000}"/>
    <cellStyle name="Normal 4 4 2 6" xfId="917" xr:uid="{00000000-0005-0000-0000-0000B2020000}"/>
    <cellStyle name="Normal 4 4 3" xfId="918" xr:uid="{00000000-0005-0000-0000-0000B3020000}"/>
    <cellStyle name="Normal 4 5" xfId="919" xr:uid="{00000000-0005-0000-0000-0000B4020000}"/>
    <cellStyle name="Normal 4 6" xfId="920" xr:uid="{00000000-0005-0000-0000-0000B5020000}"/>
    <cellStyle name="Normal 4_BRWA12 Loc BR-Oil14 Wellfile" xfId="921" xr:uid="{00000000-0005-0000-0000-0000B6020000}"/>
    <cellStyle name="Normal 40" xfId="295" xr:uid="{00000000-0005-0000-0000-0000B7020000}"/>
    <cellStyle name="Normal 40 2" xfId="494" xr:uid="{00000000-0005-0000-0000-0000B8020000}"/>
    <cellStyle name="Normal 40 3" xfId="922" xr:uid="{00000000-0005-0000-0000-0000B9020000}"/>
    <cellStyle name="Normal 41" xfId="296" xr:uid="{00000000-0005-0000-0000-0000BA020000}"/>
    <cellStyle name="Normal 41 2" xfId="495" xr:uid="{00000000-0005-0000-0000-0000BB020000}"/>
    <cellStyle name="Normal 41 3" xfId="923" xr:uid="{00000000-0005-0000-0000-0000BC020000}"/>
    <cellStyle name="Normal 42" xfId="297" xr:uid="{00000000-0005-0000-0000-0000BD020000}"/>
    <cellStyle name="Normal 42 2" xfId="496" xr:uid="{00000000-0005-0000-0000-0000BE020000}"/>
    <cellStyle name="Normal 42 3" xfId="924" xr:uid="{00000000-0005-0000-0000-0000BF020000}"/>
    <cellStyle name="Normal 43" xfId="298" xr:uid="{00000000-0005-0000-0000-0000C0020000}"/>
    <cellStyle name="Normal 43 2" xfId="497" xr:uid="{00000000-0005-0000-0000-0000C1020000}"/>
    <cellStyle name="Normal 43 2 2" xfId="926" xr:uid="{00000000-0005-0000-0000-0000C2020000}"/>
    <cellStyle name="Normal 43 3" xfId="925" xr:uid="{00000000-0005-0000-0000-0000C3020000}"/>
    <cellStyle name="Normal 44" xfId="299" xr:uid="{00000000-0005-0000-0000-0000C4020000}"/>
    <cellStyle name="Normal 44 2" xfId="300" xr:uid="{00000000-0005-0000-0000-0000C5020000}"/>
    <cellStyle name="Normal 44 2 2" xfId="499" xr:uid="{00000000-0005-0000-0000-0000C6020000}"/>
    <cellStyle name="Normal 44 3" xfId="498" xr:uid="{00000000-0005-0000-0000-0000C7020000}"/>
    <cellStyle name="Normal 44 4" xfId="927" xr:uid="{00000000-0005-0000-0000-0000C8020000}"/>
    <cellStyle name="Normal 45" xfId="301" xr:uid="{00000000-0005-0000-0000-0000C9020000}"/>
    <cellStyle name="Normal 45 2" xfId="500" xr:uid="{00000000-0005-0000-0000-0000CA020000}"/>
    <cellStyle name="Normal 45 3" xfId="928" xr:uid="{00000000-0005-0000-0000-0000CB020000}"/>
    <cellStyle name="Normal 46" xfId="302" xr:uid="{00000000-0005-0000-0000-0000CC020000}"/>
    <cellStyle name="Normal 46 2" xfId="303" xr:uid="{00000000-0005-0000-0000-0000CD020000}"/>
    <cellStyle name="Normal 46 2 2" xfId="502" xr:uid="{00000000-0005-0000-0000-0000CE020000}"/>
    <cellStyle name="Normal 46 3" xfId="501" xr:uid="{00000000-0005-0000-0000-0000CF020000}"/>
    <cellStyle name="Normal 46 4" xfId="929" xr:uid="{00000000-0005-0000-0000-0000D0020000}"/>
    <cellStyle name="Normal 47" xfId="304" xr:uid="{00000000-0005-0000-0000-0000D1020000}"/>
    <cellStyle name="Normal 47 2" xfId="503" xr:uid="{00000000-0005-0000-0000-0000D2020000}"/>
    <cellStyle name="Normal 47 3" xfId="930" xr:uid="{00000000-0005-0000-0000-0000D3020000}"/>
    <cellStyle name="Normal 48" xfId="305" xr:uid="{00000000-0005-0000-0000-0000D4020000}"/>
    <cellStyle name="Normal 48 2" xfId="504" xr:uid="{00000000-0005-0000-0000-0000D5020000}"/>
    <cellStyle name="Normal 48 2 2" xfId="932" xr:uid="{00000000-0005-0000-0000-0000D6020000}"/>
    <cellStyle name="Normal 48 3" xfId="931" xr:uid="{00000000-0005-0000-0000-0000D7020000}"/>
    <cellStyle name="Normal 49" xfId="306" xr:uid="{00000000-0005-0000-0000-0000D8020000}"/>
    <cellStyle name="Normal 49 2" xfId="505" xr:uid="{00000000-0005-0000-0000-0000D9020000}"/>
    <cellStyle name="Normal 49 3" xfId="933" xr:uid="{00000000-0005-0000-0000-0000DA020000}"/>
    <cellStyle name="Normal 5" xfId="307" xr:uid="{00000000-0005-0000-0000-0000DB020000}"/>
    <cellStyle name="Normal 5 2" xfId="308" xr:uid="{00000000-0005-0000-0000-0000DC020000}"/>
    <cellStyle name="Normal 5 2 2" xfId="935" xr:uid="{00000000-0005-0000-0000-0000DD020000}"/>
    <cellStyle name="Normal 5 2 2 2" xfId="936" xr:uid="{00000000-0005-0000-0000-0000DE020000}"/>
    <cellStyle name="Normal 5 2 2 2 2" xfId="937" xr:uid="{00000000-0005-0000-0000-0000DF020000}"/>
    <cellStyle name="Normal 5 2 2 2 2 2" xfId="938" xr:uid="{00000000-0005-0000-0000-0000E0020000}"/>
    <cellStyle name="Normal 5 2 2 2 3" xfId="939" xr:uid="{00000000-0005-0000-0000-0000E1020000}"/>
    <cellStyle name="Normal 5 2 2 2 4" xfId="940" xr:uid="{00000000-0005-0000-0000-0000E2020000}"/>
    <cellStyle name="Normal 5 2 2 3" xfId="941" xr:uid="{00000000-0005-0000-0000-0000E3020000}"/>
    <cellStyle name="Normal 5 2 2 3 2" xfId="942" xr:uid="{00000000-0005-0000-0000-0000E4020000}"/>
    <cellStyle name="Normal 5 2 2 4" xfId="943" xr:uid="{00000000-0005-0000-0000-0000E5020000}"/>
    <cellStyle name="Normal 5 2 2 5" xfId="944" xr:uid="{00000000-0005-0000-0000-0000E6020000}"/>
    <cellStyle name="Normal 5 2 3" xfId="945" xr:uid="{00000000-0005-0000-0000-0000E7020000}"/>
    <cellStyle name="Normal 5 2 3 2" xfId="946" xr:uid="{00000000-0005-0000-0000-0000E8020000}"/>
    <cellStyle name="Normal 5 2 3 2 2" xfId="947" xr:uid="{00000000-0005-0000-0000-0000E9020000}"/>
    <cellStyle name="Normal 5 2 3 3" xfId="948" xr:uid="{00000000-0005-0000-0000-0000EA020000}"/>
    <cellStyle name="Normal 5 2 3 4" xfId="949" xr:uid="{00000000-0005-0000-0000-0000EB020000}"/>
    <cellStyle name="Normal 5 2 4" xfId="950" xr:uid="{00000000-0005-0000-0000-0000EC020000}"/>
    <cellStyle name="Normal 5 2 4 2" xfId="951" xr:uid="{00000000-0005-0000-0000-0000ED020000}"/>
    <cellStyle name="Normal 5 2 4 2 2" xfId="952" xr:uid="{00000000-0005-0000-0000-0000EE020000}"/>
    <cellStyle name="Normal 5 2 4 3" xfId="953" xr:uid="{00000000-0005-0000-0000-0000EF020000}"/>
    <cellStyle name="Normal 5 2 5" xfId="954" xr:uid="{00000000-0005-0000-0000-0000F0020000}"/>
    <cellStyle name="Normal 5 2 5 2" xfId="955" xr:uid="{00000000-0005-0000-0000-0000F1020000}"/>
    <cellStyle name="Normal 5 2 5 2 2" xfId="956" xr:uid="{00000000-0005-0000-0000-0000F2020000}"/>
    <cellStyle name="Normal 5 2 5 3" xfId="957" xr:uid="{00000000-0005-0000-0000-0000F3020000}"/>
    <cellStyle name="Normal 5 2 6" xfId="958" xr:uid="{00000000-0005-0000-0000-0000F4020000}"/>
    <cellStyle name="Normal 5 2 6 2" xfId="959" xr:uid="{00000000-0005-0000-0000-0000F5020000}"/>
    <cellStyle name="Normal 5 2 7" xfId="960" xr:uid="{00000000-0005-0000-0000-0000F6020000}"/>
    <cellStyle name="Normal 5 2 8" xfId="961" xr:uid="{00000000-0005-0000-0000-0000F7020000}"/>
    <cellStyle name="Normal 5 2 9" xfId="934" xr:uid="{00000000-0005-0000-0000-0000F8020000}"/>
    <cellStyle name="Normal 5 3" xfId="309" xr:uid="{00000000-0005-0000-0000-0000F9020000}"/>
    <cellStyle name="Normal 5 3 2" xfId="963" xr:uid="{00000000-0005-0000-0000-0000FA020000}"/>
    <cellStyle name="Normal 5 3 3" xfId="962" xr:uid="{00000000-0005-0000-0000-0000FB020000}"/>
    <cellStyle name="Normal 5 4" xfId="964" xr:uid="{00000000-0005-0000-0000-0000FC020000}"/>
    <cellStyle name="Normal 5 4 2" xfId="965" xr:uid="{00000000-0005-0000-0000-0000FD020000}"/>
    <cellStyle name="Normal 5 4 2 2" xfId="966" xr:uid="{00000000-0005-0000-0000-0000FE020000}"/>
    <cellStyle name="Normal 5 4 2 2 2" xfId="967" xr:uid="{00000000-0005-0000-0000-0000FF020000}"/>
    <cellStyle name="Normal 5 4 2 2 2 2" xfId="968" xr:uid="{00000000-0005-0000-0000-000000030000}"/>
    <cellStyle name="Normal 5 4 2 2 3" xfId="969" xr:uid="{00000000-0005-0000-0000-000001030000}"/>
    <cellStyle name="Normal 5 4 2 2 4" xfId="970" xr:uid="{00000000-0005-0000-0000-000002030000}"/>
    <cellStyle name="Normal 5 4 2 3" xfId="971" xr:uid="{00000000-0005-0000-0000-000003030000}"/>
    <cellStyle name="Normal 5 4 2 3 2" xfId="972" xr:uid="{00000000-0005-0000-0000-000004030000}"/>
    <cellStyle name="Normal 5 4 2 4" xfId="973" xr:uid="{00000000-0005-0000-0000-000005030000}"/>
    <cellStyle name="Normal 5 4 2 5" xfId="974" xr:uid="{00000000-0005-0000-0000-000006030000}"/>
    <cellStyle name="Normal 5 4 2 6" xfId="975" xr:uid="{00000000-0005-0000-0000-000007030000}"/>
    <cellStyle name="Normal 5 5" xfId="976" xr:uid="{00000000-0005-0000-0000-000008030000}"/>
    <cellStyle name="Normal 5 5 2" xfId="977" xr:uid="{00000000-0005-0000-0000-000009030000}"/>
    <cellStyle name="Normal 5 6" xfId="978" xr:uid="{00000000-0005-0000-0000-00000A030000}"/>
    <cellStyle name="Normal 5 6 2" xfId="979" xr:uid="{00000000-0005-0000-0000-00000B030000}"/>
    <cellStyle name="Normal 5 6 2 2" xfId="980" xr:uid="{00000000-0005-0000-0000-00000C030000}"/>
    <cellStyle name="Normal 5 6 2 2 2" xfId="981" xr:uid="{00000000-0005-0000-0000-00000D030000}"/>
    <cellStyle name="Normal 5 6 2 3" xfId="982" xr:uid="{00000000-0005-0000-0000-00000E030000}"/>
    <cellStyle name="Normal 5 6 2 4" xfId="983" xr:uid="{00000000-0005-0000-0000-00000F030000}"/>
    <cellStyle name="Normal 5 6 3" xfId="984" xr:uid="{00000000-0005-0000-0000-000010030000}"/>
    <cellStyle name="Normal 5 6 3 2" xfId="985" xr:uid="{00000000-0005-0000-0000-000011030000}"/>
    <cellStyle name="Normal 5 6 4" xfId="986" xr:uid="{00000000-0005-0000-0000-000012030000}"/>
    <cellStyle name="Normal 5 6 5" xfId="987" xr:uid="{00000000-0005-0000-0000-000013030000}"/>
    <cellStyle name="Normal 5 7" xfId="988" xr:uid="{00000000-0005-0000-0000-000014030000}"/>
    <cellStyle name="Normal 5_BRWA12 Loc BR-Oil14 Wellfile" xfId="989" xr:uid="{00000000-0005-0000-0000-000015030000}"/>
    <cellStyle name="Normal 50" xfId="310" xr:uid="{00000000-0005-0000-0000-000016030000}"/>
    <cellStyle name="Normal 50 2" xfId="506" xr:uid="{00000000-0005-0000-0000-000017030000}"/>
    <cellStyle name="Normal 50 3" xfId="990" xr:uid="{00000000-0005-0000-0000-000018030000}"/>
    <cellStyle name="Normal 51" xfId="311" xr:uid="{00000000-0005-0000-0000-000019030000}"/>
    <cellStyle name="Normal 51 2" xfId="507" xr:uid="{00000000-0005-0000-0000-00001A030000}"/>
    <cellStyle name="Normal 51 3" xfId="991" xr:uid="{00000000-0005-0000-0000-00001B030000}"/>
    <cellStyle name="Normal 52" xfId="312" xr:uid="{00000000-0005-0000-0000-00001C030000}"/>
    <cellStyle name="Normal 52 2" xfId="508" xr:uid="{00000000-0005-0000-0000-00001D030000}"/>
    <cellStyle name="Normal 52 2 2" xfId="993" xr:uid="{00000000-0005-0000-0000-00001E030000}"/>
    <cellStyle name="Normal 52 3" xfId="992" xr:uid="{00000000-0005-0000-0000-00001F030000}"/>
    <cellStyle name="Normal 53" xfId="313" xr:uid="{00000000-0005-0000-0000-000020030000}"/>
    <cellStyle name="Normal 53 2" xfId="509" xr:uid="{00000000-0005-0000-0000-000021030000}"/>
    <cellStyle name="Normal 53 3" xfId="994" xr:uid="{00000000-0005-0000-0000-000022030000}"/>
    <cellStyle name="Normal 54" xfId="314" xr:uid="{00000000-0005-0000-0000-000023030000}"/>
    <cellStyle name="Normal 54 2" xfId="510" xr:uid="{00000000-0005-0000-0000-000024030000}"/>
    <cellStyle name="Normal 54 3" xfId="995" xr:uid="{00000000-0005-0000-0000-000025030000}"/>
    <cellStyle name="Normal 55" xfId="315" xr:uid="{00000000-0005-0000-0000-000026030000}"/>
    <cellStyle name="Normal 55 2" xfId="511" xr:uid="{00000000-0005-0000-0000-000027030000}"/>
    <cellStyle name="Normal 55 3" xfId="996" xr:uid="{00000000-0005-0000-0000-000028030000}"/>
    <cellStyle name="Normal 56" xfId="316" xr:uid="{00000000-0005-0000-0000-000029030000}"/>
    <cellStyle name="Normal 56 2" xfId="512" xr:uid="{00000000-0005-0000-0000-00002A030000}"/>
    <cellStyle name="Normal 56 3" xfId="997" xr:uid="{00000000-0005-0000-0000-00002B030000}"/>
    <cellStyle name="Normal 57" xfId="317" xr:uid="{00000000-0005-0000-0000-00002C030000}"/>
    <cellStyle name="Normal 57 2" xfId="513" xr:uid="{00000000-0005-0000-0000-00002D030000}"/>
    <cellStyle name="Normal 57 3" xfId="998" xr:uid="{00000000-0005-0000-0000-00002E030000}"/>
    <cellStyle name="Normal 58" xfId="318" xr:uid="{00000000-0005-0000-0000-00002F030000}"/>
    <cellStyle name="Normal 58 2" xfId="514" xr:uid="{00000000-0005-0000-0000-000030030000}"/>
    <cellStyle name="Normal 58 3" xfId="999" xr:uid="{00000000-0005-0000-0000-000031030000}"/>
    <cellStyle name="Normal 59" xfId="319" xr:uid="{00000000-0005-0000-0000-000032030000}"/>
    <cellStyle name="Normal 59 2" xfId="515" xr:uid="{00000000-0005-0000-0000-000033030000}"/>
    <cellStyle name="Normal 59 3" xfId="1000" xr:uid="{00000000-0005-0000-0000-000034030000}"/>
    <cellStyle name="Normal 6" xfId="320" xr:uid="{00000000-0005-0000-0000-000035030000}"/>
    <cellStyle name="Normal 6 2" xfId="321" xr:uid="{00000000-0005-0000-0000-000036030000}"/>
    <cellStyle name="Normal 6 2 2" xfId="1001" xr:uid="{00000000-0005-0000-0000-000037030000}"/>
    <cellStyle name="Normal 6 2 3" xfId="1002" xr:uid="{00000000-0005-0000-0000-000038030000}"/>
    <cellStyle name="Normal 6 3" xfId="1003" xr:uid="{00000000-0005-0000-0000-000039030000}"/>
    <cellStyle name="Normal 6 3 2" xfId="1004" xr:uid="{00000000-0005-0000-0000-00003A030000}"/>
    <cellStyle name="Normal 6 3 2 2" xfId="1005" xr:uid="{00000000-0005-0000-0000-00003B030000}"/>
    <cellStyle name="Normal 6 3 2 2 2" xfId="1006" xr:uid="{00000000-0005-0000-0000-00003C030000}"/>
    <cellStyle name="Normal 6 3 2 3" xfId="1007" xr:uid="{00000000-0005-0000-0000-00003D030000}"/>
    <cellStyle name="Normal 6 3 2 4" xfId="1008" xr:uid="{00000000-0005-0000-0000-00003E030000}"/>
    <cellStyle name="Normal 6 3 3" xfId="1009" xr:uid="{00000000-0005-0000-0000-00003F030000}"/>
    <cellStyle name="Normal 6 3 3 2" xfId="1010" xr:uid="{00000000-0005-0000-0000-000040030000}"/>
    <cellStyle name="Normal 6 3 4" xfId="1011" xr:uid="{00000000-0005-0000-0000-000041030000}"/>
    <cellStyle name="Normal 6 3 5" xfId="1012" xr:uid="{00000000-0005-0000-0000-000042030000}"/>
    <cellStyle name="Normal 6 3 6" xfId="1013" xr:uid="{00000000-0005-0000-0000-000043030000}"/>
    <cellStyle name="Normal 6 4" xfId="1014" xr:uid="{00000000-0005-0000-0000-000044030000}"/>
    <cellStyle name="Normal 6_SELIGI C-37 COMPLETION BHA 3.5 JFE FOX STD" xfId="322" xr:uid="{00000000-0005-0000-0000-000045030000}"/>
    <cellStyle name="Normal 60" xfId="323" xr:uid="{00000000-0005-0000-0000-000046030000}"/>
    <cellStyle name="Normal 60 2" xfId="516" xr:uid="{00000000-0005-0000-0000-000047030000}"/>
    <cellStyle name="Normal 60 3" xfId="544" xr:uid="{00000000-0005-0000-0000-000048030000}"/>
    <cellStyle name="Normal 61" xfId="324" xr:uid="{00000000-0005-0000-0000-000049030000}"/>
    <cellStyle name="Normal 61 2" xfId="517" xr:uid="{00000000-0005-0000-0000-00004A030000}"/>
    <cellStyle name="Normal 61 3" xfId="545" xr:uid="{00000000-0005-0000-0000-00004B030000}"/>
    <cellStyle name="Normal 62" xfId="325" xr:uid="{00000000-0005-0000-0000-00004C030000}"/>
    <cellStyle name="Normal 62 2" xfId="518" xr:uid="{00000000-0005-0000-0000-00004D030000}"/>
    <cellStyle name="Normal 63" xfId="326" xr:uid="{00000000-0005-0000-0000-00004E030000}"/>
    <cellStyle name="Normal 63 2" xfId="519" xr:uid="{00000000-0005-0000-0000-00004F030000}"/>
    <cellStyle name="Normal 64" xfId="327" xr:uid="{00000000-0005-0000-0000-000050030000}"/>
    <cellStyle name="Normal 64 2" xfId="520" xr:uid="{00000000-0005-0000-0000-000051030000}"/>
    <cellStyle name="Normal 65" xfId="328" xr:uid="{00000000-0005-0000-0000-000052030000}"/>
    <cellStyle name="Normal 65 2" xfId="521" xr:uid="{00000000-0005-0000-0000-000053030000}"/>
    <cellStyle name="Normal 66" xfId="329" xr:uid="{00000000-0005-0000-0000-000054030000}"/>
    <cellStyle name="Normal 66 2" xfId="330" xr:uid="{00000000-0005-0000-0000-000055030000}"/>
    <cellStyle name="Normal 67" xfId="331" xr:uid="{00000000-0005-0000-0000-000056030000}"/>
    <cellStyle name="Normal 67 2" xfId="522" xr:uid="{00000000-0005-0000-0000-000057030000}"/>
    <cellStyle name="Normal 68" xfId="332" xr:uid="{00000000-0005-0000-0000-000058030000}"/>
    <cellStyle name="Normal 68 2" xfId="333" xr:uid="{00000000-0005-0000-0000-000059030000}"/>
    <cellStyle name="Normal 68 2 2" xfId="524" xr:uid="{00000000-0005-0000-0000-00005A030000}"/>
    <cellStyle name="Normal 68 3" xfId="523" xr:uid="{00000000-0005-0000-0000-00005B030000}"/>
    <cellStyle name="Normal 69" xfId="334" xr:uid="{00000000-0005-0000-0000-00005C030000}"/>
    <cellStyle name="Normal 69 2" xfId="335" xr:uid="{00000000-0005-0000-0000-00005D030000}"/>
    <cellStyle name="Normal 69 2 2" xfId="526" xr:uid="{00000000-0005-0000-0000-00005E030000}"/>
    <cellStyle name="Normal 69 3" xfId="336" xr:uid="{00000000-0005-0000-0000-00005F030000}"/>
    <cellStyle name="Normal 69 3 2" xfId="527" xr:uid="{00000000-0005-0000-0000-000060030000}"/>
    <cellStyle name="Normal 69 4" xfId="525" xr:uid="{00000000-0005-0000-0000-000061030000}"/>
    <cellStyle name="Normal 7" xfId="337" xr:uid="{00000000-0005-0000-0000-000062030000}"/>
    <cellStyle name="Normal 7 2" xfId="338" xr:uid="{00000000-0005-0000-0000-000063030000}"/>
    <cellStyle name="Normal 7 2 2" xfId="1017" xr:uid="{00000000-0005-0000-0000-000064030000}"/>
    <cellStyle name="Normal 7 2 3" xfId="1016" xr:uid="{00000000-0005-0000-0000-000065030000}"/>
    <cellStyle name="Normal 7 3" xfId="1018" xr:uid="{00000000-0005-0000-0000-000066030000}"/>
    <cellStyle name="Normal 7 3 2" xfId="1019" xr:uid="{00000000-0005-0000-0000-000067030000}"/>
    <cellStyle name="Normal 7 3 2 2" xfId="1020" xr:uid="{00000000-0005-0000-0000-000068030000}"/>
    <cellStyle name="Normal 7 3 2 2 2" xfId="1021" xr:uid="{00000000-0005-0000-0000-000069030000}"/>
    <cellStyle name="Normal 7 3 2 3" xfId="1022" xr:uid="{00000000-0005-0000-0000-00006A030000}"/>
    <cellStyle name="Normal 7 3 2 4" xfId="1023" xr:uid="{00000000-0005-0000-0000-00006B030000}"/>
    <cellStyle name="Normal 7 3 3" xfId="1024" xr:uid="{00000000-0005-0000-0000-00006C030000}"/>
    <cellStyle name="Normal 7 3 3 2" xfId="1025" xr:uid="{00000000-0005-0000-0000-00006D030000}"/>
    <cellStyle name="Normal 7 3 4" xfId="1026" xr:uid="{00000000-0005-0000-0000-00006E030000}"/>
    <cellStyle name="Normal 7 3 5" xfId="1027" xr:uid="{00000000-0005-0000-0000-00006F030000}"/>
    <cellStyle name="Normal 7 3 6" xfId="1028" xr:uid="{00000000-0005-0000-0000-000070030000}"/>
    <cellStyle name="Normal 7 4" xfId="1029" xr:uid="{00000000-0005-0000-0000-000071030000}"/>
    <cellStyle name="Normal 70" xfId="339" xr:uid="{00000000-0005-0000-0000-000072030000}"/>
    <cellStyle name="Normal 70 2" xfId="340" xr:uid="{00000000-0005-0000-0000-000073030000}"/>
    <cellStyle name="Normal 70 2 2" xfId="529" xr:uid="{00000000-0005-0000-0000-000074030000}"/>
    <cellStyle name="Normal 70 3" xfId="528" xr:uid="{00000000-0005-0000-0000-000075030000}"/>
    <cellStyle name="Normal 71" xfId="341" xr:uid="{00000000-0005-0000-0000-000076030000}"/>
    <cellStyle name="Normal 71 2" xfId="342" xr:uid="{00000000-0005-0000-0000-000077030000}"/>
    <cellStyle name="Normal 71 2 2" xfId="530" xr:uid="{00000000-0005-0000-0000-000078030000}"/>
    <cellStyle name="Normal 72" xfId="343" xr:uid="{00000000-0005-0000-0000-000079030000}"/>
    <cellStyle name="Normal 72 2" xfId="531" xr:uid="{00000000-0005-0000-0000-00007A030000}"/>
    <cellStyle name="Normal 73" xfId="344" xr:uid="{00000000-0005-0000-0000-00007B030000}"/>
    <cellStyle name="Normal 74" xfId="345" xr:uid="{00000000-0005-0000-0000-00007C030000}"/>
    <cellStyle name="Normal 74 2" xfId="532" xr:uid="{00000000-0005-0000-0000-00007D030000}"/>
    <cellStyle name="Normal 74 3" xfId="1158" xr:uid="{F0399430-7CDE-4536-8323-D51C87115E44}"/>
    <cellStyle name="Normal 75" xfId="346" xr:uid="{00000000-0005-0000-0000-00007E030000}"/>
    <cellStyle name="Normal 76" xfId="347" xr:uid="{00000000-0005-0000-0000-00007F030000}"/>
    <cellStyle name="Normal 77" xfId="348" xr:uid="{00000000-0005-0000-0000-000080030000}"/>
    <cellStyle name="Normal 78" xfId="349" xr:uid="{00000000-0005-0000-0000-000081030000}"/>
    <cellStyle name="Normal 79" xfId="350" xr:uid="{00000000-0005-0000-0000-000082030000}"/>
    <cellStyle name="Normal 8" xfId="351" xr:uid="{00000000-0005-0000-0000-000083030000}"/>
    <cellStyle name="Normal 8 2" xfId="352" xr:uid="{00000000-0005-0000-0000-000084030000}"/>
    <cellStyle name="Normal 8 2 2" xfId="1031" xr:uid="{00000000-0005-0000-0000-000085030000}"/>
    <cellStyle name="Normal 80" xfId="353" xr:uid="{00000000-0005-0000-0000-000086030000}"/>
    <cellStyle name="Normal 81" xfId="354" xr:uid="{00000000-0005-0000-0000-000087030000}"/>
    <cellStyle name="Normal 82" xfId="355" xr:uid="{00000000-0005-0000-0000-000088030000}"/>
    <cellStyle name="Normal 83" xfId="356" xr:uid="{00000000-0005-0000-0000-000089030000}"/>
    <cellStyle name="Normal 84" xfId="357" xr:uid="{00000000-0005-0000-0000-00008A030000}"/>
    <cellStyle name="Normal 85" xfId="358" xr:uid="{00000000-0005-0000-0000-00008B030000}"/>
    <cellStyle name="Normal 86" xfId="359" xr:uid="{00000000-0005-0000-0000-00008C030000}"/>
    <cellStyle name="Normal 87" xfId="360" xr:uid="{00000000-0005-0000-0000-00008D030000}"/>
    <cellStyle name="Normal 88" xfId="361" xr:uid="{00000000-0005-0000-0000-00008E030000}"/>
    <cellStyle name="Normal 89" xfId="362" xr:uid="{00000000-0005-0000-0000-00008F030000}"/>
    <cellStyle name="Normal 9" xfId="363" xr:uid="{00000000-0005-0000-0000-000090030000}"/>
    <cellStyle name="Normal 9 2" xfId="364" xr:uid="{00000000-0005-0000-0000-000091030000}"/>
    <cellStyle name="Normal 9 2 2" xfId="365" xr:uid="{00000000-0005-0000-0000-000092030000}"/>
    <cellStyle name="Normal 9 2 2 2" xfId="534" xr:uid="{00000000-0005-0000-0000-000093030000}"/>
    <cellStyle name="Normal 9 2 2 2 2" xfId="1036" xr:uid="{00000000-0005-0000-0000-000094030000}"/>
    <cellStyle name="Normal 9 2 2 2 3" xfId="1035" xr:uid="{00000000-0005-0000-0000-000095030000}"/>
    <cellStyle name="Normal 9 2 2 3" xfId="1037" xr:uid="{00000000-0005-0000-0000-000096030000}"/>
    <cellStyle name="Normal 9 2 2 4" xfId="1038" xr:uid="{00000000-0005-0000-0000-000097030000}"/>
    <cellStyle name="Normal 9 2 2 5" xfId="1034" xr:uid="{00000000-0005-0000-0000-000098030000}"/>
    <cellStyle name="Normal 9 2 3" xfId="533" xr:uid="{00000000-0005-0000-0000-000099030000}"/>
    <cellStyle name="Normal 9 2 3 2" xfId="1040" xr:uid="{00000000-0005-0000-0000-00009A030000}"/>
    <cellStyle name="Normal 9 2 3 3" xfId="1039" xr:uid="{00000000-0005-0000-0000-00009B030000}"/>
    <cellStyle name="Normal 9 2 4" xfId="1041" xr:uid="{00000000-0005-0000-0000-00009C030000}"/>
    <cellStyle name="Normal 9 2 5" xfId="1042" xr:uid="{00000000-0005-0000-0000-00009D030000}"/>
    <cellStyle name="Normal 9 2 6" xfId="1043" xr:uid="{00000000-0005-0000-0000-00009E030000}"/>
    <cellStyle name="Normal 9 2 7" xfId="1033" xr:uid="{00000000-0005-0000-0000-00009F030000}"/>
    <cellStyle name="Normal 9 3" xfId="1044" xr:uid="{00000000-0005-0000-0000-0000A0030000}"/>
    <cellStyle name="Normal 90" xfId="366" xr:uid="{00000000-0005-0000-0000-0000A1030000}"/>
    <cellStyle name="Normal 91" xfId="367" xr:uid="{00000000-0005-0000-0000-0000A2030000}"/>
    <cellStyle name="Normal 91 2" xfId="535" xr:uid="{00000000-0005-0000-0000-0000A3030000}"/>
    <cellStyle name="Normal 92" xfId="461" xr:uid="{00000000-0005-0000-0000-0000A4030000}"/>
    <cellStyle name="Normal 93" xfId="1155" xr:uid="{BFD15A3B-121B-4B2C-BD10-9A263A936DBB}"/>
    <cellStyle name="Normal_FO-AP-HES-CPS-102_1 3" xfId="1045" xr:uid="{00000000-0005-0000-0000-0000A5030000}"/>
    <cellStyle name="Normal_Run" xfId="4" xr:uid="{00000000-0005-0000-0000-0000A6030000}"/>
    <cellStyle name="Normal_Run Sheet" xfId="7" xr:uid="{00000000-0005-0000-0000-0000A7030000}"/>
    <cellStyle name="Normal_SMTP C01 FINAL Wellfile (dual)" xfId="536" xr:uid="{00000000-0005-0000-0000-0000A8030000}"/>
    <cellStyle name="Normal_Tally_1" xfId="3" xr:uid="{00000000-0005-0000-0000-0000A9030000}"/>
    <cellStyle name="Normal_Tally_2" xfId="2" xr:uid="{00000000-0005-0000-0000-0000AA030000}"/>
    <cellStyle name="Normal_Wellfile BE-12ST4 Final" xfId="5" xr:uid="{00000000-0005-0000-0000-0000AB030000}"/>
    <cellStyle name="Normal6" xfId="368" xr:uid="{00000000-0005-0000-0000-0000AC030000}"/>
    <cellStyle name="Normal6 2" xfId="1047" xr:uid="{00000000-0005-0000-0000-0000AD030000}"/>
    <cellStyle name="Normal6 3" xfId="1046" xr:uid="{00000000-0005-0000-0000-0000AE030000}"/>
    <cellStyle name="Normal6Red" xfId="369" xr:uid="{00000000-0005-0000-0000-0000AF030000}"/>
    <cellStyle name="Normal6Red 2" xfId="1049" xr:uid="{00000000-0005-0000-0000-0000B0030000}"/>
    <cellStyle name="Normal6Red 3" xfId="1048" xr:uid="{00000000-0005-0000-0000-0000B1030000}"/>
    <cellStyle name="Normale_laroux" xfId="370" xr:uid="{00000000-0005-0000-0000-0000B2030000}"/>
    <cellStyle name="Note 2" xfId="371" xr:uid="{00000000-0005-0000-0000-0000B3030000}"/>
    <cellStyle name="Note 2 2" xfId="1050" xr:uid="{00000000-0005-0000-0000-0000B4030000}"/>
    <cellStyle name="Note 3" xfId="372" xr:uid="{00000000-0005-0000-0000-0000B5030000}"/>
    <cellStyle name="Note 4" xfId="373" xr:uid="{00000000-0005-0000-0000-0000B6030000}"/>
    <cellStyle name="Note 5" xfId="374" xr:uid="{00000000-0005-0000-0000-0000B7030000}"/>
    <cellStyle name="Number" xfId="375" xr:uid="{00000000-0005-0000-0000-0000B8030000}"/>
    <cellStyle name="Œ…‹??‚è [0.00]_Sheet1" xfId="376" xr:uid="{00000000-0005-0000-0000-0000B9030000}"/>
    <cellStyle name="Œ…‹??‚è_Sheet1" xfId="377" xr:uid="{00000000-0005-0000-0000-0000BA030000}"/>
    <cellStyle name="Œ…‹æØ‚è [0.00]_BHA Cal" xfId="1051" xr:uid="{00000000-0005-0000-0000-0000BB030000}"/>
    <cellStyle name="Œ…‹æØ‚è_BHA Cal" xfId="1052" xr:uid="{00000000-0005-0000-0000-0000BC030000}"/>
    <cellStyle name="Output 2" xfId="378" xr:uid="{00000000-0005-0000-0000-0000BD030000}"/>
    <cellStyle name="Output 3" xfId="379" xr:uid="{00000000-0005-0000-0000-0000BE030000}"/>
    <cellStyle name="Output 4" xfId="380" xr:uid="{00000000-0005-0000-0000-0000BF030000}"/>
    <cellStyle name="Page_No" xfId="381" xr:uid="{00000000-0005-0000-0000-0000C0030000}"/>
    <cellStyle name="per.style" xfId="40" xr:uid="{00000000-0005-0000-0000-0000C1030000}"/>
    <cellStyle name="per.style 2" xfId="382" xr:uid="{00000000-0005-0000-0000-0000C2030000}"/>
    <cellStyle name="per.style 3" xfId="1054" xr:uid="{00000000-0005-0000-0000-0000C3030000}"/>
    <cellStyle name="per.style 3 2" xfId="1055" xr:uid="{00000000-0005-0000-0000-0000C4030000}"/>
    <cellStyle name="per.style_BRWA03 Wellfile rev0" xfId="1056" xr:uid="{00000000-0005-0000-0000-0000C5030000}"/>
    <cellStyle name="Percent (0%)" xfId="1057" xr:uid="{00000000-0005-0000-0000-0000C6030000}"/>
    <cellStyle name="Percent [0.00]" xfId="1058" xr:uid="{00000000-0005-0000-0000-0000C7030000}"/>
    <cellStyle name="Percent [0]" xfId="1059" xr:uid="{00000000-0005-0000-0000-0000C8030000}"/>
    <cellStyle name="Percent [2]" xfId="41" xr:uid="{00000000-0005-0000-0000-0000C9030000}"/>
    <cellStyle name="Percent [2] 2" xfId="383" xr:uid="{00000000-0005-0000-0000-0000CA030000}"/>
    <cellStyle name="Percent [2] 2 2" xfId="1061" xr:uid="{00000000-0005-0000-0000-0000CB030000}"/>
    <cellStyle name="Percent [2] 3" xfId="384" xr:uid="{00000000-0005-0000-0000-0000CC030000}"/>
    <cellStyle name="Percent [2] 3 2" xfId="1063" xr:uid="{00000000-0005-0000-0000-0000CD030000}"/>
    <cellStyle name="Percent [2] 4" xfId="1064" xr:uid="{00000000-0005-0000-0000-0000CE030000}"/>
    <cellStyle name="Percent [2] 4 2" xfId="1065" xr:uid="{00000000-0005-0000-0000-0000CF030000}"/>
    <cellStyle name="Percent [2] 5" xfId="1066" xr:uid="{00000000-0005-0000-0000-0000D0030000}"/>
    <cellStyle name="Percent 10" xfId="385" xr:uid="{00000000-0005-0000-0000-0000D1030000}"/>
    <cellStyle name="Percent 11" xfId="386" xr:uid="{00000000-0005-0000-0000-0000D2030000}"/>
    <cellStyle name="Percent 12" xfId="387" xr:uid="{00000000-0005-0000-0000-0000D3030000}"/>
    <cellStyle name="Percent 13" xfId="388" xr:uid="{00000000-0005-0000-0000-0000D4030000}"/>
    <cellStyle name="Percent 14" xfId="389" xr:uid="{00000000-0005-0000-0000-0000D5030000}"/>
    <cellStyle name="Percent 15" xfId="390" xr:uid="{00000000-0005-0000-0000-0000D6030000}"/>
    <cellStyle name="Percent 16" xfId="391" xr:uid="{00000000-0005-0000-0000-0000D7030000}"/>
    <cellStyle name="Percent 17" xfId="392" xr:uid="{00000000-0005-0000-0000-0000D8030000}"/>
    <cellStyle name="Percent 18" xfId="393" xr:uid="{00000000-0005-0000-0000-0000D9030000}"/>
    <cellStyle name="Percent 19" xfId="394" xr:uid="{00000000-0005-0000-0000-0000DA030000}"/>
    <cellStyle name="Percent 2" xfId="395" xr:uid="{00000000-0005-0000-0000-0000DB030000}"/>
    <cellStyle name="Percent 2 2" xfId="396" xr:uid="{00000000-0005-0000-0000-0000DC030000}"/>
    <cellStyle name="Percent 2 2 2" xfId="1067" xr:uid="{00000000-0005-0000-0000-0000DD030000}"/>
    <cellStyle name="Percent 2 2 2 2" xfId="1068" xr:uid="{00000000-0005-0000-0000-0000DE030000}"/>
    <cellStyle name="Percent 2 3" xfId="1069" xr:uid="{00000000-0005-0000-0000-0000DF030000}"/>
    <cellStyle name="Percent 2 3 2" xfId="1070" xr:uid="{00000000-0005-0000-0000-0000E0030000}"/>
    <cellStyle name="Percent 20" xfId="397" xr:uid="{00000000-0005-0000-0000-0000E1030000}"/>
    <cellStyle name="Percent 21" xfId="398" xr:uid="{00000000-0005-0000-0000-0000E2030000}"/>
    <cellStyle name="Percent 22" xfId="399" xr:uid="{00000000-0005-0000-0000-0000E3030000}"/>
    <cellStyle name="Percent 23" xfId="400" xr:uid="{00000000-0005-0000-0000-0000E4030000}"/>
    <cellStyle name="Percent 24" xfId="401" xr:uid="{00000000-0005-0000-0000-0000E5030000}"/>
    <cellStyle name="Percent 25" xfId="402" xr:uid="{00000000-0005-0000-0000-0000E6030000}"/>
    <cellStyle name="Percent 26" xfId="403" xr:uid="{00000000-0005-0000-0000-0000E7030000}"/>
    <cellStyle name="Percent 3" xfId="404" xr:uid="{00000000-0005-0000-0000-0000E8030000}"/>
    <cellStyle name="Percent 3 2" xfId="1071" xr:uid="{00000000-0005-0000-0000-0000E9030000}"/>
    <cellStyle name="Percent 4" xfId="405" xr:uid="{00000000-0005-0000-0000-0000EA030000}"/>
    <cellStyle name="Percent 4 2" xfId="1072" xr:uid="{00000000-0005-0000-0000-0000EB030000}"/>
    <cellStyle name="Percent 5" xfId="406" xr:uid="{00000000-0005-0000-0000-0000EC030000}"/>
    <cellStyle name="Percent 5 2" xfId="1073" xr:uid="{00000000-0005-0000-0000-0000ED030000}"/>
    <cellStyle name="Percent 5 2 2" xfId="1074" xr:uid="{00000000-0005-0000-0000-0000EE030000}"/>
    <cellStyle name="Percent 5 3" xfId="1075" xr:uid="{00000000-0005-0000-0000-0000EF030000}"/>
    <cellStyle name="Percent 6" xfId="407" xr:uid="{00000000-0005-0000-0000-0000F0030000}"/>
    <cellStyle name="Percent 6 2" xfId="1076" xr:uid="{00000000-0005-0000-0000-0000F1030000}"/>
    <cellStyle name="Percent 7" xfId="408" xr:uid="{00000000-0005-0000-0000-0000F2030000}"/>
    <cellStyle name="Percent 7 2" xfId="1077" xr:uid="{00000000-0005-0000-0000-0000F3030000}"/>
    <cellStyle name="Percent 8" xfId="409" xr:uid="{00000000-0005-0000-0000-0000F4030000}"/>
    <cellStyle name="Percent 8 2" xfId="1078" xr:uid="{00000000-0005-0000-0000-0000F5030000}"/>
    <cellStyle name="Percent 8 2 2" xfId="1079" xr:uid="{00000000-0005-0000-0000-0000F6030000}"/>
    <cellStyle name="Percent 8 3" xfId="1080" xr:uid="{00000000-0005-0000-0000-0000F7030000}"/>
    <cellStyle name="Percent 8 4" xfId="1081" xr:uid="{00000000-0005-0000-0000-0000F8030000}"/>
    <cellStyle name="Percent 9" xfId="410" xr:uid="{00000000-0005-0000-0000-0000F9030000}"/>
    <cellStyle name="Percent 9 2" xfId="1082" xr:uid="{00000000-0005-0000-0000-0000FA030000}"/>
    <cellStyle name="PSChar" xfId="411" xr:uid="{00000000-0005-0000-0000-0000FB030000}"/>
    <cellStyle name="PSChar 2" xfId="412" xr:uid="{00000000-0005-0000-0000-0000FC030000}"/>
    <cellStyle name="regstoresfromspecstores" xfId="42" xr:uid="{00000000-0005-0000-0000-0000FD030000}"/>
    <cellStyle name="regstoresfromspecstores 2" xfId="413" xr:uid="{00000000-0005-0000-0000-0000FE030000}"/>
    <cellStyle name="regstoresfromspecstores 2 2" xfId="1083" xr:uid="{00000000-0005-0000-0000-0000FF030000}"/>
    <cellStyle name="REPORT" xfId="414" xr:uid="{00000000-0005-0000-0000-000000040000}"/>
    <cellStyle name="REPORT 2" xfId="415" xr:uid="{00000000-0005-0000-0000-000001040000}"/>
    <cellStyle name="ResulatModif" xfId="1084" xr:uid="{00000000-0005-0000-0000-000002040000}"/>
    <cellStyle name="Resultat" xfId="1085" xr:uid="{00000000-0005-0000-0000-000003040000}"/>
    <cellStyle name="ResultatModif" xfId="1086" xr:uid="{00000000-0005-0000-0000-000004040000}"/>
    <cellStyle name="ResultatModifMgt" xfId="1087" xr:uid="{00000000-0005-0000-0000-000005040000}"/>
    <cellStyle name="RevList" xfId="43" xr:uid="{00000000-0005-0000-0000-000006040000}"/>
    <cellStyle name="RevList 2" xfId="416" xr:uid="{00000000-0005-0000-0000-000007040000}"/>
    <cellStyle name="Saisie" xfId="1088" xr:uid="{00000000-0005-0000-0000-000008040000}"/>
    <cellStyle name="SaisieDaily" xfId="1089" xr:uid="{00000000-0005-0000-0000-000009040000}"/>
    <cellStyle name="SaisieMgt" xfId="1090" xr:uid="{00000000-0005-0000-0000-00000A040000}"/>
    <cellStyle name="SHADEDSTORES" xfId="44" xr:uid="{00000000-0005-0000-0000-00000B040000}"/>
    <cellStyle name="SHADEDSTORES 2" xfId="417" xr:uid="{00000000-0005-0000-0000-00000C040000}"/>
    <cellStyle name="SHADEDSTORES 2 2" xfId="1091" xr:uid="{00000000-0005-0000-0000-00000D040000}"/>
    <cellStyle name="SHADEDSTORES 3" xfId="418" xr:uid="{00000000-0005-0000-0000-00000E040000}"/>
    <cellStyle name="shading" xfId="1092" xr:uid="{00000000-0005-0000-0000-00000F040000}"/>
    <cellStyle name="Shell" xfId="45" xr:uid="{00000000-0005-0000-0000-000010040000}"/>
    <cellStyle name="Shell 2" xfId="419" xr:uid="{00000000-0005-0000-0000-000011040000}"/>
    <cellStyle name="Social Security #" xfId="1093" xr:uid="{00000000-0005-0000-0000-000012040000}"/>
    <cellStyle name="sonhead" xfId="420" xr:uid="{00000000-0005-0000-0000-000013040000}"/>
    <cellStyle name="sonhead 2" xfId="1095" xr:uid="{00000000-0005-0000-0000-000014040000}"/>
    <cellStyle name="sonhead 3" xfId="1094" xr:uid="{00000000-0005-0000-0000-000015040000}"/>
    <cellStyle name="sonscript" xfId="421" xr:uid="{00000000-0005-0000-0000-000016040000}"/>
    <cellStyle name="sonscript 2" xfId="1097" xr:uid="{00000000-0005-0000-0000-000017040000}"/>
    <cellStyle name="sonscript 3" xfId="1096" xr:uid="{00000000-0005-0000-0000-000018040000}"/>
    <cellStyle name="sontitle" xfId="422" xr:uid="{00000000-0005-0000-0000-000019040000}"/>
    <cellStyle name="sontitle 2" xfId="1099" xr:uid="{00000000-0005-0000-0000-00001A040000}"/>
    <cellStyle name="sontitle 3" xfId="1098" xr:uid="{00000000-0005-0000-0000-00001B040000}"/>
    <cellStyle name="Special" xfId="46" xr:uid="{00000000-0005-0000-0000-00001C040000}"/>
    <cellStyle name="Special 2" xfId="423" xr:uid="{00000000-0005-0000-0000-00001D040000}"/>
    <cellStyle name="Special 2 2" xfId="1101" xr:uid="{00000000-0005-0000-0000-00001E040000}"/>
    <cellStyle name="Special 3" xfId="1100" xr:uid="{00000000-0005-0000-0000-00001F040000}"/>
    <cellStyle name="Special_BRWA03 Wellfile rev0" xfId="1102" xr:uid="{00000000-0005-0000-0000-000020040000}"/>
    <cellStyle name="specstores" xfId="47" xr:uid="{00000000-0005-0000-0000-000021040000}"/>
    <cellStyle name="specstores 2" xfId="424" xr:uid="{00000000-0005-0000-0000-000022040000}"/>
    <cellStyle name="specstores 3" xfId="1103" xr:uid="{00000000-0005-0000-0000-000023040000}"/>
    <cellStyle name="specstores 3 2" xfId="1104" xr:uid="{00000000-0005-0000-0000-000024040000}"/>
    <cellStyle name="specstores_BRWA03 Wellfile rev0" xfId="1105" xr:uid="{00000000-0005-0000-0000-000025040000}"/>
    <cellStyle name="Standard_413" xfId="425" xr:uid="{00000000-0005-0000-0000-000026040000}"/>
    <cellStyle name="Stylar8gras" xfId="1106" xr:uid="{00000000-0005-0000-0000-000027040000}"/>
    <cellStyle name="Style 1" xfId="6" xr:uid="{00000000-0005-0000-0000-000028040000}"/>
    <cellStyle name="Style 1 2" xfId="1107" xr:uid="{00000000-0005-0000-0000-000029040000}"/>
    <cellStyle name="Style 2" xfId="1108" xr:uid="{00000000-0005-0000-0000-00002A040000}"/>
    <cellStyle name="Style 3" xfId="1109" xr:uid="{00000000-0005-0000-0000-00002B040000}"/>
    <cellStyle name="Style 4" xfId="1110" xr:uid="{00000000-0005-0000-0000-00002C040000}"/>
    <cellStyle name="Style 5" xfId="1111" xr:uid="{00000000-0005-0000-0000-00002D040000}"/>
    <cellStyle name="Subtotal" xfId="48" xr:uid="{00000000-0005-0000-0000-00002E040000}"/>
    <cellStyle name="Subtotal 2" xfId="426" xr:uid="{00000000-0005-0000-0000-00002F040000}"/>
    <cellStyle name="T1:" xfId="1112" xr:uid="{00000000-0005-0000-0000-000030040000}"/>
    <cellStyle name="Text" xfId="49" xr:uid="{00000000-0005-0000-0000-000031040000}"/>
    <cellStyle name="Text 2" xfId="427" xr:uid="{00000000-0005-0000-0000-000032040000}"/>
    <cellStyle name="text 2 10" xfId="1147" xr:uid="{00000000-0005-0000-0000-000033040000}"/>
    <cellStyle name="Text 2 2" xfId="1114" xr:uid="{00000000-0005-0000-0000-000034040000}"/>
    <cellStyle name="text 2 3" xfId="1113" xr:uid="{00000000-0005-0000-0000-000035040000}"/>
    <cellStyle name="text 2 4" xfId="1140" xr:uid="{00000000-0005-0000-0000-000036040000}"/>
    <cellStyle name="text 2 5" xfId="1032" xr:uid="{00000000-0005-0000-0000-000037040000}"/>
    <cellStyle name="text 2 6" xfId="1142" xr:uid="{00000000-0005-0000-0000-000038040000}"/>
    <cellStyle name="text 2 7" xfId="1015" xr:uid="{00000000-0005-0000-0000-000039040000}"/>
    <cellStyle name="text 2 8" xfId="1141" xr:uid="{00000000-0005-0000-0000-00003A040000}"/>
    <cellStyle name="text 2 9" xfId="1030" xr:uid="{00000000-0005-0000-0000-00003B040000}"/>
    <cellStyle name="text 3" xfId="1115" xr:uid="{00000000-0005-0000-0000-00003C040000}"/>
    <cellStyle name="Thousands [0.0]" xfId="1116" xr:uid="{00000000-0005-0000-0000-00003D040000}"/>
    <cellStyle name="Thousands [0.00]" xfId="1117" xr:uid="{00000000-0005-0000-0000-00003E040000}"/>
    <cellStyle name="Thousands [0]" xfId="1118" xr:uid="{00000000-0005-0000-0000-00003F040000}"/>
    <cellStyle name="Thousands-$ [0.0]" xfId="1119" xr:uid="{00000000-0005-0000-0000-000040040000}"/>
    <cellStyle name="Thousands-$ [0.00]" xfId="1120" xr:uid="{00000000-0005-0000-0000-000041040000}"/>
    <cellStyle name="Thousands-$ [0]" xfId="1121" xr:uid="{00000000-0005-0000-0000-000042040000}"/>
    <cellStyle name="Time" xfId="428" xr:uid="{00000000-0005-0000-0000-000043040000}"/>
    <cellStyle name="Time (20:50)" xfId="1123" xr:uid="{00000000-0005-0000-0000-000044040000}"/>
    <cellStyle name="Time (20:50:35)" xfId="1124" xr:uid="{00000000-0005-0000-0000-000045040000}"/>
    <cellStyle name="Time (8:50 PM)" xfId="1125" xr:uid="{00000000-0005-0000-0000-000046040000}"/>
    <cellStyle name="Time (8:50:35 PM)" xfId="1126" xr:uid="{00000000-0005-0000-0000-000047040000}"/>
    <cellStyle name="Time 10" xfId="1062" xr:uid="{00000000-0005-0000-0000-000048040000}"/>
    <cellStyle name="Time 11" xfId="1148" xr:uid="{00000000-0005-0000-0000-000049040000}"/>
    <cellStyle name="Time 12" xfId="1150" xr:uid="{00000000-0005-0000-0000-00004A040000}"/>
    <cellStyle name="Time 13" xfId="1146" xr:uid="{00000000-0005-0000-0000-00004B040000}"/>
    <cellStyle name="Time 14" xfId="1149" xr:uid="{00000000-0005-0000-0000-00004C040000}"/>
    <cellStyle name="Time 15" xfId="1151" xr:uid="{00000000-0005-0000-0000-00004D040000}"/>
    <cellStyle name="Time 16" xfId="1139" xr:uid="{00000000-0005-0000-0000-00004E040000}"/>
    <cellStyle name="Time 17" xfId="1152" xr:uid="{00000000-0005-0000-0000-00004F040000}"/>
    <cellStyle name="Time 18" xfId="1153" xr:uid="{00000000-0005-0000-0000-000050040000}"/>
    <cellStyle name="Time 2" xfId="1127" xr:uid="{00000000-0005-0000-0000-000051040000}"/>
    <cellStyle name="Time 3" xfId="1128" xr:uid="{00000000-0005-0000-0000-000052040000}"/>
    <cellStyle name="Time 4" xfId="1122" xr:uid="{00000000-0005-0000-0000-000053040000}"/>
    <cellStyle name="Time 5" xfId="1143" xr:uid="{00000000-0005-0000-0000-000054040000}"/>
    <cellStyle name="Time 6" xfId="1060" xr:uid="{00000000-0005-0000-0000-000055040000}"/>
    <cellStyle name="Time 7" xfId="1144" xr:uid="{00000000-0005-0000-0000-000056040000}"/>
    <cellStyle name="Time 8" xfId="1053" xr:uid="{00000000-0005-0000-0000-000057040000}"/>
    <cellStyle name="Time 9" xfId="1145" xr:uid="{00000000-0005-0000-0000-000058040000}"/>
    <cellStyle name="TimeEnd" xfId="429" xr:uid="{00000000-0005-0000-0000-000059040000}"/>
    <cellStyle name="TimeEnd 2" xfId="1130" xr:uid="{00000000-0005-0000-0000-00005A040000}"/>
    <cellStyle name="TimeEnd 3" xfId="1129" xr:uid="{00000000-0005-0000-0000-00005B040000}"/>
    <cellStyle name="Times New Roman" xfId="50" xr:uid="{00000000-0005-0000-0000-00005C040000}"/>
    <cellStyle name="TimeSpent" xfId="430" xr:uid="{00000000-0005-0000-0000-00005D040000}"/>
    <cellStyle name="TimeSpent 2" xfId="1132" xr:uid="{00000000-0005-0000-0000-00005E040000}"/>
    <cellStyle name="TimeSpent 3" xfId="1131" xr:uid="{00000000-0005-0000-0000-00005F040000}"/>
    <cellStyle name="Title 2" xfId="431" xr:uid="{00000000-0005-0000-0000-000060040000}"/>
    <cellStyle name="Title 3" xfId="1133" xr:uid="{00000000-0005-0000-0000-000061040000}"/>
    <cellStyle name="TitleEvid" xfId="432" xr:uid="{00000000-0005-0000-0000-000062040000}"/>
    <cellStyle name="TitleEvid 2" xfId="1135" xr:uid="{00000000-0005-0000-0000-000063040000}"/>
    <cellStyle name="TitleEvid 3" xfId="1134" xr:uid="{00000000-0005-0000-0000-000064040000}"/>
    <cellStyle name="Titre" xfId="1136" xr:uid="{00000000-0005-0000-0000-000065040000}"/>
    <cellStyle name="Total 2" xfId="433" xr:uid="{00000000-0005-0000-0000-000066040000}"/>
    <cellStyle name="Total 3" xfId="434" xr:uid="{00000000-0005-0000-0000-000067040000}"/>
    <cellStyle name="Total 3 2" xfId="1137" xr:uid="{00000000-0005-0000-0000-000068040000}"/>
    <cellStyle name="Total 4" xfId="435" xr:uid="{00000000-0005-0000-0000-000069040000}"/>
    <cellStyle name="UnitModif" xfId="1138" xr:uid="{00000000-0005-0000-0000-00006A040000}"/>
    <cellStyle name="Valuta (0)_laroux" xfId="436" xr:uid="{00000000-0005-0000-0000-00006B040000}"/>
    <cellStyle name="Valuta_laroux" xfId="437" xr:uid="{00000000-0005-0000-0000-00006C040000}"/>
    <cellStyle name="Währung [0]_413" xfId="438" xr:uid="{00000000-0005-0000-0000-00006D040000}"/>
    <cellStyle name="Währung_413" xfId="439" xr:uid="{00000000-0005-0000-0000-00006E040000}"/>
    <cellStyle name="Warning Text 2" xfId="440" xr:uid="{00000000-0005-0000-0000-00006F040000}"/>
    <cellStyle name="Обычный" xfId="0" builtinId="0"/>
    <cellStyle name="Финансовый" xfId="1" builtinId="3"/>
    <cellStyle name="เชื่อมโยงหลายมิติ_PAWC-20ss" xfId="441" xr:uid="{00000000-0005-0000-0000-000070040000}"/>
    <cellStyle name="ตามการเชื่อมโยงหลายมิติ_PAWC-20ss" xfId="442" xr:uid="{00000000-0005-0000-0000-000071040000}"/>
    <cellStyle name="ปกติ_PMWJ-29 7 in CSG Tally" xfId="443" xr:uid="{00000000-0005-0000-0000-000072040000}"/>
    <cellStyle name="표준_kc-elec system check list" xfId="444" xr:uid="{00000000-0005-0000-0000-000073040000}"/>
    <cellStyle name="一般_Book1" xfId="445" xr:uid="{00000000-0005-0000-0000-000074040000}"/>
    <cellStyle name="千位[0]_J1,2" xfId="446" xr:uid="{00000000-0005-0000-0000-000075040000}"/>
    <cellStyle name="千位_J1,2" xfId="447" xr:uid="{00000000-0005-0000-0000-000076040000}"/>
    <cellStyle name="千位分隔[0]_A-A" xfId="448" xr:uid="{00000000-0005-0000-0000-000077040000}"/>
    <cellStyle name="千位分隔_A-A" xfId="449" xr:uid="{00000000-0005-0000-0000-000078040000}"/>
    <cellStyle name="千分位[0]_APPENIX" xfId="450" xr:uid="{00000000-0005-0000-0000-000079040000}"/>
    <cellStyle name="千分位_APPENIX" xfId="451" xr:uid="{00000000-0005-0000-0000-00007A040000}"/>
    <cellStyle name="常规_A25H-AllPAC-RIH diag" xfId="452" xr:uid="{00000000-0005-0000-0000-00007B040000}"/>
    <cellStyle name="普通_15表层" xfId="453" xr:uid="{00000000-0005-0000-0000-00007C040000}"/>
    <cellStyle name="標準_3.5 DP Tally" xfId="454" xr:uid="{00000000-0005-0000-0000-00007D040000}"/>
    <cellStyle name="貨幣 [0]_Book1" xfId="455" xr:uid="{00000000-0005-0000-0000-00007E040000}"/>
    <cellStyle name="貨幣_Book1" xfId="456" xr:uid="{00000000-0005-0000-0000-00007F040000}"/>
    <cellStyle name="货币[0]_A-A" xfId="457" xr:uid="{00000000-0005-0000-0000-000080040000}"/>
    <cellStyle name="货币_A-A" xfId="458" xr:uid="{00000000-0005-0000-0000-000081040000}"/>
  </cellStyles>
  <dxfs count="0"/>
  <tableStyles count="0" defaultTableStyle="TableStyleMedium2" defaultPivotStyle="PivotStyleLight16"/>
  <colors>
    <mruColors>
      <color rgb="FF66FFFF"/>
      <color rgb="FF0000CC"/>
      <color rgb="FF00FF00"/>
      <color rgb="FF00FF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1600200</xdr:colOff>
      <xdr:row>126</xdr:row>
      <xdr:rowOff>0</xdr:rowOff>
    </xdr:from>
    <xdr:to>
      <xdr:col>9</xdr:col>
      <xdr:colOff>276225</xdr:colOff>
      <xdr:row>126</xdr:row>
      <xdr:rowOff>0</xdr:rowOff>
    </xdr:to>
    <xdr:sp macro="" textlink="">
      <xdr:nvSpPr>
        <xdr:cNvPr id="81" name="Text Box 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>
          <a:spLocks noChangeArrowheads="1"/>
        </xdr:cNvSpPr>
      </xdr:nvSpPr>
      <xdr:spPr bwMode="auto">
        <a:xfrm>
          <a:off x="2743200" y="27348656"/>
          <a:ext cx="1033463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#5</a:t>
          </a:r>
        </a:p>
      </xdr:txBody>
    </xdr:sp>
    <xdr:clientData/>
  </xdr:twoCellAnchor>
  <xdr:twoCellAnchor>
    <xdr:from>
      <xdr:col>8</xdr:col>
      <xdr:colOff>1600200</xdr:colOff>
      <xdr:row>126</xdr:row>
      <xdr:rowOff>0</xdr:rowOff>
    </xdr:from>
    <xdr:to>
      <xdr:col>9</xdr:col>
      <xdr:colOff>276225</xdr:colOff>
      <xdr:row>126</xdr:row>
      <xdr:rowOff>0</xdr:rowOff>
    </xdr:to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 bwMode="auto">
        <a:xfrm>
          <a:off x="2743200" y="27348656"/>
          <a:ext cx="1033463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#3</a:t>
          </a:r>
        </a:p>
      </xdr:txBody>
    </xdr:sp>
    <xdr:clientData/>
  </xdr:twoCellAnchor>
  <xdr:twoCellAnchor>
    <xdr:from>
      <xdr:col>8</xdr:col>
      <xdr:colOff>1600200</xdr:colOff>
      <xdr:row>126</xdr:row>
      <xdr:rowOff>0</xdr:rowOff>
    </xdr:from>
    <xdr:to>
      <xdr:col>9</xdr:col>
      <xdr:colOff>276225</xdr:colOff>
      <xdr:row>126</xdr:row>
      <xdr:rowOff>0</xdr:rowOff>
    </xdr:to>
    <xdr:sp macro="" textlink="">
      <xdr:nvSpPr>
        <xdr:cNvPr id="83" name="Text Box 7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>
          <a:spLocks noChangeArrowheads="1"/>
        </xdr:cNvSpPr>
      </xdr:nvSpPr>
      <xdr:spPr bwMode="auto">
        <a:xfrm>
          <a:off x="2743200" y="27348656"/>
          <a:ext cx="1033463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#5</a:t>
          </a:r>
        </a:p>
      </xdr:txBody>
    </xdr:sp>
    <xdr:clientData/>
  </xdr:twoCellAnchor>
  <xdr:twoCellAnchor>
    <xdr:from>
      <xdr:col>8</xdr:col>
      <xdr:colOff>1600200</xdr:colOff>
      <xdr:row>126</xdr:row>
      <xdr:rowOff>0</xdr:rowOff>
    </xdr:from>
    <xdr:to>
      <xdr:col>9</xdr:col>
      <xdr:colOff>276225</xdr:colOff>
      <xdr:row>126</xdr:row>
      <xdr:rowOff>0</xdr:rowOff>
    </xdr:to>
    <xdr:sp macro="" textlink="">
      <xdr:nvSpPr>
        <xdr:cNvPr id="84" name="Text Box 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 bwMode="auto">
        <a:xfrm>
          <a:off x="2743200" y="27348656"/>
          <a:ext cx="1033463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#5</a:t>
          </a:r>
        </a:p>
      </xdr:txBody>
    </xdr:sp>
    <xdr:clientData/>
  </xdr:twoCellAnchor>
  <xdr:twoCellAnchor>
    <xdr:from>
      <xdr:col>8</xdr:col>
      <xdr:colOff>1600200</xdr:colOff>
      <xdr:row>126</xdr:row>
      <xdr:rowOff>0</xdr:rowOff>
    </xdr:from>
    <xdr:to>
      <xdr:col>9</xdr:col>
      <xdr:colOff>276225</xdr:colOff>
      <xdr:row>126</xdr:row>
      <xdr:rowOff>0</xdr:rowOff>
    </xdr:to>
    <xdr:sp macro="" textlink="">
      <xdr:nvSpPr>
        <xdr:cNvPr id="85" name="Text Box 3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2743200" y="27348656"/>
          <a:ext cx="1033463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#5</a:t>
          </a:r>
        </a:p>
      </xdr:txBody>
    </xdr:sp>
    <xdr:clientData/>
  </xdr:twoCellAnchor>
  <xdr:twoCellAnchor>
    <xdr:from>
      <xdr:col>8</xdr:col>
      <xdr:colOff>1600200</xdr:colOff>
      <xdr:row>126</xdr:row>
      <xdr:rowOff>0</xdr:rowOff>
    </xdr:from>
    <xdr:to>
      <xdr:col>9</xdr:col>
      <xdr:colOff>276225</xdr:colOff>
      <xdr:row>126</xdr:row>
      <xdr:rowOff>0</xdr:rowOff>
    </xdr:to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>
          <a:spLocks noChangeArrowheads="1"/>
        </xdr:cNvSpPr>
      </xdr:nvSpPr>
      <xdr:spPr bwMode="auto">
        <a:xfrm>
          <a:off x="2743200" y="27348656"/>
          <a:ext cx="1033463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#3</a:t>
          </a:r>
        </a:p>
      </xdr:txBody>
    </xdr:sp>
    <xdr:clientData/>
  </xdr:twoCellAnchor>
  <xdr:twoCellAnchor>
    <xdr:from>
      <xdr:col>8</xdr:col>
      <xdr:colOff>1600200</xdr:colOff>
      <xdr:row>131</xdr:row>
      <xdr:rowOff>0</xdr:rowOff>
    </xdr:from>
    <xdr:to>
      <xdr:col>9</xdr:col>
      <xdr:colOff>276225</xdr:colOff>
      <xdr:row>131</xdr:row>
      <xdr:rowOff>0</xdr:rowOff>
    </xdr:to>
    <xdr:sp macro="" textlink="">
      <xdr:nvSpPr>
        <xdr:cNvPr id="96" name="Text Box 3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>
          <a:spLocks noChangeArrowheads="1"/>
        </xdr:cNvSpPr>
      </xdr:nvSpPr>
      <xdr:spPr bwMode="auto">
        <a:xfrm>
          <a:off x="10013950" y="15271750"/>
          <a:ext cx="22955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#5</a:t>
          </a:r>
        </a:p>
      </xdr:txBody>
    </xdr:sp>
    <xdr:clientData/>
  </xdr:twoCellAnchor>
  <xdr:twoCellAnchor>
    <xdr:from>
      <xdr:col>8</xdr:col>
      <xdr:colOff>1600200</xdr:colOff>
      <xdr:row>131</xdr:row>
      <xdr:rowOff>0</xdr:rowOff>
    </xdr:from>
    <xdr:to>
      <xdr:col>9</xdr:col>
      <xdr:colOff>276225</xdr:colOff>
      <xdr:row>131</xdr:row>
      <xdr:rowOff>0</xdr:rowOff>
    </xdr:to>
    <xdr:sp macro="" textlink="">
      <xdr:nvSpPr>
        <xdr:cNvPr id="97" name="Text Box 5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>
          <a:spLocks noChangeArrowheads="1"/>
        </xdr:cNvSpPr>
      </xdr:nvSpPr>
      <xdr:spPr bwMode="auto">
        <a:xfrm>
          <a:off x="10013950" y="15271750"/>
          <a:ext cx="22955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#3</a:t>
          </a:r>
        </a:p>
      </xdr:txBody>
    </xdr:sp>
    <xdr:clientData/>
  </xdr:twoCellAnchor>
  <xdr:twoCellAnchor>
    <xdr:from>
      <xdr:col>8</xdr:col>
      <xdr:colOff>1600200</xdr:colOff>
      <xdr:row>131</xdr:row>
      <xdr:rowOff>0</xdr:rowOff>
    </xdr:from>
    <xdr:to>
      <xdr:col>9</xdr:col>
      <xdr:colOff>276225</xdr:colOff>
      <xdr:row>131</xdr:row>
      <xdr:rowOff>0</xdr:rowOff>
    </xdr:to>
    <xdr:sp macro="" textlink="">
      <xdr:nvSpPr>
        <xdr:cNvPr id="98" name="Text Box 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>
          <a:spLocks noChangeArrowheads="1"/>
        </xdr:cNvSpPr>
      </xdr:nvSpPr>
      <xdr:spPr bwMode="auto">
        <a:xfrm>
          <a:off x="10013950" y="15271750"/>
          <a:ext cx="22955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#5</a:t>
          </a:r>
        </a:p>
      </xdr:txBody>
    </xdr:sp>
    <xdr:clientData/>
  </xdr:twoCellAnchor>
  <xdr:twoCellAnchor>
    <xdr:from>
      <xdr:col>8</xdr:col>
      <xdr:colOff>1600200</xdr:colOff>
      <xdr:row>131</xdr:row>
      <xdr:rowOff>0</xdr:rowOff>
    </xdr:from>
    <xdr:to>
      <xdr:col>9</xdr:col>
      <xdr:colOff>276225</xdr:colOff>
      <xdr:row>131</xdr:row>
      <xdr:rowOff>0</xdr:rowOff>
    </xdr:to>
    <xdr:sp macro="" textlink="">
      <xdr:nvSpPr>
        <xdr:cNvPr id="99" name="Text Box 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>
          <a:spLocks noChangeArrowheads="1"/>
        </xdr:cNvSpPr>
      </xdr:nvSpPr>
      <xdr:spPr bwMode="auto">
        <a:xfrm>
          <a:off x="10013950" y="15271750"/>
          <a:ext cx="22955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#5</a:t>
          </a:r>
        </a:p>
      </xdr:txBody>
    </xdr:sp>
    <xdr:clientData/>
  </xdr:twoCellAnchor>
  <xdr:twoCellAnchor>
    <xdr:from>
      <xdr:col>8</xdr:col>
      <xdr:colOff>1600200</xdr:colOff>
      <xdr:row>131</xdr:row>
      <xdr:rowOff>0</xdr:rowOff>
    </xdr:from>
    <xdr:to>
      <xdr:col>9</xdr:col>
      <xdr:colOff>276225</xdr:colOff>
      <xdr:row>131</xdr:row>
      <xdr:rowOff>0</xdr:rowOff>
    </xdr:to>
    <xdr:sp macro="" textlink="">
      <xdr:nvSpPr>
        <xdr:cNvPr id="100" name="Text Box 3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>
          <a:spLocks noChangeArrowheads="1"/>
        </xdr:cNvSpPr>
      </xdr:nvSpPr>
      <xdr:spPr bwMode="auto">
        <a:xfrm>
          <a:off x="10013950" y="15271750"/>
          <a:ext cx="22955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#5</a:t>
          </a:r>
        </a:p>
      </xdr:txBody>
    </xdr:sp>
    <xdr:clientData/>
  </xdr:twoCellAnchor>
  <xdr:twoCellAnchor editAs="oneCell">
    <xdr:from>
      <xdr:col>1</xdr:col>
      <xdr:colOff>597958</xdr:colOff>
      <xdr:row>0</xdr:row>
      <xdr:rowOff>144992</xdr:rowOff>
    </xdr:from>
    <xdr:to>
      <xdr:col>2</xdr:col>
      <xdr:colOff>1801452</xdr:colOff>
      <xdr:row>1</xdr:row>
      <xdr:rowOff>323315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375" y="144992"/>
          <a:ext cx="2007827" cy="559323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0</xdr:row>
      <xdr:rowOff>66675</xdr:rowOff>
    </xdr:from>
    <xdr:to>
      <xdr:col>13</xdr:col>
      <xdr:colOff>451008</xdr:colOff>
      <xdr:row>1</xdr:row>
      <xdr:rowOff>285675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39650" y="66675"/>
          <a:ext cx="1714286" cy="600000"/>
        </a:xfrm>
        <a:prstGeom prst="rect">
          <a:avLst/>
        </a:prstGeom>
      </xdr:spPr>
    </xdr:pic>
    <xdr:clientData/>
  </xdr:twoCellAnchor>
  <xdr:twoCellAnchor>
    <xdr:from>
      <xdr:col>1</xdr:col>
      <xdr:colOff>756518</xdr:colOff>
      <xdr:row>73</xdr:row>
      <xdr:rowOff>82741</xdr:rowOff>
    </xdr:from>
    <xdr:to>
      <xdr:col>3</xdr:col>
      <xdr:colOff>559341</xdr:colOff>
      <xdr:row>75</xdr:row>
      <xdr:rowOff>186688</xdr:rowOff>
    </xdr:to>
    <xdr:sp macro="" textlink="">
      <xdr:nvSpPr>
        <xdr:cNvPr id="3" name="Rounded Rectangular Callout 13">
          <a:extLst>
            <a:ext uri="{FF2B5EF4-FFF2-40B4-BE49-F238E27FC236}">
              <a16:creationId xmlns:a16="http://schemas.microsoft.com/office/drawing/2014/main" id="{260C3D68-79F1-4782-93C5-7FF8B09C25C2}"/>
            </a:ext>
          </a:extLst>
        </xdr:cNvPr>
        <xdr:cNvSpPr/>
      </xdr:nvSpPr>
      <xdr:spPr>
        <a:xfrm>
          <a:off x="1007727" y="16254307"/>
          <a:ext cx="2587054" cy="564496"/>
        </a:xfrm>
        <a:prstGeom prst="wedgeRoundRectCallout">
          <a:avLst>
            <a:gd name="adj1" fmla="val 154293"/>
            <a:gd name="adj2" fmla="val 48770"/>
            <a:gd name="adj3" fmla="val 16667"/>
          </a:avLst>
        </a:prstGeom>
        <a:solidFill>
          <a:srgbClr val="FF0000"/>
        </a:solidFill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tIns="36000" bIns="36000" rtlCol="0" anchor="t"/>
        <a:lstStyle/>
        <a:p>
          <a:pPr algn="ctr"/>
          <a:r>
            <a:rPr lang="en-US" sz="1400" b="1" baseline="0">
              <a:solidFill>
                <a:srgbClr val="FFFF00"/>
              </a:solidFill>
              <a:latin typeface="Arial Narrow" panose="020B0606020202030204" pitchFamily="34" charset="0"/>
              <a:cs typeface="Arial" panose="020B0604020202020204" pitchFamily="34" charset="0"/>
            </a:rPr>
            <a:t>Install Pip Tag @ BOX of JT-262 / PDG assembly PIN End.</a:t>
          </a:r>
          <a:endParaRPr lang="en-US" sz="1400" b="1">
            <a:solidFill>
              <a:srgbClr val="FFFF00"/>
            </a:solidFill>
            <a:latin typeface="Arial Narrow" panose="020B0606020202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515714</xdr:colOff>
      <xdr:row>224</xdr:row>
      <xdr:rowOff>14466</xdr:rowOff>
    </xdr:from>
    <xdr:to>
      <xdr:col>13</xdr:col>
      <xdr:colOff>202632</xdr:colOff>
      <xdr:row>228</xdr:row>
      <xdr:rowOff>65240</xdr:rowOff>
    </xdr:to>
    <xdr:sp macro="" textlink="">
      <xdr:nvSpPr>
        <xdr:cNvPr id="4" name="Rectangle 99">
          <a:extLst>
            <a:ext uri="{FF2B5EF4-FFF2-40B4-BE49-F238E27FC236}">
              <a16:creationId xmlns:a16="http://schemas.microsoft.com/office/drawing/2014/main" id="{C3A420BE-E01D-48BD-91F8-EC32F83DB155}"/>
            </a:ext>
          </a:extLst>
        </xdr:cNvPr>
        <xdr:cNvSpPr>
          <a:spLocks noChangeArrowheads="1"/>
        </xdr:cNvSpPr>
      </xdr:nvSpPr>
      <xdr:spPr bwMode="auto">
        <a:xfrm>
          <a:off x="9505748" y="52754261"/>
          <a:ext cx="2831473" cy="1094609"/>
        </a:xfrm>
        <a:prstGeom prst="rect">
          <a:avLst/>
        </a:prstGeom>
        <a:solidFill>
          <a:srgbClr val="FFFF00"/>
        </a:solidFill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Remove tagging joint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(JT-144)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before make up space out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&amp; Tubing Hanger.</a:t>
          </a:r>
        </a:p>
      </xdr:txBody>
    </xdr:sp>
    <xdr:clientData/>
  </xdr:twoCellAnchor>
  <xdr:twoCellAnchor>
    <xdr:from>
      <xdr:col>9</xdr:col>
      <xdr:colOff>160012</xdr:colOff>
      <xdr:row>40</xdr:row>
      <xdr:rowOff>63700</xdr:rowOff>
    </xdr:from>
    <xdr:to>
      <xdr:col>13</xdr:col>
      <xdr:colOff>565278</xdr:colOff>
      <xdr:row>46</xdr:row>
      <xdr:rowOff>153809</xdr:rowOff>
    </xdr:to>
    <xdr:sp macro="" textlink="">
      <xdr:nvSpPr>
        <xdr:cNvPr id="5" name="Rectangle 99">
          <a:extLst>
            <a:ext uri="{FF2B5EF4-FFF2-40B4-BE49-F238E27FC236}">
              <a16:creationId xmlns:a16="http://schemas.microsoft.com/office/drawing/2014/main" id="{ED235060-33F7-4234-A163-5D693156CAFC}"/>
            </a:ext>
          </a:extLst>
        </xdr:cNvPr>
        <xdr:cNvSpPr>
          <a:spLocks noChangeArrowheads="1"/>
        </xdr:cNvSpPr>
      </xdr:nvSpPr>
      <xdr:spPr bwMode="auto">
        <a:xfrm>
          <a:off x="9150046" y="8453529"/>
          <a:ext cx="3549821" cy="1355759"/>
        </a:xfrm>
        <a:prstGeom prst="rect">
          <a:avLst/>
        </a:prstGeom>
        <a:solidFill>
          <a:sysClr val="window" lastClr="FFFFFF"/>
        </a:solidFill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l" rtl="0">
            <a:defRPr sz="1000"/>
          </a:pPr>
          <a:r>
            <a:rPr lang="en-US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NOTE : </a:t>
          </a:r>
        </a:p>
        <a:p>
          <a:pPr algn="l" rtl="0">
            <a:defRPr sz="1000"/>
          </a:pPr>
          <a:endParaRPr lang="en-US" sz="200" b="1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SG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MAX. PUMP RATE :		2.5 bpm</a:t>
          </a:r>
          <a:br>
            <a:rPr lang="en-SG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</a:br>
          <a:r>
            <a:rPr lang="en-SG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MAX. RIH SPEED :		30ft / min </a:t>
          </a:r>
          <a:br>
            <a:rPr lang="en-SG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</a:br>
          <a:r>
            <a:rPr lang="en-SG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MAX. OVERPULL WEIGHT (RIH) :	100 klbs </a:t>
          </a:r>
          <a:br>
            <a:rPr lang="en-SG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</a:br>
          <a:r>
            <a:rPr lang="en-SG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MAX. S/O WEIGHT (RIH) :		18 klbs </a:t>
          </a:r>
          <a:br>
            <a:rPr lang="en-SG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</a:br>
          <a:r>
            <a:rPr lang="en-SG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MAX. FLOW PAST PACKER (RIH/CIRC.) :	2.5 bpm </a:t>
          </a:r>
          <a:br>
            <a:rPr lang="en-SG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</a:br>
          <a:r>
            <a:rPr lang="en-SG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MAX. FLOW PAST PACKER (SET) :	2.0 bpm </a:t>
          </a:r>
          <a:endParaRPr lang="en-US" sz="1100" b="1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9</xdr:col>
      <xdr:colOff>175646</xdr:colOff>
      <xdr:row>70</xdr:row>
      <xdr:rowOff>598046</xdr:rowOff>
    </xdr:from>
    <xdr:to>
      <xdr:col>13</xdr:col>
      <xdr:colOff>580912</xdr:colOff>
      <xdr:row>74</xdr:row>
      <xdr:rowOff>108375</xdr:rowOff>
    </xdr:to>
    <xdr:sp macro="" textlink="">
      <xdr:nvSpPr>
        <xdr:cNvPr id="6" name="Rectangle 99">
          <a:extLst>
            <a:ext uri="{FF2B5EF4-FFF2-40B4-BE49-F238E27FC236}">
              <a16:creationId xmlns:a16="http://schemas.microsoft.com/office/drawing/2014/main" id="{02319841-1E16-4083-8E3E-4653DEFD8753}"/>
            </a:ext>
          </a:extLst>
        </xdr:cNvPr>
        <xdr:cNvSpPr>
          <a:spLocks noChangeArrowheads="1"/>
        </xdr:cNvSpPr>
      </xdr:nvSpPr>
      <xdr:spPr bwMode="auto">
        <a:xfrm>
          <a:off x="9165680" y="15511847"/>
          <a:ext cx="3549821" cy="104998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marL="0" indent="0" algn="l" rtl="0">
            <a:defRPr sz="1000"/>
          </a:pPr>
          <a:r>
            <a:rPr lang="en-US" sz="1100" b="1" i="0" u="none" strike="noStrike" baseline="0">
              <a:solidFill>
                <a:srgbClr val="0000CC"/>
              </a:solidFill>
              <a:latin typeface="Arial"/>
              <a:ea typeface="+mn-ea"/>
              <a:cs typeface="Arial"/>
            </a:rPr>
            <a:t>NOTE : </a:t>
          </a:r>
        </a:p>
        <a:p>
          <a:pPr marL="0" indent="0" algn="l" rtl="0">
            <a:defRPr sz="1000"/>
          </a:pPr>
          <a:r>
            <a:rPr lang="en-US" sz="1100" b="1" i="0" u="none" strike="noStrike" baseline="0">
              <a:solidFill>
                <a:schemeClr val="tx1"/>
              </a:solidFill>
              <a:latin typeface="Arial"/>
              <a:ea typeface="+mn-ea"/>
              <a:cs typeface="Arial"/>
            </a:rPr>
            <a:t>AHC PACKER</a:t>
          </a:r>
        </a:p>
        <a:p>
          <a:pPr marL="0" indent="0" algn="l" rtl="0">
            <a:defRPr sz="1000"/>
          </a:pPr>
          <a:r>
            <a:rPr lang="en-US" sz="1100" b="1" i="0" u="none" strike="noStrike" baseline="0">
              <a:solidFill>
                <a:schemeClr val="tx1"/>
              </a:solidFill>
              <a:latin typeface="Arial"/>
              <a:ea typeface="+mn-ea"/>
              <a:cs typeface="Arial"/>
            </a:rPr>
            <a:t>STS SCREW (8EA) :	</a:t>
          </a:r>
          <a:r>
            <a:rPr lang="en-US" sz="1400" b="1" i="0" u="none" strike="noStrike" baseline="0">
              <a:solidFill>
                <a:srgbClr val="0000CC"/>
              </a:solidFill>
              <a:latin typeface="Arial"/>
              <a:ea typeface="+mn-ea"/>
              <a:cs typeface="Arial"/>
            </a:rPr>
            <a:t>1882 psi (opt)</a:t>
          </a:r>
        </a:p>
        <a:p>
          <a:pPr marL="0" indent="0" algn="l" rtl="0">
            <a:defRPr sz="1000"/>
          </a:pPr>
          <a:r>
            <a:rPr lang="en-US" sz="1100" b="1" i="0" u="none" strike="noStrike" baseline="0">
              <a:solidFill>
                <a:schemeClr val="tx1"/>
              </a:solidFill>
              <a:latin typeface="Arial"/>
              <a:ea typeface="+mn-ea"/>
              <a:cs typeface="Arial"/>
            </a:rPr>
            <a:t>RELEASE SCREW :	None - cut to release</a:t>
          </a:r>
        </a:p>
        <a:p>
          <a:pPr marL="0" indent="0" algn="l" rtl="0">
            <a:defRPr sz="1000"/>
          </a:pPr>
          <a:endParaRPr lang="en-US" sz="1100" b="1" i="0" u="none" strike="noStrike" baseline="0">
            <a:solidFill>
              <a:srgbClr val="FF0000"/>
            </a:solidFill>
            <a:latin typeface="Arial"/>
            <a:ea typeface="+mn-ea"/>
            <a:cs typeface="Arial"/>
          </a:endParaRPr>
        </a:p>
        <a:p>
          <a:pPr marL="0" indent="0" algn="l" rtl="0">
            <a:defRPr sz="1000"/>
          </a:pPr>
          <a:endParaRPr lang="en-US" sz="1100" b="1" i="0" u="none" strike="noStrike" baseline="0">
            <a:solidFill>
              <a:srgbClr val="FF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 editAs="oneCell">
    <xdr:from>
      <xdr:col>6</xdr:col>
      <xdr:colOff>138513</xdr:colOff>
      <xdr:row>74</xdr:row>
      <xdr:rowOff>152966</xdr:rowOff>
    </xdr:from>
    <xdr:to>
      <xdr:col>6</xdr:col>
      <xdr:colOff>802758</xdr:colOff>
      <xdr:row>77</xdr:row>
      <xdr:rowOff>67592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D98C86-8D6C-46C7-DD58-0F5F60BF5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76865" y="16554807"/>
          <a:ext cx="664245" cy="605450"/>
        </a:xfrm>
        <a:prstGeom prst="rect">
          <a:avLst/>
        </a:prstGeom>
      </xdr:spPr>
    </xdr:pic>
    <xdr:clientData/>
  </xdr:twoCellAnchor>
  <xdr:twoCellAnchor>
    <xdr:from>
      <xdr:col>10</xdr:col>
      <xdr:colOff>375988</xdr:colOff>
      <xdr:row>99</xdr:row>
      <xdr:rowOff>213058</xdr:rowOff>
    </xdr:from>
    <xdr:to>
      <xdr:col>13</xdr:col>
      <xdr:colOff>452498</xdr:colOff>
      <xdr:row>104</xdr:row>
      <xdr:rowOff>62664</xdr:rowOff>
    </xdr:to>
    <xdr:sp macro="" textlink="">
      <xdr:nvSpPr>
        <xdr:cNvPr id="9" name="Rounded Rectangular Callout 13">
          <a:extLst>
            <a:ext uri="{FF2B5EF4-FFF2-40B4-BE49-F238E27FC236}">
              <a16:creationId xmlns:a16="http://schemas.microsoft.com/office/drawing/2014/main" id="{E002E46C-6369-43BD-B484-2EC76ECC4BFE}"/>
            </a:ext>
          </a:extLst>
        </xdr:cNvPr>
        <xdr:cNvSpPr/>
      </xdr:nvSpPr>
      <xdr:spPr>
        <a:xfrm>
          <a:off x="10327106" y="20842203"/>
          <a:ext cx="2269767" cy="977566"/>
        </a:xfrm>
        <a:prstGeom prst="wedgeRoundRectCallout">
          <a:avLst>
            <a:gd name="adj1" fmla="val -101358"/>
            <a:gd name="adj2" fmla="val 20774"/>
            <a:gd name="adj3" fmla="val 16667"/>
          </a:avLst>
        </a:prstGeom>
        <a:solidFill>
          <a:srgbClr val="66FFFF"/>
        </a:solidFill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tIns="36000" bIns="36000" rtlCol="0" anchor="t"/>
        <a:lstStyle/>
        <a:p>
          <a:r>
            <a:rPr lang="en-SG" sz="1600" b="1">
              <a:solidFill>
                <a:srgbClr val="0000CC"/>
              </a:solidFill>
              <a:effectLst/>
              <a:latin typeface="+mn-lt"/>
              <a:ea typeface="+mn-ea"/>
              <a:cs typeface="+mn-cs"/>
            </a:rPr>
            <a:t>Slow Down When EOT Entering XO 10-3/4</a:t>
          </a:r>
          <a:r>
            <a:rPr lang="en-SG" sz="1600" b="1" baseline="0">
              <a:solidFill>
                <a:srgbClr val="0000CC"/>
              </a:solidFill>
              <a:effectLst/>
              <a:latin typeface="+mn-lt"/>
              <a:ea typeface="+mn-ea"/>
              <a:cs typeface="+mn-cs"/>
            </a:rPr>
            <a:t> x</a:t>
          </a:r>
          <a:r>
            <a:rPr lang="en-SG" sz="1600" b="1">
              <a:solidFill>
                <a:srgbClr val="0000CC"/>
              </a:solidFill>
              <a:effectLst/>
              <a:latin typeface="+mn-lt"/>
              <a:ea typeface="+mn-ea"/>
              <a:cs typeface="+mn-cs"/>
            </a:rPr>
            <a:t> 9-5/8 </a:t>
          </a:r>
          <a:r>
            <a:rPr lang="en-SG" sz="16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@310m </a:t>
          </a:r>
          <a:r>
            <a:rPr lang="en-SG" sz="1600" b="1">
              <a:solidFill>
                <a:srgbClr val="0000CC"/>
              </a:solidFill>
              <a:effectLst/>
              <a:latin typeface="+mn-lt"/>
              <a:ea typeface="+mn-ea"/>
              <a:cs typeface="+mn-cs"/>
            </a:rPr>
            <a:t>MDDF</a:t>
          </a:r>
          <a:endParaRPr lang="en-SG" sz="1800">
            <a:solidFill>
              <a:srgbClr val="0000CC"/>
            </a:solidFill>
            <a:effectLst/>
          </a:endParaRPr>
        </a:p>
      </xdr:txBody>
    </xdr:sp>
    <xdr:clientData/>
  </xdr:twoCellAnchor>
  <xdr:twoCellAnchor>
    <xdr:from>
      <xdr:col>10</xdr:col>
      <xdr:colOff>513849</xdr:colOff>
      <xdr:row>106</xdr:row>
      <xdr:rowOff>213059</xdr:rowOff>
    </xdr:from>
    <xdr:to>
      <xdr:col>13</xdr:col>
      <xdr:colOff>590359</xdr:colOff>
      <xdr:row>111</xdr:row>
      <xdr:rowOff>62666</xdr:rowOff>
    </xdr:to>
    <xdr:sp macro="" textlink="">
      <xdr:nvSpPr>
        <xdr:cNvPr id="11" name="Rounded Rectangular Callout 13">
          <a:extLst>
            <a:ext uri="{FF2B5EF4-FFF2-40B4-BE49-F238E27FC236}">
              <a16:creationId xmlns:a16="http://schemas.microsoft.com/office/drawing/2014/main" id="{753FC2D9-79D5-426B-9DB4-B4F0193EC0A7}"/>
            </a:ext>
          </a:extLst>
        </xdr:cNvPr>
        <xdr:cNvSpPr/>
      </xdr:nvSpPr>
      <xdr:spPr>
        <a:xfrm>
          <a:off x="10464967" y="23436513"/>
          <a:ext cx="2269767" cy="977567"/>
        </a:xfrm>
        <a:prstGeom prst="wedgeRoundRectCallout">
          <a:avLst>
            <a:gd name="adj1" fmla="val -101358"/>
            <a:gd name="adj2" fmla="val 20774"/>
            <a:gd name="adj3" fmla="val 16667"/>
          </a:avLst>
        </a:prstGeom>
        <a:solidFill>
          <a:srgbClr val="66FFFF"/>
        </a:solidFill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tIns="36000" bIns="36000" rtlCol="0" anchor="t"/>
        <a:lstStyle/>
        <a:p>
          <a:r>
            <a:rPr lang="en-SG" sz="1600" b="1">
              <a:solidFill>
                <a:srgbClr val="0000CC"/>
              </a:solidFill>
              <a:effectLst/>
              <a:latin typeface="+mn-lt"/>
              <a:ea typeface="+mn-ea"/>
              <a:cs typeface="+mn-cs"/>
            </a:rPr>
            <a:t>Slow Down When PKR Entering XO 10-3/4</a:t>
          </a:r>
          <a:r>
            <a:rPr lang="en-SG" sz="1600" b="1" baseline="0">
              <a:solidFill>
                <a:srgbClr val="0000CC"/>
              </a:solidFill>
              <a:effectLst/>
              <a:latin typeface="+mn-lt"/>
              <a:ea typeface="+mn-ea"/>
              <a:cs typeface="+mn-cs"/>
            </a:rPr>
            <a:t> x</a:t>
          </a:r>
          <a:r>
            <a:rPr lang="en-SG" sz="1600" b="1">
              <a:solidFill>
                <a:srgbClr val="0000CC"/>
              </a:solidFill>
              <a:effectLst/>
              <a:latin typeface="+mn-lt"/>
              <a:ea typeface="+mn-ea"/>
              <a:cs typeface="+mn-cs"/>
            </a:rPr>
            <a:t> 9-5/8 </a:t>
          </a:r>
          <a:r>
            <a:rPr lang="en-SG" sz="16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@382m </a:t>
          </a:r>
          <a:r>
            <a:rPr lang="en-SG" sz="1600" b="1">
              <a:solidFill>
                <a:srgbClr val="0000CC"/>
              </a:solidFill>
              <a:effectLst/>
              <a:latin typeface="+mn-lt"/>
              <a:ea typeface="+mn-ea"/>
              <a:cs typeface="+mn-cs"/>
            </a:rPr>
            <a:t>MDDF</a:t>
          </a:r>
          <a:endParaRPr lang="en-SG" sz="1800">
            <a:solidFill>
              <a:srgbClr val="0000CC"/>
            </a:solidFill>
            <a:effectLst/>
          </a:endParaRPr>
        </a:p>
      </xdr:txBody>
    </xdr:sp>
    <xdr:clientData/>
  </xdr:twoCellAnchor>
  <xdr:twoCellAnchor editAs="oneCell">
    <xdr:from>
      <xdr:col>19</xdr:col>
      <xdr:colOff>81265</xdr:colOff>
      <xdr:row>220</xdr:row>
      <xdr:rowOff>20707</xdr:rowOff>
    </xdr:from>
    <xdr:to>
      <xdr:col>23</xdr:col>
      <xdr:colOff>306973</xdr:colOff>
      <xdr:row>222</xdr:row>
      <xdr:rowOff>235549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4ECB129-CEF1-7DE1-7258-8FA67C143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34518" y="51716666"/>
          <a:ext cx="2678722" cy="736759"/>
        </a:xfrm>
        <a:prstGeom prst="rect">
          <a:avLst/>
        </a:prstGeom>
      </xdr:spPr>
    </xdr:pic>
    <xdr:clientData/>
  </xdr:twoCellAnchor>
  <xdr:twoCellAnchor>
    <xdr:from>
      <xdr:col>11</xdr:col>
      <xdr:colOff>416969</xdr:colOff>
      <xdr:row>33</xdr:row>
      <xdr:rowOff>169195</xdr:rowOff>
    </xdr:from>
    <xdr:to>
      <xdr:col>13</xdr:col>
      <xdr:colOff>169624</xdr:colOff>
      <xdr:row>38</xdr:row>
      <xdr:rowOff>104384</xdr:rowOff>
    </xdr:to>
    <xdr:sp macro="" textlink="">
      <xdr:nvSpPr>
        <xdr:cNvPr id="12" name="Speech Bubble: Rectangle 11">
          <a:extLst>
            <a:ext uri="{FF2B5EF4-FFF2-40B4-BE49-F238E27FC236}">
              <a16:creationId xmlns:a16="http://schemas.microsoft.com/office/drawing/2014/main" id="{B4EB517A-B13B-4864-88C4-8F0DEF4C4791}"/>
            </a:ext>
          </a:extLst>
        </xdr:cNvPr>
        <xdr:cNvSpPr/>
      </xdr:nvSpPr>
      <xdr:spPr>
        <a:xfrm>
          <a:off x="11166612" y="7087904"/>
          <a:ext cx="1134303" cy="940024"/>
        </a:xfrm>
        <a:prstGeom prst="wedgeRectCallout">
          <a:avLst>
            <a:gd name="adj1" fmla="val -343488"/>
            <a:gd name="adj2" fmla="val 68042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SG" sz="1600" b="1" baseline="0">
              <a:solidFill>
                <a:srgbClr val="FF0000"/>
              </a:solidFill>
            </a:rPr>
            <a:t>Pick up 2ft after tag NoGo</a:t>
          </a:r>
        </a:p>
      </xdr:txBody>
    </xdr:sp>
    <xdr:clientData/>
  </xdr:twoCellAnchor>
  <xdr:twoCellAnchor editAs="oneCell">
    <xdr:from>
      <xdr:col>18</xdr:col>
      <xdr:colOff>93179</xdr:colOff>
      <xdr:row>229</xdr:row>
      <xdr:rowOff>62119</xdr:rowOff>
    </xdr:from>
    <xdr:to>
      <xdr:col>23</xdr:col>
      <xdr:colOff>581824</xdr:colOff>
      <xdr:row>237</xdr:row>
      <xdr:rowOff>156148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6364C09-0BA4-5FB2-F446-22D3EA121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22826" y="53402119"/>
          <a:ext cx="3542857" cy="1695238"/>
        </a:xfrm>
        <a:prstGeom prst="rect">
          <a:avLst/>
        </a:prstGeom>
      </xdr:spPr>
    </xdr:pic>
    <xdr:clientData/>
  </xdr:twoCellAnchor>
  <xdr:twoCellAnchor editAs="oneCell">
    <xdr:from>
      <xdr:col>18</xdr:col>
      <xdr:colOff>445190</xdr:colOff>
      <xdr:row>193</xdr:row>
      <xdr:rowOff>176006</xdr:rowOff>
    </xdr:from>
    <xdr:to>
      <xdr:col>32</xdr:col>
      <xdr:colOff>341016</xdr:colOff>
      <xdr:row>202</xdr:row>
      <xdr:rowOff>134772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C7DFBBA-AB16-6830-2780-9C0644563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74837" y="44808914"/>
          <a:ext cx="8447619" cy="1838095"/>
        </a:xfrm>
        <a:prstGeom prst="rect">
          <a:avLst/>
        </a:prstGeom>
      </xdr:spPr>
    </xdr:pic>
    <xdr:clientData/>
  </xdr:twoCellAnchor>
  <xdr:twoCellAnchor editAs="oneCell">
    <xdr:from>
      <xdr:col>17</xdr:col>
      <xdr:colOff>476251</xdr:colOff>
      <xdr:row>65</xdr:row>
      <xdr:rowOff>31061</xdr:rowOff>
    </xdr:from>
    <xdr:to>
      <xdr:col>34</xdr:col>
      <xdr:colOff>187168</xdr:colOff>
      <xdr:row>69</xdr:row>
      <xdr:rowOff>165534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74DE203-9883-FFFF-0F84-051C7E71D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095055" y="13738778"/>
          <a:ext cx="10095238" cy="952381"/>
        </a:xfrm>
        <a:prstGeom prst="rect">
          <a:avLst/>
        </a:prstGeom>
      </xdr:spPr>
    </xdr:pic>
    <xdr:clientData/>
  </xdr:twoCellAnchor>
  <xdr:twoCellAnchor editAs="oneCell">
    <xdr:from>
      <xdr:col>18</xdr:col>
      <xdr:colOff>41412</xdr:colOff>
      <xdr:row>79</xdr:row>
      <xdr:rowOff>20705</xdr:rowOff>
    </xdr:from>
    <xdr:to>
      <xdr:col>34</xdr:col>
      <xdr:colOff>467934</xdr:colOff>
      <xdr:row>83</xdr:row>
      <xdr:rowOff>32199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0CD60B4-84D6-EB21-C350-A183221C3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71059" y="17362417"/>
          <a:ext cx="10200000" cy="819048"/>
        </a:xfrm>
        <a:prstGeom prst="rect">
          <a:avLst/>
        </a:prstGeom>
      </xdr:spPr>
    </xdr:pic>
    <xdr:clientData/>
  </xdr:twoCellAnchor>
  <xdr:twoCellAnchor editAs="oneCell">
    <xdr:from>
      <xdr:col>17</xdr:col>
      <xdr:colOff>445190</xdr:colOff>
      <xdr:row>53</xdr:row>
      <xdr:rowOff>113885</xdr:rowOff>
    </xdr:from>
    <xdr:to>
      <xdr:col>34</xdr:col>
      <xdr:colOff>156107</xdr:colOff>
      <xdr:row>56</xdr:row>
      <xdr:rowOff>175057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51A169E-3EFF-74B6-2E19-345807950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063994" y="11088342"/>
          <a:ext cx="10095238" cy="961905"/>
        </a:xfrm>
        <a:prstGeom prst="rect">
          <a:avLst/>
        </a:prstGeom>
      </xdr:spPr>
    </xdr:pic>
    <xdr:clientData/>
  </xdr:twoCellAnchor>
  <xdr:twoCellAnchor editAs="oneCell">
    <xdr:from>
      <xdr:col>22</xdr:col>
      <xdr:colOff>83819</xdr:colOff>
      <xdr:row>16</xdr:row>
      <xdr:rowOff>195293</xdr:rowOff>
    </xdr:from>
    <xdr:to>
      <xdr:col>32</xdr:col>
      <xdr:colOff>203671</xdr:colOff>
      <xdr:row>50</xdr:row>
      <xdr:rowOff>112726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D558C5D-5E00-A1E6-B565-3C5BF7FA4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776833" y="3718238"/>
          <a:ext cx="6252386" cy="6950276"/>
        </a:xfrm>
        <a:prstGeom prst="rect">
          <a:avLst/>
        </a:prstGeom>
      </xdr:spPr>
    </xdr:pic>
    <xdr:clientData/>
  </xdr:twoCellAnchor>
  <xdr:twoCellAnchor>
    <xdr:from>
      <xdr:col>2</xdr:col>
      <xdr:colOff>1549121</xdr:colOff>
      <xdr:row>192</xdr:row>
      <xdr:rowOff>62802</xdr:rowOff>
    </xdr:from>
    <xdr:to>
      <xdr:col>4</xdr:col>
      <xdr:colOff>348654</xdr:colOff>
      <xdr:row>195</xdr:row>
      <xdr:rowOff>157006</xdr:rowOff>
    </xdr:to>
    <xdr:sp macro="" textlink="">
      <xdr:nvSpPr>
        <xdr:cNvPr id="8" name="Rounded Rectangular Callout 13">
          <a:extLst>
            <a:ext uri="{FF2B5EF4-FFF2-40B4-BE49-F238E27FC236}">
              <a16:creationId xmlns:a16="http://schemas.microsoft.com/office/drawing/2014/main" id="{B162546A-8326-47C5-980A-5004AC114440}"/>
            </a:ext>
          </a:extLst>
        </xdr:cNvPr>
        <xdr:cNvSpPr/>
      </xdr:nvSpPr>
      <xdr:spPr>
        <a:xfrm>
          <a:off x="2595824" y="44861703"/>
          <a:ext cx="2316456" cy="816429"/>
        </a:xfrm>
        <a:prstGeom prst="wedgeRoundRectCallout">
          <a:avLst>
            <a:gd name="adj1" fmla="val 144503"/>
            <a:gd name="adj2" fmla="val -46462"/>
            <a:gd name="adj3" fmla="val 16667"/>
          </a:avLst>
        </a:prstGeom>
        <a:solidFill>
          <a:srgbClr val="FF0000"/>
        </a:solidFill>
        <a:ln w="158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tIns="36000" bIns="36000" rtlCol="0" anchor="t"/>
        <a:lstStyle/>
        <a:p>
          <a:r>
            <a:rPr lang="en-SG" sz="14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Removed Ofdjell FMS Auto Slip prior make up TRSV. TRSV MAX</a:t>
          </a:r>
          <a:r>
            <a:rPr lang="en-SG" sz="14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 OD 9.44in</a:t>
          </a:r>
          <a:endParaRPr lang="en-SG" sz="1600">
            <a:solidFill>
              <a:srgbClr val="FFFF00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333375</xdr:colOff>
      <xdr:row>0</xdr:row>
      <xdr:rowOff>219075</xdr:rowOff>
    </xdr:from>
    <xdr:to>
      <xdr:col>16</xdr:col>
      <xdr:colOff>285421</xdr:colOff>
      <xdr:row>3</xdr:row>
      <xdr:rowOff>76107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9475" y="219075"/>
          <a:ext cx="2628571" cy="742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390525</xdr:colOff>
      <xdr:row>1</xdr:row>
      <xdr:rowOff>57150</xdr:rowOff>
    </xdr:from>
    <xdr:to>
      <xdr:col>21</xdr:col>
      <xdr:colOff>361621</xdr:colOff>
      <xdr:row>3</xdr:row>
      <xdr:rowOff>228505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4425" y="352425"/>
          <a:ext cx="2628571" cy="7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B1:Z417"/>
  <sheetViews>
    <sheetView showGridLines="0" topLeftCell="A20" zoomScale="73" zoomScaleNormal="73" zoomScaleSheetLayoutView="91" workbookViewId="0">
      <selection activeCell="J64" sqref="J64"/>
    </sheetView>
  </sheetViews>
  <sheetFormatPr defaultColWidth="9.140625" defaultRowHeight="15.75"/>
  <cols>
    <col min="1" max="1" width="3.7109375" style="49" customWidth="1"/>
    <col min="2" max="2" width="12" style="51" bestFit="1" customWidth="1"/>
    <col min="3" max="3" width="29.85546875" style="50" customWidth="1"/>
    <col min="4" max="4" width="22.85546875" style="91" customWidth="1"/>
    <col min="5" max="5" width="12.5703125" style="97" customWidth="1"/>
    <col min="6" max="7" width="12.5703125" style="98" customWidth="1"/>
    <col min="8" max="8" width="12.5703125" style="51" customWidth="1"/>
    <col min="9" max="9" width="16.28515625" style="99" customWidth="1"/>
    <col min="10" max="10" width="14" style="100" customWidth="1"/>
    <col min="11" max="11" width="12.28515625" style="101" customWidth="1"/>
    <col min="12" max="12" width="12.28515625" style="102" customWidth="1"/>
    <col min="13" max="13" width="8.42578125" style="103" customWidth="1"/>
    <col min="14" max="14" width="11.42578125" style="103" customWidth="1"/>
    <col min="15" max="15" width="7.5703125" style="49" customWidth="1"/>
    <col min="16" max="16" width="9.140625" style="142"/>
    <col min="17" max="17" width="9.140625" style="49"/>
    <col min="18" max="18" width="9.140625" style="109"/>
    <col min="19" max="19" width="9.140625" style="49"/>
    <col min="20" max="20" width="9.140625" style="109"/>
    <col min="21" max="16384" width="9.140625" style="49"/>
  </cols>
  <sheetData>
    <row r="1" spans="2:26" ht="30" customHeight="1">
      <c r="B1" s="885" t="s">
        <v>465</v>
      </c>
      <c r="C1" s="886"/>
      <c r="D1" s="886"/>
      <c r="E1" s="886"/>
      <c r="F1" s="886"/>
      <c r="G1" s="886"/>
      <c r="H1" s="886"/>
      <c r="I1" s="886"/>
      <c r="J1" s="886"/>
      <c r="K1" s="886"/>
      <c r="L1" s="886"/>
      <c r="M1" s="886"/>
      <c r="N1" s="886"/>
      <c r="O1" s="887"/>
    </row>
    <row r="2" spans="2:26" ht="30" customHeight="1">
      <c r="B2" s="587"/>
      <c r="C2" s="226"/>
      <c r="D2" s="226"/>
      <c r="E2" s="226"/>
      <c r="F2" s="228" t="s">
        <v>470</v>
      </c>
      <c r="G2" s="227"/>
      <c r="H2" s="227"/>
      <c r="I2" s="226"/>
      <c r="J2" s="226"/>
      <c r="K2" s="226"/>
      <c r="L2" s="226"/>
      <c r="M2" s="226"/>
      <c r="N2" s="226"/>
      <c r="O2" s="588"/>
    </row>
    <row r="3" spans="2:26" ht="15" customHeight="1">
      <c r="B3" s="589"/>
      <c r="C3" s="186" t="s">
        <v>13</v>
      </c>
      <c r="D3" s="156" t="s">
        <v>76</v>
      </c>
      <c r="E3" s="156"/>
      <c r="F3" s="156"/>
      <c r="G3" s="187"/>
      <c r="H3" s="186"/>
      <c r="I3" s="188"/>
      <c r="J3" s="187"/>
      <c r="K3" s="187"/>
      <c r="L3" s="189"/>
      <c r="M3" s="190"/>
      <c r="N3" s="190"/>
      <c r="O3" s="590"/>
    </row>
    <row r="4" spans="2:26" ht="15" customHeight="1">
      <c r="B4" s="591"/>
      <c r="C4" s="158" t="s">
        <v>14</v>
      </c>
      <c r="D4" s="159" t="s">
        <v>288</v>
      </c>
      <c r="E4" s="159"/>
      <c r="F4" s="159"/>
      <c r="G4" s="166" t="s">
        <v>59</v>
      </c>
      <c r="H4" s="164"/>
      <c r="I4" s="167"/>
      <c r="J4" s="165"/>
      <c r="K4" s="165"/>
      <c r="L4" s="168"/>
      <c r="M4" s="77"/>
      <c r="N4" s="77"/>
      <c r="O4" s="592"/>
    </row>
    <row r="5" spans="2:26" ht="15" customHeight="1">
      <c r="B5" s="591"/>
      <c r="C5" s="158" t="s">
        <v>15</v>
      </c>
      <c r="D5" s="160">
        <f ca="1">TODAY()</f>
        <v>46047</v>
      </c>
      <c r="E5" s="160"/>
      <c r="F5" s="253" t="s">
        <v>58</v>
      </c>
      <c r="G5" s="170" t="s">
        <v>237</v>
      </c>
      <c r="H5" s="170"/>
      <c r="I5" s="176"/>
      <c r="J5" s="875"/>
      <c r="K5" s="182" t="s">
        <v>67</v>
      </c>
      <c r="L5" s="183" t="s">
        <v>27</v>
      </c>
      <c r="M5" s="260" t="s">
        <v>68</v>
      </c>
      <c r="N5" s="181" t="s">
        <v>83</v>
      </c>
      <c r="O5" s="593" t="s">
        <v>82</v>
      </c>
      <c r="P5" s="286" t="s">
        <v>106</v>
      </c>
    </row>
    <row r="6" spans="2:26" ht="15" customHeight="1">
      <c r="B6" s="591"/>
      <c r="C6" s="158" t="s">
        <v>16</v>
      </c>
      <c r="D6" s="159" t="s">
        <v>77</v>
      </c>
      <c r="E6" s="159"/>
      <c r="F6" s="176" t="s">
        <v>79</v>
      </c>
      <c r="G6" s="254" t="s">
        <v>63</v>
      </c>
      <c r="H6" s="254" t="s">
        <v>65</v>
      </c>
      <c r="I6" s="585" t="s">
        <v>293</v>
      </c>
      <c r="J6" s="251"/>
      <c r="K6" s="251" t="s">
        <v>86</v>
      </c>
      <c r="L6" s="184"/>
      <c r="M6" s="169"/>
      <c r="N6" s="669" t="s">
        <v>299</v>
      </c>
      <c r="O6" s="594">
        <v>8.6809999999999992</v>
      </c>
      <c r="P6" s="670">
        <v>8.5250000000000004</v>
      </c>
      <c r="T6" s="149" t="s">
        <v>49</v>
      </c>
      <c r="U6" s="150" t="s">
        <v>50</v>
      </c>
      <c r="V6" s="151" t="s">
        <v>51</v>
      </c>
      <c r="W6" s="151" t="s">
        <v>52</v>
      </c>
      <c r="X6" s="152">
        <v>5.9210000000000003</v>
      </c>
      <c r="Y6" s="152">
        <v>5.7960000000000003</v>
      </c>
      <c r="Z6" s="153" t="s">
        <v>53</v>
      </c>
    </row>
    <row r="7" spans="2:26" ht="15" customHeight="1">
      <c r="B7" s="591"/>
      <c r="C7" s="158" t="s">
        <v>17</v>
      </c>
      <c r="D7" s="161" t="s">
        <v>343</v>
      </c>
      <c r="E7" s="159"/>
      <c r="F7" s="176" t="s">
        <v>79</v>
      </c>
      <c r="G7" s="254" t="s">
        <v>73</v>
      </c>
      <c r="H7" s="254" t="s">
        <v>65</v>
      </c>
      <c r="I7" s="585" t="s">
        <v>294</v>
      </c>
      <c r="J7" s="256"/>
      <c r="K7" s="256" t="s">
        <v>86</v>
      </c>
      <c r="L7" s="184"/>
      <c r="M7" s="169"/>
      <c r="N7" s="261" t="s">
        <v>300</v>
      </c>
      <c r="O7" s="595">
        <v>9.76</v>
      </c>
      <c r="P7" s="671">
        <v>9.2349999999999994</v>
      </c>
      <c r="T7" s="154" t="s">
        <v>54</v>
      </c>
      <c r="U7" s="150" t="s">
        <v>55</v>
      </c>
      <c r="V7" s="153" t="s">
        <v>56</v>
      </c>
      <c r="W7" s="153" t="s">
        <v>52</v>
      </c>
      <c r="X7" s="155">
        <v>6.3659999999999997</v>
      </c>
      <c r="Y7" s="153">
        <v>6.2409999999999997</v>
      </c>
      <c r="Z7" s="153" t="s">
        <v>57</v>
      </c>
    </row>
    <row r="8" spans="2:26" ht="16.5">
      <c r="B8" s="591"/>
      <c r="C8" s="158"/>
      <c r="D8" s="161" t="s">
        <v>466</v>
      </c>
      <c r="E8" s="159"/>
      <c r="F8" s="176" t="s">
        <v>187</v>
      </c>
      <c r="G8" s="254" t="s">
        <v>55</v>
      </c>
      <c r="H8" s="254" t="s">
        <v>52</v>
      </c>
      <c r="I8" s="585" t="s">
        <v>295</v>
      </c>
      <c r="J8" s="305"/>
      <c r="K8" s="305">
        <v>18</v>
      </c>
      <c r="L8" s="305">
        <v>17</v>
      </c>
      <c r="M8" s="184">
        <f>K8-L8</f>
        <v>1</v>
      </c>
      <c r="N8" s="669" t="s">
        <v>301</v>
      </c>
      <c r="O8" s="594">
        <v>6.2759999999999998</v>
      </c>
      <c r="P8" s="287">
        <v>6.1509999999999998</v>
      </c>
      <c r="T8" s="150" t="s">
        <v>63</v>
      </c>
      <c r="U8" s="153" t="s">
        <v>64</v>
      </c>
      <c r="V8" s="153" t="s">
        <v>65</v>
      </c>
      <c r="W8" s="153">
        <v>8.6809999999999992</v>
      </c>
      <c r="X8" s="153">
        <v>8.5250000000000004</v>
      </c>
      <c r="Y8" s="153" t="s">
        <v>66</v>
      </c>
    </row>
    <row r="9" spans="2:26" ht="16.5">
      <c r="B9" s="591"/>
      <c r="C9" s="158"/>
      <c r="D9" s="159"/>
      <c r="E9" s="159"/>
      <c r="F9" s="176" t="s">
        <v>188</v>
      </c>
      <c r="G9" s="254" t="s">
        <v>55</v>
      </c>
      <c r="H9" s="254" t="s">
        <v>52</v>
      </c>
      <c r="I9" s="585" t="s">
        <v>296</v>
      </c>
      <c r="J9" s="305"/>
      <c r="K9" s="305">
        <v>18</v>
      </c>
      <c r="L9" s="305">
        <v>7</v>
      </c>
      <c r="M9" s="184">
        <f>K9-L9</f>
        <v>11</v>
      </c>
      <c r="N9" s="669"/>
      <c r="O9" s="594">
        <v>6.2759999999999998</v>
      </c>
      <c r="P9" s="287"/>
      <c r="T9" s="306"/>
      <c r="U9" s="307"/>
      <c r="V9" s="307"/>
      <c r="W9" s="307"/>
      <c r="X9" s="307"/>
      <c r="Y9" s="307"/>
    </row>
    <row r="10" spans="2:26" ht="15" customHeight="1">
      <c r="B10" s="591"/>
      <c r="C10" s="158"/>
      <c r="D10" s="161" t="s">
        <v>289</v>
      </c>
      <c r="E10" s="159"/>
      <c r="F10" s="176" t="s">
        <v>54</v>
      </c>
      <c r="G10" s="254" t="s">
        <v>55</v>
      </c>
      <c r="H10" s="254" t="s">
        <v>80</v>
      </c>
      <c r="I10" s="585" t="s">
        <v>297</v>
      </c>
      <c r="J10" s="250"/>
      <c r="K10" s="250">
        <v>153</v>
      </c>
      <c r="L10" s="667">
        <v>132</v>
      </c>
      <c r="M10" s="668">
        <f>K10-L10</f>
        <v>21</v>
      </c>
      <c r="N10" s="261" t="s">
        <v>302</v>
      </c>
      <c r="O10" s="594">
        <v>6.1840000000000002</v>
      </c>
      <c r="P10" s="287">
        <v>6.0590000000000002</v>
      </c>
    </row>
    <row r="11" spans="2:26" s="92" customFormat="1" ht="15" customHeight="1">
      <c r="B11" s="596"/>
      <c r="C11" s="176"/>
      <c r="D11" s="161" t="s">
        <v>78</v>
      </c>
      <c r="E11" s="161"/>
      <c r="F11" s="176"/>
      <c r="G11" s="257"/>
      <c r="H11" s="254"/>
      <c r="I11" s="255"/>
      <c r="J11" s="250"/>
      <c r="K11" s="252"/>
      <c r="L11" s="640"/>
      <c r="M11" s="641"/>
      <c r="N11" s="261"/>
      <c r="O11" s="594"/>
      <c r="P11" s="142"/>
      <c r="R11" s="142"/>
      <c r="T11" s="142"/>
    </row>
    <row r="12" spans="2:26" s="92" customFormat="1" ht="15" customHeight="1">
      <c r="B12" s="596"/>
      <c r="C12" s="176"/>
      <c r="D12" s="161"/>
      <c r="E12" s="161"/>
      <c r="F12" s="176"/>
      <c r="G12" s="257"/>
      <c r="H12" s="254"/>
      <c r="I12" s="255"/>
      <c r="J12" s="177"/>
      <c r="K12" s="178"/>
      <c r="L12" s="179"/>
      <c r="M12" s="180"/>
      <c r="N12" s="180"/>
      <c r="O12" s="597"/>
      <c r="P12" s="142"/>
      <c r="R12" s="142"/>
      <c r="T12" s="142"/>
    </row>
    <row r="13" spans="2:26" ht="15" customHeight="1">
      <c r="B13" s="591"/>
      <c r="C13" s="158" t="s">
        <v>18</v>
      </c>
      <c r="D13" s="161" t="s">
        <v>290</v>
      </c>
      <c r="E13" s="159"/>
      <c r="F13" s="159"/>
      <c r="G13" s="888" t="s">
        <v>62</v>
      </c>
      <c r="H13" s="888"/>
      <c r="I13" s="78" t="s">
        <v>61</v>
      </c>
      <c r="J13" s="389"/>
      <c r="K13" s="389"/>
      <c r="L13" s="79"/>
      <c r="M13" s="77"/>
      <c r="N13" s="258"/>
      <c r="O13" s="598"/>
    </row>
    <row r="14" spans="2:26" ht="15" customHeight="1">
      <c r="B14" s="591"/>
      <c r="C14" s="158"/>
      <c r="D14" s="161" t="s">
        <v>291</v>
      </c>
      <c r="E14" s="159"/>
      <c r="F14" s="390" t="s">
        <v>88</v>
      </c>
      <c r="G14" s="391">
        <v>4.7750000000000004</v>
      </c>
      <c r="H14" s="392">
        <f>(G14/12)/3.281</f>
        <v>0.12127908158081886</v>
      </c>
      <c r="I14" s="393" t="s">
        <v>87</v>
      </c>
      <c r="J14" s="394"/>
      <c r="K14" s="394"/>
      <c r="L14" s="395"/>
      <c r="M14" s="77"/>
      <c r="N14" s="258"/>
      <c r="O14" s="598"/>
    </row>
    <row r="15" spans="2:26" ht="15" customHeight="1">
      <c r="B15" s="591"/>
      <c r="C15" s="158"/>
      <c r="D15" s="161" t="s">
        <v>292</v>
      </c>
      <c r="E15" s="162"/>
      <c r="F15" s="158" t="s">
        <v>89</v>
      </c>
      <c r="G15" s="312">
        <v>4.8499999999999996</v>
      </c>
      <c r="H15" s="309">
        <f t="shared" ref="H15" si="0">(G15/12)/3.281</f>
        <v>0.12318398862135525</v>
      </c>
      <c r="I15" s="310" t="s">
        <v>90</v>
      </c>
      <c r="J15" s="311"/>
      <c r="K15" s="311"/>
      <c r="L15" s="313"/>
      <c r="M15" s="314"/>
      <c r="N15" s="171"/>
      <c r="O15" s="599"/>
    </row>
    <row r="16" spans="2:26" ht="15" customHeight="1">
      <c r="B16" s="591"/>
      <c r="C16" s="158" t="s">
        <v>84</v>
      </c>
      <c r="D16" s="161" t="s">
        <v>85</v>
      </c>
      <c r="E16" s="162"/>
      <c r="F16" s="158"/>
      <c r="G16" s="157"/>
      <c r="H16" s="309"/>
      <c r="I16" s="310"/>
      <c r="J16" s="311"/>
      <c r="K16" s="311"/>
      <c r="L16" s="173"/>
      <c r="M16" s="174"/>
      <c r="N16" s="259"/>
      <c r="O16" s="600"/>
    </row>
    <row r="17" spans="2:20" ht="15" customHeight="1">
      <c r="B17" s="591"/>
      <c r="C17" s="158" t="s">
        <v>72</v>
      </c>
      <c r="D17" s="161" t="s">
        <v>189</v>
      </c>
      <c r="E17" s="162"/>
      <c r="F17" s="158"/>
      <c r="G17" s="389"/>
      <c r="H17" s="389"/>
      <c r="I17" s="78"/>
      <c r="J17" s="172"/>
      <c r="K17" s="172"/>
      <c r="L17" s="173"/>
      <c r="M17" s="174"/>
      <c r="N17" s="174"/>
      <c r="O17" s="592"/>
    </row>
    <row r="18" spans="2:20" ht="15" customHeight="1">
      <c r="B18" s="591"/>
      <c r="C18" s="158" t="s">
        <v>71</v>
      </c>
      <c r="D18" s="161" t="s">
        <v>189</v>
      </c>
      <c r="E18" s="163"/>
      <c r="F18" s="163"/>
      <c r="G18" s="78"/>
      <c r="H18" s="175"/>
      <c r="I18" s="175"/>
      <c r="J18" s="185"/>
      <c r="K18" s="389"/>
      <c r="L18" s="79"/>
      <c r="M18" s="80"/>
      <c r="N18" s="80"/>
      <c r="O18" s="601"/>
    </row>
    <row r="19" spans="2:20" ht="18">
      <c r="B19" s="602"/>
      <c r="C19" s="249" t="s">
        <v>75</v>
      </c>
      <c r="D19" s="586" t="s">
        <v>189</v>
      </c>
      <c r="E19" s="191"/>
      <c r="F19" s="191"/>
      <c r="G19" s="192"/>
      <c r="H19" s="193"/>
      <c r="I19" s="193"/>
      <c r="J19" s="194"/>
      <c r="K19" s="195"/>
      <c r="L19" s="196"/>
      <c r="M19" s="197"/>
      <c r="N19" s="197"/>
      <c r="O19" s="603"/>
    </row>
    <row r="20" spans="2:20" ht="18">
      <c r="B20" s="591"/>
      <c r="C20" s="164"/>
      <c r="D20" s="163"/>
      <c r="E20" s="163"/>
      <c r="F20" s="163"/>
      <c r="G20" s="78"/>
      <c r="H20" s="175"/>
      <c r="I20" s="175"/>
      <c r="J20" s="396"/>
      <c r="K20" s="389"/>
      <c r="L20" s="79"/>
      <c r="M20" s="80"/>
      <c r="N20" s="80"/>
      <c r="O20" s="604"/>
    </row>
    <row r="21" spans="2:20">
      <c r="B21" s="605" t="s">
        <v>19</v>
      </c>
      <c r="C21" s="397" t="s">
        <v>20</v>
      </c>
      <c r="D21" s="401" t="s">
        <v>21</v>
      </c>
      <c r="E21" s="398" t="s">
        <v>69</v>
      </c>
      <c r="F21" s="401" t="s">
        <v>70</v>
      </c>
      <c r="G21" s="399" t="s">
        <v>9</v>
      </c>
      <c r="H21" s="401" t="s">
        <v>22</v>
      </c>
      <c r="I21" s="400" t="s">
        <v>23</v>
      </c>
      <c r="J21" s="877" t="s">
        <v>191</v>
      </c>
      <c r="K21" s="879" t="s">
        <v>192</v>
      </c>
      <c r="L21" s="880"/>
      <c r="M21" s="880"/>
      <c r="N21" s="881"/>
      <c r="O21" s="606" t="s">
        <v>24</v>
      </c>
      <c r="P21" s="145" t="s">
        <v>25</v>
      </c>
      <c r="Q21" s="81"/>
      <c r="R21" s="111"/>
      <c r="T21" s="111"/>
    </row>
    <row r="22" spans="2:20">
      <c r="B22" s="607" t="s">
        <v>26</v>
      </c>
      <c r="C22" s="378" t="s">
        <v>44</v>
      </c>
      <c r="D22" s="379"/>
      <c r="E22" s="137" t="s">
        <v>190</v>
      </c>
      <c r="F22" s="137" t="s">
        <v>190</v>
      </c>
      <c r="G22" s="374" t="s">
        <v>193</v>
      </c>
      <c r="H22" s="137" t="s">
        <v>193</v>
      </c>
      <c r="I22" s="375" t="s">
        <v>193</v>
      </c>
      <c r="J22" s="878"/>
      <c r="K22" s="882"/>
      <c r="L22" s="883"/>
      <c r="M22" s="883"/>
      <c r="N22" s="884"/>
      <c r="O22" s="608" t="s">
        <v>27</v>
      </c>
      <c r="P22" s="145"/>
      <c r="Q22" s="81"/>
      <c r="R22" s="111"/>
      <c r="T22" s="111"/>
    </row>
    <row r="23" spans="2:20" ht="18">
      <c r="B23" s="607"/>
      <c r="C23" s="139"/>
      <c r="D23" s="113"/>
      <c r="E23" s="137"/>
      <c r="F23" s="138"/>
      <c r="G23" s="114"/>
      <c r="H23" s="315"/>
      <c r="I23" s="761"/>
      <c r="J23" s="775"/>
      <c r="K23" s="776"/>
      <c r="L23" s="777"/>
      <c r="M23" s="778"/>
      <c r="N23" s="779"/>
      <c r="O23" s="765"/>
      <c r="P23" s="146"/>
      <c r="Q23" s="81"/>
      <c r="R23" s="111"/>
      <c r="S23" s="81"/>
      <c r="T23" s="111"/>
    </row>
    <row r="24" spans="2:20" ht="16.5">
      <c r="B24" s="609"/>
      <c r="C24" s="238" t="s">
        <v>303</v>
      </c>
      <c r="D24" s="82"/>
      <c r="E24" s="83"/>
      <c r="F24" s="84"/>
      <c r="G24" s="85"/>
      <c r="H24" s="316"/>
      <c r="I24" s="761"/>
      <c r="J24" s="780"/>
      <c r="K24" s="435"/>
      <c r="L24" s="770"/>
      <c r="M24" s="771"/>
      <c r="N24" s="781"/>
      <c r="O24" s="766"/>
      <c r="P24" s="146"/>
      <c r="Q24" s="81"/>
      <c r="R24" s="111"/>
      <c r="S24" s="81"/>
      <c r="T24" s="111"/>
    </row>
    <row r="25" spans="2:20" ht="15.75" customHeight="1">
      <c r="B25" s="609"/>
      <c r="C25" s="122" t="s">
        <v>74</v>
      </c>
      <c r="D25" s="141"/>
      <c r="E25" s="121"/>
      <c r="F25" s="298"/>
      <c r="G25" s="74"/>
      <c r="H25" s="297">
        <v>1732.62</v>
      </c>
      <c r="I25" s="762"/>
      <c r="J25" s="782"/>
      <c r="K25" s="435"/>
      <c r="L25" s="770"/>
      <c r="M25" s="771"/>
      <c r="N25" s="781"/>
      <c r="O25" s="766"/>
      <c r="P25" s="146"/>
      <c r="Q25" s="81"/>
      <c r="R25" s="111"/>
      <c r="S25" s="81"/>
      <c r="T25" s="111"/>
    </row>
    <row r="26" spans="2:20" ht="15.75" customHeight="1">
      <c r="B26" s="609"/>
      <c r="C26" s="232" t="s">
        <v>304</v>
      </c>
      <c r="D26" s="90"/>
      <c r="E26" s="87"/>
      <c r="F26" s="320"/>
      <c r="G26" s="85"/>
      <c r="H26" s="297">
        <v>310.14999999999998</v>
      </c>
      <c r="I26" s="761"/>
      <c r="J26" s="780"/>
      <c r="K26" s="435"/>
      <c r="L26" s="770"/>
      <c r="M26" s="771"/>
      <c r="N26" s="781"/>
      <c r="O26" s="767"/>
      <c r="P26" s="146"/>
      <c r="Q26" s="81"/>
      <c r="R26" s="111"/>
      <c r="S26" s="81"/>
      <c r="T26" s="111"/>
    </row>
    <row r="27" spans="2:20" ht="15.75" customHeight="1">
      <c r="B27" s="609"/>
      <c r="C27" s="233"/>
      <c r="D27" s="90"/>
      <c r="E27" s="87"/>
      <c r="F27" s="320"/>
      <c r="G27" s="85"/>
      <c r="H27" s="234"/>
      <c r="I27" s="761"/>
      <c r="J27" s="780"/>
      <c r="K27" s="435"/>
      <c r="L27" s="770"/>
      <c r="M27" s="771"/>
      <c r="N27" s="781"/>
      <c r="O27" s="767"/>
      <c r="P27" s="146"/>
      <c r="Q27" s="81"/>
      <c r="R27" s="111"/>
      <c r="S27" s="81"/>
      <c r="T27" s="111"/>
    </row>
    <row r="28" spans="2:20" s="89" customFormat="1" ht="15.75" customHeight="1">
      <c r="B28" s="609"/>
      <c r="C28" s="404" t="s">
        <v>45</v>
      </c>
      <c r="D28" s="86"/>
      <c r="E28" s="115"/>
      <c r="F28" s="320"/>
      <c r="G28" s="88"/>
      <c r="H28" s="235"/>
      <c r="I28" s="761"/>
      <c r="J28" s="780"/>
      <c r="K28" s="435"/>
      <c r="L28" s="770"/>
      <c r="M28" s="771"/>
      <c r="N28" s="781"/>
      <c r="O28" s="768"/>
      <c r="P28" s="146"/>
      <c r="Q28" s="81"/>
      <c r="R28" s="111"/>
      <c r="S28" s="81"/>
      <c r="T28" s="110" t="str">
        <f t="shared" ref="T28" si="1">IF(L28&gt;0,P28+L28,"")</f>
        <v/>
      </c>
    </row>
    <row r="29" spans="2:20" s="89" customFormat="1" ht="15.75" customHeight="1">
      <c r="B29" s="609"/>
      <c r="C29" s="405" t="s">
        <v>46</v>
      </c>
      <c r="D29" s="90"/>
      <c r="E29" s="87"/>
      <c r="F29" s="320"/>
      <c r="G29" s="88"/>
      <c r="H29" s="235"/>
      <c r="I29" s="761"/>
      <c r="J29" s="780"/>
      <c r="K29" s="435"/>
      <c r="L29" s="770"/>
      <c r="M29" s="771"/>
      <c r="N29" s="781"/>
      <c r="O29" s="768"/>
      <c r="P29" s="146"/>
      <c r="Q29" s="81"/>
      <c r="R29" s="111"/>
      <c r="S29" s="81"/>
      <c r="T29" s="110"/>
    </row>
    <row r="30" spans="2:20" ht="15.75" customHeight="1">
      <c r="B30" s="609"/>
      <c r="C30" s="123"/>
      <c r="D30" s="140"/>
      <c r="E30" s="125"/>
      <c r="F30" s="373"/>
      <c r="G30" s="48"/>
      <c r="H30" s="236"/>
      <c r="I30" s="761"/>
      <c r="J30" s="780"/>
      <c r="K30" s="435"/>
      <c r="L30" s="770"/>
      <c r="M30" s="771"/>
      <c r="N30" s="781"/>
      <c r="O30" s="769"/>
      <c r="P30" s="329" t="str">
        <f t="shared" ref="P30:P32" si="2">IF(H30&gt;0,H30+I30,"")</f>
        <v/>
      </c>
      <c r="Q30" s="76"/>
      <c r="R30" s="112"/>
      <c r="S30" s="75" t="str">
        <f>IF(F30&gt;0,G30+F30,"")</f>
        <v/>
      </c>
      <c r="T30" s="110"/>
    </row>
    <row r="31" spans="2:20" ht="15.75" customHeight="1">
      <c r="B31" s="610"/>
      <c r="C31" s="122" t="s">
        <v>208</v>
      </c>
      <c r="D31" s="141"/>
      <c r="E31" s="121"/>
      <c r="F31" s="237"/>
      <c r="G31" s="74"/>
      <c r="H31" s="297">
        <v>1681.7670000000001</v>
      </c>
      <c r="I31" s="761"/>
      <c r="J31" s="780"/>
      <c r="K31" s="435"/>
      <c r="L31" s="770"/>
      <c r="M31" s="771"/>
      <c r="N31" s="781"/>
      <c r="O31" s="769"/>
      <c r="P31" s="329"/>
      <c r="Q31" s="76"/>
      <c r="R31" s="112"/>
      <c r="S31" s="75"/>
      <c r="T31" s="110"/>
    </row>
    <row r="32" spans="2:20" ht="15.75" customHeight="1">
      <c r="B32" s="610"/>
      <c r="C32" s="122"/>
      <c r="D32" s="141"/>
      <c r="E32" s="121"/>
      <c r="F32" s="237"/>
      <c r="G32" s="74"/>
      <c r="H32" s="317"/>
      <c r="I32" s="761"/>
      <c r="J32" s="780"/>
      <c r="K32" s="435"/>
      <c r="L32" s="770"/>
      <c r="M32" s="771"/>
      <c r="N32" s="781"/>
      <c r="O32" s="769"/>
      <c r="P32" s="329" t="str">
        <f t="shared" si="2"/>
        <v/>
      </c>
      <c r="Q32" s="76"/>
      <c r="R32" s="112"/>
      <c r="S32" s="75"/>
      <c r="T32" s="110"/>
    </row>
    <row r="33" spans="2:20" ht="17.25">
      <c r="B33" s="610"/>
      <c r="C33" s="124" t="s">
        <v>28</v>
      </c>
      <c r="D33" s="141"/>
      <c r="E33" s="121"/>
      <c r="F33" s="376"/>
      <c r="G33" s="126"/>
      <c r="H33" s="321">
        <f t="shared" ref="H33:H38" si="3">H34+G34</f>
        <v>1684.1074297470282</v>
      </c>
      <c r="I33" s="763"/>
      <c r="J33" s="783"/>
      <c r="K33" s="435"/>
      <c r="L33" s="770"/>
      <c r="M33" s="771"/>
      <c r="N33" s="781"/>
      <c r="O33" s="766"/>
      <c r="P33" s="329">
        <f>IF(H33&gt;0,H33+I33,"")</f>
        <v>1684.1074297470282</v>
      </c>
      <c r="Q33" s="76"/>
      <c r="R33" s="112"/>
      <c r="S33" s="75"/>
      <c r="T33" s="110"/>
    </row>
    <row r="34" spans="2:20">
      <c r="B34" s="611"/>
      <c r="C34" s="402"/>
      <c r="D34" s="403"/>
      <c r="E34" s="321"/>
      <c r="F34" s="237"/>
      <c r="G34" s="325"/>
      <c r="H34" s="321">
        <f t="shared" si="3"/>
        <v>1684.1074297470282</v>
      </c>
      <c r="I34" s="764"/>
      <c r="J34" s="784"/>
      <c r="K34" s="435"/>
      <c r="L34" s="436"/>
      <c r="M34" s="437"/>
      <c r="N34" s="785"/>
      <c r="O34" s="766"/>
      <c r="P34" s="329">
        <f t="shared" ref="P34:P105" si="4">IF(H34&gt;0,H34+I34,"")</f>
        <v>1684.1074297470282</v>
      </c>
      <c r="Q34" s="76"/>
      <c r="R34" s="112"/>
      <c r="S34" s="75"/>
      <c r="T34" s="110"/>
    </row>
    <row r="35" spans="2:20">
      <c r="B35" s="612"/>
      <c r="C35" s="406">
        <f>H40-1682.6</f>
        <v>-1.4425702529715636</v>
      </c>
      <c r="D35" s="372"/>
      <c r="E35" s="321"/>
      <c r="F35" s="298"/>
      <c r="G35" s="330"/>
      <c r="H35" s="409">
        <f t="shared" si="3"/>
        <v>1684.1074297470282</v>
      </c>
      <c r="I35" s="764"/>
      <c r="J35" s="784"/>
      <c r="K35" s="435"/>
      <c r="L35" s="436"/>
      <c r="M35" s="437"/>
      <c r="N35" s="785"/>
      <c r="O35" s="766"/>
      <c r="P35" s="329">
        <f t="shared" si="4"/>
        <v>1684.1074297470282</v>
      </c>
      <c r="Q35" s="76"/>
      <c r="R35" s="112"/>
      <c r="S35" s="75"/>
      <c r="T35" s="110"/>
    </row>
    <row r="36" spans="2:20" ht="16.5" thickBot="1">
      <c r="B36" s="613"/>
      <c r="C36" s="543" t="s">
        <v>306</v>
      </c>
      <c r="D36" s="497"/>
      <c r="E36" s="386"/>
      <c r="F36" s="534"/>
      <c r="G36" s="535"/>
      <c r="H36" s="409">
        <f t="shared" si="3"/>
        <v>1684.1074297470282</v>
      </c>
      <c r="I36" s="764">
        <v>0</v>
      </c>
      <c r="J36" s="784"/>
      <c r="K36" s="435"/>
      <c r="L36" s="436"/>
      <c r="M36" s="437"/>
      <c r="N36" s="785"/>
      <c r="O36" s="766">
        <v>0</v>
      </c>
      <c r="P36" s="329">
        <f t="shared" si="4"/>
        <v>1684.1074297470282</v>
      </c>
      <c r="Q36" s="76"/>
      <c r="R36" s="112"/>
      <c r="S36" s="75"/>
      <c r="T36" s="110"/>
    </row>
    <row r="37" spans="2:20">
      <c r="B37" s="889" t="s">
        <v>209</v>
      </c>
      <c r="C37" s="536" t="s">
        <v>195</v>
      </c>
      <c r="D37" s="537"/>
      <c r="E37" s="422">
        <v>7.25</v>
      </c>
      <c r="F37" s="422">
        <v>6.0629999999999997</v>
      </c>
      <c r="G37" s="750">
        <v>1.79</v>
      </c>
      <c r="H37" s="409">
        <f t="shared" si="3"/>
        <v>1682.3174297470282</v>
      </c>
      <c r="I37" s="764">
        <f>I36+G37</f>
        <v>1.79</v>
      </c>
      <c r="J37" s="786"/>
      <c r="K37" s="435"/>
      <c r="L37" s="436"/>
      <c r="M37" s="437"/>
      <c r="N37" s="785"/>
      <c r="O37" s="766">
        <f>IF(D37&gt;0,O36+1,O36)</f>
        <v>0</v>
      </c>
      <c r="P37" s="329">
        <f t="shared" si="4"/>
        <v>1684.1074297470282</v>
      </c>
      <c r="Q37" s="76"/>
      <c r="R37" s="112" t="s">
        <v>355</v>
      </c>
      <c r="S37" s="75"/>
      <c r="T37" s="110"/>
    </row>
    <row r="38" spans="2:20">
      <c r="B38" s="890"/>
      <c r="C38" s="526" t="s">
        <v>196</v>
      </c>
      <c r="D38" s="527"/>
      <c r="E38" s="321">
        <v>7.4379999999999997</v>
      </c>
      <c r="F38" s="321">
        <v>6.0629999999999997</v>
      </c>
      <c r="G38" s="746">
        <v>0.3</v>
      </c>
      <c r="H38" s="409">
        <f t="shared" si="3"/>
        <v>1682.0174297470282</v>
      </c>
      <c r="I38" s="764">
        <f t="shared" ref="I38:I109" si="5">I37+G38</f>
        <v>2.09</v>
      </c>
      <c r="J38" s="787"/>
      <c r="K38" s="435"/>
      <c r="L38" s="436"/>
      <c r="M38" s="437"/>
      <c r="N38" s="785"/>
      <c r="O38" s="766">
        <f>IF(D38&gt;0,O37+1,O37)</f>
        <v>0</v>
      </c>
      <c r="P38" s="329">
        <f t="shared" si="4"/>
        <v>1684.1074297470282</v>
      </c>
      <c r="Q38" s="76"/>
      <c r="R38" s="112"/>
      <c r="S38" s="75"/>
      <c r="T38" s="110"/>
    </row>
    <row r="39" spans="2:20">
      <c r="B39" s="890"/>
      <c r="C39" s="528" t="s">
        <v>197</v>
      </c>
      <c r="D39" s="529"/>
      <c r="E39" s="321">
        <v>7.4379999999999997</v>
      </c>
      <c r="F39" s="321">
        <v>6.0629999999999997</v>
      </c>
      <c r="G39" s="746">
        <v>0.3</v>
      </c>
      <c r="H39" s="409">
        <f>H40+G40</f>
        <v>1681.7174297470283</v>
      </c>
      <c r="I39" s="764">
        <f t="shared" si="5"/>
        <v>2.3899999999999997</v>
      </c>
      <c r="J39" s="788"/>
      <c r="K39" s="435"/>
      <c r="L39" s="436"/>
      <c r="M39" s="437"/>
      <c r="N39" s="785"/>
      <c r="O39" s="766">
        <f t="shared" ref="O39:O109" si="6">IF(D39&gt;0,O38+1,O38)</f>
        <v>0</v>
      </c>
      <c r="P39" s="329">
        <f t="shared" si="4"/>
        <v>1684.1074297470284</v>
      </c>
      <c r="Q39" s="76"/>
      <c r="R39" s="112"/>
      <c r="S39" s="75"/>
      <c r="T39" s="110"/>
    </row>
    <row r="40" spans="2:20">
      <c r="B40" s="890"/>
      <c r="C40" s="530" t="s">
        <v>198</v>
      </c>
      <c r="D40" s="529"/>
      <c r="E40" s="321">
        <v>7.4379999999999997</v>
      </c>
      <c r="F40" s="321">
        <v>6.0629999999999997</v>
      </c>
      <c r="G40" s="746">
        <v>0.56000000000000005</v>
      </c>
      <c r="H40" s="533">
        <f>H31-(2/3.281)</f>
        <v>1681.1574297470283</v>
      </c>
      <c r="I40" s="764">
        <f t="shared" si="5"/>
        <v>2.9499999999999997</v>
      </c>
      <c r="J40" s="788"/>
      <c r="K40" s="772" t="s">
        <v>469</v>
      </c>
      <c r="L40" s="436"/>
      <c r="M40" s="437"/>
      <c r="N40" s="785"/>
      <c r="O40" s="766">
        <f t="shared" si="6"/>
        <v>0</v>
      </c>
      <c r="P40" s="329">
        <f t="shared" si="4"/>
        <v>1684.1074297470284</v>
      </c>
      <c r="Q40" s="76"/>
      <c r="R40" s="112"/>
      <c r="S40" s="75"/>
      <c r="T40" s="110"/>
    </row>
    <row r="41" spans="2:20">
      <c r="B41" s="890"/>
      <c r="C41" s="528" t="s">
        <v>349</v>
      </c>
      <c r="D41" s="529"/>
      <c r="E41" s="321">
        <v>8.25</v>
      </c>
      <c r="F41" s="321">
        <v>6.125</v>
      </c>
      <c r="G41" s="746">
        <v>0.34</v>
      </c>
      <c r="H41" s="409">
        <f>H40-G41</f>
        <v>1680.8174297470284</v>
      </c>
      <c r="I41" s="764">
        <f t="shared" si="5"/>
        <v>3.2899999999999996</v>
      </c>
      <c r="J41" s="789"/>
      <c r="K41" s="435"/>
      <c r="L41" s="436"/>
      <c r="M41" s="437"/>
      <c r="N41" s="785"/>
      <c r="O41" s="766">
        <f t="shared" si="6"/>
        <v>0</v>
      </c>
      <c r="P41" s="329">
        <f t="shared" si="4"/>
        <v>1684.1074297470284</v>
      </c>
      <c r="Q41" s="76"/>
      <c r="R41" s="112"/>
      <c r="S41" s="75"/>
      <c r="T41" s="110"/>
    </row>
    <row r="42" spans="2:20" ht="16.5" thickBot="1">
      <c r="B42" s="891"/>
      <c r="C42" s="538" t="s">
        <v>199</v>
      </c>
      <c r="D42" s="539"/>
      <c r="E42" s="426">
        <v>7.875</v>
      </c>
      <c r="F42" s="426">
        <v>6.125</v>
      </c>
      <c r="G42" s="751">
        <v>1.7649999999999999</v>
      </c>
      <c r="H42" s="409">
        <f t="shared" ref="H42:H105" si="7">H41-G42</f>
        <v>1679.0524297470283</v>
      </c>
      <c r="I42" s="764">
        <f t="shared" si="5"/>
        <v>5.0549999999999997</v>
      </c>
      <c r="J42" s="789"/>
      <c r="K42" s="435"/>
      <c r="L42" s="436"/>
      <c r="M42" s="437"/>
      <c r="N42" s="785"/>
      <c r="O42" s="766">
        <f t="shared" si="6"/>
        <v>0</v>
      </c>
      <c r="P42" s="329">
        <f t="shared" si="4"/>
        <v>1684.1074297470284</v>
      </c>
      <c r="Q42" s="76"/>
      <c r="R42" s="112"/>
      <c r="S42" s="75"/>
      <c r="T42" s="110"/>
    </row>
    <row r="43" spans="2:20">
      <c r="B43" s="614"/>
      <c r="C43" s="417"/>
      <c r="D43" s="500"/>
      <c r="E43" s="387"/>
      <c r="F43" s="387"/>
      <c r="G43" s="387"/>
      <c r="H43" s="409">
        <f t="shared" si="7"/>
        <v>1679.0524297470283</v>
      </c>
      <c r="I43" s="764">
        <f t="shared" si="5"/>
        <v>5.0549999999999997</v>
      </c>
      <c r="J43" s="789"/>
      <c r="K43" s="435"/>
      <c r="L43" s="436"/>
      <c r="M43" s="437"/>
      <c r="N43" s="785"/>
      <c r="O43" s="766">
        <f t="shared" si="6"/>
        <v>0</v>
      </c>
      <c r="P43" s="329">
        <f t="shared" si="4"/>
        <v>1684.1074297470284</v>
      </c>
      <c r="Q43" s="76"/>
      <c r="R43" s="112"/>
      <c r="S43" s="75"/>
      <c r="T43" s="110"/>
    </row>
    <row r="44" spans="2:20">
      <c r="B44" s="612"/>
      <c r="C44" s="411" t="s">
        <v>246</v>
      </c>
      <c r="D44" s="372"/>
      <c r="E44" s="321"/>
      <c r="F44" s="321"/>
      <c r="G44" s="321"/>
      <c r="H44" s="409">
        <f t="shared" si="7"/>
        <v>1679.0524297470283</v>
      </c>
      <c r="I44" s="764">
        <f t="shared" si="5"/>
        <v>5.0549999999999997</v>
      </c>
      <c r="J44" s="789"/>
      <c r="K44" s="435"/>
      <c r="L44" s="436"/>
      <c r="M44" s="437"/>
      <c r="N44" s="785"/>
      <c r="O44" s="766">
        <f t="shared" si="6"/>
        <v>0</v>
      </c>
      <c r="P44" s="329">
        <f t="shared" si="4"/>
        <v>1684.1074297470284</v>
      </c>
      <c r="Q44" s="76"/>
      <c r="R44" s="112"/>
      <c r="S44" s="75"/>
      <c r="T44" s="110"/>
    </row>
    <row r="45" spans="2:20" ht="18">
      <c r="B45" s="912" t="s">
        <v>313</v>
      </c>
      <c r="C45" s="380" t="s">
        <v>238</v>
      </c>
      <c r="D45" s="672">
        <v>267</v>
      </c>
      <c r="E45" s="321">
        <v>7.7519999999999998</v>
      </c>
      <c r="F45" s="321">
        <v>6.1840000000000002</v>
      </c>
      <c r="G45" s="321">
        <f>IF(D45&gt;0,VLOOKUP(D45,Tally!F:H,3,FALSE))</f>
        <v>12.370142334654069</v>
      </c>
      <c r="H45" s="409">
        <f t="shared" si="7"/>
        <v>1666.6822874123743</v>
      </c>
      <c r="I45" s="764">
        <f t="shared" si="5"/>
        <v>17.425142334654069</v>
      </c>
      <c r="J45" s="789"/>
      <c r="K45" s="435"/>
      <c r="L45" s="436"/>
      <c r="M45" s="437"/>
      <c r="N45" s="785"/>
      <c r="O45" s="766">
        <f t="shared" si="6"/>
        <v>1</v>
      </c>
      <c r="P45" s="329">
        <f t="shared" si="4"/>
        <v>1684.1074297470284</v>
      </c>
      <c r="Q45" s="76"/>
      <c r="R45" s="112"/>
      <c r="S45" s="75"/>
      <c r="T45" s="110"/>
    </row>
    <row r="46" spans="2:20" ht="18">
      <c r="B46" s="913"/>
      <c r="C46" s="380" t="s">
        <v>239</v>
      </c>
      <c r="D46" s="561">
        <v>266</v>
      </c>
      <c r="E46" s="321">
        <v>7.7519999999999998</v>
      </c>
      <c r="F46" s="321">
        <v>6.1840000000000002</v>
      </c>
      <c r="G46" s="321">
        <f>IF(D46&gt;0,VLOOKUP(D46,Tally!F:H,3,FALSE))</f>
        <v>12.379285888448646</v>
      </c>
      <c r="H46" s="409">
        <f t="shared" si="7"/>
        <v>1654.3030015239256</v>
      </c>
      <c r="I46" s="764">
        <f t="shared" si="5"/>
        <v>29.804428223102715</v>
      </c>
      <c r="J46" s="789"/>
      <c r="K46" s="435"/>
      <c r="L46" s="436"/>
      <c r="M46" s="437"/>
      <c r="N46" s="785"/>
      <c r="O46" s="766">
        <f t="shared" si="6"/>
        <v>2</v>
      </c>
      <c r="P46" s="329">
        <f t="shared" si="4"/>
        <v>1684.1074297470282</v>
      </c>
      <c r="Q46" s="76"/>
      <c r="R46" s="112"/>
      <c r="S46" s="75"/>
      <c r="T46" s="110"/>
    </row>
    <row r="47" spans="2:20" ht="18">
      <c r="B47" s="913"/>
      <c r="C47" s="380" t="s">
        <v>240</v>
      </c>
      <c r="D47" s="561">
        <v>265</v>
      </c>
      <c r="E47" s="321">
        <v>7.7519999999999998</v>
      </c>
      <c r="F47" s="321">
        <v>6.1840000000000002</v>
      </c>
      <c r="G47" s="321">
        <f>IF(D47&gt;0,VLOOKUP(D47,Tally!F:H,3,FALSE))</f>
        <v>12.425003657421518</v>
      </c>
      <c r="H47" s="409">
        <f t="shared" si="7"/>
        <v>1641.8779978665041</v>
      </c>
      <c r="I47" s="764">
        <f t="shared" si="5"/>
        <v>42.229431880524231</v>
      </c>
      <c r="J47" s="789"/>
      <c r="K47" s="435"/>
      <c r="L47" s="436"/>
      <c r="M47" s="437"/>
      <c r="N47" s="785"/>
      <c r="O47" s="766">
        <f t="shared" si="6"/>
        <v>3</v>
      </c>
      <c r="P47" s="329">
        <f t="shared" si="4"/>
        <v>1684.1074297470284</v>
      </c>
      <c r="Q47" s="76"/>
      <c r="R47" s="112"/>
      <c r="S47" s="75"/>
      <c r="T47" s="110"/>
    </row>
    <row r="48" spans="2:20" ht="18">
      <c r="B48" s="913"/>
      <c r="C48" s="380" t="s">
        <v>241</v>
      </c>
      <c r="D48" s="561">
        <v>264</v>
      </c>
      <c r="E48" s="321">
        <v>7.7519999999999998</v>
      </c>
      <c r="F48" s="321">
        <v>6.1840000000000002</v>
      </c>
      <c r="G48" s="321">
        <f>IF(D48&gt;0,VLOOKUP(D48,Tally!F:H,3,FALSE))</f>
        <v>12.376238037183786</v>
      </c>
      <c r="H48" s="409">
        <f t="shared" si="7"/>
        <v>1629.5017598293202</v>
      </c>
      <c r="I48" s="764">
        <f t="shared" si="5"/>
        <v>54.605669917708013</v>
      </c>
      <c r="J48" s="789"/>
      <c r="K48" s="435"/>
      <c r="L48" s="436"/>
      <c r="M48" s="437"/>
      <c r="N48" s="785"/>
      <c r="O48" s="766">
        <f t="shared" si="6"/>
        <v>4</v>
      </c>
      <c r="P48" s="329">
        <f t="shared" si="4"/>
        <v>1684.1074297470282</v>
      </c>
      <c r="Q48" s="76"/>
      <c r="R48" s="112"/>
      <c r="S48" s="75"/>
      <c r="T48" s="110"/>
    </row>
    <row r="49" spans="2:20" ht="18">
      <c r="B49" s="914"/>
      <c r="C49" s="380" t="s">
        <v>242</v>
      </c>
      <c r="D49" s="561">
        <v>263</v>
      </c>
      <c r="E49" s="321">
        <v>7.7519999999999998</v>
      </c>
      <c r="F49" s="321">
        <v>6.1840000000000002</v>
      </c>
      <c r="G49" s="321">
        <f>IF(D49&gt;0,VLOOKUP(D49,Tally!F:H,3,FALSE))</f>
        <v>12.415860103626944</v>
      </c>
      <c r="H49" s="409">
        <f t="shared" si="7"/>
        <v>1617.0858997256933</v>
      </c>
      <c r="I49" s="764">
        <f t="shared" si="5"/>
        <v>67.021530021334954</v>
      </c>
      <c r="J49" s="789"/>
      <c r="K49" s="435"/>
      <c r="L49" s="436"/>
      <c r="M49" s="437"/>
      <c r="N49" s="785"/>
      <c r="O49" s="766">
        <f t="shared" si="6"/>
        <v>5</v>
      </c>
      <c r="P49" s="329">
        <f t="shared" si="4"/>
        <v>1684.1074297470282</v>
      </c>
      <c r="Q49" s="76"/>
      <c r="R49" s="112"/>
      <c r="S49" s="75"/>
      <c r="T49" s="110"/>
    </row>
    <row r="50" spans="2:20">
      <c r="B50" s="630"/>
      <c r="C50" s="631"/>
      <c r="D50" s="331"/>
      <c r="E50" s="632"/>
      <c r="F50" s="632"/>
      <c r="G50" s="377"/>
      <c r="H50" s="409">
        <f t="shared" si="7"/>
        <v>1617.0858997256933</v>
      </c>
      <c r="I50" s="764">
        <f t="shared" ref="I50:I52" si="8">I49+G50</f>
        <v>67.021530021334954</v>
      </c>
      <c r="J50" s="789"/>
      <c r="K50" s="435"/>
      <c r="L50" s="436"/>
      <c r="M50" s="437"/>
      <c r="N50" s="785"/>
      <c r="O50" s="766">
        <f t="shared" si="6"/>
        <v>5</v>
      </c>
      <c r="P50" s="329">
        <f t="shared" si="4"/>
        <v>1684.1074297470282</v>
      </c>
      <c r="Q50" s="76"/>
      <c r="R50" s="112"/>
      <c r="S50" s="75"/>
      <c r="T50" s="110"/>
    </row>
    <row r="51" spans="2:20">
      <c r="B51" s="630"/>
      <c r="C51" s="631"/>
      <c r="D51" s="331"/>
      <c r="E51" s="632"/>
      <c r="F51" s="632"/>
      <c r="G51" s="377"/>
      <c r="H51" s="409">
        <f t="shared" si="7"/>
        <v>1617.0858997256933</v>
      </c>
      <c r="I51" s="764">
        <f t="shared" si="8"/>
        <v>67.021530021334954</v>
      </c>
      <c r="J51" s="789"/>
      <c r="K51" s="435"/>
      <c r="L51" s="436"/>
      <c r="M51" s="437"/>
      <c r="N51" s="785"/>
      <c r="O51" s="766">
        <f t="shared" si="6"/>
        <v>5</v>
      </c>
      <c r="P51" s="329">
        <f t="shared" si="4"/>
        <v>1684.1074297470282</v>
      </c>
      <c r="Q51" s="76"/>
      <c r="R51" s="112"/>
      <c r="S51" s="75"/>
      <c r="T51" s="110"/>
    </row>
    <row r="52" spans="2:20">
      <c r="B52" s="630"/>
      <c r="C52" s="631"/>
      <c r="D52" s="331"/>
      <c r="E52" s="632"/>
      <c r="F52" s="632"/>
      <c r="G52" s="377"/>
      <c r="H52" s="409">
        <f t="shared" si="7"/>
        <v>1617.0858997256933</v>
      </c>
      <c r="I52" s="764">
        <f t="shared" si="8"/>
        <v>67.021530021334954</v>
      </c>
      <c r="J52" s="789"/>
      <c r="K52" s="435"/>
      <c r="L52" s="436"/>
      <c r="M52" s="437"/>
      <c r="N52" s="785"/>
      <c r="O52" s="766">
        <f t="shared" si="6"/>
        <v>5</v>
      </c>
      <c r="P52" s="329">
        <f t="shared" si="4"/>
        <v>1684.1074297470282</v>
      </c>
      <c r="Q52" s="76"/>
      <c r="R52" s="112"/>
      <c r="S52" s="75"/>
      <c r="T52" s="110"/>
    </row>
    <row r="53" spans="2:20">
      <c r="B53" s="615"/>
      <c r="C53" s="372"/>
      <c r="D53" s="372"/>
      <c r="E53" s="321"/>
      <c r="F53" s="321"/>
      <c r="G53" s="321"/>
      <c r="H53" s="409">
        <f t="shared" si="7"/>
        <v>1617.0858997256933</v>
      </c>
      <c r="I53" s="764">
        <f t="shared" si="5"/>
        <v>67.021530021334954</v>
      </c>
      <c r="J53" s="789"/>
      <c r="K53" s="435"/>
      <c r="L53" s="436"/>
      <c r="M53" s="437"/>
      <c r="N53" s="785"/>
      <c r="O53" s="766">
        <f t="shared" si="6"/>
        <v>5</v>
      </c>
      <c r="P53" s="329">
        <f t="shared" si="4"/>
        <v>1684.1074297470282</v>
      </c>
      <c r="Q53" s="76"/>
      <c r="R53" s="112"/>
      <c r="S53" s="75"/>
      <c r="T53" s="110"/>
    </row>
    <row r="54" spans="2:20" ht="16.5" thickBot="1">
      <c r="B54" s="613"/>
      <c r="C54" s="541"/>
      <c r="D54" s="542"/>
      <c r="E54" s="386"/>
      <c r="F54" s="386"/>
      <c r="G54" s="386"/>
      <c r="H54" s="409">
        <f t="shared" si="7"/>
        <v>1617.0858997256933</v>
      </c>
      <c r="I54" s="764">
        <f t="shared" si="5"/>
        <v>67.021530021334954</v>
      </c>
      <c r="J54" s="790"/>
      <c r="K54" s="435"/>
      <c r="L54" s="436"/>
      <c r="M54" s="437"/>
      <c r="N54" s="785"/>
      <c r="O54" s="766">
        <f t="shared" si="6"/>
        <v>5</v>
      </c>
      <c r="P54" s="329">
        <f t="shared" si="4"/>
        <v>1684.1074297470282</v>
      </c>
      <c r="Q54" s="76"/>
      <c r="R54" s="112"/>
      <c r="S54" s="75"/>
      <c r="T54" s="304"/>
    </row>
    <row r="55" spans="2:20">
      <c r="B55" s="921" t="s">
        <v>210</v>
      </c>
      <c r="C55" s="536" t="s">
        <v>201</v>
      </c>
      <c r="D55" s="537"/>
      <c r="E55" s="422">
        <v>7.7519999999999998</v>
      </c>
      <c r="F55" s="422">
        <v>6.1840000000000002</v>
      </c>
      <c r="G55" s="750">
        <f>1.612+0.28-$H$15</f>
        <v>1.7688160113786449</v>
      </c>
      <c r="H55" s="409">
        <f t="shared" si="7"/>
        <v>1615.3170837143145</v>
      </c>
      <c r="I55" s="764">
        <f t="shared" si="5"/>
        <v>68.7903460327136</v>
      </c>
      <c r="J55" s="790"/>
      <c r="K55" s="435"/>
      <c r="L55" s="436"/>
      <c r="M55" s="437"/>
      <c r="N55" s="785"/>
      <c r="O55" s="766">
        <f t="shared" si="6"/>
        <v>5</v>
      </c>
      <c r="P55" s="329">
        <f t="shared" si="4"/>
        <v>1684.1074297470282</v>
      </c>
      <c r="Q55" s="76"/>
      <c r="R55" s="112"/>
      <c r="S55" s="75"/>
      <c r="T55" s="304"/>
    </row>
    <row r="56" spans="2:20" s="246" customFormat="1" ht="39" customHeight="1">
      <c r="B56" s="922"/>
      <c r="C56" s="752" t="s">
        <v>348</v>
      </c>
      <c r="D56" s="529"/>
      <c r="E56" s="321">
        <v>7.7640000000000002</v>
      </c>
      <c r="F56" s="874">
        <v>5.625</v>
      </c>
      <c r="G56" s="746">
        <v>0.54600000000000004</v>
      </c>
      <c r="H56" s="540">
        <f t="shared" si="7"/>
        <v>1614.7710837143145</v>
      </c>
      <c r="I56" s="764">
        <f t="shared" si="5"/>
        <v>69.336346032713607</v>
      </c>
      <c r="J56" s="791"/>
      <c r="K56" s="773" t="s">
        <v>243</v>
      </c>
      <c r="L56" s="436"/>
      <c r="M56" s="774">
        <f>H56-(H69+M69)</f>
        <v>3.846942350909103</v>
      </c>
      <c r="N56" s="792" t="s">
        <v>31</v>
      </c>
      <c r="O56" s="766">
        <f t="shared" si="6"/>
        <v>5</v>
      </c>
      <c r="P56" s="329">
        <f t="shared" si="4"/>
        <v>1684.1074297470282</v>
      </c>
      <c r="Q56" s="242"/>
      <c r="R56" s="243"/>
      <c r="S56" s="244"/>
      <c r="T56" s="304"/>
    </row>
    <row r="57" spans="2:20" ht="16.5" thickBot="1">
      <c r="B57" s="923"/>
      <c r="C57" s="538" t="s">
        <v>201</v>
      </c>
      <c r="D57" s="539"/>
      <c r="E57" s="426">
        <v>7.7519999999999998</v>
      </c>
      <c r="F57" s="426">
        <v>6.1840000000000002</v>
      </c>
      <c r="G57" s="751">
        <f>1.49+0.28</f>
        <v>1.77</v>
      </c>
      <c r="H57" s="409">
        <f t="shared" si="7"/>
        <v>1613.0010837143145</v>
      </c>
      <c r="I57" s="764">
        <f t="shared" si="5"/>
        <v>71.106346032713603</v>
      </c>
      <c r="J57" s="790"/>
      <c r="K57" s="435"/>
      <c r="L57" s="436"/>
      <c r="M57" s="437"/>
      <c r="N57" s="785"/>
      <c r="O57" s="766">
        <f t="shared" si="6"/>
        <v>5</v>
      </c>
      <c r="P57" s="329">
        <f t="shared" si="4"/>
        <v>1684.1074297470282</v>
      </c>
      <c r="Q57" s="76"/>
      <c r="R57" s="112"/>
      <c r="S57" s="75"/>
      <c r="T57" s="304"/>
    </row>
    <row r="58" spans="2:20">
      <c r="B58" s="676"/>
      <c r="C58" s="673"/>
      <c r="D58" s="451"/>
      <c r="E58" s="674"/>
      <c r="F58" s="674"/>
      <c r="G58" s="675"/>
      <c r="H58" s="321">
        <f t="shared" si="7"/>
        <v>1613.0010837143145</v>
      </c>
      <c r="I58" s="764">
        <f t="shared" si="5"/>
        <v>71.106346032713603</v>
      </c>
      <c r="J58" s="790"/>
      <c r="K58" s="435"/>
      <c r="L58" s="436"/>
      <c r="M58" s="437"/>
      <c r="N58" s="785"/>
      <c r="O58" s="766">
        <f t="shared" si="6"/>
        <v>5</v>
      </c>
      <c r="P58" s="329">
        <f t="shared" si="4"/>
        <v>1684.1074297470282</v>
      </c>
      <c r="Q58" s="76"/>
      <c r="R58" s="112"/>
      <c r="S58" s="75"/>
      <c r="T58" s="304"/>
    </row>
    <row r="59" spans="2:20">
      <c r="B59" s="680"/>
      <c r="C59" s="682"/>
      <c r="D59" s="683"/>
      <c r="E59" s="388"/>
      <c r="F59" s="321"/>
      <c r="G59" s="681"/>
      <c r="H59" s="321">
        <f t="shared" si="7"/>
        <v>1613.0010837143145</v>
      </c>
      <c r="I59" s="764">
        <f t="shared" si="5"/>
        <v>71.106346032713603</v>
      </c>
      <c r="J59" s="790"/>
      <c r="K59" s="435"/>
      <c r="L59" s="436"/>
      <c r="M59" s="437"/>
      <c r="N59" s="785"/>
      <c r="O59" s="766">
        <f t="shared" si="6"/>
        <v>5</v>
      </c>
      <c r="P59" s="329">
        <f t="shared" si="4"/>
        <v>1684.1074297470282</v>
      </c>
      <c r="Q59" s="76"/>
      <c r="R59" s="112"/>
      <c r="S59" s="75"/>
      <c r="T59" s="304"/>
    </row>
    <row r="60" spans="2:20">
      <c r="B60" s="676"/>
      <c r="C60" s="684"/>
      <c r="D60" s="457"/>
      <c r="E60" s="685"/>
      <c r="F60" s="674"/>
      <c r="G60" s="681"/>
      <c r="H60" s="321">
        <f t="shared" si="7"/>
        <v>1613.0010837143145</v>
      </c>
      <c r="I60" s="764">
        <f t="shared" si="5"/>
        <v>71.106346032713603</v>
      </c>
      <c r="J60" s="790"/>
      <c r="K60" s="435"/>
      <c r="L60" s="436"/>
      <c r="M60" s="437"/>
      <c r="N60" s="785"/>
      <c r="O60" s="766">
        <f t="shared" si="6"/>
        <v>5</v>
      </c>
      <c r="P60" s="329">
        <f t="shared" si="4"/>
        <v>1684.1074297470282</v>
      </c>
      <c r="Q60" s="76"/>
      <c r="R60" s="112"/>
      <c r="S60" s="75"/>
      <c r="T60" s="304"/>
    </row>
    <row r="61" spans="2:20">
      <c r="B61" s="680"/>
      <c r="C61" s="526"/>
      <c r="D61" s="527"/>
      <c r="E61" s="321"/>
      <c r="F61" s="321"/>
      <c r="G61" s="681"/>
      <c r="H61" s="321">
        <f t="shared" si="7"/>
        <v>1613.0010837143145</v>
      </c>
      <c r="I61" s="764">
        <f t="shared" si="5"/>
        <v>71.106346032713603</v>
      </c>
      <c r="J61" s="790"/>
      <c r="K61" s="435"/>
      <c r="L61" s="436"/>
      <c r="M61" s="437"/>
      <c r="N61" s="785"/>
      <c r="O61" s="766">
        <f t="shared" si="6"/>
        <v>5</v>
      </c>
      <c r="P61" s="329">
        <f t="shared" si="4"/>
        <v>1684.1074297470282</v>
      </c>
      <c r="Q61" s="76"/>
      <c r="R61" s="112"/>
      <c r="S61" s="75"/>
      <c r="T61" s="304"/>
    </row>
    <row r="62" spans="2:20" ht="16.5" thickBot="1">
      <c r="B62" s="680"/>
      <c r="C62" s="526"/>
      <c r="D62" s="527"/>
      <c r="E62" s="321"/>
      <c r="F62" s="321"/>
      <c r="G62" s="681"/>
      <c r="H62" s="321">
        <f t="shared" si="7"/>
        <v>1613.0010837143145</v>
      </c>
      <c r="I62" s="764">
        <f t="shared" si="5"/>
        <v>71.106346032713603</v>
      </c>
      <c r="J62" s="790"/>
      <c r="K62" s="504"/>
      <c r="L62" s="419"/>
      <c r="M62" s="420"/>
      <c r="N62" s="421"/>
      <c r="O62" s="424">
        <f t="shared" si="6"/>
        <v>5</v>
      </c>
      <c r="P62" s="329">
        <f t="shared" si="4"/>
        <v>1684.1074297470282</v>
      </c>
      <c r="Q62" s="76"/>
      <c r="R62" s="112"/>
      <c r="S62" s="75"/>
      <c r="T62" s="304"/>
    </row>
    <row r="63" spans="2:20">
      <c r="B63" s="677"/>
      <c r="C63" s="678"/>
      <c r="D63" s="679"/>
      <c r="E63" s="387"/>
      <c r="F63" s="387"/>
      <c r="G63" s="387"/>
      <c r="H63" s="409">
        <f t="shared" si="7"/>
        <v>1613.0010837143145</v>
      </c>
      <c r="I63" s="764">
        <f t="shared" si="5"/>
        <v>71.106346032713603</v>
      </c>
      <c r="J63" s="793"/>
      <c r="K63" s="583" t="s">
        <v>220</v>
      </c>
      <c r="L63" s="511">
        <v>1617.07</v>
      </c>
      <c r="M63" s="512" t="s">
        <v>184</v>
      </c>
      <c r="N63" s="513"/>
      <c r="O63" s="424">
        <f t="shared" si="6"/>
        <v>5</v>
      </c>
      <c r="P63" s="329">
        <f t="shared" si="4"/>
        <v>1684.1074297470282</v>
      </c>
      <c r="Q63" s="76"/>
      <c r="R63" s="112"/>
      <c r="S63" s="75"/>
      <c r="T63" s="304"/>
    </row>
    <row r="64" spans="2:20" ht="18">
      <c r="B64" s="612"/>
      <c r="C64" s="406">
        <f>H68-1611.8</f>
        <v>-2.1467322970640907</v>
      </c>
      <c r="D64" s="323"/>
      <c r="E64" s="321"/>
      <c r="F64" s="321"/>
      <c r="G64" s="321"/>
      <c r="H64" s="409">
        <f t="shared" si="7"/>
        <v>1613.0010837143145</v>
      </c>
      <c r="I64" s="764">
        <f t="shared" si="5"/>
        <v>71.106346032713603</v>
      </c>
      <c r="J64" s="788"/>
      <c r="K64" s="514"/>
      <c r="L64" s="703">
        <f>L63-L65</f>
        <v>7.4167322970640726</v>
      </c>
      <c r="M64" s="509"/>
      <c r="N64" s="515"/>
      <c r="O64" s="424">
        <f t="shared" si="6"/>
        <v>5</v>
      </c>
      <c r="P64" s="329">
        <f t="shared" si="4"/>
        <v>1684.1074297470282</v>
      </c>
      <c r="Q64" s="76"/>
      <c r="R64" s="112"/>
      <c r="S64" s="75"/>
      <c r="T64" s="110"/>
    </row>
    <row r="65" spans="2:20" ht="16.5" thickBot="1">
      <c r="B65" s="616"/>
      <c r="C65" s="543" t="s">
        <v>467</v>
      </c>
      <c r="D65" s="542"/>
      <c r="E65" s="386"/>
      <c r="F65" s="386"/>
      <c r="G65" s="386"/>
      <c r="H65" s="409">
        <f t="shared" si="7"/>
        <v>1613.0010837143145</v>
      </c>
      <c r="I65" s="764">
        <f t="shared" si="5"/>
        <v>71.106346032713603</v>
      </c>
      <c r="J65" s="788"/>
      <c r="K65" s="584" t="s">
        <v>221</v>
      </c>
      <c r="L65" s="506">
        <f>H68</f>
        <v>1609.6532677029359</v>
      </c>
      <c r="M65" s="509"/>
      <c r="N65" s="515"/>
      <c r="O65" s="424">
        <f t="shared" si="6"/>
        <v>5</v>
      </c>
      <c r="P65" s="329">
        <f t="shared" si="4"/>
        <v>1684.1074297470282</v>
      </c>
      <c r="Q65" s="76"/>
      <c r="R65" s="112"/>
      <c r="S65" s="75"/>
      <c r="T65" s="110"/>
    </row>
    <row r="66" spans="2:20" ht="18">
      <c r="B66" s="909" t="s">
        <v>211</v>
      </c>
      <c r="C66" s="536" t="s">
        <v>201</v>
      </c>
      <c r="D66" s="546"/>
      <c r="E66" s="422">
        <v>7.7519999999999998</v>
      </c>
      <c r="F66" s="422">
        <v>6.1840000000000002</v>
      </c>
      <c r="G66" s="750">
        <f>1.612+0.283-$H$15</f>
        <v>1.7718160113786448</v>
      </c>
      <c r="H66" s="409">
        <f t="shared" si="7"/>
        <v>1611.2292677029359</v>
      </c>
      <c r="I66" s="764">
        <f t="shared" si="5"/>
        <v>72.87816204409225</v>
      </c>
      <c r="J66" s="788"/>
      <c r="K66" s="584"/>
      <c r="L66" s="704">
        <f>L65-L67</f>
        <v>5.233267702935791</v>
      </c>
      <c r="M66" s="509"/>
      <c r="N66" s="515"/>
      <c r="O66" s="424">
        <f t="shared" si="6"/>
        <v>5</v>
      </c>
      <c r="P66" s="329">
        <f t="shared" si="4"/>
        <v>1684.1074297470282</v>
      </c>
      <c r="Q66" s="76"/>
      <c r="R66" s="112"/>
      <c r="S66" s="75"/>
      <c r="T66" s="110"/>
    </row>
    <row r="67" spans="2:20">
      <c r="B67" s="910"/>
      <c r="C67" s="532" t="s">
        <v>305</v>
      </c>
      <c r="D67" s="531"/>
      <c r="E67" s="321">
        <v>8.34</v>
      </c>
      <c r="F67" s="321">
        <v>6.0289999999999999</v>
      </c>
      <c r="G67" s="746">
        <v>1.5760000000000001</v>
      </c>
      <c r="H67" s="409">
        <f t="shared" si="7"/>
        <v>1609.6532677029359</v>
      </c>
      <c r="I67" s="764">
        <f t="shared" si="5"/>
        <v>74.454162044092243</v>
      </c>
      <c r="J67" s="794"/>
      <c r="K67" s="584" t="s">
        <v>222</v>
      </c>
      <c r="L67" s="506">
        <v>1604.42</v>
      </c>
      <c r="M67" s="509" t="s">
        <v>184</v>
      </c>
      <c r="N67" s="515"/>
      <c r="O67" s="424">
        <f t="shared" si="6"/>
        <v>5</v>
      </c>
      <c r="P67" s="329">
        <f t="shared" si="4"/>
        <v>1684.1074297470282</v>
      </c>
      <c r="Q67" s="76"/>
      <c r="R67" s="112"/>
      <c r="S67" s="75"/>
      <c r="T67" s="110"/>
    </row>
    <row r="68" spans="2:20">
      <c r="B68" s="910"/>
      <c r="C68" s="749" t="s">
        <v>346</v>
      </c>
      <c r="D68" s="407"/>
      <c r="E68" s="408"/>
      <c r="F68" s="408"/>
      <c r="G68" s="753"/>
      <c r="H68" s="540">
        <f t="shared" si="7"/>
        <v>1609.6532677029359</v>
      </c>
      <c r="I68" s="764">
        <f t="shared" si="5"/>
        <v>74.454162044092243</v>
      </c>
      <c r="J68" s="794"/>
      <c r="K68" s="521" t="s">
        <v>218</v>
      </c>
      <c r="L68" s="522"/>
      <c r="M68" s="510">
        <v>9.57</v>
      </c>
      <c r="N68" s="516" t="s">
        <v>8</v>
      </c>
      <c r="O68" s="424">
        <f t="shared" si="6"/>
        <v>5</v>
      </c>
      <c r="P68" s="329">
        <f t="shared" si="4"/>
        <v>1684.1074297470282</v>
      </c>
      <c r="Q68" s="76"/>
      <c r="R68" s="112"/>
      <c r="S68" s="75"/>
      <c r="T68" s="110"/>
    </row>
    <row r="69" spans="2:20">
      <c r="B69" s="910"/>
      <c r="C69" s="532" t="s">
        <v>200</v>
      </c>
      <c r="D69" s="531"/>
      <c r="E69" s="321">
        <v>8.34</v>
      </c>
      <c r="F69" s="321">
        <v>6.0289999999999999</v>
      </c>
      <c r="G69" s="746">
        <f>CONVERT(5.4,"ft","m")</f>
        <v>1.6459200000000003</v>
      </c>
      <c r="H69" s="540">
        <f>H68-G69</f>
        <v>1608.0073477029359</v>
      </c>
      <c r="I69" s="764">
        <f t="shared" si="5"/>
        <v>76.100082044092247</v>
      </c>
      <c r="J69" s="794"/>
      <c r="K69" s="518"/>
      <c r="L69" s="523"/>
      <c r="M69" s="508">
        <f>M68/3.281</f>
        <v>2.9167936604693692</v>
      </c>
      <c r="N69" s="517" t="s">
        <v>31</v>
      </c>
      <c r="O69" s="424">
        <f t="shared" si="6"/>
        <v>5</v>
      </c>
      <c r="P69" s="329">
        <f t="shared" si="4"/>
        <v>1684.1074297470282</v>
      </c>
      <c r="Q69" s="76"/>
      <c r="R69" s="112"/>
      <c r="S69" s="75"/>
      <c r="T69" s="110"/>
    </row>
    <row r="70" spans="2:20" ht="16.5" thickBot="1">
      <c r="B70" s="911"/>
      <c r="C70" s="538" t="s">
        <v>201</v>
      </c>
      <c r="D70" s="547"/>
      <c r="E70" s="426">
        <v>7.7519999999999998</v>
      </c>
      <c r="F70" s="426">
        <v>6.1840000000000002</v>
      </c>
      <c r="G70" s="751">
        <f>1.487+0.283</f>
        <v>1.77</v>
      </c>
      <c r="H70" s="409">
        <f t="shared" si="7"/>
        <v>1606.2373477029359</v>
      </c>
      <c r="I70" s="764">
        <f t="shared" si="5"/>
        <v>77.870082044092243</v>
      </c>
      <c r="J70" s="794"/>
      <c r="K70" s="518" t="s">
        <v>219</v>
      </c>
      <c r="L70" s="523"/>
      <c r="M70" s="507">
        <v>1.49</v>
      </c>
      <c r="N70" s="517" t="s">
        <v>8</v>
      </c>
      <c r="O70" s="424">
        <f t="shared" si="6"/>
        <v>5</v>
      </c>
      <c r="P70" s="329">
        <f t="shared" si="4"/>
        <v>1684.1074297470282</v>
      </c>
      <c r="Q70" s="76"/>
      <c r="R70" s="112"/>
      <c r="S70" s="75"/>
      <c r="T70" s="110"/>
    </row>
    <row r="71" spans="2:20" ht="51" customHeight="1" thickBot="1">
      <c r="B71" s="617"/>
      <c r="C71" s="544"/>
      <c r="D71" s="545"/>
      <c r="E71" s="387"/>
      <c r="F71" s="387"/>
      <c r="G71" s="387"/>
      <c r="H71" s="876">
        <f t="shared" si="7"/>
        <v>1606.2373477029359</v>
      </c>
      <c r="I71" s="764">
        <f t="shared" si="5"/>
        <v>77.870082044092243</v>
      </c>
      <c r="J71" s="794"/>
      <c r="K71" s="524"/>
      <c r="L71" s="525"/>
      <c r="M71" s="519">
        <f>M70/3.281</f>
        <v>0.45412983846388294</v>
      </c>
      <c r="N71" s="520" t="s">
        <v>31</v>
      </c>
      <c r="O71" s="424">
        <f t="shared" si="6"/>
        <v>5</v>
      </c>
      <c r="P71" s="329">
        <f t="shared" si="4"/>
        <v>1684.1074297470282</v>
      </c>
      <c r="Q71" s="76"/>
      <c r="R71" s="112"/>
      <c r="S71" s="75"/>
      <c r="T71" s="110"/>
    </row>
    <row r="72" spans="2:20">
      <c r="B72" s="618"/>
      <c r="C72" s="411" t="s">
        <v>247</v>
      </c>
      <c r="D72" s="372"/>
      <c r="E72" s="321"/>
      <c r="F72" s="321"/>
      <c r="G72" s="321"/>
      <c r="H72" s="409">
        <f t="shared" si="7"/>
        <v>1606.2373477029359</v>
      </c>
      <c r="I72" s="764">
        <f t="shared" si="5"/>
        <v>77.870082044092243</v>
      </c>
      <c r="J72" s="794"/>
      <c r="K72" s="435"/>
      <c r="L72" s="436"/>
      <c r="M72" s="437"/>
      <c r="N72" s="437"/>
      <c r="O72" s="424">
        <f t="shared" si="6"/>
        <v>5</v>
      </c>
      <c r="P72" s="329">
        <f t="shared" si="4"/>
        <v>1684.1074297470282</v>
      </c>
      <c r="Q72" s="76"/>
      <c r="R72" s="112"/>
      <c r="S72" s="75"/>
      <c r="T72" s="110"/>
    </row>
    <row r="73" spans="2:20" ht="36">
      <c r="B73" s="708" t="s">
        <v>313</v>
      </c>
      <c r="C73" s="634" t="s">
        <v>248</v>
      </c>
      <c r="D73" s="672">
        <v>262</v>
      </c>
      <c r="E73" s="321">
        <v>7.7519999999999998</v>
      </c>
      <c r="F73" s="321">
        <v>6.1840000000000002</v>
      </c>
      <c r="G73" s="321">
        <f>IF(D73&gt;0,VLOOKUP(D73,Tally!F:H,3,FALSE))</f>
        <v>12.812080768058518</v>
      </c>
      <c r="H73" s="409">
        <f t="shared" si="7"/>
        <v>1593.4252669348775</v>
      </c>
      <c r="I73" s="764">
        <f t="shared" si="5"/>
        <v>90.682162812150764</v>
      </c>
      <c r="J73" s="794"/>
      <c r="K73" s="435"/>
      <c r="L73" s="436"/>
      <c r="M73" s="437"/>
      <c r="N73" s="437"/>
      <c r="O73" s="424">
        <f t="shared" si="6"/>
        <v>6</v>
      </c>
      <c r="P73" s="329">
        <f t="shared" si="4"/>
        <v>1684.1074297470284</v>
      </c>
      <c r="Q73" s="76"/>
      <c r="R73" s="112"/>
      <c r="S73" s="75"/>
      <c r="T73" s="110"/>
    </row>
    <row r="74" spans="2:20" ht="18">
      <c r="B74" s="618"/>
      <c r="C74" s="634"/>
      <c r="D74" s="561"/>
      <c r="E74" s="321"/>
      <c r="F74" s="321"/>
      <c r="G74" s="321"/>
      <c r="H74" s="409">
        <f t="shared" si="7"/>
        <v>1593.4252669348775</v>
      </c>
      <c r="I74" s="764">
        <f t="shared" si="5"/>
        <v>90.682162812150764</v>
      </c>
      <c r="J74" s="794"/>
      <c r="K74" s="435"/>
      <c r="L74" s="436"/>
      <c r="M74" s="437"/>
      <c r="N74" s="437"/>
      <c r="O74" s="424">
        <f t="shared" si="6"/>
        <v>6</v>
      </c>
      <c r="P74" s="329">
        <f t="shared" si="4"/>
        <v>1684.1074297470284</v>
      </c>
      <c r="Q74" s="76"/>
      <c r="R74" s="112"/>
      <c r="S74" s="75"/>
      <c r="T74" s="110"/>
    </row>
    <row r="75" spans="2:20" ht="18">
      <c r="B75" s="618"/>
      <c r="C75" s="634"/>
      <c r="D75" s="639"/>
      <c r="E75" s="321"/>
      <c r="F75" s="321"/>
      <c r="G75" s="321"/>
      <c r="H75" s="409">
        <f t="shared" si="7"/>
        <v>1593.4252669348775</v>
      </c>
      <c r="I75" s="321">
        <f t="shared" ref="I75:I79" si="9">I74+G75</f>
        <v>90.682162812150764</v>
      </c>
      <c r="J75" s="794"/>
      <c r="K75" s="435"/>
      <c r="L75" s="436"/>
      <c r="M75" s="437"/>
      <c r="N75" s="437"/>
      <c r="O75" s="424">
        <f t="shared" si="6"/>
        <v>6</v>
      </c>
      <c r="P75" s="329">
        <f t="shared" si="4"/>
        <v>1684.1074297470284</v>
      </c>
      <c r="Q75" s="76"/>
      <c r="R75" s="112"/>
      <c r="S75" s="75"/>
      <c r="T75" s="110"/>
    </row>
    <row r="76" spans="2:20" ht="18">
      <c r="B76" s="686"/>
      <c r="C76" s="687"/>
      <c r="D76" s="639"/>
      <c r="E76" s="321"/>
      <c r="F76" s="321"/>
      <c r="G76" s="321"/>
      <c r="H76" s="533">
        <f t="shared" si="7"/>
        <v>1593.4252669348775</v>
      </c>
      <c r="I76" s="764">
        <f t="shared" ref="I76:I78" si="10">I75+G76</f>
        <v>90.682162812150764</v>
      </c>
      <c r="J76" s="807"/>
      <c r="K76" s="776"/>
      <c r="L76" s="413"/>
      <c r="M76" s="414"/>
      <c r="N76" s="415"/>
      <c r="O76" s="766">
        <f t="shared" si="6"/>
        <v>6</v>
      </c>
      <c r="P76" s="329">
        <f t="shared" si="4"/>
        <v>1684.1074297470284</v>
      </c>
      <c r="Q76" s="76"/>
      <c r="R76" s="112"/>
      <c r="S76" s="75"/>
      <c r="T76" s="110"/>
    </row>
    <row r="77" spans="2:20" ht="18">
      <c r="B77" s="686"/>
      <c r="C77" s="687"/>
      <c r="D77" s="639"/>
      <c r="E77" s="321"/>
      <c r="F77" s="321"/>
      <c r="G77" s="321"/>
      <c r="H77" s="533">
        <f t="shared" si="7"/>
        <v>1593.4252669348775</v>
      </c>
      <c r="I77" s="764">
        <f t="shared" si="10"/>
        <v>90.682162812150764</v>
      </c>
      <c r="J77" s="794"/>
      <c r="K77" s="435"/>
      <c r="L77" s="436"/>
      <c r="M77" s="437"/>
      <c r="N77" s="785"/>
      <c r="O77" s="766">
        <f t="shared" si="6"/>
        <v>6</v>
      </c>
      <c r="P77" s="329">
        <f t="shared" si="4"/>
        <v>1684.1074297470284</v>
      </c>
      <c r="Q77" s="76"/>
      <c r="R77" s="112"/>
      <c r="S77" s="75"/>
      <c r="T77" s="110"/>
    </row>
    <row r="78" spans="2:20">
      <c r="B78" s="618"/>
      <c r="C78" s="322"/>
      <c r="D78" s="384"/>
      <c r="E78" s="321"/>
      <c r="F78" s="321"/>
      <c r="G78" s="321"/>
      <c r="H78" s="409">
        <f t="shared" si="7"/>
        <v>1593.4252669348775</v>
      </c>
      <c r="I78" s="764">
        <f t="shared" si="10"/>
        <v>90.682162812150764</v>
      </c>
      <c r="J78" s="794"/>
      <c r="K78" s="435"/>
      <c r="L78" s="436"/>
      <c r="M78" s="437"/>
      <c r="N78" s="785"/>
      <c r="O78" s="766">
        <f t="shared" si="6"/>
        <v>6</v>
      </c>
      <c r="P78" s="329">
        <f t="shared" si="4"/>
        <v>1684.1074297470284</v>
      </c>
      <c r="Q78" s="76"/>
      <c r="R78" s="112"/>
      <c r="S78" s="75"/>
      <c r="T78" s="110"/>
    </row>
    <row r="79" spans="2:20">
      <c r="B79" s="619"/>
      <c r="C79" s="406">
        <f>H82-1595.8</f>
        <v>-4.3756130765011676</v>
      </c>
      <c r="D79" s="323"/>
      <c r="E79" s="321"/>
      <c r="F79" s="321"/>
      <c r="G79" s="321"/>
      <c r="H79" s="409">
        <f t="shared" si="7"/>
        <v>1593.4252669348775</v>
      </c>
      <c r="I79" s="764">
        <f t="shared" si="9"/>
        <v>90.682162812150764</v>
      </c>
      <c r="J79" s="794"/>
      <c r="K79" s="435"/>
      <c r="L79" s="436"/>
      <c r="M79" s="437"/>
      <c r="N79" s="785"/>
      <c r="O79" s="766">
        <f t="shared" si="6"/>
        <v>6</v>
      </c>
      <c r="P79" s="329">
        <f t="shared" si="4"/>
        <v>1684.1074297470284</v>
      </c>
      <c r="Q79" s="76"/>
      <c r="R79" s="112"/>
      <c r="S79" s="75"/>
      <c r="T79" s="110"/>
    </row>
    <row r="80" spans="2:20" ht="16.5" thickBot="1">
      <c r="B80" s="616"/>
      <c r="C80" s="543" t="s">
        <v>468</v>
      </c>
      <c r="D80" s="548"/>
      <c r="E80" s="386"/>
      <c r="F80" s="386"/>
      <c r="G80" s="386"/>
      <c r="H80" s="409">
        <f t="shared" si="7"/>
        <v>1593.4252669348775</v>
      </c>
      <c r="I80" s="764">
        <f t="shared" si="5"/>
        <v>90.682162812150764</v>
      </c>
      <c r="J80" s="794"/>
      <c r="K80" s="435"/>
      <c r="L80" s="436"/>
      <c r="M80" s="437"/>
      <c r="N80" s="785"/>
      <c r="O80" s="766">
        <f t="shared" si="6"/>
        <v>6</v>
      </c>
      <c r="P80" s="329">
        <f t="shared" si="4"/>
        <v>1684.1074297470284</v>
      </c>
      <c r="Q80" s="76"/>
      <c r="R80" s="112"/>
      <c r="S80" s="75"/>
      <c r="T80" s="110"/>
    </row>
    <row r="81" spans="2:20">
      <c r="B81" s="909" t="s">
        <v>212</v>
      </c>
      <c r="C81" s="562" t="s">
        <v>194</v>
      </c>
      <c r="D81" s="546"/>
      <c r="E81" s="422">
        <v>7</v>
      </c>
      <c r="F81" s="422">
        <v>6.1840000000000002</v>
      </c>
      <c r="G81" s="750">
        <f>1.612-$H$15</f>
        <v>1.4888160113786448</v>
      </c>
      <c r="H81" s="409">
        <f t="shared" si="7"/>
        <v>1591.9364509234988</v>
      </c>
      <c r="I81" s="764">
        <f t="shared" si="5"/>
        <v>92.17097882352941</v>
      </c>
      <c r="J81" s="794"/>
      <c r="K81" s="799" t="s">
        <v>216</v>
      </c>
      <c r="L81" s="800">
        <f>H82*3.281</f>
        <v>5221.4634134959997</v>
      </c>
      <c r="M81" s="801" t="s">
        <v>8</v>
      </c>
      <c r="N81" s="808"/>
      <c r="O81" s="766">
        <f t="shared" si="6"/>
        <v>6</v>
      </c>
      <c r="P81" s="329">
        <f t="shared" si="4"/>
        <v>1684.1074297470282</v>
      </c>
      <c r="Q81" s="76"/>
      <c r="R81" s="112"/>
      <c r="S81" s="75"/>
      <c r="T81" s="110"/>
    </row>
    <row r="82" spans="2:20">
      <c r="B82" s="910"/>
      <c r="C82" s="749" t="s">
        <v>347</v>
      </c>
      <c r="D82" s="531"/>
      <c r="E82" s="321">
        <v>8.4949999999999992</v>
      </c>
      <c r="F82" s="321">
        <v>6.2110000000000003</v>
      </c>
      <c r="G82" s="746">
        <v>0.51206399999999996</v>
      </c>
      <c r="H82" s="540">
        <f t="shared" si="7"/>
        <v>1591.4243869234988</v>
      </c>
      <c r="I82" s="764">
        <f t="shared" si="5"/>
        <v>92.683042823529405</v>
      </c>
      <c r="J82" s="794"/>
      <c r="K82" s="799" t="s">
        <v>236</v>
      </c>
      <c r="L82" s="800">
        <v>6000</v>
      </c>
      <c r="M82" s="801" t="s">
        <v>8</v>
      </c>
      <c r="N82" s="808"/>
      <c r="O82" s="766">
        <f t="shared" si="6"/>
        <v>6</v>
      </c>
      <c r="P82" s="329">
        <f t="shared" si="4"/>
        <v>1684.1074297470282</v>
      </c>
      <c r="Q82" s="76"/>
      <c r="R82" s="112"/>
      <c r="S82" s="75"/>
      <c r="T82" s="110"/>
    </row>
    <row r="83" spans="2:20" ht="16.5" thickBot="1">
      <c r="B83" s="911"/>
      <c r="C83" s="538" t="s">
        <v>202</v>
      </c>
      <c r="D83" s="547"/>
      <c r="E83" s="426">
        <v>7.7670000000000003</v>
      </c>
      <c r="F83" s="426">
        <v>6.1840000000000002</v>
      </c>
      <c r="G83" s="751">
        <f>2.71+0.28</f>
        <v>2.99</v>
      </c>
      <c r="H83" s="409">
        <f t="shared" si="7"/>
        <v>1588.4343869234988</v>
      </c>
      <c r="I83" s="764">
        <f t="shared" si="5"/>
        <v>95.6730428235294</v>
      </c>
      <c r="J83" s="809">
        <v>1</v>
      </c>
      <c r="K83" s="799" t="s">
        <v>215</v>
      </c>
      <c r="L83" s="802">
        <f>L82-L81</f>
        <v>778.5365865040003</v>
      </c>
      <c r="M83" s="801" t="s">
        <v>8</v>
      </c>
      <c r="N83" s="808"/>
      <c r="O83" s="766">
        <f t="shared" si="6"/>
        <v>6</v>
      </c>
      <c r="P83" s="329">
        <f t="shared" si="4"/>
        <v>1684.1074297470282</v>
      </c>
      <c r="Q83" s="76"/>
      <c r="R83" s="112"/>
      <c r="S83" s="75"/>
      <c r="T83" s="110"/>
    </row>
    <row r="84" spans="2:20">
      <c r="B84" s="620"/>
      <c r="C84" s="544"/>
      <c r="D84" s="545"/>
      <c r="E84" s="387"/>
      <c r="F84" s="387"/>
      <c r="G84" s="387"/>
      <c r="H84" s="409">
        <f t="shared" si="7"/>
        <v>1588.4343869234988</v>
      </c>
      <c r="I84" s="764">
        <f t="shared" si="5"/>
        <v>95.6730428235294</v>
      </c>
      <c r="J84" s="794"/>
      <c r="K84" s="435"/>
      <c r="L84" s="436"/>
      <c r="M84" s="437"/>
      <c r="N84" s="785"/>
      <c r="O84" s="766">
        <f t="shared" si="6"/>
        <v>6</v>
      </c>
      <c r="P84" s="329">
        <f t="shared" si="4"/>
        <v>1684.1074297470282</v>
      </c>
      <c r="Q84" s="76"/>
      <c r="R84" s="112"/>
      <c r="S84" s="75"/>
      <c r="T84" s="110"/>
    </row>
    <row r="85" spans="2:20">
      <c r="B85" s="618"/>
      <c r="C85" s="322"/>
      <c r="D85" s="323"/>
      <c r="E85" s="321"/>
      <c r="F85" s="321"/>
      <c r="G85" s="321"/>
      <c r="H85" s="409">
        <f t="shared" si="7"/>
        <v>1588.4343869234988</v>
      </c>
      <c r="I85" s="764">
        <f t="shared" si="5"/>
        <v>95.6730428235294</v>
      </c>
      <c r="J85" s="794"/>
      <c r="K85" s="435"/>
      <c r="L85" s="436"/>
      <c r="M85" s="437"/>
      <c r="N85" s="785"/>
      <c r="O85" s="766">
        <f t="shared" si="6"/>
        <v>6</v>
      </c>
      <c r="P85" s="329">
        <f t="shared" si="4"/>
        <v>1684.1074297470282</v>
      </c>
      <c r="Q85" s="76"/>
      <c r="R85" s="112"/>
      <c r="S85" s="75"/>
      <c r="T85" s="110"/>
    </row>
    <row r="86" spans="2:20" ht="16.5" thickBot="1">
      <c r="B86" s="616"/>
      <c r="C86" s="706" t="s">
        <v>356</v>
      </c>
      <c r="D86" s="497"/>
      <c r="E86" s="386"/>
      <c r="F86" s="386"/>
      <c r="G86" s="386"/>
      <c r="H86" s="409">
        <f t="shared" si="7"/>
        <v>1588.4343869234988</v>
      </c>
      <c r="I86" s="764">
        <f t="shared" si="5"/>
        <v>95.6730428235294</v>
      </c>
      <c r="J86" s="794"/>
      <c r="K86" s="435"/>
      <c r="L86" s="436"/>
      <c r="M86" s="437"/>
      <c r="N86" s="785"/>
      <c r="O86" s="766">
        <f t="shared" si="6"/>
        <v>6</v>
      </c>
      <c r="P86" s="329">
        <f t="shared" si="4"/>
        <v>1684.1074297470282</v>
      </c>
      <c r="Q86" s="76"/>
      <c r="R86" s="112"/>
      <c r="S86" s="75"/>
      <c r="T86" s="110"/>
    </row>
    <row r="87" spans="2:20" ht="18" customHeight="1">
      <c r="B87" s="915" t="s">
        <v>312</v>
      </c>
      <c r="C87" s="691" t="s">
        <v>357</v>
      </c>
      <c r="D87" s="707">
        <v>261</v>
      </c>
      <c r="E87" s="422">
        <v>7.7519999999999998</v>
      </c>
      <c r="F87" s="422">
        <v>6.1840000000000002</v>
      </c>
      <c r="G87" s="692">
        <f>IF(D87&gt;0,VLOOKUP(D87,Tally!F:H,3,FALSE))</f>
        <v>11.181480341359343</v>
      </c>
      <c r="H87" s="409">
        <f t="shared" si="7"/>
        <v>1577.2529065821395</v>
      </c>
      <c r="I87" s="764">
        <f t="shared" si="5"/>
        <v>106.85452316488875</v>
      </c>
      <c r="J87" s="809">
        <v>2</v>
      </c>
      <c r="K87" s="435"/>
      <c r="L87" s="436"/>
      <c r="M87" s="437"/>
      <c r="N87" s="785"/>
      <c r="O87" s="766">
        <f t="shared" si="6"/>
        <v>7</v>
      </c>
      <c r="P87" s="329">
        <f t="shared" si="4"/>
        <v>1684.1074297470282</v>
      </c>
      <c r="Q87" s="76"/>
      <c r="R87" s="112"/>
      <c r="S87" s="75"/>
      <c r="T87" s="110"/>
    </row>
    <row r="88" spans="2:20" ht="18">
      <c r="B88" s="916"/>
      <c r="C88" s="380" t="s">
        <v>358</v>
      </c>
      <c r="D88" s="561">
        <v>260</v>
      </c>
      <c r="E88" s="321">
        <v>7.7519999999999998</v>
      </c>
      <c r="F88" s="321">
        <v>6.1840000000000002</v>
      </c>
      <c r="G88" s="693">
        <f>IF(D88&gt;0,VLOOKUP(D88,Tally!F:H,3,FALSE))</f>
        <v>12.178127704967997</v>
      </c>
      <c r="H88" s="409">
        <f t="shared" si="7"/>
        <v>1565.0747788771716</v>
      </c>
      <c r="I88" s="764">
        <f t="shared" si="5"/>
        <v>119.03265086985674</v>
      </c>
      <c r="J88" s="809">
        <v>3</v>
      </c>
      <c r="K88" s="435"/>
      <c r="L88" s="436"/>
      <c r="M88" s="437"/>
      <c r="N88" s="785"/>
      <c r="O88" s="766">
        <f t="shared" si="6"/>
        <v>8</v>
      </c>
      <c r="P88" s="329">
        <f t="shared" si="4"/>
        <v>1684.1074297470284</v>
      </c>
      <c r="Q88" s="76"/>
      <c r="R88" s="112"/>
      <c r="S88" s="75"/>
      <c r="T88" s="110"/>
    </row>
    <row r="89" spans="2:20" ht="18">
      <c r="B89" s="916"/>
      <c r="C89" s="380" t="s">
        <v>359</v>
      </c>
      <c r="D89" s="561">
        <v>259</v>
      </c>
      <c r="E89" s="321">
        <v>7.7519999999999998</v>
      </c>
      <c r="F89" s="321">
        <v>6.1840000000000002</v>
      </c>
      <c r="G89" s="693">
        <f>IF(D89&gt;0,VLOOKUP(D89,Tally!F:H,3,FALSE))</f>
        <v>12.260419689119171</v>
      </c>
      <c r="H89" s="409">
        <f t="shared" si="7"/>
        <v>1552.8143591880525</v>
      </c>
      <c r="I89" s="764">
        <f t="shared" si="5"/>
        <v>131.2930705589759</v>
      </c>
      <c r="J89" s="809">
        <v>4</v>
      </c>
      <c r="K89" s="435"/>
      <c r="L89" s="436"/>
      <c r="M89" s="437"/>
      <c r="N89" s="785"/>
      <c r="O89" s="766">
        <f t="shared" si="6"/>
        <v>9</v>
      </c>
      <c r="P89" s="329">
        <f t="shared" si="4"/>
        <v>1684.1074297470284</v>
      </c>
      <c r="Q89" s="76"/>
      <c r="R89" s="112"/>
      <c r="S89" s="75"/>
      <c r="T89" s="110"/>
    </row>
    <row r="90" spans="2:20" ht="18">
      <c r="B90" s="916"/>
      <c r="C90" s="380" t="s">
        <v>360</v>
      </c>
      <c r="D90" s="561">
        <v>258</v>
      </c>
      <c r="E90" s="321">
        <v>7.7519999999999998</v>
      </c>
      <c r="F90" s="321">
        <v>6.1840000000000002</v>
      </c>
      <c r="G90" s="693">
        <f>IF(D90&gt;0,VLOOKUP(D90,Tally!F:H,3,FALSE))</f>
        <v>12.321376714416337</v>
      </c>
      <c r="H90" s="409">
        <f t="shared" si="7"/>
        <v>1540.4929824736362</v>
      </c>
      <c r="I90" s="764">
        <f t="shared" si="5"/>
        <v>143.61444727339224</v>
      </c>
      <c r="J90" s="809">
        <v>5</v>
      </c>
      <c r="K90" s="435"/>
      <c r="L90" s="436"/>
      <c r="M90" s="437"/>
      <c r="N90" s="785"/>
      <c r="O90" s="766">
        <f t="shared" si="6"/>
        <v>10</v>
      </c>
      <c r="P90" s="329">
        <f t="shared" si="4"/>
        <v>1684.1074297470284</v>
      </c>
      <c r="Q90" s="76"/>
      <c r="R90" s="112"/>
      <c r="S90" s="75"/>
      <c r="T90" s="110"/>
    </row>
    <row r="91" spans="2:20" ht="18">
      <c r="B91" s="916"/>
      <c r="C91" s="380" t="s">
        <v>361</v>
      </c>
      <c r="D91" s="561">
        <v>257</v>
      </c>
      <c r="E91" s="321">
        <v>7.7519999999999998</v>
      </c>
      <c r="F91" s="321">
        <v>6.1840000000000002</v>
      </c>
      <c r="G91" s="693">
        <f>IF(D91&gt;0,VLOOKUP(D91,Tally!F:H,3,FALSE))</f>
        <v>12.479864980188967</v>
      </c>
      <c r="H91" s="409">
        <f t="shared" si="7"/>
        <v>1528.0131174934472</v>
      </c>
      <c r="I91" s="764">
        <f t="shared" si="5"/>
        <v>156.09431225358122</v>
      </c>
      <c r="J91" s="809">
        <v>6</v>
      </c>
      <c r="K91" s="435"/>
      <c r="L91" s="436"/>
      <c r="M91" s="437"/>
      <c r="N91" s="785"/>
      <c r="O91" s="766">
        <f t="shared" si="6"/>
        <v>11</v>
      </c>
      <c r="P91" s="329">
        <f t="shared" si="4"/>
        <v>1684.1074297470284</v>
      </c>
      <c r="Q91" s="76"/>
      <c r="R91" s="112"/>
      <c r="S91" s="75"/>
      <c r="T91" s="110"/>
    </row>
    <row r="92" spans="2:20" ht="18" customHeight="1">
      <c r="B92" s="916"/>
      <c r="C92" s="380" t="s">
        <v>362</v>
      </c>
      <c r="D92" s="561">
        <v>256</v>
      </c>
      <c r="E92" s="321">
        <v>7.7519999999999998</v>
      </c>
      <c r="F92" s="321">
        <v>6.1840000000000002</v>
      </c>
      <c r="G92" s="693">
        <f>IF(D92&gt;0,VLOOKUP(D92,Tally!F:H,3,FALSE))</f>
        <v>12.482912831453826</v>
      </c>
      <c r="H92" s="409">
        <f t="shared" si="7"/>
        <v>1515.5302046619934</v>
      </c>
      <c r="I92" s="764">
        <f t="shared" si="5"/>
        <v>168.57722508503505</v>
      </c>
      <c r="J92" s="809">
        <v>7</v>
      </c>
      <c r="K92" s="435"/>
      <c r="L92" s="436"/>
      <c r="M92" s="437"/>
      <c r="N92" s="785"/>
      <c r="O92" s="766">
        <f t="shared" si="6"/>
        <v>12</v>
      </c>
      <c r="P92" s="329">
        <f t="shared" si="4"/>
        <v>1684.1074297470284</v>
      </c>
      <c r="Q92" s="76"/>
      <c r="R92" s="112"/>
      <c r="S92" s="75"/>
      <c r="T92" s="110"/>
    </row>
    <row r="93" spans="2:20" ht="18">
      <c r="B93" s="916"/>
      <c r="C93" s="380" t="s">
        <v>363</v>
      </c>
      <c r="D93" s="561">
        <v>255</v>
      </c>
      <c r="E93" s="321">
        <v>7.7519999999999998</v>
      </c>
      <c r="F93" s="321">
        <v>6.1840000000000002</v>
      </c>
      <c r="G93" s="693">
        <f>IF(D93&gt;0,VLOOKUP(D93,Tally!F:H,3,FALSE))</f>
        <v>12.327472416946053</v>
      </c>
      <c r="H93" s="409">
        <f t="shared" si="7"/>
        <v>1503.2027322450474</v>
      </c>
      <c r="I93" s="764">
        <f t="shared" si="5"/>
        <v>180.9046975019811</v>
      </c>
      <c r="J93" s="809">
        <v>8</v>
      </c>
      <c r="K93" s="435"/>
      <c r="L93" s="436"/>
      <c r="M93" s="437"/>
      <c r="N93" s="785"/>
      <c r="O93" s="766">
        <f t="shared" si="6"/>
        <v>13</v>
      </c>
      <c r="P93" s="329">
        <f t="shared" si="4"/>
        <v>1684.1074297470286</v>
      </c>
      <c r="Q93" s="76"/>
      <c r="R93" s="112"/>
      <c r="S93" s="75"/>
      <c r="T93" s="110"/>
    </row>
    <row r="94" spans="2:20" ht="18">
      <c r="B94" s="916"/>
      <c r="C94" s="380" t="s">
        <v>364</v>
      </c>
      <c r="D94" s="561">
        <v>254</v>
      </c>
      <c r="E94" s="321">
        <v>7.7519999999999998</v>
      </c>
      <c r="F94" s="321">
        <v>6.1840000000000002</v>
      </c>
      <c r="G94" s="693">
        <f>IF(D94&gt;0,VLOOKUP(D94,Tally!F:H,3,FALSE))</f>
        <v>11.510648277964036</v>
      </c>
      <c r="H94" s="409">
        <f t="shared" si="7"/>
        <v>1491.6920839670834</v>
      </c>
      <c r="I94" s="764">
        <f t="shared" si="5"/>
        <v>192.41534577994514</v>
      </c>
      <c r="J94" s="809">
        <v>9</v>
      </c>
      <c r="K94" s="435"/>
      <c r="L94" s="436"/>
      <c r="M94" s="437"/>
      <c r="N94" s="785"/>
      <c r="O94" s="766">
        <f t="shared" si="6"/>
        <v>14</v>
      </c>
      <c r="P94" s="329">
        <f t="shared" si="4"/>
        <v>1684.1074297470286</v>
      </c>
      <c r="Q94" s="76"/>
      <c r="R94" s="112"/>
      <c r="S94" s="75"/>
      <c r="T94" s="110"/>
    </row>
    <row r="95" spans="2:20" ht="18.75" thickBot="1">
      <c r="B95" s="916"/>
      <c r="C95" s="690" t="s">
        <v>365</v>
      </c>
      <c r="D95" s="633">
        <v>253</v>
      </c>
      <c r="E95" s="386">
        <v>7.7519999999999998</v>
      </c>
      <c r="F95" s="386">
        <v>6.1840000000000002</v>
      </c>
      <c r="G95" s="709">
        <f>IF(D95&gt;0,VLOOKUP(D95,Tally!F:H,3,FALSE))</f>
        <v>12.59568332825358</v>
      </c>
      <c r="H95" s="409">
        <f t="shared" si="7"/>
        <v>1479.0964006388299</v>
      </c>
      <c r="I95" s="764">
        <f t="shared" si="5"/>
        <v>205.01102910819873</v>
      </c>
      <c r="J95" s="809">
        <v>10</v>
      </c>
      <c r="K95" s="435"/>
      <c r="L95" s="436"/>
      <c r="M95" s="437"/>
      <c r="N95" s="785"/>
      <c r="O95" s="766">
        <f t="shared" si="6"/>
        <v>15</v>
      </c>
      <c r="P95" s="329">
        <f t="shared" si="4"/>
        <v>1684.1074297470286</v>
      </c>
      <c r="Q95" s="76"/>
      <c r="R95" s="112"/>
      <c r="S95" s="75"/>
      <c r="T95" s="110"/>
    </row>
    <row r="96" spans="2:20" ht="22.5" customHeight="1">
      <c r="B96" s="917" t="s">
        <v>311</v>
      </c>
      <c r="C96" s="691" t="s">
        <v>366</v>
      </c>
      <c r="D96" s="757">
        <v>252</v>
      </c>
      <c r="E96" s="422">
        <v>7.7519999999999998</v>
      </c>
      <c r="F96" s="422">
        <v>6.1840000000000002</v>
      </c>
      <c r="G96" s="422">
        <f>IF(D96&gt;0,VLOOKUP(D96,Tally!F:H,3,FALSE))</f>
        <v>12.205558366351722</v>
      </c>
      <c r="H96" s="409">
        <f t="shared" si="7"/>
        <v>1466.8908422724783</v>
      </c>
      <c r="I96" s="764">
        <f t="shared" si="5"/>
        <v>217.21658747455044</v>
      </c>
      <c r="J96" s="809">
        <v>11</v>
      </c>
      <c r="K96" s="435"/>
      <c r="L96" s="436"/>
      <c r="M96" s="437"/>
      <c r="N96" s="785"/>
      <c r="O96" s="766">
        <f t="shared" si="6"/>
        <v>16</v>
      </c>
      <c r="P96" s="329">
        <f t="shared" si="4"/>
        <v>1684.1074297470286</v>
      </c>
      <c r="Q96" s="76"/>
      <c r="R96" s="112"/>
      <c r="S96" s="75"/>
      <c r="T96" s="110"/>
    </row>
    <row r="97" spans="2:20" ht="18">
      <c r="B97" s="918"/>
      <c r="C97" s="380" t="s">
        <v>367</v>
      </c>
      <c r="D97" s="756">
        <v>251</v>
      </c>
      <c r="E97" s="321">
        <v>7.7519999999999998</v>
      </c>
      <c r="F97" s="321">
        <v>6.1840000000000002</v>
      </c>
      <c r="G97" s="321">
        <f>IF(D97&gt;0,VLOOKUP(D97,Tally!F:H,3,FALSE))</f>
        <v>12.525582749161842</v>
      </c>
      <c r="H97" s="409">
        <f t="shared" si="7"/>
        <v>1454.3652595233164</v>
      </c>
      <c r="I97" s="764">
        <f t="shared" si="5"/>
        <v>229.74217022371226</v>
      </c>
      <c r="J97" s="809">
        <v>12</v>
      </c>
      <c r="K97" s="435"/>
      <c r="L97" s="436"/>
      <c r="M97" s="437"/>
      <c r="N97" s="785"/>
      <c r="O97" s="766">
        <f t="shared" si="6"/>
        <v>17</v>
      </c>
      <c r="P97" s="329">
        <f t="shared" si="4"/>
        <v>1684.1074297470286</v>
      </c>
      <c r="Q97" s="76"/>
      <c r="R97" s="112"/>
      <c r="S97" s="75"/>
      <c r="T97" s="110"/>
    </row>
    <row r="98" spans="2:20" ht="18">
      <c r="B98" s="918"/>
      <c r="C98" s="380" t="s">
        <v>368</v>
      </c>
      <c r="D98" s="756">
        <v>250</v>
      </c>
      <c r="E98" s="321">
        <v>7.7519999999999998</v>
      </c>
      <c r="F98" s="321">
        <v>6.1840000000000002</v>
      </c>
      <c r="G98" s="321">
        <f>IF(D98&gt;0,VLOOKUP(D98,Tally!F:H,3,FALSE))</f>
        <v>12.464625723864675</v>
      </c>
      <c r="H98" s="409">
        <f t="shared" si="7"/>
        <v>1441.9006337994517</v>
      </c>
      <c r="I98" s="764">
        <f t="shared" si="5"/>
        <v>242.20679594757695</v>
      </c>
      <c r="J98" s="809">
        <v>13</v>
      </c>
      <c r="K98" s="435"/>
      <c r="L98" s="436"/>
      <c r="M98" s="437"/>
      <c r="N98" s="785"/>
      <c r="O98" s="766">
        <f t="shared" si="6"/>
        <v>18</v>
      </c>
      <c r="P98" s="329">
        <f t="shared" si="4"/>
        <v>1684.1074297470286</v>
      </c>
      <c r="Q98" s="76"/>
      <c r="R98" s="112"/>
      <c r="S98" s="75"/>
      <c r="T98" s="110"/>
    </row>
    <row r="99" spans="2:20" ht="18">
      <c r="B99" s="918"/>
      <c r="C99" s="380" t="s">
        <v>369</v>
      </c>
      <c r="D99" s="756">
        <v>249</v>
      </c>
      <c r="E99" s="321">
        <v>7.7519999999999998</v>
      </c>
      <c r="F99" s="321">
        <v>6.1840000000000002</v>
      </c>
      <c r="G99" s="321">
        <f>IF(D99&gt;0,VLOOKUP(D99,Tally!F:H,3,FALSE))</f>
        <v>12.59568332825358</v>
      </c>
      <c r="H99" s="409">
        <f t="shared" si="7"/>
        <v>1429.3049504711983</v>
      </c>
      <c r="I99" s="764">
        <f t="shared" si="5"/>
        <v>254.80247927583054</v>
      </c>
      <c r="J99" s="809">
        <v>14</v>
      </c>
      <c r="K99" s="435"/>
      <c r="L99" s="436"/>
      <c r="M99" s="437"/>
      <c r="N99" s="785"/>
      <c r="O99" s="766">
        <f t="shared" si="6"/>
        <v>19</v>
      </c>
      <c r="P99" s="329">
        <f t="shared" si="4"/>
        <v>1684.1074297470288</v>
      </c>
      <c r="Q99" s="76"/>
      <c r="R99" s="112"/>
      <c r="S99" s="75"/>
      <c r="T99" s="110"/>
    </row>
    <row r="100" spans="2:20" ht="18">
      <c r="B100" s="918"/>
      <c r="C100" s="380" t="s">
        <v>370</v>
      </c>
      <c r="D100" s="756">
        <v>248</v>
      </c>
      <c r="E100" s="321">
        <v>7.7519999999999998</v>
      </c>
      <c r="F100" s="321">
        <v>6.1840000000000002</v>
      </c>
      <c r="G100" s="321">
        <f>IF(D100&gt;0,VLOOKUP(D100,Tally!F:H,3,FALSE))</f>
        <v>12.482912831453826</v>
      </c>
      <c r="H100" s="409">
        <f t="shared" si="7"/>
        <v>1416.8220376397444</v>
      </c>
      <c r="I100" s="764">
        <f t="shared" si="5"/>
        <v>267.28539210728434</v>
      </c>
      <c r="J100" s="809">
        <v>15</v>
      </c>
      <c r="K100" s="435"/>
      <c r="L100" s="436"/>
      <c r="M100" s="437"/>
      <c r="N100" s="785"/>
      <c r="O100" s="766">
        <f t="shared" si="6"/>
        <v>20</v>
      </c>
      <c r="P100" s="329">
        <f t="shared" si="4"/>
        <v>1684.1074297470286</v>
      </c>
      <c r="Q100" s="76"/>
      <c r="R100" s="112"/>
      <c r="S100" s="75"/>
      <c r="T100" s="110"/>
    </row>
    <row r="101" spans="2:20" ht="18" customHeight="1">
      <c r="B101" s="918"/>
      <c r="C101" s="380" t="s">
        <v>371</v>
      </c>
      <c r="D101" s="756">
        <v>247</v>
      </c>
      <c r="E101" s="321">
        <v>7.7519999999999998</v>
      </c>
      <c r="F101" s="321">
        <v>6.1840000000000002</v>
      </c>
      <c r="G101" s="321">
        <f>IF(D101&gt;0,VLOOKUP(D101,Tally!F:H,3,FALSE))</f>
        <v>12.495104236513258</v>
      </c>
      <c r="H101" s="409">
        <f t="shared" si="7"/>
        <v>1404.3269334032311</v>
      </c>
      <c r="I101" s="764">
        <f t="shared" si="5"/>
        <v>279.78049634379761</v>
      </c>
      <c r="J101" s="809">
        <v>16</v>
      </c>
      <c r="K101" s="435"/>
      <c r="L101" s="436"/>
      <c r="M101" s="437"/>
      <c r="N101" s="785"/>
      <c r="O101" s="766">
        <f t="shared" si="6"/>
        <v>21</v>
      </c>
      <c r="P101" s="329">
        <f t="shared" si="4"/>
        <v>1684.1074297470286</v>
      </c>
      <c r="Q101" s="76"/>
      <c r="R101" s="112"/>
      <c r="S101" s="75"/>
      <c r="T101" s="110"/>
    </row>
    <row r="102" spans="2:20" ht="18">
      <c r="B102" s="918"/>
      <c r="C102" s="380" t="s">
        <v>372</v>
      </c>
      <c r="D102" s="756">
        <v>246</v>
      </c>
      <c r="E102" s="321">
        <v>7.7519999999999998</v>
      </c>
      <c r="F102" s="321">
        <v>6.1840000000000002</v>
      </c>
      <c r="G102" s="321">
        <f>IF(D102&gt;0,VLOOKUP(D102,Tally!F:H,3,FALSE))</f>
        <v>12.528630600426698</v>
      </c>
      <c r="H102" s="409">
        <f t="shared" si="7"/>
        <v>1391.7983028028045</v>
      </c>
      <c r="I102" s="764">
        <f t="shared" si="5"/>
        <v>292.30912694422432</v>
      </c>
      <c r="J102" s="809">
        <v>17</v>
      </c>
      <c r="K102" s="435"/>
      <c r="L102" s="436"/>
      <c r="M102" s="437"/>
      <c r="N102" s="785"/>
      <c r="O102" s="766">
        <f t="shared" si="6"/>
        <v>22</v>
      </c>
      <c r="P102" s="329">
        <f t="shared" si="4"/>
        <v>1684.1074297470288</v>
      </c>
      <c r="Q102" s="76"/>
      <c r="R102" s="112"/>
      <c r="S102" s="75"/>
      <c r="T102" s="110"/>
    </row>
    <row r="103" spans="2:20" ht="18">
      <c r="B103" s="918"/>
      <c r="C103" s="380" t="s">
        <v>373</v>
      </c>
      <c r="D103" s="756">
        <v>245</v>
      </c>
      <c r="E103" s="321">
        <v>7.7519999999999998</v>
      </c>
      <c r="F103" s="321">
        <v>6.1840000000000002</v>
      </c>
      <c r="G103" s="321">
        <f>IF(D103&gt;0,VLOOKUP(D103,Tally!F:H,3,FALSE))</f>
        <v>12.376238037183786</v>
      </c>
      <c r="H103" s="409">
        <f t="shared" si="7"/>
        <v>1379.4220647656207</v>
      </c>
      <c r="I103" s="795">
        <f t="shared" si="5"/>
        <v>304.6853649814081</v>
      </c>
      <c r="J103" s="809">
        <v>18</v>
      </c>
      <c r="K103" s="435"/>
      <c r="L103" s="436"/>
      <c r="M103" s="437"/>
      <c r="N103" s="785"/>
      <c r="O103" s="766">
        <f t="shared" si="6"/>
        <v>23</v>
      </c>
      <c r="P103" s="329">
        <f t="shared" si="4"/>
        <v>1684.1074297470288</v>
      </c>
      <c r="Q103" s="76"/>
      <c r="R103" s="112"/>
      <c r="S103" s="75"/>
      <c r="T103" s="110"/>
    </row>
    <row r="104" spans="2:20" ht="18.75" thickBot="1">
      <c r="B104" s="919"/>
      <c r="C104" s="689" t="s">
        <v>374</v>
      </c>
      <c r="D104" s="755">
        <v>244</v>
      </c>
      <c r="E104" s="426">
        <v>7.7519999999999998</v>
      </c>
      <c r="F104" s="426">
        <v>6.1840000000000002</v>
      </c>
      <c r="G104" s="426">
        <f>IF(D104&gt;0,VLOOKUP(D104,Tally!F:H,3,FALSE))</f>
        <v>12.568252666869856</v>
      </c>
      <c r="H104" s="409">
        <f t="shared" si="7"/>
        <v>1366.8538120987507</v>
      </c>
      <c r="I104" s="796">
        <f t="shared" si="5"/>
        <v>317.25361764827795</v>
      </c>
      <c r="J104" s="809">
        <v>19</v>
      </c>
      <c r="K104" s="435"/>
      <c r="L104" s="436"/>
      <c r="M104" s="437"/>
      <c r="N104" s="785"/>
      <c r="O104" s="766">
        <f t="shared" si="6"/>
        <v>24</v>
      </c>
      <c r="P104" s="329">
        <f t="shared" si="4"/>
        <v>1684.1074297470286</v>
      </c>
      <c r="Q104" s="76"/>
      <c r="R104" s="112"/>
      <c r="S104" s="75"/>
      <c r="T104" s="110"/>
    </row>
    <row r="105" spans="2:20" ht="18">
      <c r="B105" s="920" t="s">
        <v>310</v>
      </c>
      <c r="C105" s="688" t="s">
        <v>375</v>
      </c>
      <c r="D105" s="758">
        <v>243</v>
      </c>
      <c r="E105" s="387">
        <v>7.7519999999999998</v>
      </c>
      <c r="F105" s="387">
        <v>6.1840000000000002</v>
      </c>
      <c r="G105" s="705">
        <f>IF(D105&gt;0,VLOOKUP(D105,Tally!F:H,3,FALSE))</f>
        <v>12.537774154221275</v>
      </c>
      <c r="H105" s="409">
        <f t="shared" si="7"/>
        <v>1354.3160379445294</v>
      </c>
      <c r="I105" s="764">
        <f t="shared" si="5"/>
        <v>329.79139180249922</v>
      </c>
      <c r="J105" s="809">
        <v>20</v>
      </c>
      <c r="K105" s="435"/>
      <c r="L105" s="436"/>
      <c r="M105" s="437"/>
      <c r="N105" s="785"/>
      <c r="O105" s="766">
        <f t="shared" si="6"/>
        <v>25</v>
      </c>
      <c r="P105" s="329">
        <f t="shared" si="4"/>
        <v>1684.1074297470286</v>
      </c>
      <c r="Q105" s="76"/>
      <c r="R105" s="112"/>
      <c r="S105" s="75"/>
      <c r="T105" s="110"/>
    </row>
    <row r="106" spans="2:20" ht="18">
      <c r="B106" s="920"/>
      <c r="C106" s="380" t="s">
        <v>376</v>
      </c>
      <c r="D106" s="756">
        <v>242</v>
      </c>
      <c r="E106" s="321">
        <v>7.7519999999999998</v>
      </c>
      <c r="F106" s="321">
        <v>6.1840000000000002</v>
      </c>
      <c r="G106" s="693">
        <f>IF(D106&gt;0,VLOOKUP(D106,Tally!F:H,3,FALSE))</f>
        <v>12.284802499238038</v>
      </c>
      <c r="H106" s="409">
        <f t="shared" ref="H106:H169" si="11">H105-G106</f>
        <v>1342.0312354452913</v>
      </c>
      <c r="I106" s="764">
        <f t="shared" si="5"/>
        <v>342.07619430173725</v>
      </c>
      <c r="J106" s="809">
        <v>21</v>
      </c>
      <c r="K106" s="435"/>
      <c r="L106" s="436"/>
      <c r="M106" s="437"/>
      <c r="N106" s="785"/>
      <c r="O106" s="766">
        <f t="shared" si="6"/>
        <v>26</v>
      </c>
      <c r="P106" s="329">
        <f t="shared" ref="P106:P169" si="12">IF(H106&gt;0,H106+I106,"")</f>
        <v>1684.1074297470286</v>
      </c>
      <c r="Q106" s="76"/>
      <c r="R106" s="112"/>
      <c r="S106" s="75"/>
      <c r="T106" s="110"/>
    </row>
    <row r="107" spans="2:20" ht="18">
      <c r="B107" s="920"/>
      <c r="C107" s="380" t="s">
        <v>377</v>
      </c>
      <c r="D107" s="756">
        <v>241</v>
      </c>
      <c r="E107" s="321">
        <v>7.7519999999999998</v>
      </c>
      <c r="F107" s="321">
        <v>6.1840000000000002</v>
      </c>
      <c r="G107" s="693">
        <f>IF(D107&gt;0,VLOOKUP(D107,Tally!F:H,3,FALSE))</f>
        <v>11.477121914050596</v>
      </c>
      <c r="H107" s="409">
        <f t="shared" si="11"/>
        <v>1330.5541135312408</v>
      </c>
      <c r="I107" s="764">
        <f t="shared" si="5"/>
        <v>353.55331621578785</v>
      </c>
      <c r="J107" s="809">
        <v>22</v>
      </c>
      <c r="K107" s="435"/>
      <c r="L107" s="436"/>
      <c r="M107" s="437"/>
      <c r="N107" s="785"/>
      <c r="O107" s="766">
        <f t="shared" si="6"/>
        <v>27</v>
      </c>
      <c r="P107" s="329">
        <f t="shared" si="12"/>
        <v>1684.1074297470286</v>
      </c>
      <c r="Q107" s="76"/>
      <c r="R107" s="112"/>
      <c r="S107" s="75"/>
      <c r="T107" s="110"/>
    </row>
    <row r="108" spans="2:20" ht="18">
      <c r="B108" s="920"/>
      <c r="C108" s="380" t="s">
        <v>378</v>
      </c>
      <c r="D108" s="756">
        <v>240</v>
      </c>
      <c r="E108" s="321">
        <v>7.7519999999999998</v>
      </c>
      <c r="F108" s="321">
        <v>6.1840000000000002</v>
      </c>
      <c r="G108" s="693">
        <f>IF(D108&gt;0,VLOOKUP(D108,Tally!F:H,3,FALSE))</f>
        <v>12.421955806156658</v>
      </c>
      <c r="H108" s="409">
        <f t="shared" si="11"/>
        <v>1318.1321577250842</v>
      </c>
      <c r="I108" s="764">
        <f t="shared" si="5"/>
        <v>365.97527202194448</v>
      </c>
      <c r="J108" s="809">
        <v>23</v>
      </c>
      <c r="K108" s="435"/>
      <c r="L108" s="436"/>
      <c r="M108" s="437"/>
      <c r="N108" s="785"/>
      <c r="O108" s="766">
        <f t="shared" si="6"/>
        <v>28</v>
      </c>
      <c r="P108" s="329">
        <f t="shared" si="12"/>
        <v>1684.1074297470286</v>
      </c>
      <c r="Q108" s="76"/>
      <c r="R108" s="112"/>
      <c r="S108" s="75"/>
      <c r="T108" s="110"/>
    </row>
    <row r="109" spans="2:20" ht="18">
      <c r="B109" s="920"/>
      <c r="C109" s="380" t="s">
        <v>379</v>
      </c>
      <c r="D109" s="756">
        <v>239</v>
      </c>
      <c r="E109" s="321">
        <v>7.7519999999999998</v>
      </c>
      <c r="F109" s="321">
        <v>6.1840000000000002</v>
      </c>
      <c r="G109" s="693">
        <f>IF(D109&gt;0,VLOOKUP(D109,Tally!F:H,3,FALSE))</f>
        <v>12.690166717464187</v>
      </c>
      <c r="H109" s="409">
        <f t="shared" si="11"/>
        <v>1305.4419910076201</v>
      </c>
      <c r="I109" s="764">
        <f t="shared" si="5"/>
        <v>378.66543873940867</v>
      </c>
      <c r="J109" s="809">
        <v>24</v>
      </c>
      <c r="K109" s="435"/>
      <c r="L109" s="436"/>
      <c r="M109" s="437"/>
      <c r="N109" s="785"/>
      <c r="O109" s="766">
        <f t="shared" si="6"/>
        <v>29</v>
      </c>
      <c r="P109" s="329">
        <f t="shared" si="12"/>
        <v>1684.1074297470288</v>
      </c>
      <c r="Q109" s="76"/>
      <c r="R109" s="112"/>
      <c r="S109" s="75"/>
      <c r="T109" s="110"/>
    </row>
    <row r="110" spans="2:20" ht="18" customHeight="1">
      <c r="B110" s="920"/>
      <c r="C110" s="380" t="s">
        <v>380</v>
      </c>
      <c r="D110" s="756">
        <v>238</v>
      </c>
      <c r="E110" s="321">
        <v>7.7519999999999998</v>
      </c>
      <c r="F110" s="321">
        <v>6.1840000000000002</v>
      </c>
      <c r="G110" s="693">
        <f>IF(D110&gt;0,VLOOKUP(D110,Tally!F:H,3,FALSE))</f>
        <v>12.19031911002743</v>
      </c>
      <c r="H110" s="409">
        <f t="shared" si="11"/>
        <v>1293.2516718975926</v>
      </c>
      <c r="I110" s="796">
        <f t="shared" ref="I110:I201" si="13">I109+G110</f>
        <v>390.85575784943609</v>
      </c>
      <c r="J110" s="809">
        <v>25</v>
      </c>
      <c r="K110" s="435"/>
      <c r="L110" s="436"/>
      <c r="M110" s="437"/>
      <c r="N110" s="785"/>
      <c r="O110" s="766">
        <f t="shared" ref="O110:O173" si="14">IF(D110&gt;0,O109+1,O109)</f>
        <v>30</v>
      </c>
      <c r="P110" s="329">
        <f t="shared" si="12"/>
        <v>1684.1074297470286</v>
      </c>
      <c r="Q110" s="76"/>
      <c r="R110" s="112"/>
      <c r="S110" s="75"/>
      <c r="T110" s="110"/>
    </row>
    <row r="111" spans="2:20" ht="18">
      <c r="B111" s="920"/>
      <c r="C111" s="380" t="s">
        <v>381</v>
      </c>
      <c r="D111" s="756">
        <v>237</v>
      </c>
      <c r="E111" s="321">
        <v>7.7519999999999998</v>
      </c>
      <c r="F111" s="321">
        <v>6.1840000000000002</v>
      </c>
      <c r="G111" s="693">
        <f>IF(D111&gt;0,VLOOKUP(D111,Tally!F:H,3,FALSE))</f>
        <v>11.367399268515697</v>
      </c>
      <c r="H111" s="409">
        <f t="shared" si="11"/>
        <v>1281.8842726290768</v>
      </c>
      <c r="I111" s="764">
        <f t="shared" si="13"/>
        <v>402.22315711795181</v>
      </c>
      <c r="J111" s="809">
        <v>26</v>
      </c>
      <c r="K111" s="435"/>
      <c r="L111" s="436"/>
      <c r="M111" s="437"/>
      <c r="N111" s="785"/>
      <c r="O111" s="766">
        <f t="shared" si="14"/>
        <v>31</v>
      </c>
      <c r="P111" s="329">
        <f t="shared" si="12"/>
        <v>1684.1074297470286</v>
      </c>
      <c r="Q111" s="76"/>
      <c r="R111" s="112"/>
      <c r="S111" s="75"/>
      <c r="T111" s="110"/>
    </row>
    <row r="112" spans="2:20" ht="18">
      <c r="B112" s="920"/>
      <c r="C112" s="380" t="s">
        <v>382</v>
      </c>
      <c r="D112" s="756">
        <v>236</v>
      </c>
      <c r="E112" s="321">
        <v>7.7519999999999998</v>
      </c>
      <c r="F112" s="321">
        <v>6.1840000000000002</v>
      </c>
      <c r="G112" s="693">
        <f>IF(D112&gt;0,VLOOKUP(D112,Tally!F:H,3,FALSE))</f>
        <v>12.461577872599817</v>
      </c>
      <c r="H112" s="409">
        <f t="shared" si="11"/>
        <v>1269.4226947564771</v>
      </c>
      <c r="I112" s="764">
        <f t="shared" si="13"/>
        <v>414.68473499055165</v>
      </c>
      <c r="J112" s="809">
        <v>27</v>
      </c>
      <c r="K112" s="435"/>
      <c r="L112" s="436"/>
      <c r="M112" s="437"/>
      <c r="N112" s="785"/>
      <c r="O112" s="766">
        <f t="shared" si="14"/>
        <v>32</v>
      </c>
      <c r="P112" s="329">
        <f t="shared" si="12"/>
        <v>1684.1074297470286</v>
      </c>
      <c r="Q112" s="76"/>
      <c r="R112" s="112"/>
      <c r="S112" s="75"/>
      <c r="T112" s="110"/>
    </row>
    <row r="113" spans="2:20" ht="18.75" thickBot="1">
      <c r="B113" s="920"/>
      <c r="C113" s="690" t="s">
        <v>383</v>
      </c>
      <c r="D113" s="759">
        <v>235</v>
      </c>
      <c r="E113" s="386">
        <v>7.7519999999999998</v>
      </c>
      <c r="F113" s="386">
        <v>6.1840000000000002</v>
      </c>
      <c r="G113" s="709">
        <f>IF(D113&gt;0,VLOOKUP(D113,Tally!F:H,3,FALSE))</f>
        <v>12.345759524535202</v>
      </c>
      <c r="H113" s="409">
        <f t="shared" si="11"/>
        <v>1257.0769352319419</v>
      </c>
      <c r="I113" s="764">
        <f t="shared" si="13"/>
        <v>427.03049451508684</v>
      </c>
      <c r="J113" s="809">
        <v>28</v>
      </c>
      <c r="K113" s="435"/>
      <c r="L113" s="436"/>
      <c r="M113" s="437"/>
      <c r="N113" s="785"/>
      <c r="O113" s="766">
        <f t="shared" si="14"/>
        <v>33</v>
      </c>
      <c r="P113" s="329">
        <f t="shared" si="12"/>
        <v>1684.1074297470286</v>
      </c>
      <c r="Q113" s="76"/>
      <c r="R113" s="112"/>
      <c r="S113" s="75"/>
      <c r="T113" s="110"/>
    </row>
    <row r="114" spans="2:20" ht="18">
      <c r="B114" s="896" t="s">
        <v>309</v>
      </c>
      <c r="C114" s="691" t="s">
        <v>384</v>
      </c>
      <c r="D114" s="757">
        <v>234</v>
      </c>
      <c r="E114" s="422">
        <v>7.7519999999999998</v>
      </c>
      <c r="F114" s="422">
        <v>6.1840000000000002</v>
      </c>
      <c r="G114" s="422">
        <f>IF(D114&gt;0,VLOOKUP(D114,Tally!F:H,3,FALSE))</f>
        <v>12.327472416946053</v>
      </c>
      <c r="H114" s="409">
        <f t="shared" si="11"/>
        <v>1244.7494628149959</v>
      </c>
      <c r="I114" s="764">
        <f t="shared" si="13"/>
        <v>439.35796693203292</v>
      </c>
      <c r="J114" s="809">
        <v>29</v>
      </c>
      <c r="K114" s="435"/>
      <c r="L114" s="436"/>
      <c r="M114" s="437"/>
      <c r="N114" s="785"/>
      <c r="O114" s="766">
        <f t="shared" si="14"/>
        <v>34</v>
      </c>
      <c r="P114" s="329">
        <f t="shared" si="12"/>
        <v>1684.1074297470288</v>
      </c>
      <c r="Q114" s="76"/>
      <c r="R114" s="112"/>
      <c r="S114" s="75"/>
      <c r="T114" s="110"/>
    </row>
    <row r="115" spans="2:20" ht="18">
      <c r="B115" s="897"/>
      <c r="C115" s="380" t="s">
        <v>385</v>
      </c>
      <c r="D115" s="756">
        <v>233</v>
      </c>
      <c r="E115" s="321">
        <v>7.7519999999999998</v>
      </c>
      <c r="F115" s="321">
        <v>6.1840000000000002</v>
      </c>
      <c r="G115" s="321">
        <f>IF(D115&gt;0,VLOOKUP(D115,Tally!F:H,3,FALSE))</f>
        <v>12.437195062480951</v>
      </c>
      <c r="H115" s="409">
        <f t="shared" si="11"/>
        <v>1232.312267752515</v>
      </c>
      <c r="I115" s="764">
        <f t="shared" si="13"/>
        <v>451.79516199451388</v>
      </c>
      <c r="J115" s="809">
        <v>30</v>
      </c>
      <c r="K115" s="435"/>
      <c r="L115" s="436"/>
      <c r="M115" s="437"/>
      <c r="N115" s="785"/>
      <c r="O115" s="766">
        <f t="shared" si="14"/>
        <v>35</v>
      </c>
      <c r="P115" s="329">
        <f t="shared" si="12"/>
        <v>1684.1074297470288</v>
      </c>
      <c r="Q115" s="76"/>
      <c r="R115" s="112"/>
      <c r="S115" s="75"/>
      <c r="T115" s="110"/>
    </row>
    <row r="116" spans="2:20" ht="18">
      <c r="B116" s="897"/>
      <c r="C116" s="380" t="s">
        <v>386</v>
      </c>
      <c r="D116" s="756">
        <v>232</v>
      </c>
      <c r="E116" s="321">
        <v>7.7519999999999998</v>
      </c>
      <c r="F116" s="321">
        <v>6.1840000000000002</v>
      </c>
      <c r="G116" s="321">
        <f>IF(D116&gt;0,VLOOKUP(D116,Tally!F:H,3,FALSE))</f>
        <v>12.543869856750991</v>
      </c>
      <c r="H116" s="409">
        <f t="shared" si="11"/>
        <v>1219.7683978957641</v>
      </c>
      <c r="I116" s="764">
        <f t="shared" si="13"/>
        <v>464.33903185126485</v>
      </c>
      <c r="J116" s="809">
        <v>31</v>
      </c>
      <c r="K116" s="435"/>
      <c r="L116" s="436"/>
      <c r="M116" s="437"/>
      <c r="N116" s="785"/>
      <c r="O116" s="766">
        <f t="shared" si="14"/>
        <v>36</v>
      </c>
      <c r="P116" s="329">
        <f t="shared" si="12"/>
        <v>1684.1074297470291</v>
      </c>
      <c r="Q116" s="76"/>
      <c r="R116" s="112"/>
      <c r="S116" s="75"/>
      <c r="T116" s="110"/>
    </row>
    <row r="117" spans="2:20" ht="18">
      <c r="B117" s="897"/>
      <c r="C117" s="380" t="s">
        <v>387</v>
      </c>
      <c r="D117" s="756">
        <v>231</v>
      </c>
      <c r="E117" s="321">
        <v>7.7519999999999998</v>
      </c>
      <c r="F117" s="321">
        <v>6.1840000000000002</v>
      </c>
      <c r="G117" s="321">
        <f>IF(D117&gt;0,VLOOKUP(D117,Tally!F:H,3,FALSE))</f>
        <v>12.17507985370314</v>
      </c>
      <c r="H117" s="409">
        <f t="shared" si="11"/>
        <v>1207.5933180420609</v>
      </c>
      <c r="I117" s="764">
        <f t="shared" si="13"/>
        <v>476.514111704968</v>
      </c>
      <c r="J117" s="809">
        <v>32</v>
      </c>
      <c r="K117" s="435"/>
      <c r="L117" s="436"/>
      <c r="M117" s="437"/>
      <c r="N117" s="785"/>
      <c r="O117" s="766">
        <f t="shared" si="14"/>
        <v>37</v>
      </c>
      <c r="P117" s="329">
        <f t="shared" si="12"/>
        <v>1684.1074297470288</v>
      </c>
      <c r="Q117" s="76"/>
      <c r="R117" s="112"/>
      <c r="S117" s="75"/>
      <c r="T117" s="110"/>
    </row>
    <row r="118" spans="2:20" s="246" customFormat="1" ht="18">
      <c r="B118" s="897"/>
      <c r="C118" s="380" t="s">
        <v>388</v>
      </c>
      <c r="D118" s="756">
        <v>230</v>
      </c>
      <c r="E118" s="321">
        <v>7.7519999999999998</v>
      </c>
      <c r="F118" s="321">
        <v>6.1840000000000002</v>
      </c>
      <c r="G118" s="321">
        <f>IF(D118&gt;0,VLOOKUP(D118,Tally!F:H,3,FALSE))</f>
        <v>12.498152087778115</v>
      </c>
      <c r="H118" s="409">
        <f t="shared" si="11"/>
        <v>1195.0951659542827</v>
      </c>
      <c r="I118" s="764">
        <f t="shared" si="13"/>
        <v>489.01226379274613</v>
      </c>
      <c r="J118" s="809">
        <v>33</v>
      </c>
      <c r="K118" s="435"/>
      <c r="L118" s="436"/>
      <c r="M118" s="437"/>
      <c r="N118" s="785"/>
      <c r="O118" s="766">
        <f t="shared" si="14"/>
        <v>38</v>
      </c>
      <c r="P118" s="329">
        <f t="shared" si="12"/>
        <v>1684.1074297470288</v>
      </c>
      <c r="Q118" s="242"/>
      <c r="R118" s="243"/>
      <c r="S118" s="244"/>
      <c r="T118" s="245"/>
    </row>
    <row r="119" spans="2:20" ht="18">
      <c r="B119" s="897"/>
      <c r="C119" s="380" t="s">
        <v>389</v>
      </c>
      <c r="D119" s="756">
        <v>229</v>
      </c>
      <c r="E119" s="387">
        <v>7.7519999999999998</v>
      </c>
      <c r="F119" s="387">
        <v>6.1840000000000002</v>
      </c>
      <c r="G119" s="387">
        <f>IF(D119&gt;0,VLOOKUP(D119,Tally!F:H,3,FALSE))</f>
        <v>12.546917708015849</v>
      </c>
      <c r="H119" s="409">
        <f t="shared" si="11"/>
        <v>1182.5482482462669</v>
      </c>
      <c r="I119" s="764">
        <f t="shared" si="13"/>
        <v>501.55918150076195</v>
      </c>
      <c r="J119" s="809">
        <v>34</v>
      </c>
      <c r="K119" s="435"/>
      <c r="L119" s="436"/>
      <c r="M119" s="437"/>
      <c r="N119" s="785"/>
      <c r="O119" s="766">
        <f t="shared" si="14"/>
        <v>39</v>
      </c>
      <c r="P119" s="329">
        <f t="shared" si="12"/>
        <v>1684.1074297470288</v>
      </c>
      <c r="Q119" s="76"/>
      <c r="R119" s="112"/>
      <c r="S119" s="75"/>
      <c r="T119" s="110"/>
    </row>
    <row r="120" spans="2:20" ht="18">
      <c r="B120" s="897"/>
      <c r="C120" s="380" t="s">
        <v>390</v>
      </c>
      <c r="D120" s="756">
        <v>228</v>
      </c>
      <c r="E120" s="321">
        <v>7.7519999999999998</v>
      </c>
      <c r="F120" s="321">
        <v>6.1840000000000002</v>
      </c>
      <c r="G120" s="321">
        <f>IF(D120&gt;0,VLOOKUP(D120,Tally!F:H,3,FALSE))</f>
        <v>11.952586711368484</v>
      </c>
      <c r="H120" s="409">
        <f t="shared" si="11"/>
        <v>1170.5956615348985</v>
      </c>
      <c r="I120" s="764">
        <f t="shared" si="13"/>
        <v>513.51176821213039</v>
      </c>
      <c r="J120" s="809">
        <v>35</v>
      </c>
      <c r="K120" s="435"/>
      <c r="L120" s="436"/>
      <c r="M120" s="437"/>
      <c r="N120" s="785"/>
      <c r="O120" s="766">
        <f t="shared" si="14"/>
        <v>40</v>
      </c>
      <c r="P120" s="329">
        <f t="shared" si="12"/>
        <v>1684.1074297470288</v>
      </c>
      <c r="Q120" s="76"/>
      <c r="R120" s="112"/>
      <c r="S120" s="75"/>
      <c r="T120" s="110"/>
    </row>
    <row r="121" spans="2:20" ht="18">
      <c r="B121" s="897"/>
      <c r="C121" s="380" t="s">
        <v>391</v>
      </c>
      <c r="D121" s="756">
        <v>227</v>
      </c>
      <c r="E121" s="321">
        <v>7.7519999999999998</v>
      </c>
      <c r="F121" s="321">
        <v>6.1840000000000002</v>
      </c>
      <c r="G121" s="321">
        <f>IF(D121&gt;0,VLOOKUP(D121,Tally!F:H,3,FALSE))</f>
        <v>12.415860103626944</v>
      </c>
      <c r="H121" s="409">
        <f t="shared" si="11"/>
        <v>1158.1798014312715</v>
      </c>
      <c r="I121" s="764">
        <f t="shared" si="13"/>
        <v>525.92762831575737</v>
      </c>
      <c r="J121" s="809">
        <v>36</v>
      </c>
      <c r="K121" s="435"/>
      <c r="L121" s="436"/>
      <c r="M121" s="437"/>
      <c r="N121" s="785"/>
      <c r="O121" s="766">
        <f t="shared" si="14"/>
        <v>41</v>
      </c>
      <c r="P121" s="329">
        <f t="shared" si="12"/>
        <v>1684.1074297470288</v>
      </c>
      <c r="Q121" s="76"/>
      <c r="R121" s="112"/>
      <c r="S121" s="75"/>
      <c r="T121" s="110"/>
    </row>
    <row r="122" spans="2:20" ht="18.75" thickBot="1">
      <c r="B122" s="898"/>
      <c r="C122" s="689" t="s">
        <v>392</v>
      </c>
      <c r="D122" s="755">
        <v>226</v>
      </c>
      <c r="E122" s="426">
        <v>7.7519999999999998</v>
      </c>
      <c r="F122" s="426">
        <v>6.1840000000000002</v>
      </c>
      <c r="G122" s="426">
        <f>IF(D122&gt;0,VLOOKUP(D122,Tally!F:H,3,FALSE))</f>
        <v>12.12326638220055</v>
      </c>
      <c r="H122" s="409">
        <f t="shared" si="11"/>
        <v>1146.0565350490708</v>
      </c>
      <c r="I122" s="764">
        <f t="shared" si="13"/>
        <v>538.05089469795792</v>
      </c>
      <c r="J122" s="809">
        <v>37</v>
      </c>
      <c r="K122" s="435"/>
      <c r="L122" s="436"/>
      <c r="M122" s="437"/>
      <c r="N122" s="785"/>
      <c r="O122" s="766">
        <f t="shared" si="14"/>
        <v>42</v>
      </c>
      <c r="P122" s="329">
        <f t="shared" si="12"/>
        <v>1684.1074297470286</v>
      </c>
      <c r="Q122" s="76"/>
      <c r="R122" s="112"/>
      <c r="S122" s="75"/>
      <c r="T122" s="110"/>
    </row>
    <row r="123" spans="2:20" ht="18">
      <c r="B123" s="895" t="s">
        <v>314</v>
      </c>
      <c r="C123" s="688" t="s">
        <v>393</v>
      </c>
      <c r="D123" s="758">
        <v>225</v>
      </c>
      <c r="E123" s="387">
        <v>7.7519999999999998</v>
      </c>
      <c r="F123" s="387">
        <v>6.1840000000000002</v>
      </c>
      <c r="G123" s="705">
        <f>IF(D123&gt;0,VLOOKUP(D123,Tally!F:H,3,FALSE))</f>
        <v>12.671879609875038</v>
      </c>
      <c r="H123" s="409">
        <f t="shared" si="11"/>
        <v>1133.3846554391957</v>
      </c>
      <c r="I123" s="764">
        <f t="shared" si="13"/>
        <v>550.72277430783299</v>
      </c>
      <c r="J123" s="809">
        <v>38</v>
      </c>
      <c r="K123" s="435"/>
      <c r="L123" s="436"/>
      <c r="M123" s="437"/>
      <c r="N123" s="785"/>
      <c r="O123" s="766">
        <f t="shared" si="14"/>
        <v>43</v>
      </c>
      <c r="P123" s="329">
        <f t="shared" si="12"/>
        <v>1684.1074297470286</v>
      </c>
      <c r="Q123" s="76"/>
      <c r="R123" s="112"/>
      <c r="S123" s="75"/>
      <c r="T123" s="110"/>
    </row>
    <row r="124" spans="2:20" ht="18">
      <c r="B124" s="895"/>
      <c r="C124" s="380" t="s">
        <v>394</v>
      </c>
      <c r="D124" s="756">
        <v>224</v>
      </c>
      <c r="E124" s="321">
        <v>7.7519999999999998</v>
      </c>
      <c r="F124" s="321">
        <v>6.1840000000000002</v>
      </c>
      <c r="G124" s="693">
        <f>IF(D124&gt;0,VLOOKUP(D124,Tally!F:H,3,FALSE))</f>
        <v>12.467673575129535</v>
      </c>
      <c r="H124" s="409">
        <f t="shared" si="11"/>
        <v>1120.9169818640662</v>
      </c>
      <c r="I124" s="764">
        <f t="shared" si="13"/>
        <v>563.19044788296253</v>
      </c>
      <c r="J124" s="809">
        <v>39</v>
      </c>
      <c r="K124" s="435"/>
      <c r="L124" s="436"/>
      <c r="M124" s="437"/>
      <c r="N124" s="785"/>
      <c r="O124" s="766">
        <f t="shared" si="14"/>
        <v>44</v>
      </c>
      <c r="P124" s="329">
        <f t="shared" si="12"/>
        <v>1684.1074297470286</v>
      </c>
      <c r="Q124" s="76"/>
      <c r="R124" s="112"/>
      <c r="S124" s="75"/>
      <c r="T124" s="110"/>
    </row>
    <row r="125" spans="2:20" ht="18">
      <c r="B125" s="895"/>
      <c r="C125" s="380" t="s">
        <v>395</v>
      </c>
      <c r="D125" s="756">
        <v>223</v>
      </c>
      <c r="E125" s="321">
        <v>7.7519999999999998</v>
      </c>
      <c r="F125" s="321">
        <v>6.1840000000000002</v>
      </c>
      <c r="G125" s="693">
        <f>IF(D125&gt;0,VLOOKUP(D125,Tally!F:H,3,FALSE))</f>
        <v>12.623113989637305</v>
      </c>
      <c r="H125" s="409">
        <f t="shared" si="11"/>
        <v>1108.293867874429</v>
      </c>
      <c r="I125" s="764">
        <f t="shared" si="13"/>
        <v>575.81356187259985</v>
      </c>
      <c r="J125" s="809">
        <v>40</v>
      </c>
      <c r="K125" s="435"/>
      <c r="L125" s="436"/>
      <c r="M125" s="437"/>
      <c r="N125" s="785"/>
      <c r="O125" s="766">
        <f t="shared" si="14"/>
        <v>45</v>
      </c>
      <c r="P125" s="329">
        <f t="shared" si="12"/>
        <v>1684.1074297470288</v>
      </c>
      <c r="Q125" s="76"/>
      <c r="R125" s="112"/>
      <c r="S125" s="75"/>
      <c r="T125" s="110"/>
    </row>
    <row r="126" spans="2:20" ht="18">
      <c r="B126" s="895"/>
      <c r="C126" s="380" t="s">
        <v>396</v>
      </c>
      <c r="D126" s="756">
        <v>222</v>
      </c>
      <c r="E126" s="321">
        <v>7.7519999999999998</v>
      </c>
      <c r="F126" s="321">
        <v>6.1840000000000002</v>
      </c>
      <c r="G126" s="693">
        <f>IF(D126&gt;0,VLOOKUP(D126,Tally!F:H,3,FALSE))</f>
        <v>12.330520268210911</v>
      </c>
      <c r="H126" s="409">
        <f t="shared" si="11"/>
        <v>1095.9633476062181</v>
      </c>
      <c r="I126" s="764">
        <f t="shared" si="13"/>
        <v>588.14408214081072</v>
      </c>
      <c r="J126" s="809">
        <v>41</v>
      </c>
      <c r="K126" s="435"/>
      <c r="L126" s="436"/>
      <c r="M126" s="437"/>
      <c r="N126" s="785"/>
      <c r="O126" s="766">
        <f t="shared" si="14"/>
        <v>46</v>
      </c>
      <c r="P126" s="329">
        <f t="shared" si="12"/>
        <v>1684.1074297470288</v>
      </c>
      <c r="Q126" s="76"/>
      <c r="R126" s="112"/>
      <c r="S126" s="75"/>
      <c r="T126" s="110"/>
    </row>
    <row r="127" spans="2:20" ht="18">
      <c r="B127" s="895"/>
      <c r="C127" s="380" t="s">
        <v>397</v>
      </c>
      <c r="D127" s="756">
        <v>221</v>
      </c>
      <c r="E127" s="321">
        <v>7.7519999999999998</v>
      </c>
      <c r="F127" s="321">
        <v>6.1840000000000002</v>
      </c>
      <c r="G127" s="693">
        <f>IF(D127&gt;0,VLOOKUP(D127,Tally!F:H,3,FALSE))</f>
        <v>12.440242913745809</v>
      </c>
      <c r="H127" s="409">
        <f t="shared" si="11"/>
        <v>1083.5231046924723</v>
      </c>
      <c r="I127" s="764">
        <f t="shared" si="13"/>
        <v>600.58432505455653</v>
      </c>
      <c r="J127" s="809">
        <v>42</v>
      </c>
      <c r="K127" s="435"/>
      <c r="L127" s="436"/>
      <c r="M127" s="437"/>
      <c r="N127" s="785"/>
      <c r="O127" s="766">
        <f t="shared" si="14"/>
        <v>47</v>
      </c>
      <c r="P127" s="329">
        <f t="shared" si="12"/>
        <v>1684.1074297470288</v>
      </c>
      <c r="Q127" s="76"/>
      <c r="R127" s="112"/>
      <c r="S127" s="75"/>
      <c r="T127" s="110"/>
    </row>
    <row r="128" spans="2:20" ht="18">
      <c r="B128" s="895"/>
      <c r="C128" s="380" t="s">
        <v>398</v>
      </c>
      <c r="D128" s="756">
        <v>220</v>
      </c>
      <c r="E128" s="321">
        <v>7.7519999999999998</v>
      </c>
      <c r="F128" s="321">
        <v>6.1840000000000002</v>
      </c>
      <c r="G128" s="693">
        <f>IF(D128&gt;0,VLOOKUP(D128,Tally!F:H,3,FALSE))</f>
        <v>12.4189079548918</v>
      </c>
      <c r="H128" s="409">
        <f t="shared" si="11"/>
        <v>1071.1041967375804</v>
      </c>
      <c r="I128" s="764">
        <f t="shared" si="13"/>
        <v>613.00323300944831</v>
      </c>
      <c r="J128" s="809">
        <v>43</v>
      </c>
      <c r="K128" s="435"/>
      <c r="L128" s="436"/>
      <c r="M128" s="437"/>
      <c r="N128" s="785"/>
      <c r="O128" s="766">
        <f t="shared" si="14"/>
        <v>48</v>
      </c>
      <c r="P128" s="329">
        <f t="shared" si="12"/>
        <v>1684.1074297470286</v>
      </c>
      <c r="Q128" s="76"/>
      <c r="R128" s="112"/>
      <c r="S128" s="75"/>
      <c r="T128" s="110"/>
    </row>
    <row r="129" spans="2:20" ht="18">
      <c r="B129" s="895"/>
      <c r="C129" s="380" t="s">
        <v>399</v>
      </c>
      <c r="D129" s="756">
        <v>219</v>
      </c>
      <c r="E129" s="321">
        <v>7.7519999999999998</v>
      </c>
      <c r="F129" s="321">
        <v>6.1840000000000002</v>
      </c>
      <c r="G129" s="693">
        <f>IF(D129&gt;0,VLOOKUP(D129,Tally!F:H,3,FALSE))</f>
        <v>12.553013410545567</v>
      </c>
      <c r="H129" s="409">
        <f t="shared" si="11"/>
        <v>1058.5511833270348</v>
      </c>
      <c r="I129" s="764">
        <f t="shared" si="13"/>
        <v>625.55624641999384</v>
      </c>
      <c r="J129" s="809">
        <v>44</v>
      </c>
      <c r="K129" s="435"/>
      <c r="L129" s="436"/>
      <c r="M129" s="437"/>
      <c r="N129" s="785"/>
      <c r="O129" s="766">
        <f t="shared" si="14"/>
        <v>49</v>
      </c>
      <c r="P129" s="329">
        <f t="shared" si="12"/>
        <v>1684.1074297470286</v>
      </c>
      <c r="Q129" s="76"/>
      <c r="R129" s="112"/>
      <c r="S129" s="75"/>
      <c r="T129" s="110"/>
    </row>
    <row r="130" spans="2:20" ht="18">
      <c r="B130" s="895"/>
      <c r="C130" s="380" t="s">
        <v>400</v>
      </c>
      <c r="D130" s="756">
        <v>218</v>
      </c>
      <c r="E130" s="321">
        <v>7.7519999999999998</v>
      </c>
      <c r="F130" s="321">
        <v>6.1840000000000002</v>
      </c>
      <c r="G130" s="693">
        <f>IF(D130&gt;0,VLOOKUP(D130,Tally!F:H,3,FALSE))</f>
        <v>11.992208777811642</v>
      </c>
      <c r="H130" s="409">
        <f t="shared" si="11"/>
        <v>1046.5589745492232</v>
      </c>
      <c r="I130" s="764">
        <f t="shared" si="13"/>
        <v>637.54845519780554</v>
      </c>
      <c r="J130" s="809">
        <v>45</v>
      </c>
      <c r="K130" s="435"/>
      <c r="L130" s="436"/>
      <c r="M130" s="437"/>
      <c r="N130" s="785"/>
      <c r="O130" s="766">
        <f t="shared" si="14"/>
        <v>50</v>
      </c>
      <c r="P130" s="329">
        <f t="shared" si="12"/>
        <v>1684.1074297470286</v>
      </c>
      <c r="Q130" s="76"/>
      <c r="R130" s="112"/>
      <c r="S130" s="75"/>
      <c r="T130" s="110"/>
    </row>
    <row r="131" spans="2:20" ht="18.75" thickBot="1">
      <c r="B131" s="895"/>
      <c r="C131" s="690" t="s">
        <v>401</v>
      </c>
      <c r="D131" s="759">
        <v>217</v>
      </c>
      <c r="E131" s="386">
        <v>7.7519999999999998</v>
      </c>
      <c r="F131" s="386">
        <v>6.1840000000000002</v>
      </c>
      <c r="G131" s="709">
        <f>IF(D131&gt;0,VLOOKUP(D131,Tally!F:H,3,FALSE))</f>
        <v>12.117170679670831</v>
      </c>
      <c r="H131" s="409">
        <f t="shared" si="11"/>
        <v>1034.4418038695524</v>
      </c>
      <c r="I131" s="764">
        <f t="shared" si="13"/>
        <v>649.66562587747637</v>
      </c>
      <c r="J131" s="809">
        <v>46</v>
      </c>
      <c r="K131" s="435"/>
      <c r="L131" s="436"/>
      <c r="M131" s="437"/>
      <c r="N131" s="785"/>
      <c r="O131" s="766">
        <f t="shared" si="14"/>
        <v>51</v>
      </c>
      <c r="P131" s="329">
        <f t="shared" si="12"/>
        <v>1684.1074297470286</v>
      </c>
      <c r="Q131" s="76"/>
      <c r="R131" s="112"/>
      <c r="S131" s="75"/>
      <c r="T131" s="110"/>
    </row>
    <row r="132" spans="2:20" ht="18">
      <c r="B132" s="896" t="s">
        <v>315</v>
      </c>
      <c r="C132" s="691" t="s">
        <v>402</v>
      </c>
      <c r="D132" s="757">
        <v>216</v>
      </c>
      <c r="E132" s="422">
        <v>7.7519999999999998</v>
      </c>
      <c r="F132" s="422">
        <v>6.1840000000000002</v>
      </c>
      <c r="G132" s="422">
        <f>IF(D132&gt;0,VLOOKUP(D132,Tally!F:H,3,FALSE))</f>
        <v>12.498152087778115</v>
      </c>
      <c r="H132" s="409">
        <f t="shared" si="11"/>
        <v>1021.9436517817743</v>
      </c>
      <c r="I132" s="764">
        <f t="shared" si="13"/>
        <v>662.16377796525444</v>
      </c>
      <c r="J132" s="809">
        <v>47</v>
      </c>
      <c r="K132" s="435"/>
      <c r="L132" s="436"/>
      <c r="M132" s="437"/>
      <c r="N132" s="785"/>
      <c r="O132" s="766">
        <f t="shared" si="14"/>
        <v>52</v>
      </c>
      <c r="P132" s="329">
        <f t="shared" si="12"/>
        <v>1684.1074297470286</v>
      </c>
      <c r="Q132" s="76"/>
      <c r="R132" s="112"/>
      <c r="S132" s="75"/>
      <c r="T132" s="110"/>
    </row>
    <row r="133" spans="2:20" ht="18">
      <c r="B133" s="897"/>
      <c r="C133" s="380" t="s">
        <v>403</v>
      </c>
      <c r="D133" s="756">
        <v>215</v>
      </c>
      <c r="E133" s="321">
        <v>7.7519999999999998</v>
      </c>
      <c r="F133" s="321">
        <v>6.1840000000000002</v>
      </c>
      <c r="G133" s="321">
        <f>IF(D133&gt;0,VLOOKUP(D133,Tally!F:H,3,FALSE))</f>
        <v>12.467673575129535</v>
      </c>
      <c r="H133" s="409">
        <f t="shared" si="11"/>
        <v>1009.4759782066448</v>
      </c>
      <c r="I133" s="764">
        <f t="shared" si="13"/>
        <v>674.63145154038398</v>
      </c>
      <c r="J133" s="809">
        <v>48</v>
      </c>
      <c r="K133" s="435"/>
      <c r="L133" s="436"/>
      <c r="M133" s="437"/>
      <c r="N133" s="785"/>
      <c r="O133" s="766">
        <f t="shared" si="14"/>
        <v>53</v>
      </c>
      <c r="P133" s="329">
        <f t="shared" si="12"/>
        <v>1684.1074297470286</v>
      </c>
      <c r="Q133" s="76"/>
      <c r="R133" s="112"/>
      <c r="S133" s="75"/>
      <c r="T133" s="110"/>
    </row>
    <row r="134" spans="2:20" ht="18">
      <c r="B134" s="897"/>
      <c r="C134" s="380" t="s">
        <v>404</v>
      </c>
      <c r="D134" s="756">
        <v>214</v>
      </c>
      <c r="E134" s="321">
        <v>7.7519999999999998</v>
      </c>
      <c r="F134" s="321">
        <v>6.1840000000000002</v>
      </c>
      <c r="G134" s="321">
        <f>IF(D134&gt;0,VLOOKUP(D134,Tally!F:H,3,FALSE))</f>
        <v>12.239084730265164</v>
      </c>
      <c r="H134" s="409">
        <f t="shared" si="11"/>
        <v>997.23689347637958</v>
      </c>
      <c r="I134" s="764">
        <f t="shared" si="13"/>
        <v>686.87053627064915</v>
      </c>
      <c r="J134" s="809">
        <v>49</v>
      </c>
      <c r="K134" s="435"/>
      <c r="L134" s="436"/>
      <c r="M134" s="437"/>
      <c r="N134" s="785"/>
      <c r="O134" s="766">
        <f t="shared" si="14"/>
        <v>54</v>
      </c>
      <c r="P134" s="329">
        <f t="shared" si="12"/>
        <v>1684.1074297470286</v>
      </c>
      <c r="Q134" s="76"/>
      <c r="R134" s="112"/>
      <c r="S134" s="75"/>
      <c r="T134" s="110"/>
    </row>
    <row r="135" spans="2:20" ht="18">
      <c r="B135" s="897"/>
      <c r="C135" s="380" t="s">
        <v>405</v>
      </c>
      <c r="D135" s="756">
        <v>213</v>
      </c>
      <c r="E135" s="321">
        <v>7.7519999999999998</v>
      </c>
      <c r="F135" s="321">
        <v>6.1840000000000002</v>
      </c>
      <c r="G135" s="321">
        <f>IF(D135&gt;0,VLOOKUP(D135,Tally!F:H,3,FALSE))</f>
        <v>12.464625723864675</v>
      </c>
      <c r="H135" s="409">
        <f t="shared" si="11"/>
        <v>984.77226775251495</v>
      </c>
      <c r="I135" s="764">
        <f t="shared" si="13"/>
        <v>699.33516199451378</v>
      </c>
      <c r="J135" s="809">
        <v>50</v>
      </c>
      <c r="K135" s="435"/>
      <c r="L135" s="436"/>
      <c r="M135" s="437"/>
      <c r="N135" s="785"/>
      <c r="O135" s="766">
        <f t="shared" si="14"/>
        <v>55</v>
      </c>
      <c r="P135" s="329">
        <f t="shared" si="12"/>
        <v>1684.1074297470286</v>
      </c>
      <c r="Q135" s="76"/>
      <c r="R135" s="112"/>
      <c r="S135" s="75"/>
      <c r="T135" s="110"/>
    </row>
    <row r="136" spans="2:20" ht="18">
      <c r="B136" s="897"/>
      <c r="C136" s="380" t="s">
        <v>406</v>
      </c>
      <c r="D136" s="756">
        <v>212</v>
      </c>
      <c r="E136" s="321">
        <v>7.7519999999999998</v>
      </c>
      <c r="F136" s="321">
        <v>6.1840000000000002</v>
      </c>
      <c r="G136" s="321">
        <f>IF(D136&gt;0,VLOOKUP(D136,Tally!F:H,3,FALSE))</f>
        <v>12.153744894849131</v>
      </c>
      <c r="H136" s="409">
        <f t="shared" si="11"/>
        <v>972.61852285766577</v>
      </c>
      <c r="I136" s="764">
        <f t="shared" si="13"/>
        <v>711.48890688936297</v>
      </c>
      <c r="J136" s="809">
        <v>51</v>
      </c>
      <c r="K136" s="435"/>
      <c r="L136" s="436"/>
      <c r="M136" s="437"/>
      <c r="N136" s="785"/>
      <c r="O136" s="766">
        <f t="shared" si="14"/>
        <v>56</v>
      </c>
      <c r="P136" s="329">
        <f t="shared" si="12"/>
        <v>1684.1074297470286</v>
      </c>
      <c r="Q136" s="76"/>
      <c r="R136" s="112"/>
      <c r="S136" s="75"/>
      <c r="T136" s="110"/>
    </row>
    <row r="137" spans="2:20" ht="18">
      <c r="B137" s="897"/>
      <c r="C137" s="380" t="s">
        <v>407</v>
      </c>
      <c r="D137" s="756">
        <v>211</v>
      </c>
      <c r="E137" s="321">
        <v>7.7519999999999998</v>
      </c>
      <c r="F137" s="321">
        <v>6.1840000000000002</v>
      </c>
      <c r="G137" s="321">
        <f>IF(D137&gt;0,VLOOKUP(D137,Tally!F:H,3,FALSE))</f>
        <v>12.425003657421518</v>
      </c>
      <c r="H137" s="409">
        <f t="shared" si="11"/>
        <v>960.19351920024428</v>
      </c>
      <c r="I137" s="764">
        <f t="shared" si="13"/>
        <v>723.91391054678445</v>
      </c>
      <c r="J137" s="809">
        <v>52</v>
      </c>
      <c r="K137" s="435"/>
      <c r="L137" s="436"/>
      <c r="M137" s="437"/>
      <c r="N137" s="785"/>
      <c r="O137" s="766">
        <f t="shared" si="14"/>
        <v>57</v>
      </c>
      <c r="P137" s="329">
        <f t="shared" si="12"/>
        <v>1684.1074297470286</v>
      </c>
      <c r="Q137" s="76"/>
      <c r="R137" s="112"/>
      <c r="S137" s="75"/>
      <c r="T137" s="110"/>
    </row>
    <row r="138" spans="2:20" ht="18">
      <c r="B138" s="897"/>
      <c r="C138" s="380" t="s">
        <v>408</v>
      </c>
      <c r="D138" s="756">
        <v>210</v>
      </c>
      <c r="E138" s="321">
        <v>7.7519999999999998</v>
      </c>
      <c r="F138" s="321">
        <v>6.1840000000000002</v>
      </c>
      <c r="G138" s="321">
        <f>IF(D138&gt;0,VLOOKUP(D138,Tally!F:H,3,FALSE))</f>
        <v>11.736189271563546</v>
      </c>
      <c r="H138" s="409">
        <f t="shared" si="11"/>
        <v>948.45732992868079</v>
      </c>
      <c r="I138" s="764">
        <f t="shared" si="13"/>
        <v>735.65009981834805</v>
      </c>
      <c r="J138" s="809">
        <v>53</v>
      </c>
      <c r="K138" s="435"/>
      <c r="L138" s="436"/>
      <c r="M138" s="437"/>
      <c r="N138" s="785"/>
      <c r="O138" s="766">
        <f t="shared" si="14"/>
        <v>58</v>
      </c>
      <c r="P138" s="329">
        <f t="shared" si="12"/>
        <v>1684.1074297470288</v>
      </c>
      <c r="Q138" s="76"/>
      <c r="R138" s="112"/>
      <c r="S138" s="75"/>
      <c r="T138" s="110"/>
    </row>
    <row r="139" spans="2:20" ht="18">
      <c r="B139" s="897"/>
      <c r="C139" s="380" t="s">
        <v>409</v>
      </c>
      <c r="D139" s="756">
        <v>209</v>
      </c>
      <c r="E139" s="321">
        <v>7.7519999999999998</v>
      </c>
      <c r="F139" s="321">
        <v>6.1840000000000002</v>
      </c>
      <c r="G139" s="321">
        <f>IF(D139&gt;0,VLOOKUP(D139,Tally!F:H,3,FALSE))</f>
        <v>12.159840597378848</v>
      </c>
      <c r="H139" s="409">
        <f t="shared" si="11"/>
        <v>936.2974893313019</v>
      </c>
      <c r="I139" s="764">
        <f t="shared" si="13"/>
        <v>747.80994041572694</v>
      </c>
      <c r="J139" s="809">
        <v>54</v>
      </c>
      <c r="K139" s="435"/>
      <c r="L139" s="436"/>
      <c r="M139" s="437"/>
      <c r="N139" s="785"/>
      <c r="O139" s="766">
        <f t="shared" si="14"/>
        <v>59</v>
      </c>
      <c r="P139" s="329">
        <f t="shared" si="12"/>
        <v>1684.1074297470288</v>
      </c>
      <c r="Q139" s="76"/>
      <c r="R139" s="112"/>
      <c r="S139" s="75"/>
      <c r="T139" s="110"/>
    </row>
    <row r="140" spans="2:20" ht="18.75" thickBot="1">
      <c r="B140" s="898"/>
      <c r="C140" s="689" t="s">
        <v>410</v>
      </c>
      <c r="D140" s="755">
        <v>208</v>
      </c>
      <c r="E140" s="426">
        <v>7.7519999999999998</v>
      </c>
      <c r="F140" s="426">
        <v>6.1840000000000002</v>
      </c>
      <c r="G140" s="426">
        <f>IF(D140&gt;0,VLOOKUP(D140,Tally!F:H,3,FALSE))</f>
        <v>12.586539774459007</v>
      </c>
      <c r="H140" s="409">
        <f t="shared" si="11"/>
        <v>923.71094955684293</v>
      </c>
      <c r="I140" s="764">
        <f t="shared" si="13"/>
        <v>760.39648019018591</v>
      </c>
      <c r="J140" s="809">
        <v>55</v>
      </c>
      <c r="K140" s="435"/>
      <c r="L140" s="436"/>
      <c r="M140" s="437"/>
      <c r="N140" s="785"/>
      <c r="O140" s="766">
        <f t="shared" si="14"/>
        <v>60</v>
      </c>
      <c r="P140" s="329">
        <f t="shared" si="12"/>
        <v>1684.1074297470288</v>
      </c>
      <c r="Q140" s="76"/>
      <c r="R140" s="112"/>
      <c r="S140" s="75"/>
      <c r="T140" s="110"/>
    </row>
    <row r="141" spans="2:20" ht="18">
      <c r="B141" s="895" t="s">
        <v>316</v>
      </c>
      <c r="C141" s="688" t="s">
        <v>411</v>
      </c>
      <c r="D141" s="758">
        <v>207</v>
      </c>
      <c r="E141" s="387">
        <v>7.7519999999999998</v>
      </c>
      <c r="F141" s="387">
        <v>6.1840000000000002</v>
      </c>
      <c r="G141" s="705">
        <f>IF(D141&gt;0,VLOOKUP(D141,Tally!F:H,3,FALSE))</f>
        <v>11.653897287412375</v>
      </c>
      <c r="H141" s="409">
        <f t="shared" si="11"/>
        <v>912.05705226943053</v>
      </c>
      <c r="I141" s="764">
        <f t="shared" si="13"/>
        <v>772.05037747759832</v>
      </c>
      <c r="J141" s="809">
        <v>56</v>
      </c>
      <c r="K141" s="435"/>
      <c r="L141" s="436"/>
      <c r="M141" s="437"/>
      <c r="N141" s="785"/>
      <c r="O141" s="766">
        <f t="shared" si="14"/>
        <v>61</v>
      </c>
      <c r="P141" s="329">
        <f t="shared" si="12"/>
        <v>1684.1074297470288</v>
      </c>
      <c r="Q141" s="76"/>
      <c r="R141" s="112"/>
      <c r="S141" s="75"/>
      <c r="T141" s="110"/>
    </row>
    <row r="142" spans="2:20" ht="18">
      <c r="B142" s="895"/>
      <c r="C142" s="380" t="s">
        <v>412</v>
      </c>
      <c r="D142" s="561">
        <v>206</v>
      </c>
      <c r="E142" s="321">
        <v>7.7519999999999998</v>
      </c>
      <c r="F142" s="321">
        <v>6.1840000000000002</v>
      </c>
      <c r="G142" s="693">
        <f>IF(D142&gt;0,VLOOKUP(D142,Tally!F:H,3,FALSE))</f>
        <v>12.336615970740629</v>
      </c>
      <c r="H142" s="409">
        <f t="shared" si="11"/>
        <v>899.72043629868995</v>
      </c>
      <c r="I142" s="764">
        <f t="shared" si="13"/>
        <v>784.3869934483389</v>
      </c>
      <c r="J142" s="809">
        <v>57</v>
      </c>
      <c r="K142" s="435"/>
      <c r="L142" s="436"/>
      <c r="M142" s="437"/>
      <c r="N142" s="785"/>
      <c r="O142" s="766">
        <f t="shared" si="14"/>
        <v>62</v>
      </c>
      <c r="P142" s="329">
        <f t="shared" si="12"/>
        <v>1684.1074297470288</v>
      </c>
      <c r="Q142" s="76"/>
      <c r="R142" s="112"/>
      <c r="S142" s="75"/>
      <c r="T142" s="110"/>
    </row>
    <row r="143" spans="2:20" ht="18">
      <c r="B143" s="895"/>
      <c r="C143" s="380" t="s">
        <v>413</v>
      </c>
      <c r="D143" s="561">
        <v>205</v>
      </c>
      <c r="E143" s="321">
        <v>7.7519999999999998</v>
      </c>
      <c r="F143" s="321">
        <v>6.1840000000000002</v>
      </c>
      <c r="G143" s="693">
        <f>IF(D143&gt;0,VLOOKUP(D143,Tally!F:H,3,FALSE))</f>
        <v>12.339663822005486</v>
      </c>
      <c r="H143" s="409">
        <f t="shared" si="11"/>
        <v>887.38077247668446</v>
      </c>
      <c r="I143" s="764">
        <f t="shared" si="13"/>
        <v>796.72665727034439</v>
      </c>
      <c r="J143" s="809">
        <v>58</v>
      </c>
      <c r="K143" s="435"/>
      <c r="L143" s="436"/>
      <c r="M143" s="437"/>
      <c r="N143" s="785"/>
      <c r="O143" s="766">
        <f t="shared" si="14"/>
        <v>63</v>
      </c>
      <c r="P143" s="329">
        <f t="shared" si="12"/>
        <v>1684.1074297470288</v>
      </c>
      <c r="Q143" s="76"/>
      <c r="R143" s="112"/>
      <c r="S143" s="75"/>
      <c r="T143" s="110"/>
    </row>
    <row r="144" spans="2:20" ht="18">
      <c r="B144" s="895"/>
      <c r="C144" s="380" t="s">
        <v>414</v>
      </c>
      <c r="D144" s="561">
        <v>204</v>
      </c>
      <c r="E144" s="321">
        <v>7.7519999999999998</v>
      </c>
      <c r="F144" s="321">
        <v>6.1840000000000002</v>
      </c>
      <c r="G144" s="693">
        <f>IF(D144&gt;0,VLOOKUP(D144,Tally!F:H,3,FALSE))</f>
        <v>12.751123742761354</v>
      </c>
      <c r="H144" s="409">
        <f t="shared" si="11"/>
        <v>874.62964873392309</v>
      </c>
      <c r="I144" s="764">
        <f t="shared" si="13"/>
        <v>809.47778101310575</v>
      </c>
      <c r="J144" s="809">
        <v>59</v>
      </c>
      <c r="K144" s="435"/>
      <c r="L144" s="436"/>
      <c r="M144" s="437"/>
      <c r="N144" s="785"/>
      <c r="O144" s="766">
        <f t="shared" si="14"/>
        <v>64</v>
      </c>
      <c r="P144" s="329">
        <f t="shared" si="12"/>
        <v>1684.1074297470288</v>
      </c>
      <c r="Q144" s="76"/>
      <c r="R144" s="112"/>
      <c r="S144" s="75"/>
      <c r="T144" s="110"/>
    </row>
    <row r="145" spans="2:20" ht="18">
      <c r="B145" s="895"/>
      <c r="C145" s="380" t="s">
        <v>415</v>
      </c>
      <c r="D145" s="561">
        <v>203</v>
      </c>
      <c r="E145" s="321">
        <v>7.7519999999999998</v>
      </c>
      <c r="F145" s="321">
        <v>6.1840000000000002</v>
      </c>
      <c r="G145" s="693">
        <f>IF(D145&gt;0,VLOOKUP(D145,Tally!F:H,3,FALSE))</f>
        <v>12.104979274611399</v>
      </c>
      <c r="H145" s="409">
        <f t="shared" si="11"/>
        <v>862.52466945931167</v>
      </c>
      <c r="I145" s="764">
        <f t="shared" si="13"/>
        <v>821.58276028771718</v>
      </c>
      <c r="J145" s="809">
        <v>60</v>
      </c>
      <c r="K145" s="435"/>
      <c r="L145" s="436"/>
      <c r="M145" s="437"/>
      <c r="N145" s="785"/>
      <c r="O145" s="766">
        <f t="shared" si="14"/>
        <v>65</v>
      </c>
      <c r="P145" s="329">
        <f t="shared" si="12"/>
        <v>1684.1074297470288</v>
      </c>
      <c r="Q145" s="76"/>
      <c r="R145" s="112"/>
      <c r="S145" s="75"/>
      <c r="T145" s="110"/>
    </row>
    <row r="146" spans="2:20" ht="18">
      <c r="B146" s="895"/>
      <c r="C146" s="380" t="s">
        <v>416</v>
      </c>
      <c r="D146" s="561">
        <v>202</v>
      </c>
      <c r="E146" s="321">
        <v>7.7519999999999998</v>
      </c>
      <c r="F146" s="321">
        <v>6.1840000000000002</v>
      </c>
      <c r="G146" s="693">
        <f>IF(D146&gt;0,VLOOKUP(D146,Tally!F:H,3,FALSE))</f>
        <v>12.446338616275526</v>
      </c>
      <c r="H146" s="409">
        <f t="shared" si="11"/>
        <v>850.07833084303616</v>
      </c>
      <c r="I146" s="764">
        <f t="shared" si="13"/>
        <v>834.02909890399269</v>
      </c>
      <c r="J146" s="809">
        <v>61</v>
      </c>
      <c r="K146" s="435"/>
      <c r="L146" s="436"/>
      <c r="M146" s="437"/>
      <c r="N146" s="785"/>
      <c r="O146" s="766">
        <f t="shared" si="14"/>
        <v>66</v>
      </c>
      <c r="P146" s="329">
        <f t="shared" si="12"/>
        <v>1684.1074297470288</v>
      </c>
      <c r="Q146" s="76"/>
      <c r="R146" s="112"/>
      <c r="S146" s="75"/>
      <c r="T146" s="110"/>
    </row>
    <row r="147" spans="2:20" ht="18">
      <c r="B147" s="895"/>
      <c r="C147" s="380" t="s">
        <v>417</v>
      </c>
      <c r="D147" s="561">
        <v>201</v>
      </c>
      <c r="E147" s="321">
        <v>7.7519999999999998</v>
      </c>
      <c r="F147" s="321">
        <v>6.1840000000000002</v>
      </c>
      <c r="G147" s="693">
        <f>IF(D147&gt;0,VLOOKUP(D147,Tally!F:H,3,FALSE))</f>
        <v>12.114122828405973</v>
      </c>
      <c r="H147" s="409">
        <f t="shared" si="11"/>
        <v>837.96420801463023</v>
      </c>
      <c r="I147" s="764">
        <f t="shared" si="13"/>
        <v>846.14322173239862</v>
      </c>
      <c r="J147" s="809">
        <v>62</v>
      </c>
      <c r="K147" s="435"/>
      <c r="L147" s="436"/>
      <c r="M147" s="437"/>
      <c r="N147" s="785"/>
      <c r="O147" s="766">
        <f t="shared" si="14"/>
        <v>67</v>
      </c>
      <c r="P147" s="329">
        <f t="shared" si="12"/>
        <v>1684.1074297470288</v>
      </c>
      <c r="Q147" s="76"/>
      <c r="R147" s="112"/>
      <c r="S147" s="75"/>
      <c r="T147" s="110"/>
    </row>
    <row r="148" spans="2:20" ht="18">
      <c r="B148" s="895"/>
      <c r="C148" s="380" t="s">
        <v>418</v>
      </c>
      <c r="D148" s="561">
        <v>200</v>
      </c>
      <c r="E148" s="321">
        <v>7.7519999999999998</v>
      </c>
      <c r="F148" s="321">
        <v>6.1840000000000002</v>
      </c>
      <c r="G148" s="693">
        <f>IF(D148&gt;0,VLOOKUP(D148,Tally!F:H,3,FALSE))</f>
        <v>11.885533983541603</v>
      </c>
      <c r="H148" s="409">
        <f t="shared" si="11"/>
        <v>826.07867403108867</v>
      </c>
      <c r="I148" s="764">
        <f t="shared" si="13"/>
        <v>858.02875571594018</v>
      </c>
      <c r="J148" s="809">
        <v>63</v>
      </c>
      <c r="K148" s="435"/>
      <c r="L148" s="436"/>
      <c r="M148" s="437"/>
      <c r="N148" s="785"/>
      <c r="O148" s="766">
        <f t="shared" si="14"/>
        <v>68</v>
      </c>
      <c r="P148" s="329">
        <f t="shared" si="12"/>
        <v>1684.1074297470288</v>
      </c>
      <c r="Q148" s="76"/>
      <c r="R148" s="112"/>
      <c r="S148" s="75"/>
      <c r="T148" s="110"/>
    </row>
    <row r="149" spans="2:20" ht="18.75" thickBot="1">
      <c r="B149" s="895"/>
      <c r="C149" s="690" t="s">
        <v>419</v>
      </c>
      <c r="D149" s="633">
        <v>199</v>
      </c>
      <c r="E149" s="386">
        <v>7.7519999999999998</v>
      </c>
      <c r="F149" s="386">
        <v>6.1840000000000002</v>
      </c>
      <c r="G149" s="709">
        <f>IF(D149&gt;0,VLOOKUP(D149,Tally!F:H,3,FALSE))</f>
        <v>12.510343492837551</v>
      </c>
      <c r="H149" s="409">
        <f t="shared" si="11"/>
        <v>813.56833053825108</v>
      </c>
      <c r="I149" s="764">
        <f t="shared" si="13"/>
        <v>870.53909920877777</v>
      </c>
      <c r="J149" s="809">
        <v>64</v>
      </c>
      <c r="K149" s="435"/>
      <c r="L149" s="436"/>
      <c r="M149" s="437"/>
      <c r="N149" s="785"/>
      <c r="O149" s="766">
        <f t="shared" si="14"/>
        <v>69</v>
      </c>
      <c r="P149" s="329">
        <f t="shared" si="12"/>
        <v>1684.1074297470288</v>
      </c>
      <c r="Q149" s="76"/>
      <c r="R149" s="112"/>
      <c r="S149" s="75"/>
      <c r="T149" s="110"/>
    </row>
    <row r="150" spans="2:20" ht="20.25">
      <c r="B150" s="896" t="s">
        <v>317</v>
      </c>
      <c r="C150" s="691" t="s">
        <v>420</v>
      </c>
      <c r="D150" s="713">
        <v>190</v>
      </c>
      <c r="E150" s="422">
        <v>7.7519999999999998</v>
      </c>
      <c r="F150" s="422">
        <v>6.1840000000000002</v>
      </c>
      <c r="G150" s="422">
        <f>IF(D150&gt;0,VLOOKUP(D150,Tally!F:H,3,FALSE))</f>
        <v>12.531678451691558</v>
      </c>
      <c r="H150" s="409">
        <f t="shared" si="11"/>
        <v>801.03665208655957</v>
      </c>
      <c r="I150" s="764">
        <f t="shared" si="13"/>
        <v>883.07077766046928</v>
      </c>
      <c r="J150" s="809">
        <v>65</v>
      </c>
      <c r="K150" s="435"/>
      <c r="L150" s="436"/>
      <c r="M150" s="437"/>
      <c r="N150" s="785"/>
      <c r="O150" s="766">
        <f t="shared" si="14"/>
        <v>70</v>
      </c>
      <c r="P150" s="329">
        <f t="shared" si="12"/>
        <v>1684.1074297470288</v>
      </c>
      <c r="Q150" s="76"/>
      <c r="R150" s="112"/>
      <c r="S150" s="75"/>
      <c r="T150" s="110"/>
    </row>
    <row r="151" spans="2:20" ht="20.25">
      <c r="B151" s="897"/>
      <c r="C151" s="380" t="s">
        <v>421</v>
      </c>
      <c r="D151" s="711">
        <v>191</v>
      </c>
      <c r="E151" s="321">
        <v>7.7519999999999998</v>
      </c>
      <c r="F151" s="321">
        <v>6.1840000000000002</v>
      </c>
      <c r="G151" s="321">
        <f>IF(D151&gt;0,VLOOKUP(D151,Tally!F:H,3,FALSE))</f>
        <v>12.226893325205731</v>
      </c>
      <c r="H151" s="409">
        <f t="shared" si="11"/>
        <v>788.80975876135381</v>
      </c>
      <c r="I151" s="764">
        <f t="shared" si="13"/>
        <v>895.29767098567504</v>
      </c>
      <c r="J151" s="809">
        <v>66</v>
      </c>
      <c r="K151" s="435"/>
      <c r="L151" s="436"/>
      <c r="M151" s="437"/>
      <c r="N151" s="785"/>
      <c r="O151" s="766">
        <f t="shared" si="14"/>
        <v>71</v>
      </c>
      <c r="P151" s="329">
        <f t="shared" si="12"/>
        <v>1684.1074297470288</v>
      </c>
      <c r="Q151" s="76"/>
      <c r="R151" s="112"/>
      <c r="S151" s="75"/>
      <c r="T151" s="110"/>
    </row>
    <row r="152" spans="2:20" ht="20.25">
      <c r="B152" s="897"/>
      <c r="C152" s="380" t="s">
        <v>422</v>
      </c>
      <c r="D152" s="711">
        <v>192</v>
      </c>
      <c r="E152" s="321">
        <v>7.7519999999999998</v>
      </c>
      <c r="F152" s="321">
        <v>6.1840000000000002</v>
      </c>
      <c r="G152" s="321">
        <f>IF(D152&gt;0,VLOOKUP(D152,Tally!F:H,3,FALSE))</f>
        <v>12.327472416946053</v>
      </c>
      <c r="H152" s="409">
        <f t="shared" si="11"/>
        <v>776.48228634440773</v>
      </c>
      <c r="I152" s="764">
        <f t="shared" si="13"/>
        <v>907.62514340262112</v>
      </c>
      <c r="J152" s="809">
        <v>67</v>
      </c>
      <c r="K152" s="435"/>
      <c r="L152" s="436"/>
      <c r="M152" s="437"/>
      <c r="N152" s="785"/>
      <c r="O152" s="766">
        <f t="shared" si="14"/>
        <v>72</v>
      </c>
      <c r="P152" s="329">
        <f t="shared" si="12"/>
        <v>1684.1074297470288</v>
      </c>
      <c r="Q152" s="76"/>
      <c r="R152" s="112"/>
      <c r="S152" s="75"/>
      <c r="T152" s="110"/>
    </row>
    <row r="153" spans="2:20" ht="20.25">
      <c r="B153" s="897"/>
      <c r="C153" s="380" t="s">
        <v>423</v>
      </c>
      <c r="D153" s="711">
        <v>193</v>
      </c>
      <c r="E153" s="321">
        <v>7.7519999999999998</v>
      </c>
      <c r="F153" s="321">
        <v>6.1840000000000002</v>
      </c>
      <c r="G153" s="321">
        <f>IF(D153&gt;0,VLOOKUP(D153,Tally!F:H,3,FALSE))</f>
        <v>12.790745809204511</v>
      </c>
      <c r="H153" s="409">
        <f t="shared" si="11"/>
        <v>763.69154053520322</v>
      </c>
      <c r="I153" s="764">
        <f t="shared" si="13"/>
        <v>920.41588921182563</v>
      </c>
      <c r="J153" s="809">
        <v>68</v>
      </c>
      <c r="K153" s="435"/>
      <c r="L153" s="436"/>
      <c r="M153" s="437"/>
      <c r="N153" s="785"/>
      <c r="O153" s="766">
        <f t="shared" si="14"/>
        <v>73</v>
      </c>
      <c r="P153" s="329">
        <f t="shared" si="12"/>
        <v>1684.1074297470288</v>
      </c>
      <c r="Q153" s="76"/>
      <c r="R153" s="112"/>
      <c r="S153" s="75"/>
      <c r="T153" s="110"/>
    </row>
    <row r="154" spans="2:20" ht="20.25">
      <c r="B154" s="897"/>
      <c r="C154" s="380" t="s">
        <v>424</v>
      </c>
      <c r="D154" s="711">
        <v>194</v>
      </c>
      <c r="E154" s="321">
        <v>7.7519999999999998</v>
      </c>
      <c r="F154" s="321">
        <v>6.1840000000000002</v>
      </c>
      <c r="G154" s="321">
        <f>IF(D154&gt;0,VLOOKUP(D154,Tally!F:H,3,FALSE))</f>
        <v>12.272611094178604</v>
      </c>
      <c r="H154" s="409">
        <f t="shared" si="11"/>
        <v>751.4189294410246</v>
      </c>
      <c r="I154" s="764">
        <f t="shared" si="13"/>
        <v>932.68850030600424</v>
      </c>
      <c r="J154" s="809">
        <v>69</v>
      </c>
      <c r="K154" s="435"/>
      <c r="L154" s="436"/>
      <c r="M154" s="437"/>
      <c r="N154" s="785"/>
      <c r="O154" s="766">
        <f t="shared" si="14"/>
        <v>74</v>
      </c>
      <c r="P154" s="329">
        <f t="shared" si="12"/>
        <v>1684.1074297470288</v>
      </c>
      <c r="Q154" s="76"/>
      <c r="R154" s="112"/>
      <c r="S154" s="75"/>
      <c r="T154" s="110"/>
    </row>
    <row r="155" spans="2:20" ht="20.25">
      <c r="B155" s="897"/>
      <c r="C155" s="380" t="s">
        <v>425</v>
      </c>
      <c r="D155" s="711">
        <v>195</v>
      </c>
      <c r="E155" s="321">
        <v>7.7519999999999998</v>
      </c>
      <c r="F155" s="321">
        <v>6.1840000000000002</v>
      </c>
      <c r="G155" s="321">
        <f>IF(D155&gt;0,VLOOKUP(D155,Tally!F:H,3,FALSE))</f>
        <v>12.202510515086864</v>
      </c>
      <c r="H155" s="409">
        <f t="shared" si="11"/>
        <v>739.21641892593777</v>
      </c>
      <c r="I155" s="764">
        <f t="shared" ref="I155:I184" si="15">I154+G155</f>
        <v>944.89101082109107</v>
      </c>
      <c r="J155" s="809">
        <v>70</v>
      </c>
      <c r="K155" s="435"/>
      <c r="L155" s="436"/>
      <c r="M155" s="437"/>
      <c r="N155" s="785"/>
      <c r="O155" s="766">
        <f t="shared" si="14"/>
        <v>75</v>
      </c>
      <c r="P155" s="329">
        <f t="shared" si="12"/>
        <v>1684.1074297470288</v>
      </c>
      <c r="Q155" s="76"/>
      <c r="R155" s="112"/>
      <c r="S155" s="75"/>
      <c r="T155" s="110"/>
    </row>
    <row r="156" spans="2:20" ht="20.25">
      <c r="B156" s="897"/>
      <c r="C156" s="380" t="s">
        <v>426</v>
      </c>
      <c r="D156" s="711">
        <v>196</v>
      </c>
      <c r="E156" s="321">
        <v>7.7519999999999998</v>
      </c>
      <c r="F156" s="321">
        <v>6.1840000000000002</v>
      </c>
      <c r="G156" s="321">
        <f>IF(D156&gt;0,VLOOKUP(D156,Tally!F:H,3,FALSE))</f>
        <v>12.421955806156658</v>
      </c>
      <c r="H156" s="409">
        <f t="shared" si="11"/>
        <v>726.79446311978108</v>
      </c>
      <c r="I156" s="764">
        <f t="shared" si="15"/>
        <v>957.31296662724776</v>
      </c>
      <c r="J156" s="809">
        <v>71</v>
      </c>
      <c r="K156" s="435"/>
      <c r="L156" s="436"/>
      <c r="M156" s="437"/>
      <c r="N156" s="785"/>
      <c r="O156" s="766">
        <f t="shared" si="14"/>
        <v>76</v>
      </c>
      <c r="P156" s="329">
        <f t="shared" si="12"/>
        <v>1684.1074297470288</v>
      </c>
      <c r="Q156" s="76"/>
      <c r="R156" s="112"/>
      <c r="S156" s="75"/>
      <c r="T156" s="110"/>
    </row>
    <row r="157" spans="2:20" ht="20.25">
      <c r="B157" s="897"/>
      <c r="C157" s="380" t="s">
        <v>427</v>
      </c>
      <c r="D157" s="711">
        <v>197</v>
      </c>
      <c r="E157" s="321">
        <v>7.7519999999999998</v>
      </c>
      <c r="F157" s="321">
        <v>6.1840000000000002</v>
      </c>
      <c r="G157" s="321">
        <f>IF(D157&gt;0,VLOOKUP(D157,Tally!F:H,3,FALSE))</f>
        <v>12.574348369399573</v>
      </c>
      <c r="H157" s="409">
        <f t="shared" si="11"/>
        <v>714.22011475038153</v>
      </c>
      <c r="I157" s="764">
        <f t="shared" si="15"/>
        <v>969.88731499664732</v>
      </c>
      <c r="J157" s="809">
        <v>72</v>
      </c>
      <c r="K157" s="435"/>
      <c r="L157" s="436"/>
      <c r="M157" s="437"/>
      <c r="N157" s="785"/>
      <c r="O157" s="766">
        <f t="shared" si="14"/>
        <v>77</v>
      </c>
      <c r="P157" s="329">
        <f t="shared" si="12"/>
        <v>1684.1074297470288</v>
      </c>
      <c r="Q157" s="76"/>
      <c r="R157" s="112"/>
      <c r="S157" s="75"/>
      <c r="T157" s="110"/>
    </row>
    <row r="158" spans="2:20" ht="21" thickBot="1">
      <c r="B158" s="898"/>
      <c r="C158" s="689" t="s">
        <v>428</v>
      </c>
      <c r="D158" s="712">
        <v>198</v>
      </c>
      <c r="E158" s="426">
        <v>7.7519999999999998</v>
      </c>
      <c r="F158" s="426">
        <v>6.1840000000000002</v>
      </c>
      <c r="G158" s="426">
        <f>IF(D158&gt;0,VLOOKUP(D158,Tally!F:H,3,FALSE))</f>
        <v>12.528630600426698</v>
      </c>
      <c r="H158" s="409">
        <f t="shared" si="11"/>
        <v>701.69148414995482</v>
      </c>
      <c r="I158" s="764">
        <f t="shared" ref="I158:I163" si="16">I157+G158</f>
        <v>982.41594559707403</v>
      </c>
      <c r="J158" s="809">
        <v>73</v>
      </c>
      <c r="K158" s="435"/>
      <c r="L158" s="436"/>
      <c r="M158" s="437"/>
      <c r="N158" s="785"/>
      <c r="O158" s="766">
        <f t="shared" si="14"/>
        <v>78</v>
      </c>
      <c r="P158" s="329">
        <f t="shared" si="12"/>
        <v>1684.1074297470288</v>
      </c>
      <c r="Q158" s="76"/>
      <c r="R158" s="112"/>
      <c r="S158" s="75"/>
      <c r="T158" s="110"/>
    </row>
    <row r="159" spans="2:20" ht="20.25">
      <c r="B159" s="899" t="s">
        <v>318</v>
      </c>
      <c r="C159" s="691" t="s">
        <v>429</v>
      </c>
      <c r="D159" s="713">
        <v>181</v>
      </c>
      <c r="E159" s="422">
        <v>7.7519999999999998</v>
      </c>
      <c r="F159" s="422">
        <v>6.1840000000000002</v>
      </c>
      <c r="G159" s="692">
        <f>IF(D159&gt;0,VLOOKUP(D159,Tally!F:H,3,FALSE))</f>
        <v>12.4189079548918</v>
      </c>
      <c r="H159" s="409">
        <f t="shared" si="11"/>
        <v>689.27257619506304</v>
      </c>
      <c r="I159" s="764">
        <f t="shared" si="16"/>
        <v>994.83485355196581</v>
      </c>
      <c r="J159" s="809">
        <v>74</v>
      </c>
      <c r="K159" s="435"/>
      <c r="L159" s="436"/>
      <c r="M159" s="437"/>
      <c r="N159" s="785"/>
      <c r="O159" s="766">
        <f t="shared" si="14"/>
        <v>79</v>
      </c>
      <c r="P159" s="329">
        <f t="shared" si="12"/>
        <v>1684.1074297470288</v>
      </c>
      <c r="Q159" s="76"/>
      <c r="R159" s="112"/>
      <c r="S159" s="75"/>
      <c r="T159" s="110"/>
    </row>
    <row r="160" spans="2:20" ht="20.25">
      <c r="B160" s="895"/>
      <c r="C160" s="380" t="s">
        <v>430</v>
      </c>
      <c r="D160" s="711">
        <v>182</v>
      </c>
      <c r="E160" s="321">
        <v>7.7519999999999998</v>
      </c>
      <c r="F160" s="321">
        <v>6.1840000000000002</v>
      </c>
      <c r="G160" s="693">
        <f>IF(D160&gt;0,VLOOKUP(D160,Tally!F:H,3,FALSE))</f>
        <v>12.275658945443462</v>
      </c>
      <c r="H160" s="409">
        <f t="shared" si="11"/>
        <v>676.99691724961963</v>
      </c>
      <c r="I160" s="764">
        <f t="shared" si="16"/>
        <v>1007.1105124974092</v>
      </c>
      <c r="J160" s="809">
        <v>75</v>
      </c>
      <c r="K160" s="435"/>
      <c r="L160" s="436"/>
      <c r="M160" s="437"/>
      <c r="N160" s="785"/>
      <c r="O160" s="766">
        <f t="shared" si="14"/>
        <v>80</v>
      </c>
      <c r="P160" s="329">
        <f t="shared" si="12"/>
        <v>1684.1074297470288</v>
      </c>
      <c r="Q160" s="76"/>
      <c r="R160" s="112"/>
      <c r="S160" s="75"/>
      <c r="T160" s="110"/>
    </row>
    <row r="161" spans="2:20" ht="20.25">
      <c r="B161" s="895"/>
      <c r="C161" s="380" t="s">
        <v>431</v>
      </c>
      <c r="D161" s="711">
        <v>183</v>
      </c>
      <c r="E161" s="321">
        <v>7.7519999999999998</v>
      </c>
      <c r="F161" s="321">
        <v>6.1840000000000002</v>
      </c>
      <c r="G161" s="693">
        <f>IF(D161&gt;0,VLOOKUP(D161,Tally!F:H,3,FALSE))</f>
        <v>12.38538159097836</v>
      </c>
      <c r="H161" s="409">
        <f t="shared" si="11"/>
        <v>664.61153565864129</v>
      </c>
      <c r="I161" s="764">
        <f t="shared" si="16"/>
        <v>1019.4958940883876</v>
      </c>
      <c r="J161" s="809">
        <v>76</v>
      </c>
      <c r="K161" s="435"/>
      <c r="L161" s="436"/>
      <c r="M161" s="437"/>
      <c r="N161" s="785"/>
      <c r="O161" s="766">
        <f t="shared" si="14"/>
        <v>81</v>
      </c>
      <c r="P161" s="329">
        <f t="shared" si="12"/>
        <v>1684.1074297470288</v>
      </c>
      <c r="Q161" s="76"/>
      <c r="R161" s="112"/>
      <c r="S161" s="75"/>
      <c r="T161" s="110"/>
    </row>
    <row r="162" spans="2:20" ht="20.25">
      <c r="B162" s="895"/>
      <c r="C162" s="380" t="s">
        <v>432</v>
      </c>
      <c r="D162" s="711">
        <v>184</v>
      </c>
      <c r="E162" s="321">
        <v>7.7519999999999998</v>
      </c>
      <c r="F162" s="321">
        <v>6.1840000000000002</v>
      </c>
      <c r="G162" s="693">
        <f>IF(D162&gt;0,VLOOKUP(D162,Tally!F:H,3,FALSE))</f>
        <v>12.10193142334654</v>
      </c>
      <c r="H162" s="409">
        <f t="shared" si="11"/>
        <v>652.50960423529477</v>
      </c>
      <c r="I162" s="764">
        <f t="shared" si="16"/>
        <v>1031.5978255117341</v>
      </c>
      <c r="J162" s="809">
        <v>77</v>
      </c>
      <c r="K162" s="435"/>
      <c r="L162" s="436"/>
      <c r="M162" s="437"/>
      <c r="N162" s="785"/>
      <c r="O162" s="766">
        <f t="shared" si="14"/>
        <v>82</v>
      </c>
      <c r="P162" s="329">
        <f t="shared" si="12"/>
        <v>1684.1074297470288</v>
      </c>
      <c r="Q162" s="76"/>
      <c r="R162" s="112"/>
      <c r="S162" s="75"/>
      <c r="T162" s="110"/>
    </row>
    <row r="163" spans="2:20" ht="20.25">
      <c r="B163" s="895"/>
      <c r="C163" s="380" t="s">
        <v>433</v>
      </c>
      <c r="D163" s="711">
        <v>185</v>
      </c>
      <c r="E163" s="321">
        <v>7.7519999999999998</v>
      </c>
      <c r="F163" s="321">
        <v>6.1840000000000002</v>
      </c>
      <c r="G163" s="693">
        <f>IF(D163&gt;0,VLOOKUP(D163,Tally!F:H,3,FALSE))</f>
        <v>12.165936299908564</v>
      </c>
      <c r="H163" s="409">
        <f t="shared" si="11"/>
        <v>640.34366793538618</v>
      </c>
      <c r="I163" s="764">
        <f t="shared" si="16"/>
        <v>1043.7637618116426</v>
      </c>
      <c r="J163" s="809">
        <v>78</v>
      </c>
      <c r="K163" s="435"/>
      <c r="L163" s="436"/>
      <c r="M163" s="437"/>
      <c r="N163" s="785"/>
      <c r="O163" s="766">
        <f t="shared" si="14"/>
        <v>83</v>
      </c>
      <c r="P163" s="329">
        <f t="shared" si="12"/>
        <v>1684.1074297470286</v>
      </c>
      <c r="Q163" s="76"/>
      <c r="R163" s="112"/>
      <c r="S163" s="75"/>
      <c r="T163" s="110"/>
    </row>
    <row r="164" spans="2:20" ht="20.25">
      <c r="B164" s="895"/>
      <c r="C164" s="380" t="s">
        <v>434</v>
      </c>
      <c r="D164" s="711">
        <v>186</v>
      </c>
      <c r="E164" s="321">
        <v>7.7519999999999998</v>
      </c>
      <c r="F164" s="321">
        <v>6.1840000000000002</v>
      </c>
      <c r="G164" s="693">
        <f>IF(D164&gt;0,VLOOKUP(D164,Tally!F:H,3,FALSE))</f>
        <v>12.257371837854311</v>
      </c>
      <c r="H164" s="409">
        <f t="shared" si="11"/>
        <v>628.08629609753189</v>
      </c>
      <c r="I164" s="764">
        <f t="shared" si="15"/>
        <v>1056.021133649497</v>
      </c>
      <c r="J164" s="809">
        <v>79</v>
      </c>
      <c r="K164" s="435"/>
      <c r="L164" s="436"/>
      <c r="M164" s="437"/>
      <c r="N164" s="785"/>
      <c r="O164" s="766">
        <f t="shared" si="14"/>
        <v>84</v>
      </c>
      <c r="P164" s="329">
        <f t="shared" si="12"/>
        <v>1684.1074297470288</v>
      </c>
      <c r="Q164" s="76"/>
      <c r="R164" s="112"/>
      <c r="S164" s="75"/>
      <c r="T164" s="110"/>
    </row>
    <row r="165" spans="2:20" ht="20.25">
      <c r="B165" s="895"/>
      <c r="C165" s="380" t="s">
        <v>435</v>
      </c>
      <c r="D165" s="711">
        <v>187</v>
      </c>
      <c r="E165" s="321">
        <v>7.7519999999999998</v>
      </c>
      <c r="F165" s="321">
        <v>6.1840000000000002</v>
      </c>
      <c r="G165" s="693">
        <f>IF(D165&gt;0,VLOOKUP(D165,Tally!F:H,3,FALSE))</f>
        <v>12.516439195367266</v>
      </c>
      <c r="H165" s="409">
        <f t="shared" si="11"/>
        <v>615.56985690216459</v>
      </c>
      <c r="I165" s="764">
        <f t="shared" si="15"/>
        <v>1068.5375728448641</v>
      </c>
      <c r="J165" s="809">
        <v>80</v>
      </c>
      <c r="K165" s="435"/>
      <c r="L165" s="436"/>
      <c r="M165" s="437"/>
      <c r="N165" s="785"/>
      <c r="O165" s="766">
        <f t="shared" si="14"/>
        <v>85</v>
      </c>
      <c r="P165" s="329">
        <f t="shared" si="12"/>
        <v>1684.1074297470286</v>
      </c>
      <c r="Q165" s="76"/>
      <c r="R165" s="112"/>
      <c r="S165" s="75"/>
      <c r="T165" s="110"/>
    </row>
    <row r="166" spans="2:20" ht="20.25">
      <c r="B166" s="895"/>
      <c r="C166" s="380" t="s">
        <v>436</v>
      </c>
      <c r="D166" s="711">
        <v>188</v>
      </c>
      <c r="E166" s="321">
        <v>7.7519999999999998</v>
      </c>
      <c r="F166" s="321">
        <v>6.1840000000000002</v>
      </c>
      <c r="G166" s="693">
        <f>IF(D166&gt;0,VLOOKUP(D166,Tally!F:H,3,FALSE))</f>
        <v>12.461577872599817</v>
      </c>
      <c r="H166" s="409">
        <f t="shared" si="11"/>
        <v>603.10827902956476</v>
      </c>
      <c r="I166" s="764">
        <f t="shared" si="15"/>
        <v>1080.9991507174639</v>
      </c>
      <c r="J166" s="809">
        <v>81</v>
      </c>
      <c r="K166" s="435"/>
      <c r="L166" s="436"/>
      <c r="M166" s="437"/>
      <c r="N166" s="785"/>
      <c r="O166" s="766">
        <f t="shared" si="14"/>
        <v>86</v>
      </c>
      <c r="P166" s="329">
        <f t="shared" si="12"/>
        <v>1684.1074297470286</v>
      </c>
      <c r="Q166" s="76"/>
      <c r="R166" s="112"/>
      <c r="S166" s="75"/>
      <c r="T166" s="110"/>
    </row>
    <row r="167" spans="2:20" ht="21" thickBot="1">
      <c r="B167" s="900"/>
      <c r="C167" s="689" t="s">
        <v>437</v>
      </c>
      <c r="D167" s="712">
        <v>189</v>
      </c>
      <c r="E167" s="426">
        <v>7.7519999999999998</v>
      </c>
      <c r="F167" s="426">
        <v>6.1840000000000002</v>
      </c>
      <c r="G167" s="694">
        <f>IF(D167&gt;0,VLOOKUP(D167,Tally!F:H,3,FALSE))</f>
        <v>12.574348369399573</v>
      </c>
      <c r="H167" s="409">
        <f t="shared" si="11"/>
        <v>590.5339306601652</v>
      </c>
      <c r="I167" s="764">
        <f t="shared" si="15"/>
        <v>1093.5734990868634</v>
      </c>
      <c r="J167" s="809">
        <v>82</v>
      </c>
      <c r="K167" s="435"/>
      <c r="L167" s="436"/>
      <c r="M167" s="437"/>
      <c r="N167" s="785"/>
      <c r="O167" s="766">
        <f t="shared" si="14"/>
        <v>87</v>
      </c>
      <c r="P167" s="329">
        <f t="shared" si="12"/>
        <v>1684.1074297470286</v>
      </c>
      <c r="Q167" s="76"/>
      <c r="R167" s="112"/>
      <c r="S167" s="75"/>
      <c r="T167" s="110"/>
    </row>
    <row r="168" spans="2:20" ht="20.25">
      <c r="B168" s="896" t="s">
        <v>319</v>
      </c>
      <c r="C168" s="691" t="s">
        <v>438</v>
      </c>
      <c r="D168" s="713">
        <v>172</v>
      </c>
      <c r="E168" s="422">
        <v>7.7519999999999998</v>
      </c>
      <c r="F168" s="422">
        <v>6.1840000000000002</v>
      </c>
      <c r="G168" s="422">
        <f>IF(D168&gt;0,VLOOKUP(D168,Tally!F:H,3,FALSE))</f>
        <v>12.391477293508078</v>
      </c>
      <c r="H168" s="409">
        <f t="shared" si="11"/>
        <v>578.14245336665715</v>
      </c>
      <c r="I168" s="764">
        <f t="shared" si="15"/>
        <v>1105.9649763803716</v>
      </c>
      <c r="J168" s="809">
        <v>83</v>
      </c>
      <c r="K168" s="435"/>
      <c r="L168" s="436"/>
      <c r="M168" s="437"/>
      <c r="N168" s="785"/>
      <c r="O168" s="766">
        <f t="shared" si="14"/>
        <v>88</v>
      </c>
      <c r="P168" s="329">
        <f t="shared" si="12"/>
        <v>1684.1074297470286</v>
      </c>
      <c r="Q168" s="76"/>
      <c r="R168" s="112"/>
      <c r="S168" s="75"/>
      <c r="T168" s="110"/>
    </row>
    <row r="169" spans="2:20" ht="20.25">
      <c r="B169" s="897"/>
      <c r="C169" s="380" t="s">
        <v>439</v>
      </c>
      <c r="D169" s="711">
        <v>173</v>
      </c>
      <c r="E169" s="321">
        <v>7.7519999999999998</v>
      </c>
      <c r="F169" s="321">
        <v>6.1840000000000002</v>
      </c>
      <c r="G169" s="321">
        <f>IF(D169&gt;0,VLOOKUP(D169,Tally!F:H,3,FALSE))</f>
        <v>12.357950929594637</v>
      </c>
      <c r="H169" s="409">
        <f t="shared" si="11"/>
        <v>565.78450243706254</v>
      </c>
      <c r="I169" s="764">
        <f t="shared" si="15"/>
        <v>1118.3229273099662</v>
      </c>
      <c r="J169" s="809">
        <v>84</v>
      </c>
      <c r="K169" s="435"/>
      <c r="L169" s="436"/>
      <c r="M169" s="437"/>
      <c r="N169" s="785"/>
      <c r="O169" s="766">
        <f t="shared" si="14"/>
        <v>89</v>
      </c>
      <c r="P169" s="329">
        <f t="shared" si="12"/>
        <v>1684.1074297470286</v>
      </c>
      <c r="Q169" s="76"/>
      <c r="R169" s="112"/>
      <c r="S169" s="75"/>
      <c r="T169" s="110"/>
    </row>
    <row r="170" spans="2:20" ht="20.25">
      <c r="B170" s="897"/>
      <c r="C170" s="380" t="s">
        <v>440</v>
      </c>
      <c r="D170" s="711">
        <v>174</v>
      </c>
      <c r="E170" s="321">
        <v>7.7519999999999998</v>
      </c>
      <c r="F170" s="321">
        <v>6.1840000000000002</v>
      </c>
      <c r="G170" s="321">
        <f>IF(D170&gt;0,VLOOKUP(D170,Tally!F:H,3,FALSE))</f>
        <v>12.4920563852484</v>
      </c>
      <c r="H170" s="409">
        <f t="shared" ref="H170:H229" si="17">H169-G170</f>
        <v>553.29244605181418</v>
      </c>
      <c r="I170" s="764">
        <f t="shared" si="15"/>
        <v>1130.8149836952146</v>
      </c>
      <c r="J170" s="809">
        <v>85</v>
      </c>
      <c r="K170" s="435"/>
      <c r="L170" s="436"/>
      <c r="M170" s="437"/>
      <c r="N170" s="785"/>
      <c r="O170" s="766">
        <f t="shared" si="14"/>
        <v>90</v>
      </c>
      <c r="P170" s="329">
        <f t="shared" ref="P170:P228" si="18">IF(H170&gt;0,H170+I170,"")</f>
        <v>1684.1074297470286</v>
      </c>
      <c r="Q170" s="76"/>
      <c r="R170" s="112"/>
      <c r="S170" s="75"/>
      <c r="T170" s="110"/>
    </row>
    <row r="171" spans="2:20" ht="20.25">
      <c r="B171" s="897"/>
      <c r="C171" s="380" t="s">
        <v>441</v>
      </c>
      <c r="D171" s="711">
        <v>175</v>
      </c>
      <c r="E171" s="321">
        <v>7.7519999999999998</v>
      </c>
      <c r="F171" s="321">
        <v>6.1840000000000002</v>
      </c>
      <c r="G171" s="321">
        <f>IF(D171&gt;0,VLOOKUP(D171,Tally!F:H,3,FALSE))</f>
        <v>12.193366961292288</v>
      </c>
      <c r="H171" s="409">
        <f t="shared" si="17"/>
        <v>541.09907909052185</v>
      </c>
      <c r="I171" s="764">
        <f t="shared" si="15"/>
        <v>1143.0083506565068</v>
      </c>
      <c r="J171" s="809">
        <v>86</v>
      </c>
      <c r="K171" s="435"/>
      <c r="L171" s="436"/>
      <c r="M171" s="437"/>
      <c r="N171" s="785"/>
      <c r="O171" s="766">
        <f t="shared" si="14"/>
        <v>91</v>
      </c>
      <c r="P171" s="329">
        <f t="shared" si="18"/>
        <v>1684.1074297470286</v>
      </c>
      <c r="Q171" s="76"/>
      <c r="R171" s="112"/>
      <c r="S171" s="75"/>
      <c r="T171" s="110"/>
    </row>
    <row r="172" spans="2:20" ht="20.25">
      <c r="B172" s="897"/>
      <c r="C172" s="380" t="s">
        <v>442</v>
      </c>
      <c r="D172" s="711">
        <v>176</v>
      </c>
      <c r="E172" s="321">
        <v>7.7519999999999998</v>
      </c>
      <c r="F172" s="321">
        <v>6.1840000000000002</v>
      </c>
      <c r="G172" s="321">
        <f>IF(D172&gt;0,VLOOKUP(D172,Tally!F:H,3,FALSE))</f>
        <v>12.205558366351722</v>
      </c>
      <c r="H172" s="409">
        <f t="shared" si="17"/>
        <v>528.89352072417012</v>
      </c>
      <c r="I172" s="764">
        <f t="shared" si="15"/>
        <v>1155.2139090228584</v>
      </c>
      <c r="J172" s="809">
        <v>87</v>
      </c>
      <c r="K172" s="435"/>
      <c r="L172" s="436"/>
      <c r="M172" s="437"/>
      <c r="N172" s="785"/>
      <c r="O172" s="766">
        <f t="shared" si="14"/>
        <v>92</v>
      </c>
      <c r="P172" s="329">
        <f t="shared" si="18"/>
        <v>1684.1074297470286</v>
      </c>
      <c r="Q172" s="76"/>
      <c r="R172" s="112"/>
      <c r="S172" s="75"/>
      <c r="T172" s="110"/>
    </row>
    <row r="173" spans="2:20" ht="20.25">
      <c r="B173" s="897"/>
      <c r="C173" s="380" t="s">
        <v>443</v>
      </c>
      <c r="D173" s="711">
        <v>177</v>
      </c>
      <c r="E173" s="321">
        <v>7.7519999999999998</v>
      </c>
      <c r="F173" s="321">
        <v>6.1840000000000002</v>
      </c>
      <c r="G173" s="321">
        <f>IF(D173&gt;0,VLOOKUP(D173,Tally!F:H,3,FALSE))</f>
        <v>12.138505638524839</v>
      </c>
      <c r="H173" s="409">
        <f t="shared" si="17"/>
        <v>516.75501508564525</v>
      </c>
      <c r="I173" s="764">
        <f t="shared" si="15"/>
        <v>1167.3524146613831</v>
      </c>
      <c r="J173" s="809">
        <v>88</v>
      </c>
      <c r="K173" s="435"/>
      <c r="L173" s="436"/>
      <c r="M173" s="437"/>
      <c r="N173" s="785"/>
      <c r="O173" s="766">
        <f t="shared" si="14"/>
        <v>93</v>
      </c>
      <c r="P173" s="329">
        <f t="shared" si="18"/>
        <v>1684.1074297470284</v>
      </c>
      <c r="Q173" s="76"/>
      <c r="R173" s="112"/>
      <c r="S173" s="75"/>
      <c r="T173" s="110"/>
    </row>
    <row r="174" spans="2:20" ht="20.25">
      <c r="B174" s="897"/>
      <c r="C174" s="380" t="s">
        <v>444</v>
      </c>
      <c r="D174" s="711">
        <v>178</v>
      </c>
      <c r="E174" s="321">
        <v>7.7519999999999998</v>
      </c>
      <c r="F174" s="321">
        <v>6.1840000000000002</v>
      </c>
      <c r="G174" s="321">
        <f>IF(D174&gt;0,VLOOKUP(D174,Tally!F:H,3,FALSE))</f>
        <v>11.797146296860713</v>
      </c>
      <c r="H174" s="409">
        <f t="shared" si="17"/>
        <v>504.95786878878454</v>
      </c>
      <c r="I174" s="764">
        <f t="shared" si="15"/>
        <v>1179.1495609582439</v>
      </c>
      <c r="J174" s="809">
        <v>89</v>
      </c>
      <c r="K174" s="435"/>
      <c r="L174" s="436"/>
      <c r="M174" s="437"/>
      <c r="N174" s="785"/>
      <c r="O174" s="766">
        <f t="shared" ref="O174:O228" si="19">IF(D174&gt;0,O173+1,O173)</f>
        <v>94</v>
      </c>
      <c r="P174" s="329">
        <f t="shared" si="18"/>
        <v>1684.1074297470284</v>
      </c>
      <c r="Q174" s="76"/>
      <c r="R174" s="112"/>
      <c r="S174" s="75"/>
      <c r="T174" s="110"/>
    </row>
    <row r="175" spans="2:20" ht="20.25">
      <c r="B175" s="897"/>
      <c r="C175" s="380" t="s">
        <v>445</v>
      </c>
      <c r="D175" s="711">
        <v>179</v>
      </c>
      <c r="E175" s="321">
        <v>7.7519999999999998</v>
      </c>
      <c r="F175" s="321">
        <v>6.1840000000000002</v>
      </c>
      <c r="G175" s="321">
        <f>IF(D175&gt;0,VLOOKUP(D175,Tally!F:H,3,FALSE))</f>
        <v>12.333568119475769</v>
      </c>
      <c r="H175" s="409">
        <f t="shared" si="17"/>
        <v>492.62430066930875</v>
      </c>
      <c r="I175" s="764">
        <f t="shared" si="15"/>
        <v>1191.4831290777197</v>
      </c>
      <c r="J175" s="809">
        <v>90</v>
      </c>
      <c r="K175" s="435"/>
      <c r="L175" s="436"/>
      <c r="M175" s="437"/>
      <c r="N175" s="785"/>
      <c r="O175" s="766">
        <f t="shared" si="19"/>
        <v>95</v>
      </c>
      <c r="P175" s="329">
        <f t="shared" si="18"/>
        <v>1684.1074297470284</v>
      </c>
      <c r="Q175" s="76"/>
      <c r="R175" s="112"/>
      <c r="S175" s="75"/>
      <c r="T175" s="110"/>
    </row>
    <row r="176" spans="2:20" ht="21" thickBot="1">
      <c r="B176" s="898"/>
      <c r="C176" s="689" t="s">
        <v>446</v>
      </c>
      <c r="D176" s="712">
        <v>180</v>
      </c>
      <c r="E176" s="426">
        <v>7.7519999999999998</v>
      </c>
      <c r="F176" s="426">
        <v>6.1840000000000002</v>
      </c>
      <c r="G176" s="426">
        <f>IF(D176&gt;0,VLOOKUP(D176,Tally!F:H,3,FALSE))</f>
        <v>12.129362084730266</v>
      </c>
      <c r="H176" s="409">
        <f t="shared" si="17"/>
        <v>480.49493858457851</v>
      </c>
      <c r="I176" s="764">
        <f t="shared" si="15"/>
        <v>1203.6124911624499</v>
      </c>
      <c r="J176" s="809">
        <v>91</v>
      </c>
      <c r="K176" s="435"/>
      <c r="L176" s="436"/>
      <c r="M176" s="437"/>
      <c r="N176" s="785"/>
      <c r="O176" s="766">
        <f t="shared" si="19"/>
        <v>96</v>
      </c>
      <c r="P176" s="329">
        <f t="shared" si="18"/>
        <v>1684.1074297470284</v>
      </c>
      <c r="Q176" s="76"/>
      <c r="R176" s="112"/>
      <c r="S176" s="75"/>
      <c r="T176" s="110"/>
    </row>
    <row r="177" spans="2:20" ht="20.25">
      <c r="B177" s="899" t="s">
        <v>320</v>
      </c>
      <c r="C177" s="691" t="s">
        <v>447</v>
      </c>
      <c r="D177" s="713">
        <v>163</v>
      </c>
      <c r="E177" s="422">
        <v>7.7519999999999998</v>
      </c>
      <c r="F177" s="422">
        <v>6.1840000000000002</v>
      </c>
      <c r="G177" s="692">
        <f>IF(D177&gt;0,VLOOKUP(D177,Tally!F:H,3,FALSE))</f>
        <v>12.324424565681197</v>
      </c>
      <c r="H177" s="409">
        <f t="shared" si="17"/>
        <v>468.17051401889734</v>
      </c>
      <c r="I177" s="764">
        <f t="shared" si="15"/>
        <v>1215.9369157281312</v>
      </c>
      <c r="J177" s="809">
        <v>92</v>
      </c>
      <c r="K177" s="435"/>
      <c r="L177" s="436"/>
      <c r="M177" s="437"/>
      <c r="N177" s="785"/>
      <c r="O177" s="766">
        <f t="shared" si="19"/>
        <v>97</v>
      </c>
      <c r="P177" s="329">
        <f t="shared" si="18"/>
        <v>1684.1074297470286</v>
      </c>
      <c r="Q177" s="76"/>
      <c r="R177" s="112"/>
      <c r="S177" s="75"/>
      <c r="T177" s="110"/>
    </row>
    <row r="178" spans="2:20" ht="20.25">
      <c r="B178" s="895"/>
      <c r="C178" s="380" t="s">
        <v>448</v>
      </c>
      <c r="D178" s="711">
        <v>164</v>
      </c>
      <c r="E178" s="321">
        <v>7.7519999999999998</v>
      </c>
      <c r="F178" s="321">
        <v>6.1840000000000002</v>
      </c>
      <c r="G178" s="693">
        <f>IF(D178&gt;0,VLOOKUP(D178,Tally!F:H,3,FALSE))</f>
        <v>12.260419689119171</v>
      </c>
      <c r="H178" s="409">
        <f t="shared" si="17"/>
        <v>455.91009432977819</v>
      </c>
      <c r="I178" s="764">
        <f t="shared" si="15"/>
        <v>1228.1973354172503</v>
      </c>
      <c r="J178" s="809">
        <v>93</v>
      </c>
      <c r="K178" s="435"/>
      <c r="L178" s="436"/>
      <c r="M178" s="437"/>
      <c r="N178" s="785"/>
      <c r="O178" s="766">
        <f t="shared" si="19"/>
        <v>98</v>
      </c>
      <c r="P178" s="329">
        <f t="shared" si="18"/>
        <v>1684.1074297470286</v>
      </c>
      <c r="Q178" s="76"/>
      <c r="R178" s="112"/>
      <c r="S178" s="75"/>
      <c r="T178" s="110"/>
    </row>
    <row r="179" spans="2:20" ht="20.25">
      <c r="B179" s="895"/>
      <c r="C179" s="380" t="s">
        <v>449</v>
      </c>
      <c r="D179" s="711">
        <v>165</v>
      </c>
      <c r="E179" s="321">
        <v>7.7519999999999998</v>
      </c>
      <c r="F179" s="321">
        <v>6.1840000000000002</v>
      </c>
      <c r="G179" s="693">
        <f>IF(D179&gt;0,VLOOKUP(D179,Tally!F:H,3,FALSE))</f>
        <v>12.559109113075282</v>
      </c>
      <c r="H179" s="409">
        <f t="shared" si="17"/>
        <v>443.3509852167029</v>
      </c>
      <c r="I179" s="764">
        <f t="shared" si="15"/>
        <v>1240.7564445303256</v>
      </c>
      <c r="J179" s="809">
        <v>94</v>
      </c>
      <c r="K179" s="435"/>
      <c r="L179" s="436"/>
      <c r="M179" s="437"/>
      <c r="N179" s="785"/>
      <c r="O179" s="766">
        <f t="shared" si="19"/>
        <v>99</v>
      </c>
      <c r="P179" s="329">
        <f t="shared" si="18"/>
        <v>1684.1074297470284</v>
      </c>
      <c r="Q179" s="76"/>
      <c r="R179" s="112"/>
      <c r="S179" s="75"/>
      <c r="T179" s="110"/>
    </row>
    <row r="180" spans="2:20" ht="20.25">
      <c r="B180" s="895"/>
      <c r="C180" s="380" t="s">
        <v>450</v>
      </c>
      <c r="D180" s="711">
        <v>166</v>
      </c>
      <c r="E180" s="321">
        <v>7.7519999999999998</v>
      </c>
      <c r="F180" s="321">
        <v>6.1840000000000002</v>
      </c>
      <c r="G180" s="693">
        <f>IF(D180&gt;0,VLOOKUP(D180,Tally!F:H,3,FALSE))</f>
        <v>12.501199939042975</v>
      </c>
      <c r="H180" s="409">
        <f t="shared" si="17"/>
        <v>430.84978527765992</v>
      </c>
      <c r="I180" s="764">
        <f t="shared" si="15"/>
        <v>1253.2576444693684</v>
      </c>
      <c r="J180" s="809">
        <v>95</v>
      </c>
      <c r="K180" s="435"/>
      <c r="L180" s="436"/>
      <c r="M180" s="437"/>
      <c r="N180" s="785"/>
      <c r="O180" s="766">
        <f t="shared" si="19"/>
        <v>100</v>
      </c>
      <c r="P180" s="329">
        <f t="shared" si="18"/>
        <v>1684.1074297470284</v>
      </c>
      <c r="Q180" s="76"/>
      <c r="R180" s="112"/>
      <c r="S180" s="75"/>
      <c r="T180" s="110"/>
    </row>
    <row r="181" spans="2:20" ht="20.25">
      <c r="B181" s="895"/>
      <c r="C181" s="380" t="s">
        <v>451</v>
      </c>
      <c r="D181" s="711">
        <v>167</v>
      </c>
      <c r="E181" s="321">
        <v>7.7519999999999998</v>
      </c>
      <c r="F181" s="321">
        <v>6.1840000000000002</v>
      </c>
      <c r="G181" s="693">
        <f>IF(D181&gt;0,VLOOKUP(D181,Tally!F:H,3,FALSE))</f>
        <v>12.522534897896984</v>
      </c>
      <c r="H181" s="409">
        <f t="shared" si="17"/>
        <v>418.32725037976292</v>
      </c>
      <c r="I181" s="764">
        <f t="shared" si="15"/>
        <v>1265.7801793672654</v>
      </c>
      <c r="J181" s="809">
        <v>96</v>
      </c>
      <c r="K181" s="435"/>
      <c r="L181" s="436"/>
      <c r="M181" s="437"/>
      <c r="N181" s="785"/>
      <c r="O181" s="766">
        <f t="shared" si="19"/>
        <v>101</v>
      </c>
      <c r="P181" s="329">
        <f t="shared" si="18"/>
        <v>1684.1074297470284</v>
      </c>
      <c r="Q181" s="76"/>
      <c r="R181" s="112"/>
      <c r="S181" s="75"/>
      <c r="T181" s="110"/>
    </row>
    <row r="182" spans="2:20" ht="20.25">
      <c r="B182" s="895"/>
      <c r="C182" s="380" t="s">
        <v>452</v>
      </c>
      <c r="D182" s="711">
        <v>168</v>
      </c>
      <c r="E182" s="321">
        <v>7.7519999999999998</v>
      </c>
      <c r="F182" s="321">
        <v>6.1840000000000002</v>
      </c>
      <c r="G182" s="693">
        <f>IF(D182&gt;0,VLOOKUP(D182,Tally!F:H,3,FALSE))</f>
        <v>12.485960682718682</v>
      </c>
      <c r="H182" s="409">
        <f t="shared" si="17"/>
        <v>405.84128969704426</v>
      </c>
      <c r="I182" s="764">
        <f t="shared" si="15"/>
        <v>1278.2661400499842</v>
      </c>
      <c r="J182" s="809">
        <v>97</v>
      </c>
      <c r="K182" s="435"/>
      <c r="L182" s="436"/>
      <c r="M182" s="437"/>
      <c r="N182" s="785"/>
      <c r="O182" s="766">
        <f t="shared" si="19"/>
        <v>102</v>
      </c>
      <c r="P182" s="329">
        <f t="shared" si="18"/>
        <v>1684.1074297470284</v>
      </c>
      <c r="Q182" s="76"/>
      <c r="R182" s="112"/>
      <c r="S182" s="75"/>
      <c r="T182" s="110"/>
    </row>
    <row r="183" spans="2:20" ht="20.25">
      <c r="B183" s="895"/>
      <c r="C183" s="380" t="s">
        <v>453</v>
      </c>
      <c r="D183" s="711">
        <v>169</v>
      </c>
      <c r="E183" s="321">
        <v>7.7519999999999998</v>
      </c>
      <c r="F183" s="321">
        <v>6.1840000000000002</v>
      </c>
      <c r="G183" s="693">
        <f>IF(D183&gt;0,VLOOKUP(D183,Tally!F:H,3,FALSE))</f>
        <v>12.59873117951844</v>
      </c>
      <c r="H183" s="409">
        <f t="shared" si="17"/>
        <v>393.24255851752582</v>
      </c>
      <c r="I183" s="764">
        <f t="shared" si="15"/>
        <v>1290.8648712295026</v>
      </c>
      <c r="J183" s="809">
        <v>98</v>
      </c>
      <c r="K183" s="435"/>
      <c r="L183" s="436"/>
      <c r="M183" s="437"/>
      <c r="N183" s="785"/>
      <c r="O183" s="766">
        <f t="shared" si="19"/>
        <v>103</v>
      </c>
      <c r="P183" s="329">
        <f t="shared" si="18"/>
        <v>1684.1074297470284</v>
      </c>
      <c r="Q183" s="76"/>
      <c r="R183" s="112"/>
      <c r="S183" s="75"/>
      <c r="T183" s="110"/>
    </row>
    <row r="184" spans="2:20" ht="20.25">
      <c r="B184" s="895"/>
      <c r="C184" s="380" t="s">
        <v>454</v>
      </c>
      <c r="D184" s="711">
        <v>170</v>
      </c>
      <c r="E184" s="321">
        <v>7.7519999999999998</v>
      </c>
      <c r="F184" s="321">
        <v>6.1840000000000002</v>
      </c>
      <c r="G184" s="693">
        <f>IF(D184&gt;0,VLOOKUP(D184,Tally!F:H,3,FALSE))</f>
        <v>12.364046632124353</v>
      </c>
      <c r="H184" s="409">
        <f t="shared" si="17"/>
        <v>380.87851188540145</v>
      </c>
      <c r="I184" s="764">
        <f t="shared" si="15"/>
        <v>1303.228917861627</v>
      </c>
      <c r="J184" s="809">
        <v>99</v>
      </c>
      <c r="K184" s="435"/>
      <c r="L184" s="436"/>
      <c r="M184" s="437"/>
      <c r="N184" s="785"/>
      <c r="O184" s="766">
        <f t="shared" si="19"/>
        <v>104</v>
      </c>
      <c r="P184" s="329">
        <f t="shared" si="18"/>
        <v>1684.1074297470284</v>
      </c>
      <c r="Q184" s="76"/>
      <c r="R184" s="112"/>
      <c r="S184" s="75"/>
      <c r="T184" s="110"/>
    </row>
    <row r="185" spans="2:20" ht="21" thickBot="1">
      <c r="B185" s="900"/>
      <c r="C185" s="689" t="s">
        <v>455</v>
      </c>
      <c r="D185" s="712">
        <v>171</v>
      </c>
      <c r="E185" s="426">
        <v>7.7519999999999998</v>
      </c>
      <c r="F185" s="426">
        <v>6.1840000000000002</v>
      </c>
      <c r="G185" s="694">
        <f>IF(D185&gt;0,VLOOKUP(D185,Tally!F:H,3,FALSE))</f>
        <v>12.507295641572691</v>
      </c>
      <c r="H185" s="409">
        <f t="shared" si="17"/>
        <v>368.37121624382877</v>
      </c>
      <c r="I185" s="764">
        <f t="shared" si="13"/>
        <v>1315.7362135031997</v>
      </c>
      <c r="J185" s="809">
        <v>100</v>
      </c>
      <c r="K185" s="435"/>
      <c r="L185" s="436"/>
      <c r="M185" s="437"/>
      <c r="N185" s="785"/>
      <c r="O185" s="766">
        <f t="shared" si="19"/>
        <v>105</v>
      </c>
      <c r="P185" s="329">
        <f t="shared" si="18"/>
        <v>1684.1074297470284</v>
      </c>
      <c r="Q185" s="76"/>
      <c r="R185" s="112"/>
      <c r="S185" s="75"/>
      <c r="T185" s="110"/>
    </row>
    <row r="186" spans="2:20" ht="20.25">
      <c r="B186" s="901" t="s">
        <v>321</v>
      </c>
      <c r="C186" s="691" t="s">
        <v>456</v>
      </c>
      <c r="D186" s="713">
        <v>154</v>
      </c>
      <c r="E186" s="422">
        <v>7.7519999999999998</v>
      </c>
      <c r="F186" s="422">
        <v>6.1840000000000002</v>
      </c>
      <c r="G186" s="422">
        <f>IF(D186&gt;0,VLOOKUP(D186,Tally!F:H,3,FALSE))</f>
        <v>12.428051508686377</v>
      </c>
      <c r="H186" s="409">
        <f t="shared" si="17"/>
        <v>355.94316473514237</v>
      </c>
      <c r="I186" s="764">
        <f t="shared" si="13"/>
        <v>1328.1642650118861</v>
      </c>
      <c r="J186" s="809">
        <v>101</v>
      </c>
      <c r="K186" s="435"/>
      <c r="L186" s="436"/>
      <c r="M186" s="437"/>
      <c r="N186" s="785"/>
      <c r="O186" s="766">
        <f t="shared" si="19"/>
        <v>106</v>
      </c>
      <c r="P186" s="329">
        <f t="shared" si="18"/>
        <v>1684.1074297470284</v>
      </c>
      <c r="Q186" s="76"/>
      <c r="R186" s="112"/>
      <c r="S186" s="75"/>
      <c r="T186" s="110"/>
    </row>
    <row r="187" spans="2:20" ht="20.25">
      <c r="B187" s="902"/>
      <c r="C187" s="380" t="s">
        <v>457</v>
      </c>
      <c r="D187" s="711">
        <v>155</v>
      </c>
      <c r="E187" s="321">
        <v>7.7519999999999998</v>
      </c>
      <c r="F187" s="321">
        <v>6.1840000000000002</v>
      </c>
      <c r="G187" s="321">
        <f>IF(D187&gt;0,VLOOKUP(D187,Tally!F:H,3,FALSE))</f>
        <v>12.199462663822006</v>
      </c>
      <c r="H187" s="409">
        <f t="shared" si="17"/>
        <v>343.74370207132034</v>
      </c>
      <c r="I187" s="764">
        <f t="shared" si="13"/>
        <v>1340.3637276757081</v>
      </c>
      <c r="J187" s="809">
        <v>102</v>
      </c>
      <c r="K187" s="435"/>
      <c r="L187" s="436"/>
      <c r="M187" s="437"/>
      <c r="N187" s="785"/>
      <c r="O187" s="766">
        <f t="shared" si="19"/>
        <v>107</v>
      </c>
      <c r="P187" s="329">
        <f t="shared" si="18"/>
        <v>1684.1074297470284</v>
      </c>
      <c r="Q187" s="76"/>
      <c r="R187" s="112"/>
      <c r="S187" s="75"/>
      <c r="T187" s="110"/>
    </row>
    <row r="188" spans="2:20" ht="20.25">
      <c r="B188" s="902"/>
      <c r="C188" s="380" t="s">
        <v>458</v>
      </c>
      <c r="D188" s="711">
        <v>156</v>
      </c>
      <c r="E188" s="321">
        <v>7.7519999999999998</v>
      </c>
      <c r="F188" s="321">
        <v>6.1840000000000002</v>
      </c>
      <c r="G188" s="321">
        <f>IF(D188&gt;0,VLOOKUP(D188,Tally!F:H,3,FALSE))</f>
        <v>12.59568332825358</v>
      </c>
      <c r="H188" s="409">
        <f t="shared" si="17"/>
        <v>331.14801874306676</v>
      </c>
      <c r="I188" s="764">
        <f t="shared" si="13"/>
        <v>1352.9594110039616</v>
      </c>
      <c r="J188" s="809">
        <v>103</v>
      </c>
      <c r="K188" s="435"/>
      <c r="L188" s="436"/>
      <c r="M188" s="437"/>
      <c r="N188" s="785"/>
      <c r="O188" s="766">
        <f t="shared" si="19"/>
        <v>108</v>
      </c>
      <c r="P188" s="329">
        <f t="shared" si="18"/>
        <v>1684.1074297470284</v>
      </c>
      <c r="Q188" s="76"/>
      <c r="R188" s="112"/>
      <c r="S188" s="75"/>
      <c r="T188" s="110"/>
    </row>
    <row r="189" spans="2:20" ht="20.25">
      <c r="B189" s="902"/>
      <c r="C189" s="380" t="s">
        <v>459</v>
      </c>
      <c r="D189" s="711">
        <v>157</v>
      </c>
      <c r="E189" s="321">
        <v>7.7519999999999998</v>
      </c>
      <c r="F189" s="321">
        <v>6.1840000000000002</v>
      </c>
      <c r="G189" s="321">
        <f>IF(D189&gt;0,VLOOKUP(D189,Tally!F:H,3,FALSE))</f>
        <v>12.406716549832367</v>
      </c>
      <c r="H189" s="409">
        <f t="shared" si="17"/>
        <v>318.74130219323439</v>
      </c>
      <c r="I189" s="764">
        <f t="shared" si="13"/>
        <v>1365.3661275537938</v>
      </c>
      <c r="J189" s="809">
        <v>104</v>
      </c>
      <c r="K189" s="435"/>
      <c r="L189" s="436"/>
      <c r="M189" s="437"/>
      <c r="N189" s="785"/>
      <c r="O189" s="766">
        <f t="shared" si="19"/>
        <v>109</v>
      </c>
      <c r="P189" s="329">
        <f t="shared" si="18"/>
        <v>1684.1074297470282</v>
      </c>
      <c r="Q189" s="76"/>
      <c r="R189" s="112"/>
      <c r="S189" s="75"/>
      <c r="T189" s="110"/>
    </row>
    <row r="190" spans="2:20" ht="20.25">
      <c r="B190" s="902"/>
      <c r="C190" s="380" t="s">
        <v>460</v>
      </c>
      <c r="D190" s="711">
        <v>158</v>
      </c>
      <c r="E190" s="321">
        <v>7.7519999999999998</v>
      </c>
      <c r="F190" s="321">
        <v>6.1840000000000002</v>
      </c>
      <c r="G190" s="321">
        <f>IF(D190&gt;0,VLOOKUP(D190,Tally!F:H,3,FALSE))</f>
        <v>12.428051508686377</v>
      </c>
      <c r="H190" s="409">
        <f t="shared" si="17"/>
        <v>306.313250684548</v>
      </c>
      <c r="I190" s="764">
        <f t="shared" si="13"/>
        <v>1377.7941790624802</v>
      </c>
      <c r="J190" s="809">
        <v>105</v>
      </c>
      <c r="K190" s="435"/>
      <c r="L190" s="436"/>
      <c r="M190" s="437"/>
      <c r="N190" s="785"/>
      <c r="O190" s="766">
        <f t="shared" si="19"/>
        <v>110</v>
      </c>
      <c r="P190" s="329">
        <f t="shared" si="18"/>
        <v>1684.1074297470282</v>
      </c>
      <c r="Q190" s="76"/>
      <c r="R190" s="112"/>
      <c r="S190" s="75"/>
      <c r="T190" s="110"/>
    </row>
    <row r="191" spans="2:20" ht="20.25">
      <c r="B191" s="902"/>
      <c r="C191" s="380" t="s">
        <v>461</v>
      </c>
      <c r="D191" s="711">
        <v>159</v>
      </c>
      <c r="E191" s="321">
        <v>7.7519999999999998</v>
      </c>
      <c r="F191" s="321">
        <v>6.1840000000000002</v>
      </c>
      <c r="G191" s="321">
        <f>IF(D191&gt;0,VLOOKUP(D191,Tally!F:H,3,FALSE))</f>
        <v>12.473769277659249</v>
      </c>
      <c r="H191" s="409">
        <f t="shared" si="17"/>
        <v>293.83948140688875</v>
      </c>
      <c r="I191" s="764">
        <f t="shared" si="13"/>
        <v>1390.2679483401396</v>
      </c>
      <c r="J191" s="809">
        <v>106</v>
      </c>
      <c r="K191" s="435"/>
      <c r="L191" s="436"/>
      <c r="M191" s="437"/>
      <c r="N191" s="785"/>
      <c r="O191" s="766">
        <f t="shared" si="19"/>
        <v>111</v>
      </c>
      <c r="P191" s="329">
        <f t="shared" si="18"/>
        <v>1684.1074297470284</v>
      </c>
      <c r="Q191" s="76"/>
      <c r="R191" s="112"/>
      <c r="S191" s="75"/>
      <c r="T191" s="110"/>
    </row>
    <row r="192" spans="2:20" ht="20.25">
      <c r="B192" s="903"/>
      <c r="C192" s="380" t="s">
        <v>462</v>
      </c>
      <c r="D192" s="711">
        <v>160</v>
      </c>
      <c r="E192" s="321">
        <v>7.7519999999999998</v>
      </c>
      <c r="F192" s="321">
        <v>6.1840000000000002</v>
      </c>
      <c r="G192" s="321">
        <f>IF(D192&gt;0,VLOOKUP(D192,Tally!F:H,3,FALSE))</f>
        <v>12.397572996037793</v>
      </c>
      <c r="H192" s="409">
        <f t="shared" si="17"/>
        <v>281.44190841085094</v>
      </c>
      <c r="I192" s="764">
        <f t="shared" si="13"/>
        <v>1402.6655213361773</v>
      </c>
      <c r="J192" s="809">
        <v>107</v>
      </c>
      <c r="K192" s="435"/>
      <c r="L192" s="436"/>
      <c r="M192" s="437"/>
      <c r="N192" s="785"/>
      <c r="O192" s="766">
        <f t="shared" si="19"/>
        <v>112</v>
      </c>
      <c r="P192" s="329">
        <f t="shared" si="18"/>
        <v>1684.1074297470282</v>
      </c>
      <c r="Q192" s="76"/>
      <c r="R192" s="112"/>
      <c r="S192" s="75"/>
      <c r="T192" s="110"/>
    </row>
    <row r="193" spans="2:20" ht="20.25">
      <c r="B193" s="857"/>
      <c r="C193" s="858"/>
      <c r="D193" s="756"/>
      <c r="E193" s="321"/>
      <c r="F193" s="321"/>
      <c r="G193" s="859"/>
      <c r="H193" s="409">
        <f t="shared" si="17"/>
        <v>281.44190841085094</v>
      </c>
      <c r="I193" s="764">
        <f t="shared" ref="I193:I194" si="20">I192+G193</f>
        <v>1402.6655213361773</v>
      </c>
      <c r="J193" s="809">
        <v>108</v>
      </c>
      <c r="K193" s="435"/>
      <c r="L193" s="436"/>
      <c r="M193" s="437"/>
      <c r="N193" s="785"/>
      <c r="O193" s="766">
        <f t="shared" si="19"/>
        <v>112</v>
      </c>
      <c r="P193" s="329">
        <f t="shared" si="18"/>
        <v>1684.1074297470282</v>
      </c>
      <c r="Q193" s="76"/>
      <c r="R193" s="112"/>
      <c r="S193" s="75"/>
      <c r="T193" s="110"/>
    </row>
    <row r="194" spans="2:20" ht="20.25">
      <c r="B194" s="857"/>
      <c r="C194" s="858"/>
      <c r="D194" s="756"/>
      <c r="E194" s="321"/>
      <c r="F194" s="321"/>
      <c r="G194" s="859"/>
      <c r="H194" s="409">
        <f t="shared" si="17"/>
        <v>281.44190841085094</v>
      </c>
      <c r="I194" s="764">
        <f t="shared" si="20"/>
        <v>1402.6655213361773</v>
      </c>
      <c r="J194" s="810" t="s">
        <v>223</v>
      </c>
      <c r="K194" s="435" t="s">
        <v>244</v>
      </c>
      <c r="L194" s="436"/>
      <c r="M194" s="437"/>
      <c r="N194" s="785"/>
      <c r="O194" s="766">
        <f t="shared" si="19"/>
        <v>112</v>
      </c>
      <c r="P194" s="329">
        <f t="shared" si="18"/>
        <v>1684.1074297470282</v>
      </c>
      <c r="Q194" s="76"/>
      <c r="R194" s="112"/>
      <c r="S194" s="75"/>
      <c r="T194" s="110"/>
    </row>
    <row r="195" spans="2:20">
      <c r="B195" s="717"/>
      <c r="C195" s="406">
        <f>H199-270</f>
        <v>5.6193963994722935</v>
      </c>
      <c r="D195" s="381"/>
      <c r="E195" s="321"/>
      <c r="F195" s="321"/>
      <c r="G195" s="853"/>
      <c r="H195" s="409">
        <f t="shared" si="17"/>
        <v>281.44190841085094</v>
      </c>
      <c r="I195" s="764">
        <f t="shared" si="13"/>
        <v>1402.6655213361773</v>
      </c>
      <c r="J195" s="794"/>
      <c r="K195" s="435"/>
      <c r="L195" s="436"/>
      <c r="M195" s="437"/>
      <c r="N195" s="785"/>
      <c r="O195" s="766">
        <f t="shared" si="19"/>
        <v>112</v>
      </c>
      <c r="P195" s="329">
        <f t="shared" si="18"/>
        <v>1684.1074297470282</v>
      </c>
      <c r="Q195" s="76"/>
      <c r="R195" s="112"/>
      <c r="S195" s="75"/>
      <c r="T195" s="110"/>
    </row>
    <row r="196" spans="2:20" ht="16.5" thickBot="1">
      <c r="B196" s="718"/>
      <c r="C196" s="543" t="s">
        <v>205</v>
      </c>
      <c r="D196" s="429"/>
      <c r="E196" s="386"/>
      <c r="F196" s="386"/>
      <c r="G196" s="386"/>
      <c r="H196" s="409">
        <f t="shared" si="17"/>
        <v>281.44190841085094</v>
      </c>
      <c r="I196" s="764">
        <f t="shared" si="13"/>
        <v>1402.6655213361773</v>
      </c>
      <c r="J196" s="794"/>
      <c r="K196" s="435"/>
      <c r="L196" s="436"/>
      <c r="M196" s="437"/>
      <c r="N196" s="785"/>
      <c r="O196" s="766">
        <f t="shared" si="19"/>
        <v>112</v>
      </c>
      <c r="P196" s="329">
        <f t="shared" si="18"/>
        <v>1684.1074297470282</v>
      </c>
      <c r="Q196" s="76"/>
      <c r="R196" s="112"/>
      <c r="S196" s="75"/>
      <c r="T196" s="110"/>
    </row>
    <row r="197" spans="2:20">
      <c r="B197" s="909" t="s">
        <v>213</v>
      </c>
      <c r="C197" s="549" t="s">
        <v>204</v>
      </c>
      <c r="D197" s="546"/>
      <c r="E197" s="422">
        <v>7.7519999999999998</v>
      </c>
      <c r="F197" s="422">
        <v>6.1840000000000002</v>
      </c>
      <c r="G197" s="750">
        <f>1.606+0.28-$H$15</f>
        <v>1.7628160113786449</v>
      </c>
      <c r="H197" s="409">
        <f t="shared" si="17"/>
        <v>279.67909239947232</v>
      </c>
      <c r="I197" s="764">
        <f t="shared" si="13"/>
        <v>1404.428337347556</v>
      </c>
      <c r="J197" s="794"/>
      <c r="K197" s="799" t="s">
        <v>216</v>
      </c>
      <c r="L197" s="800">
        <f>H199*3.281</f>
        <v>904.30723958666863</v>
      </c>
      <c r="M197" s="801" t="s">
        <v>8</v>
      </c>
      <c r="N197" s="808"/>
      <c r="O197" s="766">
        <f t="shared" si="19"/>
        <v>112</v>
      </c>
      <c r="P197" s="329">
        <f t="shared" si="18"/>
        <v>1684.1074297470282</v>
      </c>
      <c r="Q197" s="76"/>
      <c r="R197" s="112"/>
      <c r="S197" s="75"/>
      <c r="T197" s="110"/>
    </row>
    <row r="198" spans="2:20">
      <c r="B198" s="910"/>
      <c r="C198" s="532" t="s">
        <v>203</v>
      </c>
      <c r="D198" s="531"/>
      <c r="E198" s="321">
        <v>7.758</v>
      </c>
      <c r="F198" s="321">
        <v>6.1449999999999996</v>
      </c>
      <c r="G198" s="746">
        <v>1.3776959999999998</v>
      </c>
      <c r="H198" s="409">
        <f t="shared" si="17"/>
        <v>278.30139639947231</v>
      </c>
      <c r="I198" s="764">
        <f t="shared" si="13"/>
        <v>1405.806033347556</v>
      </c>
      <c r="J198" s="794"/>
      <c r="K198" s="799" t="s">
        <v>235</v>
      </c>
      <c r="L198" s="800">
        <v>1000</v>
      </c>
      <c r="M198" s="801" t="s">
        <v>8</v>
      </c>
      <c r="N198" s="808"/>
      <c r="O198" s="766">
        <f t="shared" si="19"/>
        <v>112</v>
      </c>
      <c r="P198" s="329">
        <f t="shared" si="18"/>
        <v>1684.1074297470282</v>
      </c>
      <c r="Q198" s="76"/>
      <c r="R198" s="112"/>
      <c r="S198" s="75"/>
      <c r="T198" s="110"/>
    </row>
    <row r="199" spans="2:20" ht="18">
      <c r="B199" s="910"/>
      <c r="C199" s="749" t="s">
        <v>345</v>
      </c>
      <c r="D199" s="531"/>
      <c r="E199" s="748">
        <v>9.4459999999999997</v>
      </c>
      <c r="F199" s="874">
        <v>5.875</v>
      </c>
      <c r="G199" s="746">
        <v>2.6819999999999999</v>
      </c>
      <c r="H199" s="540">
        <f t="shared" si="17"/>
        <v>275.61939639947229</v>
      </c>
      <c r="I199" s="764">
        <f t="shared" si="13"/>
        <v>1408.488033347556</v>
      </c>
      <c r="J199" s="794"/>
      <c r="K199" s="799" t="s">
        <v>215</v>
      </c>
      <c r="L199" s="802">
        <f>L198-L197</f>
        <v>95.692760413331371</v>
      </c>
      <c r="M199" s="801" t="s">
        <v>8</v>
      </c>
      <c r="N199" s="808"/>
      <c r="O199" s="766">
        <f t="shared" si="19"/>
        <v>112</v>
      </c>
      <c r="P199" s="329">
        <f t="shared" si="18"/>
        <v>1684.1074297470282</v>
      </c>
      <c r="Q199" s="76"/>
      <c r="R199" s="112"/>
      <c r="S199" s="75"/>
      <c r="T199" s="110"/>
    </row>
    <row r="200" spans="2:20">
      <c r="B200" s="910"/>
      <c r="C200" s="532" t="s">
        <v>203</v>
      </c>
      <c r="D200" s="531"/>
      <c r="E200" s="321">
        <v>7.758</v>
      </c>
      <c r="F200" s="321">
        <v>6.1429999999999998</v>
      </c>
      <c r="G200" s="746">
        <v>1.3776959999999998</v>
      </c>
      <c r="H200" s="409">
        <f t="shared" si="17"/>
        <v>274.24170039947228</v>
      </c>
      <c r="I200" s="764">
        <f t="shared" si="13"/>
        <v>1409.865729347556</v>
      </c>
      <c r="J200" s="794"/>
      <c r="K200" s="803"/>
      <c r="L200" s="804"/>
      <c r="M200" s="805"/>
      <c r="N200" s="785"/>
      <c r="O200" s="766">
        <f t="shared" si="19"/>
        <v>112</v>
      </c>
      <c r="P200" s="329">
        <f t="shared" si="18"/>
        <v>1684.1074297470282</v>
      </c>
      <c r="Q200" s="76"/>
      <c r="R200" s="112"/>
      <c r="S200" s="75"/>
      <c r="T200" s="110"/>
    </row>
    <row r="201" spans="2:20" ht="16.5" thickBot="1">
      <c r="B201" s="911"/>
      <c r="C201" s="550" t="s">
        <v>204</v>
      </c>
      <c r="D201" s="547"/>
      <c r="E201" s="426">
        <v>7.76</v>
      </c>
      <c r="F201" s="426">
        <v>6.2050000000000001</v>
      </c>
      <c r="G201" s="751">
        <f>1.481+0.28</f>
        <v>1.7610000000000001</v>
      </c>
      <c r="H201" s="409">
        <f t="shared" si="17"/>
        <v>272.48070039947225</v>
      </c>
      <c r="I201" s="764">
        <f t="shared" si="13"/>
        <v>1411.626729347556</v>
      </c>
      <c r="J201" s="810" t="s">
        <v>223</v>
      </c>
      <c r="K201" s="435" t="s">
        <v>244</v>
      </c>
      <c r="L201" s="806"/>
      <c r="M201" s="805"/>
      <c r="N201" s="785"/>
      <c r="O201" s="766">
        <f t="shared" si="19"/>
        <v>112</v>
      </c>
      <c r="P201" s="329">
        <f t="shared" si="18"/>
        <v>1684.1074297470282</v>
      </c>
      <c r="Q201" s="76"/>
      <c r="R201" s="112"/>
      <c r="S201" s="75"/>
      <c r="T201" s="110"/>
    </row>
    <row r="202" spans="2:20">
      <c r="B202" s="716"/>
      <c r="C202" s="417"/>
      <c r="D202" s="418"/>
      <c r="E202" s="387"/>
      <c r="F202" s="387"/>
      <c r="G202" s="387"/>
      <c r="H202" s="409">
        <f t="shared" si="17"/>
        <v>272.48070039947225</v>
      </c>
      <c r="I202" s="764">
        <f t="shared" ref="I202:I229" si="21">I201+G202</f>
        <v>1411.626729347556</v>
      </c>
      <c r="J202" s="794"/>
      <c r="K202" s="435"/>
      <c r="L202" s="436"/>
      <c r="M202" s="437"/>
      <c r="N202" s="785"/>
      <c r="O202" s="766">
        <f t="shared" si="19"/>
        <v>112</v>
      </c>
      <c r="P202" s="329">
        <f t="shared" si="18"/>
        <v>1684.1074297470282</v>
      </c>
      <c r="Q202" s="76"/>
      <c r="R202" s="112"/>
      <c r="S202" s="75"/>
      <c r="T202" s="110"/>
    </row>
    <row r="203" spans="2:20">
      <c r="B203" s="717"/>
      <c r="C203" s="324"/>
      <c r="D203" s="381"/>
      <c r="E203" s="321"/>
      <c r="F203" s="321"/>
      <c r="G203" s="321"/>
      <c r="H203" s="409">
        <f t="shared" si="17"/>
        <v>272.48070039947225</v>
      </c>
      <c r="I203" s="764">
        <f t="shared" si="21"/>
        <v>1411.626729347556</v>
      </c>
      <c r="J203" s="794"/>
      <c r="K203" s="435"/>
      <c r="L203" s="436"/>
      <c r="M203" s="437"/>
      <c r="N203" s="785"/>
      <c r="O203" s="766">
        <f t="shared" si="19"/>
        <v>112</v>
      </c>
      <c r="P203" s="329">
        <f t="shared" si="18"/>
        <v>1684.1074297470282</v>
      </c>
      <c r="Q203" s="76"/>
      <c r="R203" s="112"/>
      <c r="S203" s="75"/>
      <c r="T203" s="110"/>
    </row>
    <row r="204" spans="2:20">
      <c r="B204" s="717"/>
      <c r="C204" s="411" t="s">
        <v>271</v>
      </c>
      <c r="D204" s="372"/>
      <c r="E204" s="321"/>
      <c r="F204" s="321"/>
      <c r="G204" s="321"/>
      <c r="H204" s="409">
        <f t="shared" si="17"/>
        <v>272.48070039947225</v>
      </c>
      <c r="I204" s="764">
        <f t="shared" si="21"/>
        <v>1411.626729347556</v>
      </c>
      <c r="J204" s="794"/>
      <c r="K204" s="435"/>
      <c r="L204" s="436"/>
      <c r="M204" s="437"/>
      <c r="N204" s="785"/>
      <c r="O204" s="766">
        <f t="shared" si="19"/>
        <v>112</v>
      </c>
      <c r="P204" s="329">
        <f t="shared" si="18"/>
        <v>1684.1074297470282</v>
      </c>
      <c r="Q204" s="76"/>
      <c r="R204" s="112"/>
      <c r="S204" s="75"/>
      <c r="T204" s="110"/>
    </row>
    <row r="205" spans="2:20" ht="20.25">
      <c r="B205" s="904" t="s">
        <v>321</v>
      </c>
      <c r="C205" s="410" t="s">
        <v>249</v>
      </c>
      <c r="D205" s="719">
        <v>161</v>
      </c>
      <c r="E205" s="321">
        <v>7.7519999999999998</v>
      </c>
      <c r="F205" s="321">
        <v>6.1840000000000002</v>
      </c>
      <c r="G205" s="321">
        <f>IF(D205&gt;0,VLOOKUP(D205,Tally!F:H,3,FALSE))</f>
        <v>12.126314233465406</v>
      </c>
      <c r="H205" s="409">
        <f t="shared" si="17"/>
        <v>260.35438616600686</v>
      </c>
      <c r="I205" s="764">
        <f t="shared" si="21"/>
        <v>1423.7530435810213</v>
      </c>
      <c r="J205" s="809">
        <v>109</v>
      </c>
      <c r="K205" s="435"/>
      <c r="L205" s="436"/>
      <c r="M205" s="437"/>
      <c r="N205" s="785"/>
      <c r="O205" s="766">
        <f t="shared" si="19"/>
        <v>113</v>
      </c>
      <c r="P205" s="329">
        <f t="shared" si="18"/>
        <v>1684.1074297470282</v>
      </c>
      <c r="Q205" s="76"/>
      <c r="R205" s="112"/>
      <c r="S205" s="75"/>
      <c r="T205" s="110"/>
    </row>
    <row r="206" spans="2:20" ht="21" thickBot="1">
      <c r="B206" s="905"/>
      <c r="C206" s="720" t="s">
        <v>250</v>
      </c>
      <c r="D206" s="721">
        <v>162</v>
      </c>
      <c r="E206" s="386">
        <v>7.7519999999999998</v>
      </c>
      <c r="F206" s="386">
        <v>6.1840000000000002</v>
      </c>
      <c r="G206" s="386">
        <f>IF(D206&gt;0,VLOOKUP(D206,Tally!F:H,3,FALSE))</f>
        <v>11.711806461444681</v>
      </c>
      <c r="H206" s="409">
        <f t="shared" si="17"/>
        <v>248.64257970456219</v>
      </c>
      <c r="I206" s="764">
        <f t="shared" si="21"/>
        <v>1435.464850042466</v>
      </c>
      <c r="J206" s="809">
        <v>110</v>
      </c>
      <c r="K206" s="435"/>
      <c r="L206" s="436"/>
      <c r="M206" s="437"/>
      <c r="N206" s="785"/>
      <c r="O206" s="766">
        <f t="shared" si="19"/>
        <v>114</v>
      </c>
      <c r="P206" s="329">
        <f t="shared" si="18"/>
        <v>1684.1074297470282</v>
      </c>
      <c r="Q206" s="76"/>
      <c r="R206" s="112"/>
      <c r="S206" s="75"/>
      <c r="T206" s="110"/>
    </row>
    <row r="207" spans="2:20" ht="20.25">
      <c r="B207" s="906" t="s">
        <v>322</v>
      </c>
      <c r="C207" s="722" t="s">
        <v>251</v>
      </c>
      <c r="D207" s="710">
        <v>145</v>
      </c>
      <c r="E207" s="422">
        <v>7.7519999999999998</v>
      </c>
      <c r="F207" s="422">
        <v>6.1840000000000002</v>
      </c>
      <c r="G207" s="692">
        <f>IF(D207&gt;0,VLOOKUP(D207,Tally!F:H,3,FALSE))</f>
        <v>12.047070100579091</v>
      </c>
      <c r="H207" s="409">
        <f t="shared" si="17"/>
        <v>236.59550960398309</v>
      </c>
      <c r="I207" s="764">
        <f t="shared" si="21"/>
        <v>1447.511920143045</v>
      </c>
      <c r="J207" s="809">
        <v>111</v>
      </c>
      <c r="K207" s="435"/>
      <c r="L207" s="436"/>
      <c r="M207" s="437"/>
      <c r="N207" s="785"/>
      <c r="O207" s="766">
        <f t="shared" si="19"/>
        <v>115</v>
      </c>
      <c r="P207" s="329">
        <f t="shared" si="18"/>
        <v>1684.1074297470282</v>
      </c>
      <c r="Q207" s="76"/>
      <c r="R207" s="112"/>
      <c r="S207" s="75"/>
      <c r="T207" s="110"/>
    </row>
    <row r="208" spans="2:20" ht="20.25">
      <c r="B208" s="907"/>
      <c r="C208" s="410" t="s">
        <v>252</v>
      </c>
      <c r="D208" s="711">
        <v>146</v>
      </c>
      <c r="E208" s="321">
        <v>7.7519999999999998</v>
      </c>
      <c r="F208" s="321">
        <v>6.1840000000000002</v>
      </c>
      <c r="G208" s="693">
        <f>IF(D208&gt;0,VLOOKUP(D208,Tally!F:H,3,FALSE))</f>
        <v>12.693214568729045</v>
      </c>
      <c r="H208" s="409">
        <f t="shared" si="17"/>
        <v>223.90229503525404</v>
      </c>
      <c r="I208" s="764">
        <f t="shared" si="21"/>
        <v>1460.205134711774</v>
      </c>
      <c r="J208" s="809">
        <v>112</v>
      </c>
      <c r="K208" s="435"/>
      <c r="L208" s="436"/>
      <c r="M208" s="437"/>
      <c r="N208" s="785"/>
      <c r="O208" s="766">
        <f t="shared" si="19"/>
        <v>116</v>
      </c>
      <c r="P208" s="329">
        <f t="shared" si="18"/>
        <v>1684.1074297470282</v>
      </c>
      <c r="Q208" s="76"/>
      <c r="R208" s="112"/>
      <c r="S208" s="75"/>
      <c r="T208" s="110"/>
    </row>
    <row r="209" spans="2:20" ht="20.25">
      <c r="B209" s="907"/>
      <c r="C209" s="410" t="s">
        <v>253</v>
      </c>
      <c r="D209" s="711">
        <v>147</v>
      </c>
      <c r="E209" s="321">
        <v>7.7519999999999998</v>
      </c>
      <c r="F209" s="321">
        <v>6.1840000000000002</v>
      </c>
      <c r="G209" s="693">
        <f>IF(D209&gt;0,VLOOKUP(D209,Tally!F:H,3,FALSE))</f>
        <v>12.242132581530022</v>
      </c>
      <c r="H209" s="409">
        <f t="shared" si="17"/>
        <v>211.66016245372401</v>
      </c>
      <c r="I209" s="764">
        <f t="shared" si="21"/>
        <v>1472.4472672933041</v>
      </c>
      <c r="J209" s="809">
        <v>113</v>
      </c>
      <c r="K209" s="435"/>
      <c r="L209" s="436"/>
      <c r="M209" s="437"/>
      <c r="N209" s="785"/>
      <c r="O209" s="766">
        <f t="shared" si="19"/>
        <v>117</v>
      </c>
      <c r="P209" s="329">
        <f t="shared" si="18"/>
        <v>1684.1074297470282</v>
      </c>
      <c r="Q209" s="76"/>
      <c r="R209" s="112"/>
      <c r="S209" s="75"/>
      <c r="T209" s="110"/>
    </row>
    <row r="210" spans="2:20" ht="20.25">
      <c r="B210" s="907"/>
      <c r="C210" s="410" t="s">
        <v>254</v>
      </c>
      <c r="D210" s="711">
        <v>148</v>
      </c>
      <c r="E210" s="321">
        <v>7.7519999999999998</v>
      </c>
      <c r="F210" s="321">
        <v>6.1840000000000002</v>
      </c>
      <c r="G210" s="693">
        <f>IF(D210&gt;0,VLOOKUP(D210,Tally!F:H,3,FALSE))</f>
        <v>12.543869856750991</v>
      </c>
      <c r="H210" s="409">
        <f t="shared" si="17"/>
        <v>199.11629259697301</v>
      </c>
      <c r="I210" s="764">
        <f t="shared" si="21"/>
        <v>1484.991137150055</v>
      </c>
      <c r="J210" s="809">
        <v>114</v>
      </c>
      <c r="K210" s="435"/>
      <c r="L210" s="436"/>
      <c r="M210" s="437"/>
      <c r="N210" s="785"/>
      <c r="O210" s="766">
        <f t="shared" si="19"/>
        <v>118</v>
      </c>
      <c r="P210" s="329">
        <f t="shared" si="18"/>
        <v>1684.1074297470279</v>
      </c>
      <c r="Q210" s="76"/>
      <c r="R210" s="112"/>
      <c r="S210" s="75"/>
      <c r="T210" s="110"/>
    </row>
    <row r="211" spans="2:20" ht="20.25">
      <c r="B211" s="907"/>
      <c r="C211" s="410" t="s">
        <v>255</v>
      </c>
      <c r="D211" s="711">
        <v>149</v>
      </c>
      <c r="E211" s="321">
        <v>7.7519999999999998</v>
      </c>
      <c r="F211" s="321">
        <v>6.1840000000000002</v>
      </c>
      <c r="G211" s="693">
        <f>IF(D211&gt;0,VLOOKUP(D211,Tally!F:H,3,FALSE))</f>
        <v>12.434147211216093</v>
      </c>
      <c r="H211" s="409">
        <f t="shared" si="17"/>
        <v>186.68214538575691</v>
      </c>
      <c r="I211" s="764">
        <f t="shared" si="21"/>
        <v>1497.425284361271</v>
      </c>
      <c r="J211" s="809">
        <v>115</v>
      </c>
      <c r="K211" s="435"/>
      <c r="L211" s="436"/>
      <c r="M211" s="437"/>
      <c r="N211" s="785"/>
      <c r="O211" s="766">
        <f t="shared" si="19"/>
        <v>119</v>
      </c>
      <c r="P211" s="329">
        <f t="shared" si="18"/>
        <v>1684.1074297470279</v>
      </c>
      <c r="Q211" s="76"/>
      <c r="R211" s="112"/>
      <c r="S211" s="75"/>
      <c r="T211" s="110"/>
    </row>
    <row r="212" spans="2:20" ht="20.25">
      <c r="B212" s="907"/>
      <c r="C212" s="410" t="s">
        <v>256</v>
      </c>
      <c r="D212" s="711">
        <v>150</v>
      </c>
      <c r="E212" s="321">
        <v>7.7519999999999998</v>
      </c>
      <c r="F212" s="321">
        <v>6.1840000000000002</v>
      </c>
      <c r="G212" s="693">
        <f>IF(D212&gt;0,VLOOKUP(D212,Tally!F:H,3,FALSE))</f>
        <v>12.467673575129535</v>
      </c>
      <c r="H212" s="409">
        <f t="shared" si="17"/>
        <v>174.21447181062737</v>
      </c>
      <c r="I212" s="764">
        <f t="shared" si="21"/>
        <v>1509.8929579364005</v>
      </c>
      <c r="J212" s="809">
        <v>116</v>
      </c>
      <c r="K212" s="435"/>
      <c r="L212" s="436"/>
      <c r="M212" s="437"/>
      <c r="N212" s="785"/>
      <c r="O212" s="766">
        <f t="shared" si="19"/>
        <v>120</v>
      </c>
      <c r="P212" s="329">
        <f t="shared" si="18"/>
        <v>1684.1074297470279</v>
      </c>
      <c r="Q212" s="76"/>
      <c r="R212" s="112"/>
      <c r="S212" s="75"/>
      <c r="T212" s="110"/>
    </row>
    <row r="213" spans="2:20" ht="20.25">
      <c r="B213" s="907"/>
      <c r="C213" s="410" t="s">
        <v>257</v>
      </c>
      <c r="D213" s="711">
        <v>151</v>
      </c>
      <c r="E213" s="321">
        <v>7.7519999999999998</v>
      </c>
      <c r="F213" s="321">
        <v>6.1840000000000002</v>
      </c>
      <c r="G213" s="693">
        <f>IF(D213&gt;0,VLOOKUP(D213,Tally!F:H,3,FALSE))</f>
        <v>11.687423651325815</v>
      </c>
      <c r="H213" s="409">
        <f t="shared" si="17"/>
        <v>162.52704815930156</v>
      </c>
      <c r="I213" s="764">
        <f t="shared" si="21"/>
        <v>1521.5803815877264</v>
      </c>
      <c r="J213" s="809">
        <v>117</v>
      </c>
      <c r="K213" s="435"/>
      <c r="L213" s="436"/>
      <c r="M213" s="437"/>
      <c r="N213" s="785"/>
      <c r="O213" s="766">
        <f t="shared" si="19"/>
        <v>121</v>
      </c>
      <c r="P213" s="329">
        <f t="shared" si="18"/>
        <v>1684.1074297470279</v>
      </c>
      <c r="Q213" s="76"/>
      <c r="R213" s="112"/>
      <c r="S213" s="75"/>
      <c r="T213" s="110"/>
    </row>
    <row r="214" spans="2:20" ht="20.25">
      <c r="B214" s="907"/>
      <c r="C214" s="410" t="s">
        <v>258</v>
      </c>
      <c r="D214" s="711">
        <v>152</v>
      </c>
      <c r="E214" s="321">
        <v>7.7519999999999998</v>
      </c>
      <c r="F214" s="321">
        <v>6.1840000000000002</v>
      </c>
      <c r="G214" s="693">
        <f>IF(D214&gt;0,VLOOKUP(D214,Tally!F:H,3,FALSE))</f>
        <v>12.802937214263943</v>
      </c>
      <c r="H214" s="409">
        <f t="shared" si="17"/>
        <v>149.72411094503761</v>
      </c>
      <c r="I214" s="764">
        <f t="shared" si="21"/>
        <v>1534.3833188019903</v>
      </c>
      <c r="J214" s="809">
        <v>118</v>
      </c>
      <c r="K214" s="435"/>
      <c r="L214" s="436"/>
      <c r="M214" s="437"/>
      <c r="N214" s="785"/>
      <c r="O214" s="766">
        <f t="shared" si="19"/>
        <v>122</v>
      </c>
      <c r="P214" s="329">
        <f t="shared" si="18"/>
        <v>1684.1074297470279</v>
      </c>
      <c r="Q214" s="76"/>
      <c r="R214" s="112"/>
      <c r="S214" s="75"/>
      <c r="T214" s="110"/>
    </row>
    <row r="215" spans="2:20" ht="21" thickBot="1">
      <c r="B215" s="908"/>
      <c r="C215" s="715" t="s">
        <v>259</v>
      </c>
      <c r="D215" s="712">
        <v>153</v>
      </c>
      <c r="E215" s="426">
        <v>7.7519999999999998</v>
      </c>
      <c r="F215" s="426">
        <v>6.1840000000000002</v>
      </c>
      <c r="G215" s="694">
        <f>IF(D215&gt;0,VLOOKUP(D215,Tally!F:H,3,FALSE))</f>
        <v>12.513391344102407</v>
      </c>
      <c r="H215" s="409">
        <f t="shared" si="17"/>
        <v>137.21071960093519</v>
      </c>
      <c r="I215" s="764">
        <f t="shared" si="21"/>
        <v>1546.8967101460928</v>
      </c>
      <c r="J215" s="809">
        <v>119</v>
      </c>
      <c r="K215" s="435"/>
      <c r="L215" s="436"/>
      <c r="M215" s="437"/>
      <c r="N215" s="785"/>
      <c r="O215" s="766">
        <f t="shared" si="19"/>
        <v>123</v>
      </c>
      <c r="P215" s="329">
        <f t="shared" si="18"/>
        <v>1684.1074297470279</v>
      </c>
      <c r="Q215" s="76"/>
      <c r="R215" s="112"/>
      <c r="S215" s="75"/>
      <c r="T215" s="110"/>
    </row>
    <row r="216" spans="2:20" ht="20.25" customHeight="1">
      <c r="B216" s="901" t="s">
        <v>323</v>
      </c>
      <c r="C216" s="714" t="s">
        <v>260</v>
      </c>
      <c r="D216" s="873">
        <v>136</v>
      </c>
      <c r="E216" s="387">
        <v>7.7519999999999998</v>
      </c>
      <c r="F216" s="387">
        <v>6.1840000000000002</v>
      </c>
      <c r="G216" s="387">
        <f>IF(D216&gt;0,VLOOKUP(D216,Tally!F:H,3,FALSE))</f>
        <v>12.629209692167024</v>
      </c>
      <c r="H216" s="409">
        <f t="shared" si="17"/>
        <v>124.58150990876817</v>
      </c>
      <c r="I216" s="764">
        <f t="shared" si="21"/>
        <v>1559.5259198382598</v>
      </c>
      <c r="J216" s="809">
        <v>120</v>
      </c>
      <c r="K216" s="435"/>
      <c r="L216" s="436"/>
      <c r="M216" s="437"/>
      <c r="N216" s="785"/>
      <c r="O216" s="766">
        <f t="shared" si="19"/>
        <v>124</v>
      </c>
      <c r="P216" s="329">
        <f t="shared" si="18"/>
        <v>1684.1074297470279</v>
      </c>
      <c r="Q216" s="76"/>
      <c r="R216" s="112"/>
      <c r="S216" s="75"/>
      <c r="T216" s="110"/>
    </row>
    <row r="217" spans="2:20" ht="20.25">
      <c r="B217" s="902"/>
      <c r="C217" s="410" t="s">
        <v>261</v>
      </c>
      <c r="D217" s="711">
        <v>137</v>
      </c>
      <c r="E217" s="321">
        <v>7.7519999999999998</v>
      </c>
      <c r="F217" s="321">
        <v>6.1840000000000002</v>
      </c>
      <c r="G217" s="321">
        <f>IF(D217&gt;0,VLOOKUP(D217,Tally!F:H,3,FALSE))</f>
        <v>12.364046632124353</v>
      </c>
      <c r="H217" s="409">
        <f t="shared" si="17"/>
        <v>112.21746327664381</v>
      </c>
      <c r="I217" s="764">
        <f t="shared" si="21"/>
        <v>1571.8899664703843</v>
      </c>
      <c r="J217" s="809">
        <v>121</v>
      </c>
      <c r="K217" s="435"/>
      <c r="L217" s="436"/>
      <c r="M217" s="437"/>
      <c r="N217" s="785"/>
      <c r="O217" s="766">
        <f t="shared" si="19"/>
        <v>125</v>
      </c>
      <c r="P217" s="329">
        <f t="shared" si="18"/>
        <v>1684.1074297470282</v>
      </c>
      <c r="Q217" s="76"/>
      <c r="R217" s="112"/>
      <c r="S217" s="75"/>
      <c r="T217" s="110"/>
    </row>
    <row r="218" spans="2:20" ht="20.25">
      <c r="B218" s="902"/>
      <c r="C218" s="410" t="s">
        <v>262</v>
      </c>
      <c r="D218" s="711">
        <v>138</v>
      </c>
      <c r="E218" s="321">
        <v>7.7519999999999998</v>
      </c>
      <c r="F218" s="321">
        <v>6.1840000000000002</v>
      </c>
      <c r="G218" s="321">
        <f>IF(D218&gt;0,VLOOKUP(D218,Tally!F:H,3,FALSE))</f>
        <v>12.479864980188967</v>
      </c>
      <c r="H218" s="409">
        <f t="shared" si="17"/>
        <v>99.737598296454848</v>
      </c>
      <c r="I218" s="764">
        <f t="shared" si="21"/>
        <v>1584.3698314505732</v>
      </c>
      <c r="J218" s="809">
        <v>122</v>
      </c>
      <c r="K218" s="435"/>
      <c r="L218" s="436"/>
      <c r="M218" s="437"/>
      <c r="N218" s="785"/>
      <c r="O218" s="766">
        <f t="shared" si="19"/>
        <v>126</v>
      </c>
      <c r="P218" s="329">
        <f t="shared" si="18"/>
        <v>1684.1074297470282</v>
      </c>
      <c r="Q218" s="76"/>
      <c r="R218" s="112"/>
      <c r="S218" s="75"/>
      <c r="T218" s="110"/>
    </row>
    <row r="219" spans="2:20" ht="20.25">
      <c r="B219" s="902"/>
      <c r="C219" s="410" t="s">
        <v>263</v>
      </c>
      <c r="D219" s="711">
        <v>139</v>
      </c>
      <c r="E219" s="321">
        <v>7.7519999999999998</v>
      </c>
      <c r="F219" s="321">
        <v>6.1840000000000002</v>
      </c>
      <c r="G219" s="321">
        <f>IF(D219&gt;0,VLOOKUP(D219,Tally!F:H,3,FALSE))</f>
        <v>12.729788783907345</v>
      </c>
      <c r="H219" s="409">
        <f t="shared" si="17"/>
        <v>87.00780951254751</v>
      </c>
      <c r="I219" s="764">
        <f t="shared" si="21"/>
        <v>1597.0996202344807</v>
      </c>
      <c r="J219" s="809">
        <v>123</v>
      </c>
      <c r="K219" s="435"/>
      <c r="L219" s="436"/>
      <c r="M219" s="437"/>
      <c r="N219" s="785"/>
      <c r="O219" s="766">
        <f t="shared" si="19"/>
        <v>127</v>
      </c>
      <c r="P219" s="329">
        <f t="shared" si="18"/>
        <v>1684.1074297470282</v>
      </c>
      <c r="Q219" s="76"/>
      <c r="R219" s="112"/>
      <c r="S219" s="75"/>
      <c r="T219" s="110"/>
    </row>
    <row r="220" spans="2:20" ht="20.25">
      <c r="B220" s="902"/>
      <c r="C220" s="410" t="s">
        <v>264</v>
      </c>
      <c r="D220" s="711">
        <v>140</v>
      </c>
      <c r="E220" s="321">
        <v>7.7519999999999998</v>
      </c>
      <c r="F220" s="321">
        <v>6.1840000000000002</v>
      </c>
      <c r="G220" s="321">
        <f>IF(D220&gt;0,VLOOKUP(D220,Tally!F:H,3,FALSE))</f>
        <v>12.098883572081682</v>
      </c>
      <c r="H220" s="409">
        <f t="shared" si="17"/>
        <v>74.908925940465821</v>
      </c>
      <c r="I220" s="764">
        <f t="shared" si="21"/>
        <v>1609.1985038065623</v>
      </c>
      <c r="J220" s="809">
        <v>124</v>
      </c>
      <c r="K220" s="435"/>
      <c r="L220" s="436"/>
      <c r="M220" s="437"/>
      <c r="N220" s="785"/>
      <c r="O220" s="766">
        <f t="shared" si="19"/>
        <v>128</v>
      </c>
      <c r="P220" s="329">
        <f t="shared" si="18"/>
        <v>1684.1074297470282</v>
      </c>
      <c r="Q220" s="76"/>
      <c r="R220" s="112"/>
      <c r="S220" s="75"/>
      <c r="T220" s="110"/>
    </row>
    <row r="221" spans="2:20" ht="20.25">
      <c r="B221" s="902"/>
      <c r="C221" s="410" t="s">
        <v>265</v>
      </c>
      <c r="D221" s="711">
        <v>141</v>
      </c>
      <c r="E221" s="321">
        <v>7.7519999999999998</v>
      </c>
      <c r="F221" s="321">
        <v>6.1840000000000002</v>
      </c>
      <c r="G221" s="321">
        <f>IF(D221&gt;0,VLOOKUP(D221,Tally!F:H,3,FALSE))</f>
        <v>12.799889362999085</v>
      </c>
      <c r="H221" s="409">
        <f t="shared" si="17"/>
        <v>62.109036577466739</v>
      </c>
      <c r="I221" s="764">
        <f t="shared" si="21"/>
        <v>1621.9983931695613</v>
      </c>
      <c r="J221" s="809">
        <v>125</v>
      </c>
      <c r="K221" s="435"/>
      <c r="L221" s="436"/>
      <c r="M221" s="437"/>
      <c r="N221" s="785"/>
      <c r="O221" s="766">
        <f t="shared" si="19"/>
        <v>129</v>
      </c>
      <c r="P221" s="329">
        <f t="shared" si="18"/>
        <v>1684.1074297470279</v>
      </c>
      <c r="Q221" s="76"/>
      <c r="R221" s="112"/>
      <c r="S221" s="75"/>
      <c r="T221" s="110"/>
    </row>
    <row r="222" spans="2:20" ht="20.25">
      <c r="B222" s="902"/>
      <c r="C222" s="410" t="s">
        <v>266</v>
      </c>
      <c r="D222" s="711">
        <v>142</v>
      </c>
      <c r="E222" s="321">
        <v>7.7519999999999998</v>
      </c>
      <c r="F222" s="321">
        <v>6.1840000000000002</v>
      </c>
      <c r="G222" s="321">
        <f>IF(D222&gt;0,VLOOKUP(D222,Tally!F:H,3,FALSE))</f>
        <v>12.370142334654069</v>
      </c>
      <c r="H222" s="321">
        <f t="shared" si="17"/>
        <v>49.73889424281267</v>
      </c>
      <c r="I222" s="321">
        <f t="shared" si="21"/>
        <v>1634.3685355042153</v>
      </c>
      <c r="J222" s="809">
        <v>126</v>
      </c>
      <c r="K222" s="435"/>
      <c r="L222" s="436"/>
      <c r="M222" s="437"/>
      <c r="N222" s="785"/>
      <c r="O222" s="872">
        <f t="shared" si="19"/>
        <v>130</v>
      </c>
      <c r="P222" s="329">
        <f t="shared" si="18"/>
        <v>1684.1074297470279</v>
      </c>
      <c r="Q222" s="76"/>
      <c r="R222" s="112"/>
      <c r="S222" s="75"/>
      <c r="T222" s="110"/>
    </row>
    <row r="223" spans="2:20" ht="21" thickBot="1">
      <c r="B223" s="860"/>
      <c r="C223" s="861" t="s">
        <v>267</v>
      </c>
      <c r="D223" s="862">
        <v>143</v>
      </c>
      <c r="E223" s="863">
        <v>7.7519999999999998</v>
      </c>
      <c r="F223" s="863">
        <v>6.1840000000000002</v>
      </c>
      <c r="G223" s="863">
        <f>IF(D223&gt;0,VLOOKUP(D223,Tally!F:H,3,FALSE))</f>
        <v>12.360998780859495</v>
      </c>
      <c r="H223" s="864">
        <f t="shared" si="17"/>
        <v>37.377895461953173</v>
      </c>
      <c r="I223" s="865">
        <f t="shared" si="21"/>
        <v>1646.7295342850748</v>
      </c>
      <c r="J223" s="866">
        <v>127</v>
      </c>
      <c r="K223" s="867"/>
      <c r="L223" s="868"/>
      <c r="M223" s="869"/>
      <c r="N223" s="870"/>
      <c r="O223" s="871">
        <f t="shared" si="19"/>
        <v>131</v>
      </c>
      <c r="P223" s="329">
        <f t="shared" si="18"/>
        <v>1684.1074297470279</v>
      </c>
      <c r="Q223" s="76"/>
      <c r="R223" s="112"/>
      <c r="S223" s="75"/>
      <c r="T223" s="110"/>
    </row>
    <row r="224" spans="2:20" ht="20.25">
      <c r="B224" s="733"/>
      <c r="C224" s="573" t="s">
        <v>268</v>
      </c>
      <c r="D224" s="730">
        <v>144</v>
      </c>
      <c r="E224" s="574">
        <v>7.7519999999999998</v>
      </c>
      <c r="F224" s="574">
        <v>6.1840000000000002</v>
      </c>
      <c r="G224" s="574">
        <f>IF(D224&gt;0,VLOOKUP(D224,Tally!F:H,3,FALSE))</f>
        <v>12.17507985370314</v>
      </c>
      <c r="H224" s="731">
        <f t="shared" si="17"/>
        <v>25.202815608250035</v>
      </c>
      <c r="I224" s="797">
        <f t="shared" si="21"/>
        <v>1658.904614138778</v>
      </c>
      <c r="J224" s="811">
        <v>128</v>
      </c>
      <c r="K224" s="473"/>
      <c r="L224" s="474"/>
      <c r="M224" s="475"/>
      <c r="N224" s="812"/>
      <c r="O224" s="813">
        <f t="shared" si="19"/>
        <v>132</v>
      </c>
      <c r="P224" s="329">
        <f t="shared" si="18"/>
        <v>1684.1074297470282</v>
      </c>
      <c r="Q224" s="76"/>
      <c r="R224" s="112"/>
      <c r="S224" s="75"/>
      <c r="T224" s="110"/>
    </row>
    <row r="225" spans="2:20" ht="21" thickBot="1">
      <c r="B225" s="723"/>
      <c r="C225" s="754" t="s">
        <v>269</v>
      </c>
      <c r="D225" s="724"/>
      <c r="E225" s="725"/>
      <c r="F225" s="725"/>
      <c r="G225" s="760">
        <v>0.61199999999999999</v>
      </c>
      <c r="H225" s="732">
        <f t="shared" si="17"/>
        <v>24.590815608250036</v>
      </c>
      <c r="I225" s="798">
        <f t="shared" si="21"/>
        <v>1659.5166141387781</v>
      </c>
      <c r="J225" s="814"/>
      <c r="K225" s="473"/>
      <c r="L225" s="474"/>
      <c r="M225" s="475"/>
      <c r="N225" s="812"/>
      <c r="O225" s="769">
        <f t="shared" si="19"/>
        <v>132</v>
      </c>
      <c r="P225" s="329">
        <f t="shared" si="18"/>
        <v>1684.1074297470282</v>
      </c>
      <c r="Q225" s="76"/>
      <c r="R225" s="112"/>
      <c r="S225" s="75"/>
      <c r="T225" s="110"/>
    </row>
    <row r="226" spans="2:20" ht="20.25">
      <c r="B226" s="734" t="s">
        <v>324</v>
      </c>
      <c r="C226" s="726" t="s">
        <v>270</v>
      </c>
      <c r="D226" s="727"/>
      <c r="E226" s="735"/>
      <c r="F226" s="735"/>
      <c r="G226" s="736">
        <v>9.6</v>
      </c>
      <c r="H226" s="732">
        <f t="shared" si="17"/>
        <v>14.990815608250037</v>
      </c>
      <c r="I226" s="798">
        <f t="shared" si="21"/>
        <v>1669.116614138778</v>
      </c>
      <c r="J226" s="814"/>
      <c r="K226" s="473"/>
      <c r="L226" s="474"/>
      <c r="M226" s="475"/>
      <c r="N226" s="812"/>
      <c r="O226" s="769">
        <f t="shared" si="19"/>
        <v>132</v>
      </c>
      <c r="P226" s="329">
        <f t="shared" si="18"/>
        <v>1684.1074297470279</v>
      </c>
      <c r="Q226" s="76"/>
      <c r="R226" s="112"/>
      <c r="S226" s="75"/>
      <c r="T226" s="110"/>
    </row>
    <row r="227" spans="2:20" ht="20.25">
      <c r="B227" s="737" t="s">
        <v>325</v>
      </c>
      <c r="C227" s="575" t="s">
        <v>270</v>
      </c>
      <c r="D227" s="576"/>
      <c r="E227" s="738"/>
      <c r="F227" s="738"/>
      <c r="G227" s="739">
        <v>9.6</v>
      </c>
      <c r="H227" s="732">
        <f t="shared" si="17"/>
        <v>5.3908156082500369</v>
      </c>
      <c r="I227" s="798">
        <f t="shared" si="21"/>
        <v>1678.7166141387779</v>
      </c>
      <c r="J227" s="814"/>
      <c r="K227" s="473"/>
      <c r="L227" s="474"/>
      <c r="M227" s="475"/>
      <c r="N227" s="812"/>
      <c r="O227" s="769">
        <f t="shared" si="19"/>
        <v>132</v>
      </c>
      <c r="P227" s="329">
        <f t="shared" si="18"/>
        <v>1684.1074297470279</v>
      </c>
      <c r="Q227" s="76"/>
      <c r="R227" s="112"/>
      <c r="S227" s="75"/>
      <c r="T227" s="110"/>
    </row>
    <row r="228" spans="2:20" ht="21" thickBot="1">
      <c r="B228" s="740">
        <v>1</v>
      </c>
      <c r="C228" s="728" t="s">
        <v>270</v>
      </c>
      <c r="D228" s="729"/>
      <c r="E228" s="741"/>
      <c r="F228" s="741"/>
      <c r="G228" s="742">
        <v>9.6300000000000008</v>
      </c>
      <c r="H228" s="732">
        <f t="shared" si="17"/>
        <v>-4.2391843917499639</v>
      </c>
      <c r="I228" s="798">
        <f t="shared" si="21"/>
        <v>1688.346614138778</v>
      </c>
      <c r="J228" s="814"/>
      <c r="K228" s="815"/>
      <c r="L228" s="474"/>
      <c r="M228" s="475"/>
      <c r="N228" s="812"/>
      <c r="O228" s="769">
        <f t="shared" si="19"/>
        <v>132</v>
      </c>
      <c r="P228" s="329" t="str">
        <f t="shared" si="18"/>
        <v/>
      </c>
      <c r="Q228" s="76"/>
      <c r="R228" s="112"/>
      <c r="S228" s="75"/>
      <c r="T228" s="110"/>
    </row>
    <row r="229" spans="2:20" ht="18">
      <c r="B229" s="816"/>
      <c r="C229" s="817" t="s">
        <v>214</v>
      </c>
      <c r="D229" s="818"/>
      <c r="E229" s="819"/>
      <c r="F229" s="819"/>
      <c r="G229" s="819"/>
      <c r="H229" s="820">
        <f t="shared" si="17"/>
        <v>-4.2391843917499639</v>
      </c>
      <c r="I229" s="821">
        <f t="shared" si="21"/>
        <v>1688.346614138778</v>
      </c>
      <c r="J229" s="822"/>
      <c r="K229" s="815"/>
      <c r="L229" s="474"/>
      <c r="M229" s="475"/>
      <c r="N229" s="812"/>
      <c r="O229" s="823"/>
      <c r="P229" s="329" t="str">
        <f t="shared" ref="P229" si="22">IF(H229&gt;0,H229+I229,"")</f>
        <v/>
      </c>
      <c r="Q229" s="76"/>
      <c r="R229" s="112"/>
      <c r="S229" s="75"/>
      <c r="T229" s="110"/>
    </row>
    <row r="230" spans="2:20">
      <c r="B230" s="830"/>
      <c r="C230" s="831"/>
      <c r="D230" s="832"/>
      <c r="E230" s="833"/>
      <c r="F230" s="833"/>
      <c r="G230" s="833"/>
      <c r="H230" s="833"/>
      <c r="I230" s="833"/>
      <c r="J230" s="834"/>
      <c r="K230" s="776"/>
      <c r="L230" s="413"/>
      <c r="M230" s="414"/>
      <c r="N230" s="414"/>
      <c r="O230" s="835"/>
      <c r="P230" s="329"/>
      <c r="Q230" s="76"/>
      <c r="R230" s="112"/>
      <c r="S230" s="75"/>
      <c r="T230" s="110"/>
    </row>
    <row r="231" spans="2:20" ht="16.5" thickBot="1">
      <c r="B231" s="839"/>
      <c r="C231" s="840"/>
      <c r="D231" s="841"/>
      <c r="E231" s="842"/>
      <c r="F231" s="842"/>
      <c r="G231" s="842"/>
      <c r="H231" s="842"/>
      <c r="I231" s="842"/>
      <c r="J231" s="843"/>
      <c r="K231" s="827"/>
      <c r="L231" s="828"/>
      <c r="M231" s="829"/>
      <c r="N231" s="829"/>
      <c r="O231" s="844"/>
      <c r="P231" s="329"/>
      <c r="Q231" s="76"/>
      <c r="R231" s="112"/>
      <c r="S231" s="75"/>
      <c r="T231" s="110"/>
    </row>
    <row r="232" spans="2:20">
      <c r="B232" s="824"/>
      <c r="C232" s="836"/>
      <c r="D232" s="418"/>
      <c r="E232" s="387"/>
      <c r="F232" s="387"/>
      <c r="G232" s="837"/>
      <c r="H232" s="838">
        <f>H223</f>
        <v>37.377895461953173</v>
      </c>
      <c r="I232" s="387"/>
      <c r="J232" s="825"/>
      <c r="K232" s="374"/>
      <c r="L232" s="419"/>
      <c r="M232" s="420"/>
      <c r="N232" s="421"/>
      <c r="O232" s="826"/>
      <c r="P232" s="329"/>
      <c r="Q232" s="76"/>
      <c r="R232" s="112"/>
      <c r="S232" s="75"/>
      <c r="T232" s="110"/>
    </row>
    <row r="233" spans="2:20">
      <c r="B233" s="423"/>
      <c r="C233" s="571" t="s">
        <v>354</v>
      </c>
      <c r="D233" s="381"/>
      <c r="E233" s="321"/>
      <c r="F233" s="321"/>
      <c r="G233" s="388">
        <f>G251</f>
        <v>4.6810794505745292</v>
      </c>
      <c r="H233" s="321">
        <f>H232-G233</f>
        <v>32.696816011378644</v>
      </c>
      <c r="I233" s="321"/>
      <c r="J233" s="318"/>
      <c r="K233" s="319"/>
      <c r="L233" s="326"/>
      <c r="M233" s="327"/>
      <c r="N233" s="328"/>
      <c r="O233" s="424"/>
      <c r="P233" s="329"/>
      <c r="Q233" s="76"/>
      <c r="R233" s="112"/>
      <c r="S233" s="75"/>
      <c r="T233" s="110"/>
    </row>
    <row r="234" spans="2:20" ht="16.5" thickBot="1">
      <c r="B234" s="427"/>
      <c r="C234" s="428"/>
      <c r="D234" s="429"/>
      <c r="E234" s="386"/>
      <c r="F234" s="386"/>
      <c r="G234" s="386"/>
      <c r="H234" s="321">
        <f t="shared" ref="H234:H238" si="23">H233-G234</f>
        <v>32.696816011378644</v>
      </c>
      <c r="I234" s="321"/>
      <c r="J234" s="318"/>
      <c r="K234" s="319"/>
      <c r="L234" s="326"/>
      <c r="M234" s="327"/>
      <c r="N234" s="328"/>
      <c r="O234" s="424"/>
      <c r="P234" s="329"/>
      <c r="Q234" s="76"/>
      <c r="R234" s="112"/>
      <c r="S234" s="75"/>
      <c r="T234" s="110"/>
    </row>
    <row r="235" spans="2:20" ht="15.75" customHeight="1">
      <c r="B235" s="892" t="s">
        <v>217</v>
      </c>
      <c r="C235" s="554" t="s">
        <v>245</v>
      </c>
      <c r="D235" s="555"/>
      <c r="E235" s="422">
        <v>7</v>
      </c>
      <c r="F235" s="422">
        <v>6.1840000000000002</v>
      </c>
      <c r="G235" s="750">
        <f>2.67-$H$15</f>
        <v>2.5468160113786449</v>
      </c>
      <c r="H235" s="321">
        <f t="shared" si="23"/>
        <v>30.15</v>
      </c>
      <c r="I235" s="321"/>
      <c r="J235" s="318"/>
      <c r="K235" s="319"/>
      <c r="L235" s="326"/>
      <c r="M235" s="327"/>
      <c r="N235" s="328"/>
      <c r="O235" s="424"/>
      <c r="P235" s="329"/>
      <c r="Q235" s="76"/>
      <c r="R235" s="112"/>
      <c r="S235" s="75"/>
      <c r="T235" s="110"/>
    </row>
    <row r="236" spans="2:20">
      <c r="B236" s="893"/>
      <c r="C236" s="552" t="s">
        <v>206</v>
      </c>
      <c r="D236" s="551"/>
      <c r="E236" s="321">
        <v>13.563000000000001</v>
      </c>
      <c r="F236" s="321">
        <v>6</v>
      </c>
      <c r="G236" s="556"/>
      <c r="H236" s="321">
        <f t="shared" si="23"/>
        <v>30.15</v>
      </c>
      <c r="I236" s="321"/>
      <c r="J236" s="318"/>
      <c r="K236" s="319"/>
      <c r="L236" s="326"/>
      <c r="M236" s="327"/>
      <c r="N236" s="328"/>
      <c r="O236" s="424"/>
      <c r="P236" s="329"/>
      <c r="Q236" s="76"/>
      <c r="R236" s="112"/>
      <c r="S236" s="75"/>
      <c r="T236" s="110"/>
    </row>
    <row r="237" spans="2:20" ht="16.5" thickBot="1">
      <c r="B237" s="894"/>
      <c r="C237" s="747" t="s">
        <v>344</v>
      </c>
      <c r="D237" s="557"/>
      <c r="E237" s="558"/>
      <c r="F237" s="559"/>
      <c r="G237" s="560"/>
      <c r="H237" s="321">
        <f t="shared" si="23"/>
        <v>30.15</v>
      </c>
      <c r="I237" s="321"/>
      <c r="J237" s="318"/>
      <c r="K237" s="319"/>
      <c r="L237" s="326"/>
      <c r="M237" s="327"/>
      <c r="N237" s="328"/>
      <c r="O237" s="424"/>
      <c r="P237" s="329"/>
      <c r="Q237" s="76"/>
      <c r="R237" s="112"/>
      <c r="S237" s="75"/>
      <c r="T237" s="110"/>
    </row>
    <row r="238" spans="2:20" ht="20.25">
      <c r="B238" s="425"/>
      <c r="C238" s="385" t="s">
        <v>207</v>
      </c>
      <c r="D238" s="418"/>
      <c r="E238" s="387"/>
      <c r="F238" s="387"/>
      <c r="G238" s="553">
        <v>30.15</v>
      </c>
      <c r="H238" s="845">
        <f t="shared" si="23"/>
        <v>0</v>
      </c>
      <c r="I238" s="321"/>
      <c r="J238" s="318"/>
      <c r="K238" s="319"/>
      <c r="L238" s="326"/>
      <c r="M238" s="327"/>
      <c r="N238" s="328"/>
      <c r="O238" s="424"/>
      <c r="P238" s="329"/>
      <c r="Q238" s="76"/>
      <c r="R238" s="112"/>
      <c r="S238" s="75"/>
      <c r="T238" s="110"/>
    </row>
    <row r="239" spans="2:20">
      <c r="B239" s="423"/>
      <c r="C239" s="412" t="s">
        <v>214</v>
      </c>
      <c r="D239" s="381"/>
      <c r="E239" s="321"/>
      <c r="F239" s="321"/>
      <c r="G239" s="321"/>
      <c r="H239" s="321"/>
      <c r="I239" s="321"/>
      <c r="J239" s="318"/>
      <c r="K239" s="319"/>
      <c r="L239" s="326"/>
      <c r="M239" s="327"/>
      <c r="N239" s="328"/>
      <c r="O239" s="424"/>
      <c r="P239" s="329"/>
      <c r="Q239" s="76"/>
      <c r="R239" s="112"/>
      <c r="S239" s="75"/>
      <c r="T239" s="110"/>
    </row>
    <row r="240" spans="2:20" ht="16.5" thickBot="1">
      <c r="B240" s="621"/>
      <c r="C240" s="622"/>
      <c r="D240" s="623"/>
      <c r="E240" s="426"/>
      <c r="F240" s="426"/>
      <c r="G240" s="426"/>
      <c r="H240" s="426"/>
      <c r="I240" s="426"/>
      <c r="J240" s="624"/>
      <c r="K240" s="625"/>
      <c r="L240" s="626"/>
      <c r="M240" s="627"/>
      <c r="N240" s="628"/>
      <c r="O240" s="629"/>
      <c r="P240" s="329"/>
      <c r="Q240" s="76"/>
      <c r="R240" s="112"/>
      <c r="S240" s="75"/>
      <c r="T240" s="110"/>
    </row>
    <row r="241" spans="2:20">
      <c r="B241" s="498"/>
      <c r="C241" s="431"/>
      <c r="D241" s="432"/>
      <c r="E241" s="433"/>
      <c r="F241" s="433"/>
      <c r="G241" s="433"/>
      <c r="H241" s="433"/>
      <c r="I241" s="433"/>
      <c r="J241" s="434"/>
      <c r="K241" s="435"/>
      <c r="L241" s="436"/>
      <c r="M241" s="437"/>
      <c r="N241" s="437"/>
      <c r="O241" s="499"/>
      <c r="P241" s="329"/>
      <c r="Q241" s="76"/>
      <c r="R241" s="112"/>
      <c r="S241" s="75"/>
      <c r="T241" s="110"/>
    </row>
    <row r="242" spans="2:20">
      <c r="B242" s="498"/>
      <c r="C242" s="431"/>
      <c r="D242" s="432"/>
      <c r="E242" s="433"/>
      <c r="F242" s="565" t="s">
        <v>226</v>
      </c>
      <c r="G242" s="565" t="s">
        <v>225</v>
      </c>
      <c r="H242" s="433"/>
      <c r="I242" s="433"/>
      <c r="J242" s="434"/>
      <c r="K242" s="435"/>
      <c r="L242" s="436"/>
      <c r="M242" s="437"/>
      <c r="N242" s="437"/>
      <c r="O242" s="499"/>
      <c r="P242" s="329"/>
      <c r="Q242" s="76"/>
      <c r="R242" s="112"/>
      <c r="S242" s="75"/>
      <c r="T242" s="110"/>
    </row>
    <row r="243" spans="2:20" ht="18">
      <c r="B243" s="498"/>
      <c r="C243" s="564" t="s">
        <v>224</v>
      </c>
      <c r="D243" s="432"/>
      <c r="E243" s="433"/>
      <c r="F243" s="433"/>
      <c r="G243" s="563">
        <f>SUM(G235:G238)</f>
        <v>32.696816011378644</v>
      </c>
      <c r="H243" s="433"/>
      <c r="I243" s="577"/>
      <c r="J243" s="578" t="s">
        <v>229</v>
      </c>
      <c r="K243" s="745" t="s">
        <v>298</v>
      </c>
      <c r="L243" s="579" t="s">
        <v>231</v>
      </c>
      <c r="M243" s="437"/>
      <c r="N243" s="437"/>
      <c r="O243" s="499"/>
      <c r="P243" s="329"/>
      <c r="Q243" s="76"/>
      <c r="R243" s="112"/>
      <c r="S243" s="75"/>
      <c r="T243" s="110"/>
    </row>
    <row r="244" spans="2:20" ht="18">
      <c r="B244" s="498"/>
      <c r="C244" s="564" t="s">
        <v>353</v>
      </c>
      <c r="D244" s="439"/>
      <c r="E244" s="433"/>
      <c r="F244" s="433">
        <f>G228+H228</f>
        <v>5.3908156082500369</v>
      </c>
      <c r="G244" s="433"/>
      <c r="H244" s="433"/>
      <c r="I244" s="577"/>
      <c r="J244" s="578" t="s">
        <v>230</v>
      </c>
      <c r="K244" s="745">
        <v>2</v>
      </c>
      <c r="L244" s="579" t="s">
        <v>231</v>
      </c>
      <c r="M244" s="437"/>
      <c r="N244" s="437"/>
      <c r="O244" s="499"/>
      <c r="P244" s="329"/>
      <c r="Q244" s="76"/>
      <c r="R244" s="112"/>
      <c r="S244" s="75"/>
      <c r="T244" s="110"/>
    </row>
    <row r="245" spans="2:20" ht="18">
      <c r="B245" s="498"/>
      <c r="C245" s="564" t="s">
        <v>326</v>
      </c>
      <c r="D245" s="439"/>
      <c r="E245" s="433"/>
      <c r="F245" s="563">
        <f>G227</f>
        <v>9.6</v>
      </c>
      <c r="G245" s="563"/>
      <c r="H245" s="433"/>
      <c r="I245" s="577"/>
      <c r="J245" s="578" t="s">
        <v>232</v>
      </c>
      <c r="K245" s="846" t="s">
        <v>298</v>
      </c>
      <c r="L245" s="579" t="s">
        <v>234</v>
      </c>
      <c r="M245" s="437"/>
      <c r="N245" s="437"/>
      <c r="O245" s="499"/>
      <c r="P245" s="329"/>
      <c r="Q245" s="76"/>
      <c r="R245" s="112"/>
      <c r="S245" s="75"/>
      <c r="T245" s="110"/>
    </row>
    <row r="246" spans="2:20" ht="18">
      <c r="B246" s="498"/>
      <c r="C246" s="564" t="s">
        <v>327</v>
      </c>
      <c r="D246" s="439"/>
      <c r="E246" s="433"/>
      <c r="F246" s="563">
        <f>G226</f>
        <v>9.6</v>
      </c>
      <c r="G246" s="433"/>
      <c r="H246" s="433"/>
      <c r="I246" s="577"/>
      <c r="J246" s="578" t="s">
        <v>233</v>
      </c>
      <c r="K246" s="846" t="s">
        <v>298</v>
      </c>
      <c r="L246" s="579" t="s">
        <v>234</v>
      </c>
      <c r="M246" s="437"/>
      <c r="N246" s="437"/>
      <c r="O246" s="499"/>
      <c r="P246" s="329"/>
      <c r="Q246" s="76"/>
      <c r="R246" s="112"/>
      <c r="S246" s="75"/>
      <c r="T246" s="110"/>
    </row>
    <row r="247" spans="2:20" ht="18">
      <c r="B247" s="498"/>
      <c r="C247" s="564" t="s">
        <v>463</v>
      </c>
      <c r="D247" s="439"/>
      <c r="E247" s="433"/>
      <c r="F247" s="563">
        <f>G225</f>
        <v>0.61199999999999999</v>
      </c>
      <c r="G247" s="433"/>
      <c r="H247" s="433"/>
      <c r="I247" s="577"/>
      <c r="J247" s="580"/>
      <c r="K247" s="581"/>
      <c r="L247" s="582"/>
      <c r="M247" s="437"/>
      <c r="N247" s="437"/>
      <c r="O247" s="499"/>
      <c r="P247" s="329"/>
      <c r="Q247" s="76"/>
      <c r="R247" s="112"/>
      <c r="S247" s="75"/>
      <c r="T247" s="110"/>
    </row>
    <row r="248" spans="2:20" ht="18">
      <c r="B248" s="498"/>
      <c r="C248" s="564" t="s">
        <v>328</v>
      </c>
      <c r="D248" s="439"/>
      <c r="E248" s="433"/>
      <c r="F248" s="563">
        <f>G224</f>
        <v>12.17507985370314</v>
      </c>
      <c r="G248" s="433"/>
      <c r="H248" s="433"/>
      <c r="I248" s="433"/>
      <c r="J248" s="434"/>
      <c r="K248" s="435"/>
      <c r="L248" s="436"/>
      <c r="M248" s="437"/>
      <c r="N248" s="437"/>
      <c r="O248" s="499"/>
      <c r="P248" s="329"/>
      <c r="Q248" s="76"/>
      <c r="R248" s="112"/>
      <c r="S248" s="75"/>
      <c r="T248" s="110"/>
    </row>
    <row r="249" spans="2:20" ht="18">
      <c r="B249" s="498"/>
      <c r="C249" s="564"/>
      <c r="D249" s="439"/>
      <c r="E249" s="433"/>
      <c r="F249" s="433"/>
      <c r="G249" s="433"/>
      <c r="H249" s="433"/>
      <c r="I249" s="433"/>
      <c r="J249" s="434"/>
      <c r="K249" s="435"/>
      <c r="L249" s="436"/>
      <c r="M249" s="437"/>
      <c r="N249" s="437"/>
      <c r="O249" s="499"/>
      <c r="P249" s="329"/>
      <c r="Q249" s="76"/>
      <c r="R249" s="112"/>
      <c r="S249" s="75"/>
      <c r="T249" s="110"/>
    </row>
    <row r="250" spans="2:20" ht="18">
      <c r="B250" s="498"/>
      <c r="C250" s="566" t="s">
        <v>227</v>
      </c>
      <c r="D250" s="501"/>
      <c r="E250" s="502"/>
      <c r="F250" s="567">
        <f>SUM(F243:F249)</f>
        <v>37.377895461953173</v>
      </c>
      <c r="G250" s="433"/>
      <c r="H250" s="433"/>
      <c r="I250" s="433"/>
      <c r="J250" s="434"/>
      <c r="K250" s="435"/>
      <c r="L250" s="436"/>
      <c r="M250" s="437"/>
      <c r="N250" s="437"/>
      <c r="O250" s="499"/>
      <c r="P250" s="329"/>
      <c r="Q250" s="76"/>
      <c r="R250" s="112"/>
      <c r="S250" s="75"/>
      <c r="T250" s="110"/>
    </row>
    <row r="251" spans="2:20" ht="18">
      <c r="B251" s="498"/>
      <c r="C251" s="568" t="s">
        <v>228</v>
      </c>
      <c r="D251" s="569"/>
      <c r="E251" s="570"/>
      <c r="F251" s="570"/>
      <c r="G251" s="572">
        <f>F250-G243</f>
        <v>4.6810794505745292</v>
      </c>
      <c r="H251" s="856" t="s">
        <v>464</v>
      </c>
      <c r="I251" s="433"/>
      <c r="J251" s="434"/>
      <c r="K251" s="435"/>
      <c r="L251" s="436"/>
      <c r="M251" s="437"/>
      <c r="N251" s="437"/>
      <c r="O251" s="499"/>
      <c r="P251" s="329"/>
      <c r="Q251" s="76"/>
      <c r="R251" s="112"/>
      <c r="S251" s="75"/>
      <c r="T251" s="110"/>
    </row>
    <row r="252" spans="2:20">
      <c r="B252" s="498"/>
      <c r="C252" s="431"/>
      <c r="D252" s="439"/>
      <c r="E252" s="433"/>
      <c r="F252" s="433"/>
      <c r="G252" s="433"/>
      <c r="H252" s="433"/>
      <c r="I252" s="433"/>
      <c r="J252" s="434"/>
      <c r="K252" s="435"/>
      <c r="L252" s="436"/>
      <c r="M252" s="437"/>
      <c r="N252" s="437"/>
      <c r="O252" s="499"/>
      <c r="P252" s="329"/>
      <c r="Q252" s="76"/>
      <c r="R252" s="112"/>
      <c r="S252" s="75"/>
      <c r="T252" s="110"/>
    </row>
    <row r="253" spans="2:20">
      <c r="B253" s="498"/>
      <c r="C253" s="431"/>
      <c r="D253" s="439"/>
      <c r="E253" s="433"/>
      <c r="F253" s="433"/>
      <c r="G253" s="433"/>
      <c r="H253" s="433"/>
      <c r="I253" s="433"/>
      <c r="J253" s="434"/>
      <c r="K253" s="435"/>
      <c r="L253" s="436"/>
      <c r="M253" s="437"/>
      <c r="N253" s="437"/>
      <c r="O253" s="499"/>
      <c r="P253" s="329"/>
      <c r="Q253" s="76"/>
      <c r="R253" s="112"/>
      <c r="S253" s="75"/>
      <c r="T253" s="110"/>
    </row>
    <row r="254" spans="2:20">
      <c r="B254" s="416"/>
      <c r="C254" s="500"/>
      <c r="D254" s="501"/>
      <c r="E254" s="502"/>
      <c r="F254" s="502"/>
      <c r="G254" s="502"/>
      <c r="H254" s="502"/>
      <c r="I254" s="502"/>
      <c r="J254" s="503"/>
      <c r="K254" s="504"/>
      <c r="L254" s="419"/>
      <c r="M254" s="420"/>
      <c r="N254" s="420"/>
      <c r="O254" s="505"/>
      <c r="P254" s="329"/>
      <c r="Q254" s="76"/>
      <c r="R254" s="112"/>
      <c r="S254" s="75"/>
      <c r="T254" s="110"/>
    </row>
    <row r="255" spans="2:20">
      <c r="B255" s="430"/>
      <c r="C255" s="431"/>
      <c r="D255" s="439"/>
      <c r="E255" s="433"/>
      <c r="F255" s="433"/>
      <c r="G255" s="433"/>
      <c r="H255" s="433"/>
      <c r="I255" s="433"/>
      <c r="J255" s="434"/>
      <c r="K255" s="435"/>
      <c r="L255" s="436"/>
      <c r="M255" s="437"/>
      <c r="N255" s="437"/>
      <c r="O255" s="438"/>
      <c r="P255" s="329"/>
      <c r="Q255" s="76"/>
      <c r="R255" s="112"/>
      <c r="S255" s="75"/>
      <c r="T255" s="110"/>
    </row>
    <row r="256" spans="2:20">
      <c r="B256" s="430"/>
      <c r="C256" s="431"/>
      <c r="D256" s="439"/>
      <c r="E256" s="433"/>
      <c r="F256" s="433"/>
      <c r="G256" s="433"/>
      <c r="H256" s="433"/>
      <c r="I256" s="433"/>
      <c r="J256" s="434"/>
      <c r="K256" s="435"/>
      <c r="L256" s="436"/>
      <c r="M256" s="437"/>
      <c r="N256" s="437"/>
      <c r="O256" s="438"/>
      <c r="P256" s="329"/>
      <c r="Q256" s="76"/>
      <c r="R256" s="112"/>
      <c r="S256" s="75"/>
      <c r="T256" s="110"/>
    </row>
    <row r="257" spans="2:20">
      <c r="B257" s="430"/>
      <c r="C257" s="431"/>
      <c r="D257" s="439"/>
      <c r="E257" s="433"/>
      <c r="F257" s="433"/>
      <c r="G257" s="433"/>
      <c r="H257" s="433"/>
      <c r="I257" s="433"/>
      <c r="J257" s="434"/>
      <c r="K257" s="435"/>
      <c r="L257" s="436"/>
      <c r="M257" s="437"/>
      <c r="N257" s="437"/>
      <c r="O257" s="438"/>
      <c r="P257" s="329"/>
      <c r="Q257" s="76"/>
      <c r="R257" s="112"/>
      <c r="S257" s="75"/>
      <c r="T257" s="110"/>
    </row>
    <row r="258" spans="2:20">
      <c r="B258" s="430"/>
      <c r="C258" s="431"/>
      <c r="D258" s="439"/>
      <c r="E258" s="433"/>
      <c r="F258" s="433"/>
      <c r="G258" s="433"/>
      <c r="H258" s="433"/>
      <c r="I258" s="433"/>
      <c r="J258" s="434"/>
      <c r="K258" s="435"/>
      <c r="L258" s="436"/>
      <c r="M258" s="437"/>
      <c r="N258" s="437"/>
      <c r="O258" s="438"/>
      <c r="P258" s="329"/>
      <c r="Q258" s="76"/>
      <c r="R258" s="112"/>
      <c r="S258" s="75"/>
      <c r="T258" s="110"/>
    </row>
    <row r="259" spans="2:20">
      <c r="B259" s="430"/>
      <c r="C259" s="431"/>
      <c r="D259" s="439"/>
      <c r="E259" s="433"/>
      <c r="F259" s="433"/>
      <c r="G259" s="433"/>
      <c r="H259" s="433"/>
      <c r="I259" s="433"/>
      <c r="J259" s="434"/>
      <c r="K259" s="435"/>
      <c r="L259" s="436"/>
      <c r="M259" s="437"/>
      <c r="N259" s="437"/>
      <c r="O259" s="438"/>
      <c r="P259" s="329"/>
      <c r="Q259" s="76"/>
      <c r="R259" s="112"/>
      <c r="S259" s="75"/>
      <c r="T259" s="110"/>
    </row>
    <row r="260" spans="2:20">
      <c r="B260" s="430"/>
      <c r="C260" s="431"/>
      <c r="D260" s="439"/>
      <c r="E260" s="433"/>
      <c r="F260" s="433"/>
      <c r="G260" s="433"/>
      <c r="H260" s="433"/>
      <c r="I260" s="433"/>
      <c r="J260" s="434"/>
      <c r="K260" s="435"/>
      <c r="L260" s="436"/>
      <c r="M260" s="437"/>
      <c r="N260" s="437"/>
      <c r="O260" s="438"/>
      <c r="P260" s="329"/>
      <c r="Q260" s="76"/>
      <c r="R260" s="112"/>
      <c r="S260" s="75"/>
      <c r="T260" s="110"/>
    </row>
    <row r="261" spans="2:20">
      <c r="B261" s="430"/>
      <c r="C261" s="431"/>
      <c r="D261" s="439"/>
      <c r="E261" s="433"/>
      <c r="F261" s="433"/>
      <c r="G261" s="433"/>
      <c r="H261" s="433"/>
      <c r="I261" s="433"/>
      <c r="J261" s="434"/>
      <c r="K261" s="435"/>
      <c r="L261" s="436"/>
      <c r="M261" s="437"/>
      <c r="N261" s="437"/>
      <c r="O261" s="438"/>
      <c r="P261" s="329"/>
      <c r="Q261" s="76"/>
      <c r="R261" s="112"/>
      <c r="S261" s="75"/>
      <c r="T261" s="110"/>
    </row>
    <row r="262" spans="2:20">
      <c r="B262" s="430"/>
      <c r="C262" s="431"/>
      <c r="D262" s="439"/>
      <c r="E262" s="433"/>
      <c r="F262" s="433"/>
      <c r="G262" s="433"/>
      <c r="H262" s="433"/>
      <c r="I262" s="433"/>
      <c r="J262" s="434"/>
      <c r="K262" s="435"/>
      <c r="L262" s="436"/>
      <c r="M262" s="437"/>
      <c r="N262" s="437"/>
      <c r="O262" s="438"/>
      <c r="P262" s="329"/>
      <c r="Q262" s="76"/>
      <c r="R262" s="112"/>
      <c r="S262" s="75"/>
      <c r="T262" s="110"/>
    </row>
    <row r="263" spans="2:20">
      <c r="B263" s="430"/>
      <c r="C263" s="431"/>
      <c r="D263" s="439"/>
      <c r="E263" s="433"/>
      <c r="F263" s="433"/>
      <c r="G263" s="433"/>
      <c r="H263" s="433"/>
      <c r="I263" s="433"/>
      <c r="J263" s="434"/>
      <c r="K263" s="435"/>
      <c r="L263" s="436"/>
      <c r="M263" s="437"/>
      <c r="N263" s="437"/>
      <c r="O263" s="438"/>
      <c r="P263" s="329"/>
      <c r="Q263" s="76"/>
      <c r="R263" s="112"/>
      <c r="S263" s="75"/>
      <c r="T263" s="110"/>
    </row>
    <row r="264" spans="2:20">
      <c r="B264" s="430"/>
      <c r="C264" s="431"/>
      <c r="D264" s="439"/>
      <c r="E264" s="433"/>
      <c r="F264" s="433"/>
      <c r="G264" s="433"/>
      <c r="H264" s="433"/>
      <c r="I264" s="433"/>
      <c r="J264" s="434"/>
      <c r="K264" s="435"/>
      <c r="L264" s="436"/>
      <c r="M264" s="437"/>
      <c r="N264" s="437"/>
      <c r="O264" s="438"/>
      <c r="P264" s="329"/>
      <c r="Q264" s="76"/>
      <c r="R264" s="112"/>
      <c r="S264" s="75"/>
      <c r="T264" s="110"/>
    </row>
    <row r="265" spans="2:20">
      <c r="B265" s="430"/>
      <c r="C265" s="431"/>
      <c r="D265" s="439"/>
      <c r="E265" s="433"/>
      <c r="F265" s="433"/>
      <c r="G265" s="433"/>
      <c r="H265" s="433"/>
      <c r="I265" s="433"/>
      <c r="J265" s="434"/>
      <c r="K265" s="435"/>
      <c r="L265" s="436"/>
      <c r="M265" s="437"/>
      <c r="N265" s="437"/>
      <c r="O265" s="438"/>
      <c r="P265" s="329"/>
      <c r="Q265" s="76"/>
      <c r="R265" s="112"/>
      <c r="S265" s="75"/>
      <c r="T265" s="110"/>
    </row>
    <row r="266" spans="2:20">
      <c r="B266" s="430"/>
      <c r="C266" s="431"/>
      <c r="D266" s="439"/>
      <c r="E266" s="433"/>
      <c r="F266" s="433"/>
      <c r="G266" s="433"/>
      <c r="H266" s="433"/>
      <c r="I266" s="433"/>
      <c r="J266" s="434"/>
      <c r="K266" s="435"/>
      <c r="L266" s="436"/>
      <c r="M266" s="437"/>
      <c r="N266" s="437"/>
      <c r="O266" s="438"/>
      <c r="P266" s="329"/>
      <c r="Q266" s="76"/>
      <c r="R266" s="112"/>
      <c r="S266" s="75"/>
      <c r="T266" s="110"/>
    </row>
    <row r="267" spans="2:20">
      <c r="B267" s="430"/>
      <c r="C267" s="431"/>
      <c r="D267" s="439"/>
      <c r="E267" s="433"/>
      <c r="F267" s="433"/>
      <c r="G267" s="433"/>
      <c r="H267" s="433"/>
      <c r="I267" s="433"/>
      <c r="J267" s="434"/>
      <c r="K267" s="435"/>
      <c r="L267" s="436"/>
      <c r="M267" s="437"/>
      <c r="N267" s="437"/>
      <c r="O267" s="438"/>
      <c r="P267" s="329"/>
      <c r="Q267" s="76"/>
      <c r="R267" s="112"/>
      <c r="S267" s="75"/>
      <c r="T267" s="110"/>
    </row>
    <row r="268" spans="2:20">
      <c r="B268" s="430"/>
      <c r="C268" s="431"/>
      <c r="D268" s="439"/>
      <c r="E268" s="433"/>
      <c r="F268" s="433"/>
      <c r="G268" s="433"/>
      <c r="H268" s="433"/>
      <c r="I268" s="433"/>
      <c r="J268" s="434"/>
      <c r="K268" s="435"/>
      <c r="L268" s="436"/>
      <c r="M268" s="437"/>
      <c r="N268" s="437"/>
      <c r="O268" s="438"/>
      <c r="P268" s="329"/>
      <c r="Q268" s="76"/>
      <c r="R268" s="112"/>
      <c r="S268" s="75"/>
      <c r="T268" s="110"/>
    </row>
    <row r="269" spans="2:20">
      <c r="B269" s="430"/>
      <c r="C269" s="431"/>
      <c r="D269" s="439"/>
      <c r="E269" s="433"/>
      <c r="F269" s="433"/>
      <c r="G269" s="433"/>
      <c r="H269" s="433"/>
      <c r="I269" s="433"/>
      <c r="J269" s="434"/>
      <c r="K269" s="435"/>
      <c r="L269" s="436"/>
      <c r="M269" s="437"/>
      <c r="N269" s="437"/>
      <c r="O269" s="438"/>
      <c r="P269" s="329"/>
      <c r="Q269" s="76"/>
      <c r="R269" s="112"/>
      <c r="S269" s="75"/>
      <c r="T269" s="110"/>
    </row>
    <row r="270" spans="2:20">
      <c r="B270" s="430"/>
      <c r="C270" s="431"/>
      <c r="D270" s="439"/>
      <c r="E270" s="433"/>
      <c r="F270" s="433"/>
      <c r="G270" s="433"/>
      <c r="H270" s="433"/>
      <c r="I270" s="433"/>
      <c r="J270" s="434"/>
      <c r="K270" s="435"/>
      <c r="L270" s="436"/>
      <c r="M270" s="437"/>
      <c r="N270" s="437"/>
      <c r="O270" s="438"/>
      <c r="P270" s="329"/>
      <c r="Q270" s="76"/>
      <c r="R270" s="112"/>
      <c r="S270" s="75"/>
      <c r="T270" s="110"/>
    </row>
    <row r="271" spans="2:20">
      <c r="B271" s="430"/>
      <c r="C271" s="431"/>
      <c r="D271" s="439"/>
      <c r="E271" s="433"/>
      <c r="F271" s="433"/>
      <c r="G271" s="433"/>
      <c r="H271" s="433"/>
      <c r="I271" s="433"/>
      <c r="J271" s="434"/>
      <c r="K271" s="435"/>
      <c r="L271" s="436"/>
      <c r="M271" s="437"/>
      <c r="N271" s="437"/>
      <c r="O271" s="438"/>
      <c r="P271" s="329"/>
      <c r="Q271" s="76"/>
      <c r="R271" s="112"/>
      <c r="S271" s="75"/>
      <c r="T271" s="110"/>
    </row>
    <row r="272" spans="2:20">
      <c r="B272" s="430"/>
      <c r="C272" s="431"/>
      <c r="D272" s="439"/>
      <c r="E272" s="433"/>
      <c r="F272" s="433"/>
      <c r="G272" s="433"/>
      <c r="H272" s="433"/>
      <c r="I272" s="433"/>
      <c r="J272" s="434"/>
      <c r="K272" s="435"/>
      <c r="L272" s="436"/>
      <c r="M272" s="437"/>
      <c r="N272" s="437"/>
      <c r="O272" s="438"/>
      <c r="P272" s="329"/>
      <c r="Q272" s="76"/>
      <c r="R272" s="112"/>
      <c r="S272" s="75"/>
      <c r="T272" s="110"/>
    </row>
    <row r="273" spans="2:20">
      <c r="B273" s="430"/>
      <c r="C273" s="431"/>
      <c r="D273" s="439"/>
      <c r="E273" s="433"/>
      <c r="F273" s="433"/>
      <c r="G273" s="433"/>
      <c r="H273" s="433"/>
      <c r="I273" s="433"/>
      <c r="J273" s="434"/>
      <c r="K273" s="435"/>
      <c r="L273" s="436"/>
      <c r="M273" s="437"/>
      <c r="N273" s="437"/>
      <c r="O273" s="438"/>
      <c r="P273" s="329"/>
      <c r="Q273" s="76"/>
      <c r="R273" s="112"/>
      <c r="S273" s="75"/>
      <c r="T273" s="110"/>
    </row>
    <row r="274" spans="2:20">
      <c r="B274" s="430"/>
      <c r="C274" s="431"/>
      <c r="D274" s="439"/>
      <c r="E274" s="433"/>
      <c r="F274" s="433"/>
      <c r="G274" s="433"/>
      <c r="H274" s="433"/>
      <c r="I274" s="433"/>
      <c r="J274" s="434"/>
      <c r="K274" s="435"/>
      <c r="L274" s="436"/>
      <c r="M274" s="437"/>
      <c r="N274" s="437"/>
      <c r="O274" s="438"/>
      <c r="P274" s="329"/>
      <c r="Q274" s="76"/>
      <c r="R274" s="112"/>
      <c r="S274" s="75"/>
      <c r="T274" s="110"/>
    </row>
    <row r="275" spans="2:20">
      <c r="B275" s="430"/>
      <c r="C275" s="431"/>
      <c r="D275" s="439"/>
      <c r="E275" s="433"/>
      <c r="F275" s="433"/>
      <c r="G275" s="433"/>
      <c r="H275" s="433"/>
      <c r="I275" s="433"/>
      <c r="J275" s="434"/>
      <c r="K275" s="435"/>
      <c r="L275" s="436"/>
      <c r="M275" s="437"/>
      <c r="N275" s="437"/>
      <c r="O275" s="438"/>
      <c r="P275" s="329"/>
      <c r="Q275" s="76"/>
      <c r="R275" s="112"/>
      <c r="S275" s="75"/>
      <c r="T275" s="110"/>
    </row>
    <row r="276" spans="2:20">
      <c r="B276" s="430"/>
      <c r="C276" s="431"/>
      <c r="D276" s="439"/>
      <c r="E276" s="433"/>
      <c r="F276" s="433"/>
      <c r="G276" s="433"/>
      <c r="H276" s="433"/>
      <c r="I276" s="433"/>
      <c r="J276" s="434"/>
      <c r="K276" s="435"/>
      <c r="L276" s="436"/>
      <c r="M276" s="437"/>
      <c r="N276" s="437"/>
      <c r="O276" s="438"/>
      <c r="P276" s="329"/>
      <c r="Q276" s="76"/>
      <c r="R276" s="112"/>
      <c r="S276" s="75"/>
      <c r="T276" s="110"/>
    </row>
    <row r="277" spans="2:20">
      <c r="B277" s="430"/>
      <c r="C277" s="431"/>
      <c r="D277" s="439"/>
      <c r="E277" s="433"/>
      <c r="F277" s="433"/>
      <c r="G277" s="433"/>
      <c r="H277" s="433"/>
      <c r="I277" s="433"/>
      <c r="J277" s="434"/>
      <c r="K277" s="435"/>
      <c r="L277" s="436"/>
      <c r="M277" s="437"/>
      <c r="N277" s="437"/>
      <c r="O277" s="438"/>
      <c r="P277" s="329"/>
      <c r="Q277" s="76"/>
      <c r="R277" s="112"/>
      <c r="S277" s="75"/>
      <c r="T277" s="110"/>
    </row>
    <row r="278" spans="2:20">
      <c r="B278" s="430"/>
      <c r="C278" s="431"/>
      <c r="D278" s="439"/>
      <c r="E278" s="433"/>
      <c r="F278" s="433"/>
      <c r="G278" s="433"/>
      <c r="H278" s="433"/>
      <c r="I278" s="433"/>
      <c r="J278" s="434"/>
      <c r="K278" s="435"/>
      <c r="L278" s="436"/>
      <c r="M278" s="437"/>
      <c r="N278" s="437"/>
      <c r="O278" s="438"/>
      <c r="P278" s="329"/>
      <c r="Q278" s="76"/>
      <c r="R278" s="112"/>
      <c r="S278" s="75"/>
      <c r="T278" s="110"/>
    </row>
    <row r="279" spans="2:20">
      <c r="B279" s="430"/>
      <c r="C279" s="431"/>
      <c r="D279" s="439"/>
      <c r="E279" s="433"/>
      <c r="F279" s="433"/>
      <c r="G279" s="433"/>
      <c r="H279" s="433"/>
      <c r="I279" s="433"/>
      <c r="J279" s="434"/>
      <c r="K279" s="435"/>
      <c r="L279" s="436"/>
      <c r="M279" s="437"/>
      <c r="N279" s="437"/>
      <c r="O279" s="438"/>
      <c r="P279" s="383"/>
      <c r="Q279" s="76"/>
      <c r="R279" s="112"/>
      <c r="S279" s="75"/>
      <c r="T279" s="110"/>
    </row>
    <row r="280" spans="2:20">
      <c r="B280" s="430"/>
      <c r="C280" s="431"/>
      <c r="D280" s="439"/>
      <c r="E280" s="433"/>
      <c r="F280" s="433"/>
      <c r="G280" s="433"/>
      <c r="H280" s="433"/>
      <c r="I280" s="433"/>
      <c r="J280" s="434"/>
      <c r="K280" s="435"/>
      <c r="L280" s="436"/>
      <c r="M280" s="437"/>
      <c r="N280" s="437"/>
      <c r="O280" s="438"/>
      <c r="P280" s="329"/>
      <c r="Q280" s="76"/>
      <c r="R280" s="112"/>
      <c r="S280" s="75"/>
      <c r="T280" s="110"/>
    </row>
    <row r="281" spans="2:20">
      <c r="B281" s="430"/>
      <c r="C281" s="431"/>
      <c r="D281" s="439"/>
      <c r="E281" s="433"/>
      <c r="F281" s="433"/>
      <c r="G281" s="433"/>
      <c r="H281" s="433"/>
      <c r="I281" s="433"/>
      <c r="J281" s="434"/>
      <c r="K281" s="435"/>
      <c r="L281" s="436"/>
      <c r="M281" s="437"/>
      <c r="N281" s="437"/>
      <c r="O281" s="438"/>
      <c r="P281" s="329"/>
      <c r="Q281" s="76"/>
      <c r="R281" s="112"/>
      <c r="S281" s="75"/>
      <c r="T281" s="110"/>
    </row>
    <row r="282" spans="2:20">
      <c r="B282" s="430"/>
      <c r="C282" s="431"/>
      <c r="D282" s="439"/>
      <c r="E282" s="433"/>
      <c r="F282" s="433"/>
      <c r="G282" s="433"/>
      <c r="H282" s="433"/>
      <c r="I282" s="433"/>
      <c r="J282" s="434"/>
      <c r="K282" s="435"/>
      <c r="L282" s="436"/>
      <c r="M282" s="437"/>
      <c r="N282" s="437"/>
      <c r="O282" s="438"/>
      <c r="P282" s="329"/>
      <c r="Q282" s="76"/>
      <c r="R282" s="112"/>
      <c r="S282" s="75"/>
      <c r="T282" s="110"/>
    </row>
    <row r="283" spans="2:20">
      <c r="B283" s="430"/>
      <c r="C283" s="431"/>
      <c r="D283" s="439"/>
      <c r="E283" s="433"/>
      <c r="F283" s="433"/>
      <c r="G283" s="433"/>
      <c r="H283" s="433"/>
      <c r="I283" s="433"/>
      <c r="J283" s="434"/>
      <c r="K283" s="435"/>
      <c r="L283" s="436"/>
      <c r="M283" s="437"/>
      <c r="N283" s="437"/>
      <c r="O283" s="438"/>
      <c r="P283" s="329"/>
      <c r="Q283" s="76"/>
      <c r="R283" s="112"/>
      <c r="S283" s="75"/>
      <c r="T283" s="110"/>
    </row>
    <row r="284" spans="2:20">
      <c r="B284" s="430"/>
      <c r="C284" s="431"/>
      <c r="D284" s="439"/>
      <c r="E284" s="433"/>
      <c r="F284" s="433"/>
      <c r="G284" s="433"/>
      <c r="H284" s="433"/>
      <c r="I284" s="433"/>
      <c r="J284" s="434"/>
      <c r="K284" s="435"/>
      <c r="L284" s="436"/>
      <c r="M284" s="437"/>
      <c r="N284" s="437"/>
      <c r="O284" s="438"/>
      <c r="P284" s="329"/>
      <c r="Q284" s="76"/>
      <c r="R284" s="112"/>
      <c r="S284" s="75"/>
      <c r="T284" s="110"/>
    </row>
    <row r="285" spans="2:20">
      <c r="B285" s="430"/>
      <c r="C285" s="431"/>
      <c r="D285" s="439"/>
      <c r="E285" s="433"/>
      <c r="F285" s="433"/>
      <c r="G285" s="433"/>
      <c r="H285" s="433"/>
      <c r="I285" s="433"/>
      <c r="J285" s="434"/>
      <c r="K285" s="435"/>
      <c r="L285" s="436"/>
      <c r="M285" s="437"/>
      <c r="N285" s="437"/>
      <c r="O285" s="438"/>
      <c r="P285" s="329"/>
      <c r="Q285" s="76"/>
      <c r="R285" s="112"/>
      <c r="S285" s="75"/>
      <c r="T285" s="110"/>
    </row>
    <row r="286" spans="2:20">
      <c r="B286" s="440"/>
      <c r="C286" s="441"/>
      <c r="D286" s="442"/>
      <c r="E286" s="433"/>
      <c r="F286" s="433"/>
      <c r="G286" s="433"/>
      <c r="H286" s="433"/>
      <c r="I286" s="433"/>
      <c r="J286" s="434"/>
      <c r="K286" s="435"/>
      <c r="L286" s="436"/>
      <c r="M286" s="437"/>
      <c r="N286" s="437"/>
      <c r="O286" s="438"/>
      <c r="P286" s="329"/>
      <c r="Q286" s="76"/>
      <c r="R286" s="112"/>
      <c r="S286" s="75"/>
      <c r="T286" s="110"/>
    </row>
    <row r="287" spans="2:20">
      <c r="B287" s="440"/>
      <c r="C287" s="441"/>
      <c r="D287" s="442"/>
      <c r="E287" s="433"/>
      <c r="F287" s="433"/>
      <c r="G287" s="433"/>
      <c r="H287" s="433"/>
      <c r="I287" s="433"/>
      <c r="J287" s="434"/>
      <c r="K287" s="435"/>
      <c r="L287" s="436"/>
      <c r="M287" s="437"/>
      <c r="N287" s="437"/>
      <c r="O287" s="438"/>
      <c r="P287" s="329"/>
      <c r="Q287" s="76"/>
      <c r="R287" s="112"/>
      <c r="S287" s="75"/>
      <c r="T287" s="110"/>
    </row>
    <row r="288" spans="2:20">
      <c r="B288" s="430"/>
      <c r="C288" s="431"/>
      <c r="D288" s="439"/>
      <c r="E288" s="433"/>
      <c r="F288" s="433"/>
      <c r="G288" s="433"/>
      <c r="H288" s="433"/>
      <c r="I288" s="433"/>
      <c r="J288" s="434"/>
      <c r="K288" s="435"/>
      <c r="L288" s="436"/>
      <c r="M288" s="437"/>
      <c r="N288" s="437"/>
      <c r="O288" s="438"/>
      <c r="P288" s="329"/>
      <c r="Q288" s="76"/>
      <c r="R288" s="112"/>
      <c r="S288" s="75"/>
      <c r="T288" s="110"/>
    </row>
    <row r="289" spans="2:20">
      <c r="B289" s="430"/>
      <c r="C289" s="431"/>
      <c r="D289" s="439"/>
      <c r="E289" s="433"/>
      <c r="F289" s="433"/>
      <c r="G289" s="433"/>
      <c r="H289" s="433"/>
      <c r="I289" s="433"/>
      <c r="J289" s="434"/>
      <c r="K289" s="435"/>
      <c r="L289" s="436"/>
      <c r="M289" s="437"/>
      <c r="N289" s="437"/>
      <c r="O289" s="438"/>
      <c r="P289" s="329"/>
      <c r="Q289" s="76"/>
      <c r="R289" s="112"/>
      <c r="S289" s="75"/>
      <c r="T289" s="110"/>
    </row>
    <row r="290" spans="2:20">
      <c r="B290" s="430"/>
      <c r="C290" s="431"/>
      <c r="D290" s="439"/>
      <c r="E290" s="433"/>
      <c r="F290" s="433"/>
      <c r="G290" s="433"/>
      <c r="H290" s="433"/>
      <c r="I290" s="433"/>
      <c r="J290" s="434"/>
      <c r="K290" s="435"/>
      <c r="L290" s="436"/>
      <c r="M290" s="437"/>
      <c r="N290" s="437"/>
      <c r="O290" s="438"/>
      <c r="P290" s="329"/>
      <c r="Q290" s="76"/>
      <c r="R290" s="112"/>
      <c r="S290" s="75"/>
      <c r="T290" s="110"/>
    </row>
    <row r="291" spans="2:20">
      <c r="B291" s="430"/>
      <c r="C291" s="431"/>
      <c r="D291" s="439"/>
      <c r="E291" s="433"/>
      <c r="F291" s="433"/>
      <c r="G291" s="433"/>
      <c r="H291" s="433"/>
      <c r="I291" s="433"/>
      <c r="J291" s="434"/>
      <c r="K291" s="435"/>
      <c r="L291" s="436"/>
      <c r="M291" s="437"/>
      <c r="N291" s="437"/>
      <c r="O291" s="438"/>
      <c r="P291" s="329"/>
      <c r="Q291" s="76"/>
      <c r="R291" s="112"/>
      <c r="S291" s="75"/>
      <c r="T291" s="110"/>
    </row>
    <row r="292" spans="2:20">
      <c r="B292" s="430"/>
      <c r="C292" s="431"/>
      <c r="D292" s="439"/>
      <c r="E292" s="433"/>
      <c r="F292" s="433"/>
      <c r="G292" s="433"/>
      <c r="H292" s="433"/>
      <c r="I292" s="433"/>
      <c r="J292" s="434"/>
      <c r="K292" s="435"/>
      <c r="L292" s="436"/>
      <c r="M292" s="437"/>
      <c r="N292" s="437"/>
      <c r="O292" s="438"/>
      <c r="P292" s="329"/>
      <c r="Q292" s="76"/>
      <c r="R292" s="112"/>
      <c r="S292" s="75"/>
      <c r="T292" s="110"/>
    </row>
    <row r="293" spans="2:20">
      <c r="B293" s="430"/>
      <c r="C293" s="431"/>
      <c r="D293" s="439"/>
      <c r="E293" s="433"/>
      <c r="F293" s="433"/>
      <c r="G293" s="433"/>
      <c r="H293" s="433"/>
      <c r="I293" s="433"/>
      <c r="J293" s="434"/>
      <c r="K293" s="435"/>
      <c r="L293" s="436"/>
      <c r="M293" s="437"/>
      <c r="N293" s="437"/>
      <c r="O293" s="438"/>
      <c r="P293" s="383"/>
      <c r="Q293" s="76"/>
      <c r="R293" s="112"/>
      <c r="S293" s="75"/>
      <c r="T293" s="110"/>
    </row>
    <row r="294" spans="2:20">
      <c r="B294" s="430"/>
      <c r="C294" s="431"/>
      <c r="D294" s="439"/>
      <c r="E294" s="433"/>
      <c r="F294" s="433"/>
      <c r="G294" s="433"/>
      <c r="H294" s="433"/>
      <c r="I294" s="433"/>
      <c r="J294" s="434"/>
      <c r="K294" s="435"/>
      <c r="L294" s="436"/>
      <c r="M294" s="437"/>
      <c r="N294" s="437"/>
      <c r="O294" s="438"/>
      <c r="P294" s="383" t="str">
        <f t="shared" ref="P294:P295" si="24">IF(H294&gt;0,H294+I294,"")</f>
        <v/>
      </c>
      <c r="Q294" s="76"/>
      <c r="R294" s="112"/>
      <c r="S294" s="75"/>
      <c r="T294" s="110"/>
    </row>
    <row r="295" spans="2:20">
      <c r="B295" s="430"/>
      <c r="C295" s="431"/>
      <c r="D295" s="439"/>
      <c r="E295" s="433"/>
      <c r="F295" s="433"/>
      <c r="G295" s="433"/>
      <c r="H295" s="433"/>
      <c r="I295" s="433"/>
      <c r="J295" s="434"/>
      <c r="K295" s="435"/>
      <c r="L295" s="436"/>
      <c r="M295" s="437"/>
      <c r="N295" s="437"/>
      <c r="O295" s="438"/>
      <c r="P295" s="383" t="str">
        <f t="shared" si="24"/>
        <v/>
      </c>
      <c r="Q295" s="76"/>
      <c r="R295" s="112"/>
      <c r="S295" s="75"/>
      <c r="T295" s="110"/>
    </row>
    <row r="296" spans="2:20">
      <c r="B296" s="430"/>
      <c r="C296" s="431"/>
      <c r="D296" s="439"/>
      <c r="E296" s="433"/>
      <c r="F296" s="433"/>
      <c r="G296" s="433"/>
      <c r="H296" s="433"/>
      <c r="I296" s="443"/>
      <c r="J296" s="444"/>
      <c r="K296" s="435"/>
      <c r="L296" s="436"/>
      <c r="M296" s="437"/>
      <c r="N296" s="437"/>
      <c r="O296" s="445"/>
      <c r="P296" s="382" t="str">
        <f t="shared" ref="P296:P305" si="25">IF(F296&gt;0,F296+G296,"")</f>
        <v/>
      </c>
      <c r="Q296" s="76"/>
      <c r="R296" s="112"/>
      <c r="S296" s="75"/>
      <c r="T296" s="110"/>
    </row>
    <row r="297" spans="2:20">
      <c r="B297" s="430"/>
      <c r="C297" s="431"/>
      <c r="D297" s="439"/>
      <c r="E297" s="433"/>
      <c r="F297" s="433"/>
      <c r="G297" s="433"/>
      <c r="H297" s="433"/>
      <c r="I297" s="443"/>
      <c r="J297" s="444"/>
      <c r="K297" s="435"/>
      <c r="L297" s="436"/>
      <c r="M297" s="437"/>
      <c r="N297" s="437"/>
      <c r="O297" s="445"/>
      <c r="P297" s="329" t="str">
        <f t="shared" si="25"/>
        <v/>
      </c>
      <c r="Q297" s="76"/>
      <c r="R297" s="112"/>
      <c r="S297" s="75"/>
      <c r="T297" s="110"/>
    </row>
    <row r="298" spans="2:20">
      <c r="B298" s="430"/>
      <c r="C298" s="446"/>
      <c r="D298" s="439"/>
      <c r="E298" s="433"/>
      <c r="F298" s="433"/>
      <c r="G298" s="433"/>
      <c r="H298" s="433"/>
      <c r="I298" s="443"/>
      <c r="J298" s="444"/>
      <c r="K298" s="435"/>
      <c r="L298" s="436"/>
      <c r="M298" s="437"/>
      <c r="N298" s="437"/>
      <c r="O298" s="445"/>
      <c r="P298" s="329" t="str">
        <f t="shared" si="25"/>
        <v/>
      </c>
      <c r="Q298" s="76"/>
      <c r="R298" s="112"/>
      <c r="S298" s="75"/>
      <c r="T298" s="110"/>
    </row>
    <row r="299" spans="2:20">
      <c r="B299" s="430"/>
      <c r="C299" s="446"/>
      <c r="D299" s="439"/>
      <c r="E299" s="433"/>
      <c r="F299" s="447"/>
      <c r="G299" s="448"/>
      <c r="H299" s="449"/>
      <c r="I299" s="443"/>
      <c r="J299" s="444"/>
      <c r="K299" s="435"/>
      <c r="L299" s="436"/>
      <c r="M299" s="437"/>
      <c r="N299" s="437"/>
      <c r="O299" s="445"/>
      <c r="P299" s="329" t="str">
        <f t="shared" si="25"/>
        <v/>
      </c>
      <c r="Q299" s="76"/>
      <c r="R299" s="112"/>
      <c r="S299" s="75"/>
      <c r="T299" s="110"/>
    </row>
    <row r="300" spans="2:20">
      <c r="B300" s="450"/>
      <c r="C300" s="451"/>
      <c r="D300" s="452"/>
      <c r="E300" s="433"/>
      <c r="F300" s="453"/>
      <c r="G300" s="448"/>
      <c r="H300" s="449"/>
      <c r="I300" s="443"/>
      <c r="J300" s="444"/>
      <c r="K300" s="435"/>
      <c r="L300" s="436"/>
      <c r="M300" s="437"/>
      <c r="N300" s="437"/>
      <c r="O300" s="445"/>
      <c r="P300" s="329" t="str">
        <f t="shared" si="25"/>
        <v/>
      </c>
      <c r="Q300" s="76"/>
      <c r="R300" s="112"/>
      <c r="S300" s="75"/>
      <c r="T300" s="110"/>
    </row>
    <row r="301" spans="2:20">
      <c r="B301" s="454"/>
      <c r="C301" s="455"/>
      <c r="D301" s="452"/>
      <c r="E301" s="433"/>
      <c r="F301" s="453"/>
      <c r="G301" s="448"/>
      <c r="H301" s="449"/>
      <c r="I301" s="443"/>
      <c r="J301" s="444"/>
      <c r="K301" s="435"/>
      <c r="L301" s="436"/>
      <c r="M301" s="437"/>
      <c r="N301" s="437"/>
      <c r="O301" s="445"/>
      <c r="P301" s="329" t="str">
        <f t="shared" si="25"/>
        <v/>
      </c>
      <c r="Q301" s="76"/>
      <c r="R301" s="112"/>
      <c r="S301" s="75"/>
      <c r="T301" s="110"/>
    </row>
    <row r="302" spans="2:20">
      <c r="B302" s="454"/>
      <c r="C302" s="455"/>
      <c r="D302" s="452"/>
      <c r="E302" s="433"/>
      <c r="F302" s="453"/>
      <c r="G302" s="448"/>
      <c r="H302" s="449"/>
      <c r="I302" s="443"/>
      <c r="J302" s="444"/>
      <c r="K302" s="435"/>
      <c r="L302" s="436"/>
      <c r="M302" s="437"/>
      <c r="N302" s="437"/>
      <c r="O302" s="445"/>
      <c r="P302" s="329" t="str">
        <f t="shared" si="25"/>
        <v/>
      </c>
      <c r="Q302" s="76"/>
      <c r="R302" s="112"/>
      <c r="S302" s="75"/>
      <c r="T302" s="110"/>
    </row>
    <row r="303" spans="2:20">
      <c r="B303" s="456"/>
      <c r="C303" s="457"/>
      <c r="D303" s="458"/>
      <c r="E303" s="459"/>
      <c r="F303" s="453"/>
      <c r="G303" s="448"/>
      <c r="H303" s="449"/>
      <c r="I303" s="443"/>
      <c r="J303" s="444"/>
      <c r="K303" s="435"/>
      <c r="L303" s="436"/>
      <c r="M303" s="437"/>
      <c r="N303" s="437"/>
      <c r="O303" s="445"/>
      <c r="P303" s="329" t="str">
        <f t="shared" si="25"/>
        <v/>
      </c>
      <c r="Q303" s="76"/>
      <c r="R303" s="112"/>
      <c r="S303" s="75"/>
      <c r="T303" s="110"/>
    </row>
    <row r="304" spans="2:20" ht="24" customHeight="1">
      <c r="B304" s="456"/>
      <c r="C304" s="460"/>
      <c r="D304" s="461"/>
      <c r="E304" s="462"/>
      <c r="F304" s="453"/>
      <c r="G304" s="472"/>
      <c r="H304" s="463"/>
      <c r="I304" s="464"/>
      <c r="J304" s="464"/>
      <c r="K304" s="473"/>
      <c r="L304" s="474"/>
      <c r="M304" s="475"/>
      <c r="N304" s="475"/>
      <c r="O304" s="476"/>
      <c r="P304" s="329" t="str">
        <f t="shared" si="25"/>
        <v/>
      </c>
      <c r="Q304" s="76"/>
      <c r="R304" s="112"/>
      <c r="S304" s="75"/>
      <c r="T304" s="110"/>
    </row>
    <row r="305" spans="2:20" ht="17.25">
      <c r="B305" s="477"/>
      <c r="C305" s="478"/>
      <c r="D305" s="479"/>
      <c r="E305" s="480"/>
      <c r="F305" s="453"/>
      <c r="G305" s="481"/>
      <c r="H305" s="482"/>
      <c r="I305" s="483"/>
      <c r="J305" s="484"/>
      <c r="K305" s="485"/>
      <c r="L305" s="486"/>
      <c r="M305" s="487"/>
      <c r="N305" s="487"/>
      <c r="O305" s="488"/>
      <c r="P305" s="147" t="str">
        <f t="shared" si="25"/>
        <v/>
      </c>
      <c r="Q305" s="76"/>
      <c r="R305" s="112"/>
      <c r="S305" s="75"/>
      <c r="T305" s="110"/>
    </row>
    <row r="306" spans="2:20" s="93" customFormat="1" ht="18">
      <c r="B306" s="489"/>
      <c r="C306" s="479"/>
      <c r="D306" s="490"/>
      <c r="E306" s="465"/>
      <c r="F306" s="491"/>
      <c r="G306" s="492"/>
      <c r="H306" s="493"/>
      <c r="I306" s="479"/>
      <c r="J306" s="490"/>
      <c r="K306" s="494"/>
      <c r="L306" s="491"/>
      <c r="M306" s="495"/>
      <c r="N306" s="495"/>
      <c r="O306" s="496"/>
      <c r="P306" s="143"/>
      <c r="Q306" s="76"/>
      <c r="R306" s="112"/>
      <c r="S306" s="75"/>
      <c r="T306" s="110"/>
    </row>
    <row r="307" spans="2:20" s="93" customFormat="1" ht="18">
      <c r="B307" s="221"/>
      <c r="C307" s="95"/>
      <c r="D307" s="96"/>
      <c r="E307" s="466"/>
      <c r="F307" s="467"/>
      <c r="G307" s="467"/>
      <c r="H307" s="468"/>
      <c r="I307" s="95"/>
      <c r="J307" s="469"/>
      <c r="K307" s="470"/>
      <c r="L307" s="469"/>
      <c r="M307" s="470"/>
      <c r="N307" s="470"/>
      <c r="O307" s="471"/>
      <c r="P307" s="143"/>
      <c r="Q307" s="76"/>
      <c r="R307" s="112"/>
      <c r="S307" s="75"/>
      <c r="T307" s="110"/>
    </row>
    <row r="308" spans="2:20" ht="18">
      <c r="B308" s="221"/>
      <c r="C308" s="95"/>
      <c r="D308" s="96"/>
      <c r="E308" s="96"/>
      <c r="F308" s="222"/>
      <c r="H308" s="223"/>
      <c r="I308" s="95"/>
      <c r="J308" s="69"/>
      <c r="K308" s="224"/>
      <c r="L308" s="217"/>
      <c r="M308" s="94"/>
      <c r="N308" s="94"/>
      <c r="O308" s="225"/>
      <c r="P308" s="143"/>
      <c r="Q308" s="76"/>
      <c r="R308" s="112"/>
      <c r="S308" s="75"/>
      <c r="T308" s="110" t="str">
        <f>IF(L309&gt;0,P308+L309,"")</f>
        <v/>
      </c>
    </row>
    <row r="309" spans="2:20">
      <c r="P309" s="143"/>
      <c r="Q309" s="76"/>
      <c r="R309" s="112"/>
      <c r="S309" s="75"/>
      <c r="T309" s="110" t="str">
        <f>IF(L310&gt;0,P309+L310,"")</f>
        <v/>
      </c>
    </row>
    <row r="310" spans="2:20">
      <c r="P310" s="143"/>
      <c r="Q310" s="76"/>
      <c r="R310" s="112"/>
      <c r="S310" s="75"/>
      <c r="T310" s="110"/>
    </row>
    <row r="311" spans="2:20">
      <c r="B311" s="49"/>
      <c r="P311" s="143"/>
      <c r="Q311" s="76"/>
      <c r="R311" s="112"/>
      <c r="S311" s="75"/>
      <c r="T311" s="110" t="str">
        <f t="shared" ref="T311:T342" si="26">IF(L312&gt;0,P311+L312,"")</f>
        <v/>
      </c>
    </row>
    <row r="312" spans="2:20">
      <c r="B312" s="49"/>
      <c r="P312" s="143"/>
      <c r="Q312" s="76"/>
      <c r="R312" s="112"/>
      <c r="S312" s="75"/>
      <c r="T312" s="110" t="str">
        <f t="shared" si="26"/>
        <v/>
      </c>
    </row>
    <row r="313" spans="2:20">
      <c r="B313" s="49"/>
      <c r="P313" s="143"/>
      <c r="Q313" s="76"/>
      <c r="R313" s="112"/>
      <c r="S313" s="75"/>
      <c r="T313" s="110" t="str">
        <f t="shared" si="26"/>
        <v/>
      </c>
    </row>
    <row r="314" spans="2:20">
      <c r="B314" s="49"/>
      <c r="P314" s="143"/>
      <c r="Q314" s="76"/>
      <c r="R314" s="112"/>
      <c r="S314" s="75"/>
      <c r="T314" s="110" t="str">
        <f t="shared" si="26"/>
        <v/>
      </c>
    </row>
    <row r="315" spans="2:20">
      <c r="B315" s="49"/>
      <c r="P315" s="143"/>
      <c r="Q315" s="76"/>
      <c r="R315" s="112"/>
      <c r="S315" s="75"/>
      <c r="T315" s="110" t="str">
        <f t="shared" si="26"/>
        <v/>
      </c>
    </row>
    <row r="316" spans="2:20" ht="12.75"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P316" s="143"/>
      <c r="Q316" s="76"/>
      <c r="R316" s="112"/>
      <c r="S316" s="75"/>
      <c r="T316" s="110" t="str">
        <f t="shared" si="26"/>
        <v/>
      </c>
    </row>
    <row r="317" spans="2:20" ht="12.75"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P317" s="143"/>
      <c r="Q317" s="76"/>
      <c r="R317" s="112"/>
      <c r="S317" s="75"/>
      <c r="T317" s="110" t="str">
        <f t="shared" si="26"/>
        <v/>
      </c>
    </row>
    <row r="318" spans="2:20" ht="12.75"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P318" s="143"/>
      <c r="Q318" s="76"/>
      <c r="R318" s="112"/>
      <c r="S318" s="75"/>
      <c r="T318" s="110" t="str">
        <f t="shared" si="26"/>
        <v/>
      </c>
    </row>
    <row r="319" spans="2:20" ht="12.75"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P319" s="143"/>
      <c r="Q319" s="76"/>
      <c r="R319" s="112"/>
      <c r="S319" s="75"/>
      <c r="T319" s="110" t="str">
        <f t="shared" si="26"/>
        <v/>
      </c>
    </row>
    <row r="320" spans="2:20" ht="12.75"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P320" s="143"/>
      <c r="Q320" s="76"/>
      <c r="R320" s="112"/>
      <c r="S320" s="75"/>
      <c r="T320" s="110" t="str">
        <f t="shared" si="26"/>
        <v/>
      </c>
    </row>
    <row r="321" spans="2:20" ht="12.75"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P321" s="143"/>
      <c r="Q321" s="76"/>
      <c r="R321" s="112"/>
      <c r="S321" s="75"/>
      <c r="T321" s="110" t="str">
        <f t="shared" si="26"/>
        <v/>
      </c>
    </row>
    <row r="322" spans="2:20" ht="12.75"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P322" s="143"/>
      <c r="Q322" s="76"/>
      <c r="R322" s="112"/>
      <c r="S322" s="75"/>
      <c r="T322" s="110" t="str">
        <f t="shared" si="26"/>
        <v/>
      </c>
    </row>
    <row r="323" spans="2:20" ht="12.75"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P323" s="143"/>
      <c r="Q323" s="76"/>
      <c r="R323" s="112"/>
      <c r="S323" s="75"/>
      <c r="T323" s="110" t="str">
        <f t="shared" si="26"/>
        <v/>
      </c>
    </row>
    <row r="324" spans="2:20" ht="12.75"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P324" s="143"/>
      <c r="Q324" s="76"/>
      <c r="R324" s="112"/>
      <c r="S324" s="75"/>
      <c r="T324" s="110" t="str">
        <f t="shared" si="26"/>
        <v/>
      </c>
    </row>
    <row r="325" spans="2:20" ht="12.75"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P325" s="143"/>
      <c r="Q325" s="76"/>
      <c r="R325" s="112"/>
      <c r="S325" s="75"/>
      <c r="T325" s="110" t="str">
        <f t="shared" si="26"/>
        <v/>
      </c>
    </row>
    <row r="326" spans="2:20" ht="12.75"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P326" s="143"/>
      <c r="Q326" s="76"/>
      <c r="R326" s="112"/>
      <c r="S326" s="75"/>
      <c r="T326" s="110" t="str">
        <f t="shared" si="26"/>
        <v/>
      </c>
    </row>
    <row r="327" spans="2:20" ht="12.75"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P327" s="143"/>
      <c r="Q327" s="76"/>
      <c r="R327" s="112"/>
      <c r="S327" s="75"/>
      <c r="T327" s="110" t="str">
        <f t="shared" si="26"/>
        <v/>
      </c>
    </row>
    <row r="328" spans="2:20" ht="12.75"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P328" s="143"/>
      <c r="Q328" s="76"/>
      <c r="R328" s="112"/>
      <c r="S328" s="75"/>
      <c r="T328" s="110" t="str">
        <f t="shared" si="26"/>
        <v/>
      </c>
    </row>
    <row r="329" spans="2:20" ht="12.75"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P329" s="143"/>
      <c r="Q329" s="76"/>
      <c r="R329" s="112"/>
      <c r="S329" s="75"/>
      <c r="T329" s="110" t="str">
        <f t="shared" si="26"/>
        <v/>
      </c>
    </row>
    <row r="330" spans="2:20" ht="12.75"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P330" s="143"/>
      <c r="Q330" s="76"/>
      <c r="R330" s="112"/>
      <c r="S330" s="75"/>
      <c r="T330" s="110" t="str">
        <f t="shared" si="26"/>
        <v/>
      </c>
    </row>
    <row r="331" spans="2:20" ht="12.75"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P331" s="143"/>
      <c r="Q331" s="76"/>
      <c r="R331" s="112"/>
      <c r="S331" s="75"/>
      <c r="T331" s="110" t="str">
        <f t="shared" si="26"/>
        <v/>
      </c>
    </row>
    <row r="332" spans="2:20" ht="12.75"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P332" s="143"/>
      <c r="Q332" s="76"/>
      <c r="R332" s="112"/>
      <c r="S332" s="75"/>
      <c r="T332" s="110" t="str">
        <f t="shared" si="26"/>
        <v/>
      </c>
    </row>
    <row r="333" spans="2:20" ht="12.75"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P333" s="143"/>
      <c r="Q333" s="76"/>
      <c r="R333" s="112"/>
      <c r="S333" s="75"/>
      <c r="T333" s="110" t="str">
        <f t="shared" si="26"/>
        <v/>
      </c>
    </row>
    <row r="334" spans="2:20" ht="12.75"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P334" s="143"/>
      <c r="Q334" s="76"/>
      <c r="R334" s="112"/>
      <c r="S334" s="75"/>
      <c r="T334" s="110" t="str">
        <f t="shared" si="26"/>
        <v/>
      </c>
    </row>
    <row r="335" spans="2:20" ht="12.75"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P335" s="143"/>
      <c r="Q335" s="76"/>
      <c r="R335" s="112"/>
      <c r="S335" s="75"/>
      <c r="T335" s="110" t="str">
        <f t="shared" si="26"/>
        <v/>
      </c>
    </row>
    <row r="336" spans="2:20" ht="12.75"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P336" s="143"/>
      <c r="Q336" s="76"/>
      <c r="R336" s="112"/>
      <c r="S336" s="75"/>
      <c r="T336" s="110" t="str">
        <f t="shared" si="26"/>
        <v/>
      </c>
    </row>
    <row r="337" spans="2:20" ht="12.75"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P337" s="143"/>
      <c r="Q337" s="76"/>
      <c r="R337" s="112"/>
      <c r="S337" s="75"/>
      <c r="T337" s="110" t="str">
        <f t="shared" si="26"/>
        <v/>
      </c>
    </row>
    <row r="338" spans="2:20" ht="12.75"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P338" s="143"/>
      <c r="Q338" s="76"/>
      <c r="R338" s="112"/>
      <c r="S338" s="75"/>
      <c r="T338" s="110" t="str">
        <f t="shared" si="26"/>
        <v/>
      </c>
    </row>
    <row r="339" spans="2:20" ht="12.75"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P339" s="143"/>
      <c r="Q339" s="76"/>
      <c r="R339" s="112"/>
      <c r="S339" s="75"/>
      <c r="T339" s="110" t="str">
        <f t="shared" si="26"/>
        <v/>
      </c>
    </row>
    <row r="340" spans="2:20" ht="12.75"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P340" s="143"/>
      <c r="Q340" s="76"/>
      <c r="R340" s="112"/>
      <c r="S340" s="75"/>
      <c r="T340" s="110" t="str">
        <f t="shared" si="26"/>
        <v/>
      </c>
    </row>
    <row r="341" spans="2:20" ht="12.75"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P341" s="143"/>
      <c r="Q341" s="76"/>
      <c r="R341" s="112"/>
      <c r="S341" s="75"/>
      <c r="T341" s="110" t="str">
        <f t="shared" si="26"/>
        <v/>
      </c>
    </row>
    <row r="342" spans="2:20" ht="12.75"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P342" s="143"/>
      <c r="Q342" s="76"/>
      <c r="R342" s="112"/>
      <c r="S342" s="75"/>
      <c r="T342" s="110" t="str">
        <f t="shared" si="26"/>
        <v/>
      </c>
    </row>
    <row r="343" spans="2:20" ht="12.75"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P343" s="143"/>
      <c r="Q343" s="76"/>
      <c r="R343" s="112"/>
      <c r="S343" s="75"/>
      <c r="T343" s="110" t="str">
        <f t="shared" ref="T343:T362" si="27">IF(L344&gt;0,P343+L344,"")</f>
        <v/>
      </c>
    </row>
    <row r="344" spans="2:20" ht="12.75"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P344" s="143"/>
      <c r="Q344" s="76"/>
      <c r="R344" s="112"/>
      <c r="S344" s="75"/>
      <c r="T344" s="110" t="str">
        <f t="shared" si="27"/>
        <v/>
      </c>
    </row>
    <row r="345" spans="2:20" ht="12.75"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P345" s="143"/>
      <c r="Q345" s="76"/>
      <c r="R345" s="112"/>
      <c r="S345" s="75"/>
      <c r="T345" s="110" t="str">
        <f t="shared" si="27"/>
        <v/>
      </c>
    </row>
    <row r="346" spans="2:20" ht="12.75"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P346" s="143"/>
      <c r="Q346" s="76"/>
      <c r="R346" s="112"/>
      <c r="S346" s="75"/>
      <c r="T346" s="110" t="str">
        <f t="shared" si="27"/>
        <v/>
      </c>
    </row>
    <row r="347" spans="2:20" ht="12.75"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P347" s="143"/>
      <c r="Q347" s="76"/>
      <c r="R347" s="112"/>
      <c r="S347" s="75"/>
      <c r="T347" s="110" t="str">
        <f t="shared" si="27"/>
        <v/>
      </c>
    </row>
    <row r="348" spans="2:20" ht="12.75"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P348" s="143"/>
      <c r="Q348" s="76"/>
      <c r="R348" s="112"/>
      <c r="S348" s="75"/>
      <c r="T348" s="110" t="str">
        <f t="shared" si="27"/>
        <v/>
      </c>
    </row>
    <row r="349" spans="2:20" ht="12.75"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P349" s="143"/>
      <c r="Q349" s="76"/>
      <c r="R349" s="112"/>
      <c r="S349" s="75"/>
      <c r="T349" s="110" t="str">
        <f t="shared" si="27"/>
        <v/>
      </c>
    </row>
    <row r="350" spans="2:20" ht="12.75"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P350" s="143"/>
      <c r="Q350" s="76"/>
      <c r="R350" s="112"/>
      <c r="S350" s="75"/>
      <c r="T350" s="110" t="str">
        <f t="shared" si="27"/>
        <v/>
      </c>
    </row>
    <row r="351" spans="2:20" ht="12.75"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P351" s="143"/>
      <c r="Q351" s="76"/>
      <c r="R351" s="112"/>
      <c r="S351" s="75"/>
      <c r="T351" s="110" t="str">
        <f t="shared" si="27"/>
        <v/>
      </c>
    </row>
    <row r="352" spans="2:20" ht="12.75"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P352" s="143"/>
      <c r="Q352" s="76"/>
      <c r="R352" s="112"/>
      <c r="S352" s="75"/>
      <c r="T352" s="110" t="str">
        <f t="shared" si="27"/>
        <v/>
      </c>
    </row>
    <row r="353" spans="2:20" ht="12.75"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P353" s="143"/>
      <c r="Q353" s="76"/>
      <c r="R353" s="112"/>
      <c r="S353" s="75"/>
      <c r="T353" s="110" t="str">
        <f t="shared" si="27"/>
        <v/>
      </c>
    </row>
    <row r="354" spans="2:20" ht="12.75"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P354" s="143"/>
      <c r="Q354" s="76"/>
      <c r="R354" s="112"/>
      <c r="S354" s="75"/>
      <c r="T354" s="110" t="str">
        <f t="shared" si="27"/>
        <v/>
      </c>
    </row>
    <row r="355" spans="2:20" ht="12.75"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P355" s="143"/>
      <c r="Q355" s="76"/>
      <c r="R355" s="112"/>
      <c r="S355" s="75"/>
      <c r="T355" s="110" t="str">
        <f t="shared" si="27"/>
        <v/>
      </c>
    </row>
    <row r="356" spans="2:20" ht="12.75"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P356" s="143"/>
      <c r="Q356" s="76"/>
      <c r="R356" s="112"/>
      <c r="S356" s="75"/>
      <c r="T356" s="110" t="str">
        <f t="shared" si="27"/>
        <v/>
      </c>
    </row>
    <row r="357" spans="2:20" ht="12.75"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P357" s="143"/>
      <c r="Q357" s="76"/>
      <c r="R357" s="112"/>
      <c r="S357" s="75"/>
      <c r="T357" s="110" t="str">
        <f t="shared" si="27"/>
        <v/>
      </c>
    </row>
    <row r="358" spans="2:20" ht="12.75"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P358" s="143"/>
      <c r="Q358" s="76"/>
      <c r="R358" s="112"/>
      <c r="S358" s="75"/>
      <c r="T358" s="110" t="str">
        <f t="shared" si="27"/>
        <v/>
      </c>
    </row>
    <row r="359" spans="2:20" ht="12.75"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P359" s="143"/>
      <c r="Q359" s="76"/>
      <c r="R359" s="112"/>
      <c r="S359" s="75"/>
      <c r="T359" s="110" t="str">
        <f t="shared" si="27"/>
        <v/>
      </c>
    </row>
    <row r="360" spans="2:20" ht="12.75"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P360" s="143"/>
      <c r="Q360" s="76"/>
      <c r="R360" s="112"/>
      <c r="S360" s="75"/>
      <c r="T360" s="110" t="str">
        <f t="shared" si="27"/>
        <v/>
      </c>
    </row>
    <row r="361" spans="2:20" ht="12.75"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P361" s="143"/>
      <c r="Q361" s="76"/>
      <c r="R361" s="112"/>
      <c r="S361" s="75"/>
      <c r="T361" s="110" t="str">
        <f t="shared" si="27"/>
        <v/>
      </c>
    </row>
    <row r="362" spans="2:20" ht="12.75"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P362" s="143"/>
      <c r="Q362" s="76"/>
      <c r="R362" s="112"/>
      <c r="S362" s="75"/>
      <c r="T362" s="110" t="str">
        <f t="shared" si="27"/>
        <v/>
      </c>
    </row>
    <row r="363" spans="2:20" ht="12.75"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P363" s="143"/>
      <c r="Q363" s="76"/>
      <c r="R363" s="112"/>
      <c r="S363" s="75"/>
      <c r="T363" s="110" t="str">
        <f t="shared" ref="T363:T416" si="28">IF(L364&gt;0,P363+L364,"")</f>
        <v/>
      </c>
    </row>
    <row r="364" spans="2:20" ht="12.75"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P364" s="143"/>
      <c r="Q364" s="76"/>
      <c r="R364" s="112"/>
      <c r="S364" s="75"/>
      <c r="T364" s="110" t="str">
        <f t="shared" si="28"/>
        <v/>
      </c>
    </row>
    <row r="365" spans="2:20" ht="12.75"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P365" s="143"/>
      <c r="Q365" s="76"/>
      <c r="R365" s="112"/>
      <c r="S365" s="75"/>
      <c r="T365" s="110" t="str">
        <f t="shared" si="28"/>
        <v/>
      </c>
    </row>
    <row r="366" spans="2:20" ht="12.75"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P366" s="143"/>
      <c r="Q366" s="76"/>
      <c r="R366" s="112"/>
      <c r="S366" s="75"/>
      <c r="T366" s="110" t="str">
        <f t="shared" si="28"/>
        <v/>
      </c>
    </row>
    <row r="367" spans="2:20" ht="12.75"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P367" s="143"/>
      <c r="Q367" s="76"/>
      <c r="R367" s="112"/>
      <c r="S367" s="75"/>
      <c r="T367" s="110" t="str">
        <f t="shared" si="28"/>
        <v/>
      </c>
    </row>
    <row r="368" spans="2:20" ht="12.75"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P368" s="143"/>
      <c r="Q368" s="76"/>
      <c r="R368" s="112"/>
      <c r="S368" s="75"/>
      <c r="T368" s="110" t="str">
        <f t="shared" si="28"/>
        <v/>
      </c>
    </row>
    <row r="369" spans="2:20" ht="12.75"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P369" s="143"/>
      <c r="Q369" s="76"/>
      <c r="R369" s="112"/>
      <c r="S369" s="75"/>
      <c r="T369" s="110" t="str">
        <f t="shared" si="28"/>
        <v/>
      </c>
    </row>
    <row r="370" spans="2:20" ht="12.75"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P370" s="143"/>
      <c r="Q370" s="76"/>
      <c r="R370" s="112"/>
      <c r="S370" s="75"/>
      <c r="T370" s="110" t="str">
        <f t="shared" si="28"/>
        <v/>
      </c>
    </row>
    <row r="371" spans="2:20" ht="12.75"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P371" s="143"/>
      <c r="Q371" s="76"/>
      <c r="R371" s="112"/>
      <c r="S371" s="75"/>
      <c r="T371" s="110" t="str">
        <f t="shared" si="28"/>
        <v/>
      </c>
    </row>
    <row r="372" spans="2:20" ht="12.75"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P372" s="143"/>
      <c r="Q372" s="76"/>
      <c r="R372" s="112"/>
      <c r="S372" s="75"/>
      <c r="T372" s="110" t="str">
        <f t="shared" si="28"/>
        <v/>
      </c>
    </row>
    <row r="373" spans="2:20" ht="12.75"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P373" s="143"/>
      <c r="Q373" s="76"/>
      <c r="R373" s="112"/>
      <c r="S373" s="75"/>
      <c r="T373" s="110" t="str">
        <f t="shared" si="28"/>
        <v/>
      </c>
    </row>
    <row r="374" spans="2:20" ht="12.75"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P374" s="143"/>
      <c r="Q374" s="76"/>
      <c r="R374" s="112"/>
      <c r="S374" s="75"/>
      <c r="T374" s="110" t="str">
        <f t="shared" si="28"/>
        <v/>
      </c>
    </row>
    <row r="375" spans="2:20" ht="12.75"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P375" s="143"/>
      <c r="Q375" s="76"/>
      <c r="R375" s="112"/>
      <c r="S375" s="75"/>
      <c r="T375" s="110" t="str">
        <f t="shared" si="28"/>
        <v/>
      </c>
    </row>
    <row r="376" spans="2:20" ht="12.75"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P376" s="143"/>
      <c r="Q376" s="76"/>
      <c r="R376" s="112"/>
      <c r="S376" s="75"/>
      <c r="T376" s="110" t="str">
        <f t="shared" si="28"/>
        <v/>
      </c>
    </row>
    <row r="377" spans="2:20" ht="12.75"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P377" s="143"/>
      <c r="Q377" s="76"/>
      <c r="R377" s="112"/>
      <c r="S377" s="75"/>
      <c r="T377" s="110" t="str">
        <f t="shared" si="28"/>
        <v/>
      </c>
    </row>
    <row r="378" spans="2:20" ht="12.75"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P378" s="143"/>
      <c r="Q378" s="76"/>
      <c r="R378" s="112"/>
      <c r="S378" s="75"/>
      <c r="T378" s="110" t="str">
        <f t="shared" si="28"/>
        <v/>
      </c>
    </row>
    <row r="379" spans="2:20" ht="12.75"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P379" s="143"/>
      <c r="Q379" s="76"/>
      <c r="R379" s="112"/>
      <c r="S379" s="75"/>
      <c r="T379" s="110" t="str">
        <f t="shared" si="28"/>
        <v/>
      </c>
    </row>
    <row r="380" spans="2:20" ht="12.75"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P380" s="143"/>
      <c r="Q380" s="76"/>
      <c r="R380" s="112"/>
      <c r="S380" s="75"/>
      <c r="T380" s="110" t="str">
        <f t="shared" si="28"/>
        <v/>
      </c>
    </row>
    <row r="381" spans="2:20" ht="12.75"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P381" s="143"/>
      <c r="Q381" s="76"/>
      <c r="R381" s="112"/>
      <c r="S381" s="75"/>
      <c r="T381" s="110" t="str">
        <f t="shared" si="28"/>
        <v/>
      </c>
    </row>
    <row r="382" spans="2:20" ht="12.75"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P382" s="143"/>
      <c r="Q382" s="76"/>
      <c r="R382" s="112"/>
      <c r="S382" s="75"/>
      <c r="T382" s="110" t="str">
        <f t="shared" si="28"/>
        <v/>
      </c>
    </row>
    <row r="383" spans="2:20" ht="12.75"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P383" s="143"/>
      <c r="Q383" s="76"/>
      <c r="R383" s="112"/>
      <c r="S383" s="75"/>
      <c r="T383" s="110" t="str">
        <f t="shared" si="28"/>
        <v/>
      </c>
    </row>
    <row r="384" spans="2:20" ht="12.75"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P384" s="143"/>
      <c r="Q384" s="76"/>
      <c r="R384" s="112"/>
      <c r="S384" s="75"/>
      <c r="T384" s="110" t="str">
        <f t="shared" si="28"/>
        <v/>
      </c>
    </row>
    <row r="385" spans="2:20" ht="12.75"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P385" s="143"/>
      <c r="Q385" s="76"/>
      <c r="R385" s="112"/>
      <c r="S385" s="75"/>
      <c r="T385" s="110" t="str">
        <f t="shared" si="28"/>
        <v/>
      </c>
    </row>
    <row r="386" spans="2:20" ht="12.75"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P386" s="143"/>
      <c r="Q386" s="76"/>
      <c r="R386" s="112"/>
      <c r="S386" s="75"/>
      <c r="T386" s="110" t="str">
        <f t="shared" si="28"/>
        <v/>
      </c>
    </row>
    <row r="387" spans="2:20" ht="12.75"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P387" s="143"/>
      <c r="Q387" s="76"/>
      <c r="R387" s="112"/>
      <c r="S387" s="75"/>
      <c r="T387" s="110" t="str">
        <f t="shared" si="28"/>
        <v/>
      </c>
    </row>
    <row r="388" spans="2:20" ht="12.75"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P388" s="143"/>
      <c r="Q388" s="76"/>
      <c r="R388" s="112"/>
      <c r="S388" s="75"/>
      <c r="T388" s="110" t="str">
        <f t="shared" si="28"/>
        <v/>
      </c>
    </row>
    <row r="389" spans="2:20" ht="12.75"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P389" s="143"/>
      <c r="Q389" s="76"/>
      <c r="R389" s="112"/>
      <c r="S389" s="75"/>
      <c r="T389" s="110" t="str">
        <f t="shared" si="28"/>
        <v/>
      </c>
    </row>
    <row r="390" spans="2:20" ht="12.75"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P390" s="143"/>
      <c r="Q390" s="76"/>
      <c r="R390" s="112"/>
      <c r="S390" s="75"/>
      <c r="T390" s="110" t="str">
        <f t="shared" si="28"/>
        <v/>
      </c>
    </row>
    <row r="391" spans="2:20" ht="12.75"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P391" s="143"/>
      <c r="Q391" s="76"/>
      <c r="R391" s="112"/>
      <c r="S391" s="75"/>
      <c r="T391" s="110" t="str">
        <f t="shared" si="28"/>
        <v/>
      </c>
    </row>
    <row r="392" spans="2:20" ht="12.75"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P392" s="143"/>
      <c r="Q392" s="76"/>
      <c r="R392" s="112"/>
      <c r="S392" s="75"/>
      <c r="T392" s="110" t="str">
        <f t="shared" si="28"/>
        <v/>
      </c>
    </row>
    <row r="393" spans="2:20" ht="12.75"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P393" s="143"/>
      <c r="Q393" s="76"/>
      <c r="R393" s="112"/>
      <c r="S393" s="75"/>
      <c r="T393" s="110" t="str">
        <f t="shared" si="28"/>
        <v/>
      </c>
    </row>
    <row r="394" spans="2:20" ht="12.75"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P394" s="143"/>
      <c r="Q394" s="76"/>
      <c r="R394" s="112"/>
      <c r="S394" s="75"/>
      <c r="T394" s="110" t="str">
        <f t="shared" si="28"/>
        <v/>
      </c>
    </row>
    <row r="395" spans="2:20" ht="12.75"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P395" s="143"/>
      <c r="Q395" s="76"/>
      <c r="R395" s="112"/>
      <c r="S395" s="75"/>
      <c r="T395" s="110" t="str">
        <f t="shared" si="28"/>
        <v/>
      </c>
    </row>
    <row r="396" spans="2:20" ht="12.75"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P396" s="143"/>
      <c r="Q396" s="76"/>
      <c r="R396" s="112"/>
      <c r="S396" s="75"/>
      <c r="T396" s="110" t="str">
        <f t="shared" si="28"/>
        <v/>
      </c>
    </row>
    <row r="397" spans="2:20" ht="12.75"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P397" s="143"/>
      <c r="Q397" s="76"/>
      <c r="R397" s="112"/>
      <c r="S397" s="75"/>
      <c r="T397" s="110" t="str">
        <f t="shared" si="28"/>
        <v/>
      </c>
    </row>
    <row r="398" spans="2:20" ht="12.75"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P398" s="143"/>
      <c r="Q398" s="76"/>
      <c r="R398" s="112"/>
      <c r="S398" s="75"/>
      <c r="T398" s="110" t="str">
        <f t="shared" si="28"/>
        <v/>
      </c>
    </row>
    <row r="399" spans="2:20" ht="12.75"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P399" s="143"/>
      <c r="Q399" s="76"/>
      <c r="R399" s="112"/>
      <c r="S399" s="75"/>
      <c r="T399" s="110" t="str">
        <f t="shared" si="28"/>
        <v/>
      </c>
    </row>
    <row r="400" spans="2:20" ht="12.75"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P400" s="143"/>
      <c r="Q400" s="76"/>
      <c r="R400" s="112"/>
      <c r="S400" s="75"/>
      <c r="T400" s="110" t="str">
        <f t="shared" si="28"/>
        <v/>
      </c>
    </row>
    <row r="401" spans="2:20" ht="12.75"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P401" s="143"/>
      <c r="Q401" s="76"/>
      <c r="R401" s="112"/>
      <c r="S401" s="75"/>
      <c r="T401" s="110" t="str">
        <f t="shared" si="28"/>
        <v/>
      </c>
    </row>
    <row r="402" spans="2:20" ht="12.75"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P402" s="143"/>
      <c r="Q402" s="76"/>
      <c r="R402" s="112"/>
      <c r="S402" s="75"/>
      <c r="T402" s="110" t="str">
        <f t="shared" si="28"/>
        <v/>
      </c>
    </row>
    <row r="403" spans="2:20" ht="12.75"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P403" s="143"/>
      <c r="Q403" s="76"/>
      <c r="R403" s="112"/>
      <c r="S403" s="75"/>
      <c r="T403" s="110" t="str">
        <f t="shared" si="28"/>
        <v/>
      </c>
    </row>
    <row r="404" spans="2:20" ht="12.75"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P404" s="143"/>
      <c r="Q404" s="76"/>
      <c r="R404" s="112"/>
      <c r="S404" s="75"/>
      <c r="T404" s="110" t="str">
        <f t="shared" si="28"/>
        <v/>
      </c>
    </row>
    <row r="405" spans="2:20" ht="12.75"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P405" s="143"/>
      <c r="Q405" s="76"/>
      <c r="R405" s="112"/>
      <c r="S405" s="75"/>
      <c r="T405" s="110" t="str">
        <f t="shared" si="28"/>
        <v/>
      </c>
    </row>
    <row r="406" spans="2:20" ht="12.75"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P406" s="143"/>
      <c r="Q406" s="76"/>
      <c r="R406" s="112"/>
      <c r="S406" s="75"/>
      <c r="T406" s="110" t="str">
        <f t="shared" si="28"/>
        <v/>
      </c>
    </row>
    <row r="407" spans="2:20" ht="12.75"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P407" s="143"/>
      <c r="Q407" s="76"/>
      <c r="R407" s="112"/>
      <c r="S407" s="75"/>
      <c r="T407" s="110" t="str">
        <f t="shared" si="28"/>
        <v/>
      </c>
    </row>
    <row r="408" spans="2:20" ht="12.75"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P408" s="143"/>
      <c r="Q408" s="76"/>
      <c r="R408" s="112"/>
      <c r="S408" s="75"/>
      <c r="T408" s="110" t="str">
        <f t="shared" si="28"/>
        <v/>
      </c>
    </row>
    <row r="409" spans="2:20" ht="12.75"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P409" s="143"/>
      <c r="Q409" s="76"/>
      <c r="R409" s="112"/>
      <c r="S409" s="75"/>
      <c r="T409" s="110" t="str">
        <f t="shared" si="28"/>
        <v/>
      </c>
    </row>
    <row r="410" spans="2:20" ht="12.75"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P410" s="143"/>
      <c r="Q410" s="76"/>
      <c r="R410" s="112"/>
      <c r="S410" s="75"/>
      <c r="T410" s="110" t="str">
        <f t="shared" si="28"/>
        <v/>
      </c>
    </row>
    <row r="411" spans="2:20" ht="12.75"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P411" s="143"/>
      <c r="Q411" s="76"/>
      <c r="R411" s="112"/>
      <c r="S411" s="75"/>
      <c r="T411" s="110" t="str">
        <f t="shared" si="28"/>
        <v/>
      </c>
    </row>
    <row r="412" spans="2:20" ht="12.75"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P412" s="143"/>
      <c r="Q412" s="76"/>
      <c r="R412" s="112"/>
      <c r="S412" s="75"/>
      <c r="T412" s="110" t="str">
        <f t="shared" si="28"/>
        <v/>
      </c>
    </row>
    <row r="413" spans="2:20" ht="12.75"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P413" s="143"/>
      <c r="Q413" s="76"/>
      <c r="R413" s="112"/>
      <c r="S413" s="75"/>
      <c r="T413" s="110" t="str">
        <f t="shared" si="28"/>
        <v/>
      </c>
    </row>
    <row r="414" spans="2:20" ht="12.75"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P414" s="143"/>
      <c r="Q414" s="76"/>
      <c r="R414" s="112"/>
      <c r="S414" s="75"/>
      <c r="T414" s="110" t="str">
        <f t="shared" si="28"/>
        <v/>
      </c>
    </row>
    <row r="415" spans="2:20" ht="12.75"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P415" s="143"/>
      <c r="Q415" s="76"/>
      <c r="R415" s="112"/>
      <c r="S415" s="75"/>
      <c r="T415" s="110" t="str">
        <f t="shared" si="28"/>
        <v/>
      </c>
    </row>
    <row r="416" spans="2:20" ht="12.75"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P416" s="144"/>
      <c r="Q416" s="76"/>
      <c r="R416" s="112"/>
      <c r="S416" s="75"/>
      <c r="T416" s="110" t="str">
        <f t="shared" si="28"/>
        <v/>
      </c>
    </row>
    <row r="417" spans="2:14" ht="12.75"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</row>
  </sheetData>
  <mergeCells count="26">
    <mergeCell ref="B45:B49"/>
    <mergeCell ref="B87:B95"/>
    <mergeCell ref="B96:B104"/>
    <mergeCell ref="B105:B113"/>
    <mergeCell ref="B114:B122"/>
    <mergeCell ref="B55:B57"/>
    <mergeCell ref="B66:B70"/>
    <mergeCell ref="B81:B83"/>
    <mergeCell ref="B235:B237"/>
    <mergeCell ref="B123:B131"/>
    <mergeCell ref="B132:B140"/>
    <mergeCell ref="B141:B149"/>
    <mergeCell ref="B150:B158"/>
    <mergeCell ref="B159:B167"/>
    <mergeCell ref="B168:B176"/>
    <mergeCell ref="B177:B185"/>
    <mergeCell ref="B186:B192"/>
    <mergeCell ref="B205:B206"/>
    <mergeCell ref="B207:B215"/>
    <mergeCell ref="B216:B222"/>
    <mergeCell ref="B197:B201"/>
    <mergeCell ref="J21:J22"/>
    <mergeCell ref="K21:N22"/>
    <mergeCell ref="B1:O1"/>
    <mergeCell ref="G13:H13"/>
    <mergeCell ref="B37:B42"/>
  </mergeCells>
  <phoneticPr fontId="17" type="noConversion"/>
  <printOptions horizontalCentered="1"/>
  <pageMargins left="0" right="0" top="0" bottom="0" header="0" footer="0"/>
  <pageSetup scale="71" fitToHeight="0" orientation="landscape" horizontalDpi="4294967294" r:id="rId1"/>
  <headerFooter alignWithMargins="0">
    <oddFooter>&amp;CPage &amp;P of &amp;N</oddFooter>
  </headerFooter>
  <rowBreaks count="6" manualBreakCount="6">
    <brk id="50" max="14" man="1"/>
    <brk id="86" max="14" man="1"/>
    <brk id="122" max="14" man="1"/>
    <brk id="158" max="14" man="1"/>
    <brk id="192" max="14" man="1"/>
    <brk id="215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FF00"/>
  </sheetPr>
  <dimension ref="A1:T377"/>
  <sheetViews>
    <sheetView showGridLines="0" defaultGridColor="0" colorId="8" zoomScale="90" zoomScaleNormal="90" zoomScaleSheetLayoutView="104" workbookViewId="0">
      <pane ySplit="4" topLeftCell="A118" activePane="bottomLeft" state="frozen"/>
      <selection activeCell="G181" sqref="G181"/>
      <selection pane="bottomLeft" activeCell="L127" sqref="L127"/>
    </sheetView>
  </sheetViews>
  <sheetFormatPr defaultColWidth="9.140625" defaultRowHeight="15.75"/>
  <cols>
    <col min="1" max="1" width="5.5703125" style="1" bestFit="1" customWidth="1"/>
    <col min="2" max="2" width="10.140625" style="1" customWidth="1"/>
    <col min="3" max="3" width="20.28515625" style="1" customWidth="1"/>
    <col min="4" max="4" width="11.140625" style="1" customWidth="1"/>
    <col min="5" max="5" width="6.42578125" style="1" customWidth="1"/>
    <col min="6" max="6" width="10" style="270" customWidth="1"/>
    <col min="7" max="7" width="10.140625" style="271" customWidth="1"/>
    <col min="8" max="9" width="10.42578125" style="272" customWidth="1"/>
    <col min="10" max="11" width="10.42578125" style="214" customWidth="1"/>
    <col min="12" max="12" width="10.42578125" style="1" customWidth="1"/>
    <col min="13" max="13" width="9.28515625" style="1" customWidth="1"/>
    <col min="14" max="14" width="15.5703125" style="1" customWidth="1"/>
    <col min="15" max="15" width="10.7109375" style="1" customWidth="1"/>
    <col min="16" max="16" width="11.42578125" style="1" customWidth="1"/>
    <col min="17" max="17" width="10.42578125" style="1" customWidth="1"/>
    <col min="18" max="16384" width="9.140625" style="1"/>
  </cols>
  <sheetData>
    <row r="1" spans="1:20">
      <c r="N1" s="2"/>
      <c r="O1" s="2"/>
      <c r="P1" s="2"/>
      <c r="Q1" s="2"/>
    </row>
    <row r="2" spans="1:20">
      <c r="C2" s="264" t="s">
        <v>144</v>
      </c>
      <c r="F2" s="337"/>
      <c r="G2" s="338" t="s">
        <v>92</v>
      </c>
      <c r="H2" s="339"/>
      <c r="I2" s="339"/>
      <c r="K2" s="264" t="s">
        <v>60</v>
      </c>
      <c r="L2" s="265"/>
      <c r="M2" s="3" t="s">
        <v>0</v>
      </c>
      <c r="N2" s="4">
        <f>C374</f>
        <v>446.74699999999996</v>
      </c>
      <c r="O2" s="5"/>
      <c r="P2" s="5"/>
      <c r="Q2" s="6"/>
    </row>
    <row r="3" spans="1:20" ht="12.75">
      <c r="B3" s="212" t="str">
        <f>O10</f>
        <v>7"</v>
      </c>
      <c r="C3" s="212" t="str">
        <f>O16</f>
        <v>L80 13CR  / Vam Top</v>
      </c>
      <c r="D3" s="69" t="s">
        <v>33</v>
      </c>
      <c r="E3" s="7"/>
      <c r="F3" s="340"/>
      <c r="G3" s="341" t="str">
        <f>O10</f>
        <v>7"</v>
      </c>
      <c r="H3" s="342" t="str">
        <f>O12</f>
        <v>Hp2 13CR 95 / JFE Lion</v>
      </c>
      <c r="I3" s="342"/>
      <c r="J3" s="3"/>
      <c r="K3" s="3" t="s">
        <v>91</v>
      </c>
      <c r="N3" s="3"/>
      <c r="O3" s="3"/>
      <c r="P3" s="3"/>
    </row>
    <row r="4" spans="1:20" ht="12.75">
      <c r="A4" s="8" t="s">
        <v>1</v>
      </c>
      <c r="B4" s="8" t="s">
        <v>2</v>
      </c>
      <c r="C4" s="8" t="s">
        <v>3</v>
      </c>
      <c r="D4" s="289" t="s">
        <v>34</v>
      </c>
      <c r="E4" s="58"/>
      <c r="F4" s="343" t="s">
        <v>1</v>
      </c>
      <c r="G4" s="344" t="s">
        <v>2</v>
      </c>
      <c r="H4" s="344" t="s">
        <v>3</v>
      </c>
      <c r="I4" s="345"/>
      <c r="J4" s="8" t="s">
        <v>1</v>
      </c>
      <c r="K4" s="8" t="s">
        <v>2</v>
      </c>
      <c r="L4" s="8" t="s">
        <v>3</v>
      </c>
      <c r="M4" s="9" t="s">
        <v>4</v>
      </c>
      <c r="N4" s="10">
        <f>C376</f>
        <v>12.409638888888887</v>
      </c>
      <c r="O4" s="5">
        <f>F376</f>
        <v>135.5</v>
      </c>
      <c r="P4" s="5" t="e">
        <f>#REF!</f>
        <v>#REF!</v>
      </c>
    </row>
    <row r="5" spans="1:20" ht="14.25" customHeight="1">
      <c r="A5" s="332" t="s">
        <v>109</v>
      </c>
      <c r="B5" s="333">
        <v>12.6</v>
      </c>
      <c r="C5" s="334">
        <f>B5-$O$17</f>
        <v>12.478999999999999</v>
      </c>
      <c r="D5" s="931" t="s">
        <v>105</v>
      </c>
      <c r="E5" s="268"/>
      <c r="F5" s="660">
        <v>1</v>
      </c>
      <c r="G5" s="661">
        <v>12.231027125876258</v>
      </c>
      <c r="H5" s="662">
        <f>G5-$O$13</f>
        <v>12.108027125876259</v>
      </c>
      <c r="I5" s="937" t="s">
        <v>107</v>
      </c>
      <c r="J5" s="346">
        <v>1</v>
      </c>
      <c r="K5" s="347">
        <v>8.7200000000000006</v>
      </c>
      <c r="L5" s="348">
        <f>K5-$O$21</f>
        <v>8.65</v>
      </c>
      <c r="M5" s="938" t="s">
        <v>185</v>
      </c>
      <c r="S5" s="1">
        <v>43</v>
      </c>
      <c r="T5" s="208">
        <v>11.6</v>
      </c>
    </row>
    <row r="6" spans="1:20" ht="14.25" customHeight="1">
      <c r="A6" s="332" t="s">
        <v>110</v>
      </c>
      <c r="B6" s="333">
        <v>12.585000000000001</v>
      </c>
      <c r="C6" s="334">
        <f t="shared" ref="C6:C40" si="0">B6-$O$17</f>
        <v>12.464</v>
      </c>
      <c r="D6" s="932"/>
      <c r="E6" s="268"/>
      <c r="F6" s="663">
        <v>2</v>
      </c>
      <c r="G6" s="661">
        <v>11.590978360256019</v>
      </c>
      <c r="H6" s="662">
        <f t="shared" ref="H6:H69" si="1">G6-$O$13</f>
        <v>11.467978360256019</v>
      </c>
      <c r="I6" s="937"/>
      <c r="J6" s="346">
        <v>2</v>
      </c>
      <c r="K6" s="347">
        <v>8.7149999999999999</v>
      </c>
      <c r="L6" s="348">
        <f t="shared" ref="L6:L69" si="2">K6-$O$21</f>
        <v>8.6449999999999996</v>
      </c>
      <c r="M6" s="938"/>
      <c r="N6" s="3" t="s">
        <v>5</v>
      </c>
      <c r="O6" s="12" t="s">
        <v>288</v>
      </c>
      <c r="S6" s="1">
        <v>42</v>
      </c>
      <c r="T6" s="208">
        <v>11.705</v>
      </c>
    </row>
    <row r="7" spans="1:20" ht="14.25" customHeight="1">
      <c r="A7" s="332" t="s">
        <v>111</v>
      </c>
      <c r="B7" s="333">
        <v>12.315</v>
      </c>
      <c r="C7" s="334">
        <f t="shared" si="0"/>
        <v>12.193999999999999</v>
      </c>
      <c r="D7" s="932"/>
      <c r="E7" s="268"/>
      <c r="F7" s="660">
        <v>3</v>
      </c>
      <c r="G7" s="661">
        <v>12.29807985370314</v>
      </c>
      <c r="H7" s="662">
        <f t="shared" si="1"/>
        <v>12.17507985370314</v>
      </c>
      <c r="I7" s="937"/>
      <c r="J7" s="346">
        <v>3</v>
      </c>
      <c r="K7" s="347">
        <v>8.6999999999999993</v>
      </c>
      <c r="L7" s="348">
        <f t="shared" si="2"/>
        <v>8.629999999999999</v>
      </c>
      <c r="M7" s="938"/>
      <c r="N7" s="3"/>
      <c r="S7" s="1">
        <v>41</v>
      </c>
      <c r="T7" s="208">
        <v>11.58</v>
      </c>
    </row>
    <row r="8" spans="1:20" ht="14.25" customHeight="1">
      <c r="A8" s="332" t="s">
        <v>112</v>
      </c>
      <c r="B8" s="333">
        <v>12.58</v>
      </c>
      <c r="C8" s="334">
        <f>B8-$O$17</f>
        <v>12.459</v>
      </c>
      <c r="D8" s="932"/>
      <c r="E8" s="268"/>
      <c r="F8" s="663">
        <v>4</v>
      </c>
      <c r="G8" s="661">
        <v>12.450472416946052</v>
      </c>
      <c r="H8" s="662">
        <f t="shared" si="1"/>
        <v>12.327472416946053</v>
      </c>
      <c r="I8" s="937"/>
      <c r="J8" s="346">
        <v>4</v>
      </c>
      <c r="K8" s="347">
        <v>8.52</v>
      </c>
      <c r="L8" s="348">
        <f t="shared" si="2"/>
        <v>8.4499999999999993</v>
      </c>
      <c r="M8" s="938"/>
      <c r="N8" s="3" t="s">
        <v>6</v>
      </c>
      <c r="O8" s="12" t="s">
        <v>93</v>
      </c>
      <c r="S8" s="1">
        <v>40</v>
      </c>
      <c r="T8" s="208">
        <v>11.71</v>
      </c>
    </row>
    <row r="9" spans="1:20" ht="14.25" customHeight="1">
      <c r="A9" s="332" t="s">
        <v>113</v>
      </c>
      <c r="B9" s="333">
        <v>12.52</v>
      </c>
      <c r="C9" s="334">
        <f t="shared" si="0"/>
        <v>12.398999999999999</v>
      </c>
      <c r="D9" s="932"/>
      <c r="E9" s="268"/>
      <c r="F9" s="660">
        <v>5</v>
      </c>
      <c r="G9" s="661">
        <v>12.267601341054556</v>
      </c>
      <c r="H9" s="662">
        <f t="shared" si="1"/>
        <v>12.144601341054557</v>
      </c>
      <c r="I9" s="937"/>
      <c r="J9" s="346">
        <v>5</v>
      </c>
      <c r="K9" s="347">
        <v>9.56</v>
      </c>
      <c r="L9" s="348">
        <f t="shared" si="2"/>
        <v>9.49</v>
      </c>
      <c r="M9" s="938"/>
      <c r="N9" s="3"/>
      <c r="S9" s="1">
        <v>39</v>
      </c>
      <c r="T9" s="208">
        <v>11.705</v>
      </c>
    </row>
    <row r="10" spans="1:20" ht="14.25" customHeight="1">
      <c r="A10" s="332" t="s">
        <v>114</v>
      </c>
      <c r="B10" s="333">
        <v>12.574999999999999</v>
      </c>
      <c r="C10" s="334">
        <f t="shared" si="0"/>
        <v>12.453999999999999</v>
      </c>
      <c r="D10" s="932"/>
      <c r="E10" s="268"/>
      <c r="F10" s="663">
        <v>6</v>
      </c>
      <c r="G10" s="661">
        <v>12.221883572081682</v>
      </c>
      <c r="H10" s="662">
        <f t="shared" si="1"/>
        <v>12.098883572081682</v>
      </c>
      <c r="I10" s="937"/>
      <c r="J10" s="349">
        <v>6</v>
      </c>
      <c r="K10" s="347">
        <v>9.6300000000000008</v>
      </c>
      <c r="L10" s="348">
        <f t="shared" si="2"/>
        <v>9.56</v>
      </c>
      <c r="M10" s="938"/>
      <c r="N10" s="355" t="s">
        <v>98</v>
      </c>
      <c r="O10" s="356" t="s">
        <v>55</v>
      </c>
      <c r="P10" s="357"/>
      <c r="S10" s="1">
        <v>38</v>
      </c>
      <c r="T10" s="208">
        <v>11.71</v>
      </c>
    </row>
    <row r="11" spans="1:20" ht="14.25" customHeight="1">
      <c r="A11" s="332" t="s">
        <v>115</v>
      </c>
      <c r="B11" s="333">
        <v>12.6</v>
      </c>
      <c r="C11" s="334">
        <f t="shared" si="0"/>
        <v>12.478999999999999</v>
      </c>
      <c r="D11" s="932"/>
      <c r="E11" s="268"/>
      <c r="F11" s="660">
        <v>7</v>
      </c>
      <c r="G11" s="661">
        <v>12.538860103626943</v>
      </c>
      <c r="H11" s="662">
        <f t="shared" si="1"/>
        <v>12.415860103626944</v>
      </c>
      <c r="I11" s="937"/>
      <c r="J11" s="349">
        <v>7</v>
      </c>
      <c r="K11" s="347">
        <v>9.7050000000000001</v>
      </c>
      <c r="L11" s="348">
        <f t="shared" si="2"/>
        <v>9.6349999999999998</v>
      </c>
      <c r="M11" s="938"/>
      <c r="N11" s="358" t="s">
        <v>7</v>
      </c>
      <c r="O11" s="359" t="s">
        <v>95</v>
      </c>
      <c r="P11" s="360"/>
      <c r="S11" s="1">
        <v>37</v>
      </c>
      <c r="T11" s="208">
        <v>11.71</v>
      </c>
    </row>
    <row r="12" spans="1:20" ht="14.25" customHeight="1">
      <c r="A12" s="332" t="s">
        <v>116</v>
      </c>
      <c r="B12" s="333">
        <v>12.593</v>
      </c>
      <c r="C12" s="334">
        <f t="shared" si="0"/>
        <v>12.472</v>
      </c>
      <c r="D12" s="932"/>
      <c r="E12" s="268"/>
      <c r="F12" s="663">
        <v>8</v>
      </c>
      <c r="G12" s="661">
        <v>12.22493142334654</v>
      </c>
      <c r="H12" s="662">
        <f t="shared" si="1"/>
        <v>12.10193142334654</v>
      </c>
      <c r="I12" s="937"/>
      <c r="J12" s="349">
        <v>8</v>
      </c>
      <c r="K12" s="347">
        <v>9.69</v>
      </c>
      <c r="L12" s="348">
        <f t="shared" si="2"/>
        <v>9.6199999999999992</v>
      </c>
      <c r="M12" s="938"/>
      <c r="N12" s="358" t="s">
        <v>96</v>
      </c>
      <c r="O12" s="359" t="s">
        <v>97</v>
      </c>
      <c r="P12" s="360"/>
      <c r="S12" s="1">
        <v>36</v>
      </c>
      <c r="T12" s="208">
        <v>11.275</v>
      </c>
    </row>
    <row r="13" spans="1:20" ht="14.25" customHeight="1">
      <c r="A13" s="332" t="s">
        <v>117</v>
      </c>
      <c r="B13" s="333">
        <v>12.103</v>
      </c>
      <c r="C13" s="334">
        <f t="shared" si="0"/>
        <v>11.981999999999999</v>
      </c>
      <c r="D13" s="932"/>
      <c r="E13" s="268"/>
      <c r="F13" s="660">
        <v>9</v>
      </c>
      <c r="G13" s="661">
        <v>12.359036879000303</v>
      </c>
      <c r="H13" s="662">
        <f t="shared" si="1"/>
        <v>12.236036879000304</v>
      </c>
      <c r="I13" s="937"/>
      <c r="J13" s="349">
        <v>9</v>
      </c>
      <c r="K13" s="347">
        <v>9.7100000000000009</v>
      </c>
      <c r="L13" s="348">
        <f t="shared" si="2"/>
        <v>9.64</v>
      </c>
      <c r="M13" s="938"/>
      <c r="N13" s="358" t="s">
        <v>99</v>
      </c>
      <c r="O13" s="361">
        <v>0.123</v>
      </c>
      <c r="P13" s="362" t="s">
        <v>32</v>
      </c>
      <c r="S13" s="1">
        <v>35</v>
      </c>
      <c r="T13" s="208">
        <v>11.71</v>
      </c>
    </row>
    <row r="14" spans="1:20" ht="14.25" customHeight="1">
      <c r="A14" s="332" t="s">
        <v>118</v>
      </c>
      <c r="B14" s="333">
        <v>12.07</v>
      </c>
      <c r="C14" s="334">
        <f t="shared" si="0"/>
        <v>11.949</v>
      </c>
      <c r="D14" s="932"/>
      <c r="E14" s="269"/>
      <c r="F14" s="663">
        <v>10</v>
      </c>
      <c r="G14" s="661">
        <v>12.694300518134714</v>
      </c>
      <c r="H14" s="662">
        <f t="shared" si="1"/>
        <v>12.571300518134715</v>
      </c>
      <c r="I14" s="937"/>
      <c r="J14" s="349">
        <v>10</v>
      </c>
      <c r="K14" s="347">
        <v>9.6050000000000004</v>
      </c>
      <c r="L14" s="348">
        <f t="shared" si="2"/>
        <v>9.5350000000000001</v>
      </c>
      <c r="M14" s="938"/>
      <c r="N14" s="363" t="s">
        <v>145</v>
      </c>
      <c r="O14" s="364" t="s">
        <v>55</v>
      </c>
      <c r="P14" s="365"/>
      <c r="S14" s="1">
        <v>34</v>
      </c>
      <c r="T14" s="208">
        <v>11.715</v>
      </c>
    </row>
    <row r="15" spans="1:20" ht="14.25" customHeight="1">
      <c r="A15" s="332" t="s">
        <v>119</v>
      </c>
      <c r="B15" s="333">
        <v>12.54</v>
      </c>
      <c r="C15" s="334">
        <f t="shared" si="0"/>
        <v>12.418999999999999</v>
      </c>
      <c r="D15" s="932"/>
      <c r="E15" s="268"/>
      <c r="F15" s="660">
        <v>11</v>
      </c>
      <c r="G15" s="661">
        <v>12.08473026516306</v>
      </c>
      <c r="H15" s="662">
        <f t="shared" si="1"/>
        <v>11.961730265163061</v>
      </c>
      <c r="I15" s="937"/>
      <c r="J15" s="349">
        <v>11</v>
      </c>
      <c r="K15" s="347">
        <v>9.6999999999999993</v>
      </c>
      <c r="L15" s="348">
        <f t="shared" si="2"/>
        <v>9.629999999999999</v>
      </c>
      <c r="M15" s="938"/>
      <c r="N15" s="366" t="s">
        <v>7</v>
      </c>
      <c r="O15" s="271" t="s">
        <v>94</v>
      </c>
      <c r="P15" s="367"/>
      <c r="S15" s="1">
        <v>33</v>
      </c>
      <c r="T15" s="208">
        <v>11.6</v>
      </c>
    </row>
    <row r="16" spans="1:20" ht="14.25" customHeight="1">
      <c r="A16" s="332" t="s">
        <v>120</v>
      </c>
      <c r="B16" s="333">
        <v>12.65</v>
      </c>
      <c r="C16" s="334">
        <f t="shared" si="0"/>
        <v>12.529</v>
      </c>
      <c r="D16" s="932"/>
      <c r="E16" s="268"/>
      <c r="F16" s="663">
        <v>12</v>
      </c>
      <c r="G16" s="661">
        <v>11.584882657726302</v>
      </c>
      <c r="H16" s="662">
        <f t="shared" si="1"/>
        <v>11.461882657726303</v>
      </c>
      <c r="I16" s="937"/>
      <c r="J16" s="349">
        <v>12</v>
      </c>
      <c r="K16" s="347">
        <v>9.6999999999999993</v>
      </c>
      <c r="L16" s="348">
        <f>K16-$O$21</f>
        <v>9.629999999999999</v>
      </c>
      <c r="M16" s="938"/>
      <c r="N16" s="366" t="s">
        <v>96</v>
      </c>
      <c r="O16" s="271" t="s">
        <v>103</v>
      </c>
      <c r="P16" s="367"/>
      <c r="S16" s="1">
        <v>32</v>
      </c>
      <c r="T16" s="208">
        <v>11.71</v>
      </c>
    </row>
    <row r="17" spans="1:20" ht="14.25" customHeight="1">
      <c r="A17" s="332" t="s">
        <v>121</v>
      </c>
      <c r="B17" s="333">
        <v>12.38</v>
      </c>
      <c r="C17" s="334">
        <f t="shared" si="0"/>
        <v>12.259</v>
      </c>
      <c r="D17" s="932"/>
      <c r="E17" s="268"/>
      <c r="F17" s="660">
        <v>13</v>
      </c>
      <c r="G17" s="661">
        <v>12.276744894849131</v>
      </c>
      <c r="H17" s="662">
        <f t="shared" si="1"/>
        <v>12.153744894849131</v>
      </c>
      <c r="I17" s="937"/>
      <c r="J17" s="349">
        <v>13</v>
      </c>
      <c r="K17" s="347">
        <v>9.6980000000000004</v>
      </c>
      <c r="L17" s="348">
        <f t="shared" si="2"/>
        <v>9.6280000000000001</v>
      </c>
      <c r="M17" s="938"/>
      <c r="N17" s="366" t="s">
        <v>99</v>
      </c>
      <c r="O17" s="368">
        <v>0.121</v>
      </c>
      <c r="P17" s="369" t="s">
        <v>32</v>
      </c>
      <c r="S17" s="1">
        <v>31</v>
      </c>
      <c r="T17" s="208">
        <v>11.71</v>
      </c>
    </row>
    <row r="18" spans="1:20" ht="14.25" customHeight="1">
      <c r="A18" s="332" t="s">
        <v>122</v>
      </c>
      <c r="B18" s="333">
        <v>12.375</v>
      </c>
      <c r="C18" s="334">
        <f t="shared" si="0"/>
        <v>12.254</v>
      </c>
      <c r="D18" s="932"/>
      <c r="E18" s="268"/>
      <c r="F18" s="663">
        <v>14</v>
      </c>
      <c r="G18" s="661">
        <v>12.925937214263943</v>
      </c>
      <c r="H18" s="662">
        <f t="shared" si="1"/>
        <v>12.802937214263943</v>
      </c>
      <c r="I18" s="937"/>
      <c r="J18" s="349">
        <v>14</v>
      </c>
      <c r="K18" s="347">
        <v>9.1349999999999998</v>
      </c>
      <c r="L18" s="348">
        <f t="shared" si="2"/>
        <v>9.0649999999999995</v>
      </c>
      <c r="M18" s="938"/>
      <c r="N18" s="363" t="s">
        <v>100</v>
      </c>
      <c r="O18" s="364" t="s">
        <v>81</v>
      </c>
      <c r="P18" s="365"/>
      <c r="S18" s="1">
        <v>30</v>
      </c>
      <c r="T18" s="208">
        <v>11.71</v>
      </c>
    </row>
    <row r="19" spans="1:20" ht="14.25" customHeight="1">
      <c r="A19" s="332" t="s">
        <v>123</v>
      </c>
      <c r="B19" s="333">
        <v>12.65</v>
      </c>
      <c r="C19" s="334">
        <f t="shared" si="0"/>
        <v>12.529</v>
      </c>
      <c r="D19" s="932"/>
      <c r="E19" s="268"/>
      <c r="F19" s="660">
        <v>15</v>
      </c>
      <c r="G19" s="661">
        <v>12.584577872599816</v>
      </c>
      <c r="H19" s="662">
        <f t="shared" si="1"/>
        <v>12.461577872599817</v>
      </c>
      <c r="I19" s="937"/>
      <c r="J19" s="349">
        <v>15</v>
      </c>
      <c r="K19" s="347">
        <v>9.66</v>
      </c>
      <c r="L19" s="348">
        <f t="shared" si="2"/>
        <v>9.59</v>
      </c>
      <c r="M19" s="938"/>
      <c r="N19" s="366" t="s">
        <v>7</v>
      </c>
      <c r="O19" s="271" t="s">
        <v>101</v>
      </c>
      <c r="P19" s="367"/>
      <c r="S19" s="1">
        <v>29</v>
      </c>
      <c r="T19" s="208">
        <v>11.71</v>
      </c>
    </row>
    <row r="20" spans="1:20" ht="14.25" customHeight="1">
      <c r="A20" s="332" t="s">
        <v>124</v>
      </c>
      <c r="B20" s="333">
        <v>12.7</v>
      </c>
      <c r="C20" s="334">
        <f t="shared" si="0"/>
        <v>12.578999999999999</v>
      </c>
      <c r="D20" s="932"/>
      <c r="E20" s="268"/>
      <c r="F20" s="663">
        <v>16</v>
      </c>
      <c r="G20" s="661">
        <v>12.66686985675099</v>
      </c>
      <c r="H20" s="662">
        <f t="shared" si="1"/>
        <v>12.543869856750991</v>
      </c>
      <c r="I20" s="937"/>
      <c r="J20" s="346">
        <v>16</v>
      </c>
      <c r="K20" s="347">
        <v>9.69</v>
      </c>
      <c r="L20" s="348">
        <f t="shared" si="2"/>
        <v>9.6199999999999992</v>
      </c>
      <c r="M20" s="938"/>
      <c r="N20" s="366" t="s">
        <v>96</v>
      </c>
      <c r="O20" s="271" t="s">
        <v>102</v>
      </c>
      <c r="P20" s="367"/>
      <c r="S20" s="1">
        <v>28</v>
      </c>
      <c r="T20" s="208">
        <v>11.705</v>
      </c>
    </row>
    <row r="21" spans="1:20" ht="14.25" customHeight="1">
      <c r="A21" s="332" t="s">
        <v>125</v>
      </c>
      <c r="B21" s="333">
        <v>12.6</v>
      </c>
      <c r="C21" s="334">
        <f t="shared" si="0"/>
        <v>12.478999999999999</v>
      </c>
      <c r="D21" s="932"/>
      <c r="E21" s="268"/>
      <c r="F21" s="660">
        <v>17</v>
      </c>
      <c r="G21" s="661">
        <v>12.304175556232854</v>
      </c>
      <c r="H21" s="662">
        <f>G21-$O$13</f>
        <v>12.181175556232855</v>
      </c>
      <c r="I21" s="937"/>
      <c r="J21" s="346">
        <v>17</v>
      </c>
      <c r="K21" s="347">
        <v>9.7200000000000006</v>
      </c>
      <c r="L21" s="348">
        <f t="shared" si="2"/>
        <v>9.65</v>
      </c>
      <c r="M21" s="938"/>
      <c r="N21" s="370" t="s">
        <v>99</v>
      </c>
      <c r="O21" s="371">
        <v>7.0000000000000007E-2</v>
      </c>
      <c r="P21" s="369" t="s">
        <v>32</v>
      </c>
      <c r="S21" s="1">
        <v>27</v>
      </c>
      <c r="T21" s="208">
        <v>11.705</v>
      </c>
    </row>
    <row r="22" spans="1:20" ht="14.25" customHeight="1">
      <c r="A22" s="332" t="s">
        <v>126</v>
      </c>
      <c r="B22" s="335">
        <v>12.6</v>
      </c>
      <c r="C22" s="334">
        <f t="shared" si="0"/>
        <v>12.478999999999999</v>
      </c>
      <c r="D22" s="933"/>
      <c r="E22" s="268"/>
      <c r="F22" s="663">
        <v>18</v>
      </c>
      <c r="G22" s="661">
        <v>12.645534897896983</v>
      </c>
      <c r="H22" s="662">
        <f t="shared" si="1"/>
        <v>12.522534897896984</v>
      </c>
      <c r="I22" s="937"/>
      <c r="J22" s="346">
        <v>18</v>
      </c>
      <c r="K22" s="347">
        <v>9.6300000000000008</v>
      </c>
      <c r="L22" s="348">
        <f t="shared" si="2"/>
        <v>9.56</v>
      </c>
      <c r="M22" s="938"/>
      <c r="N22" s="62"/>
      <c r="O22" s="12" t="s">
        <v>48</v>
      </c>
      <c r="S22" s="1">
        <v>26</v>
      </c>
      <c r="T22" s="208">
        <v>11.705</v>
      </c>
    </row>
    <row r="23" spans="1:20" ht="14.25" customHeight="1">
      <c r="A23" s="332" t="s">
        <v>108</v>
      </c>
      <c r="B23" s="336">
        <v>12.59</v>
      </c>
      <c r="C23" s="334">
        <f t="shared" si="0"/>
        <v>12.468999999999999</v>
      </c>
      <c r="D23" s="934" t="s">
        <v>104</v>
      </c>
      <c r="E23" s="268"/>
      <c r="F23" s="660">
        <v>19</v>
      </c>
      <c r="G23" s="661">
        <v>12.234074977141114</v>
      </c>
      <c r="H23" s="662">
        <f t="shared" si="1"/>
        <v>12.111074977141115</v>
      </c>
      <c r="I23" s="937"/>
      <c r="J23" s="346">
        <v>19</v>
      </c>
      <c r="K23" s="347">
        <v>9.6029999999999998</v>
      </c>
      <c r="L23" s="348">
        <f t="shared" si="2"/>
        <v>9.5329999999999995</v>
      </c>
      <c r="M23" s="938"/>
      <c r="N23" s="64"/>
      <c r="O23" s="12" t="s">
        <v>146</v>
      </c>
      <c r="S23" s="1">
        <v>25</v>
      </c>
      <c r="T23" s="208">
        <v>11.695</v>
      </c>
    </row>
    <row r="24" spans="1:20" ht="14.25" customHeight="1">
      <c r="A24" s="332" t="s">
        <v>127</v>
      </c>
      <c r="B24" s="336">
        <v>12.592000000000001</v>
      </c>
      <c r="C24" s="334">
        <f t="shared" si="0"/>
        <v>12.471</v>
      </c>
      <c r="D24" s="935"/>
      <c r="E24" s="269"/>
      <c r="F24" s="663">
        <v>20</v>
      </c>
      <c r="G24" s="661">
        <v>12.697348369399572</v>
      </c>
      <c r="H24" s="662">
        <f t="shared" si="1"/>
        <v>12.574348369399573</v>
      </c>
      <c r="I24" s="937"/>
      <c r="J24" s="346">
        <v>20</v>
      </c>
      <c r="K24" s="347">
        <v>9.69</v>
      </c>
      <c r="L24" s="348">
        <f t="shared" si="2"/>
        <v>9.6199999999999992</v>
      </c>
      <c r="M24" s="938"/>
      <c r="N24" s="67"/>
      <c r="O24" s="12" t="s">
        <v>29</v>
      </c>
      <c r="S24" s="1">
        <v>24</v>
      </c>
      <c r="T24" s="208">
        <v>11.585000000000001</v>
      </c>
    </row>
    <row r="25" spans="1:20" ht="14.25" customHeight="1">
      <c r="A25" s="332" t="s">
        <v>128</v>
      </c>
      <c r="B25" s="336">
        <v>12.074999999999999</v>
      </c>
      <c r="C25" s="334">
        <f t="shared" si="0"/>
        <v>11.953999999999999</v>
      </c>
      <c r="D25" s="935"/>
      <c r="E25" s="268"/>
      <c r="F25" s="660">
        <v>21</v>
      </c>
      <c r="G25" s="661">
        <v>12.505333739713501</v>
      </c>
      <c r="H25" s="662">
        <f t="shared" si="1"/>
        <v>12.382333739713502</v>
      </c>
      <c r="I25" s="937"/>
      <c r="J25" s="346">
        <v>21</v>
      </c>
      <c r="K25" s="347">
        <v>9.6999999999999993</v>
      </c>
      <c r="L25" s="348">
        <f t="shared" si="2"/>
        <v>9.629999999999999</v>
      </c>
      <c r="M25" s="938"/>
      <c r="N25" s="63"/>
      <c r="O25" s="12" t="s">
        <v>30</v>
      </c>
      <c r="S25" s="1">
        <v>23</v>
      </c>
      <c r="T25" s="208">
        <v>11.71</v>
      </c>
    </row>
    <row r="26" spans="1:20" ht="14.25" customHeight="1">
      <c r="A26" s="332" t="s">
        <v>129</v>
      </c>
      <c r="B26" s="336">
        <v>12.606999999999999</v>
      </c>
      <c r="C26" s="334">
        <f t="shared" si="0"/>
        <v>12.485999999999999</v>
      </c>
      <c r="D26" s="935"/>
      <c r="E26" s="268"/>
      <c r="F26" s="663">
        <v>22</v>
      </c>
      <c r="G26" s="661">
        <v>12.797927461139896</v>
      </c>
      <c r="H26" s="662">
        <f t="shared" si="1"/>
        <v>12.674927461139896</v>
      </c>
      <c r="I26" s="937"/>
      <c r="J26" s="346">
        <v>22</v>
      </c>
      <c r="K26" s="347">
        <v>9.69</v>
      </c>
      <c r="L26" s="348">
        <f t="shared" si="2"/>
        <v>9.6199999999999992</v>
      </c>
      <c r="M26" s="938"/>
      <c r="S26" s="1">
        <v>22</v>
      </c>
      <c r="T26" s="208">
        <v>11.71</v>
      </c>
    </row>
    <row r="27" spans="1:20" ht="14.25" customHeight="1">
      <c r="A27" s="332" t="s">
        <v>130</v>
      </c>
      <c r="B27" s="336">
        <v>12.587</v>
      </c>
      <c r="C27" s="334">
        <f t="shared" si="0"/>
        <v>12.465999999999999</v>
      </c>
      <c r="D27" s="935"/>
      <c r="E27" s="268"/>
      <c r="F27" s="660">
        <v>23</v>
      </c>
      <c r="G27" s="661">
        <v>12.764401097226456</v>
      </c>
      <c r="H27" s="662">
        <f t="shared" si="1"/>
        <v>12.641401097226456</v>
      </c>
      <c r="I27" s="937"/>
      <c r="J27" s="346">
        <v>23</v>
      </c>
      <c r="K27" s="347">
        <v>9.6999999999999993</v>
      </c>
      <c r="L27" s="348">
        <f t="shared" si="2"/>
        <v>9.629999999999999</v>
      </c>
      <c r="M27" s="938"/>
      <c r="S27" s="1">
        <v>21</v>
      </c>
      <c r="T27" s="208">
        <v>11.71</v>
      </c>
    </row>
    <row r="28" spans="1:20" ht="14.25" customHeight="1">
      <c r="A28" s="332" t="s">
        <v>131</v>
      </c>
      <c r="B28" s="336">
        <v>12.59</v>
      </c>
      <c r="C28" s="334">
        <f t="shared" si="0"/>
        <v>12.468999999999999</v>
      </c>
      <c r="D28" s="935"/>
      <c r="E28" s="268"/>
      <c r="F28" s="663">
        <v>24</v>
      </c>
      <c r="G28" s="661">
        <v>12.352941176470589</v>
      </c>
      <c r="H28" s="662">
        <f t="shared" si="1"/>
        <v>12.229941176470589</v>
      </c>
      <c r="I28" s="937"/>
      <c r="J28" s="346">
        <v>24</v>
      </c>
      <c r="K28" s="347">
        <v>9.69</v>
      </c>
      <c r="L28" s="348">
        <f t="shared" si="2"/>
        <v>9.6199999999999992</v>
      </c>
      <c r="M28" s="939" t="s">
        <v>186</v>
      </c>
      <c r="S28" s="1">
        <v>20</v>
      </c>
      <c r="T28" s="208">
        <v>11.71</v>
      </c>
    </row>
    <row r="29" spans="1:20" ht="14.25" customHeight="1">
      <c r="A29" s="332" t="s">
        <v>132</v>
      </c>
      <c r="B29" s="336">
        <v>12.593</v>
      </c>
      <c r="C29" s="334">
        <f t="shared" si="0"/>
        <v>12.472</v>
      </c>
      <c r="D29" s="935"/>
      <c r="E29" s="268"/>
      <c r="F29" s="660">
        <v>25</v>
      </c>
      <c r="G29" s="661">
        <v>12.279792746113989</v>
      </c>
      <c r="H29" s="662">
        <f t="shared" si="1"/>
        <v>12.15679274611399</v>
      </c>
      <c r="I29" s="937"/>
      <c r="J29" s="346">
        <v>25</v>
      </c>
      <c r="K29" s="347">
        <v>9.7050000000000001</v>
      </c>
      <c r="L29" s="348">
        <f t="shared" si="2"/>
        <v>9.6349999999999998</v>
      </c>
      <c r="M29" s="939"/>
      <c r="S29" s="1">
        <v>19</v>
      </c>
      <c r="T29" s="208">
        <v>11.75</v>
      </c>
    </row>
    <row r="30" spans="1:20" ht="14.25" customHeight="1">
      <c r="A30" s="332" t="s">
        <v>133</v>
      </c>
      <c r="B30" s="336">
        <v>12.585000000000001</v>
      </c>
      <c r="C30" s="334">
        <f t="shared" si="0"/>
        <v>12.464</v>
      </c>
      <c r="D30" s="935"/>
      <c r="E30" s="268"/>
      <c r="F30" s="663">
        <v>26</v>
      </c>
      <c r="G30" s="661">
        <v>12.188357208168242</v>
      </c>
      <c r="H30" s="662">
        <f t="shared" si="1"/>
        <v>12.065357208168242</v>
      </c>
      <c r="I30" s="937"/>
      <c r="J30" s="346">
        <v>26</v>
      </c>
      <c r="K30" s="347">
        <v>9.69</v>
      </c>
      <c r="L30" s="348">
        <f t="shared" si="2"/>
        <v>9.6199999999999992</v>
      </c>
      <c r="M30" s="939"/>
      <c r="S30" s="1">
        <v>18</v>
      </c>
      <c r="T30" s="208">
        <v>11.71</v>
      </c>
    </row>
    <row r="31" spans="1:20" ht="14.25" customHeight="1">
      <c r="A31" s="332" t="s">
        <v>134</v>
      </c>
      <c r="B31" s="336">
        <v>12.582000000000001</v>
      </c>
      <c r="C31" s="334">
        <f t="shared" si="0"/>
        <v>12.461</v>
      </c>
      <c r="D31" s="935"/>
      <c r="E31" s="268"/>
      <c r="F31" s="660">
        <v>27</v>
      </c>
      <c r="G31" s="661">
        <v>12.688204815604999</v>
      </c>
      <c r="H31" s="662">
        <f t="shared" si="1"/>
        <v>12.565204815605</v>
      </c>
      <c r="I31" s="937"/>
      <c r="J31" s="346">
        <v>27</v>
      </c>
      <c r="K31" s="347">
        <v>9.69</v>
      </c>
      <c r="L31" s="348">
        <f t="shared" si="2"/>
        <v>9.6199999999999992</v>
      </c>
      <c r="M31" s="939"/>
      <c r="S31" s="1">
        <v>17</v>
      </c>
      <c r="T31" s="208">
        <v>11.645</v>
      </c>
    </row>
    <row r="32" spans="1:20" ht="14.25" customHeight="1">
      <c r="A32" s="332" t="s">
        <v>135</v>
      </c>
      <c r="B32" s="336">
        <v>12.587</v>
      </c>
      <c r="C32" s="334">
        <f t="shared" si="0"/>
        <v>12.465999999999999</v>
      </c>
      <c r="D32" s="935"/>
      <c r="E32" s="268"/>
      <c r="F32" s="663">
        <v>28</v>
      </c>
      <c r="G32" s="661">
        <v>12.359036879000303</v>
      </c>
      <c r="H32" s="662">
        <f t="shared" si="1"/>
        <v>12.236036879000304</v>
      </c>
      <c r="I32" s="937"/>
      <c r="J32" s="346">
        <v>28</v>
      </c>
      <c r="K32" s="347">
        <v>9.7050000000000001</v>
      </c>
      <c r="L32" s="348">
        <f t="shared" si="2"/>
        <v>9.6349999999999998</v>
      </c>
      <c r="M32" s="939"/>
      <c r="S32" s="1">
        <v>16</v>
      </c>
      <c r="T32" s="208">
        <v>11.715</v>
      </c>
    </row>
    <row r="33" spans="1:20" ht="14.25" customHeight="1">
      <c r="A33" s="332" t="s">
        <v>136</v>
      </c>
      <c r="B33" s="336">
        <v>12.557</v>
      </c>
      <c r="C33" s="334">
        <f t="shared" si="0"/>
        <v>12.436</v>
      </c>
      <c r="D33" s="935"/>
      <c r="E33" s="268"/>
      <c r="F33" s="660">
        <v>29</v>
      </c>
      <c r="G33" s="661">
        <v>12.922889362999085</v>
      </c>
      <c r="H33" s="662">
        <f t="shared" si="1"/>
        <v>12.799889362999085</v>
      </c>
      <c r="I33" s="937"/>
      <c r="J33" s="346">
        <v>29</v>
      </c>
      <c r="K33" s="347">
        <v>9.5950000000000006</v>
      </c>
      <c r="L33" s="348">
        <f t="shared" si="2"/>
        <v>9.5250000000000004</v>
      </c>
      <c r="M33" s="939"/>
      <c r="S33" s="1">
        <v>15</v>
      </c>
      <c r="T33" s="208">
        <v>11.715</v>
      </c>
    </row>
    <row r="34" spans="1:20" ht="14.25" customHeight="1">
      <c r="A34" s="332" t="s">
        <v>137</v>
      </c>
      <c r="B34" s="336">
        <v>12.6</v>
      </c>
      <c r="C34" s="334">
        <f t="shared" si="0"/>
        <v>12.478999999999999</v>
      </c>
      <c r="D34" s="935"/>
      <c r="E34" s="269"/>
      <c r="F34" s="663">
        <v>30</v>
      </c>
      <c r="G34" s="661">
        <v>12.419993904297471</v>
      </c>
      <c r="H34" s="662">
        <f t="shared" si="1"/>
        <v>12.296993904297471</v>
      </c>
      <c r="I34" s="937"/>
      <c r="J34" s="346">
        <v>30</v>
      </c>
      <c r="K34" s="347">
        <v>9.6950000000000003</v>
      </c>
      <c r="L34" s="348">
        <f t="shared" si="2"/>
        <v>9.625</v>
      </c>
      <c r="M34" s="939"/>
      <c r="S34" s="1">
        <v>14</v>
      </c>
      <c r="T34" s="208">
        <v>11.71</v>
      </c>
    </row>
    <row r="35" spans="1:20" ht="14.25" customHeight="1">
      <c r="A35" s="332" t="s">
        <v>138</v>
      </c>
      <c r="B35" s="336">
        <v>12.587</v>
      </c>
      <c r="C35" s="334">
        <f>B35-$O$17</f>
        <v>12.465999999999999</v>
      </c>
      <c r="D35" s="935"/>
      <c r="E35" s="268"/>
      <c r="F35" s="660">
        <v>31</v>
      </c>
      <c r="G35" s="661">
        <v>12.087778116427916</v>
      </c>
      <c r="H35" s="662">
        <f t="shared" si="1"/>
        <v>11.964778116427917</v>
      </c>
      <c r="I35" s="937"/>
      <c r="J35" s="346">
        <v>31</v>
      </c>
      <c r="K35" s="347">
        <v>9.6850000000000005</v>
      </c>
      <c r="L35" s="348">
        <f t="shared" si="2"/>
        <v>9.6150000000000002</v>
      </c>
      <c r="M35" s="939"/>
      <c r="S35" s="1">
        <v>13</v>
      </c>
      <c r="T35" s="208">
        <v>11.71</v>
      </c>
    </row>
    <row r="36" spans="1:20" ht="14.25" customHeight="1">
      <c r="A36" s="332" t="s">
        <v>139</v>
      </c>
      <c r="B36" s="336">
        <v>12.593</v>
      </c>
      <c r="C36" s="334">
        <f t="shared" si="0"/>
        <v>12.472</v>
      </c>
      <c r="D36" s="935"/>
      <c r="E36" s="268"/>
      <c r="F36" s="663">
        <v>32</v>
      </c>
      <c r="G36" s="661">
        <v>12.432185309356903</v>
      </c>
      <c r="H36" s="662">
        <f t="shared" si="1"/>
        <v>12.309185309356904</v>
      </c>
      <c r="I36" s="937"/>
      <c r="J36" s="346">
        <v>32</v>
      </c>
      <c r="K36" s="347">
        <v>9.7050000000000001</v>
      </c>
      <c r="L36" s="348">
        <f t="shared" si="2"/>
        <v>9.6349999999999998</v>
      </c>
      <c r="M36" s="939"/>
      <c r="S36" s="1">
        <v>12</v>
      </c>
      <c r="T36" s="208">
        <v>11.71</v>
      </c>
    </row>
    <row r="37" spans="1:20" ht="14.25" customHeight="1">
      <c r="A37" s="332" t="s">
        <v>140</v>
      </c>
      <c r="B37" s="336">
        <v>12.595000000000001</v>
      </c>
      <c r="C37" s="334">
        <f t="shared" si="0"/>
        <v>12.474</v>
      </c>
      <c r="D37" s="935"/>
      <c r="E37" s="268"/>
      <c r="F37" s="660">
        <v>33</v>
      </c>
      <c r="G37" s="661">
        <v>12.398658945443461</v>
      </c>
      <c r="H37" s="662">
        <f t="shared" si="1"/>
        <v>12.275658945443462</v>
      </c>
      <c r="I37" s="937"/>
      <c r="J37" s="346">
        <v>33</v>
      </c>
      <c r="K37" s="347">
        <v>9.69</v>
      </c>
      <c r="L37" s="348">
        <f t="shared" si="2"/>
        <v>9.6199999999999992</v>
      </c>
      <c r="M37" s="939"/>
      <c r="S37" s="1">
        <v>11</v>
      </c>
      <c r="T37" s="208">
        <v>11.715</v>
      </c>
    </row>
    <row r="38" spans="1:20" ht="14.25" customHeight="1">
      <c r="A38" s="332" t="s">
        <v>141</v>
      </c>
      <c r="B38" s="336">
        <v>12.583</v>
      </c>
      <c r="C38" s="334">
        <f t="shared" si="0"/>
        <v>12.462</v>
      </c>
      <c r="D38" s="935"/>
      <c r="E38" s="268"/>
      <c r="F38" s="663">
        <v>34</v>
      </c>
      <c r="G38" s="661">
        <v>11.749466626028648</v>
      </c>
      <c r="H38" s="662">
        <f t="shared" si="1"/>
        <v>11.626466626028648</v>
      </c>
      <c r="I38" s="937"/>
      <c r="J38" s="346">
        <v>34</v>
      </c>
      <c r="K38" s="347">
        <v>9.6950000000000003</v>
      </c>
      <c r="L38" s="348">
        <f t="shared" si="2"/>
        <v>9.625</v>
      </c>
      <c r="M38" s="939"/>
      <c r="S38" s="1">
        <v>10</v>
      </c>
      <c r="T38" s="208">
        <v>11.71</v>
      </c>
    </row>
    <row r="39" spans="1:20" ht="14.25" customHeight="1">
      <c r="A39" s="332" t="s">
        <v>142</v>
      </c>
      <c r="B39" s="336">
        <v>12.584</v>
      </c>
      <c r="C39" s="334">
        <f t="shared" si="0"/>
        <v>12.462999999999999</v>
      </c>
      <c r="D39" s="935"/>
      <c r="E39" s="268"/>
      <c r="F39" s="660">
        <v>35</v>
      </c>
      <c r="G39" s="661">
        <v>11.779945138677231</v>
      </c>
      <c r="H39" s="662">
        <f t="shared" si="1"/>
        <v>11.656945138677232</v>
      </c>
      <c r="I39" s="937"/>
      <c r="J39" s="346">
        <v>35</v>
      </c>
      <c r="K39" s="347">
        <v>9.6950000000000003</v>
      </c>
      <c r="L39" s="348">
        <f t="shared" si="2"/>
        <v>9.625</v>
      </c>
      <c r="M39" s="939"/>
      <c r="S39" s="1">
        <v>9</v>
      </c>
      <c r="T39" s="208">
        <v>11.695</v>
      </c>
    </row>
    <row r="40" spans="1:20" ht="14.25" customHeight="1">
      <c r="A40" s="332" t="s">
        <v>143</v>
      </c>
      <c r="B40" s="336">
        <v>12.58</v>
      </c>
      <c r="C40" s="334">
        <f t="shared" si="0"/>
        <v>12.459</v>
      </c>
      <c r="D40" s="936"/>
      <c r="E40" s="268"/>
      <c r="F40" s="663">
        <v>36</v>
      </c>
      <c r="G40" s="661">
        <v>12.627247790307832</v>
      </c>
      <c r="H40" s="662">
        <f t="shared" si="1"/>
        <v>12.504247790307833</v>
      </c>
      <c r="I40" s="937"/>
      <c r="J40" s="346">
        <v>36</v>
      </c>
      <c r="K40" s="347">
        <v>9.69</v>
      </c>
      <c r="L40" s="348">
        <f t="shared" si="2"/>
        <v>9.6199999999999992</v>
      </c>
      <c r="M40" s="939"/>
      <c r="S40" s="1">
        <v>8</v>
      </c>
      <c r="T40" s="208">
        <v>11.71</v>
      </c>
    </row>
    <row r="41" spans="1:20" ht="14.25" customHeight="1">
      <c r="A41" s="148"/>
      <c r="B41" s="288"/>
      <c r="C41" s="118"/>
      <c r="D41" s="211"/>
      <c r="E41" s="59"/>
      <c r="F41" s="660">
        <v>37</v>
      </c>
      <c r="G41" s="661">
        <v>12.52666869856751</v>
      </c>
      <c r="H41" s="662">
        <f t="shared" si="1"/>
        <v>12.403668698567511</v>
      </c>
      <c r="I41" s="937"/>
      <c r="J41" s="346">
        <v>37</v>
      </c>
      <c r="K41" s="347">
        <v>9.69</v>
      </c>
      <c r="L41" s="348">
        <f t="shared" si="2"/>
        <v>9.6199999999999992</v>
      </c>
      <c r="M41" s="939"/>
      <c r="S41" s="1">
        <v>7</v>
      </c>
      <c r="T41" s="208">
        <v>11.71</v>
      </c>
    </row>
    <row r="42" spans="1:20" ht="14.25" customHeight="1">
      <c r="A42" s="148"/>
      <c r="B42" s="288"/>
      <c r="C42" s="118"/>
      <c r="D42" s="211"/>
      <c r="E42" s="59"/>
      <c r="F42" s="663">
        <v>38</v>
      </c>
      <c r="G42" s="661">
        <v>12.237122828405973</v>
      </c>
      <c r="H42" s="662">
        <f t="shared" si="1"/>
        <v>12.114122828405973</v>
      </c>
      <c r="I42" s="937"/>
      <c r="J42" s="346">
        <v>38</v>
      </c>
      <c r="K42" s="347">
        <v>9.5250000000000004</v>
      </c>
      <c r="L42" s="348">
        <f t="shared" si="2"/>
        <v>9.4550000000000001</v>
      </c>
      <c r="M42" s="939"/>
      <c r="S42" s="1">
        <v>6</v>
      </c>
      <c r="T42" s="208">
        <v>11.705</v>
      </c>
    </row>
    <row r="43" spans="1:20" ht="14.25" customHeight="1">
      <c r="A43" s="148"/>
      <c r="B43" s="266"/>
      <c r="C43" s="118"/>
      <c r="D43" s="211"/>
      <c r="E43" s="59"/>
      <c r="F43" s="660">
        <v>39</v>
      </c>
      <c r="G43" s="661">
        <v>12.227979274611398</v>
      </c>
      <c r="H43" s="662">
        <f t="shared" si="1"/>
        <v>12.104979274611399</v>
      </c>
      <c r="I43" s="937"/>
      <c r="J43" s="346">
        <v>39</v>
      </c>
      <c r="K43" s="347">
        <v>9.69</v>
      </c>
      <c r="L43" s="348">
        <f t="shared" si="2"/>
        <v>9.6199999999999992</v>
      </c>
      <c r="M43" s="939"/>
      <c r="S43" s="1">
        <v>5</v>
      </c>
      <c r="T43" s="208">
        <v>11.645</v>
      </c>
    </row>
    <row r="44" spans="1:20" ht="14.25" customHeight="1">
      <c r="A44" s="148"/>
      <c r="B44" s="266"/>
      <c r="C44" s="118"/>
      <c r="D44" s="211"/>
      <c r="E44" s="13"/>
      <c r="F44" s="663">
        <v>40</v>
      </c>
      <c r="G44" s="661">
        <v>12.77049679975617</v>
      </c>
      <c r="H44" s="662">
        <f t="shared" si="1"/>
        <v>12.647496799756171</v>
      </c>
      <c r="I44" s="937"/>
      <c r="J44" s="349">
        <v>40</v>
      </c>
      <c r="K44" s="347">
        <v>9.51</v>
      </c>
      <c r="L44" s="348">
        <f t="shared" si="2"/>
        <v>9.44</v>
      </c>
      <c r="M44" s="939"/>
      <c r="S44" s="1">
        <v>4</v>
      </c>
      <c r="T44" s="208">
        <v>11.445</v>
      </c>
    </row>
    <row r="45" spans="1:20" ht="14.25" customHeight="1">
      <c r="A45" s="148"/>
      <c r="B45" s="266"/>
      <c r="C45" s="118"/>
      <c r="D45" s="211"/>
      <c r="E45" s="59"/>
      <c r="F45" s="660">
        <v>41</v>
      </c>
      <c r="G45" s="661">
        <v>12.599817128924109</v>
      </c>
      <c r="H45" s="662">
        <f t="shared" si="1"/>
        <v>12.476817128924109</v>
      </c>
      <c r="I45" s="937"/>
      <c r="J45" s="346">
        <v>41</v>
      </c>
      <c r="K45" s="347">
        <v>9.69</v>
      </c>
      <c r="L45" s="348">
        <f t="shared" si="2"/>
        <v>9.6199999999999992</v>
      </c>
      <c r="M45" s="939"/>
      <c r="S45" s="1">
        <v>3</v>
      </c>
      <c r="T45" s="208">
        <v>11.71</v>
      </c>
    </row>
    <row r="46" spans="1:20" ht="14.25" customHeight="1">
      <c r="A46" s="262"/>
      <c r="B46" s="266"/>
      <c r="C46" s="118"/>
      <c r="D46" s="211"/>
      <c r="E46" s="59"/>
      <c r="F46" s="663">
        <v>42</v>
      </c>
      <c r="G46" s="661">
        <v>12.733922584577872</v>
      </c>
      <c r="H46" s="662">
        <f t="shared" si="1"/>
        <v>12.610922584577873</v>
      </c>
      <c r="I46" s="937"/>
      <c r="J46" s="346">
        <v>42</v>
      </c>
      <c r="K46" s="347">
        <v>9.69</v>
      </c>
      <c r="L46" s="348">
        <f t="shared" si="2"/>
        <v>9.6199999999999992</v>
      </c>
      <c r="M46" s="939"/>
      <c r="S46" s="1">
        <v>2</v>
      </c>
      <c r="T46" s="208">
        <v>11.71</v>
      </c>
    </row>
    <row r="47" spans="1:20" ht="14.25" customHeight="1">
      <c r="A47" s="263"/>
      <c r="B47" s="266"/>
      <c r="C47" s="118"/>
      <c r="D47" s="211"/>
      <c r="E47" s="59"/>
      <c r="F47" s="660">
        <v>43</v>
      </c>
      <c r="G47" s="661">
        <v>12.529716549832367</v>
      </c>
      <c r="H47" s="662">
        <f t="shared" si="1"/>
        <v>12.406716549832367</v>
      </c>
      <c r="I47" s="937"/>
      <c r="J47" s="346">
        <v>43</v>
      </c>
      <c r="K47" s="347">
        <v>9.69</v>
      </c>
      <c r="L47" s="348">
        <f t="shared" si="2"/>
        <v>9.6199999999999992</v>
      </c>
      <c r="M47" s="939"/>
      <c r="S47" s="1">
        <v>1</v>
      </c>
      <c r="T47" s="208">
        <v>11.71</v>
      </c>
    </row>
    <row r="48" spans="1:20" ht="14.25" customHeight="1">
      <c r="A48" s="148"/>
      <c r="B48" s="266"/>
      <c r="C48" s="118"/>
      <c r="D48" s="211"/>
      <c r="E48" s="59"/>
      <c r="F48" s="663">
        <v>44</v>
      </c>
      <c r="G48" s="661">
        <v>12.746113989637305</v>
      </c>
      <c r="H48" s="662">
        <f t="shared" si="1"/>
        <v>12.623113989637305</v>
      </c>
      <c r="I48" s="937"/>
      <c r="J48" s="346">
        <v>44</v>
      </c>
      <c r="K48" s="347">
        <v>9.69</v>
      </c>
      <c r="L48" s="348">
        <f t="shared" si="2"/>
        <v>9.6199999999999992</v>
      </c>
      <c r="M48" s="939"/>
    </row>
    <row r="49" spans="1:13" ht="14.25" customHeight="1">
      <c r="A49" s="148"/>
      <c r="B49" s="266"/>
      <c r="C49" s="118"/>
      <c r="D49" s="211"/>
      <c r="E49" s="59"/>
      <c r="F49" s="660">
        <v>45</v>
      </c>
      <c r="G49" s="661">
        <v>12.825358122523619</v>
      </c>
      <c r="H49" s="662">
        <f t="shared" si="1"/>
        <v>12.70235812252362</v>
      </c>
      <c r="I49" s="937"/>
      <c r="J49" s="346">
        <v>45</v>
      </c>
      <c r="K49" s="347">
        <v>9.73</v>
      </c>
      <c r="L49" s="348">
        <f t="shared" si="2"/>
        <v>9.66</v>
      </c>
      <c r="M49" s="939"/>
    </row>
    <row r="50" spans="1:13" ht="14.25" customHeight="1">
      <c r="A50" s="148"/>
      <c r="B50" s="266"/>
      <c r="C50" s="118"/>
      <c r="D50" s="211"/>
      <c r="E50" s="59"/>
      <c r="F50" s="663">
        <v>46</v>
      </c>
      <c r="G50" s="661">
        <v>12.709539774459007</v>
      </c>
      <c r="H50" s="662">
        <f t="shared" si="1"/>
        <v>12.586539774459007</v>
      </c>
      <c r="I50" s="937"/>
      <c r="J50" s="346">
        <v>46</v>
      </c>
      <c r="K50" s="350">
        <v>9.69</v>
      </c>
      <c r="L50" s="348">
        <f t="shared" si="2"/>
        <v>9.6199999999999992</v>
      </c>
      <c r="M50" s="939"/>
    </row>
    <row r="51" spans="1:13" ht="14.25" customHeight="1">
      <c r="A51" s="148"/>
      <c r="B51" s="266"/>
      <c r="C51" s="118"/>
      <c r="D51" s="211"/>
      <c r="E51" s="59"/>
      <c r="F51" s="660">
        <v>47</v>
      </c>
      <c r="G51" s="661">
        <v>12.362084730265163</v>
      </c>
      <c r="H51" s="662">
        <f t="shared" si="1"/>
        <v>12.239084730265164</v>
      </c>
      <c r="I51" s="937"/>
      <c r="J51" s="346">
        <v>47</v>
      </c>
      <c r="K51" s="351"/>
      <c r="L51" s="352">
        <f t="shared" si="2"/>
        <v>-7.0000000000000007E-2</v>
      </c>
      <c r="M51" s="353"/>
    </row>
    <row r="52" spans="1:13" ht="14.25" customHeight="1">
      <c r="A52" s="148"/>
      <c r="B52" s="266"/>
      <c r="C52" s="118"/>
      <c r="D52" s="211"/>
      <c r="E52" s="59"/>
      <c r="F52" s="663">
        <v>48</v>
      </c>
      <c r="G52" s="661">
        <v>12.66382200548613</v>
      </c>
      <c r="H52" s="662">
        <f t="shared" si="1"/>
        <v>12.540822005486131</v>
      </c>
      <c r="I52" s="937"/>
      <c r="J52" s="346">
        <v>48</v>
      </c>
      <c r="K52" s="351"/>
      <c r="L52" s="352">
        <f t="shared" si="2"/>
        <v>-7.0000000000000007E-2</v>
      </c>
      <c r="M52" s="353"/>
    </row>
    <row r="53" spans="1:13" ht="14.25" customHeight="1">
      <c r="A53" s="148"/>
      <c r="B53" s="266"/>
      <c r="C53" s="118"/>
      <c r="D53" s="211"/>
      <c r="E53" s="59"/>
      <c r="F53" s="660">
        <v>49</v>
      </c>
      <c r="G53" s="661">
        <v>12.456568119475769</v>
      </c>
      <c r="H53" s="662">
        <f t="shared" si="1"/>
        <v>12.333568119475769</v>
      </c>
      <c r="I53" s="937"/>
      <c r="J53" s="346">
        <v>49</v>
      </c>
      <c r="K53" s="351"/>
      <c r="L53" s="352">
        <f t="shared" si="2"/>
        <v>-7.0000000000000007E-2</v>
      </c>
      <c r="M53" s="353"/>
    </row>
    <row r="54" spans="1:13" ht="14.25" customHeight="1">
      <c r="A54" s="148"/>
      <c r="B54" s="266"/>
      <c r="C54" s="118"/>
      <c r="D54" s="211"/>
      <c r="E54" s="13"/>
      <c r="F54" s="663">
        <v>50</v>
      </c>
      <c r="G54" s="661">
        <v>12.639439195367265</v>
      </c>
      <c r="H54" s="662">
        <f t="shared" si="1"/>
        <v>12.516439195367266</v>
      </c>
      <c r="I54" s="937"/>
      <c r="J54" s="346">
        <v>50</v>
      </c>
      <c r="K54" s="351"/>
      <c r="L54" s="352">
        <f t="shared" si="2"/>
        <v>-7.0000000000000007E-2</v>
      </c>
      <c r="M54" s="353"/>
    </row>
    <row r="55" spans="1:13" ht="14.25" customHeight="1">
      <c r="A55" s="148"/>
      <c r="B55" s="266"/>
      <c r="C55" s="118"/>
      <c r="D55" s="211"/>
      <c r="E55" s="59"/>
      <c r="F55" s="660">
        <v>51</v>
      </c>
      <c r="G55" s="661">
        <v>12.657726302956416</v>
      </c>
      <c r="H55" s="662">
        <f t="shared" si="1"/>
        <v>12.534726302956416</v>
      </c>
      <c r="I55" s="937"/>
      <c r="J55" s="346">
        <v>51</v>
      </c>
      <c r="K55" s="351"/>
      <c r="L55" s="352">
        <f t="shared" si="2"/>
        <v>-7.0000000000000007E-2</v>
      </c>
      <c r="M55" s="353"/>
    </row>
    <row r="56" spans="1:13" ht="14.25" customHeight="1">
      <c r="A56" s="148"/>
      <c r="B56" s="266"/>
      <c r="C56" s="118"/>
      <c r="D56" s="211"/>
      <c r="E56" s="59"/>
      <c r="F56" s="663">
        <v>52</v>
      </c>
      <c r="G56" s="661">
        <v>12.517525144772934</v>
      </c>
      <c r="H56" s="662">
        <f t="shared" si="1"/>
        <v>12.394525144772935</v>
      </c>
      <c r="I56" s="937"/>
      <c r="J56" s="346">
        <v>52</v>
      </c>
      <c r="K56" s="351"/>
      <c r="L56" s="352">
        <f t="shared" si="2"/>
        <v>-7.0000000000000007E-2</v>
      </c>
      <c r="M56" s="353"/>
    </row>
    <row r="57" spans="1:13" ht="14.25" customHeight="1">
      <c r="A57" s="148"/>
      <c r="B57" s="266"/>
      <c r="C57" s="118"/>
      <c r="D57" s="211"/>
      <c r="E57" s="59"/>
      <c r="F57" s="660">
        <v>53</v>
      </c>
      <c r="G57" s="661">
        <v>12.651630600426698</v>
      </c>
      <c r="H57" s="662">
        <f t="shared" si="1"/>
        <v>12.528630600426698</v>
      </c>
      <c r="I57" s="937"/>
      <c r="J57" s="346">
        <v>53</v>
      </c>
      <c r="K57" s="351"/>
      <c r="L57" s="352">
        <f t="shared" si="2"/>
        <v>-7.0000000000000007E-2</v>
      </c>
      <c r="M57" s="353"/>
    </row>
    <row r="58" spans="1:13" ht="14.25" customHeight="1">
      <c r="A58" s="148"/>
      <c r="B58" s="266"/>
      <c r="C58" s="118"/>
      <c r="D58" s="211"/>
      <c r="E58" s="59"/>
      <c r="F58" s="663">
        <v>54</v>
      </c>
      <c r="G58" s="661">
        <v>12.554099359951232</v>
      </c>
      <c r="H58" s="662">
        <f t="shared" si="1"/>
        <v>12.431099359951233</v>
      </c>
      <c r="I58" s="937"/>
      <c r="J58" s="346">
        <v>54</v>
      </c>
      <c r="K58" s="351"/>
      <c r="L58" s="352">
        <f t="shared" si="2"/>
        <v>-7.0000000000000007E-2</v>
      </c>
      <c r="M58" s="353"/>
    </row>
    <row r="59" spans="1:13" ht="14.25" customHeight="1">
      <c r="A59" s="148"/>
      <c r="B59" s="266"/>
      <c r="C59" s="118"/>
      <c r="D59" s="211"/>
      <c r="E59" s="59"/>
      <c r="F59" s="660">
        <v>55</v>
      </c>
      <c r="G59" s="661">
        <v>12.240170679670831</v>
      </c>
      <c r="H59" s="662">
        <f t="shared" si="1"/>
        <v>12.117170679670831</v>
      </c>
      <c r="I59" s="937"/>
      <c r="J59" s="346">
        <v>55</v>
      </c>
      <c r="K59" s="351"/>
      <c r="L59" s="352">
        <f t="shared" si="2"/>
        <v>-7.0000000000000007E-2</v>
      </c>
      <c r="M59" s="353"/>
    </row>
    <row r="60" spans="1:13" ht="14.25" customHeight="1">
      <c r="A60" s="148"/>
      <c r="B60" s="266"/>
      <c r="C60" s="118"/>
      <c r="D60" s="211"/>
      <c r="E60" s="59"/>
      <c r="F60" s="663">
        <v>56</v>
      </c>
      <c r="G60" s="661">
        <v>12.925937214263943</v>
      </c>
      <c r="H60" s="662">
        <f t="shared" si="1"/>
        <v>12.802937214263943</v>
      </c>
      <c r="I60" s="937"/>
      <c r="J60" s="346">
        <v>56</v>
      </c>
      <c r="K60" s="351"/>
      <c r="L60" s="352">
        <f t="shared" si="2"/>
        <v>-7.0000000000000007E-2</v>
      </c>
      <c r="M60" s="353"/>
    </row>
    <row r="61" spans="1:13" ht="14.25" customHeight="1">
      <c r="A61" s="148"/>
      <c r="B61" s="266"/>
      <c r="C61" s="118"/>
      <c r="D61" s="211"/>
      <c r="E61" s="59"/>
      <c r="F61" s="660">
        <v>57</v>
      </c>
      <c r="G61" s="661">
        <v>12.529716549832367</v>
      </c>
      <c r="H61" s="662">
        <f t="shared" si="1"/>
        <v>12.406716549832367</v>
      </c>
      <c r="I61" s="937"/>
      <c r="J61" s="346">
        <v>57</v>
      </c>
      <c r="K61" s="351"/>
      <c r="L61" s="352">
        <f t="shared" si="2"/>
        <v>-7.0000000000000007E-2</v>
      </c>
      <c r="M61" s="353"/>
    </row>
    <row r="62" spans="1:13" ht="14.25" customHeight="1">
      <c r="A62" s="148"/>
      <c r="B62" s="266"/>
      <c r="C62" s="118"/>
      <c r="D62" s="211"/>
      <c r="E62" s="59"/>
      <c r="F62" s="663">
        <v>58</v>
      </c>
      <c r="G62" s="661">
        <v>12.922889362999085</v>
      </c>
      <c r="H62" s="662">
        <f t="shared" si="1"/>
        <v>12.799889362999085</v>
      </c>
      <c r="I62" s="937"/>
      <c r="J62" s="346">
        <v>58</v>
      </c>
      <c r="K62" s="351"/>
      <c r="L62" s="352">
        <f t="shared" si="2"/>
        <v>-7.0000000000000007E-2</v>
      </c>
      <c r="M62" s="353"/>
    </row>
    <row r="63" spans="1:13" ht="14.25" customHeight="1">
      <c r="A63" s="148"/>
      <c r="B63" s="266"/>
      <c r="C63" s="118"/>
      <c r="D63" s="211"/>
      <c r="E63" s="59"/>
      <c r="F63" s="660">
        <v>59</v>
      </c>
      <c r="G63" s="661">
        <v>12.355989027735445</v>
      </c>
      <c r="H63" s="662">
        <f t="shared" si="1"/>
        <v>12.232989027735446</v>
      </c>
      <c r="I63" s="937"/>
      <c r="J63" s="346">
        <v>59</v>
      </c>
      <c r="K63" s="351"/>
      <c r="L63" s="352">
        <f t="shared" si="2"/>
        <v>-7.0000000000000007E-2</v>
      </c>
      <c r="M63" s="353"/>
    </row>
    <row r="64" spans="1:13" s="3" customFormat="1" ht="14.25" customHeight="1">
      <c r="A64" s="148"/>
      <c r="B64" s="266"/>
      <c r="C64" s="118"/>
      <c r="D64" s="211"/>
      <c r="E64" s="13"/>
      <c r="F64" s="663">
        <v>60</v>
      </c>
      <c r="G64" s="661">
        <v>12.928985065528803</v>
      </c>
      <c r="H64" s="662">
        <f t="shared" si="1"/>
        <v>12.805985065528803</v>
      </c>
      <c r="I64" s="937"/>
      <c r="J64" s="346">
        <v>60</v>
      </c>
      <c r="K64" s="351"/>
      <c r="L64" s="352">
        <f t="shared" si="2"/>
        <v>-7.0000000000000007E-2</v>
      </c>
      <c r="M64" s="354"/>
    </row>
    <row r="65" spans="1:13" ht="14.25" customHeight="1">
      <c r="A65" s="148"/>
      <c r="B65" s="266"/>
      <c r="C65" s="118"/>
      <c r="D65" s="211"/>
      <c r="E65" s="59"/>
      <c r="F65" s="660">
        <v>61</v>
      </c>
      <c r="G65" s="661">
        <v>12.453520268210911</v>
      </c>
      <c r="H65" s="662">
        <f t="shared" si="1"/>
        <v>12.330520268210911</v>
      </c>
      <c r="I65" s="937"/>
      <c r="J65" s="346">
        <v>61</v>
      </c>
      <c r="K65" s="351"/>
      <c r="L65" s="352">
        <f t="shared" si="2"/>
        <v>-7.0000000000000007E-2</v>
      </c>
      <c r="M65" s="353"/>
    </row>
    <row r="66" spans="1:13" ht="14.25" customHeight="1">
      <c r="A66" s="148"/>
      <c r="B66" s="266"/>
      <c r="C66" s="118"/>
      <c r="D66" s="211"/>
      <c r="E66" s="59"/>
      <c r="F66" s="663">
        <v>62</v>
      </c>
      <c r="G66" s="661">
        <v>12.538860103626943</v>
      </c>
      <c r="H66" s="662">
        <f t="shared" si="1"/>
        <v>12.415860103626944</v>
      </c>
      <c r="I66" s="937"/>
      <c r="J66" s="346">
        <v>62</v>
      </c>
      <c r="K66" s="351"/>
      <c r="L66" s="352">
        <f t="shared" si="2"/>
        <v>-7.0000000000000007E-2</v>
      </c>
      <c r="M66" s="353"/>
    </row>
    <row r="67" spans="1:13" ht="14.25" customHeight="1">
      <c r="A67" s="148"/>
      <c r="B67" s="266"/>
      <c r="C67" s="118"/>
      <c r="D67" s="211"/>
      <c r="E67" s="59"/>
      <c r="F67" s="660">
        <v>63</v>
      </c>
      <c r="G67" s="661">
        <v>12.654678451691558</v>
      </c>
      <c r="H67" s="662">
        <f t="shared" si="1"/>
        <v>12.531678451691558</v>
      </c>
      <c r="I67" s="937"/>
      <c r="J67" s="346">
        <v>63</v>
      </c>
      <c r="K67" s="351"/>
      <c r="L67" s="352">
        <f t="shared" si="2"/>
        <v>-7.0000000000000007E-2</v>
      </c>
      <c r="M67" s="353"/>
    </row>
    <row r="68" spans="1:13">
      <c r="A68" s="148"/>
      <c r="B68" s="266"/>
      <c r="C68" s="118"/>
      <c r="D68" s="211"/>
      <c r="E68" s="59"/>
      <c r="F68" s="663">
        <v>64</v>
      </c>
      <c r="G68" s="661">
        <v>11.676318195672051</v>
      </c>
      <c r="H68" s="662">
        <f t="shared" si="1"/>
        <v>11.553318195672052</v>
      </c>
      <c r="I68" s="937"/>
      <c r="J68" s="349">
        <v>64</v>
      </c>
      <c r="K68" s="351"/>
      <c r="L68" s="352">
        <f t="shared" si="2"/>
        <v>-7.0000000000000007E-2</v>
      </c>
      <c r="M68" s="353"/>
    </row>
    <row r="69" spans="1:13" ht="14.25" customHeight="1">
      <c r="A69" s="148"/>
      <c r="B69" s="266"/>
      <c r="C69" s="118"/>
      <c r="D69" s="211"/>
      <c r="E69" s="59"/>
      <c r="F69" s="660">
        <v>65</v>
      </c>
      <c r="G69" s="661">
        <v>12.295032002438282</v>
      </c>
      <c r="H69" s="662">
        <f t="shared" si="1"/>
        <v>12.172032002438282</v>
      </c>
      <c r="I69" s="937"/>
      <c r="J69" s="349">
        <v>65</v>
      </c>
      <c r="K69" s="351"/>
      <c r="L69" s="352">
        <f t="shared" si="2"/>
        <v>-7.0000000000000007E-2</v>
      </c>
      <c r="M69" s="353"/>
    </row>
    <row r="70" spans="1:13" ht="14.25" customHeight="1">
      <c r="A70" s="148"/>
      <c r="B70" s="266"/>
      <c r="C70" s="118"/>
      <c r="D70" s="211"/>
      <c r="E70" s="59"/>
      <c r="F70" s="663">
        <v>66</v>
      </c>
      <c r="G70" s="661">
        <v>12.1548308442548</v>
      </c>
      <c r="H70" s="662">
        <f t="shared" ref="H70:H133" si="3">G70-$O$13</f>
        <v>12.031830844254801</v>
      </c>
      <c r="I70" s="937"/>
      <c r="J70" s="349">
        <v>66</v>
      </c>
      <c r="K70" s="351"/>
      <c r="L70" s="352">
        <f t="shared" ref="L70:L72" si="4">K70-$O$21</f>
        <v>-7.0000000000000007E-2</v>
      </c>
      <c r="M70" s="353"/>
    </row>
    <row r="71" spans="1:13" ht="14.25" customHeight="1">
      <c r="A71" s="148"/>
      <c r="B71" s="266"/>
      <c r="C71" s="118"/>
      <c r="D71" s="211"/>
      <c r="E71" s="59"/>
      <c r="F71" s="660">
        <v>67</v>
      </c>
      <c r="G71" s="661">
        <v>12.234074977141114</v>
      </c>
      <c r="H71" s="662">
        <f t="shared" si="3"/>
        <v>12.111074977141115</v>
      </c>
      <c r="I71" s="937"/>
      <c r="J71" s="349">
        <v>67</v>
      </c>
      <c r="K71" s="351"/>
      <c r="L71" s="352">
        <f t="shared" si="4"/>
        <v>-7.0000000000000007E-2</v>
      </c>
      <c r="M71" s="353"/>
    </row>
    <row r="72" spans="1:13" ht="14.25" customHeight="1">
      <c r="A72" s="148"/>
      <c r="B72" s="266"/>
      <c r="C72" s="118"/>
      <c r="D72" s="211"/>
      <c r="E72" s="59"/>
      <c r="F72" s="663">
        <v>68</v>
      </c>
      <c r="G72" s="661">
        <v>12.270649192319414</v>
      </c>
      <c r="H72" s="662">
        <f t="shared" si="3"/>
        <v>12.147649192319415</v>
      </c>
      <c r="I72" s="937"/>
      <c r="J72" s="349">
        <v>68</v>
      </c>
      <c r="K72" s="351"/>
      <c r="L72" s="352">
        <f t="shared" si="4"/>
        <v>-7.0000000000000007E-2</v>
      </c>
      <c r="M72" s="353"/>
    </row>
    <row r="73" spans="1:13" ht="14.25" customHeight="1">
      <c r="A73" s="148"/>
      <c r="B73" s="266"/>
      <c r="C73" s="118"/>
      <c r="D73" s="211"/>
      <c r="E73" s="59"/>
      <c r="F73" s="660">
        <v>69</v>
      </c>
      <c r="G73" s="661">
        <v>12.822310271258763</v>
      </c>
      <c r="H73" s="662">
        <f t="shared" si="3"/>
        <v>12.699310271258764</v>
      </c>
      <c r="I73" s="937"/>
      <c r="J73" s="247"/>
      <c r="K73" s="229"/>
      <c r="L73" s="248"/>
      <c r="M73" s="11"/>
    </row>
    <row r="74" spans="1:13" s="3" customFormat="1" ht="14.25" customHeight="1">
      <c r="A74" s="148"/>
      <c r="B74" s="266"/>
      <c r="C74" s="118"/>
      <c r="D74" s="211"/>
      <c r="E74" s="13"/>
      <c r="F74" s="663">
        <v>70</v>
      </c>
      <c r="G74" s="661">
        <v>12.855836635172203</v>
      </c>
      <c r="H74" s="662">
        <f t="shared" si="3"/>
        <v>12.732836635172204</v>
      </c>
      <c r="I74" s="937"/>
      <c r="J74" s="247"/>
      <c r="K74" s="229"/>
      <c r="L74" s="248"/>
      <c r="M74" s="6"/>
    </row>
    <row r="75" spans="1:13" ht="14.25" customHeight="1">
      <c r="A75" s="148"/>
      <c r="B75" s="266"/>
      <c r="C75" s="118"/>
      <c r="D75" s="211"/>
      <c r="E75" s="59"/>
      <c r="F75" s="660">
        <v>71</v>
      </c>
      <c r="G75" s="661">
        <v>12.566290765010667</v>
      </c>
      <c r="H75" s="662">
        <f t="shared" si="3"/>
        <v>12.443290765010667</v>
      </c>
      <c r="I75" s="937"/>
      <c r="J75" s="247"/>
      <c r="K75" s="229"/>
      <c r="L75" s="248"/>
      <c r="M75" s="11"/>
    </row>
    <row r="76" spans="1:13" ht="14.25" customHeight="1">
      <c r="A76" s="148"/>
      <c r="B76" s="266"/>
      <c r="C76" s="118"/>
      <c r="D76" s="211"/>
      <c r="E76" s="59"/>
      <c r="F76" s="663">
        <v>72</v>
      </c>
      <c r="G76" s="661">
        <v>11.725083815909782</v>
      </c>
      <c r="H76" s="662">
        <f t="shared" si="3"/>
        <v>11.602083815909783</v>
      </c>
      <c r="I76" s="937"/>
      <c r="J76" s="247"/>
      <c r="K76" s="229"/>
      <c r="L76" s="248"/>
      <c r="M76" s="11"/>
    </row>
    <row r="77" spans="1:13" ht="14.25" customHeight="1">
      <c r="A77" s="148"/>
      <c r="B77" s="266"/>
      <c r="C77" s="118"/>
      <c r="D77" s="211"/>
      <c r="E77" s="59"/>
      <c r="F77" s="660">
        <v>73</v>
      </c>
      <c r="G77" s="661">
        <v>12.103017372752209</v>
      </c>
      <c r="H77" s="662">
        <f t="shared" si="3"/>
        <v>11.98001737275221</v>
      </c>
      <c r="I77" s="937"/>
      <c r="J77" s="247"/>
      <c r="K77" s="229"/>
      <c r="L77" s="248"/>
      <c r="M77" s="11"/>
    </row>
    <row r="78" spans="1:13" ht="14.25" customHeight="1">
      <c r="A78" s="148"/>
      <c r="B78" s="266"/>
      <c r="C78" s="118"/>
      <c r="D78" s="211"/>
      <c r="E78" s="59"/>
      <c r="F78" s="663">
        <v>74</v>
      </c>
      <c r="G78" s="661">
        <v>12.557147211216092</v>
      </c>
      <c r="H78" s="662">
        <f t="shared" si="3"/>
        <v>12.434147211216093</v>
      </c>
      <c r="I78" s="937"/>
      <c r="J78" s="247"/>
      <c r="K78" s="229"/>
      <c r="L78" s="248"/>
      <c r="M78" s="11"/>
    </row>
    <row r="79" spans="1:13" ht="14.25" customHeight="1">
      <c r="A79" s="148"/>
      <c r="B79" s="266"/>
      <c r="C79" s="118"/>
      <c r="D79" s="211"/>
      <c r="E79" s="59"/>
      <c r="F79" s="660">
        <v>75</v>
      </c>
      <c r="G79" s="661">
        <v>12.925937214263943</v>
      </c>
      <c r="H79" s="662">
        <f t="shared" si="3"/>
        <v>12.802937214263943</v>
      </c>
      <c r="I79" s="937"/>
      <c r="J79" s="247"/>
      <c r="K79" s="229"/>
      <c r="L79" s="248"/>
      <c r="M79" s="11"/>
    </row>
    <row r="80" spans="1:13" ht="14.25" customHeight="1">
      <c r="A80" s="148"/>
      <c r="B80" s="266"/>
      <c r="C80" s="118"/>
      <c r="D80" s="211"/>
      <c r="E80" s="59"/>
      <c r="F80" s="663">
        <v>76</v>
      </c>
      <c r="G80" s="661">
        <v>12.203596464492533</v>
      </c>
      <c r="H80" s="662">
        <f t="shared" si="3"/>
        <v>12.080596464492533</v>
      </c>
      <c r="I80" s="937"/>
      <c r="J80" s="247"/>
      <c r="K80" s="229"/>
      <c r="L80" s="248"/>
      <c r="M80" s="11"/>
    </row>
    <row r="81" spans="1:13" ht="14.25" customHeight="1">
      <c r="A81" s="148"/>
      <c r="B81" s="266"/>
      <c r="C81" s="118"/>
      <c r="D81" s="211"/>
      <c r="E81" s="59"/>
      <c r="F81" s="660">
        <v>77</v>
      </c>
      <c r="G81" s="661">
        <v>12.368180432794878</v>
      </c>
      <c r="H81" s="662">
        <f t="shared" si="3"/>
        <v>12.245180432794879</v>
      </c>
      <c r="I81" s="937"/>
      <c r="J81" s="247"/>
      <c r="K81" s="229"/>
      <c r="L81" s="248"/>
      <c r="M81" s="11"/>
    </row>
    <row r="82" spans="1:13" ht="14.25" customHeight="1">
      <c r="A82" s="148"/>
      <c r="B82" s="266"/>
      <c r="C82" s="118"/>
      <c r="D82" s="211"/>
      <c r="E82" s="59"/>
      <c r="F82" s="663">
        <v>78</v>
      </c>
      <c r="G82" s="661">
        <v>12.584577872599816</v>
      </c>
      <c r="H82" s="662">
        <f t="shared" si="3"/>
        <v>12.461577872599817</v>
      </c>
      <c r="I82" s="937"/>
      <c r="J82" s="247"/>
      <c r="K82" s="229"/>
      <c r="L82" s="248"/>
      <c r="M82" s="11"/>
    </row>
    <row r="83" spans="1:13" ht="14.25" customHeight="1">
      <c r="A83" s="148"/>
      <c r="B83" s="266"/>
      <c r="C83" s="118"/>
      <c r="D83" s="211"/>
      <c r="E83" s="59"/>
      <c r="F83" s="660">
        <v>79</v>
      </c>
      <c r="G83" s="661">
        <v>12.544955806156658</v>
      </c>
      <c r="H83" s="662">
        <f t="shared" si="3"/>
        <v>12.421955806156658</v>
      </c>
      <c r="I83" s="937"/>
      <c r="J83" s="247"/>
      <c r="K83" s="229"/>
      <c r="L83" s="248"/>
      <c r="M83" s="11"/>
    </row>
    <row r="84" spans="1:13" s="3" customFormat="1" ht="14.25" customHeight="1">
      <c r="A84" s="148"/>
      <c r="B84" s="266"/>
      <c r="C84" s="118"/>
      <c r="D84" s="211"/>
      <c r="E84" s="13"/>
      <c r="F84" s="663">
        <v>80</v>
      </c>
      <c r="G84" s="661">
        <v>12.782688204815603</v>
      </c>
      <c r="H84" s="662">
        <f t="shared" si="3"/>
        <v>12.659688204815604</v>
      </c>
      <c r="I84" s="937"/>
      <c r="J84" s="247"/>
      <c r="K84" s="229"/>
      <c r="L84" s="248"/>
      <c r="M84" s="6"/>
    </row>
    <row r="85" spans="1:13" ht="14.25" customHeight="1">
      <c r="A85" s="148"/>
      <c r="B85" s="266"/>
      <c r="C85" s="118"/>
      <c r="D85" s="211"/>
      <c r="E85" s="59"/>
      <c r="F85" s="660">
        <v>81</v>
      </c>
      <c r="G85" s="661">
        <v>12.587625723864674</v>
      </c>
      <c r="H85" s="662">
        <f t="shared" si="3"/>
        <v>12.464625723864675</v>
      </c>
      <c r="I85" s="937"/>
      <c r="J85" s="247"/>
      <c r="K85" s="229"/>
      <c r="L85" s="248"/>
      <c r="M85" s="11"/>
    </row>
    <row r="86" spans="1:13" ht="14.25" customHeight="1">
      <c r="A86" s="148"/>
      <c r="B86" s="266"/>
      <c r="C86" s="118"/>
      <c r="D86" s="211"/>
      <c r="E86" s="59"/>
      <c r="F86" s="663">
        <v>82</v>
      </c>
      <c r="G86" s="661">
        <v>12.648582749161841</v>
      </c>
      <c r="H86" s="662">
        <f t="shared" si="3"/>
        <v>12.525582749161842</v>
      </c>
      <c r="I86" s="937"/>
      <c r="J86" s="247"/>
      <c r="K86" s="229"/>
      <c r="L86" s="248"/>
      <c r="M86" s="11"/>
    </row>
    <row r="87" spans="1:13" ht="14.25" customHeight="1">
      <c r="A87" s="148"/>
      <c r="B87" s="266"/>
      <c r="C87" s="118"/>
      <c r="D87" s="211"/>
      <c r="E87" s="59"/>
      <c r="F87" s="660">
        <v>83</v>
      </c>
      <c r="G87" s="661">
        <v>12.66382200548613</v>
      </c>
      <c r="H87" s="662">
        <f t="shared" si="3"/>
        <v>12.540822005486131</v>
      </c>
      <c r="I87" s="937"/>
      <c r="J87" s="247"/>
      <c r="K87" s="229"/>
      <c r="L87" s="248"/>
      <c r="M87" s="11"/>
    </row>
    <row r="88" spans="1:13" ht="14.25" customHeight="1">
      <c r="A88" s="148"/>
      <c r="B88" s="266"/>
      <c r="C88" s="118"/>
      <c r="D88" s="211"/>
      <c r="E88" s="59"/>
      <c r="F88" s="663">
        <v>84</v>
      </c>
      <c r="G88" s="661">
        <v>12.928985065528803</v>
      </c>
      <c r="H88" s="662">
        <f t="shared" si="3"/>
        <v>12.805985065528803</v>
      </c>
      <c r="I88" s="937"/>
      <c r="J88" s="247"/>
      <c r="K88" s="229"/>
      <c r="L88" s="248"/>
      <c r="M88" s="11"/>
    </row>
    <row r="89" spans="1:13" ht="14.25" customHeight="1">
      <c r="A89" s="148"/>
      <c r="B89" s="266"/>
      <c r="C89" s="118"/>
      <c r="D89" s="211"/>
      <c r="E89" s="59"/>
      <c r="F89" s="660">
        <v>85</v>
      </c>
      <c r="G89" s="661">
        <v>12.676013410545567</v>
      </c>
      <c r="H89" s="662">
        <f t="shared" si="3"/>
        <v>12.553013410545567</v>
      </c>
      <c r="I89" s="937"/>
      <c r="J89" s="247"/>
      <c r="K89" s="229"/>
      <c r="L89" s="248"/>
      <c r="M89" s="11"/>
    </row>
    <row r="90" spans="1:13" ht="14.25" customHeight="1">
      <c r="A90" s="148"/>
      <c r="B90" s="266"/>
      <c r="C90" s="118"/>
      <c r="D90" s="211"/>
      <c r="E90" s="59"/>
      <c r="F90" s="663">
        <v>86</v>
      </c>
      <c r="G90" s="661">
        <v>11.932337701920146</v>
      </c>
      <c r="H90" s="662">
        <f t="shared" si="3"/>
        <v>11.809337701920146</v>
      </c>
      <c r="I90" s="937"/>
      <c r="J90" s="247"/>
      <c r="K90" s="229"/>
      <c r="L90" s="248"/>
      <c r="M90" s="11"/>
    </row>
    <row r="91" spans="1:13" ht="14.25" customHeight="1">
      <c r="A91" s="148"/>
      <c r="B91" s="266"/>
      <c r="C91" s="118"/>
      <c r="D91" s="211"/>
      <c r="E91" s="59"/>
      <c r="F91" s="660">
        <v>87</v>
      </c>
      <c r="G91" s="661">
        <v>12.919841511734226</v>
      </c>
      <c r="H91" s="662">
        <f t="shared" si="3"/>
        <v>12.796841511734227</v>
      </c>
      <c r="I91" s="937"/>
      <c r="J91" s="247"/>
      <c r="K91" s="229"/>
      <c r="L91" s="248"/>
      <c r="M91" s="11"/>
    </row>
    <row r="92" spans="1:13" ht="14.25" customHeight="1">
      <c r="A92" s="148"/>
      <c r="B92" s="266"/>
      <c r="C92" s="118"/>
      <c r="D92" s="211"/>
      <c r="E92" s="59"/>
      <c r="F92" s="663">
        <v>88</v>
      </c>
      <c r="G92" s="661">
        <v>12.624199939042974</v>
      </c>
      <c r="H92" s="662">
        <f t="shared" si="3"/>
        <v>12.501199939042975</v>
      </c>
      <c r="I92" s="937"/>
      <c r="J92" s="247"/>
      <c r="K92" s="229"/>
      <c r="L92" s="248"/>
      <c r="M92" s="11"/>
    </row>
    <row r="93" spans="1:13" ht="14.25" customHeight="1">
      <c r="A93" s="148"/>
      <c r="B93" s="266"/>
      <c r="C93" s="118"/>
      <c r="D93" s="211"/>
      <c r="E93" s="59"/>
      <c r="F93" s="660">
        <v>89</v>
      </c>
      <c r="G93" s="661">
        <v>12.569338616275525</v>
      </c>
      <c r="H93" s="662">
        <f t="shared" si="3"/>
        <v>12.446338616275526</v>
      </c>
      <c r="I93" s="937"/>
      <c r="J93" s="247"/>
      <c r="K93" s="229"/>
      <c r="L93" s="248"/>
      <c r="M93" s="11"/>
    </row>
    <row r="94" spans="1:13" s="3" customFormat="1" ht="14.25" customHeight="1">
      <c r="A94" s="148"/>
      <c r="B94" s="266"/>
      <c r="C94" s="118"/>
      <c r="D94" s="211"/>
      <c r="E94" s="13"/>
      <c r="F94" s="663">
        <v>90</v>
      </c>
      <c r="G94" s="661">
        <v>12.355989027735445</v>
      </c>
      <c r="H94" s="662">
        <f t="shared" si="3"/>
        <v>12.232989027735446</v>
      </c>
      <c r="I94" s="937"/>
      <c r="J94" s="247"/>
      <c r="K94" s="229"/>
      <c r="L94" s="248"/>
      <c r="M94" s="6"/>
    </row>
    <row r="95" spans="1:13" ht="14.25" customHeight="1">
      <c r="A95" s="148"/>
      <c r="B95" s="266"/>
      <c r="C95" s="118"/>
      <c r="D95" s="211"/>
      <c r="E95" s="59"/>
      <c r="F95" s="660">
        <v>91</v>
      </c>
      <c r="G95" s="661">
        <v>12.548003657421518</v>
      </c>
      <c r="H95" s="662">
        <f t="shared" si="3"/>
        <v>12.425003657421518</v>
      </c>
      <c r="I95" s="937"/>
      <c r="J95" s="247"/>
      <c r="K95" s="229"/>
      <c r="L95" s="248"/>
      <c r="M95" s="11"/>
    </row>
    <row r="96" spans="1:13" ht="14.25" customHeight="1">
      <c r="A96" s="148"/>
      <c r="B96" s="266"/>
      <c r="C96" s="118"/>
      <c r="D96" s="211"/>
      <c r="E96" s="59"/>
      <c r="F96" s="663">
        <v>92</v>
      </c>
      <c r="G96" s="661">
        <v>12.676013410545567</v>
      </c>
      <c r="H96" s="662">
        <f t="shared" si="3"/>
        <v>12.553013410545567</v>
      </c>
      <c r="I96" s="937"/>
      <c r="J96" s="247"/>
      <c r="K96" s="229"/>
      <c r="L96" s="248"/>
      <c r="M96" s="11"/>
    </row>
    <row r="97" spans="1:13" ht="14.25" customHeight="1">
      <c r="A97" s="148"/>
      <c r="B97" s="266"/>
      <c r="C97" s="118"/>
      <c r="D97" s="211"/>
      <c r="E97" s="59"/>
      <c r="F97" s="660">
        <v>93</v>
      </c>
      <c r="G97" s="661">
        <v>12.432185309356903</v>
      </c>
      <c r="H97" s="662">
        <f t="shared" si="3"/>
        <v>12.309185309356904</v>
      </c>
      <c r="I97" s="937"/>
      <c r="J97" s="247"/>
      <c r="K97" s="229"/>
      <c r="L97" s="248"/>
      <c r="M97" s="11"/>
    </row>
    <row r="98" spans="1:13" ht="14.25" customHeight="1">
      <c r="A98" s="148"/>
      <c r="B98" s="266"/>
      <c r="C98" s="118"/>
      <c r="D98" s="211"/>
      <c r="E98" s="59"/>
      <c r="F98" s="663">
        <v>94</v>
      </c>
      <c r="G98" s="661">
        <v>12.456568119475769</v>
      </c>
      <c r="H98" s="662">
        <f t="shared" si="3"/>
        <v>12.333568119475769</v>
      </c>
      <c r="I98" s="937"/>
      <c r="J98" s="247"/>
      <c r="K98" s="229"/>
      <c r="L98" s="248"/>
      <c r="M98" s="11"/>
    </row>
    <row r="99" spans="1:13" ht="14.25" customHeight="1">
      <c r="A99" s="148"/>
      <c r="B99" s="266"/>
      <c r="C99" s="118"/>
      <c r="D99" s="211"/>
      <c r="E99" s="59"/>
      <c r="F99" s="660">
        <v>95</v>
      </c>
      <c r="G99" s="661">
        <v>11.962816214568729</v>
      </c>
      <c r="H99" s="662">
        <f t="shared" si="3"/>
        <v>11.83981621456873</v>
      </c>
      <c r="I99" s="937"/>
      <c r="J99" s="247"/>
      <c r="K99" s="229"/>
      <c r="L99" s="248"/>
      <c r="M99" s="11"/>
    </row>
    <row r="100" spans="1:13" ht="14.25" customHeight="1">
      <c r="A100" s="148"/>
      <c r="B100" s="266"/>
      <c r="C100" s="118"/>
      <c r="D100" s="211"/>
      <c r="E100" s="59"/>
      <c r="F100" s="663">
        <v>96</v>
      </c>
      <c r="G100" s="661">
        <v>12.557147211216092</v>
      </c>
      <c r="H100" s="662">
        <f t="shared" si="3"/>
        <v>12.434147211216093</v>
      </c>
      <c r="I100" s="937"/>
      <c r="J100" s="247"/>
      <c r="K100" s="229"/>
      <c r="L100" s="248"/>
      <c r="M100" s="11"/>
    </row>
    <row r="101" spans="1:13" ht="14.25" customHeight="1">
      <c r="A101" s="148"/>
      <c r="B101" s="266"/>
      <c r="C101" s="118"/>
      <c r="D101" s="211"/>
      <c r="E101" s="59"/>
      <c r="F101" s="660">
        <v>97</v>
      </c>
      <c r="G101" s="661">
        <v>12.544955806156658</v>
      </c>
      <c r="H101" s="662">
        <f t="shared" si="3"/>
        <v>12.421955806156658</v>
      </c>
      <c r="I101" s="937"/>
      <c r="J101" s="247"/>
      <c r="K101" s="229"/>
      <c r="L101" s="248"/>
      <c r="M101" s="11"/>
    </row>
    <row r="102" spans="1:13" ht="14.25" customHeight="1">
      <c r="A102" s="148"/>
      <c r="B102" s="266"/>
      <c r="C102" s="118"/>
      <c r="D102" s="211"/>
      <c r="E102" s="59"/>
      <c r="F102" s="663">
        <v>98</v>
      </c>
      <c r="G102" s="661">
        <v>12.40475464797318</v>
      </c>
      <c r="H102" s="662">
        <f t="shared" si="3"/>
        <v>12.28175464797318</v>
      </c>
      <c r="I102" s="937"/>
      <c r="J102" s="247"/>
      <c r="K102" s="229"/>
      <c r="L102" s="248"/>
      <c r="M102" s="11"/>
    </row>
    <row r="103" spans="1:13" ht="14.25" customHeight="1">
      <c r="A103" s="148"/>
      <c r="B103" s="266"/>
      <c r="C103" s="118"/>
      <c r="D103" s="211"/>
      <c r="E103" s="59"/>
      <c r="F103" s="660">
        <v>99</v>
      </c>
      <c r="G103" s="661">
        <v>12.554099359951232</v>
      </c>
      <c r="H103" s="662">
        <f t="shared" si="3"/>
        <v>12.431099359951233</v>
      </c>
      <c r="I103" s="937"/>
      <c r="J103" s="247"/>
      <c r="K103" s="229"/>
      <c r="L103" s="248"/>
      <c r="M103" s="11"/>
    </row>
    <row r="104" spans="1:13" s="3" customFormat="1" ht="14.25" customHeight="1">
      <c r="A104" s="148"/>
      <c r="B104" s="266"/>
      <c r="C104" s="118"/>
      <c r="D104" s="211"/>
      <c r="E104" s="13"/>
      <c r="F104" s="663">
        <v>100</v>
      </c>
      <c r="G104" s="661">
        <v>12.727826882048156</v>
      </c>
      <c r="H104" s="662">
        <f t="shared" si="3"/>
        <v>12.604826882048156</v>
      </c>
      <c r="I104" s="937"/>
      <c r="J104" s="247"/>
      <c r="K104" s="229"/>
      <c r="L104" s="248"/>
      <c r="M104" s="6"/>
    </row>
    <row r="105" spans="1:13" ht="14.25" customHeight="1">
      <c r="A105" s="148"/>
      <c r="B105" s="267"/>
      <c r="C105" s="118"/>
      <c r="D105" s="211"/>
      <c r="E105" s="59"/>
      <c r="F105" s="660">
        <v>101</v>
      </c>
      <c r="G105" s="661">
        <v>12.651630600426698</v>
      </c>
      <c r="H105" s="662">
        <f t="shared" si="3"/>
        <v>12.528630600426698</v>
      </c>
      <c r="I105" s="937"/>
      <c r="J105" s="247"/>
      <c r="K105" s="229"/>
      <c r="L105" s="248"/>
      <c r="M105" s="11"/>
    </row>
    <row r="106" spans="1:13" ht="14.25" customHeight="1">
      <c r="A106" s="148"/>
      <c r="B106" s="267"/>
      <c r="C106" s="118"/>
      <c r="D106" s="211"/>
      <c r="E106" s="59"/>
      <c r="F106" s="663">
        <v>102</v>
      </c>
      <c r="G106" s="661">
        <v>12.578482170070101</v>
      </c>
      <c r="H106" s="662">
        <f t="shared" si="3"/>
        <v>12.455482170070102</v>
      </c>
      <c r="I106" s="937"/>
      <c r="J106" s="247"/>
      <c r="K106" s="229"/>
      <c r="L106" s="248"/>
      <c r="M106" s="11"/>
    </row>
    <row r="107" spans="1:13" ht="14.25" customHeight="1">
      <c r="A107" s="148"/>
      <c r="B107" s="267"/>
      <c r="C107" s="118"/>
      <c r="D107" s="211"/>
      <c r="E107" s="59"/>
      <c r="F107" s="660">
        <v>103</v>
      </c>
      <c r="G107" s="661">
        <v>12.538860103626943</v>
      </c>
      <c r="H107" s="662">
        <f t="shared" si="3"/>
        <v>12.415860103626944</v>
      </c>
      <c r="I107" s="937"/>
      <c r="J107" s="247"/>
      <c r="K107" s="229"/>
      <c r="L107" s="248"/>
      <c r="M107" s="11"/>
    </row>
    <row r="108" spans="1:13" ht="14.25" customHeight="1">
      <c r="A108" s="148"/>
      <c r="B108" s="267"/>
      <c r="C108" s="118"/>
      <c r="D108" s="211"/>
      <c r="E108" s="59"/>
      <c r="F108" s="663">
        <v>104</v>
      </c>
      <c r="G108" s="661">
        <v>12.730874733313014</v>
      </c>
      <c r="H108" s="662">
        <f t="shared" si="3"/>
        <v>12.607874733313015</v>
      </c>
      <c r="I108" s="937"/>
      <c r="J108" s="247"/>
      <c r="K108" s="229"/>
      <c r="L108" s="248"/>
      <c r="M108" s="11"/>
    </row>
    <row r="109" spans="1:13" ht="14.25" customHeight="1">
      <c r="A109" s="148"/>
      <c r="B109" s="267"/>
      <c r="C109" s="118"/>
      <c r="D109" s="211"/>
      <c r="E109" s="59"/>
      <c r="F109" s="660">
        <v>105</v>
      </c>
      <c r="G109" s="661">
        <v>12.627247790307832</v>
      </c>
      <c r="H109" s="662">
        <f t="shared" si="3"/>
        <v>12.504247790307833</v>
      </c>
      <c r="I109" s="937"/>
      <c r="J109" s="247"/>
      <c r="K109" s="229"/>
      <c r="L109" s="248"/>
      <c r="M109" s="11"/>
    </row>
    <row r="110" spans="1:13" ht="14.25" customHeight="1">
      <c r="A110" s="148"/>
      <c r="B110" s="267"/>
      <c r="C110" s="118"/>
      <c r="D110" s="211"/>
      <c r="E110" s="59"/>
      <c r="F110" s="663">
        <v>106</v>
      </c>
      <c r="G110" s="661">
        <v>12.599817128924109</v>
      </c>
      <c r="H110" s="662">
        <f t="shared" si="3"/>
        <v>12.476817128924109</v>
      </c>
      <c r="I110" s="937"/>
      <c r="J110" s="247"/>
      <c r="K110" s="229"/>
      <c r="L110" s="248"/>
      <c r="M110" s="11"/>
    </row>
    <row r="111" spans="1:13" ht="14.25" customHeight="1">
      <c r="A111" s="148"/>
      <c r="B111" s="267"/>
      <c r="C111" s="118"/>
      <c r="D111" s="211"/>
      <c r="E111" s="59"/>
      <c r="F111" s="660">
        <v>107</v>
      </c>
      <c r="G111" s="661">
        <v>11.999390429747027</v>
      </c>
      <c r="H111" s="662">
        <f t="shared" si="3"/>
        <v>11.876390429747028</v>
      </c>
      <c r="I111" s="937"/>
      <c r="J111" s="247"/>
      <c r="K111" s="229"/>
      <c r="L111" s="248"/>
      <c r="M111" s="11"/>
    </row>
    <row r="112" spans="1:13" ht="14.25" customHeight="1">
      <c r="A112" s="148"/>
      <c r="B112" s="267"/>
      <c r="C112" s="118"/>
      <c r="D112" s="211"/>
      <c r="E112" s="59"/>
      <c r="F112" s="663">
        <v>108</v>
      </c>
      <c r="G112" s="661">
        <v>12.197500761962816</v>
      </c>
      <c r="H112" s="662">
        <f t="shared" si="3"/>
        <v>12.074500761962817</v>
      </c>
      <c r="I112" s="937"/>
      <c r="J112" s="247"/>
      <c r="K112" s="229"/>
      <c r="L112" s="248"/>
      <c r="M112" s="11"/>
    </row>
    <row r="113" spans="1:13" ht="14.25" customHeight="1">
      <c r="A113" s="148"/>
      <c r="B113" s="267"/>
      <c r="C113" s="118"/>
      <c r="D113" s="211"/>
      <c r="E113" s="59"/>
      <c r="F113" s="660">
        <v>109</v>
      </c>
      <c r="G113" s="661">
        <v>12.179213654373667</v>
      </c>
      <c r="H113" s="662">
        <f t="shared" si="3"/>
        <v>12.056213654373668</v>
      </c>
      <c r="I113" s="937"/>
      <c r="J113" s="247"/>
      <c r="K113" s="229"/>
      <c r="L113" s="248"/>
      <c r="M113" s="11"/>
    </row>
    <row r="114" spans="1:13" s="3" customFormat="1" ht="14.25" customHeight="1">
      <c r="A114" s="148"/>
      <c r="B114" s="267"/>
      <c r="C114" s="118"/>
      <c r="D114" s="211"/>
      <c r="E114" s="13"/>
      <c r="F114" s="663">
        <v>110</v>
      </c>
      <c r="G114" s="661">
        <v>12.173117951843949</v>
      </c>
      <c r="H114" s="662">
        <f t="shared" si="3"/>
        <v>12.05011795184395</v>
      </c>
      <c r="I114" s="937"/>
      <c r="J114" s="247"/>
      <c r="K114" s="229"/>
      <c r="L114" s="248"/>
      <c r="M114" s="6"/>
    </row>
    <row r="115" spans="1:13" ht="14.25" customHeight="1">
      <c r="A115" s="148"/>
      <c r="B115" s="267"/>
      <c r="C115" s="118"/>
      <c r="D115" s="211"/>
      <c r="E115" s="59"/>
      <c r="F115" s="660">
        <v>111</v>
      </c>
      <c r="G115" s="661">
        <v>12.938128619323377</v>
      </c>
      <c r="H115" s="662">
        <f t="shared" si="3"/>
        <v>12.815128619323378</v>
      </c>
      <c r="I115" s="937"/>
      <c r="J115" s="247"/>
      <c r="K115" s="229"/>
      <c r="L115" s="248"/>
      <c r="M115" s="11"/>
    </row>
    <row r="116" spans="1:13" ht="14.25" customHeight="1">
      <c r="A116" s="148"/>
      <c r="B116" s="267"/>
      <c r="C116" s="118"/>
      <c r="D116" s="211"/>
      <c r="E116" s="59"/>
      <c r="F116" s="663">
        <v>112</v>
      </c>
      <c r="G116" s="661">
        <v>12.072538860103625</v>
      </c>
      <c r="H116" s="662">
        <f t="shared" si="3"/>
        <v>11.949538860103626</v>
      </c>
      <c r="I116" s="937"/>
      <c r="J116" s="247"/>
      <c r="K116" s="229"/>
      <c r="L116" s="248"/>
      <c r="M116" s="11"/>
    </row>
    <row r="117" spans="1:13" ht="14.25" customHeight="1">
      <c r="A117" s="148"/>
      <c r="B117" s="267"/>
      <c r="C117" s="118"/>
      <c r="D117" s="211"/>
      <c r="E117" s="59"/>
      <c r="F117" s="660">
        <v>113</v>
      </c>
      <c r="G117" s="661">
        <v>12.517525144772934</v>
      </c>
      <c r="H117" s="662">
        <f t="shared" si="3"/>
        <v>12.394525144772935</v>
      </c>
      <c r="I117" s="937"/>
      <c r="J117" s="247"/>
      <c r="K117" s="229"/>
      <c r="L117" s="248"/>
      <c r="M117" s="11"/>
    </row>
    <row r="118" spans="1:13" ht="14.25" customHeight="1">
      <c r="A118" s="148"/>
      <c r="B118" s="267"/>
      <c r="C118" s="118"/>
      <c r="D118" s="211"/>
      <c r="E118" s="59"/>
      <c r="F118" s="663">
        <v>114</v>
      </c>
      <c r="G118" s="661">
        <v>12.868028040231636</v>
      </c>
      <c r="H118" s="662">
        <f t="shared" si="3"/>
        <v>12.745028040231636</v>
      </c>
      <c r="I118" s="937"/>
      <c r="J118" s="247"/>
      <c r="K118" s="229"/>
      <c r="L118" s="248"/>
      <c r="M118" s="11"/>
    </row>
    <row r="119" spans="1:13" ht="14.25" customHeight="1">
      <c r="A119" s="148"/>
      <c r="B119" s="267"/>
      <c r="C119" s="118"/>
      <c r="D119" s="211"/>
      <c r="E119" s="59"/>
      <c r="F119" s="660">
        <v>115</v>
      </c>
      <c r="G119" s="661">
        <v>11.990246875952455</v>
      </c>
      <c r="H119" s="662">
        <f t="shared" si="3"/>
        <v>11.867246875952455</v>
      </c>
      <c r="I119" s="937"/>
      <c r="J119" s="247"/>
      <c r="K119" s="229"/>
      <c r="L119" s="248"/>
      <c r="M119" s="11"/>
    </row>
    <row r="120" spans="1:13" ht="14.25" customHeight="1">
      <c r="A120" s="148"/>
      <c r="B120" s="267"/>
      <c r="C120" s="118"/>
      <c r="D120" s="211"/>
      <c r="E120" s="59"/>
      <c r="F120" s="663">
        <v>116</v>
      </c>
      <c r="G120" s="661">
        <v>11.947576958244438</v>
      </c>
      <c r="H120" s="662">
        <f t="shared" si="3"/>
        <v>11.824576958244439</v>
      </c>
      <c r="I120" s="937"/>
      <c r="J120" s="247"/>
      <c r="K120" s="229"/>
      <c r="L120" s="248"/>
      <c r="M120" s="11"/>
    </row>
    <row r="121" spans="1:13" ht="14.25" customHeight="1">
      <c r="A121" s="148"/>
      <c r="B121" s="267"/>
      <c r="C121" s="118"/>
      <c r="D121" s="211"/>
      <c r="E121" s="59"/>
      <c r="F121" s="660">
        <v>117</v>
      </c>
      <c r="G121" s="661">
        <v>12.721731179518439</v>
      </c>
      <c r="H121" s="662">
        <f t="shared" si="3"/>
        <v>12.59873117951844</v>
      </c>
      <c r="I121" s="937"/>
      <c r="J121" s="247"/>
      <c r="K121" s="229"/>
      <c r="L121" s="248"/>
      <c r="M121" s="11"/>
    </row>
    <row r="122" spans="1:13" ht="14.25" customHeight="1">
      <c r="A122" s="148"/>
      <c r="B122" s="267"/>
      <c r="C122" s="118"/>
      <c r="D122" s="211"/>
      <c r="E122" s="59"/>
      <c r="F122" s="854">
        <v>118</v>
      </c>
      <c r="G122" s="744">
        <v>12.520572996037792</v>
      </c>
      <c r="H122" s="855">
        <f t="shared" si="3"/>
        <v>12.397572996037793</v>
      </c>
      <c r="I122" s="924" t="s">
        <v>352</v>
      </c>
      <c r="J122" s="658"/>
      <c r="K122" s="229"/>
      <c r="L122" s="248"/>
      <c r="M122" s="11"/>
    </row>
    <row r="123" spans="1:13" ht="14.25" customHeight="1">
      <c r="A123" s="148"/>
      <c r="B123" s="267"/>
      <c r="C123" s="118"/>
      <c r="D123" s="211"/>
      <c r="E123" s="59"/>
      <c r="F123" s="743">
        <v>119</v>
      </c>
      <c r="G123" s="744">
        <v>12.724779030783298</v>
      </c>
      <c r="H123" s="855">
        <f t="shared" si="3"/>
        <v>12.601779030783298</v>
      </c>
      <c r="I123" s="925"/>
      <c r="J123" s="658"/>
      <c r="K123" s="229"/>
      <c r="L123" s="248"/>
      <c r="M123" s="11"/>
    </row>
    <row r="124" spans="1:13" s="3" customFormat="1" ht="14.25" customHeight="1">
      <c r="A124" s="148"/>
      <c r="B124" s="267"/>
      <c r="C124" s="118"/>
      <c r="D124" s="211"/>
      <c r="E124" s="13"/>
      <c r="F124" s="854">
        <v>120</v>
      </c>
      <c r="G124" s="744">
        <v>12.035964644925327</v>
      </c>
      <c r="H124" s="855">
        <f t="shared" si="3"/>
        <v>11.912964644925328</v>
      </c>
      <c r="I124" s="925"/>
      <c r="J124" s="658"/>
      <c r="K124" s="229"/>
      <c r="L124" s="248"/>
      <c r="M124" s="6"/>
    </row>
    <row r="125" spans="1:13" ht="14.25" customHeight="1">
      <c r="A125" s="148"/>
      <c r="B125" s="267"/>
      <c r="C125" s="118"/>
      <c r="D125" s="211"/>
      <c r="E125" s="59"/>
      <c r="F125" s="743">
        <v>121</v>
      </c>
      <c r="G125" s="744">
        <v>11.938433404449864</v>
      </c>
      <c r="H125" s="855">
        <f t="shared" si="3"/>
        <v>11.815433404449864</v>
      </c>
      <c r="I125" s="925"/>
      <c r="J125" s="658"/>
      <c r="K125" s="229"/>
      <c r="L125" s="248"/>
      <c r="M125" s="11"/>
    </row>
    <row r="126" spans="1:13" ht="14.25" customHeight="1">
      <c r="A126" s="148"/>
      <c r="B126" s="267"/>
      <c r="C126" s="118"/>
      <c r="D126" s="211"/>
      <c r="E126" s="59"/>
      <c r="F126" s="854">
        <v>122</v>
      </c>
      <c r="G126" s="744">
        <v>11.971959768363304</v>
      </c>
      <c r="H126" s="855">
        <f t="shared" si="3"/>
        <v>11.848959768363304</v>
      </c>
      <c r="I126" s="925"/>
      <c r="J126" s="658"/>
      <c r="K126" s="229"/>
      <c r="L126" s="248"/>
      <c r="M126" s="11"/>
    </row>
    <row r="127" spans="1:13" ht="14.25" customHeight="1">
      <c r="A127" s="148"/>
      <c r="B127" s="267"/>
      <c r="C127" s="118"/>
      <c r="D127" s="211"/>
      <c r="E127" s="59"/>
      <c r="F127" s="743">
        <v>123</v>
      </c>
      <c r="G127" s="744">
        <v>12.892410850350501</v>
      </c>
      <c r="H127" s="855">
        <f t="shared" si="3"/>
        <v>12.769410850350502</v>
      </c>
      <c r="I127" s="925"/>
      <c r="J127" s="658"/>
      <c r="K127" s="229"/>
      <c r="L127" s="248"/>
      <c r="M127" s="11"/>
    </row>
    <row r="128" spans="1:13" ht="14.25" customHeight="1">
      <c r="A128" s="148"/>
      <c r="B128" s="267"/>
      <c r="C128" s="118"/>
      <c r="D128" s="211"/>
      <c r="E128" s="59"/>
      <c r="F128" s="854">
        <v>124</v>
      </c>
      <c r="G128" s="744">
        <v>12.925937214263943</v>
      </c>
      <c r="H128" s="855">
        <f t="shared" si="3"/>
        <v>12.802937214263943</v>
      </c>
      <c r="I128" s="925"/>
      <c r="J128" s="658"/>
      <c r="K128" s="229"/>
      <c r="L128" s="248"/>
      <c r="M128" s="11"/>
    </row>
    <row r="129" spans="1:13" ht="14.25" customHeight="1">
      <c r="A129" s="148"/>
      <c r="B129" s="267"/>
      <c r="C129" s="118"/>
      <c r="D129" s="211"/>
      <c r="E129" s="59"/>
      <c r="F129" s="743">
        <v>125</v>
      </c>
      <c r="G129" s="744">
        <v>12.554099359951232</v>
      </c>
      <c r="H129" s="855">
        <f t="shared" si="3"/>
        <v>12.431099359951233</v>
      </c>
      <c r="I129" s="925"/>
      <c r="J129" s="658"/>
      <c r="K129" s="229"/>
      <c r="L129" s="248"/>
      <c r="M129" s="11"/>
    </row>
    <row r="130" spans="1:13" ht="14.25" customHeight="1">
      <c r="A130" s="148"/>
      <c r="B130" s="267"/>
      <c r="C130" s="118"/>
      <c r="D130" s="211"/>
      <c r="E130" s="59"/>
      <c r="F130" s="854">
        <v>126</v>
      </c>
      <c r="G130" s="744">
        <v>11.947576958244438</v>
      </c>
      <c r="H130" s="855">
        <f t="shared" si="3"/>
        <v>11.824576958244439</v>
      </c>
      <c r="I130" s="926"/>
      <c r="J130" s="658"/>
      <c r="K130" s="229"/>
      <c r="L130" s="248"/>
      <c r="M130" s="11"/>
    </row>
    <row r="131" spans="1:13" ht="14.25" customHeight="1">
      <c r="A131" s="148"/>
      <c r="B131" s="267"/>
      <c r="C131" s="118"/>
      <c r="D131" s="211"/>
      <c r="E131" s="59"/>
      <c r="F131" s="743">
        <v>127</v>
      </c>
      <c r="G131" s="744">
        <v>11.911002743066136</v>
      </c>
      <c r="H131" s="855">
        <f t="shared" si="3"/>
        <v>11.788002743066137</v>
      </c>
      <c r="I131" s="924" t="s">
        <v>351</v>
      </c>
      <c r="J131" s="658"/>
      <c r="K131" s="229"/>
      <c r="L131" s="248"/>
      <c r="M131" s="11"/>
    </row>
    <row r="132" spans="1:13" ht="14.25" customHeight="1">
      <c r="A132" s="148"/>
      <c r="B132" s="267"/>
      <c r="C132" s="118"/>
      <c r="D132" s="211"/>
      <c r="E132" s="59"/>
      <c r="F132" s="854">
        <v>128</v>
      </c>
      <c r="G132" s="744">
        <v>12.045108198719904</v>
      </c>
      <c r="H132" s="855">
        <f t="shared" si="3"/>
        <v>11.922108198719904</v>
      </c>
      <c r="I132" s="925"/>
      <c r="J132" s="658"/>
      <c r="K132" s="229"/>
      <c r="L132" s="248"/>
      <c r="M132" s="11"/>
    </row>
    <row r="133" spans="1:13" ht="14.25" customHeight="1">
      <c r="A133" s="148"/>
      <c r="B133" s="267"/>
      <c r="C133" s="118"/>
      <c r="D133" s="211"/>
      <c r="E133" s="59"/>
      <c r="F133" s="743">
        <v>129</v>
      </c>
      <c r="G133" s="744">
        <v>11.968911917098445</v>
      </c>
      <c r="H133" s="855">
        <f t="shared" si="3"/>
        <v>11.845911917098446</v>
      </c>
      <c r="I133" s="925"/>
      <c r="J133" s="658"/>
      <c r="K133" s="229"/>
      <c r="L133" s="248"/>
      <c r="M133" s="11"/>
    </row>
    <row r="134" spans="1:13" s="3" customFormat="1" ht="14.25" customHeight="1">
      <c r="A134" s="148"/>
      <c r="B134" s="267"/>
      <c r="C134" s="118"/>
      <c r="D134" s="211"/>
      <c r="E134" s="59"/>
      <c r="F134" s="854">
        <v>130</v>
      </c>
      <c r="G134" s="744">
        <v>12.429137458092045</v>
      </c>
      <c r="H134" s="855">
        <f t="shared" ref="H134:H197" si="5">G134-$O$13</f>
        <v>12.306137458092046</v>
      </c>
      <c r="I134" s="925"/>
      <c r="J134" s="658"/>
      <c r="K134" s="229"/>
      <c r="L134" s="248"/>
      <c r="M134" s="6"/>
    </row>
    <row r="135" spans="1:13" ht="14.25" customHeight="1">
      <c r="A135" s="148"/>
      <c r="B135" s="267"/>
      <c r="C135" s="118"/>
      <c r="D135" s="211"/>
      <c r="E135" s="59"/>
      <c r="F135" s="743">
        <v>131</v>
      </c>
      <c r="G135" s="744">
        <v>12.746113989637305</v>
      </c>
      <c r="H135" s="855">
        <f t="shared" si="5"/>
        <v>12.623113989637305</v>
      </c>
      <c r="I135" s="925"/>
      <c r="J135" s="658"/>
      <c r="K135" s="229"/>
      <c r="L135" s="248"/>
      <c r="M135" s="11"/>
    </row>
    <row r="136" spans="1:13" ht="14.25" customHeight="1">
      <c r="A136" s="148"/>
      <c r="B136" s="267"/>
      <c r="C136" s="118"/>
      <c r="D136" s="211"/>
      <c r="E136" s="59"/>
      <c r="F136" s="854">
        <v>132</v>
      </c>
      <c r="G136" s="744">
        <v>12.182261505638524</v>
      </c>
      <c r="H136" s="855">
        <f t="shared" si="5"/>
        <v>12.059261505638524</v>
      </c>
      <c r="I136" s="925"/>
      <c r="J136" s="658"/>
      <c r="K136" s="229"/>
      <c r="L136" s="248"/>
      <c r="M136" s="11"/>
    </row>
    <row r="137" spans="1:13" ht="14.25" customHeight="1">
      <c r="A137" s="148"/>
      <c r="B137" s="267"/>
      <c r="C137" s="118"/>
      <c r="D137" s="211"/>
      <c r="E137" s="59"/>
      <c r="F137" s="743">
        <v>133</v>
      </c>
      <c r="G137" s="744">
        <v>12.660774154221274</v>
      </c>
      <c r="H137" s="855">
        <f t="shared" si="5"/>
        <v>12.537774154221275</v>
      </c>
      <c r="I137" s="925"/>
      <c r="J137" s="658"/>
      <c r="K137" s="229"/>
      <c r="L137" s="248"/>
      <c r="M137" s="11"/>
    </row>
    <row r="138" spans="1:13" ht="14.25" customHeight="1">
      <c r="A138" s="148"/>
      <c r="B138" s="267"/>
      <c r="C138" s="118"/>
      <c r="D138" s="211"/>
      <c r="E138" s="59"/>
      <c r="F138" s="854">
        <v>134</v>
      </c>
      <c r="G138" s="744">
        <v>12.56019506248095</v>
      </c>
      <c r="H138" s="855">
        <f t="shared" si="5"/>
        <v>12.437195062480951</v>
      </c>
      <c r="I138" s="925"/>
      <c r="J138" s="659"/>
      <c r="K138" s="229"/>
      <c r="L138" s="219"/>
      <c r="M138" s="11"/>
    </row>
    <row r="139" spans="1:13" ht="14.25" customHeight="1">
      <c r="A139" s="148"/>
      <c r="B139" s="267"/>
      <c r="C139" s="118"/>
      <c r="D139" s="211"/>
      <c r="E139" s="59"/>
      <c r="F139" s="743">
        <v>135</v>
      </c>
      <c r="G139" s="744">
        <v>12.700396220664432</v>
      </c>
      <c r="H139" s="855">
        <f t="shared" si="5"/>
        <v>12.577396220664433</v>
      </c>
      <c r="I139" s="926"/>
      <c r="J139" s="659"/>
      <c r="K139" s="229"/>
      <c r="L139" s="219"/>
      <c r="M139" s="11"/>
    </row>
    <row r="140" spans="1:13" ht="14.25" customHeight="1">
      <c r="A140" s="148"/>
      <c r="B140" s="267"/>
      <c r="C140" s="118"/>
      <c r="D140" s="211"/>
      <c r="E140" s="59"/>
      <c r="F140" s="664">
        <v>136</v>
      </c>
      <c r="G140" s="267">
        <v>12.752209692167023</v>
      </c>
      <c r="H140" s="665">
        <f t="shared" si="5"/>
        <v>12.629209692167024</v>
      </c>
      <c r="I140" s="924" t="s">
        <v>350</v>
      </c>
      <c r="J140" s="220"/>
      <c r="K140" s="229"/>
      <c r="L140" s="219"/>
      <c r="M140" s="11"/>
    </row>
    <row r="141" spans="1:13" ht="14.25" customHeight="1">
      <c r="A141" s="148"/>
      <c r="B141" s="267"/>
      <c r="C141" s="118"/>
      <c r="D141" s="211"/>
      <c r="E141" s="59"/>
      <c r="F141" s="666">
        <v>137</v>
      </c>
      <c r="G141" s="267">
        <v>12.487046632124352</v>
      </c>
      <c r="H141" s="665">
        <f t="shared" si="5"/>
        <v>12.364046632124353</v>
      </c>
      <c r="I141" s="925"/>
      <c r="J141" s="220"/>
      <c r="K141" s="229"/>
      <c r="L141" s="219"/>
      <c r="M141" s="11"/>
    </row>
    <row r="142" spans="1:13" ht="14.25" customHeight="1">
      <c r="A142" s="148"/>
      <c r="B142" s="267"/>
      <c r="C142" s="118"/>
      <c r="D142" s="211"/>
      <c r="E142" s="59"/>
      <c r="F142" s="664">
        <v>138</v>
      </c>
      <c r="G142" s="267">
        <v>12.602864980188967</v>
      </c>
      <c r="H142" s="665">
        <f t="shared" si="5"/>
        <v>12.479864980188967</v>
      </c>
      <c r="I142" s="925"/>
      <c r="J142" s="220"/>
      <c r="K142" s="229"/>
      <c r="L142" s="219"/>
      <c r="M142" s="11"/>
    </row>
    <row r="143" spans="1:13" ht="14.25" customHeight="1">
      <c r="A143" s="148"/>
      <c r="B143" s="267"/>
      <c r="C143" s="118"/>
      <c r="D143" s="211"/>
      <c r="E143" s="59"/>
      <c r="F143" s="666">
        <v>139</v>
      </c>
      <c r="G143" s="267">
        <v>12.852788783907345</v>
      </c>
      <c r="H143" s="665">
        <f t="shared" si="5"/>
        <v>12.729788783907345</v>
      </c>
      <c r="I143" s="925"/>
      <c r="J143" s="220"/>
      <c r="K143" s="229"/>
      <c r="L143" s="219"/>
      <c r="M143" s="11"/>
    </row>
    <row r="144" spans="1:13" s="3" customFormat="1" ht="14.25" customHeight="1">
      <c r="A144" s="148"/>
      <c r="B144" s="267"/>
      <c r="C144" s="118"/>
      <c r="D144" s="211"/>
      <c r="E144" s="13"/>
      <c r="F144" s="664">
        <v>140</v>
      </c>
      <c r="G144" s="267">
        <v>12.221883572081682</v>
      </c>
      <c r="H144" s="665">
        <f t="shared" si="5"/>
        <v>12.098883572081682</v>
      </c>
      <c r="I144" s="925"/>
      <c r="J144" s="220"/>
      <c r="K144" s="230"/>
      <c r="L144" s="219"/>
      <c r="M144" s="6"/>
    </row>
    <row r="145" spans="1:13" ht="14.25" customHeight="1">
      <c r="A145" s="148"/>
      <c r="B145" s="267"/>
      <c r="C145" s="118"/>
      <c r="D145" s="211"/>
      <c r="E145" s="59"/>
      <c r="F145" s="666">
        <v>141</v>
      </c>
      <c r="G145" s="267">
        <v>12.922889362999085</v>
      </c>
      <c r="H145" s="665">
        <f t="shared" si="5"/>
        <v>12.799889362999085</v>
      </c>
      <c r="I145" s="925"/>
      <c r="J145" s="220"/>
      <c r="K145" s="229"/>
      <c r="L145" s="219"/>
      <c r="M145" s="11"/>
    </row>
    <row r="146" spans="1:13" ht="14.25" customHeight="1">
      <c r="A146" s="148"/>
      <c r="B146" s="267"/>
      <c r="C146" s="118"/>
      <c r="D146" s="211"/>
      <c r="E146" s="59"/>
      <c r="F146" s="664">
        <v>142</v>
      </c>
      <c r="G146" s="267">
        <v>12.493142334654069</v>
      </c>
      <c r="H146" s="665">
        <f t="shared" si="5"/>
        <v>12.370142334654069</v>
      </c>
      <c r="I146" s="925"/>
      <c r="J146" s="220"/>
      <c r="K146" s="229"/>
      <c r="L146" s="219"/>
      <c r="M146" s="11"/>
    </row>
    <row r="147" spans="1:13" ht="14.25" customHeight="1">
      <c r="A147" s="148"/>
      <c r="B147" s="267"/>
      <c r="C147" s="118"/>
      <c r="D147" s="211"/>
      <c r="E147" s="59"/>
      <c r="F147" s="666">
        <v>143</v>
      </c>
      <c r="G147" s="267">
        <v>12.483998780859494</v>
      </c>
      <c r="H147" s="665">
        <f t="shared" si="5"/>
        <v>12.360998780859495</v>
      </c>
      <c r="I147" s="925"/>
      <c r="J147" s="220"/>
      <c r="K147" s="229"/>
      <c r="L147" s="219"/>
      <c r="M147" s="11"/>
    </row>
    <row r="148" spans="1:13" ht="14.25" customHeight="1">
      <c r="A148" s="148"/>
      <c r="B148" s="267"/>
      <c r="C148" s="118"/>
      <c r="D148" s="211"/>
      <c r="E148" s="59"/>
      <c r="F148" s="664">
        <v>144</v>
      </c>
      <c r="G148" s="267">
        <v>12.29807985370314</v>
      </c>
      <c r="H148" s="665">
        <f t="shared" si="5"/>
        <v>12.17507985370314</v>
      </c>
      <c r="I148" s="926"/>
      <c r="J148" s="220"/>
      <c r="K148" s="229"/>
      <c r="L148" s="219"/>
      <c r="M148" s="11"/>
    </row>
    <row r="149" spans="1:13" ht="14.25" customHeight="1">
      <c r="A149" s="148"/>
      <c r="B149" s="267"/>
      <c r="C149" s="118"/>
      <c r="D149" s="211"/>
      <c r="E149" s="59"/>
      <c r="F149" s="666">
        <v>145</v>
      </c>
      <c r="G149" s="267">
        <v>12.170070100579091</v>
      </c>
      <c r="H149" s="665">
        <f t="shared" si="5"/>
        <v>12.047070100579091</v>
      </c>
      <c r="I149" s="924" t="s">
        <v>342</v>
      </c>
      <c r="J149" s="220"/>
      <c r="K149" s="229"/>
      <c r="L149" s="219"/>
      <c r="M149" s="11"/>
    </row>
    <row r="150" spans="1:13" ht="14.25" customHeight="1">
      <c r="A150" s="148"/>
      <c r="B150" s="267"/>
      <c r="C150" s="118"/>
      <c r="D150" s="211"/>
      <c r="E150" s="59"/>
      <c r="F150" s="664">
        <v>146</v>
      </c>
      <c r="G150" s="267">
        <v>12.816214568729045</v>
      </c>
      <c r="H150" s="665">
        <f t="shared" si="5"/>
        <v>12.693214568729045</v>
      </c>
      <c r="I150" s="925"/>
      <c r="J150" s="220"/>
      <c r="K150" s="229"/>
      <c r="L150" s="219"/>
      <c r="M150" s="11"/>
    </row>
    <row r="151" spans="1:13" ht="14.25" customHeight="1">
      <c r="A151" s="148"/>
      <c r="B151" s="267"/>
      <c r="C151" s="118"/>
      <c r="D151" s="211"/>
      <c r="E151" s="59"/>
      <c r="F151" s="666">
        <v>147</v>
      </c>
      <c r="G151" s="267">
        <v>12.365132581530021</v>
      </c>
      <c r="H151" s="665">
        <f t="shared" si="5"/>
        <v>12.242132581530022</v>
      </c>
      <c r="I151" s="925"/>
      <c r="J151" s="220"/>
      <c r="K151" s="229"/>
      <c r="L151" s="219"/>
      <c r="M151" s="11"/>
    </row>
    <row r="152" spans="1:13" ht="14.25" customHeight="1">
      <c r="A152" s="148"/>
      <c r="B152" s="267"/>
      <c r="C152" s="118"/>
      <c r="D152" s="211"/>
      <c r="E152" s="59"/>
      <c r="F152" s="664">
        <v>148</v>
      </c>
      <c r="G152" s="267">
        <v>12.66686985675099</v>
      </c>
      <c r="H152" s="665">
        <f t="shared" si="5"/>
        <v>12.543869856750991</v>
      </c>
      <c r="I152" s="925"/>
      <c r="J152" s="220"/>
      <c r="K152" s="229"/>
      <c r="L152" s="219"/>
      <c r="M152" s="11"/>
    </row>
    <row r="153" spans="1:13" ht="14.25" customHeight="1">
      <c r="A153" s="148"/>
      <c r="B153" s="267"/>
      <c r="C153" s="118"/>
      <c r="D153" s="211"/>
      <c r="E153" s="59"/>
      <c r="F153" s="666">
        <v>149</v>
      </c>
      <c r="G153" s="267">
        <v>12.557147211216092</v>
      </c>
      <c r="H153" s="665">
        <f t="shared" si="5"/>
        <v>12.434147211216093</v>
      </c>
      <c r="I153" s="925"/>
      <c r="J153" s="220"/>
      <c r="K153" s="229"/>
      <c r="L153" s="219"/>
      <c r="M153" s="11"/>
    </row>
    <row r="154" spans="1:13" s="3" customFormat="1" ht="14.25" customHeight="1">
      <c r="A154" s="148"/>
      <c r="B154" s="267"/>
      <c r="C154" s="118"/>
      <c r="D154" s="211"/>
      <c r="E154" s="13"/>
      <c r="F154" s="664">
        <v>150</v>
      </c>
      <c r="G154" s="267">
        <v>12.590673575129534</v>
      </c>
      <c r="H154" s="665">
        <f t="shared" si="5"/>
        <v>12.467673575129535</v>
      </c>
      <c r="I154" s="925"/>
      <c r="J154" s="220"/>
      <c r="K154" s="229"/>
      <c r="L154" s="219"/>
      <c r="M154" s="6"/>
    </row>
    <row r="155" spans="1:13" ht="14.25" customHeight="1">
      <c r="A155" s="148"/>
      <c r="B155" s="267"/>
      <c r="C155" s="118"/>
      <c r="D155" s="211"/>
      <c r="E155" s="59"/>
      <c r="F155" s="666">
        <v>151</v>
      </c>
      <c r="G155" s="267">
        <v>11.810423651325815</v>
      </c>
      <c r="H155" s="665">
        <f t="shared" si="5"/>
        <v>11.687423651325815</v>
      </c>
      <c r="I155" s="925"/>
      <c r="J155" s="220"/>
      <c r="K155" s="229"/>
      <c r="L155" s="219"/>
      <c r="M155" s="11"/>
    </row>
    <row r="156" spans="1:13" ht="14.25" customHeight="1">
      <c r="A156" s="148"/>
      <c r="B156" s="267"/>
      <c r="C156" s="118"/>
      <c r="D156" s="211"/>
      <c r="E156" s="59"/>
      <c r="F156" s="664">
        <v>152</v>
      </c>
      <c r="G156" s="267">
        <v>12.925937214263943</v>
      </c>
      <c r="H156" s="665">
        <f t="shared" si="5"/>
        <v>12.802937214263943</v>
      </c>
      <c r="I156" s="925"/>
      <c r="J156" s="220"/>
      <c r="K156" s="229"/>
      <c r="L156" s="219"/>
      <c r="M156" s="11"/>
    </row>
    <row r="157" spans="1:13" ht="14.25" customHeight="1">
      <c r="A157" s="148"/>
      <c r="B157" s="267"/>
      <c r="C157" s="118"/>
      <c r="D157" s="211"/>
      <c r="E157" s="59"/>
      <c r="F157" s="666">
        <v>153</v>
      </c>
      <c r="G157" s="267">
        <v>12.636391344102407</v>
      </c>
      <c r="H157" s="665">
        <f t="shared" si="5"/>
        <v>12.513391344102407</v>
      </c>
      <c r="I157" s="926"/>
      <c r="J157" s="220"/>
      <c r="K157" s="229"/>
      <c r="L157" s="219"/>
      <c r="M157" s="11"/>
    </row>
    <row r="158" spans="1:13" ht="14.25" customHeight="1">
      <c r="A158" s="148"/>
      <c r="B158" s="267"/>
      <c r="C158" s="118"/>
      <c r="D158" s="211"/>
      <c r="E158" s="59"/>
      <c r="F158" s="664">
        <v>154</v>
      </c>
      <c r="G158" s="267">
        <v>12.551051508686376</v>
      </c>
      <c r="H158" s="665">
        <f t="shared" si="5"/>
        <v>12.428051508686377</v>
      </c>
      <c r="I158" s="924" t="s">
        <v>341</v>
      </c>
      <c r="J158" s="220"/>
      <c r="K158" s="229"/>
      <c r="L158" s="219"/>
      <c r="M158" s="11"/>
    </row>
    <row r="159" spans="1:13" ht="14.25" customHeight="1">
      <c r="A159" s="148"/>
      <c r="B159" s="267"/>
      <c r="C159" s="118"/>
      <c r="D159" s="211"/>
      <c r="E159" s="59"/>
      <c r="F159" s="666">
        <v>155</v>
      </c>
      <c r="G159" s="267">
        <v>12.322462663822005</v>
      </c>
      <c r="H159" s="665">
        <f t="shared" si="5"/>
        <v>12.199462663822006</v>
      </c>
      <c r="I159" s="925"/>
      <c r="J159" s="220"/>
      <c r="K159" s="229"/>
      <c r="L159" s="219"/>
      <c r="M159" s="11"/>
    </row>
    <row r="160" spans="1:13" ht="14.25" customHeight="1">
      <c r="A160" s="148"/>
      <c r="B160" s="267"/>
      <c r="C160" s="118"/>
      <c r="D160" s="211"/>
      <c r="E160" s="59"/>
      <c r="F160" s="664">
        <v>156</v>
      </c>
      <c r="G160" s="267">
        <v>12.718683328253579</v>
      </c>
      <c r="H160" s="665">
        <f t="shared" si="5"/>
        <v>12.59568332825358</v>
      </c>
      <c r="I160" s="925"/>
      <c r="J160" s="220"/>
      <c r="K160" s="229"/>
      <c r="L160" s="219"/>
      <c r="M160" s="11"/>
    </row>
    <row r="161" spans="1:13" ht="14.25" customHeight="1">
      <c r="A161" s="148"/>
      <c r="B161" s="267"/>
      <c r="C161" s="118"/>
      <c r="D161" s="211"/>
      <c r="E161" s="59"/>
      <c r="F161" s="666">
        <v>157</v>
      </c>
      <c r="G161" s="267">
        <v>12.529716549832367</v>
      </c>
      <c r="H161" s="665">
        <f t="shared" si="5"/>
        <v>12.406716549832367</v>
      </c>
      <c r="I161" s="925"/>
      <c r="J161" s="220"/>
      <c r="K161" s="229"/>
      <c r="L161" s="219"/>
      <c r="M161" s="11"/>
    </row>
    <row r="162" spans="1:13" ht="14.25" customHeight="1">
      <c r="A162" s="148"/>
      <c r="B162" s="267"/>
      <c r="C162" s="118"/>
      <c r="D162" s="211"/>
      <c r="E162" s="59"/>
      <c r="F162" s="664">
        <v>158</v>
      </c>
      <c r="G162" s="267">
        <v>12.551051508686376</v>
      </c>
      <c r="H162" s="665">
        <f t="shared" si="5"/>
        <v>12.428051508686377</v>
      </c>
      <c r="I162" s="925"/>
      <c r="J162" s="220"/>
      <c r="K162" s="229"/>
      <c r="L162" s="219"/>
      <c r="M162" s="11"/>
    </row>
    <row r="163" spans="1:13" ht="14.25" customHeight="1">
      <c r="A163" s="148"/>
      <c r="B163" s="267"/>
      <c r="C163" s="118"/>
      <c r="D163" s="211"/>
      <c r="E163" s="59"/>
      <c r="F163" s="666">
        <v>159</v>
      </c>
      <c r="G163" s="267">
        <v>12.596769277659249</v>
      </c>
      <c r="H163" s="665">
        <f t="shared" si="5"/>
        <v>12.473769277659249</v>
      </c>
      <c r="I163" s="925"/>
      <c r="J163" s="220"/>
      <c r="K163" s="229"/>
      <c r="L163" s="219"/>
      <c r="M163" s="11"/>
    </row>
    <row r="164" spans="1:13" s="3" customFormat="1" ht="14.25" customHeight="1">
      <c r="A164" s="148"/>
      <c r="B164" s="267"/>
      <c r="C164" s="118"/>
      <c r="D164" s="211"/>
      <c r="E164" s="13"/>
      <c r="F164" s="664">
        <v>160</v>
      </c>
      <c r="G164" s="267">
        <v>12.520572996037792</v>
      </c>
      <c r="H164" s="665">
        <f t="shared" si="5"/>
        <v>12.397572996037793</v>
      </c>
      <c r="I164" s="925"/>
      <c r="J164" s="220"/>
      <c r="K164" s="229"/>
      <c r="L164" s="219"/>
      <c r="M164" s="6"/>
    </row>
    <row r="165" spans="1:13" ht="14.25" customHeight="1">
      <c r="A165" s="148"/>
      <c r="B165" s="267"/>
      <c r="C165" s="118"/>
      <c r="D165" s="211"/>
      <c r="E165" s="59"/>
      <c r="F165" s="666">
        <v>161</v>
      </c>
      <c r="G165" s="267">
        <v>12.249314233465405</v>
      </c>
      <c r="H165" s="665">
        <f t="shared" si="5"/>
        <v>12.126314233465406</v>
      </c>
      <c r="I165" s="925"/>
      <c r="J165" s="220"/>
      <c r="K165" s="229"/>
      <c r="L165" s="219"/>
      <c r="M165" s="11"/>
    </row>
    <row r="166" spans="1:13" ht="14.25" customHeight="1">
      <c r="A166" s="148"/>
      <c r="B166" s="267"/>
      <c r="C166" s="118"/>
      <c r="D166" s="211"/>
      <c r="E166" s="59"/>
      <c r="F166" s="664">
        <v>162</v>
      </c>
      <c r="G166" s="267">
        <v>11.83480646144468</v>
      </c>
      <c r="H166" s="665">
        <f t="shared" si="5"/>
        <v>11.711806461444681</v>
      </c>
      <c r="I166" s="926"/>
      <c r="J166" s="220"/>
      <c r="K166" s="229"/>
      <c r="L166" s="219"/>
      <c r="M166" s="11"/>
    </row>
    <row r="167" spans="1:13" ht="14.25" customHeight="1">
      <c r="A167" s="148"/>
      <c r="B167" s="267"/>
      <c r="C167" s="118"/>
      <c r="D167" s="211"/>
      <c r="E167" s="59"/>
      <c r="F167" s="666">
        <v>163</v>
      </c>
      <c r="G167" s="267">
        <v>12.447424565681196</v>
      </c>
      <c r="H167" s="665">
        <f t="shared" si="5"/>
        <v>12.324424565681197</v>
      </c>
      <c r="I167" s="924" t="s">
        <v>340</v>
      </c>
      <c r="J167" s="220"/>
      <c r="K167" s="229"/>
      <c r="L167" s="219"/>
      <c r="M167" s="11"/>
    </row>
    <row r="168" spans="1:13" ht="14.25" customHeight="1">
      <c r="A168" s="148"/>
      <c r="B168" s="267"/>
      <c r="C168" s="118"/>
      <c r="D168" s="211"/>
      <c r="E168" s="59"/>
      <c r="F168" s="664">
        <v>164</v>
      </c>
      <c r="G168" s="267">
        <v>12.383419689119171</v>
      </c>
      <c r="H168" s="665">
        <f t="shared" si="5"/>
        <v>12.260419689119171</v>
      </c>
      <c r="I168" s="925"/>
      <c r="J168" s="220"/>
      <c r="K168" s="229"/>
      <c r="L168" s="219"/>
      <c r="M168" s="11"/>
    </row>
    <row r="169" spans="1:13" ht="14.25" customHeight="1">
      <c r="A169" s="148"/>
      <c r="B169" s="267"/>
      <c r="C169" s="118"/>
      <c r="D169" s="211"/>
      <c r="E169" s="59"/>
      <c r="F169" s="666">
        <v>165</v>
      </c>
      <c r="G169" s="267">
        <v>12.682109113075281</v>
      </c>
      <c r="H169" s="665">
        <f t="shared" si="5"/>
        <v>12.559109113075282</v>
      </c>
      <c r="I169" s="925"/>
      <c r="J169" s="220"/>
      <c r="K169" s="229"/>
      <c r="L169" s="219"/>
      <c r="M169" s="11"/>
    </row>
    <row r="170" spans="1:13" ht="14.25" customHeight="1">
      <c r="A170" s="148"/>
      <c r="B170" s="267"/>
      <c r="C170" s="118"/>
      <c r="D170" s="211"/>
      <c r="E170" s="59"/>
      <c r="F170" s="664">
        <v>166</v>
      </c>
      <c r="G170" s="267">
        <v>12.624199939042974</v>
      </c>
      <c r="H170" s="665">
        <f t="shared" si="5"/>
        <v>12.501199939042975</v>
      </c>
      <c r="I170" s="925"/>
      <c r="J170" s="220"/>
      <c r="K170" s="229"/>
      <c r="L170" s="219"/>
      <c r="M170" s="11"/>
    </row>
    <row r="171" spans="1:13" ht="14.25" customHeight="1">
      <c r="A171" s="148"/>
      <c r="B171" s="267"/>
      <c r="C171" s="118"/>
      <c r="D171" s="211"/>
      <c r="E171" s="59"/>
      <c r="F171" s="666">
        <v>167</v>
      </c>
      <c r="G171" s="267">
        <v>12.645534897896983</v>
      </c>
      <c r="H171" s="665">
        <f t="shared" si="5"/>
        <v>12.522534897896984</v>
      </c>
      <c r="I171" s="925"/>
      <c r="J171" s="220"/>
      <c r="K171" s="229"/>
      <c r="L171" s="219"/>
      <c r="M171" s="11"/>
    </row>
    <row r="172" spans="1:13" ht="14.25" customHeight="1">
      <c r="A172" s="148"/>
      <c r="B172" s="267"/>
      <c r="C172" s="118"/>
      <c r="D172" s="211"/>
      <c r="E172" s="59"/>
      <c r="F172" s="664">
        <v>168</v>
      </c>
      <c r="G172" s="267">
        <v>12.608960682718681</v>
      </c>
      <c r="H172" s="665">
        <f t="shared" si="5"/>
        <v>12.485960682718682</v>
      </c>
      <c r="I172" s="925"/>
      <c r="J172" s="220"/>
      <c r="K172" s="229"/>
      <c r="L172" s="219"/>
      <c r="M172" s="11"/>
    </row>
    <row r="173" spans="1:13" ht="14.25" customHeight="1">
      <c r="A173" s="148"/>
      <c r="B173" s="267"/>
      <c r="C173" s="118"/>
      <c r="D173" s="211"/>
      <c r="E173" s="59"/>
      <c r="F173" s="666">
        <v>169</v>
      </c>
      <c r="G173" s="267">
        <v>12.721731179518439</v>
      </c>
      <c r="H173" s="665">
        <f t="shared" si="5"/>
        <v>12.59873117951844</v>
      </c>
      <c r="I173" s="925"/>
      <c r="J173" s="247"/>
      <c r="K173" s="229"/>
      <c r="L173" s="248"/>
      <c r="M173" s="11"/>
    </row>
    <row r="174" spans="1:13" s="3" customFormat="1" ht="14.25" customHeight="1">
      <c r="A174" s="148"/>
      <c r="B174" s="267"/>
      <c r="C174" s="118"/>
      <c r="D174" s="211"/>
      <c r="E174" s="13"/>
      <c r="F174" s="664">
        <v>170</v>
      </c>
      <c r="G174" s="267">
        <v>12.487046632124352</v>
      </c>
      <c r="H174" s="665">
        <f t="shared" si="5"/>
        <v>12.364046632124353</v>
      </c>
      <c r="I174" s="925"/>
      <c r="J174" s="247"/>
      <c r="K174" s="229"/>
      <c r="L174" s="248"/>
      <c r="M174" s="6"/>
    </row>
    <row r="175" spans="1:13" ht="14.25" customHeight="1">
      <c r="A175" s="148"/>
      <c r="B175" s="267"/>
      <c r="C175" s="118"/>
      <c r="D175" s="211"/>
      <c r="E175" s="59"/>
      <c r="F175" s="666">
        <v>171</v>
      </c>
      <c r="G175" s="267">
        <v>12.63029564157269</v>
      </c>
      <c r="H175" s="665">
        <f t="shared" si="5"/>
        <v>12.507295641572691</v>
      </c>
      <c r="I175" s="926"/>
      <c r="J175" s="247"/>
      <c r="K175" s="229"/>
      <c r="L175" s="248"/>
      <c r="M175" s="11"/>
    </row>
    <row r="176" spans="1:13" ht="14.25" customHeight="1">
      <c r="A176" s="148"/>
      <c r="B176" s="267"/>
      <c r="C176" s="118"/>
      <c r="D176" s="211"/>
      <c r="E176" s="59"/>
      <c r="F176" s="664">
        <v>172</v>
      </c>
      <c r="G176" s="267">
        <v>12.514477293508078</v>
      </c>
      <c r="H176" s="665">
        <f t="shared" si="5"/>
        <v>12.391477293508078</v>
      </c>
      <c r="I176" s="924" t="s">
        <v>339</v>
      </c>
      <c r="J176" s="247"/>
      <c r="K176" s="229"/>
      <c r="L176" s="248"/>
      <c r="M176" s="11"/>
    </row>
    <row r="177" spans="1:13" ht="14.25" customHeight="1">
      <c r="A177" s="148"/>
      <c r="B177" s="267"/>
      <c r="C177" s="118"/>
      <c r="D177" s="211"/>
      <c r="E177" s="59"/>
      <c r="F177" s="666">
        <v>173</v>
      </c>
      <c r="G177" s="267">
        <v>12.480950929594636</v>
      </c>
      <c r="H177" s="665">
        <f t="shared" si="5"/>
        <v>12.357950929594637</v>
      </c>
      <c r="I177" s="925"/>
      <c r="J177" s="247"/>
      <c r="K177" s="229"/>
      <c r="L177" s="248"/>
      <c r="M177" s="11"/>
    </row>
    <row r="178" spans="1:13" ht="14.25" customHeight="1">
      <c r="A178" s="148"/>
      <c r="B178" s="267"/>
      <c r="C178" s="118"/>
      <c r="D178" s="211"/>
      <c r="E178" s="59"/>
      <c r="F178" s="664">
        <v>174</v>
      </c>
      <c r="G178" s="267">
        <v>12.615056385248399</v>
      </c>
      <c r="H178" s="665">
        <f t="shared" si="5"/>
        <v>12.4920563852484</v>
      </c>
      <c r="I178" s="925"/>
      <c r="J178" s="247"/>
      <c r="K178" s="229"/>
      <c r="L178" s="248"/>
      <c r="M178" s="11"/>
    </row>
    <row r="179" spans="1:13" ht="14.25" customHeight="1">
      <c r="A179" s="148"/>
      <c r="B179" s="267"/>
      <c r="C179" s="118"/>
      <c r="D179" s="211"/>
      <c r="E179" s="59"/>
      <c r="F179" s="666">
        <v>175</v>
      </c>
      <c r="G179" s="267">
        <v>12.316366961292287</v>
      </c>
      <c r="H179" s="665">
        <f t="shared" si="5"/>
        <v>12.193366961292288</v>
      </c>
      <c r="I179" s="925"/>
      <c r="J179" s="247"/>
      <c r="K179" s="229"/>
      <c r="L179" s="248"/>
      <c r="M179" s="11"/>
    </row>
    <row r="180" spans="1:13" ht="14.25" customHeight="1">
      <c r="A180" s="148"/>
      <c r="B180" s="267"/>
      <c r="C180" s="118"/>
      <c r="D180" s="211"/>
      <c r="E180" s="59"/>
      <c r="F180" s="664">
        <v>176</v>
      </c>
      <c r="G180" s="267">
        <v>12.328558366351722</v>
      </c>
      <c r="H180" s="665">
        <f t="shared" si="5"/>
        <v>12.205558366351722</v>
      </c>
      <c r="I180" s="925"/>
      <c r="J180" s="247"/>
      <c r="K180" s="229"/>
      <c r="L180" s="248"/>
      <c r="M180" s="11"/>
    </row>
    <row r="181" spans="1:13" ht="14.25" customHeight="1">
      <c r="A181" s="148"/>
      <c r="B181" s="267"/>
      <c r="C181" s="118"/>
      <c r="D181" s="211"/>
      <c r="E181" s="59"/>
      <c r="F181" s="666">
        <v>177</v>
      </c>
      <c r="G181" s="267">
        <v>12.261505638524838</v>
      </c>
      <c r="H181" s="665">
        <f t="shared" si="5"/>
        <v>12.138505638524839</v>
      </c>
      <c r="I181" s="925"/>
      <c r="J181" s="247"/>
      <c r="K181" s="229"/>
      <c r="L181" s="248"/>
      <c r="M181" s="11"/>
    </row>
    <row r="182" spans="1:13" ht="14.25" customHeight="1">
      <c r="A182" s="148"/>
      <c r="B182" s="267"/>
      <c r="C182" s="118"/>
      <c r="D182" s="211"/>
      <c r="E182" s="59"/>
      <c r="F182" s="664">
        <v>178</v>
      </c>
      <c r="G182" s="267">
        <v>11.920146296860713</v>
      </c>
      <c r="H182" s="665">
        <f t="shared" si="5"/>
        <v>11.797146296860713</v>
      </c>
      <c r="I182" s="925"/>
      <c r="J182" s="247"/>
      <c r="K182" s="229"/>
      <c r="L182" s="248"/>
      <c r="M182" s="11"/>
    </row>
    <row r="183" spans="1:13" ht="14.25" customHeight="1">
      <c r="A183" s="148"/>
      <c r="B183" s="267"/>
      <c r="C183" s="118"/>
      <c r="D183" s="211"/>
      <c r="E183" s="59"/>
      <c r="F183" s="666">
        <v>179</v>
      </c>
      <c r="G183" s="267">
        <v>12.456568119475769</v>
      </c>
      <c r="H183" s="665">
        <f t="shared" si="5"/>
        <v>12.333568119475769</v>
      </c>
      <c r="I183" s="925"/>
      <c r="J183" s="247"/>
      <c r="K183" s="229"/>
      <c r="L183" s="248"/>
      <c r="M183" s="11"/>
    </row>
    <row r="184" spans="1:13" s="3" customFormat="1" ht="14.25" customHeight="1">
      <c r="A184" s="148"/>
      <c r="B184" s="267"/>
      <c r="C184" s="118"/>
      <c r="D184" s="211"/>
      <c r="E184" s="13"/>
      <c r="F184" s="664">
        <v>180</v>
      </c>
      <c r="G184" s="267">
        <v>12.252362084730265</v>
      </c>
      <c r="H184" s="665">
        <f t="shared" si="5"/>
        <v>12.129362084730266</v>
      </c>
      <c r="I184" s="926"/>
      <c r="J184" s="247"/>
      <c r="K184" s="229"/>
      <c r="L184" s="248"/>
      <c r="M184" s="6"/>
    </row>
    <row r="185" spans="1:13" ht="14.25" customHeight="1">
      <c r="A185" s="148"/>
      <c r="B185" s="267"/>
      <c r="C185" s="118"/>
      <c r="D185" s="211"/>
      <c r="E185" s="59"/>
      <c r="F185" s="666">
        <v>181</v>
      </c>
      <c r="G185" s="267">
        <v>12.5419079548918</v>
      </c>
      <c r="H185" s="665">
        <f t="shared" si="5"/>
        <v>12.4189079548918</v>
      </c>
      <c r="I185" s="924" t="s">
        <v>338</v>
      </c>
      <c r="J185" s="247"/>
      <c r="K185" s="229"/>
      <c r="L185" s="248"/>
      <c r="M185" s="11"/>
    </row>
    <row r="186" spans="1:13" ht="14.25" customHeight="1">
      <c r="A186" s="148"/>
      <c r="B186" s="267"/>
      <c r="C186" s="118"/>
      <c r="D186" s="211"/>
      <c r="E186" s="59"/>
      <c r="F186" s="664">
        <v>182</v>
      </c>
      <c r="G186" s="267">
        <v>12.398658945443461</v>
      </c>
      <c r="H186" s="665">
        <f t="shared" si="5"/>
        <v>12.275658945443462</v>
      </c>
      <c r="I186" s="925"/>
      <c r="J186" s="247"/>
      <c r="K186" s="229"/>
      <c r="L186" s="248"/>
      <c r="M186" s="11"/>
    </row>
    <row r="187" spans="1:13" ht="14.25" customHeight="1">
      <c r="A187" s="148"/>
      <c r="B187" s="267"/>
      <c r="C187" s="118"/>
      <c r="D187" s="211"/>
      <c r="E187" s="59"/>
      <c r="F187" s="666">
        <v>183</v>
      </c>
      <c r="G187" s="267">
        <v>12.50838159097836</v>
      </c>
      <c r="H187" s="665">
        <f t="shared" si="5"/>
        <v>12.38538159097836</v>
      </c>
      <c r="I187" s="925"/>
      <c r="J187" s="247"/>
      <c r="K187" s="229"/>
      <c r="L187" s="248"/>
      <c r="M187" s="11"/>
    </row>
    <row r="188" spans="1:13" ht="14.25" customHeight="1">
      <c r="A188" s="148"/>
      <c r="B188" s="267"/>
      <c r="C188" s="118"/>
      <c r="D188" s="211"/>
      <c r="E188" s="59"/>
      <c r="F188" s="664">
        <v>184</v>
      </c>
      <c r="G188" s="267">
        <v>12.22493142334654</v>
      </c>
      <c r="H188" s="665">
        <f t="shared" si="5"/>
        <v>12.10193142334654</v>
      </c>
      <c r="I188" s="925"/>
      <c r="J188" s="247"/>
      <c r="K188" s="229"/>
      <c r="L188" s="248"/>
      <c r="M188" s="11"/>
    </row>
    <row r="189" spans="1:13" ht="14.25" customHeight="1">
      <c r="A189" s="148"/>
      <c r="B189" s="267"/>
      <c r="C189" s="118"/>
      <c r="D189" s="211"/>
      <c r="E189" s="59"/>
      <c r="F189" s="666">
        <v>185</v>
      </c>
      <c r="G189" s="267">
        <v>12.288936299908563</v>
      </c>
      <c r="H189" s="665">
        <f t="shared" si="5"/>
        <v>12.165936299908564</v>
      </c>
      <c r="I189" s="925"/>
      <c r="J189" s="247"/>
      <c r="K189" s="229"/>
      <c r="L189" s="248"/>
      <c r="M189" s="11"/>
    </row>
    <row r="190" spans="1:13" ht="14.25" customHeight="1">
      <c r="A190" s="148"/>
      <c r="B190" s="267"/>
      <c r="C190" s="118"/>
      <c r="D190" s="211"/>
      <c r="E190" s="59"/>
      <c r="F190" s="664">
        <v>186</v>
      </c>
      <c r="G190" s="267">
        <v>12.380371837854311</v>
      </c>
      <c r="H190" s="665">
        <f t="shared" si="5"/>
        <v>12.257371837854311</v>
      </c>
      <c r="I190" s="925"/>
      <c r="J190" s="247"/>
      <c r="K190" s="229"/>
      <c r="L190" s="248"/>
      <c r="M190" s="11"/>
    </row>
    <row r="191" spans="1:13" ht="14.25" customHeight="1">
      <c r="A191" s="148"/>
      <c r="B191" s="267"/>
      <c r="C191" s="118"/>
      <c r="D191" s="211"/>
      <c r="E191" s="59"/>
      <c r="F191" s="666">
        <v>187</v>
      </c>
      <c r="G191" s="267">
        <v>12.639439195367265</v>
      </c>
      <c r="H191" s="665">
        <f t="shared" si="5"/>
        <v>12.516439195367266</v>
      </c>
      <c r="I191" s="925"/>
      <c r="J191" s="247"/>
      <c r="K191" s="229"/>
      <c r="L191" s="248"/>
      <c r="M191" s="11"/>
    </row>
    <row r="192" spans="1:13" ht="14.25" customHeight="1">
      <c r="A192" s="148"/>
      <c r="B192" s="267"/>
      <c r="C192" s="118"/>
      <c r="D192" s="211"/>
      <c r="E192" s="59"/>
      <c r="F192" s="664">
        <v>188</v>
      </c>
      <c r="G192" s="267">
        <v>12.584577872599816</v>
      </c>
      <c r="H192" s="665">
        <f t="shared" si="5"/>
        <v>12.461577872599817</v>
      </c>
      <c r="I192" s="925"/>
      <c r="J192" s="247"/>
      <c r="K192" s="229"/>
      <c r="L192" s="248"/>
      <c r="M192" s="11"/>
    </row>
    <row r="193" spans="1:13" ht="14.25" customHeight="1">
      <c r="A193" s="148"/>
      <c r="B193" s="267"/>
      <c r="C193" s="118"/>
      <c r="D193" s="211"/>
      <c r="E193" s="59"/>
      <c r="F193" s="666">
        <v>189</v>
      </c>
      <c r="G193" s="267">
        <v>12.697348369399572</v>
      </c>
      <c r="H193" s="665">
        <f t="shared" si="5"/>
        <v>12.574348369399573</v>
      </c>
      <c r="I193" s="926"/>
      <c r="J193" s="247"/>
      <c r="K193" s="229"/>
      <c r="L193" s="248"/>
      <c r="M193" s="11"/>
    </row>
    <row r="194" spans="1:13" s="3" customFormat="1" ht="14.25" customHeight="1">
      <c r="A194" s="148"/>
      <c r="B194" s="267"/>
      <c r="C194" s="118"/>
      <c r="D194" s="211"/>
      <c r="E194" s="59"/>
      <c r="F194" s="664">
        <v>190</v>
      </c>
      <c r="G194" s="267">
        <v>12.654678451691558</v>
      </c>
      <c r="H194" s="665">
        <f t="shared" si="5"/>
        <v>12.531678451691558</v>
      </c>
      <c r="I194" s="924" t="s">
        <v>337</v>
      </c>
      <c r="J194" s="247"/>
      <c r="K194" s="229"/>
      <c r="L194" s="248"/>
      <c r="M194" s="6"/>
    </row>
    <row r="195" spans="1:13" ht="14.25" customHeight="1">
      <c r="A195" s="148"/>
      <c r="B195" s="267"/>
      <c r="C195" s="118"/>
      <c r="D195" s="211"/>
      <c r="E195" s="59"/>
      <c r="F195" s="666">
        <v>191</v>
      </c>
      <c r="G195" s="267">
        <v>12.349893325205731</v>
      </c>
      <c r="H195" s="665">
        <f t="shared" si="5"/>
        <v>12.226893325205731</v>
      </c>
      <c r="I195" s="925"/>
      <c r="J195" s="247"/>
      <c r="K195" s="229"/>
      <c r="L195" s="248"/>
      <c r="M195" s="11"/>
    </row>
    <row r="196" spans="1:13" ht="14.25" customHeight="1">
      <c r="A196" s="148"/>
      <c r="B196" s="267"/>
      <c r="C196" s="118"/>
      <c r="D196" s="211"/>
      <c r="E196" s="59"/>
      <c r="F196" s="664">
        <v>192</v>
      </c>
      <c r="G196" s="267">
        <v>12.450472416946052</v>
      </c>
      <c r="H196" s="665">
        <f t="shared" si="5"/>
        <v>12.327472416946053</v>
      </c>
      <c r="I196" s="925"/>
      <c r="J196" s="247"/>
      <c r="K196" s="229"/>
      <c r="L196" s="248"/>
      <c r="M196" s="11"/>
    </row>
    <row r="197" spans="1:13" ht="14.25" customHeight="1">
      <c r="A197" s="148"/>
      <c r="B197" s="267"/>
      <c r="C197" s="118"/>
      <c r="D197" s="211"/>
      <c r="E197" s="59"/>
      <c r="F197" s="666">
        <v>193</v>
      </c>
      <c r="G197" s="267">
        <v>12.91374580920451</v>
      </c>
      <c r="H197" s="665">
        <f t="shared" si="5"/>
        <v>12.790745809204511</v>
      </c>
      <c r="I197" s="925"/>
      <c r="J197" s="247"/>
      <c r="K197" s="229"/>
      <c r="L197" s="248"/>
      <c r="M197" s="11"/>
    </row>
    <row r="198" spans="1:13" ht="14.25" customHeight="1">
      <c r="A198" s="148"/>
      <c r="B198" s="267"/>
      <c r="C198" s="118"/>
      <c r="D198" s="211"/>
      <c r="E198" s="59"/>
      <c r="F198" s="664">
        <v>194</v>
      </c>
      <c r="G198" s="267">
        <v>12.395611094178603</v>
      </c>
      <c r="H198" s="665">
        <f t="shared" ref="H198:H261" si="6">G198-$O$13</f>
        <v>12.272611094178604</v>
      </c>
      <c r="I198" s="925"/>
      <c r="J198" s="247"/>
      <c r="K198" s="229"/>
      <c r="L198" s="248"/>
      <c r="M198" s="11"/>
    </row>
    <row r="199" spans="1:13" ht="14.25" customHeight="1">
      <c r="A199" s="148"/>
      <c r="B199" s="267"/>
      <c r="C199" s="118"/>
      <c r="D199" s="211"/>
      <c r="E199" s="59"/>
      <c r="F199" s="666">
        <v>195</v>
      </c>
      <c r="G199" s="267">
        <v>12.325510515086863</v>
      </c>
      <c r="H199" s="665">
        <f t="shared" si="6"/>
        <v>12.202510515086864</v>
      </c>
      <c r="I199" s="925"/>
      <c r="J199" s="247"/>
      <c r="K199" s="229"/>
      <c r="L199" s="248"/>
      <c r="M199" s="11"/>
    </row>
    <row r="200" spans="1:13" ht="14.25" customHeight="1">
      <c r="A200" s="148"/>
      <c r="B200" s="267"/>
      <c r="C200" s="118"/>
      <c r="D200" s="211"/>
      <c r="E200" s="59"/>
      <c r="F200" s="664">
        <v>196</v>
      </c>
      <c r="G200" s="267">
        <v>12.544955806156658</v>
      </c>
      <c r="H200" s="665">
        <f t="shared" si="6"/>
        <v>12.421955806156658</v>
      </c>
      <c r="I200" s="925"/>
      <c r="J200" s="247"/>
      <c r="K200" s="229"/>
      <c r="L200" s="248"/>
      <c r="M200" s="11"/>
    </row>
    <row r="201" spans="1:13" ht="14.25" customHeight="1">
      <c r="A201" s="148"/>
      <c r="B201" s="267"/>
      <c r="C201" s="118"/>
      <c r="D201" s="211"/>
      <c r="E201" s="59"/>
      <c r="F201" s="666">
        <v>197</v>
      </c>
      <c r="G201" s="267">
        <v>12.697348369399572</v>
      </c>
      <c r="H201" s="665">
        <f t="shared" si="6"/>
        <v>12.574348369399573</v>
      </c>
      <c r="I201" s="925"/>
      <c r="J201" s="247"/>
      <c r="K201" s="229"/>
      <c r="L201" s="248"/>
      <c r="M201" s="11"/>
    </row>
    <row r="202" spans="1:13" ht="14.25" customHeight="1">
      <c r="A202" s="148"/>
      <c r="B202" s="267"/>
      <c r="C202" s="118"/>
      <c r="D202" s="211"/>
      <c r="E202" s="59"/>
      <c r="F202" s="664">
        <v>198</v>
      </c>
      <c r="G202" s="267">
        <v>12.651630600426698</v>
      </c>
      <c r="H202" s="665">
        <f t="shared" si="6"/>
        <v>12.528630600426698</v>
      </c>
      <c r="I202" s="926"/>
      <c r="J202" s="247"/>
      <c r="K202" s="229"/>
      <c r="L202" s="248"/>
      <c r="M202" s="11"/>
    </row>
    <row r="203" spans="1:13" ht="14.25" customHeight="1">
      <c r="A203" s="148"/>
      <c r="B203" s="267"/>
      <c r="C203" s="118"/>
      <c r="D203" s="211"/>
      <c r="E203" s="59"/>
      <c r="F203" s="666">
        <v>199</v>
      </c>
      <c r="G203" s="267">
        <v>12.63334349283755</v>
      </c>
      <c r="H203" s="665">
        <f t="shared" si="6"/>
        <v>12.510343492837551</v>
      </c>
      <c r="I203" s="924" t="s">
        <v>336</v>
      </c>
      <c r="J203" s="247"/>
      <c r="K203" s="229"/>
      <c r="L203" s="248"/>
      <c r="M203" s="11"/>
    </row>
    <row r="204" spans="1:13" s="3" customFormat="1" ht="14.25" customHeight="1">
      <c r="A204" s="148"/>
      <c r="B204" s="267"/>
      <c r="C204" s="118"/>
      <c r="D204" s="211"/>
      <c r="E204" s="13"/>
      <c r="F204" s="664">
        <v>200</v>
      </c>
      <c r="G204" s="267">
        <v>12.008533983541602</v>
      </c>
      <c r="H204" s="665">
        <f t="shared" si="6"/>
        <v>11.885533983541603</v>
      </c>
      <c r="I204" s="925"/>
      <c r="J204" s="247"/>
      <c r="K204" s="229"/>
      <c r="L204" s="248"/>
      <c r="M204" s="6"/>
    </row>
    <row r="205" spans="1:13" ht="14.25" customHeight="1">
      <c r="A205" s="148"/>
      <c r="B205" s="267"/>
      <c r="C205" s="118"/>
      <c r="D205" s="211"/>
      <c r="E205" s="59"/>
      <c r="F205" s="666">
        <v>201</v>
      </c>
      <c r="G205" s="267">
        <v>12.237122828405973</v>
      </c>
      <c r="H205" s="665">
        <f t="shared" si="6"/>
        <v>12.114122828405973</v>
      </c>
      <c r="I205" s="925"/>
      <c r="J205" s="247"/>
      <c r="K205" s="229"/>
      <c r="L205" s="248"/>
      <c r="M205" s="11"/>
    </row>
    <row r="206" spans="1:13" ht="14.25" customHeight="1">
      <c r="A206" s="148"/>
      <c r="B206" s="267"/>
      <c r="C206" s="118"/>
      <c r="D206" s="211"/>
      <c r="E206" s="59"/>
      <c r="F206" s="664">
        <v>202</v>
      </c>
      <c r="G206" s="267">
        <v>12.569338616275525</v>
      </c>
      <c r="H206" s="665">
        <f t="shared" si="6"/>
        <v>12.446338616275526</v>
      </c>
      <c r="I206" s="925"/>
      <c r="J206" s="247"/>
      <c r="K206" s="229"/>
      <c r="L206" s="248"/>
      <c r="M206" s="11"/>
    </row>
    <row r="207" spans="1:13" ht="14.25" customHeight="1">
      <c r="A207" s="148"/>
      <c r="B207" s="267"/>
      <c r="C207" s="118"/>
      <c r="D207" s="211"/>
      <c r="E207" s="59"/>
      <c r="F207" s="666">
        <v>203</v>
      </c>
      <c r="G207" s="267">
        <v>12.227979274611398</v>
      </c>
      <c r="H207" s="665">
        <f t="shared" si="6"/>
        <v>12.104979274611399</v>
      </c>
      <c r="I207" s="925"/>
      <c r="J207" s="247"/>
      <c r="K207" s="229"/>
      <c r="L207" s="248"/>
      <c r="M207" s="11"/>
    </row>
    <row r="208" spans="1:13" ht="14.25" customHeight="1">
      <c r="A208" s="148"/>
      <c r="B208" s="267"/>
      <c r="C208" s="118"/>
      <c r="D208" s="211"/>
      <c r="E208" s="59"/>
      <c r="F208" s="664">
        <v>204</v>
      </c>
      <c r="G208" s="267">
        <v>12.874123742761354</v>
      </c>
      <c r="H208" s="665">
        <f t="shared" si="6"/>
        <v>12.751123742761354</v>
      </c>
      <c r="I208" s="925"/>
      <c r="J208" s="247"/>
      <c r="K208" s="229"/>
      <c r="L208" s="248"/>
      <c r="M208" s="11"/>
    </row>
    <row r="209" spans="1:13" ht="14.25" customHeight="1">
      <c r="A209" s="148"/>
      <c r="B209" s="267"/>
      <c r="C209" s="118"/>
      <c r="D209" s="211"/>
      <c r="E209" s="59"/>
      <c r="F209" s="666">
        <v>205</v>
      </c>
      <c r="G209" s="267">
        <v>12.462663822005485</v>
      </c>
      <c r="H209" s="665">
        <f t="shared" si="6"/>
        <v>12.339663822005486</v>
      </c>
      <c r="I209" s="925"/>
      <c r="J209" s="247"/>
      <c r="K209" s="229"/>
      <c r="L209" s="248"/>
      <c r="M209" s="11"/>
    </row>
    <row r="210" spans="1:13" ht="14.25" customHeight="1">
      <c r="A210" s="148"/>
      <c r="B210" s="267"/>
      <c r="C210" s="118"/>
      <c r="D210" s="211"/>
      <c r="E210" s="59"/>
      <c r="F210" s="664">
        <v>206</v>
      </c>
      <c r="G210" s="267">
        <v>12.459615970740629</v>
      </c>
      <c r="H210" s="665">
        <f t="shared" si="6"/>
        <v>12.336615970740629</v>
      </c>
      <c r="I210" s="925"/>
      <c r="J210" s="247"/>
      <c r="K210" s="229"/>
      <c r="L210" s="248"/>
      <c r="M210" s="11"/>
    </row>
    <row r="211" spans="1:13" ht="14.25" customHeight="1">
      <c r="A211" s="148"/>
      <c r="B211" s="267"/>
      <c r="C211" s="118"/>
      <c r="D211" s="211"/>
      <c r="E211" s="59"/>
      <c r="F211" s="666">
        <v>207</v>
      </c>
      <c r="G211" s="267">
        <v>11.776897287412375</v>
      </c>
      <c r="H211" s="665">
        <f t="shared" si="6"/>
        <v>11.653897287412375</v>
      </c>
      <c r="I211" s="926"/>
      <c r="J211" s="247"/>
      <c r="K211" s="229"/>
      <c r="L211" s="248"/>
      <c r="M211" s="11"/>
    </row>
    <row r="212" spans="1:13" ht="14.25" customHeight="1">
      <c r="A212" s="148"/>
      <c r="B212" s="267"/>
      <c r="C212" s="118"/>
      <c r="D212" s="211"/>
      <c r="E212" s="59"/>
      <c r="F212" s="664">
        <v>208</v>
      </c>
      <c r="G212" s="267">
        <v>12.709539774459007</v>
      </c>
      <c r="H212" s="665">
        <f t="shared" si="6"/>
        <v>12.586539774459007</v>
      </c>
      <c r="I212" s="924" t="s">
        <v>335</v>
      </c>
      <c r="J212" s="247"/>
      <c r="K212" s="229"/>
      <c r="L212" s="248"/>
      <c r="M212" s="11"/>
    </row>
    <row r="213" spans="1:13" ht="14.25" customHeight="1">
      <c r="A213" s="148"/>
      <c r="B213" s="267"/>
      <c r="C213" s="118"/>
      <c r="D213" s="211"/>
      <c r="E213" s="59"/>
      <c r="F213" s="666">
        <v>209</v>
      </c>
      <c r="G213" s="267">
        <v>12.282840597378847</v>
      </c>
      <c r="H213" s="665">
        <f t="shared" si="6"/>
        <v>12.159840597378848</v>
      </c>
      <c r="I213" s="925"/>
      <c r="J213" s="247"/>
      <c r="K213" s="229"/>
      <c r="L213" s="248"/>
      <c r="M213" s="11"/>
    </row>
    <row r="214" spans="1:13" s="3" customFormat="1" ht="14.25" customHeight="1">
      <c r="A214" s="148"/>
      <c r="B214" s="267"/>
      <c r="C214" s="118"/>
      <c r="D214" s="211"/>
      <c r="E214" s="13"/>
      <c r="F214" s="664">
        <v>210</v>
      </c>
      <c r="G214" s="267">
        <v>11.859189271563546</v>
      </c>
      <c r="H214" s="665">
        <f t="shared" si="6"/>
        <v>11.736189271563546</v>
      </c>
      <c r="I214" s="925"/>
      <c r="J214" s="247"/>
      <c r="K214" s="229"/>
      <c r="L214" s="248"/>
      <c r="M214" s="6"/>
    </row>
    <row r="215" spans="1:13" ht="14.25" customHeight="1">
      <c r="A215" s="148"/>
      <c r="B215" s="267"/>
      <c r="C215" s="118"/>
      <c r="D215" s="211"/>
      <c r="E215" s="59"/>
      <c r="F215" s="666">
        <v>211</v>
      </c>
      <c r="G215" s="267">
        <v>12.548003657421518</v>
      </c>
      <c r="H215" s="665">
        <f t="shared" si="6"/>
        <v>12.425003657421518</v>
      </c>
      <c r="I215" s="925"/>
      <c r="J215" s="247"/>
      <c r="K215" s="229"/>
      <c r="L215" s="248"/>
      <c r="M215" s="11"/>
    </row>
    <row r="216" spans="1:13" ht="14.25" customHeight="1">
      <c r="A216" s="148"/>
      <c r="B216" s="267"/>
      <c r="C216" s="118"/>
      <c r="D216" s="211"/>
      <c r="E216" s="59"/>
      <c r="F216" s="664">
        <v>212</v>
      </c>
      <c r="G216" s="267">
        <v>12.276744894849131</v>
      </c>
      <c r="H216" s="665">
        <f t="shared" si="6"/>
        <v>12.153744894849131</v>
      </c>
      <c r="I216" s="925"/>
      <c r="J216" s="247"/>
      <c r="K216" s="229"/>
      <c r="L216" s="248"/>
      <c r="M216" s="11"/>
    </row>
    <row r="217" spans="1:13" ht="14.25" customHeight="1">
      <c r="A217" s="148"/>
      <c r="B217" s="267"/>
      <c r="C217" s="118"/>
      <c r="D217" s="211"/>
      <c r="E217" s="59"/>
      <c r="F217" s="666">
        <v>213</v>
      </c>
      <c r="G217" s="267">
        <v>12.587625723864674</v>
      </c>
      <c r="H217" s="665">
        <f t="shared" si="6"/>
        <v>12.464625723864675</v>
      </c>
      <c r="I217" s="925"/>
      <c r="J217" s="247"/>
      <c r="K217" s="229"/>
      <c r="L217" s="248"/>
      <c r="M217" s="11"/>
    </row>
    <row r="218" spans="1:13" ht="14.25" customHeight="1">
      <c r="A218" s="148"/>
      <c r="B218" s="267"/>
      <c r="C218" s="118"/>
      <c r="D218" s="211"/>
      <c r="E218" s="59"/>
      <c r="F218" s="664">
        <v>214</v>
      </c>
      <c r="G218" s="267">
        <v>12.362084730265163</v>
      </c>
      <c r="H218" s="665">
        <f t="shared" si="6"/>
        <v>12.239084730265164</v>
      </c>
      <c r="I218" s="925"/>
      <c r="J218" s="247"/>
      <c r="K218" s="229"/>
      <c r="L218" s="248"/>
      <c r="M218" s="11"/>
    </row>
    <row r="219" spans="1:13" ht="14.25" customHeight="1">
      <c r="A219" s="148"/>
      <c r="B219" s="267"/>
      <c r="C219" s="118"/>
      <c r="D219" s="211"/>
      <c r="E219" s="59"/>
      <c r="F219" s="666">
        <v>215</v>
      </c>
      <c r="G219" s="267">
        <v>12.590673575129534</v>
      </c>
      <c r="H219" s="665">
        <f t="shared" si="6"/>
        <v>12.467673575129535</v>
      </c>
      <c r="I219" s="925"/>
      <c r="J219" s="247"/>
      <c r="K219" s="229"/>
      <c r="L219" s="248"/>
      <c r="M219" s="11"/>
    </row>
    <row r="220" spans="1:13" ht="14.25" customHeight="1">
      <c r="A220" s="148"/>
      <c r="B220" s="267"/>
      <c r="C220" s="118"/>
      <c r="D220" s="211"/>
      <c r="E220" s="59"/>
      <c r="F220" s="664">
        <v>216</v>
      </c>
      <c r="G220" s="267">
        <v>12.621152087778114</v>
      </c>
      <c r="H220" s="665">
        <f t="shared" si="6"/>
        <v>12.498152087778115</v>
      </c>
      <c r="I220" s="926"/>
      <c r="J220" s="231"/>
      <c r="K220" s="230"/>
      <c r="L220" s="219"/>
      <c r="M220" s="11"/>
    </row>
    <row r="221" spans="1:13" ht="14.25" customHeight="1">
      <c r="A221" s="148"/>
      <c r="B221" s="267"/>
      <c r="C221" s="118"/>
      <c r="D221" s="211"/>
      <c r="E221" s="59"/>
      <c r="F221" s="666">
        <v>217</v>
      </c>
      <c r="G221" s="267">
        <v>12.240170679670831</v>
      </c>
      <c r="H221" s="665">
        <f t="shared" si="6"/>
        <v>12.117170679670831</v>
      </c>
      <c r="I221" s="927" t="s">
        <v>334</v>
      </c>
      <c r="J221" s="231"/>
      <c r="K221" s="230"/>
      <c r="L221" s="219"/>
      <c r="M221" s="11"/>
    </row>
    <row r="222" spans="1:13" ht="14.25" customHeight="1">
      <c r="A222" s="148"/>
      <c r="B222" s="267"/>
      <c r="C222" s="118"/>
      <c r="D222" s="211"/>
      <c r="E222" s="59"/>
      <c r="F222" s="664">
        <v>218</v>
      </c>
      <c r="G222" s="267">
        <v>12.115208777811642</v>
      </c>
      <c r="H222" s="665">
        <f t="shared" si="6"/>
        <v>11.992208777811642</v>
      </c>
      <c r="I222" s="928"/>
      <c r="J222" s="231"/>
      <c r="K222" s="230"/>
      <c r="L222" s="219"/>
      <c r="M222" s="11"/>
    </row>
    <row r="223" spans="1:13" ht="14.25" customHeight="1">
      <c r="A223" s="148"/>
      <c r="B223" s="267"/>
      <c r="C223" s="118"/>
      <c r="D223" s="211"/>
      <c r="E223" s="59"/>
      <c r="F223" s="666">
        <v>219</v>
      </c>
      <c r="G223" s="267">
        <v>12.676013410545567</v>
      </c>
      <c r="H223" s="665">
        <f t="shared" si="6"/>
        <v>12.553013410545567</v>
      </c>
      <c r="I223" s="928"/>
      <c r="J223" s="231"/>
      <c r="K223" s="230"/>
      <c r="L223" s="219"/>
      <c r="M223" s="11"/>
    </row>
    <row r="224" spans="1:13" s="3" customFormat="1" ht="14.25" customHeight="1">
      <c r="A224" s="148"/>
      <c r="B224" s="267"/>
      <c r="C224" s="118"/>
      <c r="D224" s="211"/>
      <c r="E224" s="13"/>
      <c r="F224" s="664">
        <v>220</v>
      </c>
      <c r="G224" s="267">
        <v>12.5419079548918</v>
      </c>
      <c r="H224" s="665">
        <f t="shared" si="6"/>
        <v>12.4189079548918</v>
      </c>
      <c r="I224" s="928"/>
      <c r="J224" s="239"/>
      <c r="K224" s="240"/>
      <c r="L224" s="241"/>
      <c r="M224" s="6"/>
    </row>
    <row r="225" spans="1:13" ht="14.25" customHeight="1">
      <c r="A225" s="148"/>
      <c r="B225" s="267"/>
      <c r="C225" s="118"/>
      <c r="D225" s="211"/>
      <c r="E225" s="59"/>
      <c r="F225" s="666">
        <v>221</v>
      </c>
      <c r="G225" s="267">
        <v>12.563242913745809</v>
      </c>
      <c r="H225" s="665">
        <f t="shared" si="6"/>
        <v>12.440242913745809</v>
      </c>
      <c r="I225" s="928"/>
      <c r="J225" s="218"/>
      <c r="K225" s="218"/>
      <c r="L225" s="213"/>
      <c r="M225" s="11"/>
    </row>
    <row r="226" spans="1:13" ht="14.25" customHeight="1">
      <c r="A226" s="148"/>
      <c r="B226" s="267"/>
      <c r="C226" s="118"/>
      <c r="D226" s="211"/>
      <c r="E226" s="59"/>
      <c r="F226" s="664">
        <v>222</v>
      </c>
      <c r="G226" s="267">
        <v>12.453520268210911</v>
      </c>
      <c r="H226" s="665">
        <f t="shared" si="6"/>
        <v>12.330520268210911</v>
      </c>
      <c r="I226" s="928"/>
      <c r="J226" s="218"/>
      <c r="K226" s="218"/>
      <c r="L226" s="213"/>
      <c r="M226" s="11"/>
    </row>
    <row r="227" spans="1:13" ht="14.25" customHeight="1">
      <c r="A227" s="148"/>
      <c r="B227" s="267"/>
      <c r="C227" s="118"/>
      <c r="D227" s="211"/>
      <c r="E227" s="59"/>
      <c r="F227" s="666">
        <v>223</v>
      </c>
      <c r="G227" s="267">
        <v>12.746113989637305</v>
      </c>
      <c r="H227" s="665">
        <f t="shared" si="6"/>
        <v>12.623113989637305</v>
      </c>
      <c r="I227" s="928"/>
      <c r="J227" s="218"/>
      <c r="K227" s="218"/>
      <c r="L227" s="213"/>
      <c r="M227" s="11"/>
    </row>
    <row r="228" spans="1:13" ht="14.25" customHeight="1">
      <c r="A228" s="148"/>
      <c r="B228" s="267"/>
      <c r="C228" s="118"/>
      <c r="D228" s="211"/>
      <c r="E228" s="59"/>
      <c r="F228" s="664">
        <v>224</v>
      </c>
      <c r="G228" s="267">
        <v>12.590673575129534</v>
      </c>
      <c r="H228" s="665">
        <f t="shared" si="6"/>
        <v>12.467673575129535</v>
      </c>
      <c r="I228" s="928"/>
      <c r="J228" s="218"/>
      <c r="K228" s="218"/>
      <c r="L228" s="213"/>
      <c r="M228" s="11"/>
    </row>
    <row r="229" spans="1:13" ht="14.25" customHeight="1">
      <c r="A229" s="148"/>
      <c r="B229" s="267"/>
      <c r="C229" s="118"/>
      <c r="D229" s="211"/>
      <c r="E229" s="59"/>
      <c r="F229" s="666">
        <v>225</v>
      </c>
      <c r="G229" s="267">
        <v>12.794879609875037</v>
      </c>
      <c r="H229" s="665">
        <f t="shared" si="6"/>
        <v>12.671879609875038</v>
      </c>
      <c r="I229" s="929"/>
      <c r="J229" s="218"/>
      <c r="K229" s="218"/>
      <c r="L229" s="213"/>
      <c r="M229" s="11"/>
    </row>
    <row r="230" spans="1:13" ht="14.25" customHeight="1">
      <c r="A230" s="148"/>
      <c r="B230" s="267"/>
      <c r="C230" s="118"/>
      <c r="D230" s="211"/>
      <c r="E230" s="59"/>
      <c r="F230" s="664">
        <v>226</v>
      </c>
      <c r="G230" s="267">
        <v>12.246266382200549</v>
      </c>
      <c r="H230" s="665">
        <f t="shared" si="6"/>
        <v>12.12326638220055</v>
      </c>
      <c r="I230" s="924" t="s">
        <v>333</v>
      </c>
      <c r="J230" s="218"/>
      <c r="K230" s="218"/>
      <c r="L230" s="213"/>
      <c r="M230" s="11"/>
    </row>
    <row r="231" spans="1:13" ht="14.25" customHeight="1">
      <c r="A231" s="148"/>
      <c r="B231" s="267"/>
      <c r="C231" s="118"/>
      <c r="D231" s="211"/>
      <c r="E231" s="59"/>
      <c r="F231" s="666">
        <v>227</v>
      </c>
      <c r="G231" s="267">
        <v>12.538860103626943</v>
      </c>
      <c r="H231" s="665">
        <f t="shared" si="6"/>
        <v>12.415860103626944</v>
      </c>
      <c r="I231" s="925"/>
      <c r="J231" s="218"/>
      <c r="K231" s="218"/>
      <c r="L231" s="213"/>
      <c r="M231" s="11"/>
    </row>
    <row r="232" spans="1:13" ht="14.25" customHeight="1">
      <c r="A232" s="148"/>
      <c r="B232" s="267"/>
      <c r="C232" s="118"/>
      <c r="D232" s="211"/>
      <c r="E232" s="59"/>
      <c r="F232" s="664">
        <v>228</v>
      </c>
      <c r="G232" s="267">
        <v>12.075586711368484</v>
      </c>
      <c r="H232" s="665">
        <f t="shared" si="6"/>
        <v>11.952586711368484</v>
      </c>
      <c r="I232" s="925"/>
      <c r="J232" s="218"/>
      <c r="K232" s="218"/>
      <c r="L232" s="213"/>
      <c r="M232" s="11"/>
    </row>
    <row r="233" spans="1:13" ht="14.25" customHeight="1">
      <c r="A233" s="148"/>
      <c r="B233" s="267"/>
      <c r="C233" s="118"/>
      <c r="D233" s="211"/>
      <c r="E233" s="59"/>
      <c r="F233" s="666">
        <v>229</v>
      </c>
      <c r="G233" s="267">
        <v>12.669917708015848</v>
      </c>
      <c r="H233" s="665">
        <f t="shared" si="6"/>
        <v>12.546917708015849</v>
      </c>
      <c r="I233" s="925"/>
      <c r="J233" s="218"/>
      <c r="K233" s="218"/>
      <c r="L233" s="213"/>
      <c r="M233" s="11"/>
    </row>
    <row r="234" spans="1:13" s="3" customFormat="1" ht="14.25" customHeight="1">
      <c r="A234" s="148"/>
      <c r="B234" s="267"/>
      <c r="C234" s="118"/>
      <c r="D234" s="211"/>
      <c r="E234" s="13"/>
      <c r="F234" s="664">
        <v>230</v>
      </c>
      <c r="G234" s="267">
        <v>12.621152087778114</v>
      </c>
      <c r="H234" s="665">
        <f t="shared" si="6"/>
        <v>12.498152087778115</v>
      </c>
      <c r="I234" s="925"/>
      <c r="J234" s="218"/>
      <c r="K234" s="218"/>
      <c r="L234" s="210"/>
      <c r="M234" s="6"/>
    </row>
    <row r="235" spans="1:13" ht="14.25" customHeight="1">
      <c r="A235" s="148"/>
      <c r="B235" s="267"/>
      <c r="C235" s="118"/>
      <c r="D235" s="211"/>
      <c r="E235" s="59"/>
      <c r="F235" s="666">
        <v>231</v>
      </c>
      <c r="G235" s="267">
        <v>12.29807985370314</v>
      </c>
      <c r="H235" s="665">
        <f t="shared" si="6"/>
        <v>12.17507985370314</v>
      </c>
      <c r="I235" s="925"/>
      <c r="J235" s="218"/>
      <c r="K235" s="218"/>
      <c r="L235" s="213"/>
      <c r="M235" s="11"/>
    </row>
    <row r="236" spans="1:13" ht="14.25" customHeight="1">
      <c r="A236" s="148"/>
      <c r="B236" s="267"/>
      <c r="C236" s="118"/>
      <c r="D236" s="211"/>
      <c r="E236" s="59"/>
      <c r="F236" s="664">
        <v>232</v>
      </c>
      <c r="G236" s="267">
        <v>12.66686985675099</v>
      </c>
      <c r="H236" s="665">
        <f t="shared" si="6"/>
        <v>12.543869856750991</v>
      </c>
      <c r="I236" s="925"/>
      <c r="J236" s="218"/>
      <c r="K236" s="218"/>
      <c r="L236" s="213"/>
      <c r="M236" s="11"/>
    </row>
    <row r="237" spans="1:13" ht="14.25" customHeight="1">
      <c r="A237" s="148"/>
      <c r="B237" s="267"/>
      <c r="C237" s="118"/>
      <c r="D237" s="211"/>
      <c r="E237" s="59"/>
      <c r="F237" s="666">
        <v>233</v>
      </c>
      <c r="G237" s="267">
        <v>12.56019506248095</v>
      </c>
      <c r="H237" s="665">
        <f t="shared" si="6"/>
        <v>12.437195062480951</v>
      </c>
      <c r="I237" s="925"/>
      <c r="J237" s="218"/>
      <c r="K237" s="218"/>
      <c r="L237" s="213"/>
      <c r="M237" s="11"/>
    </row>
    <row r="238" spans="1:13" ht="14.25" customHeight="1">
      <c r="A238" s="148"/>
      <c r="B238" s="267"/>
      <c r="C238" s="118"/>
      <c r="D238" s="211"/>
      <c r="E238" s="59"/>
      <c r="F238" s="664">
        <v>234</v>
      </c>
      <c r="G238" s="267">
        <v>12.450472416946052</v>
      </c>
      <c r="H238" s="665">
        <f t="shared" si="6"/>
        <v>12.327472416946053</v>
      </c>
      <c r="I238" s="926"/>
      <c r="J238" s="218"/>
      <c r="K238" s="218"/>
      <c r="L238" s="213"/>
      <c r="M238" s="11"/>
    </row>
    <row r="239" spans="1:13" ht="14.25" customHeight="1">
      <c r="A239" s="148"/>
      <c r="B239" s="267"/>
      <c r="C239" s="118"/>
      <c r="D239" s="211"/>
      <c r="E239" s="59"/>
      <c r="F239" s="666">
        <v>235</v>
      </c>
      <c r="G239" s="267">
        <v>12.468759524535201</v>
      </c>
      <c r="H239" s="665">
        <f t="shared" si="6"/>
        <v>12.345759524535202</v>
      </c>
      <c r="I239" s="924" t="s">
        <v>332</v>
      </c>
      <c r="J239" s="218"/>
      <c r="K239" s="218"/>
      <c r="L239" s="213"/>
      <c r="M239" s="11"/>
    </row>
    <row r="240" spans="1:13" ht="14.25" customHeight="1">
      <c r="A240" s="148"/>
      <c r="B240" s="267"/>
      <c r="C240" s="118"/>
      <c r="D240" s="211"/>
      <c r="E240" s="59"/>
      <c r="F240" s="664">
        <v>236</v>
      </c>
      <c r="G240" s="267">
        <v>12.584577872599816</v>
      </c>
      <c r="H240" s="665">
        <f t="shared" si="6"/>
        <v>12.461577872599817</v>
      </c>
      <c r="I240" s="925"/>
      <c r="J240" s="218"/>
      <c r="K240" s="218"/>
      <c r="L240" s="213"/>
      <c r="M240" s="11"/>
    </row>
    <row r="241" spans="1:13" ht="14.25" customHeight="1">
      <c r="A241" s="148"/>
      <c r="B241" s="267"/>
      <c r="C241" s="118"/>
      <c r="D241" s="211"/>
      <c r="E241" s="59"/>
      <c r="F241" s="666">
        <v>237</v>
      </c>
      <c r="G241" s="267">
        <v>11.490399268515697</v>
      </c>
      <c r="H241" s="665">
        <f t="shared" si="6"/>
        <v>11.367399268515697</v>
      </c>
      <c r="I241" s="925"/>
      <c r="J241" s="218"/>
      <c r="K241" s="218"/>
      <c r="L241" s="213"/>
      <c r="M241" s="11"/>
    </row>
    <row r="242" spans="1:13" ht="14.25" customHeight="1">
      <c r="A242" s="148"/>
      <c r="B242" s="267"/>
      <c r="C242" s="118"/>
      <c r="D242" s="211"/>
      <c r="E242" s="59"/>
      <c r="F242" s="664">
        <v>238</v>
      </c>
      <c r="G242" s="267">
        <v>12.313319110027429</v>
      </c>
      <c r="H242" s="665">
        <f t="shared" si="6"/>
        <v>12.19031911002743</v>
      </c>
      <c r="I242" s="925"/>
      <c r="J242" s="218"/>
      <c r="K242" s="218"/>
      <c r="L242" s="213"/>
      <c r="M242" s="11"/>
    </row>
    <row r="243" spans="1:13" ht="14.25" customHeight="1">
      <c r="A243" s="148"/>
      <c r="B243" s="267"/>
      <c r="C243" s="118"/>
      <c r="D243" s="211"/>
      <c r="E243" s="59"/>
      <c r="F243" s="666">
        <v>239</v>
      </c>
      <c r="G243" s="267">
        <v>12.813166717464187</v>
      </c>
      <c r="H243" s="665">
        <f t="shared" si="6"/>
        <v>12.690166717464187</v>
      </c>
      <c r="I243" s="925"/>
      <c r="J243" s="218"/>
      <c r="K243" s="218"/>
      <c r="L243" s="213"/>
      <c r="M243" s="11"/>
    </row>
    <row r="244" spans="1:13" s="3" customFormat="1" ht="14.25" customHeight="1">
      <c r="A244" s="148"/>
      <c r="B244" s="267"/>
      <c r="C244" s="118"/>
      <c r="D244" s="211"/>
      <c r="E244" s="13"/>
      <c r="F244" s="664">
        <v>240</v>
      </c>
      <c r="G244" s="267">
        <v>12.544955806156658</v>
      </c>
      <c r="H244" s="665">
        <f t="shared" si="6"/>
        <v>12.421955806156658</v>
      </c>
      <c r="I244" s="925"/>
      <c r="J244" s="218"/>
      <c r="K244" s="218"/>
      <c r="L244" s="210"/>
      <c r="M244" s="6"/>
    </row>
    <row r="245" spans="1:13" ht="14.25" customHeight="1">
      <c r="A245" s="148"/>
      <c r="B245" s="267"/>
      <c r="C245" s="118"/>
      <c r="D245" s="940"/>
      <c r="E245" s="59"/>
      <c r="F245" s="666">
        <v>241</v>
      </c>
      <c r="G245" s="267">
        <v>11.600121914050595</v>
      </c>
      <c r="H245" s="665">
        <f t="shared" si="6"/>
        <v>11.477121914050596</v>
      </c>
      <c r="I245" s="925"/>
      <c r="J245" s="218"/>
      <c r="K245" s="218"/>
      <c r="L245" s="213"/>
      <c r="M245" s="11"/>
    </row>
    <row r="246" spans="1:13" ht="14.25" customHeight="1">
      <c r="A246" s="148"/>
      <c r="B246" s="267"/>
      <c r="C246" s="118"/>
      <c r="D246" s="940"/>
      <c r="E246" s="59"/>
      <c r="F246" s="664">
        <v>242</v>
      </c>
      <c r="G246" s="267">
        <v>12.407802499238038</v>
      </c>
      <c r="H246" s="665">
        <f t="shared" si="6"/>
        <v>12.284802499238038</v>
      </c>
      <c r="I246" s="925"/>
      <c r="J246" s="218"/>
      <c r="K246" s="218"/>
      <c r="L246" s="213"/>
      <c r="M246" s="11"/>
    </row>
    <row r="247" spans="1:13" ht="14.25" customHeight="1">
      <c r="A247" s="148"/>
      <c r="B247" s="267"/>
      <c r="C247" s="118"/>
      <c r="D247" s="940"/>
      <c r="E247" s="59"/>
      <c r="F247" s="666">
        <v>243</v>
      </c>
      <c r="G247" s="267">
        <v>12.660774154221274</v>
      </c>
      <c r="H247" s="665">
        <f t="shared" si="6"/>
        <v>12.537774154221275</v>
      </c>
      <c r="I247" s="926"/>
      <c r="J247" s="218"/>
      <c r="K247" s="218"/>
      <c r="L247" s="213"/>
      <c r="M247" s="11"/>
    </row>
    <row r="248" spans="1:13" ht="14.25" customHeight="1">
      <c r="A248" s="148"/>
      <c r="B248" s="267"/>
      <c r="C248" s="118"/>
      <c r="D248" s="940"/>
      <c r="E248" s="59"/>
      <c r="F248" s="664">
        <v>244</v>
      </c>
      <c r="G248" s="267">
        <v>12.691252666869856</v>
      </c>
      <c r="H248" s="665">
        <f t="shared" si="6"/>
        <v>12.568252666869856</v>
      </c>
      <c r="I248" s="924" t="s">
        <v>331</v>
      </c>
      <c r="J248" s="218"/>
      <c r="K248" s="218"/>
      <c r="L248" s="213"/>
      <c r="M248" s="11"/>
    </row>
    <row r="249" spans="1:13" ht="14.25" customHeight="1">
      <c r="A249" s="148"/>
      <c r="B249" s="267"/>
      <c r="C249" s="118"/>
      <c r="D249" s="940"/>
      <c r="E249" s="59"/>
      <c r="F249" s="666">
        <v>245</v>
      </c>
      <c r="G249" s="267">
        <v>12.499238037183785</v>
      </c>
      <c r="H249" s="665">
        <f t="shared" si="6"/>
        <v>12.376238037183786</v>
      </c>
      <c r="I249" s="925"/>
      <c r="J249" s="218"/>
      <c r="K249" s="218"/>
      <c r="L249" s="213"/>
      <c r="M249" s="11"/>
    </row>
    <row r="250" spans="1:13" ht="14.25" customHeight="1">
      <c r="A250" s="148"/>
      <c r="B250" s="267"/>
      <c r="C250" s="118"/>
      <c r="D250" s="940"/>
      <c r="E250" s="59"/>
      <c r="F250" s="664">
        <v>246</v>
      </c>
      <c r="G250" s="267">
        <v>12.651630600426698</v>
      </c>
      <c r="H250" s="665">
        <f t="shared" si="6"/>
        <v>12.528630600426698</v>
      </c>
      <c r="I250" s="925"/>
      <c r="J250" s="218"/>
      <c r="K250" s="218"/>
      <c r="L250" s="213"/>
      <c r="M250" s="11"/>
    </row>
    <row r="251" spans="1:13" ht="14.25" customHeight="1">
      <c r="A251" s="148"/>
      <c r="B251" s="267"/>
      <c r="C251" s="118"/>
      <c r="D251" s="940"/>
      <c r="E251" s="59"/>
      <c r="F251" s="666">
        <v>247</v>
      </c>
      <c r="G251" s="267">
        <v>12.618104236513258</v>
      </c>
      <c r="H251" s="665">
        <f t="shared" si="6"/>
        <v>12.495104236513258</v>
      </c>
      <c r="I251" s="925"/>
      <c r="J251" s="218"/>
      <c r="K251" s="218"/>
      <c r="L251" s="213"/>
      <c r="M251" s="11"/>
    </row>
    <row r="252" spans="1:13" ht="14.25" customHeight="1">
      <c r="A252" s="148"/>
      <c r="B252" s="267"/>
      <c r="C252" s="118"/>
      <c r="D252" s="940"/>
      <c r="E252" s="59"/>
      <c r="F252" s="664">
        <v>248</v>
      </c>
      <c r="G252" s="267">
        <v>12.605912831453825</v>
      </c>
      <c r="H252" s="665">
        <f t="shared" si="6"/>
        <v>12.482912831453826</v>
      </c>
      <c r="I252" s="925"/>
      <c r="J252" s="218"/>
      <c r="K252" s="218"/>
      <c r="L252" s="213"/>
      <c r="M252" s="11"/>
    </row>
    <row r="253" spans="1:13" ht="14.25" customHeight="1">
      <c r="A253" s="148"/>
      <c r="B253" s="267"/>
      <c r="C253" s="118"/>
      <c r="D253" s="940"/>
      <c r="E253" s="59"/>
      <c r="F253" s="666">
        <v>249</v>
      </c>
      <c r="G253" s="267">
        <v>12.718683328253579</v>
      </c>
      <c r="H253" s="665">
        <f t="shared" si="6"/>
        <v>12.59568332825358</v>
      </c>
      <c r="I253" s="925"/>
      <c r="J253" s="218"/>
      <c r="K253" s="218"/>
      <c r="L253" s="213"/>
      <c r="M253" s="11"/>
    </row>
    <row r="254" spans="1:13" s="3" customFormat="1" ht="14.25" customHeight="1">
      <c r="A254" s="148"/>
      <c r="B254" s="267"/>
      <c r="C254" s="118"/>
      <c r="D254" s="940"/>
      <c r="E254" s="13"/>
      <c r="F254" s="664">
        <v>250</v>
      </c>
      <c r="G254" s="267">
        <v>12.587625723864674</v>
      </c>
      <c r="H254" s="665">
        <f t="shared" si="6"/>
        <v>12.464625723864675</v>
      </c>
      <c r="I254" s="925"/>
      <c r="J254" s="218"/>
      <c r="K254" s="218"/>
      <c r="L254" s="210"/>
      <c r="M254" s="6"/>
    </row>
    <row r="255" spans="1:13" ht="14.25" customHeight="1">
      <c r="A255" s="148"/>
      <c r="B255" s="267"/>
      <c r="C255" s="118"/>
      <c r="D255" s="940"/>
      <c r="E255" s="59"/>
      <c r="F255" s="666">
        <v>251</v>
      </c>
      <c r="G255" s="267">
        <v>12.648582749161841</v>
      </c>
      <c r="H255" s="665">
        <f t="shared" si="6"/>
        <v>12.525582749161842</v>
      </c>
      <c r="I255" s="925"/>
      <c r="J255" s="218"/>
      <c r="K255" s="218"/>
      <c r="L255" s="213"/>
      <c r="M255" s="11"/>
    </row>
    <row r="256" spans="1:13" ht="14.25" customHeight="1">
      <c r="A256" s="148"/>
      <c r="B256" s="267"/>
      <c r="C256" s="118"/>
      <c r="D256" s="940"/>
      <c r="E256" s="59"/>
      <c r="F256" s="664">
        <v>252</v>
      </c>
      <c r="G256" s="267">
        <v>12.328558366351722</v>
      </c>
      <c r="H256" s="665">
        <f t="shared" si="6"/>
        <v>12.205558366351722</v>
      </c>
      <c r="I256" s="926"/>
      <c r="J256" s="218"/>
      <c r="K256" s="218"/>
      <c r="L256" s="213"/>
      <c r="M256" s="11"/>
    </row>
    <row r="257" spans="1:13" ht="14.25" customHeight="1">
      <c r="A257" s="148"/>
      <c r="B257" s="267"/>
      <c r="C257" s="118"/>
      <c r="D257" s="940"/>
      <c r="E257" s="59"/>
      <c r="F257" s="666">
        <v>253</v>
      </c>
      <c r="G257" s="267">
        <v>12.718683328253579</v>
      </c>
      <c r="H257" s="665">
        <f t="shared" si="6"/>
        <v>12.59568332825358</v>
      </c>
      <c r="I257" s="924" t="s">
        <v>330</v>
      </c>
      <c r="J257" s="218"/>
      <c r="K257" s="218"/>
      <c r="L257" s="213"/>
      <c r="M257" s="11"/>
    </row>
    <row r="258" spans="1:13" ht="14.25" customHeight="1">
      <c r="A258" s="148"/>
      <c r="B258" s="267"/>
      <c r="C258" s="118"/>
      <c r="D258" s="940"/>
      <c r="E258" s="59"/>
      <c r="F258" s="664">
        <v>254</v>
      </c>
      <c r="G258" s="267">
        <v>11.633648277964035</v>
      </c>
      <c r="H258" s="665">
        <f t="shared" si="6"/>
        <v>11.510648277964036</v>
      </c>
      <c r="I258" s="925"/>
      <c r="J258" s="218"/>
      <c r="K258" s="218"/>
      <c r="L258" s="213"/>
      <c r="M258" s="11"/>
    </row>
    <row r="259" spans="1:13" ht="14.25" customHeight="1">
      <c r="A259" s="148"/>
      <c r="B259" s="267"/>
      <c r="C259" s="118"/>
      <c r="D259" s="940"/>
      <c r="E259" s="59"/>
      <c r="F259" s="666">
        <v>255</v>
      </c>
      <c r="G259" s="267">
        <v>12.450472416946052</v>
      </c>
      <c r="H259" s="665">
        <f t="shared" si="6"/>
        <v>12.327472416946053</v>
      </c>
      <c r="I259" s="925"/>
      <c r="J259" s="218"/>
      <c r="K259" s="218"/>
      <c r="L259" s="213"/>
      <c r="M259" s="11"/>
    </row>
    <row r="260" spans="1:13" ht="14.25" customHeight="1">
      <c r="A260" s="148"/>
      <c r="B260" s="267"/>
      <c r="C260" s="118"/>
      <c r="D260" s="940"/>
      <c r="E260" s="59"/>
      <c r="F260" s="664">
        <v>256</v>
      </c>
      <c r="G260" s="267">
        <v>12.605912831453825</v>
      </c>
      <c r="H260" s="665">
        <f t="shared" si="6"/>
        <v>12.482912831453826</v>
      </c>
      <c r="I260" s="925"/>
      <c r="J260" s="218"/>
      <c r="K260" s="218"/>
      <c r="L260" s="213"/>
      <c r="M260" s="11"/>
    </row>
    <row r="261" spans="1:13" ht="14.25" customHeight="1">
      <c r="A261" s="148"/>
      <c r="B261" s="267"/>
      <c r="C261" s="118"/>
      <c r="D261" s="940"/>
      <c r="E261" s="59"/>
      <c r="F261" s="666">
        <v>257</v>
      </c>
      <c r="G261" s="267">
        <v>12.602864980188967</v>
      </c>
      <c r="H261" s="665">
        <f t="shared" si="6"/>
        <v>12.479864980188967</v>
      </c>
      <c r="I261" s="925"/>
      <c r="J261" s="218"/>
      <c r="K261" s="218"/>
      <c r="L261" s="213"/>
      <c r="M261" s="11"/>
    </row>
    <row r="262" spans="1:13" ht="14.25" customHeight="1">
      <c r="A262" s="148"/>
      <c r="B262" s="267"/>
      <c r="C262" s="118"/>
      <c r="D262" s="940"/>
      <c r="E262" s="59"/>
      <c r="F262" s="664">
        <v>258</v>
      </c>
      <c r="G262" s="267">
        <v>12.444376714416336</v>
      </c>
      <c r="H262" s="665">
        <f t="shared" ref="H262:H273" si="7">G262-$O$13</f>
        <v>12.321376714416337</v>
      </c>
      <c r="I262" s="925"/>
      <c r="J262" s="218"/>
      <c r="K262" s="218"/>
      <c r="L262" s="213"/>
      <c r="M262" s="11"/>
    </row>
    <row r="263" spans="1:13" ht="14.25" customHeight="1">
      <c r="A263" s="148"/>
      <c r="B263" s="267"/>
      <c r="C263" s="118"/>
      <c r="D263" s="940"/>
      <c r="E263" s="59"/>
      <c r="F263" s="666">
        <v>259</v>
      </c>
      <c r="G263" s="267">
        <v>12.383419689119171</v>
      </c>
      <c r="H263" s="665">
        <f t="shared" si="7"/>
        <v>12.260419689119171</v>
      </c>
      <c r="I263" s="925"/>
      <c r="J263" s="218"/>
      <c r="K263" s="218"/>
      <c r="L263" s="213"/>
      <c r="M263" s="11"/>
    </row>
    <row r="264" spans="1:13" s="3" customFormat="1" ht="14.25" customHeight="1">
      <c r="A264" s="148"/>
      <c r="B264" s="267"/>
      <c r="C264" s="118"/>
      <c r="D264" s="940"/>
      <c r="E264" s="59"/>
      <c r="F264" s="664">
        <v>260</v>
      </c>
      <c r="G264" s="267">
        <v>12.301127704967996</v>
      </c>
      <c r="H264" s="665">
        <f t="shared" si="7"/>
        <v>12.178127704967997</v>
      </c>
      <c r="I264" s="925"/>
      <c r="J264" s="218"/>
      <c r="K264" s="218"/>
      <c r="L264" s="210"/>
      <c r="M264" s="6"/>
    </row>
    <row r="265" spans="1:13" ht="14.25" customHeight="1">
      <c r="A265" s="148"/>
      <c r="B265" s="267"/>
      <c r="C265" s="118"/>
      <c r="D265" s="940"/>
      <c r="E265" s="59"/>
      <c r="F265" s="666">
        <v>261</v>
      </c>
      <c r="G265" s="267">
        <v>11.304480341359342</v>
      </c>
      <c r="H265" s="665">
        <f t="shared" si="7"/>
        <v>11.181480341359343</v>
      </c>
      <c r="I265" s="926"/>
      <c r="J265" s="218"/>
      <c r="K265" s="218"/>
      <c r="L265" s="213"/>
      <c r="M265" s="11"/>
    </row>
    <row r="266" spans="1:13" ht="14.25" customHeight="1">
      <c r="A266" s="148"/>
      <c r="B266" s="267"/>
      <c r="C266" s="118"/>
      <c r="D266" s="940"/>
      <c r="E266" s="59"/>
      <c r="F266" s="664">
        <v>262</v>
      </c>
      <c r="G266" s="267">
        <v>12.935080768058517</v>
      </c>
      <c r="H266" s="665">
        <f t="shared" si="7"/>
        <v>12.812080768058518</v>
      </c>
      <c r="I266" s="924" t="s">
        <v>329</v>
      </c>
      <c r="J266" s="218"/>
      <c r="K266" s="218"/>
      <c r="L266" s="213"/>
      <c r="M266" s="11"/>
    </row>
    <row r="267" spans="1:13" ht="14.25" customHeight="1">
      <c r="A267" s="148"/>
      <c r="B267" s="267"/>
      <c r="C267" s="118"/>
      <c r="D267" s="940"/>
      <c r="E267" s="59"/>
      <c r="F267" s="666">
        <v>263</v>
      </c>
      <c r="G267" s="267">
        <v>12.538860103626943</v>
      </c>
      <c r="H267" s="665">
        <f t="shared" si="7"/>
        <v>12.415860103626944</v>
      </c>
      <c r="I267" s="925"/>
      <c r="J267" s="218"/>
      <c r="K267" s="218"/>
      <c r="L267" s="213"/>
      <c r="M267" s="11"/>
    </row>
    <row r="268" spans="1:13" ht="14.25" customHeight="1">
      <c r="A268" s="148"/>
      <c r="B268" s="267"/>
      <c r="C268" s="118"/>
      <c r="D268" s="940"/>
      <c r="E268" s="59"/>
      <c r="F268" s="664">
        <v>264</v>
      </c>
      <c r="G268" s="267">
        <v>12.499238037183785</v>
      </c>
      <c r="H268" s="665">
        <f t="shared" si="7"/>
        <v>12.376238037183786</v>
      </c>
      <c r="I268" s="925"/>
      <c r="J268" s="218"/>
      <c r="K268" s="218"/>
      <c r="L268" s="213"/>
      <c r="M268" s="11"/>
    </row>
    <row r="269" spans="1:13" ht="14.25" customHeight="1">
      <c r="A269" s="148"/>
      <c r="B269" s="267"/>
      <c r="C269" s="118"/>
      <c r="D269" s="940"/>
      <c r="E269" s="59"/>
      <c r="F269" s="666">
        <v>265</v>
      </c>
      <c r="G269" s="267">
        <v>12.548003657421518</v>
      </c>
      <c r="H269" s="665">
        <f t="shared" si="7"/>
        <v>12.425003657421518</v>
      </c>
      <c r="I269" s="925"/>
      <c r="J269" s="218"/>
      <c r="K269" s="218"/>
      <c r="L269" s="213"/>
      <c r="M269" s="11"/>
    </row>
    <row r="270" spans="1:13" ht="14.25" customHeight="1">
      <c r="A270" s="148"/>
      <c r="B270" s="267"/>
      <c r="C270" s="118"/>
      <c r="D270" s="940"/>
      <c r="E270" s="59"/>
      <c r="F270" s="664">
        <v>266</v>
      </c>
      <c r="G270" s="267">
        <v>12.502285888448645</v>
      </c>
      <c r="H270" s="665">
        <f t="shared" si="7"/>
        <v>12.379285888448646</v>
      </c>
      <c r="I270" s="925"/>
      <c r="J270" s="218"/>
      <c r="K270" s="218"/>
      <c r="L270" s="213"/>
      <c r="M270" s="11"/>
    </row>
    <row r="271" spans="1:13" ht="14.25" customHeight="1">
      <c r="A271" s="148"/>
      <c r="B271" s="267"/>
      <c r="C271" s="118"/>
      <c r="D271" s="940"/>
      <c r="E271" s="59"/>
      <c r="F271" s="666">
        <v>267</v>
      </c>
      <c r="G271" s="267">
        <v>12.493142334654069</v>
      </c>
      <c r="H271" s="665">
        <f t="shared" si="7"/>
        <v>12.370142334654069</v>
      </c>
      <c r="I271" s="925"/>
      <c r="J271" s="218"/>
      <c r="K271" s="218"/>
      <c r="L271" s="213"/>
      <c r="M271" s="11"/>
    </row>
    <row r="272" spans="1:13" ht="14.25" customHeight="1">
      <c r="A272" s="148"/>
      <c r="B272" s="267"/>
      <c r="C272" s="118"/>
      <c r="D272" s="940"/>
      <c r="E272" s="59"/>
      <c r="F272" s="854">
        <v>268</v>
      </c>
      <c r="G272" s="744">
        <v>12.63334349283755</v>
      </c>
      <c r="H272" s="855">
        <f t="shared" si="7"/>
        <v>12.510343492837551</v>
      </c>
      <c r="I272" s="925"/>
      <c r="J272" s="218"/>
      <c r="K272" s="218"/>
      <c r="L272" s="213"/>
      <c r="M272" s="11"/>
    </row>
    <row r="273" spans="1:13" ht="14.25" customHeight="1">
      <c r="A273" s="148"/>
      <c r="B273" s="267"/>
      <c r="C273" s="118"/>
      <c r="D273" s="940"/>
      <c r="E273" s="59"/>
      <c r="F273" s="743">
        <v>269</v>
      </c>
      <c r="G273" s="744">
        <v>12.197500761962816</v>
      </c>
      <c r="H273" s="855">
        <f t="shared" si="7"/>
        <v>12.074500761962817</v>
      </c>
      <c r="I273" s="925"/>
      <c r="J273" s="218"/>
      <c r="K273" s="218"/>
      <c r="L273" s="213"/>
      <c r="M273" s="11"/>
    </row>
    <row r="274" spans="1:13" s="3" customFormat="1" ht="14.25" customHeight="1">
      <c r="A274" s="148"/>
      <c r="B274" s="267"/>
      <c r="C274" s="118"/>
      <c r="D274" s="940"/>
      <c r="E274" s="13"/>
      <c r="F274" s="854">
        <v>270</v>
      </c>
      <c r="G274" s="744">
        <v>12.1914050594331</v>
      </c>
      <c r="H274" s="855">
        <f>G274-$O$13</f>
        <v>12.0684050594331</v>
      </c>
      <c r="I274" s="926"/>
      <c r="J274" s="218"/>
      <c r="K274" s="218"/>
      <c r="L274" s="210"/>
      <c r="M274" s="6"/>
    </row>
    <row r="275" spans="1:13" ht="14.25" customHeight="1">
      <c r="A275" s="116"/>
      <c r="B275" s="117"/>
      <c r="C275" s="118"/>
      <c r="D275" s="940"/>
      <c r="E275" s="59"/>
      <c r="F275" s="275"/>
      <c r="G275" s="275"/>
      <c r="H275" s="276"/>
      <c r="I275" s="274"/>
      <c r="J275" s="218"/>
      <c r="K275" s="218"/>
      <c r="L275" s="213"/>
      <c r="M275" s="11"/>
    </row>
    <row r="276" spans="1:13" ht="14.25" customHeight="1">
      <c r="A276" s="116"/>
      <c r="B276" s="117"/>
      <c r="C276" s="118"/>
      <c r="D276" s="940"/>
      <c r="E276" s="59"/>
      <c r="F276" s="275"/>
      <c r="G276" s="275"/>
      <c r="H276" s="276"/>
      <c r="I276" s="274"/>
      <c r="J276" s="218"/>
      <c r="K276" s="218"/>
      <c r="L276" s="213"/>
      <c r="M276" s="11"/>
    </row>
    <row r="277" spans="1:13" ht="14.25" customHeight="1">
      <c r="A277" s="116"/>
      <c r="B277" s="117"/>
      <c r="C277" s="118"/>
      <c r="D277" s="940"/>
      <c r="E277" s="59"/>
      <c r="F277" s="275"/>
      <c r="G277" s="275"/>
      <c r="H277" s="276"/>
      <c r="I277" s="274"/>
      <c r="J277" s="218"/>
      <c r="K277" s="218"/>
      <c r="L277" s="213"/>
      <c r="M277" s="11"/>
    </row>
    <row r="278" spans="1:13" ht="14.25" customHeight="1">
      <c r="A278" s="116"/>
      <c r="B278" s="117"/>
      <c r="C278" s="118"/>
      <c r="D278" s="940"/>
      <c r="E278" s="59"/>
      <c r="F278" s="277"/>
      <c r="G278" s="277"/>
      <c r="H278" s="276"/>
      <c r="I278" s="274"/>
      <c r="J278" s="218"/>
      <c r="K278" s="218"/>
      <c r="L278" s="213"/>
      <c r="M278" s="11"/>
    </row>
    <row r="279" spans="1:13" ht="14.25" customHeight="1">
      <c r="A279" s="116"/>
      <c r="B279" s="117"/>
      <c r="C279" s="118"/>
      <c r="D279" s="940"/>
      <c r="E279" s="59"/>
      <c r="F279" s="275"/>
      <c r="G279" s="275"/>
      <c r="H279" s="276"/>
      <c r="I279" s="274"/>
      <c r="J279" s="218"/>
      <c r="K279" s="218"/>
      <c r="L279" s="213"/>
      <c r="M279" s="11"/>
    </row>
    <row r="280" spans="1:13" ht="14.25" customHeight="1">
      <c r="A280" s="116"/>
      <c r="B280" s="117"/>
      <c r="C280" s="118"/>
      <c r="D280" s="940"/>
      <c r="E280" s="59"/>
      <c r="F280" s="275"/>
      <c r="G280" s="275"/>
      <c r="H280" s="276"/>
      <c r="I280" s="274"/>
      <c r="J280" s="218"/>
      <c r="K280" s="218"/>
      <c r="L280" s="213"/>
      <c r="M280" s="11"/>
    </row>
    <row r="281" spans="1:13" ht="14.25" customHeight="1">
      <c r="A281" s="116"/>
      <c r="B281" s="117"/>
      <c r="C281" s="118"/>
      <c r="D281" s="940"/>
      <c r="E281" s="59"/>
      <c r="F281" s="275"/>
      <c r="G281" s="275"/>
      <c r="H281" s="276"/>
      <c r="I281" s="274"/>
      <c r="J281" s="218"/>
      <c r="K281" s="218"/>
      <c r="L281" s="213"/>
      <c r="M281" s="11"/>
    </row>
    <row r="282" spans="1:13" ht="14.25" customHeight="1">
      <c r="A282" s="116"/>
      <c r="B282" s="117"/>
      <c r="C282" s="118"/>
      <c r="D282" s="940"/>
      <c r="E282" s="59"/>
      <c r="F282" s="275"/>
      <c r="G282" s="275"/>
      <c r="H282" s="276"/>
      <c r="I282" s="274"/>
      <c r="J282" s="218"/>
      <c r="K282" s="218"/>
      <c r="L282" s="213"/>
      <c r="M282" s="11"/>
    </row>
    <row r="283" spans="1:13" ht="14.25" customHeight="1">
      <c r="A283" s="116"/>
      <c r="B283" s="117"/>
      <c r="C283" s="118"/>
      <c r="D283" s="940"/>
      <c r="E283" s="59"/>
      <c r="F283" s="275"/>
      <c r="G283" s="275"/>
      <c r="H283" s="276"/>
      <c r="I283" s="274"/>
      <c r="J283" s="218"/>
      <c r="K283" s="218"/>
      <c r="L283" s="213"/>
      <c r="M283" s="11"/>
    </row>
    <row r="284" spans="1:13" s="3" customFormat="1" ht="14.25" customHeight="1">
      <c r="A284" s="116"/>
      <c r="B284" s="117"/>
      <c r="C284" s="118"/>
      <c r="D284" s="940"/>
      <c r="E284" s="13"/>
      <c r="F284" s="278"/>
      <c r="G284" s="278"/>
      <c r="H284" s="276"/>
      <c r="I284" s="274"/>
      <c r="J284" s="218"/>
      <c r="K284" s="218"/>
      <c r="L284" s="210"/>
      <c r="M284" s="6"/>
    </row>
    <row r="285" spans="1:13" ht="14.25" customHeight="1">
      <c r="A285" s="116"/>
      <c r="B285" s="117"/>
      <c r="C285" s="118"/>
      <c r="D285" s="940"/>
      <c r="E285" s="59"/>
      <c r="F285" s="277"/>
      <c r="G285" s="277"/>
      <c r="H285" s="276"/>
      <c r="I285" s="274"/>
      <c r="J285" s="218"/>
      <c r="K285" s="218"/>
      <c r="L285" s="213"/>
      <c r="M285" s="11"/>
    </row>
    <row r="286" spans="1:13" ht="14.25" customHeight="1">
      <c r="A286" s="116"/>
      <c r="B286" s="117"/>
      <c r="C286" s="118"/>
      <c r="D286" s="940"/>
      <c r="E286" s="59"/>
      <c r="F286" s="275"/>
      <c r="G286" s="275"/>
      <c r="H286" s="276"/>
      <c r="I286" s="274"/>
      <c r="J286" s="218"/>
      <c r="K286" s="218"/>
      <c r="L286" s="213"/>
      <c r="M286" s="11"/>
    </row>
    <row r="287" spans="1:13" ht="14.25" customHeight="1">
      <c r="A287" s="116"/>
      <c r="B287" s="117"/>
      <c r="C287" s="118"/>
      <c r="D287" s="940"/>
      <c r="E287" s="59"/>
      <c r="F287" s="275"/>
      <c r="G287" s="275"/>
      <c r="H287" s="276"/>
      <c r="I287" s="274"/>
      <c r="J287" s="218"/>
      <c r="K287" s="218"/>
      <c r="L287" s="213"/>
      <c r="M287" s="11"/>
    </row>
    <row r="288" spans="1:13" ht="14.25" customHeight="1">
      <c r="A288" s="116"/>
      <c r="B288" s="117"/>
      <c r="C288" s="118"/>
      <c r="D288" s="940"/>
      <c r="E288" s="59"/>
      <c r="F288" s="275"/>
      <c r="G288" s="275"/>
      <c r="H288" s="276"/>
      <c r="I288" s="274"/>
      <c r="J288" s="218"/>
      <c r="K288" s="218"/>
      <c r="L288" s="213"/>
      <c r="M288" s="11"/>
    </row>
    <row r="289" spans="1:15" ht="14.25" customHeight="1">
      <c r="A289" s="116"/>
      <c r="B289" s="117"/>
      <c r="C289" s="118"/>
      <c r="D289" s="940"/>
      <c r="E289" s="59"/>
      <c r="F289" s="275"/>
      <c r="G289" s="275"/>
      <c r="H289" s="276"/>
      <c r="I289" s="274"/>
      <c r="J289" s="218"/>
      <c r="K289" s="218"/>
      <c r="L289" s="213"/>
      <c r="M289" s="11"/>
    </row>
    <row r="290" spans="1:15" ht="14.25" customHeight="1">
      <c r="A290" s="116"/>
      <c r="B290" s="117"/>
      <c r="C290" s="118"/>
      <c r="D290" s="940"/>
      <c r="E290" s="59"/>
      <c r="F290" s="275"/>
      <c r="G290" s="275"/>
      <c r="H290" s="276"/>
      <c r="I290" s="274"/>
      <c r="J290" s="218"/>
      <c r="K290" s="218"/>
      <c r="L290" s="213"/>
      <c r="M290" s="11"/>
    </row>
    <row r="291" spans="1:15" ht="14.25" customHeight="1">
      <c r="A291" s="116"/>
      <c r="B291" s="117"/>
      <c r="C291" s="118"/>
      <c r="D291" s="940"/>
      <c r="E291" s="59"/>
      <c r="F291" s="275"/>
      <c r="G291" s="275"/>
      <c r="H291" s="276"/>
      <c r="I291" s="274"/>
      <c r="J291" s="218"/>
      <c r="K291" s="218"/>
      <c r="L291" s="213"/>
      <c r="M291" s="11"/>
    </row>
    <row r="292" spans="1:15" ht="14.25" customHeight="1">
      <c r="A292" s="116"/>
      <c r="B292" s="117"/>
      <c r="C292" s="118"/>
      <c r="D292" s="940"/>
      <c r="E292" s="59"/>
      <c r="F292" s="277"/>
      <c r="G292" s="277"/>
      <c r="H292" s="276"/>
      <c r="I292" s="274"/>
      <c r="J292" s="218"/>
      <c r="K292" s="218"/>
      <c r="L292" s="213"/>
      <c r="M292" s="11"/>
    </row>
    <row r="293" spans="1:15" ht="14.25" customHeight="1">
      <c r="A293" s="116"/>
      <c r="B293" s="117"/>
      <c r="C293" s="118"/>
      <c r="D293" s="940"/>
      <c r="E293" s="59"/>
      <c r="F293" s="275"/>
      <c r="G293" s="275"/>
      <c r="H293" s="276"/>
      <c r="I293" s="274"/>
      <c r="J293" s="218"/>
      <c r="K293" s="218"/>
      <c r="L293" s="213"/>
      <c r="M293" s="14"/>
    </row>
    <row r="294" spans="1:15" s="3" customFormat="1" ht="14.25" customHeight="1">
      <c r="A294" s="116"/>
      <c r="B294" s="117"/>
      <c r="C294" s="118"/>
      <c r="D294" s="940"/>
      <c r="E294" s="13"/>
      <c r="F294" s="278"/>
      <c r="G294" s="278"/>
      <c r="H294" s="276"/>
      <c r="I294" s="274"/>
      <c r="J294" s="218"/>
      <c r="K294" s="218"/>
      <c r="L294" s="210"/>
      <c r="M294" s="6"/>
    </row>
    <row r="295" spans="1:15" ht="14.25" customHeight="1">
      <c r="A295" s="116"/>
      <c r="B295" s="117"/>
      <c r="C295" s="118"/>
      <c r="D295" s="940"/>
      <c r="E295" s="59"/>
      <c r="F295" s="275"/>
      <c r="G295" s="275"/>
      <c r="H295" s="276"/>
      <c r="I295" s="274"/>
      <c r="J295" s="218"/>
      <c r="K295" s="218"/>
      <c r="L295" s="213"/>
      <c r="M295" s="11"/>
    </row>
    <row r="296" spans="1:15" ht="14.25" customHeight="1">
      <c r="A296" s="116"/>
      <c r="B296" s="117"/>
      <c r="C296" s="118"/>
      <c r="D296" s="940"/>
      <c r="E296" s="59"/>
      <c r="F296" s="275"/>
      <c r="G296" s="275"/>
      <c r="H296" s="276"/>
      <c r="I296" s="274"/>
      <c r="J296" s="218"/>
      <c r="K296" s="218"/>
      <c r="L296" s="213"/>
      <c r="M296" s="11"/>
    </row>
    <row r="297" spans="1:15" ht="15" customHeight="1">
      <c r="A297" s="116"/>
      <c r="B297" s="117"/>
      <c r="C297" s="118"/>
      <c r="D297" s="940"/>
      <c r="E297" s="59"/>
      <c r="F297" s="275"/>
      <c r="G297" s="275"/>
      <c r="H297" s="276"/>
      <c r="I297" s="274"/>
      <c r="J297" s="218"/>
      <c r="K297" s="218"/>
      <c r="L297" s="213"/>
      <c r="M297" s="11"/>
    </row>
    <row r="298" spans="1:15" ht="15" customHeight="1">
      <c r="A298" s="116"/>
      <c r="B298" s="117"/>
      <c r="C298" s="118"/>
      <c r="D298" s="940"/>
      <c r="E298" s="59"/>
      <c r="F298" s="277"/>
      <c r="G298" s="275"/>
      <c r="H298" s="276"/>
      <c r="I298" s="274"/>
      <c r="J298" s="218"/>
      <c r="K298" s="218"/>
      <c r="L298" s="213"/>
      <c r="M298" s="11"/>
      <c r="O298" s="1">
        <f>294+42</f>
        <v>336</v>
      </c>
    </row>
    <row r="299" spans="1:15" ht="15" customHeight="1">
      <c r="A299" s="119"/>
      <c r="B299" s="117"/>
      <c r="C299" s="118"/>
      <c r="D299" s="940"/>
      <c r="E299" s="59"/>
      <c r="F299" s="277"/>
      <c r="G299" s="277"/>
      <c r="H299" s="276"/>
      <c r="I299" s="274"/>
      <c r="J299" s="218"/>
      <c r="K299" s="218"/>
      <c r="L299" s="213"/>
      <c r="M299" s="11"/>
    </row>
    <row r="300" spans="1:15" ht="15" customHeight="1">
      <c r="A300" s="116"/>
      <c r="B300" s="117"/>
      <c r="C300" s="118"/>
      <c r="D300" s="940"/>
      <c r="E300" s="59"/>
      <c r="F300" s="275"/>
      <c r="G300" s="275"/>
      <c r="H300" s="276"/>
      <c r="I300" s="274"/>
      <c r="J300" s="218"/>
      <c r="K300" s="218"/>
      <c r="L300" s="213"/>
      <c r="M300" s="11"/>
    </row>
    <row r="301" spans="1:15" ht="15" customHeight="1">
      <c r="A301" s="116"/>
      <c r="B301" s="117"/>
      <c r="C301" s="118"/>
      <c r="D301" s="940"/>
      <c r="E301" s="59"/>
      <c r="F301" s="275"/>
      <c r="G301" s="275"/>
      <c r="H301" s="276"/>
      <c r="I301" s="274"/>
      <c r="J301" s="218"/>
      <c r="K301" s="218"/>
      <c r="L301" s="213"/>
      <c r="M301" s="11"/>
    </row>
    <row r="302" spans="1:15" ht="15" customHeight="1">
      <c r="A302" s="116"/>
      <c r="B302" s="117"/>
      <c r="C302" s="118"/>
      <c r="D302" s="940"/>
      <c r="E302" s="59"/>
      <c r="F302" s="275"/>
      <c r="G302" s="275"/>
      <c r="H302" s="276"/>
      <c r="I302" s="274"/>
      <c r="J302" s="218"/>
      <c r="K302" s="218"/>
      <c r="L302" s="213"/>
      <c r="M302" s="11"/>
    </row>
    <row r="303" spans="1:15" ht="15" customHeight="1">
      <c r="A303" s="116"/>
      <c r="B303" s="117"/>
      <c r="C303" s="118"/>
      <c r="D303" s="940"/>
      <c r="E303" s="59"/>
      <c r="F303" s="275"/>
      <c r="G303" s="275"/>
      <c r="H303" s="276"/>
      <c r="I303" s="274"/>
      <c r="J303" s="218"/>
      <c r="K303" s="218"/>
      <c r="L303" s="213"/>
      <c r="M303" s="11"/>
    </row>
    <row r="304" spans="1:15" s="3" customFormat="1" ht="15" customHeight="1">
      <c r="A304" s="116"/>
      <c r="B304" s="117"/>
      <c r="C304" s="118"/>
      <c r="D304" s="940"/>
      <c r="E304" s="13"/>
      <c r="F304" s="278"/>
      <c r="G304" s="278"/>
      <c r="H304" s="276"/>
      <c r="I304" s="274"/>
      <c r="J304" s="218"/>
      <c r="K304" s="218"/>
      <c r="L304" s="210"/>
      <c r="M304" s="6"/>
    </row>
    <row r="305" spans="1:13" ht="15" customHeight="1">
      <c r="A305" s="116"/>
      <c r="B305" s="117"/>
      <c r="C305" s="118"/>
      <c r="D305" s="940"/>
      <c r="E305" s="59"/>
      <c r="F305" s="275"/>
      <c r="G305" s="275"/>
      <c r="H305" s="276"/>
      <c r="I305" s="274"/>
      <c r="J305" s="218"/>
      <c r="K305" s="218"/>
      <c r="L305" s="213"/>
      <c r="M305" s="11"/>
    </row>
    <row r="306" spans="1:13" ht="15" customHeight="1">
      <c r="A306" s="116"/>
      <c r="B306" s="117"/>
      <c r="C306" s="118"/>
      <c r="D306" s="940"/>
      <c r="E306" s="59"/>
      <c r="F306" s="277"/>
      <c r="G306" s="277"/>
      <c r="H306" s="276"/>
      <c r="I306" s="274"/>
      <c r="J306" s="218"/>
      <c r="K306" s="218"/>
      <c r="L306" s="213"/>
      <c r="M306" s="11"/>
    </row>
    <row r="307" spans="1:13" ht="15" customHeight="1">
      <c r="A307" s="116"/>
      <c r="B307" s="117"/>
      <c r="C307" s="118"/>
      <c r="D307" s="940"/>
      <c r="E307" s="59"/>
      <c r="F307" s="275"/>
      <c r="G307" s="275"/>
      <c r="H307" s="276"/>
      <c r="I307" s="274"/>
      <c r="J307" s="218"/>
      <c r="K307" s="218"/>
      <c r="L307" s="213"/>
      <c r="M307" s="11"/>
    </row>
    <row r="308" spans="1:13" ht="15" customHeight="1">
      <c r="A308" s="116"/>
      <c r="B308" s="117"/>
      <c r="C308" s="118"/>
      <c r="D308" s="940"/>
      <c r="E308" s="59"/>
      <c r="F308" s="275"/>
      <c r="G308" s="275"/>
      <c r="H308" s="276"/>
      <c r="I308" s="274"/>
      <c r="J308" s="218"/>
      <c r="K308" s="218"/>
      <c r="L308" s="213"/>
      <c r="M308" s="11"/>
    </row>
    <row r="309" spans="1:13" ht="15" customHeight="1">
      <c r="A309" s="116"/>
      <c r="B309" s="117"/>
      <c r="C309" s="118"/>
      <c r="D309" s="940"/>
      <c r="E309" s="59"/>
      <c r="F309" s="275"/>
      <c r="G309" s="275"/>
      <c r="H309" s="276"/>
      <c r="I309" s="274"/>
      <c r="J309" s="218"/>
      <c r="K309" s="218"/>
      <c r="L309" s="213"/>
      <c r="M309" s="11"/>
    </row>
    <row r="310" spans="1:13" ht="15" customHeight="1">
      <c r="A310" s="116"/>
      <c r="B310" s="117"/>
      <c r="C310" s="118"/>
      <c r="D310" s="940"/>
      <c r="E310" s="59"/>
      <c r="F310" s="275"/>
      <c r="G310" s="275"/>
      <c r="H310" s="276"/>
      <c r="I310" s="274"/>
      <c r="J310" s="218"/>
      <c r="K310" s="218"/>
      <c r="L310" s="213"/>
      <c r="M310" s="11"/>
    </row>
    <row r="311" spans="1:13" ht="15" customHeight="1">
      <c r="A311" s="116"/>
      <c r="B311" s="117"/>
      <c r="C311" s="118"/>
      <c r="D311" s="940"/>
      <c r="E311" s="59"/>
      <c r="F311" s="275"/>
      <c r="G311" s="275"/>
      <c r="H311" s="276"/>
      <c r="I311" s="274"/>
      <c r="J311" s="218"/>
      <c r="K311" s="218"/>
      <c r="L311" s="213"/>
      <c r="M311" s="11"/>
    </row>
    <row r="312" spans="1:13" ht="15" customHeight="1">
      <c r="A312" s="116"/>
      <c r="B312" s="117"/>
      <c r="C312" s="118"/>
      <c r="D312" s="940"/>
      <c r="E312" s="59"/>
      <c r="F312" s="275"/>
      <c r="G312" s="275"/>
      <c r="H312" s="276"/>
      <c r="I312" s="274"/>
      <c r="J312" s="218"/>
      <c r="K312" s="218"/>
      <c r="L312" s="213"/>
      <c r="M312" s="11"/>
    </row>
    <row r="313" spans="1:13" ht="15" customHeight="1">
      <c r="A313" s="116"/>
      <c r="B313" s="117"/>
      <c r="C313" s="118"/>
      <c r="D313" s="940"/>
      <c r="E313" s="59"/>
      <c r="F313" s="277"/>
      <c r="G313" s="277"/>
      <c r="H313" s="276"/>
      <c r="I313" s="274"/>
      <c r="J313" s="218"/>
      <c r="K313" s="218"/>
      <c r="L313" s="213"/>
      <c r="M313" s="11"/>
    </row>
    <row r="314" spans="1:13" s="3" customFormat="1" ht="15" customHeight="1">
      <c r="A314" s="116"/>
      <c r="B314" s="117"/>
      <c r="C314" s="118"/>
      <c r="D314" s="940"/>
      <c r="E314" s="13"/>
      <c r="F314" s="278"/>
      <c r="G314" s="278"/>
      <c r="H314" s="276"/>
      <c r="I314" s="274"/>
      <c r="J314" s="218"/>
      <c r="K314" s="218"/>
      <c r="L314" s="210"/>
      <c r="M314" s="6"/>
    </row>
    <row r="315" spans="1:13" ht="15" customHeight="1">
      <c r="A315" s="116"/>
      <c r="B315" s="117"/>
      <c r="C315" s="118"/>
      <c r="D315" s="940"/>
      <c r="E315" s="59"/>
      <c r="F315" s="275"/>
      <c r="G315" s="275"/>
      <c r="H315" s="276"/>
      <c r="I315" s="274"/>
      <c r="J315" s="218"/>
      <c r="K315" s="218"/>
      <c r="L315" s="213"/>
      <c r="M315" s="11"/>
    </row>
    <row r="316" spans="1:13" ht="15" customHeight="1">
      <c r="A316" s="116"/>
      <c r="B316" s="117"/>
      <c r="C316" s="118"/>
      <c r="D316" s="940"/>
      <c r="E316" s="59"/>
      <c r="F316" s="275"/>
      <c r="G316" s="275"/>
      <c r="H316" s="276"/>
      <c r="I316" s="274"/>
      <c r="J316" s="218"/>
      <c r="K316" s="218"/>
      <c r="L316" s="213"/>
      <c r="M316" s="11"/>
    </row>
    <row r="317" spans="1:13" ht="15" customHeight="1">
      <c r="A317" s="116"/>
      <c r="B317" s="117"/>
      <c r="C317" s="118"/>
      <c r="D317" s="940"/>
      <c r="E317" s="59"/>
      <c r="F317" s="275"/>
      <c r="G317" s="275"/>
      <c r="H317" s="276"/>
      <c r="I317" s="274"/>
      <c r="J317" s="218"/>
      <c r="K317" s="218"/>
      <c r="L317" s="213"/>
      <c r="M317" s="11"/>
    </row>
    <row r="318" spans="1:13" ht="15" customHeight="1">
      <c r="A318" s="116"/>
      <c r="B318" s="117"/>
      <c r="C318" s="118"/>
      <c r="D318" s="940"/>
      <c r="E318" s="59"/>
      <c r="F318" s="275"/>
      <c r="G318" s="275"/>
      <c r="H318" s="276"/>
      <c r="I318" s="274"/>
      <c r="J318" s="218"/>
      <c r="K318" s="218"/>
      <c r="L318" s="213"/>
      <c r="M318" s="11"/>
    </row>
    <row r="319" spans="1:13" ht="15" customHeight="1">
      <c r="A319" s="116"/>
      <c r="B319" s="117"/>
      <c r="C319" s="118"/>
      <c r="D319" s="940"/>
      <c r="E319" s="59"/>
      <c r="F319" s="275"/>
      <c r="G319" s="275"/>
      <c r="H319" s="276"/>
      <c r="I319" s="274"/>
      <c r="J319" s="218"/>
      <c r="K319" s="218"/>
      <c r="L319" s="213"/>
      <c r="M319" s="11"/>
    </row>
    <row r="320" spans="1:13" ht="15" customHeight="1">
      <c r="A320" s="116"/>
      <c r="B320" s="117"/>
      <c r="C320" s="118"/>
      <c r="D320" s="940"/>
      <c r="E320" s="59"/>
      <c r="F320" s="277"/>
      <c r="G320" s="277"/>
      <c r="H320" s="276"/>
      <c r="I320" s="274"/>
      <c r="J320" s="218"/>
      <c r="K320" s="218"/>
      <c r="L320" s="213"/>
      <c r="M320" s="11"/>
    </row>
    <row r="321" spans="1:13" ht="15" customHeight="1">
      <c r="A321" s="116"/>
      <c r="B321" s="117"/>
      <c r="C321" s="118"/>
      <c r="D321" s="940"/>
      <c r="E321" s="59"/>
      <c r="F321" s="275"/>
      <c r="G321" s="275"/>
      <c r="H321" s="276"/>
      <c r="I321" s="274"/>
      <c r="J321" s="218"/>
      <c r="K321" s="218"/>
      <c r="L321" s="213"/>
      <c r="M321" s="11"/>
    </row>
    <row r="322" spans="1:13" ht="15" customHeight="1">
      <c r="A322" s="116"/>
      <c r="B322" s="117"/>
      <c r="C322" s="118"/>
      <c r="D322" s="940"/>
      <c r="E322" s="59"/>
      <c r="F322" s="275"/>
      <c r="G322" s="275"/>
      <c r="H322" s="276"/>
      <c r="I322" s="274"/>
      <c r="J322" s="218"/>
      <c r="K322" s="218"/>
      <c r="L322" s="213"/>
      <c r="M322" s="11"/>
    </row>
    <row r="323" spans="1:13" ht="15" customHeight="1">
      <c r="A323" s="116"/>
      <c r="B323" s="117"/>
      <c r="C323" s="118"/>
      <c r="D323" s="940"/>
      <c r="E323" s="59"/>
      <c r="F323" s="275"/>
      <c r="G323" s="275"/>
      <c r="H323" s="276"/>
      <c r="I323" s="274"/>
      <c r="J323" s="218"/>
      <c r="K323" s="218"/>
      <c r="L323" s="213"/>
      <c r="M323" s="11"/>
    </row>
    <row r="324" spans="1:13" s="3" customFormat="1" ht="15" customHeight="1">
      <c r="A324" s="116"/>
      <c r="B324" s="117"/>
      <c r="C324" s="118"/>
      <c r="D324" s="940"/>
      <c r="E324" s="13"/>
      <c r="F324" s="275"/>
      <c r="G324" s="278"/>
      <c r="H324" s="276"/>
      <c r="I324" s="274"/>
      <c r="J324" s="218"/>
      <c r="K324" s="218"/>
      <c r="L324" s="210"/>
      <c r="M324" s="6"/>
    </row>
    <row r="325" spans="1:13" ht="15" customHeight="1">
      <c r="A325" s="116"/>
      <c r="B325" s="117"/>
      <c r="C325" s="118"/>
      <c r="D325" s="940"/>
      <c r="E325" s="59"/>
      <c r="F325" s="275"/>
      <c r="G325" s="275"/>
      <c r="H325" s="276"/>
      <c r="I325" s="274"/>
      <c r="J325" s="218"/>
      <c r="K325" s="218"/>
      <c r="L325" s="213"/>
      <c r="M325" s="11"/>
    </row>
    <row r="326" spans="1:13" ht="15" customHeight="1">
      <c r="A326" s="116"/>
      <c r="B326" s="117"/>
      <c r="C326" s="118"/>
      <c r="D326" s="940"/>
      <c r="E326" s="59"/>
      <c r="F326" s="275"/>
      <c r="G326" s="275"/>
      <c r="H326" s="276"/>
      <c r="I326" s="274"/>
      <c r="J326" s="218"/>
      <c r="K326" s="218"/>
      <c r="L326" s="213"/>
      <c r="M326" s="11"/>
    </row>
    <row r="327" spans="1:13" ht="15" customHeight="1">
      <c r="A327" s="116"/>
      <c r="B327" s="117"/>
      <c r="C327" s="118"/>
      <c r="D327" s="940"/>
      <c r="E327" s="13"/>
      <c r="F327" s="275"/>
      <c r="G327" s="277"/>
      <c r="H327" s="276"/>
      <c r="I327" s="274"/>
      <c r="J327" s="218"/>
      <c r="K327" s="218"/>
      <c r="L327" s="213"/>
      <c r="M327" s="11"/>
    </row>
    <row r="328" spans="1:13" ht="15" customHeight="1">
      <c r="A328" s="116"/>
      <c r="B328" s="117"/>
      <c r="C328" s="118"/>
      <c r="D328" s="940"/>
      <c r="E328" s="59"/>
      <c r="F328" s="275"/>
      <c r="G328" s="275"/>
      <c r="H328" s="276"/>
      <c r="I328" s="274"/>
      <c r="J328" s="218"/>
      <c r="K328" s="218"/>
      <c r="L328" s="213"/>
      <c r="M328" s="11"/>
    </row>
    <row r="329" spans="1:13" ht="15" customHeight="1">
      <c r="A329" s="116"/>
      <c r="B329" s="117"/>
      <c r="C329" s="118"/>
      <c r="D329" s="940"/>
      <c r="E329" s="59"/>
      <c r="F329" s="275"/>
      <c r="G329" s="275"/>
      <c r="H329" s="276"/>
      <c r="I329" s="274"/>
      <c r="J329" s="218"/>
      <c r="K329" s="218"/>
      <c r="L329" s="213"/>
      <c r="M329" s="11"/>
    </row>
    <row r="330" spans="1:13" ht="15" customHeight="1">
      <c r="A330" s="116"/>
      <c r="B330" s="117"/>
      <c r="C330" s="118"/>
      <c r="D330" s="940"/>
      <c r="E330" s="13"/>
      <c r="F330" s="275"/>
      <c r="G330" s="275"/>
      <c r="H330" s="276"/>
      <c r="I330" s="274"/>
      <c r="J330" s="218"/>
      <c r="K330" s="218"/>
      <c r="L330" s="213"/>
      <c r="M330" s="11"/>
    </row>
    <row r="331" spans="1:13" ht="15" customHeight="1">
      <c r="A331" s="116"/>
      <c r="B331" s="117"/>
      <c r="C331" s="118"/>
      <c r="D331" s="940"/>
      <c r="E331" s="59"/>
      <c r="F331" s="275"/>
      <c r="G331" s="275"/>
      <c r="H331" s="276"/>
      <c r="I331" s="274"/>
      <c r="J331" s="218"/>
      <c r="K331" s="218"/>
      <c r="L331" s="213"/>
      <c r="M331" s="11"/>
    </row>
    <row r="332" spans="1:13" ht="15" customHeight="1">
      <c r="A332" s="116"/>
      <c r="B332" s="117"/>
      <c r="C332" s="118"/>
      <c r="D332" s="940"/>
      <c r="E332" s="59"/>
      <c r="F332" s="275"/>
      <c r="G332" s="275"/>
      <c r="H332" s="276"/>
      <c r="I332" s="274"/>
      <c r="J332" s="218"/>
      <c r="K332" s="218"/>
      <c r="L332" s="213"/>
      <c r="M332" s="11"/>
    </row>
    <row r="333" spans="1:13" ht="15" customHeight="1">
      <c r="A333" s="116"/>
      <c r="B333" s="117"/>
      <c r="C333" s="118"/>
      <c r="D333" s="940"/>
      <c r="E333" s="59"/>
      <c r="F333" s="275"/>
      <c r="G333" s="275"/>
      <c r="H333" s="276"/>
      <c r="I333" s="274"/>
      <c r="J333" s="218"/>
      <c r="K333" s="218"/>
      <c r="L333" s="213"/>
      <c r="M333" s="11"/>
    </row>
    <row r="334" spans="1:13" s="3" customFormat="1" ht="15" customHeight="1">
      <c r="A334" s="116"/>
      <c r="B334" s="117"/>
      <c r="C334" s="118"/>
      <c r="D334" s="940"/>
      <c r="E334" s="13"/>
      <c r="F334" s="279"/>
      <c r="G334" s="279"/>
      <c r="H334" s="276"/>
      <c r="I334" s="274"/>
      <c r="J334" s="218"/>
      <c r="K334" s="218"/>
      <c r="L334" s="210"/>
      <c r="M334" s="6"/>
    </row>
    <row r="335" spans="1:13" ht="15" customHeight="1">
      <c r="A335" s="116"/>
      <c r="B335" s="117"/>
      <c r="C335" s="118"/>
      <c r="D335" s="930"/>
      <c r="E335" s="59"/>
      <c r="F335" s="275"/>
      <c r="G335" s="275"/>
      <c r="H335" s="276"/>
      <c r="I335" s="274"/>
      <c r="J335" s="218"/>
      <c r="K335" s="218"/>
      <c r="L335" s="213"/>
      <c r="M335" s="11"/>
    </row>
    <row r="336" spans="1:13" ht="15" customHeight="1">
      <c r="A336" s="116"/>
      <c r="B336" s="117"/>
      <c r="C336" s="118"/>
      <c r="D336" s="930"/>
      <c r="E336" s="59"/>
      <c r="F336" s="275"/>
      <c r="G336" s="275"/>
      <c r="H336" s="276"/>
      <c r="I336" s="274"/>
      <c r="J336" s="218"/>
      <c r="K336" s="218"/>
      <c r="L336" s="213"/>
      <c r="M336" s="11"/>
    </row>
    <row r="337" spans="1:13" ht="15" customHeight="1">
      <c r="A337" s="116"/>
      <c r="B337" s="117"/>
      <c r="C337" s="118"/>
      <c r="D337" s="930"/>
      <c r="E337" s="59"/>
      <c r="F337" s="275"/>
      <c r="G337" s="275"/>
      <c r="H337" s="276"/>
      <c r="I337" s="274"/>
      <c r="J337" s="218"/>
      <c r="K337" s="218"/>
      <c r="L337" s="213"/>
      <c r="M337" s="11"/>
    </row>
    <row r="338" spans="1:13" ht="15" customHeight="1">
      <c r="A338" s="116"/>
      <c r="B338" s="117"/>
      <c r="C338" s="118"/>
      <c r="D338" s="930"/>
      <c r="E338" s="59"/>
      <c r="F338" s="275"/>
      <c r="G338" s="275"/>
      <c r="H338" s="276"/>
      <c r="I338" s="274"/>
      <c r="J338" s="218"/>
      <c r="K338" s="218"/>
      <c r="L338" s="213"/>
      <c r="M338" s="11"/>
    </row>
    <row r="339" spans="1:13" ht="15" customHeight="1">
      <c r="A339" s="116"/>
      <c r="B339" s="117"/>
      <c r="C339" s="118"/>
      <c r="D339" s="930"/>
      <c r="E339" s="59"/>
      <c r="F339" s="275"/>
      <c r="G339" s="275"/>
      <c r="H339" s="276"/>
      <c r="I339" s="274"/>
      <c r="J339" s="218"/>
      <c r="K339" s="218"/>
      <c r="L339" s="213"/>
      <c r="M339" s="11"/>
    </row>
    <row r="340" spans="1:13" ht="15" customHeight="1">
      <c r="A340" s="116"/>
      <c r="B340" s="117"/>
      <c r="C340" s="118"/>
      <c r="D340" s="930"/>
      <c r="E340" s="59"/>
      <c r="F340" s="275"/>
      <c r="G340" s="275"/>
      <c r="H340" s="276"/>
      <c r="I340" s="274"/>
      <c r="J340" s="218"/>
      <c r="K340" s="218"/>
      <c r="L340" s="213"/>
      <c r="M340" s="11"/>
    </row>
    <row r="341" spans="1:13" ht="15" customHeight="1">
      <c r="A341" s="119"/>
      <c r="B341" s="117"/>
      <c r="C341" s="118"/>
      <c r="D341" s="930"/>
      <c r="E341" s="59"/>
      <c r="F341" s="277"/>
      <c r="G341" s="277"/>
      <c r="H341" s="276"/>
      <c r="I341" s="274"/>
      <c r="J341" s="218"/>
      <c r="K341" s="218"/>
      <c r="L341" s="213"/>
      <c r="M341" s="11"/>
    </row>
    <row r="342" spans="1:13" ht="15" customHeight="1">
      <c r="A342" s="116"/>
      <c r="B342" s="117"/>
      <c r="C342" s="118"/>
      <c r="D342" s="930"/>
      <c r="E342" s="59"/>
      <c r="F342" s="275"/>
      <c r="G342" s="275"/>
      <c r="H342" s="276"/>
      <c r="I342" s="274"/>
      <c r="J342" s="218"/>
      <c r="K342" s="218"/>
      <c r="L342" s="213"/>
      <c r="M342" s="11"/>
    </row>
    <row r="343" spans="1:13" ht="15" customHeight="1">
      <c r="A343" s="116"/>
      <c r="B343" s="117"/>
      <c r="C343" s="118"/>
      <c r="D343" s="930"/>
      <c r="E343" s="59"/>
      <c r="F343" s="275"/>
      <c r="G343" s="275"/>
      <c r="H343" s="276"/>
      <c r="I343" s="274"/>
      <c r="J343" s="218"/>
      <c r="K343" s="218"/>
      <c r="L343" s="213"/>
      <c r="M343" s="11"/>
    </row>
    <row r="344" spans="1:13" s="3" customFormat="1" ht="15" customHeight="1">
      <c r="A344" s="116"/>
      <c r="B344" s="117"/>
      <c r="C344" s="118"/>
      <c r="D344" s="930"/>
      <c r="E344" s="13"/>
      <c r="F344" s="278"/>
      <c r="G344" s="278"/>
      <c r="H344" s="276"/>
      <c r="I344" s="274"/>
      <c r="J344" s="218"/>
      <c r="K344" s="218"/>
      <c r="L344" s="210"/>
      <c r="M344" s="6"/>
    </row>
    <row r="345" spans="1:13" ht="15" customHeight="1">
      <c r="A345" s="116"/>
      <c r="B345" s="117"/>
      <c r="C345" s="118"/>
      <c r="D345" s="930"/>
      <c r="E345" s="59"/>
      <c r="F345" s="275"/>
      <c r="G345" s="275"/>
      <c r="H345" s="276"/>
      <c r="I345" s="274"/>
      <c r="J345" s="218"/>
      <c r="K345" s="218"/>
      <c r="L345" s="213"/>
      <c r="M345" s="11"/>
    </row>
    <row r="346" spans="1:13" ht="15" customHeight="1">
      <c r="A346" s="116"/>
      <c r="B346" s="117"/>
      <c r="C346" s="118"/>
      <c r="D346" s="930"/>
      <c r="E346" s="59"/>
      <c r="F346" s="275"/>
      <c r="G346" s="275"/>
      <c r="H346" s="276"/>
      <c r="I346" s="274"/>
      <c r="J346" s="218"/>
      <c r="K346" s="218"/>
      <c r="L346" s="213"/>
      <c r="M346" s="11"/>
    </row>
    <row r="347" spans="1:13" ht="15" customHeight="1">
      <c r="A347" s="116"/>
      <c r="B347" s="117"/>
      <c r="C347" s="118"/>
      <c r="D347" s="930"/>
      <c r="E347" s="59"/>
      <c r="F347" s="275"/>
      <c r="G347" s="275"/>
      <c r="H347" s="276"/>
      <c r="I347" s="274"/>
      <c r="J347" s="218"/>
      <c r="K347" s="218"/>
      <c r="L347" s="213"/>
      <c r="M347" s="11"/>
    </row>
    <row r="348" spans="1:13" ht="15" customHeight="1">
      <c r="A348" s="116"/>
      <c r="B348" s="117"/>
      <c r="C348" s="118"/>
      <c r="D348" s="930"/>
      <c r="E348" s="59"/>
      <c r="F348" s="277"/>
      <c r="G348" s="277"/>
      <c r="H348" s="276"/>
      <c r="I348" s="274"/>
      <c r="J348" s="218"/>
      <c r="K348" s="218"/>
      <c r="L348" s="213"/>
      <c r="M348" s="11"/>
    </row>
    <row r="349" spans="1:13" ht="15" customHeight="1">
      <c r="A349" s="116"/>
      <c r="B349" s="117"/>
      <c r="C349" s="118"/>
      <c r="D349" s="930"/>
      <c r="E349" s="59"/>
      <c r="F349" s="275"/>
      <c r="G349" s="275"/>
      <c r="H349" s="276"/>
      <c r="I349" s="274"/>
      <c r="J349" s="218"/>
      <c r="K349" s="218"/>
      <c r="L349" s="213"/>
      <c r="M349" s="11"/>
    </row>
    <row r="350" spans="1:13" ht="15" customHeight="1">
      <c r="A350" s="116"/>
      <c r="B350" s="117"/>
      <c r="C350" s="118"/>
      <c r="D350" s="930"/>
      <c r="E350" s="59"/>
      <c r="F350" s="275"/>
      <c r="G350" s="275"/>
      <c r="H350" s="276"/>
      <c r="I350" s="274"/>
      <c r="J350" s="218"/>
      <c r="K350" s="218"/>
      <c r="L350" s="213"/>
      <c r="M350" s="11"/>
    </row>
    <row r="351" spans="1:13" ht="15" customHeight="1">
      <c r="A351" s="116"/>
      <c r="B351" s="117"/>
      <c r="C351" s="118"/>
      <c r="D351" s="930"/>
      <c r="E351" s="59"/>
      <c r="F351" s="275"/>
      <c r="G351" s="275"/>
      <c r="H351" s="276"/>
      <c r="I351" s="274"/>
      <c r="J351" s="218"/>
      <c r="K351" s="218"/>
      <c r="L351" s="213"/>
      <c r="M351" s="11"/>
    </row>
    <row r="352" spans="1:13" ht="15" customHeight="1">
      <c r="A352" s="116"/>
      <c r="B352" s="117"/>
      <c r="C352" s="118"/>
      <c r="D352" s="930"/>
      <c r="E352" s="59"/>
      <c r="F352" s="275"/>
      <c r="G352" s="275"/>
      <c r="H352" s="276"/>
      <c r="I352" s="274"/>
      <c r="J352" s="218"/>
      <c r="K352" s="218"/>
      <c r="L352" s="213"/>
      <c r="M352" s="11"/>
    </row>
    <row r="353" spans="1:13" ht="15" customHeight="1">
      <c r="A353" s="116"/>
      <c r="B353" s="117"/>
      <c r="C353" s="118"/>
      <c r="D353" s="930"/>
      <c r="E353" s="59"/>
      <c r="F353" s="275"/>
      <c r="G353" s="275"/>
      <c r="H353" s="276"/>
      <c r="I353" s="274"/>
      <c r="J353" s="218"/>
      <c r="K353" s="218"/>
      <c r="L353" s="213"/>
      <c r="M353" s="11"/>
    </row>
    <row r="354" spans="1:13" s="3" customFormat="1" ht="15" customHeight="1">
      <c r="A354" s="116"/>
      <c r="B354" s="117"/>
      <c r="C354" s="118"/>
      <c r="D354" s="930"/>
      <c r="E354" s="13"/>
      <c r="F354" s="278"/>
      <c r="G354" s="278"/>
      <c r="H354" s="276"/>
      <c r="I354" s="274"/>
      <c r="J354" s="218"/>
      <c r="K354" s="218"/>
      <c r="L354" s="210"/>
      <c r="M354" s="6"/>
    </row>
    <row r="355" spans="1:13" ht="15" customHeight="1">
      <c r="A355" s="116"/>
      <c r="B355" s="117"/>
      <c r="C355" s="118"/>
      <c r="D355" s="930"/>
      <c r="E355" s="59"/>
      <c r="F355" s="277"/>
      <c r="G355" s="277"/>
      <c r="H355" s="276"/>
      <c r="I355" s="274"/>
      <c r="J355" s="218"/>
      <c r="K355" s="218"/>
      <c r="L355" s="213"/>
      <c r="M355" s="11"/>
    </row>
    <row r="356" spans="1:13" ht="15" customHeight="1">
      <c r="A356" s="116"/>
      <c r="B356" s="117"/>
      <c r="C356" s="118"/>
      <c r="D356" s="930"/>
      <c r="E356" s="59"/>
      <c r="F356" s="275"/>
      <c r="G356" s="275"/>
      <c r="H356" s="276"/>
      <c r="I356" s="274"/>
      <c r="J356" s="218"/>
      <c r="K356" s="218"/>
      <c r="L356" s="213"/>
      <c r="M356" s="11"/>
    </row>
    <row r="357" spans="1:13" ht="15" customHeight="1">
      <c r="A357" s="116"/>
      <c r="B357" s="117"/>
      <c r="C357" s="118"/>
      <c r="D357" s="930"/>
      <c r="E357" s="59"/>
      <c r="F357" s="275"/>
      <c r="G357" s="275"/>
      <c r="H357" s="276"/>
      <c r="I357" s="274"/>
      <c r="J357" s="218"/>
      <c r="K357" s="218"/>
      <c r="L357" s="213"/>
      <c r="M357" s="11"/>
    </row>
    <row r="358" spans="1:13" ht="15" customHeight="1">
      <c r="A358" s="116"/>
      <c r="B358" s="117"/>
      <c r="C358" s="118"/>
      <c r="D358" s="930"/>
      <c r="E358" s="59"/>
      <c r="F358" s="275"/>
      <c r="G358" s="275"/>
      <c r="H358" s="276"/>
      <c r="I358" s="274"/>
      <c r="J358" s="218"/>
      <c r="K358" s="218"/>
      <c r="L358" s="213"/>
      <c r="M358" s="11"/>
    </row>
    <row r="359" spans="1:13" ht="15" customHeight="1">
      <c r="A359" s="116"/>
      <c r="B359" s="117"/>
      <c r="C359" s="118"/>
      <c r="D359" s="930"/>
      <c r="E359" s="59"/>
      <c r="F359" s="275"/>
      <c r="G359" s="275"/>
      <c r="H359" s="276"/>
      <c r="I359" s="274"/>
      <c r="J359" s="218"/>
      <c r="K359" s="218"/>
      <c r="L359" s="213"/>
      <c r="M359" s="11"/>
    </row>
    <row r="360" spans="1:13" ht="15" customHeight="1">
      <c r="A360" s="116"/>
      <c r="B360" s="117"/>
      <c r="C360" s="118"/>
      <c r="D360" s="930"/>
      <c r="E360" s="59"/>
      <c r="F360" s="275"/>
      <c r="G360" s="275"/>
      <c r="H360" s="276"/>
      <c r="I360" s="274"/>
      <c r="J360" s="218"/>
      <c r="K360" s="218"/>
      <c r="L360" s="213"/>
      <c r="M360" s="11"/>
    </row>
    <row r="361" spans="1:13" ht="15" customHeight="1">
      <c r="A361" s="116"/>
      <c r="B361" s="117"/>
      <c r="C361" s="118"/>
      <c r="D361" s="930"/>
      <c r="E361" s="59"/>
      <c r="F361" s="275"/>
      <c r="G361" s="275"/>
      <c r="H361" s="276"/>
      <c r="I361" s="274"/>
      <c r="J361" s="218"/>
      <c r="K361" s="218"/>
      <c r="L361" s="213"/>
      <c r="M361" s="11"/>
    </row>
    <row r="362" spans="1:13" ht="15" customHeight="1">
      <c r="A362" s="116"/>
      <c r="B362" s="117"/>
      <c r="C362" s="118"/>
      <c r="D362" s="930"/>
      <c r="E362" s="59"/>
      <c r="F362" s="277"/>
      <c r="G362" s="277"/>
      <c r="H362" s="276"/>
      <c r="I362" s="274"/>
      <c r="J362" s="218"/>
      <c r="K362" s="218"/>
      <c r="L362" s="213"/>
      <c r="M362" s="11"/>
    </row>
    <row r="363" spans="1:13" ht="15" customHeight="1">
      <c r="A363" s="116"/>
      <c r="B363" s="117"/>
      <c r="C363" s="118"/>
      <c r="D363" s="930"/>
      <c r="E363" s="59"/>
      <c r="F363" s="275"/>
      <c r="G363" s="275"/>
      <c r="H363" s="276"/>
      <c r="I363" s="274"/>
      <c r="J363" s="218"/>
      <c r="K363" s="218"/>
      <c r="L363" s="213"/>
      <c r="M363" s="11"/>
    </row>
    <row r="364" spans="1:13" s="3" customFormat="1" ht="15" customHeight="1">
      <c r="A364" s="116"/>
      <c r="B364" s="117"/>
      <c r="C364" s="118"/>
      <c r="D364" s="930"/>
      <c r="E364" s="13"/>
      <c r="F364" s="278"/>
      <c r="G364" s="278"/>
      <c r="H364" s="276"/>
      <c r="I364" s="274"/>
      <c r="J364" s="218"/>
      <c r="K364" s="218"/>
      <c r="L364" s="210"/>
      <c r="M364" s="6"/>
    </row>
    <row r="365" spans="1:13" ht="15" customHeight="1">
      <c r="A365" s="116"/>
      <c r="B365" s="117"/>
      <c r="C365" s="118"/>
      <c r="D365" s="120"/>
      <c r="E365" s="59"/>
      <c r="F365" s="275"/>
      <c r="G365" s="275"/>
      <c r="H365" s="276"/>
      <c r="I365" s="274"/>
      <c r="J365" s="218"/>
      <c r="K365" s="218"/>
      <c r="L365" s="213"/>
      <c r="M365" s="11"/>
    </row>
    <row r="366" spans="1:13" ht="15" customHeight="1">
      <c r="A366" s="116"/>
      <c r="B366" s="117"/>
      <c r="C366" s="118"/>
      <c r="D366" s="120"/>
      <c r="E366" s="59"/>
      <c r="F366" s="275"/>
      <c r="G366" s="275"/>
      <c r="H366" s="276"/>
      <c r="I366" s="274"/>
      <c r="J366" s="218"/>
      <c r="K366" s="218"/>
      <c r="L366" s="213"/>
      <c r="M366" s="11"/>
    </row>
    <row r="367" spans="1:13" ht="15" customHeight="1">
      <c r="A367" s="116"/>
      <c r="B367" s="117"/>
      <c r="C367" s="118"/>
      <c r="D367" s="120"/>
      <c r="E367" s="59"/>
      <c r="F367" s="275"/>
      <c r="G367" s="275"/>
      <c r="H367" s="276"/>
      <c r="I367" s="274"/>
      <c r="J367" s="218"/>
      <c r="K367" s="218"/>
      <c r="L367" s="213"/>
      <c r="M367" s="11"/>
    </row>
    <row r="368" spans="1:13" ht="15" customHeight="1">
      <c r="A368" s="116"/>
      <c r="B368" s="117"/>
      <c r="C368" s="118"/>
      <c r="D368" s="120"/>
      <c r="E368" s="59"/>
      <c r="F368" s="275"/>
      <c r="G368" s="275"/>
      <c r="H368" s="276"/>
      <c r="I368" s="274"/>
      <c r="J368" s="218"/>
      <c r="K368" s="218"/>
      <c r="L368" s="213"/>
      <c r="M368" s="11"/>
    </row>
    <row r="369" spans="1:13" ht="15" customHeight="1">
      <c r="A369" s="116"/>
      <c r="B369" s="117"/>
      <c r="C369" s="118"/>
      <c r="D369" s="120"/>
      <c r="E369" s="59"/>
      <c r="F369" s="277"/>
      <c r="G369" s="277"/>
      <c r="H369" s="276"/>
      <c r="I369" s="274"/>
      <c r="J369" s="218"/>
      <c r="K369" s="218"/>
      <c r="L369" s="213"/>
      <c r="M369" s="11"/>
    </row>
    <row r="370" spans="1:13" ht="15" customHeight="1">
      <c r="A370" s="116"/>
      <c r="B370" s="117"/>
      <c r="C370" s="118"/>
      <c r="D370" s="120"/>
      <c r="E370" s="59"/>
      <c r="F370" s="275"/>
      <c r="G370" s="275"/>
      <c r="H370" s="276"/>
      <c r="I370" s="274"/>
      <c r="J370" s="218"/>
      <c r="K370" s="218"/>
      <c r="L370" s="213"/>
      <c r="M370" s="11"/>
    </row>
    <row r="371" spans="1:13" ht="15" customHeight="1">
      <c r="A371" s="116"/>
      <c r="B371" s="117"/>
      <c r="C371" s="118"/>
      <c r="D371" s="120"/>
      <c r="E371" s="59"/>
      <c r="F371" s="275"/>
      <c r="G371" s="275"/>
      <c r="H371" s="276"/>
      <c r="I371" s="274"/>
      <c r="J371" s="218"/>
      <c r="K371" s="218"/>
      <c r="L371" s="213"/>
      <c r="M371" s="11"/>
    </row>
    <row r="372" spans="1:13">
      <c r="A372" s="209"/>
      <c r="B372" s="61"/>
      <c r="C372" s="60"/>
      <c r="D372" s="210"/>
      <c r="E372" s="13"/>
      <c r="F372" s="278"/>
      <c r="G372" s="280"/>
      <c r="H372" s="281"/>
      <c r="I372" s="273"/>
      <c r="J372" s="215"/>
      <c r="K372" s="215"/>
      <c r="L372" s="5"/>
    </row>
    <row r="373" spans="1:13">
      <c r="C373" s="15"/>
      <c r="D373" s="15"/>
      <c r="E373" s="15"/>
      <c r="F373" s="282"/>
      <c r="G373" s="283"/>
      <c r="H373" s="273"/>
      <c r="I373" s="273"/>
      <c r="J373" s="215"/>
      <c r="K373" s="215"/>
      <c r="L373" s="15"/>
    </row>
    <row r="374" spans="1:13">
      <c r="C374" s="16">
        <f>SUM(C5:C372)</f>
        <v>446.74699999999996</v>
      </c>
      <c r="D374" s="16"/>
      <c r="E374" s="15"/>
      <c r="F374" s="284">
        <f>SUM(F5:F372)</f>
        <v>36585</v>
      </c>
      <c r="G374" s="283"/>
      <c r="H374" s="285">
        <f>SUM(H5:H372)</f>
        <v>3329.7829899420908</v>
      </c>
      <c r="I374" s="285"/>
      <c r="J374" s="216"/>
      <c r="K374" s="216"/>
      <c r="L374" s="16"/>
    </row>
    <row r="375" spans="1:13">
      <c r="C375" s="16"/>
      <c r="D375" s="16"/>
      <c r="E375" s="15"/>
      <c r="F375" s="282"/>
      <c r="G375" s="283"/>
      <c r="H375" s="285"/>
      <c r="I375" s="285"/>
      <c r="J375" s="216"/>
      <c r="K375" s="216"/>
      <c r="L375" s="16"/>
    </row>
    <row r="376" spans="1:13">
      <c r="C376" s="16">
        <f>IF(C5&gt;0,AVERAGE(C5:C372),"")</f>
        <v>12.409638888888887</v>
      </c>
      <c r="D376" s="16"/>
      <c r="E376" s="15"/>
      <c r="F376" s="284">
        <f>IF(F5&gt;0,AVERAGE(F5:F372),"")</f>
        <v>135.5</v>
      </c>
      <c r="G376" s="283"/>
      <c r="H376" s="285">
        <f>IF(H5&gt;0,AVERAGE(H5:H372),"")</f>
        <v>12.332529592378114</v>
      </c>
      <c r="I376" s="285"/>
      <c r="J376" s="216"/>
      <c r="K376" s="216"/>
      <c r="L376" s="16"/>
    </row>
    <row r="377" spans="1:13">
      <c r="C377" s="15"/>
      <c r="D377" s="15"/>
      <c r="E377" s="15"/>
      <c r="F377" s="282"/>
      <c r="G377" s="283"/>
      <c r="H377" s="273"/>
      <c r="I377" s="273"/>
      <c r="J377" s="215"/>
      <c r="K377" s="215"/>
      <c r="L377" s="15"/>
    </row>
  </sheetData>
  <sortState xmlns:xlrd2="http://schemas.microsoft.com/office/spreadsheetml/2017/richdata2" ref="S5:T47">
    <sortCondition descending="1" ref="S5"/>
  </sortState>
  <mergeCells count="26">
    <mergeCell ref="D335:D364"/>
    <mergeCell ref="D5:D22"/>
    <mergeCell ref="D23:D40"/>
    <mergeCell ref="I5:I121"/>
    <mergeCell ref="M5:M27"/>
    <mergeCell ref="M28:M50"/>
    <mergeCell ref="D245:D274"/>
    <mergeCell ref="D275:D304"/>
    <mergeCell ref="D305:D334"/>
    <mergeCell ref="I122:I130"/>
    <mergeCell ref="I131:I139"/>
    <mergeCell ref="I140:I148"/>
    <mergeCell ref="I149:I157"/>
    <mergeCell ref="I158:I166"/>
    <mergeCell ref="I167:I175"/>
    <mergeCell ref="I176:I184"/>
    <mergeCell ref="I185:I193"/>
    <mergeCell ref="I194:I202"/>
    <mergeCell ref="I203:I211"/>
    <mergeCell ref="I212:I220"/>
    <mergeCell ref="I221:I229"/>
    <mergeCell ref="I230:I238"/>
    <mergeCell ref="I239:I247"/>
    <mergeCell ref="I248:I256"/>
    <mergeCell ref="I257:I265"/>
    <mergeCell ref="I266:I274"/>
  </mergeCells>
  <phoneticPr fontId="17" type="noConversion"/>
  <printOptions horizontalCentered="1" gridLinesSet="0"/>
  <pageMargins left="0" right="0" top="0" bottom="0" header="0.51181102362204722" footer="0.51181102362204722"/>
  <pageSetup paperSize="9" scale="49" orientation="portrait" horizontalDpi="300" verticalDpi="300" r:id="rId1"/>
  <headerFooter alignWithMargins="0">
    <oddHeader>&amp;A</oddHeader>
    <oddFooter>Page &amp;P</oddFooter>
  </headerFooter>
  <rowBreaks count="1" manualBreakCount="1">
    <brk id="114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A34B-B9C3-4326-B212-333BCFEDA51B}">
  <sheetPr>
    <tabColor rgb="FFFFC000"/>
  </sheetPr>
  <dimension ref="A1:W38"/>
  <sheetViews>
    <sheetView tabSelected="1" topLeftCell="B14" zoomScaleNormal="100" zoomScaleSheetLayoutView="100" workbookViewId="0">
      <selection activeCell="M29" sqref="M29"/>
    </sheetView>
  </sheetViews>
  <sheetFormatPr defaultColWidth="9.140625" defaultRowHeight="12.75"/>
  <cols>
    <col min="1" max="1" width="6.5703125" style="46" bestFit="1" customWidth="1"/>
    <col min="2" max="2" width="10.140625" style="46" bestFit="1" customWidth="1"/>
    <col min="3" max="3" width="12.42578125" style="40" customWidth="1"/>
    <col min="4" max="4" width="5.85546875" style="46" bestFit="1" customWidth="1"/>
    <col min="5" max="5" width="5.28515625" style="46" customWidth="1"/>
    <col min="6" max="6" width="10.140625" style="18" bestFit="1" customWidth="1"/>
    <col min="7" max="7" width="12.28515625" style="47" bestFit="1" customWidth="1"/>
    <col min="8" max="8" width="5.85546875" style="46" bestFit="1" customWidth="1"/>
    <col min="9" max="9" width="6.5703125" style="18" bestFit="1" customWidth="1"/>
    <col min="10" max="10" width="10.140625" style="18" bestFit="1" customWidth="1"/>
    <col min="11" max="11" width="12.28515625" style="40" bestFit="1" customWidth="1"/>
    <col min="12" max="12" width="5.85546875" style="18" bestFit="1" customWidth="1"/>
    <col min="13" max="13" width="11.85546875" style="18" bestFit="1" customWidth="1"/>
    <col min="14" max="14" width="10.140625" style="18" bestFit="1" customWidth="1"/>
    <col min="15" max="15" width="12.28515625" style="40" bestFit="1" customWidth="1"/>
    <col min="16" max="16" width="5.85546875" style="18" bestFit="1" customWidth="1"/>
    <col min="17" max="17" width="6.5703125" style="18" bestFit="1" customWidth="1"/>
    <col min="18" max="18" width="10.140625" style="18" bestFit="1" customWidth="1"/>
    <col min="19" max="19" width="12.28515625" style="18" bestFit="1" customWidth="1"/>
    <col min="20" max="20" width="5.85546875" style="18" bestFit="1" customWidth="1"/>
    <col min="21" max="16384" width="9.140625" style="18"/>
  </cols>
  <sheetData>
    <row r="1" spans="1:21" ht="23.25">
      <c r="A1" s="944" t="str">
        <f>Tally!O6</f>
        <v>Jerun A-4</v>
      </c>
      <c r="B1" s="944"/>
      <c r="C1" s="944"/>
      <c r="D1" s="944"/>
      <c r="E1" s="944"/>
      <c r="F1" s="944"/>
      <c r="G1" s="944"/>
      <c r="H1" s="944"/>
      <c r="I1" s="944"/>
      <c r="J1" s="944"/>
      <c r="K1" s="944"/>
      <c r="L1" s="944"/>
      <c r="M1" s="944"/>
      <c r="N1" s="944"/>
      <c r="O1" s="944"/>
      <c r="P1" s="944"/>
      <c r="Q1" s="944"/>
      <c r="R1" s="944"/>
      <c r="S1" s="944"/>
      <c r="T1" s="17"/>
      <c r="U1" s="17"/>
    </row>
    <row r="2" spans="1:21" ht="23.25">
      <c r="A2" s="944" t="s">
        <v>165</v>
      </c>
      <c r="B2" s="944"/>
      <c r="C2" s="944"/>
      <c r="D2" s="944"/>
      <c r="E2" s="944"/>
      <c r="F2" s="944"/>
      <c r="G2" s="944"/>
      <c r="H2" s="944"/>
      <c r="I2" s="944"/>
      <c r="J2" s="944"/>
      <c r="K2" s="944"/>
      <c r="L2" s="944"/>
      <c r="M2" s="944"/>
      <c r="N2" s="944"/>
      <c r="O2" s="944"/>
      <c r="P2" s="944"/>
      <c r="Q2" s="944"/>
      <c r="R2" s="944"/>
      <c r="S2" s="944"/>
      <c r="T2" s="17"/>
      <c r="U2" s="17"/>
    </row>
    <row r="3" spans="1:21" ht="23.25">
      <c r="A3" s="945"/>
      <c r="B3" s="945"/>
      <c r="C3" s="945"/>
      <c r="D3" s="945"/>
      <c r="E3" s="945"/>
      <c r="F3" s="945"/>
      <c r="G3" s="945"/>
      <c r="H3" s="945"/>
      <c r="I3" s="945"/>
      <c r="J3" s="945"/>
      <c r="K3" s="945"/>
      <c r="L3" s="945"/>
      <c r="M3" s="945"/>
      <c r="N3" s="945"/>
      <c r="O3" s="945"/>
      <c r="P3" s="945"/>
      <c r="Q3" s="945"/>
      <c r="R3" s="945"/>
      <c r="S3" s="945"/>
      <c r="T3" s="17"/>
      <c r="U3" s="17"/>
    </row>
    <row r="4" spans="1:21" ht="23.25">
      <c r="A4" s="946" t="s">
        <v>10</v>
      </c>
      <c r="B4" s="946"/>
      <c r="C4" s="946"/>
      <c r="D4" s="946"/>
      <c r="E4" s="946"/>
      <c r="F4" s="946"/>
      <c r="G4" s="946"/>
      <c r="H4" s="946"/>
      <c r="I4" s="946"/>
      <c r="J4" s="946"/>
      <c r="K4" s="946"/>
      <c r="L4" s="946"/>
      <c r="M4" s="946"/>
      <c r="N4" s="946"/>
      <c r="O4" s="946"/>
      <c r="P4" s="946"/>
      <c r="Q4" s="946"/>
      <c r="R4" s="946"/>
      <c r="S4" s="946"/>
      <c r="T4" s="17"/>
      <c r="U4" s="17"/>
    </row>
    <row r="5" spans="1:21" ht="15.75">
      <c r="A5" s="19"/>
      <c r="B5" s="701"/>
      <c r="C5" s="65" t="s">
        <v>307</v>
      </c>
      <c r="D5" s="19"/>
      <c r="E5" s="19"/>
      <c r="F5" s="20"/>
      <c r="G5" s="21"/>
      <c r="H5" s="19"/>
      <c r="I5" s="19"/>
      <c r="J5" s="20"/>
      <c r="K5" s="21"/>
      <c r="L5" s="19"/>
      <c r="M5" s="22" t="s">
        <v>11</v>
      </c>
      <c r="N5" s="23"/>
      <c r="O5" s="24"/>
      <c r="P5" s="23" t="s">
        <v>8</v>
      </c>
      <c r="Q5" s="17"/>
      <c r="R5" s="25"/>
      <c r="S5" s="17"/>
      <c r="T5" s="17"/>
      <c r="U5" s="17"/>
    </row>
    <row r="6" spans="1:21" ht="15.75">
      <c r="A6" s="65"/>
      <c r="B6" s="135"/>
      <c r="C6" s="65" t="s">
        <v>47</v>
      </c>
      <c r="D6" s="26"/>
      <c r="E6" s="19"/>
      <c r="F6" s="20"/>
      <c r="G6" s="21"/>
      <c r="H6" s="26"/>
      <c r="I6" s="19"/>
      <c r="J6" s="20"/>
      <c r="K6" s="21"/>
      <c r="L6" s="26"/>
      <c r="M6" s="26"/>
      <c r="N6" s="26"/>
      <c r="O6" s="198">
        <f>Tally!O13</f>
        <v>0.123</v>
      </c>
      <c r="P6" s="68" t="s">
        <v>31</v>
      </c>
      <c r="Q6" s="17"/>
      <c r="R6" s="25"/>
      <c r="S6" s="17"/>
      <c r="T6" s="17"/>
      <c r="U6" s="17"/>
    </row>
    <row r="7" spans="1:21" ht="15.75">
      <c r="A7" s="65"/>
      <c r="B7" s="127"/>
      <c r="C7" s="65" t="s">
        <v>149</v>
      </c>
      <c r="D7" s="26"/>
      <c r="E7" s="19"/>
      <c r="F7" s="20"/>
      <c r="G7" s="21"/>
      <c r="H7" s="26"/>
      <c r="I7" s="19"/>
      <c r="J7" s="20"/>
      <c r="K7" s="21"/>
      <c r="L7" s="26"/>
      <c r="M7" s="26"/>
      <c r="N7" s="26"/>
      <c r="O7" s="27"/>
      <c r="P7" s="26"/>
      <c r="Q7" s="17"/>
      <c r="R7" s="28"/>
      <c r="S7" s="17"/>
      <c r="T7" s="17"/>
      <c r="U7" s="17"/>
    </row>
    <row r="8" spans="1:21" ht="15.75">
      <c r="A8" s="65"/>
      <c r="B8" s="702"/>
      <c r="C8" s="21" t="s">
        <v>308</v>
      </c>
      <c r="D8" s="26"/>
      <c r="E8" s="19"/>
      <c r="F8" s="20"/>
      <c r="G8" s="21"/>
      <c r="H8" s="26"/>
      <c r="I8" s="19"/>
      <c r="J8" s="20"/>
      <c r="K8" s="21"/>
      <c r="L8" s="26"/>
      <c r="M8" s="26"/>
      <c r="N8" s="26"/>
      <c r="O8" s="27"/>
      <c r="P8" s="26"/>
      <c r="Q8" s="17"/>
      <c r="R8" s="28"/>
      <c r="S8" s="17"/>
      <c r="T8" s="17"/>
      <c r="U8" s="17"/>
    </row>
    <row r="9" spans="1:21" ht="16.5" thickBot="1">
      <c r="A9" s="947" t="s">
        <v>36</v>
      </c>
      <c r="B9" s="948"/>
      <c r="C9" s="949"/>
      <c r="D9" s="26"/>
      <c r="E9" s="947" t="s">
        <v>37</v>
      </c>
      <c r="F9" s="948"/>
      <c r="G9" s="949"/>
      <c r="H9" s="26"/>
      <c r="I9" s="947" t="s">
        <v>35</v>
      </c>
      <c r="J9" s="948"/>
      <c r="K9" s="949"/>
      <c r="L9" s="26"/>
      <c r="M9" s="950" t="s">
        <v>38</v>
      </c>
      <c r="N9" s="951"/>
      <c r="O9" s="952"/>
      <c r="P9" s="26"/>
      <c r="Q9" s="953" t="s">
        <v>39</v>
      </c>
      <c r="R9" s="954"/>
      <c r="S9" s="955"/>
      <c r="T9" s="17"/>
      <c r="U9" s="17"/>
    </row>
    <row r="10" spans="1:21" s="35" customFormat="1" ht="20.100000000000001" customHeight="1" thickBot="1">
      <c r="A10" s="32" t="s">
        <v>12</v>
      </c>
      <c r="B10" s="291" t="s">
        <v>147</v>
      </c>
      <c r="C10" s="292" t="s">
        <v>148</v>
      </c>
      <c r="D10" s="31"/>
      <c r="E10" s="32" t="s">
        <v>12</v>
      </c>
      <c r="F10" s="291" t="s">
        <v>147</v>
      </c>
      <c r="G10" s="292" t="s">
        <v>148</v>
      </c>
      <c r="H10" s="31"/>
      <c r="I10" s="32" t="s">
        <v>12</v>
      </c>
      <c r="J10" s="291" t="s">
        <v>147</v>
      </c>
      <c r="K10" s="292" t="s">
        <v>148</v>
      </c>
      <c r="L10" s="33"/>
      <c r="M10" s="32" t="s">
        <v>12</v>
      </c>
      <c r="N10" s="291" t="s">
        <v>147</v>
      </c>
      <c r="O10" s="292" t="s">
        <v>148</v>
      </c>
      <c r="P10" s="33"/>
      <c r="Q10" s="32" t="s">
        <v>12</v>
      </c>
      <c r="R10" s="291" t="s">
        <v>147</v>
      </c>
      <c r="S10" s="292" t="s">
        <v>148</v>
      </c>
      <c r="T10" s="33"/>
      <c r="U10" s="34"/>
    </row>
    <row r="11" spans="1:21" ht="20.100000000000001" customHeight="1">
      <c r="A11" s="52"/>
      <c r="B11" s="53"/>
      <c r="C11" s="134"/>
      <c r="D11" s="199"/>
      <c r="E11" s="105"/>
      <c r="F11" s="105"/>
      <c r="G11" s="133"/>
      <c r="H11" s="199"/>
      <c r="I11" s="635" t="s">
        <v>181</v>
      </c>
      <c r="J11" s="636">
        <v>3.72</v>
      </c>
      <c r="K11" s="637">
        <f>J11-$O$6</f>
        <v>3.5970000000000004</v>
      </c>
      <c r="L11" s="638" t="s">
        <v>184</v>
      </c>
      <c r="M11" s="695" t="s">
        <v>178</v>
      </c>
      <c r="N11" s="696">
        <v>3.109</v>
      </c>
      <c r="O11" s="697">
        <f>N11-$O$6</f>
        <v>2.9859999999999998</v>
      </c>
      <c r="P11" s="638" t="s">
        <v>184</v>
      </c>
      <c r="Q11" s="847" t="s">
        <v>175</v>
      </c>
      <c r="R11" s="848">
        <v>2.5019999999999998</v>
      </c>
      <c r="S11" s="849">
        <f>R11-$O$6</f>
        <v>2.3789999999999996</v>
      </c>
      <c r="T11" s="199" t="s">
        <v>184</v>
      </c>
      <c r="U11" s="17"/>
    </row>
    <row r="12" spans="1:21" ht="20.100000000000001" customHeight="1">
      <c r="A12" s="52"/>
      <c r="B12" s="53"/>
      <c r="C12" s="134"/>
      <c r="D12" s="199"/>
      <c r="E12" s="105"/>
      <c r="F12" s="105"/>
      <c r="G12" s="133"/>
      <c r="H12" s="199"/>
      <c r="I12" s="695" t="s">
        <v>182</v>
      </c>
      <c r="J12" s="698">
        <v>3.7229999999999999</v>
      </c>
      <c r="K12" s="699">
        <f t="shared" ref="K12" si="0">J12-$O$6</f>
        <v>3.5999999999999996</v>
      </c>
      <c r="L12" s="199" t="s">
        <v>184</v>
      </c>
      <c r="M12" s="54" t="s">
        <v>179</v>
      </c>
      <c r="N12" s="107">
        <v>3.036</v>
      </c>
      <c r="O12" s="294">
        <f t="shared" ref="O12:O13" si="1">N12-$O$6</f>
        <v>2.9130000000000003</v>
      </c>
      <c r="P12" s="199" t="s">
        <v>184</v>
      </c>
      <c r="Q12" s="54" t="s">
        <v>176</v>
      </c>
      <c r="R12" s="106">
        <v>2.5019999999999998</v>
      </c>
      <c r="S12" s="294">
        <f>R12-$O$6</f>
        <v>2.3789999999999996</v>
      </c>
      <c r="T12" s="199" t="s">
        <v>184</v>
      </c>
      <c r="U12" s="17"/>
    </row>
    <row r="13" spans="1:21" ht="20.100000000000001" customHeight="1">
      <c r="A13" s="52"/>
      <c r="B13" s="53"/>
      <c r="C13" s="134"/>
      <c r="D13" s="199"/>
      <c r="E13" s="105"/>
      <c r="F13" s="105"/>
      <c r="G13" s="133"/>
      <c r="H13" s="199"/>
      <c r="I13" s="695" t="s">
        <v>183</v>
      </c>
      <c r="J13" s="698">
        <v>3.7250000000000001</v>
      </c>
      <c r="K13" s="699">
        <f>J13-$O$6</f>
        <v>3.6020000000000003</v>
      </c>
      <c r="L13" s="199" t="s">
        <v>184</v>
      </c>
      <c r="M13" s="695" t="s">
        <v>180</v>
      </c>
      <c r="N13" s="696">
        <v>3.1150000000000002</v>
      </c>
      <c r="O13" s="697">
        <f t="shared" si="1"/>
        <v>2.992</v>
      </c>
      <c r="P13" s="199" t="s">
        <v>184</v>
      </c>
      <c r="Q13" s="54" t="s">
        <v>177</v>
      </c>
      <c r="R13" s="295">
        <v>2.4900000000000002</v>
      </c>
      <c r="S13" s="294">
        <f>R13-$O$6</f>
        <v>2.367</v>
      </c>
      <c r="T13" s="199" t="s">
        <v>184</v>
      </c>
      <c r="U13" s="17"/>
    </row>
    <row r="14" spans="1:21" ht="20.100000000000001" customHeight="1">
      <c r="A14" s="52"/>
      <c r="B14" s="53"/>
      <c r="C14" s="134"/>
      <c r="D14" s="199"/>
      <c r="E14" s="105"/>
      <c r="F14" s="105"/>
      <c r="G14" s="133"/>
      <c r="H14" s="199"/>
      <c r="I14" s="54"/>
      <c r="J14" s="295"/>
      <c r="K14" s="296"/>
      <c r="L14" s="199"/>
      <c r="M14" s="52"/>
      <c r="N14" s="107"/>
      <c r="O14" s="294"/>
      <c r="P14" s="52"/>
      <c r="Q14" s="54"/>
      <c r="R14" s="72"/>
      <c r="S14" s="132"/>
      <c r="T14" s="207"/>
      <c r="U14" s="17"/>
    </row>
    <row r="15" spans="1:21" ht="20.100000000000001" customHeight="1">
      <c r="A15" s="105"/>
      <c r="B15" s="108"/>
      <c r="C15" s="131"/>
      <c r="D15" s="199"/>
      <c r="E15" s="105"/>
      <c r="F15" s="105"/>
      <c r="G15" s="131"/>
      <c r="H15" s="199"/>
      <c r="I15" s="54"/>
      <c r="J15" s="295"/>
      <c r="K15" s="296"/>
      <c r="L15" s="199"/>
      <c r="M15" s="52"/>
      <c r="N15" s="107"/>
      <c r="O15" s="294"/>
      <c r="P15" s="52"/>
      <c r="Q15" s="642"/>
      <c r="R15" s="56"/>
      <c r="S15" s="130"/>
      <c r="T15" s="207"/>
      <c r="U15" s="17"/>
    </row>
    <row r="16" spans="1:21" ht="20.100000000000001" customHeight="1">
      <c r="A16" s="52"/>
      <c r="B16" s="53"/>
      <c r="C16" s="130"/>
      <c r="D16" s="199"/>
      <c r="E16" s="52"/>
      <c r="F16" s="52"/>
      <c r="G16" s="130"/>
      <c r="H16" s="199"/>
      <c r="I16" s="642" t="s">
        <v>278</v>
      </c>
      <c r="J16" s="643">
        <f>12.21/3.281</f>
        <v>3.7214263943919539</v>
      </c>
      <c r="K16" s="644">
        <f>J16-$O$6</f>
        <v>3.5984263943919537</v>
      </c>
      <c r="L16" s="645"/>
      <c r="M16" s="646"/>
      <c r="N16" s="647"/>
      <c r="O16" s="648"/>
      <c r="P16" s="646"/>
      <c r="Q16" s="642"/>
      <c r="R16" s="649"/>
      <c r="S16" s="648"/>
      <c r="T16" s="207"/>
      <c r="U16" s="17"/>
    </row>
    <row r="17" spans="1:23" ht="20.100000000000001" customHeight="1">
      <c r="A17" s="52"/>
      <c r="B17" s="56"/>
      <c r="C17" s="130"/>
      <c r="D17" s="199"/>
      <c r="E17" s="52"/>
      <c r="F17" s="56"/>
      <c r="G17" s="130"/>
      <c r="H17" s="199"/>
      <c r="I17" s="642" t="s">
        <v>279</v>
      </c>
      <c r="J17" s="643">
        <f>12.22/3.281</f>
        <v>3.7244742456568121</v>
      </c>
      <c r="K17" s="644">
        <f t="shared" ref="K17:K18" si="2">J17-$O$6</f>
        <v>3.6014742456568118</v>
      </c>
      <c r="L17" s="645"/>
      <c r="M17" s="646"/>
      <c r="N17" s="647"/>
      <c r="O17" s="648"/>
      <c r="P17" s="646"/>
      <c r="Q17" s="850" t="s">
        <v>272</v>
      </c>
      <c r="R17" s="851">
        <f>8.22/3.281</f>
        <v>2.5053337397135023</v>
      </c>
      <c r="S17" s="852">
        <f>R17-$O$6</f>
        <v>2.382333739713502</v>
      </c>
      <c r="T17" s="207"/>
      <c r="U17" s="17"/>
    </row>
    <row r="18" spans="1:23" ht="20.100000000000001" customHeight="1">
      <c r="A18" s="52"/>
      <c r="B18" s="56"/>
      <c r="C18" s="130"/>
      <c r="D18" s="199"/>
      <c r="E18" s="52"/>
      <c r="F18" s="56"/>
      <c r="G18" s="130"/>
      <c r="H18" s="199"/>
      <c r="I18" s="642" t="s">
        <v>280</v>
      </c>
      <c r="J18" s="643">
        <f>12.2/3.281</f>
        <v>3.7183785431270948</v>
      </c>
      <c r="K18" s="644">
        <f t="shared" si="2"/>
        <v>3.5953785431270946</v>
      </c>
      <c r="L18" s="645"/>
      <c r="M18" s="646"/>
      <c r="N18" s="647"/>
      <c r="O18" s="648"/>
      <c r="P18" s="646"/>
      <c r="Q18" s="642" t="s">
        <v>273</v>
      </c>
      <c r="R18" s="651">
        <f>8.19/3.281</f>
        <v>2.4961901859189268</v>
      </c>
      <c r="S18" s="650">
        <f t="shared" ref="S18:S19" si="3">R18-$O$6</f>
        <v>2.3731901859189266</v>
      </c>
      <c r="T18" s="207"/>
      <c r="U18" s="656" t="s">
        <v>287</v>
      </c>
      <c r="V18" s="657"/>
      <c r="W18" s="657"/>
    </row>
    <row r="19" spans="1:23" ht="20.100000000000001" customHeight="1">
      <c r="A19" s="52"/>
      <c r="B19" s="56"/>
      <c r="C19" s="130"/>
      <c r="D19" s="199"/>
      <c r="E19" s="52"/>
      <c r="F19" s="56"/>
      <c r="G19" s="130"/>
      <c r="H19" s="199"/>
      <c r="I19" s="642"/>
      <c r="J19" s="652"/>
      <c r="K19" s="648"/>
      <c r="L19" s="645"/>
      <c r="M19" s="646"/>
      <c r="N19" s="647"/>
      <c r="O19" s="648"/>
      <c r="P19" s="646"/>
      <c r="Q19" s="642" t="s">
        <v>274</v>
      </c>
      <c r="R19" s="643">
        <f>7.86/3.281</f>
        <v>2.3956110941786042</v>
      </c>
      <c r="S19" s="650">
        <f t="shared" si="3"/>
        <v>2.272611094178604</v>
      </c>
      <c r="T19" s="207"/>
      <c r="U19" s="17"/>
    </row>
    <row r="20" spans="1:23" ht="20.100000000000001" customHeight="1">
      <c r="A20" s="52"/>
      <c r="B20" s="56"/>
      <c r="C20" s="130"/>
      <c r="D20" s="199"/>
      <c r="E20" s="52"/>
      <c r="F20" s="56"/>
      <c r="G20" s="130"/>
      <c r="H20" s="199"/>
      <c r="I20" s="54"/>
      <c r="J20" s="70"/>
      <c r="K20" s="130"/>
      <c r="L20" s="199"/>
      <c r="M20" s="52"/>
      <c r="N20" s="71"/>
      <c r="O20" s="130"/>
      <c r="P20" s="52"/>
      <c r="Q20" s="200"/>
      <c r="R20" s="104"/>
      <c r="S20" s="130"/>
      <c r="T20" s="207"/>
      <c r="U20" s="17"/>
    </row>
    <row r="21" spans="1:23" ht="20.100000000000001" customHeight="1">
      <c r="A21" s="52"/>
      <c r="B21" s="56"/>
      <c r="C21" s="130"/>
      <c r="D21" s="199"/>
      <c r="E21" s="52"/>
      <c r="F21" s="56"/>
      <c r="G21" s="130"/>
      <c r="H21" s="199"/>
      <c r="I21" s="54"/>
      <c r="J21" s="70"/>
      <c r="K21" s="129"/>
      <c r="L21" s="199"/>
      <c r="M21" s="52"/>
      <c r="N21" s="71"/>
      <c r="O21" s="57"/>
      <c r="P21" s="52"/>
      <c r="Q21" s="200"/>
      <c r="R21" s="104"/>
      <c r="S21" s="57"/>
      <c r="T21" s="207"/>
      <c r="U21" s="17"/>
    </row>
    <row r="22" spans="1:23" ht="20.100000000000001" customHeight="1">
      <c r="A22" s="52"/>
      <c r="B22" s="56"/>
      <c r="C22" s="130"/>
      <c r="D22" s="199"/>
      <c r="E22" s="52"/>
      <c r="F22" s="56"/>
      <c r="G22" s="130"/>
      <c r="H22" s="199"/>
      <c r="I22" s="54"/>
      <c r="J22" s="70"/>
      <c r="K22" s="130"/>
      <c r="L22" s="199"/>
      <c r="M22" s="52"/>
      <c r="N22" s="71"/>
      <c r="O22" s="201"/>
      <c r="P22" s="52"/>
      <c r="Q22" s="200"/>
      <c r="R22" s="104"/>
      <c r="S22" s="201"/>
      <c r="T22" s="207"/>
      <c r="U22" s="17"/>
    </row>
    <row r="23" spans="1:23" ht="20.100000000000001" customHeight="1">
      <c r="A23" s="52"/>
      <c r="B23" s="56"/>
      <c r="C23" s="130"/>
      <c r="D23" s="199"/>
      <c r="E23" s="52"/>
      <c r="F23" s="56"/>
      <c r="G23" s="130"/>
      <c r="H23" s="199"/>
      <c r="I23" s="54"/>
      <c r="J23" s="70"/>
      <c r="K23" s="129"/>
      <c r="L23" s="199"/>
      <c r="M23" s="52"/>
      <c r="N23" s="71"/>
      <c r="O23" s="57"/>
      <c r="P23" s="52"/>
      <c r="Q23" s="200"/>
      <c r="R23" s="104"/>
      <c r="S23" s="57"/>
      <c r="T23" s="207"/>
      <c r="U23" s="17"/>
    </row>
    <row r="24" spans="1:23" s="40" customFormat="1" ht="20.100000000000001" customHeight="1" thickBot="1">
      <c r="A24" s="941" t="s">
        <v>40</v>
      </c>
      <c r="B24" s="942"/>
      <c r="C24" s="943"/>
      <c r="D24" s="206"/>
      <c r="E24" s="941" t="s">
        <v>41</v>
      </c>
      <c r="F24" s="942"/>
      <c r="G24" s="943"/>
      <c r="H24" s="206"/>
      <c r="I24" s="941" t="s">
        <v>42</v>
      </c>
      <c r="J24" s="942"/>
      <c r="K24" s="943"/>
      <c r="L24" s="199"/>
      <c r="M24" s="941" t="s">
        <v>43</v>
      </c>
      <c r="N24" s="942"/>
      <c r="O24" s="943"/>
      <c r="P24" s="52"/>
      <c r="Q24" s="200"/>
      <c r="R24" s="200"/>
      <c r="S24" s="205"/>
      <c r="T24" s="207"/>
      <c r="U24" s="39"/>
    </row>
    <row r="25" spans="1:23" s="35" customFormat="1" ht="20.100000000000001" customHeight="1" thickBot="1">
      <c r="A25" s="29" t="s">
        <v>12</v>
      </c>
      <c r="B25" s="291" t="s">
        <v>147</v>
      </c>
      <c r="C25" s="292" t="s">
        <v>148</v>
      </c>
      <c r="D25" s="41"/>
      <c r="E25" s="30" t="s">
        <v>12</v>
      </c>
      <c r="F25" s="291" t="s">
        <v>147</v>
      </c>
      <c r="G25" s="292" t="s">
        <v>148</v>
      </c>
      <c r="H25" s="41"/>
      <c r="I25" s="30" t="s">
        <v>12</v>
      </c>
      <c r="J25" s="291" t="s">
        <v>147</v>
      </c>
      <c r="K25" s="292" t="s">
        <v>148</v>
      </c>
      <c r="L25" s="38"/>
      <c r="M25" s="30" t="s">
        <v>12</v>
      </c>
      <c r="N25" s="291" t="s">
        <v>147</v>
      </c>
      <c r="O25" s="292" t="s">
        <v>148</v>
      </c>
      <c r="P25" s="36"/>
      <c r="Q25" s="293"/>
      <c r="R25" s="293"/>
      <c r="S25" s="293"/>
      <c r="T25" s="37"/>
      <c r="U25" s="34"/>
    </row>
    <row r="26" spans="1:23" ht="20.100000000000001" customHeight="1">
      <c r="A26" s="54" t="s">
        <v>172</v>
      </c>
      <c r="B26" s="295">
        <v>1.89</v>
      </c>
      <c r="C26" s="296">
        <f>B26-$O$6</f>
        <v>1.7669999999999999</v>
      </c>
      <c r="D26" s="199" t="s">
        <v>184</v>
      </c>
      <c r="E26" s="54" t="s">
        <v>169</v>
      </c>
      <c r="F26" s="295">
        <v>1.2589999999999999</v>
      </c>
      <c r="G26" s="296">
        <f>F26-$O$6</f>
        <v>1.1359999999999999</v>
      </c>
      <c r="H26" s="199" t="s">
        <v>184</v>
      </c>
      <c r="I26" s="54" t="s">
        <v>166</v>
      </c>
      <c r="J26" s="295">
        <v>0.97799999999999998</v>
      </c>
      <c r="K26" s="296">
        <f>J26-$O$6</f>
        <v>0.85499999999999998</v>
      </c>
      <c r="L26" s="199" t="s">
        <v>184</v>
      </c>
      <c r="M26" s="54"/>
      <c r="N26" s="203"/>
      <c r="O26" s="136"/>
      <c r="P26" s="52"/>
      <c r="Q26" s="200"/>
      <c r="R26" s="204"/>
      <c r="S26" s="132"/>
      <c r="T26" s="207"/>
      <c r="U26" s="17"/>
    </row>
    <row r="27" spans="1:23" ht="20.100000000000001" customHeight="1">
      <c r="A27" s="695" t="s">
        <v>173</v>
      </c>
      <c r="B27" s="700">
        <v>1.8959999999999999</v>
      </c>
      <c r="C27" s="699">
        <f t="shared" ref="C27:C28" si="4">B27-$O$6</f>
        <v>1.7729999999999999</v>
      </c>
      <c r="D27" s="199" t="s">
        <v>184</v>
      </c>
      <c r="E27" s="54" t="s">
        <v>170</v>
      </c>
      <c r="F27" s="106">
        <v>1.286</v>
      </c>
      <c r="G27" s="296">
        <f>F27-$O$6</f>
        <v>1.163</v>
      </c>
      <c r="H27" s="199" t="s">
        <v>184</v>
      </c>
      <c r="I27" s="54" t="s">
        <v>167</v>
      </c>
      <c r="J27" s="107">
        <v>0.97799999999999998</v>
      </c>
      <c r="K27" s="296">
        <f>J27-$O$6</f>
        <v>0.85499999999999998</v>
      </c>
      <c r="L27" s="199" t="s">
        <v>184</v>
      </c>
      <c r="M27" s="54"/>
      <c r="N27" s="73"/>
      <c r="O27" s="136"/>
      <c r="P27" s="52"/>
      <c r="Q27" s="200"/>
      <c r="R27" s="55"/>
      <c r="S27" s="132"/>
      <c r="T27" s="207"/>
      <c r="U27" s="17"/>
    </row>
    <row r="28" spans="1:23" ht="20.100000000000001" customHeight="1">
      <c r="A28" s="54" t="s">
        <v>174</v>
      </c>
      <c r="B28" s="106">
        <v>1.823</v>
      </c>
      <c r="C28" s="296">
        <f t="shared" si="4"/>
        <v>1.7</v>
      </c>
      <c r="D28" s="199" t="s">
        <v>184</v>
      </c>
      <c r="E28" s="54" t="s">
        <v>171</v>
      </c>
      <c r="F28" s="106">
        <v>1.286</v>
      </c>
      <c r="G28" s="296">
        <f t="shared" ref="G28" si="5">F28-$O$6</f>
        <v>1.163</v>
      </c>
      <c r="H28" s="199" t="s">
        <v>184</v>
      </c>
      <c r="I28" s="54" t="s">
        <v>168</v>
      </c>
      <c r="J28" s="107">
        <v>0.97799999999999998</v>
      </c>
      <c r="K28" s="296">
        <f>J28-$O$6</f>
        <v>0.85499999999999998</v>
      </c>
      <c r="L28" s="199" t="s">
        <v>184</v>
      </c>
      <c r="M28" s="54"/>
      <c r="N28" s="73"/>
      <c r="O28" s="136"/>
      <c r="P28" s="52"/>
      <c r="Q28" s="200"/>
      <c r="R28" s="55"/>
      <c r="S28" s="132" t="str">
        <f t="shared" ref="S28:S29" si="6">IF(R28&gt;0, R28-0.0785,"")</f>
        <v/>
      </c>
      <c r="T28" s="207"/>
      <c r="U28" s="17"/>
    </row>
    <row r="29" spans="1:23" ht="20.100000000000001" customHeight="1">
      <c r="A29" s="52"/>
      <c r="B29" s="72"/>
      <c r="C29" s="134"/>
      <c r="D29" s="52"/>
      <c r="E29" s="105"/>
      <c r="F29" s="106"/>
      <c r="G29" s="133"/>
      <c r="H29" s="52"/>
      <c r="I29" s="105"/>
      <c r="J29" s="107"/>
      <c r="K29" s="128"/>
      <c r="L29" s="52"/>
      <c r="M29" s="54"/>
      <c r="N29" s="73"/>
      <c r="O29" s="136"/>
      <c r="P29" s="52"/>
      <c r="Q29" s="200"/>
      <c r="R29" s="55"/>
      <c r="S29" s="132" t="str">
        <f t="shared" si="6"/>
        <v/>
      </c>
      <c r="T29" s="207"/>
      <c r="U29" s="17"/>
    </row>
    <row r="30" spans="1:23" ht="20.100000000000001" customHeight="1">
      <c r="A30" s="52"/>
      <c r="B30" s="54"/>
      <c r="C30" s="130"/>
      <c r="D30" s="52"/>
      <c r="E30" s="52"/>
      <c r="F30" s="53"/>
      <c r="G30" s="130"/>
      <c r="H30" s="52"/>
      <c r="I30" s="52"/>
      <c r="J30" s="52"/>
      <c r="K30" s="130"/>
      <c r="L30" s="52"/>
      <c r="M30" s="54"/>
      <c r="N30" s="56"/>
      <c r="O30" s="129"/>
      <c r="P30" s="52"/>
      <c r="Q30" s="200"/>
      <c r="R30" s="55"/>
      <c r="S30" s="132"/>
      <c r="T30" s="207"/>
      <c r="U30" s="17"/>
    </row>
    <row r="31" spans="1:23" ht="20.100000000000001" customHeight="1">
      <c r="A31" s="52"/>
      <c r="B31" s="54"/>
      <c r="C31" s="129"/>
      <c r="D31" s="52"/>
      <c r="E31" s="52"/>
      <c r="F31" s="54"/>
      <c r="G31" s="130"/>
      <c r="H31" s="52"/>
      <c r="I31" s="52"/>
      <c r="J31" s="52"/>
      <c r="K31" s="130"/>
      <c r="L31" s="52"/>
      <c r="M31" s="54"/>
      <c r="N31" s="56"/>
      <c r="O31" s="130"/>
      <c r="P31" s="52"/>
      <c r="Q31" s="200"/>
      <c r="R31" s="104"/>
      <c r="S31" s="132"/>
      <c r="T31" s="207"/>
      <c r="U31" s="17"/>
    </row>
    <row r="32" spans="1:23" ht="20.100000000000001" customHeight="1">
      <c r="A32" s="646" t="s">
        <v>275</v>
      </c>
      <c r="B32" s="653">
        <f>6.22/3.281</f>
        <v>1.8957634867418469</v>
      </c>
      <c r="C32" s="654">
        <f t="shared" ref="C32:C34" si="7">B32-$O$6</f>
        <v>1.7727634867418469</v>
      </c>
      <c r="D32" s="646"/>
      <c r="E32" s="646" t="s">
        <v>284</v>
      </c>
      <c r="F32" s="653">
        <f>4.2/3.281</f>
        <v>1.2800975312404754</v>
      </c>
      <c r="G32" s="654">
        <f t="shared" ref="G32:G34" si="8">F32-$O$6</f>
        <v>1.1570975312404754</v>
      </c>
      <c r="H32" s="646"/>
      <c r="I32" s="646" t="s">
        <v>281</v>
      </c>
      <c r="J32" s="655">
        <f>3.22/3.281</f>
        <v>0.98140810728436456</v>
      </c>
      <c r="K32" s="654">
        <f>J32-$O$6</f>
        <v>0.85840810728436456</v>
      </c>
      <c r="L32" s="52"/>
      <c r="M32" s="54"/>
      <c r="N32" s="55"/>
      <c r="O32" s="130"/>
      <c r="P32" s="52"/>
      <c r="Q32" s="200"/>
      <c r="R32" s="104"/>
      <c r="S32" s="132"/>
      <c r="T32" s="207"/>
      <c r="U32" s="17"/>
    </row>
    <row r="33" spans="1:21" ht="20.100000000000001" customHeight="1">
      <c r="A33" s="646" t="s">
        <v>276</v>
      </c>
      <c r="B33" s="653">
        <f>5.99/3.281</f>
        <v>1.8256629076501067</v>
      </c>
      <c r="C33" s="654">
        <f t="shared" si="7"/>
        <v>1.7026629076501067</v>
      </c>
      <c r="D33" s="646"/>
      <c r="E33" s="646" t="s">
        <v>285</v>
      </c>
      <c r="F33" s="653">
        <f>4.2/3.281</f>
        <v>1.2800975312404754</v>
      </c>
      <c r="G33" s="654">
        <f t="shared" si="8"/>
        <v>1.1570975312404754</v>
      </c>
      <c r="H33" s="646"/>
      <c r="I33" s="646" t="s">
        <v>282</v>
      </c>
      <c r="J33" s="655">
        <f>3.22/3.281</f>
        <v>0.98140810728436456</v>
      </c>
      <c r="K33" s="654">
        <f t="shared" ref="K33:K34" si="9">J33-$O$6</f>
        <v>0.85840810728436456</v>
      </c>
      <c r="L33" s="52"/>
      <c r="M33" s="54"/>
      <c r="N33" s="55"/>
      <c r="O33" s="130"/>
      <c r="P33" s="52"/>
      <c r="Q33" s="200"/>
      <c r="R33" s="104"/>
      <c r="S33" s="132"/>
      <c r="T33" s="207"/>
      <c r="U33" s="17"/>
    </row>
    <row r="34" spans="1:21" ht="20.100000000000001" customHeight="1">
      <c r="A34" s="646" t="s">
        <v>277</v>
      </c>
      <c r="B34" s="653">
        <f>6.21/3.281</f>
        <v>1.8927156354769887</v>
      </c>
      <c r="C34" s="654">
        <f t="shared" si="7"/>
        <v>1.7697156354769887</v>
      </c>
      <c r="D34" s="646"/>
      <c r="E34" s="646" t="s">
        <v>286</v>
      </c>
      <c r="F34" s="653">
        <f>4.2/3.281</f>
        <v>1.2800975312404754</v>
      </c>
      <c r="G34" s="654">
        <f t="shared" si="8"/>
        <v>1.1570975312404754</v>
      </c>
      <c r="H34" s="646"/>
      <c r="I34" s="646" t="s">
        <v>283</v>
      </c>
      <c r="J34" s="655">
        <f>3.21/3.281</f>
        <v>0.97836025601950616</v>
      </c>
      <c r="K34" s="654">
        <f t="shared" si="9"/>
        <v>0.85536025601950616</v>
      </c>
      <c r="L34" s="52"/>
      <c r="M34" s="54"/>
      <c r="N34" s="55"/>
      <c r="O34" s="130"/>
      <c r="P34" s="52"/>
      <c r="Q34" s="200"/>
      <c r="R34" s="104"/>
      <c r="S34" s="132"/>
      <c r="T34" s="207"/>
      <c r="U34" s="17"/>
    </row>
    <row r="35" spans="1:21" ht="20.100000000000001" customHeight="1">
      <c r="A35" s="52"/>
      <c r="B35" s="54"/>
      <c r="C35" s="129"/>
      <c r="D35" s="52"/>
      <c r="E35" s="52"/>
      <c r="F35" s="54"/>
      <c r="G35" s="130"/>
      <c r="H35" s="52"/>
      <c r="I35" s="52"/>
      <c r="J35" s="52"/>
      <c r="K35" s="130"/>
      <c r="L35" s="52"/>
      <c r="M35" s="54"/>
      <c r="N35" s="55"/>
      <c r="O35" s="130"/>
      <c r="P35" s="52"/>
      <c r="Q35" s="200"/>
      <c r="R35" s="104"/>
      <c r="S35" s="132"/>
      <c r="T35" s="207"/>
      <c r="U35" s="17"/>
    </row>
    <row r="36" spans="1:21" ht="20.100000000000001" customHeight="1">
      <c r="A36" s="52"/>
      <c r="B36" s="54"/>
      <c r="C36" s="129"/>
      <c r="D36" s="52"/>
      <c r="E36" s="52"/>
      <c r="F36" s="54"/>
      <c r="G36" s="130"/>
      <c r="H36" s="52"/>
      <c r="I36" s="52"/>
      <c r="J36" s="52"/>
      <c r="K36" s="130"/>
      <c r="L36" s="52"/>
      <c r="M36" s="54"/>
      <c r="N36" s="55"/>
      <c r="O36" s="130"/>
      <c r="P36" s="52"/>
      <c r="Q36" s="200"/>
      <c r="R36" s="104"/>
      <c r="S36" s="132"/>
      <c r="T36" s="207"/>
      <c r="U36" s="17"/>
    </row>
    <row r="37" spans="1:21" ht="20.100000000000001" customHeight="1">
      <c r="A37" s="200"/>
      <c r="B37" s="200"/>
      <c r="C37" s="200"/>
      <c r="D37" s="52"/>
      <c r="E37" s="200"/>
      <c r="F37" s="200"/>
      <c r="G37" s="200"/>
      <c r="H37" s="52"/>
      <c r="I37" s="200"/>
      <c r="J37" s="200"/>
      <c r="K37" s="200"/>
      <c r="L37" s="52"/>
      <c r="M37" s="200"/>
      <c r="N37" s="200"/>
      <c r="O37" s="132"/>
      <c r="P37" s="52"/>
      <c r="Q37" s="200"/>
      <c r="R37" s="104"/>
      <c r="S37" s="132" t="str">
        <f>IF(R37&gt;0, R37-0.0785,"")</f>
        <v/>
      </c>
      <c r="T37" s="207"/>
      <c r="U37" s="17"/>
    </row>
    <row r="38" spans="1:21">
      <c r="A38" s="42"/>
      <c r="B38" s="42"/>
      <c r="C38" s="43"/>
      <c r="D38" s="42"/>
      <c r="E38" s="42"/>
      <c r="F38" s="44"/>
      <c r="G38" s="45"/>
      <c r="H38" s="42"/>
      <c r="I38" s="44"/>
      <c r="J38" s="44"/>
      <c r="K38" s="43"/>
      <c r="L38" s="44"/>
      <c r="M38" s="44"/>
      <c r="N38" s="44"/>
      <c r="O38" s="43"/>
      <c r="P38" s="44"/>
    </row>
  </sheetData>
  <mergeCells count="13">
    <mergeCell ref="A24:C24"/>
    <mergeCell ref="E24:G24"/>
    <mergeCell ref="I24:K24"/>
    <mergeCell ref="M24:O24"/>
    <mergeCell ref="A1:S1"/>
    <mergeCell ref="A2:S2"/>
    <mergeCell ref="A3:S3"/>
    <mergeCell ref="A4:S4"/>
    <mergeCell ref="A9:C9"/>
    <mergeCell ref="E9:G9"/>
    <mergeCell ref="I9:K9"/>
    <mergeCell ref="M9:O9"/>
    <mergeCell ref="Q9:S9"/>
  </mergeCells>
  <phoneticPr fontId="17" type="noConversion"/>
  <printOptions horizontalCentered="1"/>
  <pageMargins left="0" right="0" top="0.74803149606299213" bottom="0.74803149606299213" header="0.31496062992125984" footer="0.31496062992125984"/>
  <pageSetup paperSize="9" scale="5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FD11-71BE-4379-A4A2-164F6D989053}">
  <sheetPr>
    <tabColor rgb="FF00FF00"/>
  </sheetPr>
  <dimension ref="A1:U38"/>
  <sheetViews>
    <sheetView topLeftCell="A4" workbookViewId="0">
      <selection activeCell="K11" sqref="K11"/>
    </sheetView>
  </sheetViews>
  <sheetFormatPr defaultColWidth="9.140625" defaultRowHeight="12.75"/>
  <cols>
    <col min="1" max="1" width="6.5703125" style="46" bestFit="1" customWidth="1"/>
    <col min="2" max="2" width="10.140625" style="46" bestFit="1" customWidth="1"/>
    <col min="3" max="3" width="12.42578125" style="40" customWidth="1"/>
    <col min="4" max="4" width="1.7109375" style="46" customWidth="1"/>
    <col min="5" max="5" width="3.42578125" style="46" bestFit="1" customWidth="1"/>
    <col min="6" max="6" width="10.140625" style="18" bestFit="1" customWidth="1"/>
    <col min="7" max="7" width="12.28515625" style="47" bestFit="1" customWidth="1"/>
    <col min="8" max="8" width="1.7109375" style="46" customWidth="1"/>
    <col min="9" max="9" width="6.5703125" style="18" bestFit="1" customWidth="1"/>
    <col min="10" max="10" width="10.140625" style="18" bestFit="1" customWidth="1"/>
    <col min="11" max="11" width="12.28515625" style="40" bestFit="1" customWidth="1"/>
    <col min="12" max="12" width="1.7109375" style="18" customWidth="1"/>
    <col min="13" max="13" width="11.85546875" style="18" bestFit="1" customWidth="1"/>
    <col min="14" max="14" width="10.140625" style="18" bestFit="1" customWidth="1"/>
    <col min="15" max="15" width="12.28515625" style="40" bestFit="1" customWidth="1"/>
    <col min="16" max="16" width="1.7109375" style="18" customWidth="1"/>
    <col min="17" max="17" width="6.5703125" style="18" bestFit="1" customWidth="1"/>
    <col min="18" max="18" width="10.140625" style="18" bestFit="1" customWidth="1"/>
    <col min="19" max="19" width="12.28515625" style="18" bestFit="1" customWidth="1"/>
    <col min="20" max="20" width="1.7109375" style="18" customWidth="1"/>
    <col min="21" max="16384" width="9.140625" style="18"/>
  </cols>
  <sheetData>
    <row r="1" spans="1:21" ht="23.25">
      <c r="A1" s="944" t="str">
        <f>Tally!O6</f>
        <v>Jerun A-4</v>
      </c>
      <c r="B1" s="944"/>
      <c r="C1" s="944"/>
      <c r="D1" s="944"/>
      <c r="E1" s="944"/>
      <c r="F1" s="944"/>
      <c r="G1" s="944"/>
      <c r="H1" s="944"/>
      <c r="I1" s="944"/>
      <c r="J1" s="944"/>
      <c r="K1" s="944"/>
      <c r="L1" s="944"/>
      <c r="M1" s="944"/>
      <c r="N1" s="944"/>
      <c r="O1" s="944"/>
      <c r="P1" s="944"/>
      <c r="Q1" s="944"/>
      <c r="R1" s="944"/>
      <c r="S1" s="944"/>
      <c r="T1" s="17"/>
      <c r="U1" s="17"/>
    </row>
    <row r="2" spans="1:21" ht="23.25">
      <c r="A2" s="944" t="s">
        <v>150</v>
      </c>
      <c r="B2" s="944"/>
      <c r="C2" s="944"/>
      <c r="D2" s="944"/>
      <c r="E2" s="944"/>
      <c r="F2" s="944"/>
      <c r="G2" s="944"/>
      <c r="H2" s="944"/>
      <c r="I2" s="944"/>
      <c r="J2" s="944"/>
      <c r="K2" s="944"/>
      <c r="L2" s="944"/>
      <c r="M2" s="944"/>
      <c r="N2" s="944"/>
      <c r="O2" s="944"/>
      <c r="P2" s="944"/>
      <c r="Q2" s="944"/>
      <c r="R2" s="944"/>
      <c r="S2" s="944"/>
      <c r="T2" s="17"/>
      <c r="U2" s="17"/>
    </row>
    <row r="3" spans="1:21" ht="23.25">
      <c r="A3" s="945"/>
      <c r="B3" s="945"/>
      <c r="C3" s="945"/>
      <c r="D3" s="945"/>
      <c r="E3" s="945"/>
      <c r="F3" s="945"/>
      <c r="G3" s="945"/>
      <c r="H3" s="945"/>
      <c r="I3" s="945"/>
      <c r="J3" s="945"/>
      <c r="K3" s="945"/>
      <c r="L3" s="945"/>
      <c r="M3" s="945"/>
      <c r="N3" s="945"/>
      <c r="O3" s="945"/>
      <c r="P3" s="945"/>
      <c r="Q3" s="945"/>
      <c r="R3" s="945"/>
      <c r="S3" s="945"/>
      <c r="T3" s="17"/>
      <c r="U3" s="17"/>
    </row>
    <row r="4" spans="1:21" ht="23.25">
      <c r="A4" s="946" t="s">
        <v>10</v>
      </c>
      <c r="B4" s="946"/>
      <c r="C4" s="946"/>
      <c r="D4" s="946"/>
      <c r="E4" s="946"/>
      <c r="F4" s="946"/>
      <c r="G4" s="946"/>
      <c r="H4" s="946"/>
      <c r="I4" s="946"/>
      <c r="J4" s="946"/>
      <c r="K4" s="946"/>
      <c r="L4" s="946"/>
      <c r="M4" s="946"/>
      <c r="N4" s="946"/>
      <c r="O4" s="946"/>
      <c r="P4" s="946"/>
      <c r="Q4" s="946"/>
      <c r="R4" s="946"/>
      <c r="S4" s="946"/>
      <c r="T4" s="17"/>
      <c r="U4" s="17"/>
    </row>
    <row r="5" spans="1:21" ht="15.75">
      <c r="A5" s="19"/>
      <c r="B5" s="66"/>
      <c r="C5" s="65" t="s">
        <v>27</v>
      </c>
      <c r="D5" s="19"/>
      <c r="E5" s="19"/>
      <c r="F5" s="20"/>
      <c r="G5" s="21"/>
      <c r="H5" s="19"/>
      <c r="I5" s="19"/>
      <c r="J5" s="20"/>
      <c r="K5" s="21"/>
      <c r="L5" s="19"/>
      <c r="M5" s="22" t="s">
        <v>11</v>
      </c>
      <c r="N5" s="23"/>
      <c r="O5" s="24"/>
      <c r="P5" s="23" t="s">
        <v>8</v>
      </c>
      <c r="Q5" s="17"/>
      <c r="R5" s="25"/>
      <c r="S5" s="17"/>
      <c r="T5" s="17"/>
      <c r="U5" s="17"/>
    </row>
    <row r="6" spans="1:21" ht="15.75">
      <c r="A6" s="65"/>
      <c r="B6" s="135"/>
      <c r="C6" s="65" t="s">
        <v>47</v>
      </c>
      <c r="D6" s="26"/>
      <c r="E6" s="19"/>
      <c r="F6" s="20"/>
      <c r="G6" s="21"/>
      <c r="H6" s="26"/>
      <c r="I6" s="19"/>
      <c r="J6" s="20"/>
      <c r="K6" s="21"/>
      <c r="L6" s="26"/>
      <c r="M6" s="26"/>
      <c r="N6" s="26"/>
      <c r="O6" s="198">
        <f>Tally!O17</f>
        <v>0.121</v>
      </c>
      <c r="P6" s="68" t="s">
        <v>31</v>
      </c>
      <c r="Q6" s="17"/>
      <c r="R6" s="25"/>
      <c r="S6" s="17"/>
      <c r="T6" s="17"/>
      <c r="U6" s="17"/>
    </row>
    <row r="7" spans="1:21" ht="15.75">
      <c r="A7" s="65"/>
      <c r="B7" s="127"/>
      <c r="C7" s="65" t="s">
        <v>149</v>
      </c>
      <c r="D7" s="26"/>
      <c r="E7" s="19"/>
      <c r="F7" s="20"/>
      <c r="G7" s="21"/>
      <c r="H7" s="26"/>
      <c r="I7" s="19"/>
      <c r="J7" s="20"/>
      <c r="K7" s="21"/>
      <c r="L7" s="26"/>
      <c r="M7" s="26"/>
      <c r="N7" s="26"/>
      <c r="O7" s="27"/>
      <c r="P7" s="26"/>
      <c r="Q7" s="17"/>
      <c r="R7" s="28"/>
      <c r="S7" s="17"/>
      <c r="T7" s="17"/>
      <c r="U7" s="17"/>
    </row>
    <row r="8" spans="1:21" ht="15.75">
      <c r="A8" s="65"/>
      <c r="B8" s="290"/>
      <c r="C8" s="21"/>
      <c r="D8" s="26"/>
      <c r="E8" s="19"/>
      <c r="F8" s="20"/>
      <c r="G8" s="21"/>
      <c r="H8" s="26"/>
      <c r="I8" s="19"/>
      <c r="J8" s="20"/>
      <c r="K8" s="21"/>
      <c r="L8" s="26"/>
      <c r="M8" s="26"/>
      <c r="N8" s="26"/>
      <c r="O8" s="27"/>
      <c r="P8" s="26"/>
      <c r="Q8" s="17"/>
      <c r="R8" s="28"/>
      <c r="S8" s="17"/>
      <c r="T8" s="17"/>
      <c r="U8" s="17"/>
    </row>
    <row r="9" spans="1:21" ht="16.5" thickBot="1">
      <c r="A9" s="947" t="s">
        <v>36</v>
      </c>
      <c r="B9" s="948"/>
      <c r="C9" s="949"/>
      <c r="D9" s="26"/>
      <c r="E9" s="947" t="s">
        <v>37</v>
      </c>
      <c r="F9" s="948"/>
      <c r="G9" s="949"/>
      <c r="H9" s="26"/>
      <c r="I9" s="947" t="s">
        <v>35</v>
      </c>
      <c r="J9" s="948"/>
      <c r="K9" s="949"/>
      <c r="L9" s="26"/>
      <c r="M9" s="950" t="s">
        <v>38</v>
      </c>
      <c r="N9" s="951"/>
      <c r="O9" s="952"/>
      <c r="P9" s="26"/>
      <c r="Q9" s="953" t="s">
        <v>39</v>
      </c>
      <c r="R9" s="954"/>
      <c r="S9" s="955"/>
      <c r="T9" s="17"/>
      <c r="U9" s="17"/>
    </row>
    <row r="10" spans="1:21" s="35" customFormat="1" ht="20.100000000000001" customHeight="1" thickBot="1">
      <c r="A10" s="32" t="s">
        <v>12</v>
      </c>
      <c r="B10" s="291" t="s">
        <v>147</v>
      </c>
      <c r="C10" s="292" t="s">
        <v>148</v>
      </c>
      <c r="D10" s="31"/>
      <c r="E10" s="32" t="s">
        <v>12</v>
      </c>
      <c r="F10" s="291" t="s">
        <v>147</v>
      </c>
      <c r="G10" s="292" t="s">
        <v>148</v>
      </c>
      <c r="H10" s="31"/>
      <c r="I10" s="32" t="s">
        <v>12</v>
      </c>
      <c r="J10" s="291" t="s">
        <v>147</v>
      </c>
      <c r="K10" s="292" t="s">
        <v>148</v>
      </c>
      <c r="L10" s="33"/>
      <c r="M10" s="32" t="s">
        <v>12</v>
      </c>
      <c r="N10" s="291" t="s">
        <v>147</v>
      </c>
      <c r="O10" s="292" t="s">
        <v>148</v>
      </c>
      <c r="P10" s="33"/>
      <c r="Q10" s="32" t="s">
        <v>12</v>
      </c>
      <c r="R10" s="291" t="s">
        <v>147</v>
      </c>
      <c r="S10" s="292" t="s">
        <v>148</v>
      </c>
      <c r="T10" s="33"/>
      <c r="U10" s="34"/>
    </row>
    <row r="11" spans="1:21" ht="20.100000000000001" customHeight="1">
      <c r="A11" s="52"/>
      <c r="B11" s="53"/>
      <c r="C11" s="134"/>
      <c r="D11" s="199"/>
      <c r="E11" s="105"/>
      <c r="F11" s="105"/>
      <c r="G11" s="133"/>
      <c r="H11" s="199"/>
      <c r="I11" s="299" t="s">
        <v>158</v>
      </c>
      <c r="J11" s="300">
        <v>3.72</v>
      </c>
      <c r="K11" s="308">
        <f>J11-$O$6</f>
        <v>3.5990000000000002</v>
      </c>
      <c r="L11" s="199"/>
      <c r="M11" s="302" t="s">
        <v>153</v>
      </c>
      <c r="N11" s="303">
        <v>3.11</v>
      </c>
      <c r="O11" s="301">
        <f>N11-$O$6</f>
        <v>2.9889999999999999</v>
      </c>
      <c r="P11" s="52"/>
      <c r="Q11" s="299" t="s">
        <v>151</v>
      </c>
      <c r="R11" s="300">
        <v>2.5049999999999999</v>
      </c>
      <c r="S11" s="301">
        <f>R11-$O$6</f>
        <v>2.3839999999999999</v>
      </c>
      <c r="T11" s="207"/>
      <c r="U11" s="17"/>
    </row>
    <row r="12" spans="1:21" ht="20.100000000000001" customHeight="1">
      <c r="A12" s="52"/>
      <c r="B12" s="53"/>
      <c r="C12" s="134"/>
      <c r="D12" s="199"/>
      <c r="E12" s="105"/>
      <c r="F12" s="105"/>
      <c r="G12" s="133"/>
      <c r="H12" s="199"/>
      <c r="I12" s="54" t="s">
        <v>159</v>
      </c>
      <c r="J12" s="295">
        <v>3.7170000000000001</v>
      </c>
      <c r="K12" s="296">
        <f t="shared" ref="K12:K17" si="0">J12-$O$6</f>
        <v>3.5960000000000001</v>
      </c>
      <c r="L12" s="199"/>
      <c r="M12" s="52" t="s">
        <v>154</v>
      </c>
      <c r="N12" s="107">
        <v>3.1120000000000001</v>
      </c>
      <c r="O12" s="294">
        <f t="shared" ref="O12:O14" si="1">N12-$O$6</f>
        <v>2.9910000000000001</v>
      </c>
      <c r="P12" s="52"/>
      <c r="Q12" s="54" t="s">
        <v>152</v>
      </c>
      <c r="R12" s="106">
        <v>2.508</v>
      </c>
      <c r="S12" s="294">
        <f>R12-$O$6</f>
        <v>2.387</v>
      </c>
      <c r="T12" s="207"/>
      <c r="U12" s="17"/>
    </row>
    <row r="13" spans="1:21" ht="20.100000000000001" customHeight="1">
      <c r="A13" s="52"/>
      <c r="B13" s="53"/>
      <c r="C13" s="134"/>
      <c r="D13" s="199"/>
      <c r="E13" s="105"/>
      <c r="F13" s="105"/>
      <c r="G13" s="133"/>
      <c r="H13" s="199"/>
      <c r="I13" s="54" t="s">
        <v>160</v>
      </c>
      <c r="J13" s="295">
        <v>3.7160000000000002</v>
      </c>
      <c r="K13" s="296">
        <f t="shared" si="0"/>
        <v>3.5950000000000002</v>
      </c>
      <c r="L13" s="199"/>
      <c r="M13" s="52" t="s">
        <v>155</v>
      </c>
      <c r="N13" s="107">
        <v>3.11</v>
      </c>
      <c r="O13" s="294">
        <f t="shared" si="1"/>
        <v>2.9889999999999999</v>
      </c>
      <c r="P13" s="52"/>
      <c r="Q13" s="54"/>
      <c r="R13" s="104"/>
      <c r="S13" s="132"/>
      <c r="T13" s="207"/>
      <c r="U13" s="17"/>
    </row>
    <row r="14" spans="1:21" ht="20.100000000000001" customHeight="1">
      <c r="A14" s="52"/>
      <c r="B14" s="53"/>
      <c r="C14" s="134"/>
      <c r="D14" s="199"/>
      <c r="E14" s="105"/>
      <c r="F14" s="105"/>
      <c r="G14" s="133"/>
      <c r="H14" s="199"/>
      <c r="I14" s="54" t="s">
        <v>161</v>
      </c>
      <c r="J14" s="295">
        <v>3.72</v>
      </c>
      <c r="K14" s="296">
        <f t="shared" si="0"/>
        <v>3.5990000000000002</v>
      </c>
      <c r="L14" s="199"/>
      <c r="M14" s="52" t="s">
        <v>156</v>
      </c>
      <c r="N14" s="107">
        <v>3.11</v>
      </c>
      <c r="O14" s="294">
        <f t="shared" si="1"/>
        <v>2.9889999999999999</v>
      </c>
      <c r="P14" s="52"/>
      <c r="Q14" s="54"/>
      <c r="R14" s="72"/>
      <c r="S14" s="132"/>
      <c r="T14" s="207"/>
      <c r="U14" s="17"/>
    </row>
    <row r="15" spans="1:21" ht="20.100000000000001" customHeight="1">
      <c r="A15" s="105"/>
      <c r="B15" s="108"/>
      <c r="C15" s="131"/>
      <c r="D15" s="199"/>
      <c r="E15" s="105"/>
      <c r="F15" s="105"/>
      <c r="G15" s="131"/>
      <c r="H15" s="199"/>
      <c r="I15" s="54" t="s">
        <v>162</v>
      </c>
      <c r="J15" s="295">
        <v>3.72</v>
      </c>
      <c r="K15" s="296">
        <f t="shared" si="0"/>
        <v>3.5990000000000002</v>
      </c>
      <c r="L15" s="199"/>
      <c r="M15" s="52" t="s">
        <v>157</v>
      </c>
      <c r="N15" s="107">
        <v>3.11</v>
      </c>
      <c r="O15" s="294">
        <f>N15-$O$6</f>
        <v>2.9889999999999999</v>
      </c>
      <c r="P15" s="52"/>
      <c r="Q15" s="54"/>
      <c r="R15" s="56"/>
      <c r="S15" s="130"/>
      <c r="T15" s="207"/>
      <c r="U15" s="17"/>
    </row>
    <row r="16" spans="1:21" ht="20.100000000000001" customHeight="1">
      <c r="A16" s="52"/>
      <c r="B16" s="53"/>
      <c r="C16" s="130"/>
      <c r="D16" s="199"/>
      <c r="E16" s="52"/>
      <c r="F16" s="52"/>
      <c r="G16" s="130"/>
      <c r="H16" s="199"/>
      <c r="I16" s="54" t="s">
        <v>163</v>
      </c>
      <c r="J16" s="295">
        <v>3.718</v>
      </c>
      <c r="K16" s="296">
        <f t="shared" si="0"/>
        <v>3.597</v>
      </c>
      <c r="L16" s="199"/>
      <c r="M16" s="52"/>
      <c r="N16" s="71"/>
      <c r="O16" s="130"/>
      <c r="P16" s="52"/>
      <c r="Q16" s="54"/>
      <c r="R16" s="53"/>
      <c r="S16" s="130"/>
      <c r="T16" s="207"/>
      <c r="U16" s="17"/>
    </row>
    <row r="17" spans="1:21" ht="20.100000000000001" customHeight="1">
      <c r="A17" s="52"/>
      <c r="B17" s="56"/>
      <c r="C17" s="130"/>
      <c r="D17" s="199"/>
      <c r="E17" s="52"/>
      <c r="F17" s="56"/>
      <c r="G17" s="130"/>
      <c r="H17" s="199"/>
      <c r="I17" s="54" t="s">
        <v>164</v>
      </c>
      <c r="J17" s="295">
        <v>3.72</v>
      </c>
      <c r="K17" s="296">
        <f t="shared" si="0"/>
        <v>3.5990000000000002</v>
      </c>
      <c r="L17" s="199"/>
      <c r="M17" s="52"/>
      <c r="N17" s="71"/>
      <c r="O17" s="130"/>
      <c r="P17" s="52"/>
      <c r="Q17" s="54"/>
      <c r="R17" s="56"/>
      <c r="S17" s="130"/>
      <c r="T17" s="207"/>
      <c r="U17" s="17"/>
    </row>
    <row r="18" spans="1:21" ht="20.100000000000001" customHeight="1">
      <c r="A18" s="52"/>
      <c r="B18" s="56"/>
      <c r="C18" s="130"/>
      <c r="D18" s="199"/>
      <c r="E18" s="52"/>
      <c r="F18" s="56"/>
      <c r="G18" s="130"/>
      <c r="H18" s="199"/>
      <c r="I18" s="54"/>
      <c r="J18" s="70"/>
      <c r="K18" s="130"/>
      <c r="L18" s="199"/>
      <c r="M18" s="52"/>
      <c r="N18" s="71"/>
      <c r="O18" s="130"/>
      <c r="P18" s="52"/>
      <c r="Q18" s="54"/>
      <c r="R18" s="53"/>
      <c r="S18" s="130"/>
      <c r="T18" s="207"/>
      <c r="U18" s="17"/>
    </row>
    <row r="19" spans="1:21" ht="20.100000000000001" customHeight="1">
      <c r="A19" s="52"/>
      <c r="B19" s="56"/>
      <c r="C19" s="130"/>
      <c r="D19" s="199"/>
      <c r="E19" s="52"/>
      <c r="F19" s="56"/>
      <c r="G19" s="130"/>
      <c r="H19" s="199"/>
      <c r="I19" s="54"/>
      <c r="J19" s="70"/>
      <c r="K19" s="129"/>
      <c r="L19" s="199"/>
      <c r="M19" s="52"/>
      <c r="N19" s="71"/>
      <c r="O19" s="130"/>
      <c r="P19" s="52"/>
      <c r="Q19" s="54"/>
      <c r="R19" s="56"/>
      <c r="S19" s="130"/>
      <c r="T19" s="207"/>
      <c r="U19" s="17"/>
    </row>
    <row r="20" spans="1:21" ht="20.100000000000001" customHeight="1">
      <c r="A20" s="52"/>
      <c r="B20" s="56"/>
      <c r="C20" s="130"/>
      <c r="D20" s="199"/>
      <c r="E20" s="52"/>
      <c r="F20" s="56"/>
      <c r="G20" s="130"/>
      <c r="H20" s="199"/>
      <c r="I20" s="54"/>
      <c r="J20" s="70"/>
      <c r="K20" s="130"/>
      <c r="L20" s="199"/>
      <c r="M20" s="52"/>
      <c r="N20" s="71"/>
      <c r="O20" s="130"/>
      <c r="P20" s="52"/>
      <c r="Q20" s="200"/>
      <c r="R20" s="104"/>
      <c r="S20" s="130"/>
      <c r="T20" s="207"/>
      <c r="U20" s="17"/>
    </row>
    <row r="21" spans="1:21" ht="20.100000000000001" customHeight="1">
      <c r="A21" s="52"/>
      <c r="B21" s="56"/>
      <c r="C21" s="130"/>
      <c r="D21" s="199"/>
      <c r="E21" s="52"/>
      <c r="F21" s="56"/>
      <c r="G21" s="130"/>
      <c r="H21" s="199"/>
      <c r="I21" s="54"/>
      <c r="J21" s="70"/>
      <c r="K21" s="129"/>
      <c r="L21" s="199"/>
      <c r="M21" s="52"/>
      <c r="N21" s="71"/>
      <c r="O21" s="57"/>
      <c r="P21" s="52"/>
      <c r="Q21" s="200"/>
      <c r="R21" s="104"/>
      <c r="S21" s="57"/>
      <c r="T21" s="207"/>
      <c r="U21" s="17"/>
    </row>
    <row r="22" spans="1:21" ht="20.100000000000001" customHeight="1">
      <c r="A22" s="52"/>
      <c r="B22" s="56"/>
      <c r="C22" s="130"/>
      <c r="D22" s="199"/>
      <c r="E22" s="52"/>
      <c r="F22" s="56"/>
      <c r="G22" s="130"/>
      <c r="H22" s="199"/>
      <c r="I22" s="54"/>
      <c r="J22" s="70"/>
      <c r="K22" s="130"/>
      <c r="L22" s="199"/>
      <c r="M22" s="52"/>
      <c r="N22" s="71"/>
      <c r="O22" s="201"/>
      <c r="P22" s="52"/>
      <c r="Q22" s="200"/>
      <c r="R22" s="104"/>
      <c r="S22" s="201"/>
      <c r="T22" s="207"/>
      <c r="U22" s="17"/>
    </row>
    <row r="23" spans="1:21" ht="20.100000000000001" customHeight="1">
      <c r="A23" s="52"/>
      <c r="B23" s="56"/>
      <c r="C23" s="130"/>
      <c r="D23" s="199"/>
      <c r="E23" s="52"/>
      <c r="F23" s="56"/>
      <c r="G23" s="130"/>
      <c r="H23" s="199"/>
      <c r="I23" s="54"/>
      <c r="J23" s="70"/>
      <c r="K23" s="129"/>
      <c r="L23" s="199"/>
      <c r="M23" s="52"/>
      <c r="N23" s="71"/>
      <c r="O23" s="57"/>
      <c r="P23" s="52"/>
      <c r="Q23" s="200"/>
      <c r="R23" s="104"/>
      <c r="S23" s="57"/>
      <c r="T23" s="207"/>
      <c r="U23" s="17"/>
    </row>
    <row r="24" spans="1:21" s="40" customFormat="1" ht="20.100000000000001" customHeight="1" thickBot="1">
      <c r="A24" s="941" t="s">
        <v>40</v>
      </c>
      <c r="B24" s="942"/>
      <c r="C24" s="943"/>
      <c r="D24" s="206"/>
      <c r="E24" s="941" t="s">
        <v>41</v>
      </c>
      <c r="F24" s="942"/>
      <c r="G24" s="943"/>
      <c r="H24" s="206"/>
      <c r="I24" s="941" t="s">
        <v>42</v>
      </c>
      <c r="J24" s="942"/>
      <c r="K24" s="943"/>
      <c r="L24" s="199"/>
      <c r="M24" s="941" t="s">
        <v>43</v>
      </c>
      <c r="N24" s="942"/>
      <c r="O24" s="943"/>
      <c r="P24" s="52"/>
      <c r="Q24" s="200"/>
      <c r="R24" s="200"/>
      <c r="S24" s="205"/>
      <c r="T24" s="207"/>
      <c r="U24" s="39"/>
    </row>
    <row r="25" spans="1:21" s="35" customFormat="1" ht="20.100000000000001" customHeight="1" thickBot="1">
      <c r="A25" s="29" t="s">
        <v>12</v>
      </c>
      <c r="B25" s="291" t="s">
        <v>147</v>
      </c>
      <c r="C25" s="292" t="s">
        <v>148</v>
      </c>
      <c r="D25" s="41"/>
      <c r="E25" s="30" t="s">
        <v>12</v>
      </c>
      <c r="F25" s="291" t="s">
        <v>147</v>
      </c>
      <c r="G25" s="292" t="s">
        <v>148</v>
      </c>
      <c r="H25" s="41"/>
      <c r="I25" s="30" t="s">
        <v>12</v>
      </c>
      <c r="J25" s="291" t="s">
        <v>147</v>
      </c>
      <c r="K25" s="292" t="s">
        <v>148</v>
      </c>
      <c r="L25" s="38"/>
      <c r="M25" s="30" t="s">
        <v>12</v>
      </c>
      <c r="N25" s="291" t="s">
        <v>147</v>
      </c>
      <c r="O25" s="292" t="s">
        <v>148</v>
      </c>
      <c r="P25" s="36"/>
      <c r="Q25" s="293"/>
      <c r="R25" s="293"/>
      <c r="S25" s="293"/>
      <c r="T25" s="37"/>
      <c r="U25" s="34"/>
    </row>
    <row r="26" spans="1:21" ht="20.100000000000001" customHeight="1">
      <c r="A26" s="52"/>
      <c r="B26" s="106"/>
      <c r="C26" s="294"/>
      <c r="D26" s="202"/>
      <c r="E26" s="52"/>
      <c r="F26" s="72"/>
      <c r="G26" s="134"/>
      <c r="H26" s="52"/>
      <c r="I26" s="52"/>
      <c r="J26" s="107"/>
      <c r="K26" s="294"/>
      <c r="L26" s="199"/>
      <c r="M26" s="54"/>
      <c r="N26" s="203"/>
      <c r="O26" s="136"/>
      <c r="P26" s="52"/>
      <c r="Q26" s="200"/>
      <c r="R26" s="204"/>
      <c r="S26" s="132"/>
      <c r="T26" s="207"/>
      <c r="U26" s="17"/>
    </row>
    <row r="27" spans="1:21" ht="20.100000000000001" customHeight="1">
      <c r="A27" s="52"/>
      <c r="B27" s="106"/>
      <c r="C27" s="294"/>
      <c r="D27" s="52"/>
      <c r="E27" s="52"/>
      <c r="F27" s="72"/>
      <c r="G27" s="134"/>
      <c r="H27" s="52"/>
      <c r="I27" s="52"/>
      <c r="J27" s="107"/>
      <c r="K27" s="294"/>
      <c r="L27" s="52"/>
      <c r="M27" s="54"/>
      <c r="N27" s="73"/>
      <c r="O27" s="136"/>
      <c r="P27" s="52"/>
      <c r="Q27" s="200"/>
      <c r="R27" s="55"/>
      <c r="S27" s="132"/>
      <c r="T27" s="207"/>
      <c r="U27" s="17"/>
    </row>
    <row r="28" spans="1:21" ht="20.100000000000001" customHeight="1">
      <c r="A28" s="52"/>
      <c r="B28" s="72"/>
      <c r="C28" s="134"/>
      <c r="D28" s="52"/>
      <c r="E28" s="105"/>
      <c r="F28" s="106"/>
      <c r="G28" s="133"/>
      <c r="H28" s="52"/>
      <c r="I28" s="105"/>
      <c r="J28" s="107"/>
      <c r="K28" s="128"/>
      <c r="L28" s="52"/>
      <c r="M28" s="54"/>
      <c r="N28" s="73"/>
      <c r="O28" s="136"/>
      <c r="P28" s="52"/>
      <c r="Q28" s="200"/>
      <c r="R28" s="55"/>
      <c r="S28" s="132" t="str">
        <f t="shared" ref="S28:S29" si="2">IF(R28&gt;0, R28-0.0785,"")</f>
        <v/>
      </c>
      <c r="T28" s="207"/>
      <c r="U28" s="17"/>
    </row>
    <row r="29" spans="1:21" ht="20.100000000000001" customHeight="1">
      <c r="A29" s="52"/>
      <c r="B29" s="72"/>
      <c r="C29" s="134"/>
      <c r="D29" s="52"/>
      <c r="E29" s="105"/>
      <c r="F29" s="106"/>
      <c r="G29" s="133"/>
      <c r="H29" s="52"/>
      <c r="I29" s="105"/>
      <c r="J29" s="107"/>
      <c r="K29" s="128"/>
      <c r="L29" s="52"/>
      <c r="M29" s="54"/>
      <c r="N29" s="73"/>
      <c r="O29" s="136"/>
      <c r="P29" s="52"/>
      <c r="Q29" s="200"/>
      <c r="R29" s="55"/>
      <c r="S29" s="132" t="str">
        <f t="shared" si="2"/>
        <v/>
      </c>
      <c r="T29" s="207"/>
      <c r="U29" s="17"/>
    </row>
    <row r="30" spans="1:21" ht="20.100000000000001" customHeight="1">
      <c r="A30" s="52"/>
      <c r="B30" s="54"/>
      <c r="C30" s="130"/>
      <c r="D30" s="52"/>
      <c r="E30" s="52"/>
      <c r="F30" s="53"/>
      <c r="G30" s="130"/>
      <c r="H30" s="52"/>
      <c r="I30" s="52"/>
      <c r="J30" s="52"/>
      <c r="K30" s="130"/>
      <c r="L30" s="52"/>
      <c r="M30" s="54"/>
      <c r="N30" s="56"/>
      <c r="O30" s="129"/>
      <c r="P30" s="52"/>
      <c r="Q30" s="200"/>
      <c r="R30" s="55"/>
      <c r="S30" s="132"/>
      <c r="T30" s="207"/>
      <c r="U30" s="17"/>
    </row>
    <row r="31" spans="1:21" ht="20.100000000000001" customHeight="1">
      <c r="A31" s="52"/>
      <c r="B31" s="54"/>
      <c r="C31" s="129"/>
      <c r="D31" s="52"/>
      <c r="E31" s="52"/>
      <c r="F31" s="54"/>
      <c r="G31" s="130"/>
      <c r="H31" s="52"/>
      <c r="I31" s="52"/>
      <c r="J31" s="52"/>
      <c r="K31" s="130"/>
      <c r="L31" s="52"/>
      <c r="M31" s="54"/>
      <c r="N31" s="56"/>
      <c r="O31" s="130"/>
      <c r="P31" s="52"/>
      <c r="Q31" s="200"/>
      <c r="R31" s="104"/>
      <c r="S31" s="132"/>
      <c r="T31" s="207"/>
      <c r="U31" s="17"/>
    </row>
    <row r="32" spans="1:21" ht="20.100000000000001" customHeight="1">
      <c r="A32" s="52"/>
      <c r="B32" s="54"/>
      <c r="C32" s="129"/>
      <c r="D32" s="52"/>
      <c r="E32" s="52"/>
      <c r="F32" s="54"/>
      <c r="G32" s="130"/>
      <c r="H32" s="52"/>
      <c r="I32" s="52"/>
      <c r="J32" s="52"/>
      <c r="K32" s="130"/>
      <c r="L32" s="52"/>
      <c r="M32" s="54"/>
      <c r="N32" s="55"/>
      <c r="O32" s="130"/>
      <c r="P32" s="52"/>
      <c r="Q32" s="200"/>
      <c r="R32" s="104"/>
      <c r="S32" s="132"/>
      <c r="T32" s="207"/>
      <c r="U32" s="17"/>
    </row>
    <row r="33" spans="1:21" ht="20.100000000000001" customHeight="1">
      <c r="A33" s="52"/>
      <c r="B33" s="54"/>
      <c r="C33" s="129"/>
      <c r="D33" s="52"/>
      <c r="E33" s="52"/>
      <c r="F33" s="54"/>
      <c r="G33" s="130"/>
      <c r="H33" s="52"/>
      <c r="I33" s="52"/>
      <c r="J33" s="52"/>
      <c r="K33" s="130"/>
      <c r="L33" s="52"/>
      <c r="M33" s="54"/>
      <c r="N33" s="55"/>
      <c r="O33" s="130"/>
      <c r="P33" s="52"/>
      <c r="Q33" s="200"/>
      <c r="R33" s="104"/>
      <c r="S33" s="132"/>
      <c r="T33" s="207"/>
      <c r="U33" s="17"/>
    </row>
    <row r="34" spans="1:21" ht="20.100000000000001" customHeight="1">
      <c r="A34" s="52"/>
      <c r="B34" s="54"/>
      <c r="C34" s="129"/>
      <c r="D34" s="52"/>
      <c r="E34" s="52"/>
      <c r="F34" s="54"/>
      <c r="G34" s="130"/>
      <c r="H34" s="52"/>
      <c r="I34" s="52"/>
      <c r="J34" s="52"/>
      <c r="K34" s="130"/>
      <c r="L34" s="52"/>
      <c r="M34" s="54"/>
      <c r="N34" s="55"/>
      <c r="O34" s="130"/>
      <c r="P34" s="52"/>
      <c r="Q34" s="200"/>
      <c r="R34" s="104"/>
      <c r="S34" s="132"/>
      <c r="T34" s="207"/>
      <c r="U34" s="17"/>
    </row>
    <row r="35" spans="1:21" ht="20.100000000000001" customHeight="1">
      <c r="A35" s="52"/>
      <c r="B35" s="54"/>
      <c r="C35" s="129"/>
      <c r="D35" s="52"/>
      <c r="E35" s="52"/>
      <c r="F35" s="54"/>
      <c r="G35" s="130"/>
      <c r="H35" s="52"/>
      <c r="I35" s="52"/>
      <c r="J35" s="52"/>
      <c r="K35" s="130"/>
      <c r="L35" s="52"/>
      <c r="M35" s="54"/>
      <c r="N35" s="55"/>
      <c r="O35" s="130"/>
      <c r="P35" s="52"/>
      <c r="Q35" s="200"/>
      <c r="R35" s="104"/>
      <c r="S35" s="132"/>
      <c r="T35" s="207"/>
      <c r="U35" s="17"/>
    </row>
    <row r="36" spans="1:21" ht="20.100000000000001" customHeight="1">
      <c r="A36" s="52"/>
      <c r="B36" s="54"/>
      <c r="C36" s="129"/>
      <c r="D36" s="52"/>
      <c r="E36" s="52"/>
      <c r="F36" s="54"/>
      <c r="G36" s="130"/>
      <c r="H36" s="52"/>
      <c r="I36" s="52"/>
      <c r="J36" s="52"/>
      <c r="K36" s="130"/>
      <c r="L36" s="52"/>
      <c r="M36" s="54"/>
      <c r="N36" s="55"/>
      <c r="O36" s="130"/>
      <c r="P36" s="52"/>
      <c r="Q36" s="200"/>
      <c r="R36" s="104"/>
      <c r="S36" s="132"/>
      <c r="T36" s="207"/>
      <c r="U36" s="17"/>
    </row>
    <row r="37" spans="1:21" ht="20.100000000000001" customHeight="1">
      <c r="A37" s="200"/>
      <c r="B37" s="200"/>
      <c r="C37" s="200"/>
      <c r="D37" s="52"/>
      <c r="E37" s="200"/>
      <c r="F37" s="200"/>
      <c r="G37" s="200"/>
      <c r="H37" s="52"/>
      <c r="I37" s="200"/>
      <c r="J37" s="200"/>
      <c r="K37" s="200"/>
      <c r="L37" s="52"/>
      <c r="M37" s="200"/>
      <c r="N37" s="200"/>
      <c r="O37" s="132"/>
      <c r="P37" s="52"/>
      <c r="Q37" s="200"/>
      <c r="R37" s="104"/>
      <c r="S37" s="132" t="str">
        <f>IF(R37&gt;0, R37-0.0785,"")</f>
        <v/>
      </c>
      <c r="T37" s="207"/>
      <c r="U37" s="17"/>
    </row>
    <row r="38" spans="1:21">
      <c r="A38" s="42"/>
      <c r="B38" s="42"/>
      <c r="C38" s="43"/>
      <c r="D38" s="42"/>
      <c r="E38" s="42"/>
      <c r="F38" s="44"/>
      <c r="G38" s="45"/>
      <c r="H38" s="42"/>
      <c r="I38" s="44"/>
      <c r="J38" s="44"/>
      <c r="K38" s="43"/>
      <c r="L38" s="44"/>
      <c r="M38" s="44"/>
      <c r="N38" s="44"/>
      <c r="O38" s="43"/>
      <c r="P38" s="44"/>
    </row>
  </sheetData>
  <mergeCells count="13">
    <mergeCell ref="A24:C24"/>
    <mergeCell ref="E24:G24"/>
    <mergeCell ref="I24:K24"/>
    <mergeCell ref="M24:O24"/>
    <mergeCell ref="A1:S1"/>
    <mergeCell ref="A2:S2"/>
    <mergeCell ref="A3:S3"/>
    <mergeCell ref="A4:S4"/>
    <mergeCell ref="A9:C9"/>
    <mergeCell ref="E9:G9"/>
    <mergeCell ref="I9:K9"/>
    <mergeCell ref="M9:O9"/>
    <mergeCell ref="Q9:S9"/>
  </mergeCells>
  <phoneticPr fontId="17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ad6f6f2-a951-4904-b531-92e1207fc7a5}" enabled="1" method="Standard" siteId="{b7be7686-6f97-4db7-9081-a23cf09a96b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6</vt:i4>
      </vt:variant>
    </vt:vector>
  </HeadingPairs>
  <TitlesOfParts>
    <vt:vector size="10" baseType="lpstr">
      <vt:lpstr>RIH-DRAFT</vt:lpstr>
      <vt:lpstr>Tally</vt:lpstr>
      <vt:lpstr>7" JFE Pup Jts_UC</vt:lpstr>
      <vt:lpstr>7" VT Pup Jts</vt:lpstr>
      <vt:lpstr>'RIH-DRAFT'!Tally</vt:lpstr>
      <vt:lpstr>Tally!Tally</vt:lpstr>
      <vt:lpstr>'RIH-DRAFT'!Заголовки_для_печати</vt:lpstr>
      <vt:lpstr>'7" JFE Pup Jts_UC'!Область_печати</vt:lpstr>
      <vt:lpstr>'RIH-DRAFT'!Область_печати</vt:lpstr>
      <vt:lpstr>Tally!Область_печати</vt:lpstr>
    </vt:vector>
  </TitlesOfParts>
  <Company>Halliburton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Erle P. Halliburton</dc:creator>
  <cp:lastModifiedBy>Maxim Kiselev</cp:lastModifiedBy>
  <cp:lastPrinted>2023-09-20T05:41:23Z</cp:lastPrinted>
  <dcterms:created xsi:type="dcterms:W3CDTF">2017-11-11T11:35:46Z</dcterms:created>
  <dcterms:modified xsi:type="dcterms:W3CDTF">2026-01-25T16:48:14Z</dcterms:modified>
</cp:coreProperties>
</file>